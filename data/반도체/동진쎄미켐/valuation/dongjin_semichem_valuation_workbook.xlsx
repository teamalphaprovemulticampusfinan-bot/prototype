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'03_원천_DART'!$A$2:$Q$1099</definedName>
    <definedName name="_xlnm._FilterDatabase" localSheetId="5" hidden="1">'04_주가_데이터'!$A$18:$AE$718</definedName>
    <definedName name="_xlnm._FilterDatabase" localSheetId="6" hidden="1">'05_정규재무제표'!$A$2:$AJ$7</definedName>
    <definedName name="_xlnm._FilterDatabase" localSheetId="7" hidden="1">'06_핵심비율'!$A$2:$L$7</definedName>
    <definedName name="_xlnm._FilterDatabase" localSheetId="9" hidden="1">'08_FCF_추정'!$A$2:$B$3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'13_검증체크'!$A$2:$C$4</definedName>
    <definedName name="_xlnm._FilterDatabase" localSheetId="15" hidden="1">'14_대시보드_JSON'!$A$2:$D$193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'21_품질_커버리지'!$A$15:$C$17</definedName>
    <definedName name="_xlnm._FilterDatabase" localSheetId="23" hidden="1">'22_종합가치평가'!$A$31:$D$39</definedName>
    <definedName name="_xlnm._FilterDatabase" localSheetId="24" hidden="1">'23_가치범위표'!$A$18:$B$20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12" fillId="15" borderId="0" pivotButton="0" quotePrefix="0" xfId="0"/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2" fillId="16" borderId="0" pivotButton="0" quotePrefix="0" xfId="0"/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'23_가치범위표'!$B$11:$B$14</f>
            </numRef>
          </cat>
          <val>
            <numRef>
              <f>'23_가치범위표'!$G$11:$G$14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동진쎄미켐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54,300원</t>
        </is>
      </c>
      <c r="C4" s="5" t="inlineStr">
        <is>
          <t>DCF 내재주가</t>
        </is>
      </c>
      <c r="D4" s="6" t="inlineStr"/>
      <c r="E4" s="7" t="inlineStr">
        <is>
          <t>괴리율</t>
        </is>
      </c>
      <c r="F4" s="6" t="inlineStr"/>
      <c r="G4" s="8" t="inlineStr">
        <is>
          <t>WACC</t>
        </is>
      </c>
      <c r="H4" s="4" t="inlineStr">
        <is>
          <t>11.8%</t>
        </is>
      </c>
    </row>
    <row r="5" ht="24" customHeight="1">
      <c r="A5" s="3" t="inlineStr">
        <is>
          <t>P/S</t>
        </is>
      </c>
      <c r="B5" s="9" t="inlineStr">
        <is>
          <t>1.22배</t>
        </is>
      </c>
      <c r="C5" s="5" t="inlineStr">
        <is>
          <t>비교기업 P/S 중앙값</t>
        </is>
      </c>
      <c r="D5" s="9" t="inlineStr">
        <is>
          <t>3.43배</t>
        </is>
      </c>
      <c r="E5" s="7" t="inlineStr">
        <is>
          <t>가치범위 중앙값</t>
        </is>
      </c>
      <c r="F5" s="9" t="inlineStr">
        <is>
          <t>55,394원</t>
        </is>
      </c>
      <c r="G5" s="8" t="inlineStr">
        <is>
          <t>검증 상태</t>
        </is>
      </c>
      <c r="H5" s="9" t="inlineStr">
        <is>
          <t>FAIL</t>
        </is>
      </c>
    </row>
    <row r="6" ht="24" customHeight="1">
      <c r="A6" s="3" t="inlineStr">
        <is>
          <t>종합 가치평가 점수</t>
        </is>
      </c>
      <c r="B6" s="10" t="inlineStr">
        <is>
          <t>68.6/100</t>
        </is>
      </c>
      <c r="C6" s="5" t="inlineStr">
        <is>
          <t>보조 가치평가 점수</t>
        </is>
      </c>
      <c r="D6" s="10" t="inlineStr">
        <is>
          <t>61.8/100</t>
        </is>
      </c>
      <c r="E6" s="7" t="inlineStr">
        <is>
          <t>역산 영구성장률</t>
        </is>
      </c>
      <c r="F6" s="11" t="inlineStr"/>
      <c r="G6" s="8" t="inlineStr">
        <is>
          <t>오너이익 주당가치</t>
        </is>
      </c>
      <c r="H6" s="10" t="inlineStr">
        <is>
          <t>30,763원</t>
        </is>
      </c>
    </row>
    <row r="7" ht="24" customHeight="1"/>
    <row r="8" ht="24" customHeight="1">
      <c r="A8" s="12" t="inlineStr">
        <is>
          <t>핵심 판단</t>
        </is>
      </c>
    </row>
    <row r="9" ht="62" customHeight="1">
      <c r="A9" s="13" t="inlineStr">
        <is>
          <t>가치평가 관점 중립 — 저평가와 리스크 신호가 혼재되어 있습니다.</t>
        </is>
      </c>
    </row>
    <row r="10" ht="24" customHeight="1"/>
    <row r="11" ht="24" customHeight="1"/>
    <row r="12" ht="24" customHeight="1"/>
    <row r="13" ht="24" customHeight="1">
      <c r="A13" s="14" t="inlineStr">
        <is>
          <t>분석 축</t>
        </is>
      </c>
      <c r="B13" s="14" t="inlineStr">
        <is>
          <t>현재 결론</t>
        </is>
      </c>
      <c r="C13" s="14" t="inlineStr">
        <is>
          <t>대시보드에서 볼 것</t>
        </is>
      </c>
      <c r="D13" s="14" t="inlineStr">
        <is>
          <t>실무 체크포인트</t>
        </is>
      </c>
    </row>
    <row r="14" ht="24" customHeight="1">
      <c r="A14" s="15" t="inlineStr">
        <is>
          <t>절대가치</t>
        </is>
      </c>
      <c r="B14" s="16" t="inlineStr"/>
      <c r="C14" s="15" t="inlineStr">
        <is>
          <t>DCF 내재주가·민감도</t>
        </is>
      </c>
      <c r="D14" s="17" t="inlineStr">
        <is>
          <t>WACC와 영구성장률 가정이 바뀌면 결론이 크게 달라질 수 있습니다.</t>
        </is>
      </c>
    </row>
    <row r="15" ht="24" customHeight="1">
      <c r="A15" s="17" t="inlineStr">
        <is>
          <t>상대가치</t>
        </is>
      </c>
      <c r="B15" s="15" t="inlineStr">
        <is>
          <t>1.22배</t>
        </is>
      </c>
      <c r="C15" s="17" t="inlineStr">
        <is>
          <t>P/S·P/B·PER·EV/Sales</t>
        </is>
      </c>
      <c r="D15" s="15" t="inlineStr">
        <is>
          <t>동일 세부군 기준으로 비교기업 품질을 재확인합니다.</t>
        </is>
      </c>
    </row>
    <row r="16" ht="24" customHeight="1">
      <c r="A16" s="15" t="inlineStr">
        <is>
          <t>시장내재</t>
        </is>
      </c>
      <c r="B16" s="17" t="inlineStr">
        <is>
          <t>1.22배</t>
        </is>
      </c>
      <c r="C16" s="15" t="inlineStr">
        <is>
          <t>현재가가 반영한 배수</t>
        </is>
      </c>
      <c r="D16" s="17" t="inlineStr">
        <is>
          <t>현재 시장이 이미 반영한 성장 기대를 역산합니다.</t>
        </is>
      </c>
    </row>
    <row r="17" ht="24" customHeight="1">
      <c r="A17" s="17" t="inlineStr">
        <is>
          <t>유동성/리스크</t>
        </is>
      </c>
      <c r="B17" s="15" t="inlineStr">
        <is>
          <t>562.6억원</t>
        </is>
      </c>
      <c r="C17" s="17" t="inlineStr">
        <is>
          <t>거래대금·MDD·변동성</t>
        </is>
      </c>
      <c r="D17" s="15" t="inlineStr">
        <is>
          <t>거래대금이 낮은 기업은 실전 매매비용을 보수적으로 봅니다.</t>
        </is>
      </c>
    </row>
    <row r="18" ht="24" customHeight="1">
      <c r="A18" s="15" t="inlineStr">
        <is>
          <t>208개 비교군</t>
        </is>
      </c>
      <c r="B18" s="17" t="inlineStr">
        <is>
          <t>208</t>
        </is>
      </c>
      <c r="C18" s="15" t="inlineStr">
        <is>
          <t>시장위치 맵·백분위</t>
        </is>
      </c>
      <c r="D18" s="17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8" t="inlineStr">
        <is>
          <t>품질 점검</t>
        </is>
      </c>
      <c r="B22" t="inlineStr"/>
      <c r="C22" s="18" t="inlineStr">
        <is>
          <t>검토 완료</t>
        </is>
      </c>
    </row>
    <row r="23" ht="24" customHeight="1">
      <c r="A23" s="18" t="inlineStr">
        <is>
          <t>품질 점검</t>
        </is>
      </c>
      <c r="B23" t="inlineStr"/>
      <c r="C23" s="18" t="inlineStr">
        <is>
          <t>검토 완료</t>
        </is>
      </c>
    </row>
    <row r="24" ht="24" customHeight="1">
      <c r="A24" s="18" t="inlineStr">
        <is>
          <t>품질 점검</t>
        </is>
      </c>
      <c r="B24" t="inlineStr"/>
      <c r="C24" s="18" t="inlineStr">
        <is>
          <t>검토 완료</t>
        </is>
      </c>
    </row>
    <row r="25" ht="24" customHeight="1">
      <c r="A25" s="18" t="inlineStr">
        <is>
          <t>품질 점검</t>
        </is>
      </c>
      <c r="B25" t="inlineStr"/>
      <c r="C25" s="18" t="inlineStr">
        <is>
          <t>검토 완료</t>
        </is>
      </c>
    </row>
    <row r="26" ht="24" customHeight="1">
      <c r="A26" s="18" t="inlineStr">
        <is>
          <t>품질 점검</t>
        </is>
      </c>
      <c r="B26" t="inlineStr"/>
      <c r="C26" s="18" t="inlineStr">
        <is>
          <t>검토 완료</t>
        </is>
      </c>
    </row>
    <row r="27" ht="24" customHeight="1">
      <c r="A27" s="18" t="inlineStr">
        <is>
          <t>품질 점검</t>
        </is>
      </c>
      <c r="B27" t="inlineStr"/>
      <c r="C27" s="18" t="inlineStr">
        <is>
          <t>검토 완료</t>
        </is>
      </c>
    </row>
    <row r="28" ht="24" customHeight="1">
      <c r="A28" s="18" t="inlineStr">
        <is>
          <t>품질 점검</t>
        </is>
      </c>
      <c r="B28" t="inlineStr"/>
      <c r="C28" s="18" t="inlineStr">
        <is>
          <t>검토 완료</t>
        </is>
      </c>
    </row>
    <row r="29" ht="24" customHeight="1"/>
    <row r="30" ht="24" customHeight="1">
      <c r="A30" s="14" t="inlineStr">
        <is>
          <t>항목</t>
        </is>
      </c>
      <c r="B30" s="14" t="inlineStr">
        <is>
          <t>점수</t>
        </is>
      </c>
      <c r="E30" s="18" t="inlineStr">
        <is>
          <t>범위</t>
        </is>
      </c>
      <c r="F30" s="18" t="inlineStr">
        <is>
          <t>기업 수</t>
        </is>
      </c>
    </row>
    <row r="31" ht="24" customHeight="1">
      <c r="A31" s="18" t="inlineStr">
        <is>
          <t>DCF 안전마진</t>
        </is>
      </c>
      <c r="B31" s="18" t="n">
        <v>50</v>
      </c>
      <c r="E31" s="18" t="inlineStr">
        <is>
          <t>전체 반도체 비교군</t>
        </is>
      </c>
      <c r="F31" s="18" t="n">
        <v>208</v>
      </c>
    </row>
    <row r="32" ht="24" customHeight="1">
      <c r="A32" s="18" t="inlineStr">
        <is>
          <t>종합 가치평가</t>
        </is>
      </c>
      <c r="B32" s="18" t="n">
        <v>68.61</v>
      </c>
      <c r="E32" s="18" t="inlineStr">
        <is>
          <t>동일 세부군</t>
        </is>
      </c>
      <c r="F32" s="18" t="n">
        <v>40</v>
      </c>
    </row>
    <row r="33" ht="24" customHeight="1">
      <c r="A33" s="18" t="inlineStr">
        <is>
          <t>보조 점수</t>
        </is>
      </c>
      <c r="B33" s="18" t="n">
        <v>61.84</v>
      </c>
      <c r="E33" s="18" t="inlineStr">
        <is>
          <t>선택기업</t>
        </is>
      </c>
      <c r="F33" s="18" t="n">
        <v>1</v>
      </c>
    </row>
    <row r="34" ht="24" customHeight="1">
      <c r="A34" s="18" t="inlineStr">
        <is>
          <t>데이터 검증</t>
        </is>
      </c>
      <c r="B34" s="18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독립 가치평가 대시보드</t>
        </is>
      </c>
    </row>
    <row r="2" ht="28" customHeight="1">
      <c r="A2" s="20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21" t="inlineStr">
        <is>
          <t>WACC</t>
        </is>
      </c>
      <c r="B4" s="22" t="n"/>
      <c r="C4" s="21" t="inlineStr">
        <is>
          <t>DCF 기업가치</t>
        </is>
      </c>
      <c r="D4" s="22" t="n"/>
      <c r="E4" s="21" t="inlineStr">
        <is>
          <t>DCF 지분가치</t>
        </is>
      </c>
      <c r="F4" s="22" t="n"/>
      <c r="G4" s="21" t="inlineStr">
        <is>
          <t>내재주가</t>
        </is>
      </c>
      <c r="H4" s="22" t="n"/>
      <c r="I4" s="21" t="inlineStr">
        <is>
          <t>괴리율</t>
        </is>
      </c>
      <c r="J4" s="22" t="n"/>
      <c r="K4" s="21" t="inlineStr">
        <is>
          <t>검증 상태</t>
        </is>
      </c>
      <c r="L4" s="22" t="n"/>
    </row>
    <row r="5" ht="24" customHeight="1">
      <c r="A5" s="23" t="inlineStr">
        <is>
          <t>11.8%</t>
        </is>
      </c>
      <c r="B5" s="22" t="n"/>
      <c r="C5" s="23" t="inlineStr">
        <is>
          <t>해당 없음</t>
        </is>
      </c>
      <c r="D5" s="22" t="n"/>
      <c r="E5" s="23" t="inlineStr">
        <is>
          <t>해당 없음</t>
        </is>
      </c>
      <c r="F5" s="22" t="n"/>
      <c r="G5" s="23" t="inlineStr">
        <is>
          <t>해당 없음</t>
        </is>
      </c>
      <c r="H5" s="22" t="n"/>
      <c r="I5" s="23" t="inlineStr">
        <is>
          <t>해당 없음</t>
        </is>
      </c>
      <c r="J5" s="22" t="n"/>
      <c r="K5" s="23" t="inlineStr">
        <is>
          <t>FAIL</t>
        </is>
      </c>
      <c r="L5" s="22" t="n"/>
    </row>
    <row r="6" ht="24" customHeight="1">
      <c r="A6" s="24" t="inlineStr">
        <is>
          <t>시장가중/장부가중 혼합</t>
        </is>
      </c>
      <c r="B6" s="22" t="n"/>
      <c r="C6" s="24" t="inlineStr">
        <is>
          <t>EV 기준</t>
        </is>
      </c>
      <c r="D6" s="22" t="n"/>
      <c r="E6" s="24" t="inlineStr">
        <is>
          <t>EV + 현금 - 부채 proxy</t>
        </is>
      </c>
      <c r="F6" s="22" t="n"/>
      <c r="G6" s="24" t="inlineStr">
        <is>
          <t>발행주식 수 기준</t>
        </is>
      </c>
      <c r="H6" s="22" t="n"/>
      <c r="I6" s="24" t="inlineStr">
        <is>
          <t>현재가 대비</t>
        </is>
      </c>
      <c r="J6" s="22" t="n"/>
      <c r="K6" s="24" t="inlineStr">
        <is>
          <t>가치평가 보조근거 중립</t>
        </is>
      </c>
      <c r="L6" s="22" t="n"/>
    </row>
    <row r="7" ht="24" customHeight="1">
      <c r="A7" s="21" t="inlineStr">
        <is>
          <t>현재가</t>
        </is>
      </c>
      <c r="B7" s="22" t="n"/>
      <c r="C7" s="21" t="inlineStr">
        <is>
          <t>1년 수익률</t>
        </is>
      </c>
      <c r="D7" s="22" t="n"/>
      <c r="E7" s="21" t="inlineStr">
        <is>
          <t>MDD</t>
        </is>
      </c>
      <c r="F7" s="22" t="n"/>
      <c r="G7" s="21" t="inlineStr">
        <is>
          <t>변동성</t>
        </is>
      </c>
      <c r="H7" s="22" t="n"/>
      <c r="I7" s="21" t="inlineStr">
        <is>
          <t>주가 행 수</t>
        </is>
      </c>
      <c r="J7" s="22" t="n"/>
      <c r="K7" s="21" t="inlineStr">
        <is>
          <t>52주 범위</t>
        </is>
      </c>
      <c r="L7" s="22" t="n"/>
    </row>
    <row r="8" ht="24" customHeight="1">
      <c r="A8" s="23" t="inlineStr">
        <is>
          <t>54,300원</t>
        </is>
      </c>
      <c r="B8" s="22" t="n"/>
      <c r="C8" s="23" t="inlineStr">
        <is>
          <t>81.0%</t>
        </is>
      </c>
      <c r="D8" s="22" t="n"/>
      <c r="E8" s="23" t="inlineStr">
        <is>
          <t>-60.0%</t>
        </is>
      </c>
      <c r="F8" s="22" t="n"/>
      <c r="G8" s="23" t="inlineStr">
        <is>
          <t>51.3%</t>
        </is>
      </c>
      <c r="H8" s="22" t="n"/>
      <c r="I8" s="23" t="inlineStr">
        <is>
          <t>1,221행</t>
        </is>
      </c>
      <c r="J8" s="22" t="n"/>
      <c r="K8" s="23" t="inlineStr">
        <is>
          <t>27,600원~63,200원</t>
        </is>
      </c>
      <c r="L8" s="22" t="n"/>
    </row>
    <row r="9" ht="24" customHeight="1">
      <c r="A9" s="24" t="inlineStr">
        <is>
          <t>주가 intake</t>
        </is>
      </c>
      <c r="B9" s="22" t="n"/>
      <c r="C9" s="24" t="inlineStr">
        <is>
          <t>최근 약 1년</t>
        </is>
      </c>
      <c r="D9" s="22" t="n"/>
      <c r="E9" s="24" t="inlineStr">
        <is>
          <t>최대 낙폭</t>
        </is>
      </c>
      <c r="F9" s="22" t="n"/>
      <c r="G9" s="24" t="inlineStr">
        <is>
          <t>연환산</t>
        </is>
      </c>
      <c r="H9" s="22" t="n"/>
      <c r="I9" s="24" t="inlineStr">
        <is>
          <t>차트/대시보드 원천</t>
        </is>
      </c>
      <c r="J9" s="22" t="n"/>
      <c r="K9" s="24" t="inlineStr">
        <is>
          <t>저가~고가</t>
        </is>
      </c>
      <c r="L9" s="22" t="n"/>
    </row>
    <row r="10" ht="24" customHeight="1">
      <c r="A10" s="21" t="inlineStr">
        <is>
          <t>시가총액</t>
        </is>
      </c>
      <c r="B10" s="22" t="n"/>
      <c r="C10" s="21" t="inlineStr">
        <is>
          <t>발행주식 수</t>
        </is>
      </c>
      <c r="D10" s="22" t="n"/>
      <c r="E10" s="21" t="inlineStr">
        <is>
          <t>20일 평균 거래대금</t>
        </is>
      </c>
      <c r="F10" s="22" t="n"/>
      <c r="G10" s="21" t="inlineStr">
        <is>
          <t>최근 거래회전율</t>
        </is>
      </c>
      <c r="H10" s="22" t="n"/>
      <c r="I10" s="21" t="inlineStr">
        <is>
          <t>ML 보조점수</t>
        </is>
      </c>
      <c r="J10" s="22" t="n"/>
      <c r="K10" s="21" t="inlineStr">
        <is>
          <t>Peer 수</t>
        </is>
      </c>
      <c r="L10" s="22" t="n"/>
    </row>
    <row r="11" ht="24" customHeight="1">
      <c r="A11" s="23" t="inlineStr">
        <is>
          <t>27,918.1억원</t>
        </is>
      </c>
      <c r="B11" s="22" t="n"/>
      <c r="C11" s="23" t="inlineStr">
        <is>
          <t>51,414,494주</t>
        </is>
      </c>
      <c r="D11" s="22" t="n"/>
      <c r="E11" s="23" t="inlineStr">
        <is>
          <t>562.6억원</t>
        </is>
      </c>
      <c r="F11" s="22" t="n"/>
      <c r="G11" s="23" t="inlineStr">
        <is>
          <t>0.7%</t>
        </is>
      </c>
      <c r="H11" s="22" t="n"/>
      <c r="I11" s="23" t="inlineStr">
        <is>
          <t>55.4/100</t>
        </is>
      </c>
      <c r="J11" s="22" t="n"/>
      <c r="K11" s="23" t="inlineStr">
        <is>
          <t>5개</t>
        </is>
      </c>
      <c r="L11" s="22" t="n"/>
    </row>
    <row r="12" ht="24" customHeight="1">
      <c r="A12" s="24" t="inlineStr">
        <is>
          <t>현재가×발행주식 수</t>
        </is>
      </c>
      <c r="B12" s="22" t="n"/>
      <c r="C12" s="24" t="inlineStr">
        <is>
          <t>DART stockTotqySttus</t>
        </is>
      </c>
      <c r="D12" s="22" t="n"/>
      <c r="E12" s="24" t="inlineStr">
        <is>
          <t>유동성 proxy</t>
        </is>
      </c>
      <c r="F12" s="22" t="n"/>
      <c r="G12" s="24" t="inlineStr">
        <is>
          <t>거래량/주식 수</t>
        </is>
      </c>
      <c r="H12" s="22" t="n"/>
      <c r="I12" s="24" t="inlineStr">
        <is>
          <t>가치평가 보조근거 중립</t>
        </is>
      </c>
      <c r="J12" s="22" t="n"/>
      <c r="K12" s="24" t="inlineStr">
        <is>
          <t>상대가치 비교</t>
        </is>
      </c>
      <c r="L12" s="22" t="n"/>
    </row>
    <row r="13" ht="24" customHeight="1">
      <c r="A13" s="21" t="inlineStr">
        <is>
          <t>P/S</t>
        </is>
      </c>
      <c r="B13" s="22" t="n"/>
      <c r="C13" s="21" t="inlineStr">
        <is>
          <t>Peer P/S 중앙값</t>
        </is>
      </c>
      <c r="D13" s="22" t="n"/>
      <c r="E13" s="21" t="inlineStr">
        <is>
          <t>P/S 매력도</t>
        </is>
      </c>
      <c r="F13" s="22" t="n"/>
      <c r="G13" s="21" t="inlineStr">
        <is>
          <t>208개 Universe</t>
        </is>
      </c>
      <c r="H13" s="22" t="n"/>
      <c r="I13" s="21" t="inlineStr">
        <is>
          <t>Reference 그룹</t>
        </is>
      </c>
      <c r="J13" s="22" t="n"/>
      <c r="K13" s="21" t="inlineStr">
        <is>
          <t>PSR/Universe</t>
        </is>
      </c>
      <c r="L13" s="22" t="n"/>
    </row>
    <row r="14" ht="24" customHeight="1">
      <c r="A14" s="23" t="inlineStr">
        <is>
          <t>1.22x</t>
        </is>
      </c>
      <c r="B14" s="22" t="n"/>
      <c r="C14" s="23" t="inlineStr">
        <is>
          <t>3.43x</t>
        </is>
      </c>
      <c r="D14" s="22" t="n"/>
      <c r="E14" s="23" t="inlineStr">
        <is>
          <t>100.0점</t>
        </is>
      </c>
      <c r="F14" s="22" t="n"/>
      <c r="G14" s="23" t="inlineStr">
        <is>
          <t>208개</t>
        </is>
      </c>
      <c r="H14" s="22" t="n"/>
      <c r="I14" s="23" t="inlineStr">
        <is>
          <t>소재</t>
        </is>
      </c>
      <c r="J14" s="22" t="n"/>
      <c r="K14" s="23" t="inlineStr">
        <is>
          <t>반영</t>
        </is>
      </c>
      <c r="L14" s="22" t="n"/>
    </row>
    <row r="15" ht="24" customHeight="1">
      <c r="A15" s="24" t="inlineStr">
        <is>
          <t>피어 대비 저PSR 구간: 상대 저평가 가능성</t>
        </is>
      </c>
      <c r="B15" s="22" t="n"/>
      <c r="C15" s="24" t="inlineStr">
        <is>
          <t>5개 live peer 기준</t>
        </is>
      </c>
      <c r="D15" s="22" t="n"/>
      <c r="E15" s="24" t="inlineStr">
        <is>
          <t>낮은 P/S일수록 점수 우호</t>
        </is>
      </c>
      <c r="F15" s="22" t="n"/>
      <c r="G15" s="24" t="inlineStr">
        <is>
          <t>소재</t>
        </is>
      </c>
      <c r="H15" s="22" t="n"/>
      <c r="I15" s="24" t="inlineStr">
        <is>
          <t>그룹 26개</t>
        </is>
      </c>
      <c r="J15" s="22" t="n"/>
      <c r="K15" s="24" t="inlineStr">
        <is>
          <t>대시보드/Chair 보조판단</t>
        </is>
      </c>
      <c r="L15" s="22" t="n"/>
    </row>
    <row r="16" ht="24" customHeight="1"/>
    <row r="17" ht="24" customHeight="1"/>
    <row r="18" ht="24" customHeight="1"/>
    <row r="19" ht="24" customHeight="1">
      <c r="A19" s="25" t="inlineStr">
        <is>
          <t>핵심 해석</t>
        </is>
      </c>
    </row>
    <row r="20" ht="24" customHeight="1">
      <c r="A20" s="26" t="inlineStr">
        <is>
          <t>데이터 독립성</t>
        </is>
      </c>
      <c r="B20" s="27" t="inlineStr">
        <is>
          <t>finance_agent 산출물을 읽지 않고 valuation/intake 원천 데이터만 사용</t>
        </is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</row>
    <row r="21" ht="24" customHeight="1">
      <c r="A21" s="26" t="inlineStr">
        <is>
          <t>모델 구조</t>
        </is>
      </c>
      <c r="B21" s="27" t="inlineStr">
        <is>
          <t>업로드한 파이낸셜 모델링 파일의 구조를 DCF/WACC/Peer/Scenario/Dashboard 코드로 반영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</row>
    <row r="22" ht="24" customHeight="1">
      <c r="A22" s="26" t="inlineStr">
        <is>
          <t>활용 방식</t>
        </is>
      </c>
      <c r="B22" s="27" t="inlineStr">
        <is>
          <t>Chair 최종의견 가중합에는 미반영, 보조 가치평가 및 대시보드 다운로드 산출물로 활용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 ht="24" customHeight="1">
      <c r="A23" s="26" t="inlineStr">
        <is>
          <t>주의</t>
        </is>
      </c>
      <c r="B23" s="27" t="inlineStr">
        <is>
          <t>DART·주가·발행주식 수가 부족한 항목은 검증체크 시트에서 경고로 표시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8" t="inlineStr">
        <is>
          <t>연도</t>
        </is>
      </c>
      <c r="B31" s="28" t="inlineStr">
        <is>
          <t>매출액</t>
        </is>
      </c>
      <c r="C31" s="28" t="inlineStr">
        <is>
          <t>영업이익</t>
        </is>
      </c>
      <c r="D31" s="28" t="inlineStr">
        <is>
          <t>FCF</t>
        </is>
      </c>
      <c r="E31" s="28" t="inlineStr">
        <is>
          <t>연도</t>
        </is>
      </c>
      <c r="F31" s="28" t="inlineStr">
        <is>
          <t>매출액 추정</t>
        </is>
      </c>
      <c r="G31" s="28" t="inlineStr">
        <is>
          <t>FCF 추정</t>
        </is>
      </c>
      <c r="H31" s="28" t="inlineStr">
        <is>
          <t>PV FCF</t>
        </is>
      </c>
      <c r="I31" s="28" t="inlineStr">
        <is>
          <t>기업</t>
        </is>
      </c>
      <c r="J31" s="28" t="inlineStr">
        <is>
          <t>P/S</t>
        </is>
      </c>
      <c r="K31" s="28" t="inlineStr">
        <is>
          <t>PER</t>
        </is>
      </c>
      <c r="L31" s="28" t="inlineStr">
        <is>
          <t>PBR</t>
        </is>
      </c>
    </row>
    <row r="32" ht="24" customHeight="1">
      <c r="A32" s="29" t="n">
        <v>2021</v>
      </c>
      <c r="B32" s="30" t="inlineStr">
        <is>
          <t>해당 없음</t>
        </is>
      </c>
      <c r="C32" s="30" t="n">
        <v>131814933901</v>
      </c>
      <c r="D32" s="30" t="n">
        <v>-22749714340</v>
      </c>
      <c r="E32" s="29" t="inlineStr">
        <is>
          <t>해당 없음</t>
        </is>
      </c>
      <c r="F32" s="29" t="inlineStr">
        <is>
          <t>해당 없음</t>
        </is>
      </c>
      <c r="G32" s="29" t="inlineStr">
        <is>
          <t>해당 없음</t>
        </is>
      </c>
      <c r="H32" s="29" t="inlineStr">
        <is>
          <t>해당 없음</t>
        </is>
      </c>
      <c r="I32" s="29" t="inlineStr">
        <is>
          <t>네패스</t>
        </is>
      </c>
      <c r="J32" s="31" t="n">
        <v>1.22274433704152</v>
      </c>
      <c r="K32" s="31" t="n">
        <v>31.62818476889036</v>
      </c>
      <c r="L32" s="31" t="n">
        <v>2.597888786187115</v>
      </c>
    </row>
    <row r="33" ht="24" customHeight="1">
      <c r="A33" s="29" t="n">
        <v>2022</v>
      </c>
      <c r="B33" s="30" t="inlineStr">
        <is>
          <t>해당 없음</t>
        </is>
      </c>
      <c r="C33" s="30" t="n">
        <v>216308703354</v>
      </c>
      <c r="D33" s="30" t="n">
        <v>97120682733</v>
      </c>
      <c r="E33" s="29" t="inlineStr">
        <is>
          <t>해당 없음</t>
        </is>
      </c>
      <c r="F33" s="29" t="inlineStr">
        <is>
          <t>해당 없음</t>
        </is>
      </c>
      <c r="G33" s="29" t="inlineStr">
        <is>
          <t>해당 없음</t>
        </is>
      </c>
      <c r="H33" s="29" t="inlineStr">
        <is>
          <t>해당 없음</t>
        </is>
      </c>
      <c r="I33" s="29" t="inlineStr">
        <is>
          <t>한미반도체</t>
        </is>
      </c>
      <c r="J33" s="31" t="n">
        <v>47.18633405260424</v>
      </c>
      <c r="K33" s="31" t="n">
        <v>127.1526789687822</v>
      </c>
      <c r="L33" s="31" t="n">
        <v>39.41843882777661</v>
      </c>
    </row>
    <row r="34" ht="24" customHeight="1">
      <c r="A34" s="29" t="n">
        <v>2023</v>
      </c>
      <c r="B34" s="30" t="inlineStr">
        <is>
          <t>해당 없음</t>
        </is>
      </c>
      <c r="C34" s="30" t="n">
        <v>176174316058</v>
      </c>
      <c r="D34" s="30" t="n">
        <v>113557545853</v>
      </c>
      <c r="E34" s="29" t="inlineStr">
        <is>
          <t>해당 없음</t>
        </is>
      </c>
      <c r="F34" s="29" t="inlineStr">
        <is>
          <t>해당 없음</t>
        </is>
      </c>
      <c r="G34" s="29" t="inlineStr">
        <is>
          <t>해당 없음</t>
        </is>
      </c>
      <c r="H34" s="29" t="inlineStr">
        <is>
          <t>해당 없음</t>
        </is>
      </c>
      <c r="I34" s="29" t="inlineStr">
        <is>
          <t>한솔케미칼</t>
        </is>
      </c>
      <c r="J34" s="31" t="n">
        <v>3.430171921382347</v>
      </c>
      <c r="K34" s="31" t="n">
        <v>20.46895246130066</v>
      </c>
      <c r="L34" s="31" t="n">
        <v>2.575597752763727</v>
      </c>
    </row>
    <row r="35" ht="24" customHeight="1">
      <c r="A35" s="29" t="n">
        <v>2024</v>
      </c>
      <c r="B35" s="30" t="inlineStr">
        <is>
          <t>해당 없음</t>
        </is>
      </c>
      <c r="C35" s="30" t="n">
        <v>208225729660</v>
      </c>
      <c r="D35" s="30" t="n">
        <v>223272843211</v>
      </c>
      <c r="E35" s="29" t="inlineStr">
        <is>
          <t>해당 없음</t>
        </is>
      </c>
      <c r="F35" s="29" t="inlineStr">
        <is>
          <t>해당 없음</t>
        </is>
      </c>
      <c r="G35" s="29" t="inlineStr">
        <is>
          <t>해당 없음</t>
        </is>
      </c>
      <c r="H35" s="29" t="inlineStr">
        <is>
          <t>해당 없음</t>
        </is>
      </c>
      <c r="I35" s="29" t="inlineStr">
        <is>
          <t>덕산테코피아</t>
        </is>
      </c>
      <c r="J35" s="31" t="n">
        <v>3.653956997449662</v>
      </c>
      <c r="K35" s="31" t="n">
        <v>-3.879961027541216</v>
      </c>
      <c r="L35" s="31" t="n">
        <v>3.846247766664307</v>
      </c>
    </row>
    <row r="36" ht="24" customHeight="1">
      <c r="A36" s="29" t="n">
        <v>2025</v>
      </c>
      <c r="B36" s="30" t="inlineStr">
        <is>
          <t>해당 없음</t>
        </is>
      </c>
      <c r="C36" s="30" t="n">
        <v>172448889381</v>
      </c>
      <c r="D36" s="30" t="n">
        <v>187010313307</v>
      </c>
      <c r="E36" s="29" t="inlineStr">
        <is>
          <t>해당 없음</t>
        </is>
      </c>
      <c r="F36" s="29" t="inlineStr">
        <is>
          <t>해당 없음</t>
        </is>
      </c>
      <c r="G36" s="29" t="inlineStr">
        <is>
          <t>해당 없음</t>
        </is>
      </c>
      <c r="H36" s="29" t="inlineStr">
        <is>
          <t>해당 없음</t>
        </is>
      </c>
      <c r="I36" s="29" t="inlineStr">
        <is>
          <t>엘티씨</t>
        </is>
      </c>
      <c r="J36" s="31" t="n">
        <v>1.395459021332331</v>
      </c>
      <c r="K36" s="31" t="n">
        <v>23.81184919544199</v>
      </c>
      <c r="L36" s="31" t="n">
        <v>1.935867035533955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Valuation Agent Workbook</t>
        </is>
      </c>
    </row>
    <row r="2" ht="28" customHeight="1">
      <c r="A2" s="20" t="inlineStr">
        <is>
          <t>독립 데이터 intake → 모델링 → 검증 → 대시보드 export</t>
        </is>
      </c>
    </row>
    <row r="3" ht="24" customHeight="1"/>
    <row r="4" ht="24" customHeight="1">
      <c r="A4" s="25" t="inlineStr">
        <is>
          <t>사용 안내</t>
        </is>
      </c>
    </row>
    <row r="5" ht="24" customHeight="1">
      <c r="A5" s="28" t="inlineStr">
        <is>
          <t>항목</t>
        </is>
      </c>
      <c r="B5" s="28" t="inlineStr">
        <is>
          <t>내용</t>
        </is>
      </c>
    </row>
    <row r="6" ht="24" customHeight="1">
      <c r="A6" s="27" t="inlineStr">
        <is>
          <t>목적</t>
        </is>
      </c>
      <c r="B6" s="27" t="inlineStr">
        <is>
          <t>DART/주가/발행주식 수/피어 데이터를 intake하여 WACC·DCF·Peer·ML overlay·대시보드 payload를 자동 생성</t>
        </is>
      </c>
    </row>
    <row r="7" ht="24" customHeight="1">
      <c r="A7" s="32" t="inlineStr">
        <is>
          <t>Finance Agent와 관계</t>
        </is>
      </c>
      <c r="B7" s="32" t="inlineStr">
        <is>
          <t>finance_agent 산출물을 읽지 않음. valuation/intake 폴더의 자체 데이터만 사용</t>
        </is>
      </c>
    </row>
    <row r="8" ht="24" customHeight="1">
      <c r="A8" s="27" t="inlineStr">
        <is>
          <t>모델링 구조</t>
        </is>
      </c>
      <c r="B8" s="27" t="inlineStr">
        <is>
          <t>업로드한 파이낸셜 모델링 파일의 sheet archetype을 코드화하여 workbook 구조로 반영</t>
        </is>
      </c>
    </row>
    <row r="9" ht="24" customHeight="1">
      <c r="A9" s="32" t="inlineStr">
        <is>
          <t>PSR/208개 Universe</t>
        </is>
      </c>
      <c r="B9" s="32" t="inlineStr">
        <is>
          <t>Live peer P/S와 208개 반도체 reference universe를 별도 시트와 대시보드 payload로 제공</t>
        </is>
      </c>
    </row>
    <row r="10" ht="24" customHeight="1">
      <c r="A10" s="27" t="inlineStr">
        <is>
          <t>단위</t>
        </is>
      </c>
      <c r="B10" s="27" t="inlineStr">
        <is>
          <t>원천 데이터는 KRW actuals, 요약 표시는 억원/원/배수/비율 형식</t>
        </is>
      </c>
    </row>
    <row r="11" ht="24" customHeight="1">
      <c r="A11" s="32" t="inlineStr">
        <is>
          <t>색상 규칙</t>
        </is>
      </c>
      <c r="B11" s="32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데이터 출처 맵</t>
        </is>
      </c>
    </row>
    <row r="2" ht="24" customHeight="1">
      <c r="A2" s="28" t="inlineStr">
        <is>
          <t>created_at</t>
        </is>
      </c>
      <c r="B2" s="28" t="inlineStr">
        <is>
          <t>기업명</t>
        </is>
      </c>
      <c r="C2" s="28" t="inlineStr">
        <is>
          <t>기업코드</t>
        </is>
      </c>
      <c r="D2" s="28" t="inlineStr">
        <is>
          <t>종목코드</t>
        </is>
      </c>
      <c r="E2" s="28" t="inlineStr">
        <is>
          <t>principle</t>
        </is>
      </c>
      <c r="F2" s="28" t="inlineStr">
        <is>
          <t>template_design_seed</t>
        </is>
      </c>
      <c r="G2" s="28" t="inlineStr">
        <is>
          <t>canonical_workbook_tabs</t>
        </is>
      </c>
      <c r="H2" s="28" t="inlineStr">
        <is>
          <t>files</t>
        </is>
      </c>
      <c r="I2" s="28" t="inlineStr">
        <is>
          <t>diagnostics</t>
        </is>
      </c>
      <c r="J2" s="28" t="inlineStr">
        <is>
          <t>loader_diagnostics</t>
        </is>
      </c>
    </row>
    <row r="3" ht="24" customHeight="1">
      <c r="A3" s="27" t="inlineStr">
        <is>
          <t>2026-05-20T13:12:25</t>
        </is>
      </c>
      <c r="B3" s="27" t="inlineStr">
        <is>
          <t>동진쎄미켐</t>
        </is>
      </c>
      <c r="C3" s="27" t="inlineStr">
        <is>
          <t>dongjin_semichem</t>
        </is>
      </c>
      <c r="D3" s="27" t="inlineStr">
        <is>
          <t>005290</t>
        </is>
      </c>
      <c r="E3" s="27" t="inlineStr">
        <is>
          <t>independent_valuation_agent_intake_only; does not read finance_agent outputs</t>
        </is>
      </c>
      <c r="F3" s="27" t="inlineStr">
        <is>
          <t>uploaded_financial_modeling_packs_distilled_to_blueprints</t>
        </is>
      </c>
      <c r="G3" s="27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7" t="inlineStr">
        <is>
          <t>{"template_catalog_csv": "data/반도체/동진쎄미켐/valuation/intake/valuation_modeling_template_catalog.csv", "template_catalog_json": "data/반도체/동진쎄미켐/valuation/intake/valuation_modeling_template_catalog.json", "raw_dart_accounts_csv": "data/반도체/동진쎄미켐/valuation/intake/valuation_raw_dart_accounts.csv", "normalized_financials_csv": "data/반도체/동진쎄미켐/valuation/intake/valuation_normalized_financials.csv", "price_history_csv": "data/반도체/동진쎄미켐/valuation/intake/valuation_price_history.csv", "share_count_csv": "data/반도체/동진쎄미켐/valuation/intake/valuation_share_count.csv", "price_summary_json": "data/반도체/동진쎄미켐/valuation/intake/valuation_price_summary.json", "market_snapshot_json": "data/반도체/동진쎄미켐/valuation/intake/valuation_market_snapshot.json", "market_snapshot_csv": "data/반도체/동진쎄미켐/valuation/intake/valuation_market_snapshot.csv", "peer_input_csv": "data/반도체/동진쎄미켐/valuation/intake/valuation_peer_input.csv", "assumptions_json": "data/반도체/동진쎄미켐/valuation/intake/valuation_assumptions.json", "reference_universe_208_csv": "data/반도체/동진쎄미켐/valuation/intake/valuation_reference_universe_208.csv", "reference_universe_focus_csv": "data/반도체/동진쎄미켐/valuation/intake/valuation_reference_universe_focus.csv", "reference_universe_summary_json": "data/반도체/동진쎄미켐/valuation/intake/valuation_reference_universe_summary.json"}</t>
        </is>
      </c>
      <c r="I3" s="27" t="inlineStr">
        <is>
          <t>["DART API key detected for valuation intake.", "DART corp_code resolved from cache for 동진쎄미켐/005290.", "DART financial rows collected: 2021=239, 2022=195, 2023=192, 2024=227, 2025=244", "yfinance price rows for 005290.KQ: 1221", "price provider selected: yfinance, rows=1221", "DART corp_code resolved from cache for 동진쎄미켐/005290.",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7" t="inlineStr">
        <is>
          <t>{"price_history_loaded_rows": 1221, "price_history_loaded_from": "C:\\Agent_6.8\\data\\반도체\\동진쎄미켐\\valuation\\intake\\valuation_price_history.csv"}</t>
        </is>
      </c>
    </row>
    <row r="4" ht="24" customHeight="1"/>
    <row r="5" ht="24" customHeight="1"/>
    <row r="6" ht="24" customHeight="1">
      <c r="A6" s="25" t="inlineStr">
        <is>
          <t>발행주식 수 intake</t>
        </is>
      </c>
    </row>
    <row r="7" ht="24" customHeight="1">
      <c r="A7" s="28" t="inlineStr">
        <is>
          <t>출처</t>
        </is>
      </c>
      <c r="B7" s="28" t="inlineStr">
        <is>
          <t>DART 고유번호</t>
        </is>
      </c>
      <c r="C7" s="28" t="inlineStr">
        <is>
          <t>기업명</t>
        </is>
      </c>
      <c r="D7" s="28" t="inlineStr">
        <is>
          <t>기업코드</t>
        </is>
      </c>
      <c r="E7" s="28" t="inlineStr">
        <is>
          <t>종목코드</t>
        </is>
      </c>
      <c r="F7" s="28" t="inlineStr">
        <is>
          <t>연도</t>
        </is>
      </c>
      <c r="G7" s="28" t="inlineStr">
        <is>
          <t>share_class</t>
        </is>
      </c>
      <c r="H7" s="28" t="inlineStr">
        <is>
          <t>발행주식 수</t>
        </is>
      </c>
      <c r="I7" s="28" t="inlineStr">
        <is>
          <t>raw</t>
        </is>
      </c>
    </row>
    <row r="8" ht="24" customHeight="1">
      <c r="A8" s="27" t="inlineStr">
        <is>
          <t>OpenDART_stockTotqySttus</t>
        </is>
      </c>
      <c r="B8" s="27" t="inlineStr">
        <is>
          <t>00118804</t>
        </is>
      </c>
      <c r="C8" s="27" t="inlineStr">
        <is>
          <t>동진쎄미켐</t>
        </is>
      </c>
      <c r="D8" s="27" t="inlineStr">
        <is>
          <t>dongjin_semichem</t>
        </is>
      </c>
      <c r="E8" s="27" t="inlineStr">
        <is>
          <t>005290</t>
        </is>
      </c>
      <c r="F8" s="27" t="inlineStr">
        <is>
          <t>2021</t>
        </is>
      </c>
      <c r="G8" s="27" t="inlineStr">
        <is>
          <t>보통주</t>
        </is>
      </c>
      <c r="H8" s="27" t="inlineStr">
        <is>
          <t>51414494.0</t>
        </is>
      </c>
      <c r="I8" s="27" t="inlineStr">
        <is>
          <t>{"rcept_no": "20220317000647", "corp_cls": "K", "corp_code": "00118804", "corp_name": "동진쎄미켐", "se": "보통주", "isu_stock_totqy": "100,000,000", "now_to_isu_stock_totqy": "51,414,494", "now_to_dcrs_stock_totqy": "-", "redc": "-", "profit_incnr": "-", "rdmstk_repy": "-", "etc": "-", "istc_totqy": "51,414,494", "tesstk_co": "-", "distb_stock_co": "51,414,494", "stlm_dt": "2021-12-31"}</t>
        </is>
      </c>
    </row>
    <row r="9" ht="24" customHeight="1">
      <c r="A9" s="32" t="inlineStr">
        <is>
          <t>OpenDART_stockTotqySttus</t>
        </is>
      </c>
      <c r="B9" s="32" t="inlineStr">
        <is>
          <t>00118804</t>
        </is>
      </c>
      <c r="C9" s="32" t="inlineStr">
        <is>
          <t>동진쎄미켐</t>
        </is>
      </c>
      <c r="D9" s="32" t="inlineStr">
        <is>
          <t>dongjin_semichem</t>
        </is>
      </c>
      <c r="E9" s="32" t="inlineStr">
        <is>
          <t>005290</t>
        </is>
      </c>
      <c r="F9" s="32" t="inlineStr">
        <is>
          <t>2021</t>
        </is>
      </c>
      <c r="G9" s="32" t="inlineStr">
        <is>
          <t>합계</t>
        </is>
      </c>
      <c r="H9" s="32" t="inlineStr">
        <is>
          <t>51414494.0</t>
        </is>
      </c>
      <c r="I9" s="32" t="inlineStr">
        <is>
          <t>{"rcept_no": "20220317000647", "corp_cls": "K", "corp_code": "00118804", "corp_name": "동진쎄미켐", "se": "합계", "isu_stock_totqy": "100,000,000", "now_to_isu_stock_totqy": "51,414,494", "now_to_dcrs_stock_totqy": "-", "redc": "-", "profit_incnr": "-", "rdmstk_repy": "-", "etc": "-", "istc_totqy": "51,414,494", "tesstk_co": "-", "distb_stock_co": "51,414,494", "stlm_dt": "2021-12-31"}</t>
        </is>
      </c>
    </row>
    <row r="10" ht="24" customHeight="1">
      <c r="A10" s="27" t="inlineStr">
        <is>
          <t>OpenDART_stockTotqySttus</t>
        </is>
      </c>
      <c r="B10" s="27" t="inlineStr">
        <is>
          <t>00118804</t>
        </is>
      </c>
      <c r="C10" s="27" t="inlineStr">
        <is>
          <t>동진쎄미켐</t>
        </is>
      </c>
      <c r="D10" s="27" t="inlineStr">
        <is>
          <t>dongjin_semichem</t>
        </is>
      </c>
      <c r="E10" s="27" t="inlineStr">
        <is>
          <t>005290</t>
        </is>
      </c>
      <c r="F10" s="27" t="inlineStr">
        <is>
          <t>2021</t>
        </is>
      </c>
      <c r="G10" s="27" t="inlineStr">
        <is>
          <t>비고</t>
        </is>
      </c>
      <c r="H10" s="27" t="inlineStr">
        <is>
          <t>해당 없음</t>
        </is>
      </c>
      <c r="I10" s="27" t="inlineStr">
        <is>
          <t>{"rcept_no": "20220317000647", "corp_cls": "K", "corp_code": "00118804", "corp_name": "동진쎄미켐",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32" t="inlineStr">
        <is>
          <t>OpenDART_stockTotqySttus</t>
        </is>
      </c>
      <c r="B11" s="32" t="inlineStr">
        <is>
          <t>00118804</t>
        </is>
      </c>
      <c r="C11" s="32" t="inlineStr">
        <is>
          <t>동진쎄미켐</t>
        </is>
      </c>
      <c r="D11" s="32" t="inlineStr">
        <is>
          <t>dongjin_semichem</t>
        </is>
      </c>
      <c r="E11" s="32" t="inlineStr">
        <is>
          <t>005290</t>
        </is>
      </c>
      <c r="F11" s="32" t="inlineStr">
        <is>
          <t>2022</t>
        </is>
      </c>
      <c r="G11" s="32" t="inlineStr">
        <is>
          <t>보통주</t>
        </is>
      </c>
      <c r="H11" s="32" t="inlineStr">
        <is>
          <t>51414494.0</t>
        </is>
      </c>
      <c r="I11" s="32" t="inlineStr">
        <is>
          <t>{"rcept_no": "20230316001000", "corp_cls": "K", "corp_code": "00118804", "corp_name": "동진쎄미켐", "se": "보통주", "isu_stock_totqy": "100,000,000", "now_to_isu_stock_totqy": "51,414,494", "now_to_dcrs_stock_totqy": "-", "redc": "-", "profit_incnr": "-", "rdmstk_repy": "-", "etc": "-", "istc_totqy": "51,414,494", "tesstk_co": "-", "distb_stock_co": "51,414,494", "stlm_dt": "2022-12-31"}</t>
        </is>
      </c>
    </row>
    <row r="12" ht="24" customHeight="1">
      <c r="A12" s="27" t="inlineStr">
        <is>
          <t>OpenDART_stockTotqySttus</t>
        </is>
      </c>
      <c r="B12" s="27" t="inlineStr">
        <is>
          <t>00118804</t>
        </is>
      </c>
      <c r="C12" s="27" t="inlineStr">
        <is>
          <t>동진쎄미켐</t>
        </is>
      </c>
      <c r="D12" s="27" t="inlineStr">
        <is>
          <t>dongjin_semichem</t>
        </is>
      </c>
      <c r="E12" s="27" t="inlineStr">
        <is>
          <t>005290</t>
        </is>
      </c>
      <c r="F12" s="27" t="inlineStr">
        <is>
          <t>2022</t>
        </is>
      </c>
      <c r="G12" s="27" t="inlineStr">
        <is>
          <t>합계</t>
        </is>
      </c>
      <c r="H12" s="27" t="inlineStr">
        <is>
          <t>51414494.0</t>
        </is>
      </c>
      <c r="I12" s="27" t="inlineStr">
        <is>
          <t>{"rcept_no": "20230316001000", "corp_cls": "K", "corp_code": "00118804", "corp_name": "동진쎄미켐", "se": "합계", "isu_stock_totqy": "100,000,000", "now_to_isu_stock_totqy": "51,414,494", "now_to_dcrs_stock_totqy": "-", "redc": "-", "profit_incnr": "-", "rdmstk_repy": "-", "etc": "-", "istc_totqy": "51,414,494", "tesstk_co": "-", "distb_stock_co": "51,414,494", "stlm_dt": "2022-12-31"}</t>
        </is>
      </c>
    </row>
    <row r="13" ht="24" customHeight="1">
      <c r="A13" s="32" t="inlineStr">
        <is>
          <t>OpenDART_stockTotqySttus</t>
        </is>
      </c>
      <c r="B13" s="32" t="inlineStr">
        <is>
          <t>00118804</t>
        </is>
      </c>
      <c r="C13" s="32" t="inlineStr">
        <is>
          <t>동진쎄미켐</t>
        </is>
      </c>
      <c r="D13" s="32" t="inlineStr">
        <is>
          <t>dongjin_semichem</t>
        </is>
      </c>
      <c r="E13" s="32" t="inlineStr">
        <is>
          <t>005290</t>
        </is>
      </c>
      <c r="F13" s="32" t="inlineStr">
        <is>
          <t>2022</t>
        </is>
      </c>
      <c r="G13" s="32" t="inlineStr">
        <is>
          <t>비고</t>
        </is>
      </c>
      <c r="H13" s="32" t="inlineStr">
        <is>
          <t>해당 없음</t>
        </is>
      </c>
      <c r="I13" s="32" t="inlineStr">
        <is>
          <t>{"rcept_no": "20230316001000", "corp_cls": "K", "corp_code": "00118804", "corp_name": "동진쎄미켐",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7" t="inlineStr">
        <is>
          <t>OpenDART_stockTotqySttus</t>
        </is>
      </c>
      <c r="B14" s="27" t="inlineStr">
        <is>
          <t>00118804</t>
        </is>
      </c>
      <c r="C14" s="27" t="inlineStr">
        <is>
          <t>동진쎄미켐</t>
        </is>
      </c>
      <c r="D14" s="27" t="inlineStr">
        <is>
          <t>dongjin_semichem</t>
        </is>
      </c>
      <c r="E14" s="27" t="inlineStr">
        <is>
          <t>005290</t>
        </is>
      </c>
      <c r="F14" s="27" t="inlineStr">
        <is>
          <t>2023</t>
        </is>
      </c>
      <c r="G14" s="27" t="inlineStr">
        <is>
          <t>보통주</t>
        </is>
      </c>
      <c r="H14" s="27" t="inlineStr">
        <is>
          <t>51414494.0</t>
        </is>
      </c>
      <c r="I14" s="27" t="inlineStr">
        <is>
          <t>{"rcept_no": "20240314001382", "corp_cls": "K", "corp_code": "00118804", "corp_name": "동진쎄미켐", "se": "보통주", "isu_stock_totqy": "100,000,000", "now_to_isu_stock_totqy": "51,414,494", "now_to_dcrs_stock_totqy": "-", "redc": "-", "profit_incnr": "-", "rdmstk_repy": "-", "etc": "-", "istc_totqy": "51,414,494", "tesstk_co": "-", "distb_stock_co": "51,414,494", "stlm_dt": "2023-12-31"}</t>
        </is>
      </c>
    </row>
    <row r="15" ht="24" customHeight="1">
      <c r="A15" s="32" t="inlineStr">
        <is>
          <t>OpenDART_stockTotqySttus</t>
        </is>
      </c>
      <c r="B15" s="32" t="inlineStr">
        <is>
          <t>00118804</t>
        </is>
      </c>
      <c r="C15" s="32" t="inlineStr">
        <is>
          <t>동진쎄미켐</t>
        </is>
      </c>
      <c r="D15" s="32" t="inlineStr">
        <is>
          <t>dongjin_semichem</t>
        </is>
      </c>
      <c r="E15" s="32" t="inlineStr">
        <is>
          <t>005290</t>
        </is>
      </c>
      <c r="F15" s="32" t="inlineStr">
        <is>
          <t>2023</t>
        </is>
      </c>
      <c r="G15" s="32" t="inlineStr">
        <is>
          <t>합계</t>
        </is>
      </c>
      <c r="H15" s="32" t="inlineStr">
        <is>
          <t>51414494.0</t>
        </is>
      </c>
      <c r="I15" s="32" t="inlineStr">
        <is>
          <t>{"rcept_no": "20240314001382", "corp_cls": "K", "corp_code": "00118804", "corp_name": "동진쎄미켐", "se": "합계", "isu_stock_totqy": "100,000,000", "now_to_isu_stock_totqy": "51,414,494", "now_to_dcrs_stock_totqy": "-", "redc": "-", "profit_incnr": "-", "rdmstk_repy": "-", "etc": "-", "istc_totqy": "51,414,494", "tesstk_co": "-", "distb_stock_co": "51,414,494", "stlm_dt": "2023-12-31"}</t>
        </is>
      </c>
    </row>
    <row r="16" ht="24" customHeight="1">
      <c r="A16" s="27" t="inlineStr">
        <is>
          <t>OpenDART_stockTotqySttus</t>
        </is>
      </c>
      <c r="B16" s="27" t="inlineStr">
        <is>
          <t>00118804</t>
        </is>
      </c>
      <c r="C16" s="27" t="inlineStr">
        <is>
          <t>동진쎄미켐</t>
        </is>
      </c>
      <c r="D16" s="27" t="inlineStr">
        <is>
          <t>dongjin_semichem</t>
        </is>
      </c>
      <c r="E16" s="27" t="inlineStr">
        <is>
          <t>005290</t>
        </is>
      </c>
      <c r="F16" s="27" t="inlineStr">
        <is>
          <t>2023</t>
        </is>
      </c>
      <c r="G16" s="27" t="inlineStr">
        <is>
          <t>비고</t>
        </is>
      </c>
      <c r="H16" s="27" t="inlineStr">
        <is>
          <t>해당 없음</t>
        </is>
      </c>
      <c r="I16" s="27" t="inlineStr">
        <is>
          <t>{"rcept_no": "20240314001382", "corp_cls": "K", "corp_code": "00118804", "corp_name": "동진쎄미켐",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32" t="inlineStr">
        <is>
          <t>OpenDART_stockTotqySttus</t>
        </is>
      </c>
      <c r="B17" s="32" t="inlineStr">
        <is>
          <t>00118804</t>
        </is>
      </c>
      <c r="C17" s="32" t="inlineStr">
        <is>
          <t>동진쎄미켐</t>
        </is>
      </c>
      <c r="D17" s="32" t="inlineStr">
        <is>
          <t>dongjin_semichem</t>
        </is>
      </c>
      <c r="E17" s="32" t="inlineStr">
        <is>
          <t>005290</t>
        </is>
      </c>
      <c r="F17" s="32" t="inlineStr">
        <is>
          <t>2024</t>
        </is>
      </c>
      <c r="G17" s="32" t="inlineStr">
        <is>
          <t>보통주</t>
        </is>
      </c>
      <c r="H17" s="32" t="inlineStr">
        <is>
          <t>51414494.0</t>
        </is>
      </c>
      <c r="I17" s="32" t="inlineStr">
        <is>
          <t>{"rcept_no": "20250319000732", "corp_cls": "K", "corp_code": "00118804", "corp_name": "동진쎄미켐", "se": "보통주", "isu_stock_totqy": "100,000,000", "now_to_isu_stock_totqy": "51,414,494", "now_to_dcrs_stock_totqy": "-", "redc": "-", "profit_incnr": "-", "rdmstk_repy": "-", "etc": "-", "istc_totqy": "51,414,494", "tesstk_co": "-", "distb_stock_co": "51,414,494", "stlm_dt": "2024-12-31"}</t>
        </is>
      </c>
    </row>
    <row r="18" ht="24" customHeight="1">
      <c r="A18" s="27" t="inlineStr">
        <is>
          <t>OpenDART_stockTotqySttus</t>
        </is>
      </c>
      <c r="B18" s="27" t="inlineStr">
        <is>
          <t>00118804</t>
        </is>
      </c>
      <c r="C18" s="27" t="inlineStr">
        <is>
          <t>동진쎄미켐</t>
        </is>
      </c>
      <c r="D18" s="27" t="inlineStr">
        <is>
          <t>dongjin_semichem</t>
        </is>
      </c>
      <c r="E18" s="27" t="inlineStr">
        <is>
          <t>005290</t>
        </is>
      </c>
      <c r="F18" s="27" t="inlineStr">
        <is>
          <t>2024</t>
        </is>
      </c>
      <c r="G18" s="27" t="inlineStr">
        <is>
          <t>합계</t>
        </is>
      </c>
      <c r="H18" s="27" t="inlineStr">
        <is>
          <t>51414494.0</t>
        </is>
      </c>
      <c r="I18" s="27" t="inlineStr">
        <is>
          <t>{"rcept_no": "20250319000732", "corp_cls": "K", "corp_code": "00118804", "corp_name": "동진쎄미켐", "se": "합계", "isu_stock_totqy": "100,000,000", "now_to_isu_stock_totqy": "51,414,494", "now_to_dcrs_stock_totqy": "-", "redc": "-", "profit_incnr": "-", "rdmstk_repy": "-", "etc": "-", "istc_totqy": "51,414,494", "tesstk_co": "-", "distb_stock_co": "51,414,494", "stlm_dt": "2024-12-31"}</t>
        </is>
      </c>
    </row>
    <row r="19" ht="24" customHeight="1">
      <c r="A19" s="32" t="inlineStr">
        <is>
          <t>OpenDART_stockTotqySttus</t>
        </is>
      </c>
      <c r="B19" s="32" t="inlineStr">
        <is>
          <t>00118804</t>
        </is>
      </c>
      <c r="C19" s="32" t="inlineStr">
        <is>
          <t>동진쎄미켐</t>
        </is>
      </c>
      <c r="D19" s="32" t="inlineStr">
        <is>
          <t>dongjin_semichem</t>
        </is>
      </c>
      <c r="E19" s="32" t="inlineStr">
        <is>
          <t>005290</t>
        </is>
      </c>
      <c r="F19" s="32" t="inlineStr">
        <is>
          <t>2024</t>
        </is>
      </c>
      <c r="G19" s="32" t="inlineStr">
        <is>
          <t>비고</t>
        </is>
      </c>
      <c r="H19" s="32" t="inlineStr">
        <is>
          <t>해당 없음</t>
        </is>
      </c>
      <c r="I19" s="32" t="inlineStr">
        <is>
          <t>{"rcept_no": "20250319000732", "corp_cls": "K", "corp_code": "00118804", "corp_name": "동진쎄미켐",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7" t="inlineStr">
        <is>
          <t>OpenDART_stockTotqySttus</t>
        </is>
      </c>
      <c r="B20" s="27" t="inlineStr">
        <is>
          <t>00118804</t>
        </is>
      </c>
      <c r="C20" s="27" t="inlineStr">
        <is>
          <t>동진쎄미켐</t>
        </is>
      </c>
      <c r="D20" s="27" t="inlineStr">
        <is>
          <t>dongjin_semichem</t>
        </is>
      </c>
      <c r="E20" s="27" t="inlineStr">
        <is>
          <t>005290</t>
        </is>
      </c>
      <c r="F20" s="27" t="inlineStr">
        <is>
          <t>2025</t>
        </is>
      </c>
      <c r="G20" s="27" t="inlineStr">
        <is>
          <t>보통주</t>
        </is>
      </c>
      <c r="H20" s="27" t="inlineStr">
        <is>
          <t>51414494.0</t>
        </is>
      </c>
      <c r="I20" s="27" t="inlineStr">
        <is>
          <t>{"rcept_no": "20260319000264", "corp_cls": "K", "corp_code": "00118804", "corp_name": "동진쎄미켐", "se": "보통주", "isu_stock_totqy": "100,000,000", "now_to_isu_stock_totqy": "51,414,494", "now_to_dcrs_stock_totqy": "-", "redc": "-", "profit_incnr": "-", "rdmstk_repy": "-", "etc": "-", "istc_totqy": "51,414,494", "tesstk_co": "26,498", "distb_stock_co": "51,387,996", "stlm_dt": "2025-12-31"}</t>
        </is>
      </c>
    </row>
    <row r="21" ht="24" customHeight="1">
      <c r="A21" s="32" t="inlineStr">
        <is>
          <t>OpenDART_stockTotqySttus</t>
        </is>
      </c>
      <c r="B21" s="32" t="inlineStr">
        <is>
          <t>00118804</t>
        </is>
      </c>
      <c r="C21" s="32" t="inlineStr">
        <is>
          <t>동진쎄미켐</t>
        </is>
      </c>
      <c r="D21" s="32" t="inlineStr">
        <is>
          <t>dongjin_semichem</t>
        </is>
      </c>
      <c r="E21" s="32" t="inlineStr">
        <is>
          <t>005290</t>
        </is>
      </c>
      <c r="F21" s="32" t="inlineStr">
        <is>
          <t>2025</t>
        </is>
      </c>
      <c r="G21" s="32" t="inlineStr">
        <is>
          <t>합계</t>
        </is>
      </c>
      <c r="H21" s="32" t="inlineStr">
        <is>
          <t>51414494.0</t>
        </is>
      </c>
      <c r="I21" s="32" t="inlineStr">
        <is>
          <t>{"rcept_no": "20260319000264", "corp_cls": "K", "corp_code": "00118804", "corp_name": "동진쎄미켐", "se": "합계", "isu_stock_totqy": "100,000,000", "now_to_isu_stock_totqy": "51,414,494", "now_to_dcrs_stock_totqy": "-", "redc": "-", "profit_incnr": "-", "rdmstk_repy": "-", "etc": "-", "istc_totqy": "51,414,494", "tesstk_co": "26,498", "distb_stock_co": "51,387,996", "stlm_dt": "2025-12-31"}</t>
        </is>
      </c>
    </row>
    <row r="22" ht="24" customHeight="1">
      <c r="A22" s="27" t="inlineStr">
        <is>
          <t>OpenDART_stockTotqySttus</t>
        </is>
      </c>
      <c r="B22" s="27" t="inlineStr">
        <is>
          <t>00118804</t>
        </is>
      </c>
      <c r="C22" s="27" t="inlineStr">
        <is>
          <t>동진쎄미켐</t>
        </is>
      </c>
      <c r="D22" s="27" t="inlineStr">
        <is>
          <t>dongjin_semichem</t>
        </is>
      </c>
      <c r="E22" s="27" t="inlineStr">
        <is>
          <t>005290</t>
        </is>
      </c>
      <c r="F22" s="27" t="inlineStr">
        <is>
          <t>2025</t>
        </is>
      </c>
      <c r="G22" s="27" t="inlineStr">
        <is>
          <t>비고</t>
        </is>
      </c>
      <c r="H22" s="27" t="inlineStr">
        <is>
          <t>해당 없음</t>
        </is>
      </c>
      <c r="I22" s="27" t="inlineStr">
        <is>
          <t>{"rcept_no": "20260319000264", "corp_cls": "K", "corp_code": "00118804", "corp_name": "동진쎄미켐",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0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DART 원천 계정</t>
        </is>
      </c>
    </row>
    <row r="2" ht="24" customHeight="1">
      <c r="A2" s="28" t="inlineStr">
        <is>
          <t>출처</t>
        </is>
      </c>
      <c r="B2" s="28" t="inlineStr">
        <is>
          <t>DART 고유번호</t>
        </is>
      </c>
      <c r="C2" s="28" t="inlineStr">
        <is>
          <t>기업명</t>
        </is>
      </c>
      <c r="D2" s="28" t="inlineStr">
        <is>
          <t>기업코드</t>
        </is>
      </c>
      <c r="E2" s="28" t="inlineStr">
        <is>
          <t>종목코드</t>
        </is>
      </c>
      <c r="F2" s="28" t="inlineStr">
        <is>
          <t>연도</t>
        </is>
      </c>
      <c r="G2" s="28" t="inlineStr">
        <is>
          <t>재무제표 구분</t>
        </is>
      </c>
      <c r="H2" s="28" t="inlineStr">
        <is>
          <t>재무제표 코드</t>
        </is>
      </c>
      <c r="I2" s="28" t="inlineStr">
        <is>
          <t>재무제표명</t>
        </is>
      </c>
      <c r="J2" s="28" t="inlineStr">
        <is>
          <t>계정ID</t>
        </is>
      </c>
      <c r="K2" s="28" t="inlineStr">
        <is>
          <t>계정명</t>
        </is>
      </c>
      <c r="L2" s="28" t="inlineStr">
        <is>
          <t>계정상세</t>
        </is>
      </c>
      <c r="M2" s="28" t="inlineStr">
        <is>
          <t>당기명</t>
        </is>
      </c>
      <c r="N2" s="28" t="inlineStr">
        <is>
          <t>금액</t>
        </is>
      </c>
      <c r="O2" s="28" t="inlineStr">
        <is>
          <t>전기금액</t>
        </is>
      </c>
      <c r="P2" s="28" t="inlineStr">
        <is>
          <t>통화</t>
        </is>
      </c>
      <c r="Q2" s="28" t="inlineStr">
        <is>
          <t>정렬순서</t>
        </is>
      </c>
    </row>
    <row r="3" ht="24" customHeight="1">
      <c r="A3" s="27" t="inlineStr">
        <is>
          <t>OpenDART_fnlttSinglAcntAll</t>
        </is>
      </c>
      <c r="B3" s="27" t="inlineStr">
        <is>
          <t>00118804</t>
        </is>
      </c>
      <c r="C3" s="27" t="inlineStr">
        <is>
          <t>동진쎄미켐</t>
        </is>
      </c>
      <c r="D3" s="27" t="inlineStr">
        <is>
          <t>dongjin_semichem</t>
        </is>
      </c>
      <c r="E3" s="27" t="inlineStr">
        <is>
          <t>005290</t>
        </is>
      </c>
      <c r="F3" s="27" t="inlineStr">
        <is>
          <t>2021</t>
        </is>
      </c>
      <c r="G3" s="27" t="inlineStr">
        <is>
          <t>CFS</t>
        </is>
      </c>
      <c r="H3" s="27" t="inlineStr">
        <is>
          <t>BS</t>
        </is>
      </c>
      <c r="I3" s="27" t="inlineStr">
        <is>
          <t>재무상태표</t>
        </is>
      </c>
      <c r="J3" s="27" t="inlineStr">
        <is>
          <t>ifrs-full_CurrentAssets</t>
        </is>
      </c>
      <c r="K3" s="27" t="inlineStr">
        <is>
          <t>유동자산</t>
        </is>
      </c>
      <c r="L3" s="27" t="inlineStr">
        <is>
          <t>-</t>
        </is>
      </c>
      <c r="M3" s="27" t="inlineStr">
        <is>
          <t>제 49 기</t>
        </is>
      </c>
      <c r="N3" s="27" t="inlineStr">
        <is>
          <t>690201851352.0</t>
        </is>
      </c>
      <c r="O3" s="27" t="inlineStr">
        <is>
          <t>527429646188.0</t>
        </is>
      </c>
      <c r="P3" s="27" t="inlineStr">
        <is>
          <t>KRW</t>
        </is>
      </c>
      <c r="Q3" s="27" t="inlineStr">
        <is>
          <t>1</t>
        </is>
      </c>
    </row>
    <row r="4" ht="24" customHeight="1">
      <c r="A4" s="32" t="inlineStr">
        <is>
          <t>OpenDART_fnlttSinglAcntAll</t>
        </is>
      </c>
      <c r="B4" s="32" t="inlineStr">
        <is>
          <t>00118804</t>
        </is>
      </c>
      <c r="C4" s="32" t="inlineStr">
        <is>
          <t>동진쎄미켐</t>
        </is>
      </c>
      <c r="D4" s="32" t="inlineStr">
        <is>
          <t>dongjin_semichem</t>
        </is>
      </c>
      <c r="E4" s="32" t="inlineStr">
        <is>
          <t>005290</t>
        </is>
      </c>
      <c r="F4" s="32" t="inlineStr">
        <is>
          <t>2021</t>
        </is>
      </c>
      <c r="G4" s="32" t="inlineStr">
        <is>
          <t>CFS</t>
        </is>
      </c>
      <c r="H4" s="32" t="inlineStr">
        <is>
          <t>BS</t>
        </is>
      </c>
      <c r="I4" s="32" t="inlineStr">
        <is>
          <t>재무상태표</t>
        </is>
      </c>
      <c r="J4" s="32" t="inlineStr">
        <is>
          <t>ifrs-full_CashAndCashEquivalents</t>
        </is>
      </c>
      <c r="K4" s="32" t="inlineStr">
        <is>
          <t>현금및현금성자산</t>
        </is>
      </c>
      <c r="L4" s="32" t="inlineStr">
        <is>
          <t>-</t>
        </is>
      </c>
      <c r="M4" s="32" t="inlineStr">
        <is>
          <t>제 49 기</t>
        </is>
      </c>
      <c r="N4" s="32" t="inlineStr">
        <is>
          <t>231211989608.0</t>
        </is>
      </c>
      <c r="O4" s="32" t="inlineStr">
        <is>
          <t>201286539579.0</t>
        </is>
      </c>
      <c r="P4" s="32" t="inlineStr">
        <is>
          <t>KRW</t>
        </is>
      </c>
      <c r="Q4" s="32" t="inlineStr">
        <is>
          <t>2</t>
        </is>
      </c>
    </row>
    <row r="5" ht="24" customHeight="1">
      <c r="A5" s="27" t="inlineStr">
        <is>
          <t>OpenDART_fnlttSinglAcntAll</t>
        </is>
      </c>
      <c r="B5" s="27" t="inlineStr">
        <is>
          <t>00118804</t>
        </is>
      </c>
      <c r="C5" s="27" t="inlineStr">
        <is>
          <t>동진쎄미켐</t>
        </is>
      </c>
      <c r="D5" s="27" t="inlineStr">
        <is>
          <t>dongjin_semichem</t>
        </is>
      </c>
      <c r="E5" s="27" t="inlineStr">
        <is>
          <t>005290</t>
        </is>
      </c>
      <c r="F5" s="27" t="inlineStr">
        <is>
          <t>2021</t>
        </is>
      </c>
      <c r="G5" s="27" t="inlineStr">
        <is>
          <t>CFS</t>
        </is>
      </c>
      <c r="H5" s="27" t="inlineStr">
        <is>
          <t>BS</t>
        </is>
      </c>
      <c r="I5" s="27" t="inlineStr">
        <is>
          <t>재무상태표</t>
        </is>
      </c>
      <c r="J5" s="27" t="inlineStr">
        <is>
          <t>dart_ShortTermDepositsNotClassifiedAsCashEquivalents</t>
        </is>
      </c>
      <c r="K5" s="27" t="inlineStr">
        <is>
          <t>단기금융자산</t>
        </is>
      </c>
      <c r="L5" s="27" t="inlineStr">
        <is>
          <t>-</t>
        </is>
      </c>
      <c r="M5" s="27" t="inlineStr">
        <is>
          <t>제 49 기</t>
        </is>
      </c>
      <c r="N5" s="27" t="inlineStr">
        <is>
          <t>55405862500.0</t>
        </is>
      </c>
      <c r="O5" s="27" t="inlineStr">
        <is>
          <t>47363384010.0</t>
        </is>
      </c>
      <c r="P5" s="27" t="inlineStr">
        <is>
          <t>KRW</t>
        </is>
      </c>
      <c r="Q5" s="27" t="inlineStr">
        <is>
          <t>3</t>
        </is>
      </c>
    </row>
    <row r="6" ht="24" customHeight="1">
      <c r="A6" s="32" t="inlineStr">
        <is>
          <t>OpenDART_fnlttSinglAcntAll</t>
        </is>
      </c>
      <c r="B6" s="32" t="inlineStr">
        <is>
          <t>00118804</t>
        </is>
      </c>
      <c r="C6" s="32" t="inlineStr">
        <is>
          <t>동진쎄미켐</t>
        </is>
      </c>
      <c r="D6" s="32" t="inlineStr">
        <is>
          <t>dongjin_semichem</t>
        </is>
      </c>
      <c r="E6" s="32" t="inlineStr">
        <is>
          <t>005290</t>
        </is>
      </c>
      <c r="F6" s="32" t="inlineStr">
        <is>
          <t>2021</t>
        </is>
      </c>
      <c r="G6" s="32" t="inlineStr">
        <is>
          <t>CFS</t>
        </is>
      </c>
      <c r="H6" s="32" t="inlineStr">
        <is>
          <t>BS</t>
        </is>
      </c>
      <c r="I6" s="32" t="inlineStr">
        <is>
          <t>재무상태표</t>
        </is>
      </c>
      <c r="J6" s="32" t="inlineStr">
        <is>
          <t>ifrs-full_CurrentTaxAssets</t>
        </is>
      </c>
      <c r="K6" s="32" t="inlineStr">
        <is>
          <t>당기법인세자산</t>
        </is>
      </c>
      <c r="L6" s="32" t="inlineStr">
        <is>
          <t>-</t>
        </is>
      </c>
      <c r="M6" s="32" t="inlineStr">
        <is>
          <t>제 49 기</t>
        </is>
      </c>
      <c r="N6" s="32" t="inlineStr">
        <is>
          <t>64935621.0</t>
        </is>
      </c>
      <c r="O6" s="32" t="inlineStr">
        <is>
          <t>211098226.0</t>
        </is>
      </c>
      <c r="P6" s="32" t="inlineStr">
        <is>
          <t>KRW</t>
        </is>
      </c>
      <c r="Q6" s="32" t="inlineStr">
        <is>
          <t>4</t>
        </is>
      </c>
    </row>
    <row r="7" ht="24" customHeight="1">
      <c r="A7" s="27" t="inlineStr">
        <is>
          <t>OpenDART_fnlttSinglAcntAll</t>
        </is>
      </c>
      <c r="B7" s="27" t="inlineStr">
        <is>
          <t>00118804</t>
        </is>
      </c>
      <c r="C7" s="27" t="inlineStr">
        <is>
          <t>동진쎄미켐</t>
        </is>
      </c>
      <c r="D7" s="27" t="inlineStr">
        <is>
          <t>dongjin_semichem</t>
        </is>
      </c>
      <c r="E7" s="27" t="inlineStr">
        <is>
          <t>005290</t>
        </is>
      </c>
      <c r="F7" s="27" t="inlineStr">
        <is>
          <t>2021</t>
        </is>
      </c>
      <c r="G7" s="27" t="inlineStr">
        <is>
          <t>CFS</t>
        </is>
      </c>
      <c r="H7" s="27" t="inlineStr">
        <is>
          <t>BS</t>
        </is>
      </c>
      <c r="I7" s="27" t="inlineStr">
        <is>
          <t>재무상태표</t>
        </is>
      </c>
      <c r="J7" s="27" t="inlineStr">
        <is>
          <t>ifrs-full_TradeAndOtherCurrentReceivables</t>
        </is>
      </c>
      <c r="K7" s="27" t="inlineStr">
        <is>
          <t>매출채권 및 기타채권</t>
        </is>
      </c>
      <c r="L7" s="27" t="inlineStr">
        <is>
          <t>-</t>
        </is>
      </c>
      <c r="M7" s="27" t="inlineStr">
        <is>
          <t>제 49 기</t>
        </is>
      </c>
      <c r="N7" s="27" t="inlineStr">
        <is>
          <t>220126400147.0</t>
        </is>
      </c>
      <c r="O7" s="27" t="inlineStr">
        <is>
          <t>159769117008.0</t>
        </is>
      </c>
      <c r="P7" s="27" t="inlineStr">
        <is>
          <t>KRW</t>
        </is>
      </c>
      <c r="Q7" s="27" t="inlineStr">
        <is>
          <t>5</t>
        </is>
      </c>
    </row>
    <row r="8" ht="24" customHeight="1">
      <c r="A8" s="32" t="inlineStr">
        <is>
          <t>OpenDART_fnlttSinglAcntAll</t>
        </is>
      </c>
      <c r="B8" s="32" t="inlineStr">
        <is>
          <t>00118804</t>
        </is>
      </c>
      <c r="C8" s="32" t="inlineStr">
        <is>
          <t>동진쎄미켐</t>
        </is>
      </c>
      <c r="D8" s="32" t="inlineStr">
        <is>
          <t>dongjin_semichem</t>
        </is>
      </c>
      <c r="E8" s="32" t="inlineStr">
        <is>
          <t>005290</t>
        </is>
      </c>
      <c r="F8" s="32" t="inlineStr">
        <is>
          <t>2021</t>
        </is>
      </c>
      <c r="G8" s="32" t="inlineStr">
        <is>
          <t>CFS</t>
        </is>
      </c>
      <c r="H8" s="32" t="inlineStr">
        <is>
          <t>BS</t>
        </is>
      </c>
      <c r="I8" s="32" t="inlineStr">
        <is>
          <t>재무상태표</t>
        </is>
      </c>
      <c r="J8" s="32" t="inlineStr">
        <is>
          <t>ifrs-full_Inventories</t>
        </is>
      </c>
      <c r="K8" s="32" t="inlineStr">
        <is>
          <t>재고자산</t>
        </is>
      </c>
      <c r="L8" s="32" t="inlineStr">
        <is>
          <t>-</t>
        </is>
      </c>
      <c r="M8" s="32" t="inlineStr">
        <is>
          <t>제 49 기</t>
        </is>
      </c>
      <c r="N8" s="32" t="inlineStr">
        <is>
          <t>158457404722.0</t>
        </is>
      </c>
      <c r="O8" s="32" t="inlineStr">
        <is>
          <t>100427050145.0</t>
        </is>
      </c>
      <c r="P8" s="32" t="inlineStr">
        <is>
          <t>KRW</t>
        </is>
      </c>
      <c r="Q8" s="32" t="inlineStr">
        <is>
          <t>6</t>
        </is>
      </c>
    </row>
    <row r="9" ht="24" customHeight="1">
      <c r="A9" s="27" t="inlineStr">
        <is>
          <t>OpenDART_fnlttSinglAcntAll</t>
        </is>
      </c>
      <c r="B9" s="27" t="inlineStr">
        <is>
          <t>00118804</t>
        </is>
      </c>
      <c r="C9" s="27" t="inlineStr">
        <is>
          <t>동진쎄미켐</t>
        </is>
      </c>
      <c r="D9" s="27" t="inlineStr">
        <is>
          <t>dongjin_semichem</t>
        </is>
      </c>
      <c r="E9" s="27" t="inlineStr">
        <is>
          <t>005290</t>
        </is>
      </c>
      <c r="F9" s="27" t="inlineStr">
        <is>
          <t>2021</t>
        </is>
      </c>
      <c r="G9" s="27" t="inlineStr">
        <is>
          <t>CFS</t>
        </is>
      </c>
      <c r="H9" s="27" t="inlineStr">
        <is>
          <t>BS</t>
        </is>
      </c>
      <c r="I9" s="27" t="inlineStr">
        <is>
          <t>재무상태표</t>
        </is>
      </c>
      <c r="J9" s="27" t="inlineStr">
        <is>
          <t>-표준계정코드 미사용-</t>
        </is>
      </c>
      <c r="K9" s="27" t="inlineStr">
        <is>
          <t>매각예정유동자산</t>
        </is>
      </c>
      <c r="L9" s="27" t="inlineStr">
        <is>
          <t>-</t>
        </is>
      </c>
      <c r="M9" s="27" t="inlineStr">
        <is>
          <t>제 49 기</t>
        </is>
      </c>
      <c r="N9" s="27" t="inlineStr">
        <is>
          <t>0.0</t>
        </is>
      </c>
      <c r="O9" s="27" t="inlineStr">
        <is>
          <t>701232000.0</t>
        </is>
      </c>
      <c r="P9" s="27" t="inlineStr">
        <is>
          <t>KRW</t>
        </is>
      </c>
      <c r="Q9" s="27" t="inlineStr">
        <is>
          <t>7</t>
        </is>
      </c>
    </row>
    <row r="10" ht="24" customHeight="1">
      <c r="A10" s="32" t="inlineStr">
        <is>
          <t>OpenDART_fnlttSinglAcntAll</t>
        </is>
      </c>
      <c r="B10" s="32" t="inlineStr">
        <is>
          <t>00118804</t>
        </is>
      </c>
      <c r="C10" s="32" t="inlineStr">
        <is>
          <t>동진쎄미켐</t>
        </is>
      </c>
      <c r="D10" s="32" t="inlineStr">
        <is>
          <t>dongjin_semichem</t>
        </is>
      </c>
      <c r="E10" s="32" t="inlineStr">
        <is>
          <t>005290</t>
        </is>
      </c>
      <c r="F10" s="32" t="inlineStr">
        <is>
          <t>2021</t>
        </is>
      </c>
      <c r="G10" s="32" t="inlineStr">
        <is>
          <t>CFS</t>
        </is>
      </c>
      <c r="H10" s="32" t="inlineStr">
        <is>
          <t>BS</t>
        </is>
      </c>
      <c r="I10" s="32" t="inlineStr">
        <is>
          <t>재무상태표</t>
        </is>
      </c>
      <c r="J10" s="32" t="inlineStr">
        <is>
          <t>dart_OtherCurrentAssets</t>
        </is>
      </c>
      <c r="K10" s="32" t="inlineStr">
        <is>
          <t>기타유동자산</t>
        </is>
      </c>
      <c r="L10" s="32" t="inlineStr">
        <is>
          <t>-</t>
        </is>
      </c>
      <c r="M10" s="32" t="inlineStr">
        <is>
          <t>제 49 기</t>
        </is>
      </c>
      <c r="N10" s="32" t="inlineStr">
        <is>
          <t>24935258754.0</t>
        </is>
      </c>
      <c r="O10" s="32" t="inlineStr">
        <is>
          <t>17671225220.0</t>
        </is>
      </c>
      <c r="P10" s="32" t="inlineStr">
        <is>
          <t>KRW</t>
        </is>
      </c>
      <c r="Q10" s="32" t="inlineStr">
        <is>
          <t>8</t>
        </is>
      </c>
    </row>
    <row r="11" ht="24" customHeight="1">
      <c r="A11" s="27" t="inlineStr">
        <is>
          <t>OpenDART_fnlttSinglAcntAll</t>
        </is>
      </c>
      <c r="B11" s="27" t="inlineStr">
        <is>
          <t>00118804</t>
        </is>
      </c>
      <c r="C11" s="27" t="inlineStr">
        <is>
          <t>동진쎄미켐</t>
        </is>
      </c>
      <c r="D11" s="27" t="inlineStr">
        <is>
          <t>dongjin_semichem</t>
        </is>
      </c>
      <c r="E11" s="27" t="inlineStr">
        <is>
          <t>005290</t>
        </is>
      </c>
      <c r="F11" s="27" t="inlineStr">
        <is>
          <t>2021</t>
        </is>
      </c>
      <c r="G11" s="27" t="inlineStr">
        <is>
          <t>CFS</t>
        </is>
      </c>
      <c r="H11" s="27" t="inlineStr">
        <is>
          <t>BS</t>
        </is>
      </c>
      <c r="I11" s="27" t="inlineStr">
        <is>
          <t>재무상태표</t>
        </is>
      </c>
      <c r="J11" s="27" t="inlineStr">
        <is>
          <t>ifrs-full_NoncurrentAssets</t>
        </is>
      </c>
      <c r="K11" s="27" t="inlineStr">
        <is>
          <t>비유동자산</t>
        </is>
      </c>
      <c r="L11" s="27" t="inlineStr">
        <is>
          <t>-</t>
        </is>
      </c>
      <c r="M11" s="27" t="inlineStr">
        <is>
          <t>제 49 기</t>
        </is>
      </c>
      <c r="N11" s="27" t="inlineStr">
        <is>
          <t>495987292376.0</t>
        </is>
      </c>
      <c r="O11" s="27" t="inlineStr">
        <is>
          <t>433362180202.0</t>
        </is>
      </c>
      <c r="P11" s="27" t="inlineStr">
        <is>
          <t>KRW</t>
        </is>
      </c>
      <c r="Q11" s="27" t="inlineStr">
        <is>
          <t>9</t>
        </is>
      </c>
    </row>
    <row r="12" ht="24" customHeight="1">
      <c r="A12" s="32" t="inlineStr">
        <is>
          <t>OpenDART_fnlttSinglAcntAll</t>
        </is>
      </c>
      <c r="B12" s="32" t="inlineStr">
        <is>
          <t>00118804</t>
        </is>
      </c>
      <c r="C12" s="32" t="inlineStr">
        <is>
          <t>동진쎄미켐</t>
        </is>
      </c>
      <c r="D12" s="32" t="inlineStr">
        <is>
          <t>dongjin_semichem</t>
        </is>
      </c>
      <c r="E12" s="32" t="inlineStr">
        <is>
          <t>005290</t>
        </is>
      </c>
      <c r="F12" s="32" t="inlineStr">
        <is>
          <t>2021</t>
        </is>
      </c>
      <c r="G12" s="32" t="inlineStr">
        <is>
          <t>CFS</t>
        </is>
      </c>
      <c r="H12" s="32" t="inlineStr">
        <is>
          <t>BS</t>
        </is>
      </c>
      <c r="I12" s="32" t="inlineStr">
        <is>
          <t>재무상태표</t>
        </is>
      </c>
      <c r="J12" s="32" t="inlineStr">
        <is>
          <t>dart_LongTermDepositsNotClassifiedAsCashEquivalents</t>
        </is>
      </c>
      <c r="K12" s="32" t="inlineStr">
        <is>
          <t>장기금융자산</t>
        </is>
      </c>
      <c r="L12" s="32" t="inlineStr">
        <is>
          <t>-</t>
        </is>
      </c>
      <c r="M12" s="32" t="inlineStr">
        <is>
          <t>제 49 기</t>
        </is>
      </c>
      <c r="N12" s="32" t="inlineStr">
        <is>
          <t>528000000.0</t>
        </is>
      </c>
      <c r="O12" s="32" t="inlineStr">
        <is>
          <t>220224000.0</t>
        </is>
      </c>
      <c r="P12" s="32" t="inlineStr">
        <is>
          <t>KRW</t>
        </is>
      </c>
      <c r="Q12" s="32" t="inlineStr">
        <is>
          <t>10</t>
        </is>
      </c>
    </row>
    <row r="13" ht="24" customHeight="1">
      <c r="A13" s="27" t="inlineStr">
        <is>
          <t>OpenDART_fnlttSinglAcntAll</t>
        </is>
      </c>
      <c r="B13" s="27" t="inlineStr">
        <is>
          <t>00118804</t>
        </is>
      </c>
      <c r="C13" s="27" t="inlineStr">
        <is>
          <t>동진쎄미켐</t>
        </is>
      </c>
      <c r="D13" s="27" t="inlineStr">
        <is>
          <t>dongjin_semichem</t>
        </is>
      </c>
      <c r="E13" s="27" t="inlineStr">
        <is>
          <t>005290</t>
        </is>
      </c>
      <c r="F13" s="27" t="inlineStr">
        <is>
          <t>2021</t>
        </is>
      </c>
      <c r="G13" s="27" t="inlineStr">
        <is>
          <t>CFS</t>
        </is>
      </c>
      <c r="H13" s="27" t="inlineStr">
        <is>
          <t>BS</t>
        </is>
      </c>
      <c r="I13" s="27" t="inlineStr">
        <is>
          <t>재무상태표</t>
        </is>
      </c>
      <c r="J13" s="27" t="inlineStr">
        <is>
          <t>ifrs-full_OtherNoncurrentFinancialAssets</t>
        </is>
      </c>
      <c r="K13" s="27" t="inlineStr">
        <is>
          <t>장기투자금융자산</t>
        </is>
      </c>
      <c r="L13" s="27" t="inlineStr">
        <is>
          <t>-</t>
        </is>
      </c>
      <c r="M13" s="27" t="inlineStr">
        <is>
          <t>제 49 기</t>
        </is>
      </c>
      <c r="N13" s="27" t="inlineStr">
        <is>
          <t>854167921.0</t>
        </is>
      </c>
      <c r="O13" s="27" t="inlineStr">
        <is>
          <t>949920810.0</t>
        </is>
      </c>
      <c r="P13" s="27" t="inlineStr">
        <is>
          <t>KRW</t>
        </is>
      </c>
      <c r="Q13" s="27" t="inlineStr">
        <is>
          <t>11</t>
        </is>
      </c>
    </row>
    <row r="14" ht="24" customHeight="1">
      <c r="A14" s="32" t="inlineStr">
        <is>
          <t>OpenDART_fnlttSinglAcntAll</t>
        </is>
      </c>
      <c r="B14" s="32" t="inlineStr">
        <is>
          <t>00118804</t>
        </is>
      </c>
      <c r="C14" s="32" t="inlineStr">
        <is>
          <t>동진쎄미켐</t>
        </is>
      </c>
      <c r="D14" s="32" t="inlineStr">
        <is>
          <t>dongjin_semichem</t>
        </is>
      </c>
      <c r="E14" s="32" t="inlineStr">
        <is>
          <t>005290</t>
        </is>
      </c>
      <c r="F14" s="32" t="inlineStr">
        <is>
          <t>2021</t>
        </is>
      </c>
      <c r="G14" s="32" t="inlineStr">
        <is>
          <t>CFS</t>
        </is>
      </c>
      <c r="H14" s="32" t="inlineStr">
        <is>
          <t>BS</t>
        </is>
      </c>
      <c r="I14" s="32" t="inlineStr">
        <is>
          <t>재무상태표</t>
        </is>
      </c>
      <c r="J14" s="32" t="inlineStr">
        <is>
          <t>ifrs-full_InvestmentsInSubsidiariesJointVenturesAndAssociates</t>
        </is>
      </c>
      <c r="K14" s="32" t="inlineStr">
        <is>
          <t>관계기업투자</t>
        </is>
      </c>
      <c r="L14" s="32" t="inlineStr">
        <is>
          <t>-</t>
        </is>
      </c>
      <c r="M14" s="32" t="inlineStr">
        <is>
          <t>제 49 기</t>
        </is>
      </c>
      <c r="N14" s="32" t="inlineStr">
        <is>
          <t>13179160712.0</t>
        </is>
      </c>
      <c r="O14" s="32" t="inlineStr">
        <is>
          <t>11630564942.0</t>
        </is>
      </c>
      <c r="P14" s="32" t="inlineStr">
        <is>
          <t>KRW</t>
        </is>
      </c>
      <c r="Q14" s="32" t="inlineStr">
        <is>
          <t>12</t>
        </is>
      </c>
    </row>
    <row r="15" ht="24" customHeight="1">
      <c r="A15" s="27" t="inlineStr">
        <is>
          <t>OpenDART_fnlttSinglAcntAll</t>
        </is>
      </c>
      <c r="B15" s="27" t="inlineStr">
        <is>
          <t>00118804</t>
        </is>
      </c>
      <c r="C15" s="27" t="inlineStr">
        <is>
          <t>동진쎄미켐</t>
        </is>
      </c>
      <c r="D15" s="27" t="inlineStr">
        <is>
          <t>dongjin_semichem</t>
        </is>
      </c>
      <c r="E15" s="27" t="inlineStr">
        <is>
          <t>005290</t>
        </is>
      </c>
      <c r="F15" s="27" t="inlineStr">
        <is>
          <t>2021</t>
        </is>
      </c>
      <c r="G15" s="27" t="inlineStr">
        <is>
          <t>CFS</t>
        </is>
      </c>
      <c r="H15" s="27" t="inlineStr">
        <is>
          <t>BS</t>
        </is>
      </c>
      <c r="I15" s="27" t="inlineStr">
        <is>
          <t>재무상태표</t>
        </is>
      </c>
      <c r="J15" s="27" t="inlineStr">
        <is>
          <t>-표준계정코드 미사용-</t>
        </is>
      </c>
      <c r="K15" s="27" t="inlineStr">
        <is>
          <t>장기파생금융자산</t>
        </is>
      </c>
      <c r="L15" s="27" t="inlineStr">
        <is>
          <t>-</t>
        </is>
      </c>
      <c r="M15" s="27" t="inlineStr">
        <is>
          <t>제 49 기</t>
        </is>
      </c>
      <c r="N15" s="27" t="inlineStr">
        <is>
          <t>1609839.0</t>
        </is>
      </c>
      <c r="O15" s="27" t="inlineStr">
        <is>
          <t>0.0</t>
        </is>
      </c>
      <c r="P15" s="27" t="inlineStr">
        <is>
          <t>KRW</t>
        </is>
      </c>
      <c r="Q15" s="27" t="inlineStr">
        <is>
          <t>13</t>
        </is>
      </c>
    </row>
    <row r="16" ht="24" customHeight="1">
      <c r="A16" s="32" t="inlineStr">
        <is>
          <t>OpenDART_fnlttSinglAcntAll</t>
        </is>
      </c>
      <c r="B16" s="32" t="inlineStr">
        <is>
          <t>00118804</t>
        </is>
      </c>
      <c r="C16" s="32" t="inlineStr">
        <is>
          <t>동진쎄미켐</t>
        </is>
      </c>
      <c r="D16" s="32" t="inlineStr">
        <is>
          <t>dongjin_semichem</t>
        </is>
      </c>
      <c r="E16" s="32" t="inlineStr">
        <is>
          <t>005290</t>
        </is>
      </c>
      <c r="F16" s="32" t="inlineStr">
        <is>
          <t>2021</t>
        </is>
      </c>
      <c r="G16" s="32" t="inlineStr">
        <is>
          <t>CFS</t>
        </is>
      </c>
      <c r="H16" s="32" t="inlineStr">
        <is>
          <t>BS</t>
        </is>
      </c>
      <c r="I16" s="32" t="inlineStr">
        <is>
          <t>재무상태표</t>
        </is>
      </c>
      <c r="J16" s="32" t="inlineStr">
        <is>
          <t>dart_LongTermTradeAndOtherNonCurrentReceivablesGross</t>
        </is>
      </c>
      <c r="K16" s="32" t="inlineStr">
        <is>
          <t>장기매출채권 및 기타채권</t>
        </is>
      </c>
      <c r="L16" s="32" t="inlineStr">
        <is>
          <t>-</t>
        </is>
      </c>
      <c r="M16" s="32" t="inlineStr">
        <is>
          <t>제 49 기</t>
        </is>
      </c>
      <c r="N16" s="32" t="inlineStr">
        <is>
          <t>3896675891.0</t>
        </is>
      </c>
      <c r="O16" s="32" t="inlineStr">
        <is>
          <t>4880989940.0</t>
        </is>
      </c>
      <c r="P16" s="32" t="inlineStr">
        <is>
          <t>KRW</t>
        </is>
      </c>
      <c r="Q16" s="32" t="inlineStr">
        <is>
          <t>14</t>
        </is>
      </c>
    </row>
    <row r="17" ht="24" customHeight="1">
      <c r="A17" s="27" t="inlineStr">
        <is>
          <t>OpenDART_fnlttSinglAcntAll</t>
        </is>
      </c>
      <c r="B17" s="27" t="inlineStr">
        <is>
          <t>00118804</t>
        </is>
      </c>
      <c r="C17" s="27" t="inlineStr">
        <is>
          <t>동진쎄미켐</t>
        </is>
      </c>
      <c r="D17" s="27" t="inlineStr">
        <is>
          <t>dongjin_semichem</t>
        </is>
      </c>
      <c r="E17" s="27" t="inlineStr">
        <is>
          <t>005290</t>
        </is>
      </c>
      <c r="F17" s="27" t="inlineStr">
        <is>
          <t>2021</t>
        </is>
      </c>
      <c r="G17" s="27" t="inlineStr">
        <is>
          <t>CFS</t>
        </is>
      </c>
      <c r="H17" s="27" t="inlineStr">
        <is>
          <t>BS</t>
        </is>
      </c>
      <c r="I17" s="27" t="inlineStr">
        <is>
          <t>재무상태표</t>
        </is>
      </c>
      <c r="J17" s="27" t="inlineStr">
        <is>
          <t>ifrs-full_PropertyPlantAndEquipment</t>
        </is>
      </c>
      <c r="K17" s="27" t="inlineStr">
        <is>
          <t>유형자산</t>
        </is>
      </c>
      <c r="L17" s="27" t="inlineStr">
        <is>
          <t>-</t>
        </is>
      </c>
      <c r="M17" s="27" t="inlineStr">
        <is>
          <t>제 49 기</t>
        </is>
      </c>
      <c r="N17" s="27" t="inlineStr">
        <is>
          <t>448396899393.0</t>
        </is>
      </c>
      <c r="O17" s="27" t="inlineStr">
        <is>
          <t>373505027451.0</t>
        </is>
      </c>
      <c r="P17" s="27" t="inlineStr">
        <is>
          <t>KRW</t>
        </is>
      </c>
      <c r="Q17" s="27" t="inlineStr">
        <is>
          <t>15</t>
        </is>
      </c>
    </row>
    <row r="18" ht="24" customHeight="1">
      <c r="A18" s="32" t="inlineStr">
        <is>
          <t>OpenDART_fnlttSinglAcntAll</t>
        </is>
      </c>
      <c r="B18" s="32" t="inlineStr">
        <is>
          <t>00118804</t>
        </is>
      </c>
      <c r="C18" s="32" t="inlineStr">
        <is>
          <t>동진쎄미켐</t>
        </is>
      </c>
      <c r="D18" s="32" t="inlineStr">
        <is>
          <t>dongjin_semichem</t>
        </is>
      </c>
      <c r="E18" s="32" t="inlineStr">
        <is>
          <t>005290</t>
        </is>
      </c>
      <c r="F18" s="32" t="inlineStr">
        <is>
          <t>2021</t>
        </is>
      </c>
      <c r="G18" s="32" t="inlineStr">
        <is>
          <t>CFS</t>
        </is>
      </c>
      <c r="H18" s="32" t="inlineStr">
        <is>
          <t>BS</t>
        </is>
      </c>
      <c r="I18" s="32" t="inlineStr">
        <is>
          <t>재무상태표</t>
        </is>
      </c>
      <c r="J18" s="32" t="inlineStr">
        <is>
          <t>ifrs-full_InvestmentProperty</t>
        </is>
      </c>
      <c r="K18" s="32" t="inlineStr">
        <is>
          <t>투자부동산</t>
        </is>
      </c>
      <c r="L18" s="32" t="inlineStr">
        <is>
          <t>-</t>
        </is>
      </c>
      <c r="M18" s="32" t="inlineStr">
        <is>
          <t>제 49 기</t>
        </is>
      </c>
      <c r="N18" s="32" t="inlineStr">
        <is>
          <t>5429023139.0</t>
        </is>
      </c>
      <c r="O18" s="32" t="inlineStr">
        <is>
          <t>5542679507.0</t>
        </is>
      </c>
      <c r="P18" s="32" t="inlineStr">
        <is>
          <t>KRW</t>
        </is>
      </c>
      <c r="Q18" s="32" t="inlineStr">
        <is>
          <t>16</t>
        </is>
      </c>
    </row>
    <row r="19" ht="24" customHeight="1">
      <c r="A19" s="27" t="inlineStr">
        <is>
          <t>OpenDART_fnlttSinglAcntAll</t>
        </is>
      </c>
      <c r="B19" s="27" t="inlineStr">
        <is>
          <t>00118804</t>
        </is>
      </c>
      <c r="C19" s="27" t="inlineStr">
        <is>
          <t>동진쎄미켐</t>
        </is>
      </c>
      <c r="D19" s="27" t="inlineStr">
        <is>
          <t>dongjin_semichem</t>
        </is>
      </c>
      <c r="E19" s="27" t="inlineStr">
        <is>
          <t>005290</t>
        </is>
      </c>
      <c r="F19" s="27" t="inlineStr">
        <is>
          <t>2021</t>
        </is>
      </c>
      <c r="G19" s="27" t="inlineStr">
        <is>
          <t>CFS</t>
        </is>
      </c>
      <c r="H19" s="27" t="inlineStr">
        <is>
          <t>BS</t>
        </is>
      </c>
      <c r="I19" s="27" t="inlineStr">
        <is>
          <t>재무상태표</t>
        </is>
      </c>
      <c r="J19" s="27" t="inlineStr">
        <is>
          <t>ifrs-full_IntangibleAssetsOtherThanGoodwill</t>
        </is>
      </c>
      <c r="K19" s="27" t="inlineStr">
        <is>
          <t>무형자산</t>
        </is>
      </c>
      <c r="L19" s="27" t="inlineStr">
        <is>
          <t>-</t>
        </is>
      </c>
      <c r="M19" s="27" t="inlineStr">
        <is>
          <t>제 49 기</t>
        </is>
      </c>
      <c r="N19" s="27" t="inlineStr">
        <is>
          <t>8405290656.0</t>
        </is>
      </c>
      <c r="O19" s="27" t="inlineStr">
        <is>
          <t>20527284809.0</t>
        </is>
      </c>
      <c r="P19" s="27" t="inlineStr">
        <is>
          <t>KRW</t>
        </is>
      </c>
      <c r="Q19" s="27" t="inlineStr">
        <is>
          <t>17</t>
        </is>
      </c>
    </row>
    <row r="20" ht="24" customHeight="1">
      <c r="A20" s="32" t="inlineStr">
        <is>
          <t>OpenDART_fnlttSinglAcntAll</t>
        </is>
      </c>
      <c r="B20" s="32" t="inlineStr">
        <is>
          <t>00118804</t>
        </is>
      </c>
      <c r="C20" s="32" t="inlineStr">
        <is>
          <t>동진쎄미켐</t>
        </is>
      </c>
      <c r="D20" s="32" t="inlineStr">
        <is>
          <t>dongjin_semichem</t>
        </is>
      </c>
      <c r="E20" s="32" t="inlineStr">
        <is>
          <t>005290</t>
        </is>
      </c>
      <c r="F20" s="32" t="inlineStr">
        <is>
          <t>2021</t>
        </is>
      </c>
      <c r="G20" s="32" t="inlineStr">
        <is>
          <t>CFS</t>
        </is>
      </c>
      <c r="H20" s="32" t="inlineStr">
        <is>
          <t>BS</t>
        </is>
      </c>
      <c r="I20" s="32" t="inlineStr">
        <is>
          <t>재무상태표</t>
        </is>
      </c>
      <c r="J20" s="32" t="inlineStr">
        <is>
          <t>ifrs-full_DeferredTaxAssets</t>
        </is>
      </c>
      <c r="K20" s="32" t="inlineStr">
        <is>
          <t>이연법인세자산</t>
        </is>
      </c>
      <c r="L20" s="32" t="inlineStr">
        <is>
          <t>-</t>
        </is>
      </c>
      <c r="M20" s="32" t="inlineStr">
        <is>
          <t>제 49 기</t>
        </is>
      </c>
      <c r="N20" s="32" t="inlineStr">
        <is>
          <t>15021717561.0</t>
        </is>
      </c>
      <c r="O20" s="32" t="inlineStr">
        <is>
          <t>15878630536.0</t>
        </is>
      </c>
      <c r="P20" s="32" t="inlineStr">
        <is>
          <t>KRW</t>
        </is>
      </c>
      <c r="Q20" s="32" t="inlineStr">
        <is>
          <t>18</t>
        </is>
      </c>
    </row>
    <row r="21" ht="24" customHeight="1">
      <c r="A21" s="27" t="inlineStr">
        <is>
          <t>OpenDART_fnlttSinglAcntAll</t>
        </is>
      </c>
      <c r="B21" s="27" t="inlineStr">
        <is>
          <t>00118804</t>
        </is>
      </c>
      <c r="C21" s="27" t="inlineStr">
        <is>
          <t>동진쎄미켐</t>
        </is>
      </c>
      <c r="D21" s="27" t="inlineStr">
        <is>
          <t>dongjin_semichem</t>
        </is>
      </c>
      <c r="E21" s="27" t="inlineStr">
        <is>
          <t>005290</t>
        </is>
      </c>
      <c r="F21" s="27" t="inlineStr">
        <is>
          <t>2021</t>
        </is>
      </c>
      <c r="G21" s="27" t="inlineStr">
        <is>
          <t>CFS</t>
        </is>
      </c>
      <c r="H21" s="27" t="inlineStr">
        <is>
          <t>BS</t>
        </is>
      </c>
      <c r="I21" s="27" t="inlineStr">
        <is>
          <t>재무상태표</t>
        </is>
      </c>
      <c r="J21" s="27" t="inlineStr">
        <is>
          <t>dart_OtherNonCurrentAssets</t>
        </is>
      </c>
      <c r="K21" s="27" t="inlineStr">
        <is>
          <t>기타비유동자산</t>
        </is>
      </c>
      <c r="L21" s="27" t="inlineStr">
        <is>
          <t>-</t>
        </is>
      </c>
      <c r="M21" s="27" t="inlineStr">
        <is>
          <t>제 49 기</t>
        </is>
      </c>
      <c r="N21" s="27" t="inlineStr">
        <is>
          <t>274747264.0</t>
        </is>
      </c>
      <c r="O21" s="27" t="inlineStr">
        <is>
          <t>226858207.0</t>
        </is>
      </c>
      <c r="P21" s="27" t="inlineStr">
        <is>
          <t>KRW</t>
        </is>
      </c>
      <c r="Q21" s="27" t="inlineStr">
        <is>
          <t>19</t>
        </is>
      </c>
    </row>
    <row r="22" ht="24" customHeight="1">
      <c r="A22" s="32" t="inlineStr">
        <is>
          <t>OpenDART_fnlttSinglAcntAll</t>
        </is>
      </c>
      <c r="B22" s="32" t="inlineStr">
        <is>
          <t>00118804</t>
        </is>
      </c>
      <c r="C22" s="32" t="inlineStr">
        <is>
          <t>동진쎄미켐</t>
        </is>
      </c>
      <c r="D22" s="32" t="inlineStr">
        <is>
          <t>dongjin_semichem</t>
        </is>
      </c>
      <c r="E22" s="32" t="inlineStr">
        <is>
          <t>005290</t>
        </is>
      </c>
      <c r="F22" s="32" t="inlineStr">
        <is>
          <t>2021</t>
        </is>
      </c>
      <c r="G22" s="32" t="inlineStr">
        <is>
          <t>CFS</t>
        </is>
      </c>
      <c r="H22" s="32" t="inlineStr">
        <is>
          <t>BS</t>
        </is>
      </c>
      <c r="I22" s="32" t="inlineStr">
        <is>
          <t>재무상태표</t>
        </is>
      </c>
      <c r="J22" s="32" t="inlineStr">
        <is>
          <t>ifrs-full_Assets</t>
        </is>
      </c>
      <c r="K22" s="32" t="inlineStr">
        <is>
          <t>자산총계</t>
        </is>
      </c>
      <c r="L22" s="32" t="inlineStr">
        <is>
          <t>-</t>
        </is>
      </c>
      <c r="M22" s="32" t="inlineStr">
        <is>
          <t>제 49 기</t>
        </is>
      </c>
      <c r="N22" s="32" t="inlineStr">
        <is>
          <t>1186189143728.0</t>
        </is>
      </c>
      <c r="O22" s="32" t="inlineStr">
        <is>
          <t>960791826390.0</t>
        </is>
      </c>
      <c r="P22" s="32" t="inlineStr">
        <is>
          <t>KRW</t>
        </is>
      </c>
      <c r="Q22" s="32" t="inlineStr">
        <is>
          <t>20</t>
        </is>
      </c>
    </row>
    <row r="23" ht="24" customHeight="1">
      <c r="A23" s="27" t="inlineStr">
        <is>
          <t>OpenDART_fnlttSinglAcntAll</t>
        </is>
      </c>
      <c r="B23" s="27" t="inlineStr">
        <is>
          <t>00118804</t>
        </is>
      </c>
      <c r="C23" s="27" t="inlineStr">
        <is>
          <t>동진쎄미켐</t>
        </is>
      </c>
      <c r="D23" s="27" t="inlineStr">
        <is>
          <t>dongjin_semichem</t>
        </is>
      </c>
      <c r="E23" s="27" t="inlineStr">
        <is>
          <t>005290</t>
        </is>
      </c>
      <c r="F23" s="27" t="inlineStr">
        <is>
          <t>2021</t>
        </is>
      </c>
      <c r="G23" s="27" t="inlineStr">
        <is>
          <t>CFS</t>
        </is>
      </c>
      <c r="H23" s="27" t="inlineStr">
        <is>
          <t>BS</t>
        </is>
      </c>
      <c r="I23" s="27" t="inlineStr">
        <is>
          <t>재무상태표</t>
        </is>
      </c>
      <c r="J23" s="27" t="inlineStr">
        <is>
          <t>ifrs-full_CurrentLiabilities</t>
        </is>
      </c>
      <c r="K23" s="27" t="inlineStr">
        <is>
          <t>유동부채</t>
        </is>
      </c>
      <c r="L23" s="27" t="inlineStr">
        <is>
          <t>-</t>
        </is>
      </c>
      <c r="M23" s="27" t="inlineStr">
        <is>
          <t>제 49 기</t>
        </is>
      </c>
      <c r="N23" s="27" t="inlineStr">
        <is>
          <t>458726304524.0</t>
        </is>
      </c>
      <c r="O23" s="27" t="inlineStr">
        <is>
          <t>398740979533.0</t>
        </is>
      </c>
      <c r="P23" s="27" t="inlineStr">
        <is>
          <t>KRW</t>
        </is>
      </c>
      <c r="Q23" s="27" t="inlineStr">
        <is>
          <t>22</t>
        </is>
      </c>
    </row>
    <row r="24" ht="24" customHeight="1">
      <c r="A24" s="32" t="inlineStr">
        <is>
          <t>OpenDART_fnlttSinglAcntAll</t>
        </is>
      </c>
      <c r="B24" s="32" t="inlineStr">
        <is>
          <t>00118804</t>
        </is>
      </c>
      <c r="C24" s="32" t="inlineStr">
        <is>
          <t>동진쎄미켐</t>
        </is>
      </c>
      <c r="D24" s="32" t="inlineStr">
        <is>
          <t>dongjin_semichem</t>
        </is>
      </c>
      <c r="E24" s="32" t="inlineStr">
        <is>
          <t>005290</t>
        </is>
      </c>
      <c r="F24" s="32" t="inlineStr">
        <is>
          <t>2021</t>
        </is>
      </c>
      <c r="G24" s="32" t="inlineStr">
        <is>
          <t>CFS</t>
        </is>
      </c>
      <c r="H24" s="32" t="inlineStr">
        <is>
          <t>BS</t>
        </is>
      </c>
      <c r="I24" s="32" t="inlineStr">
        <is>
          <t>재무상태표</t>
        </is>
      </c>
      <c r="J24" s="32" t="inlineStr">
        <is>
          <t>ifrs-full_TradeAndOtherCurrentPayables</t>
        </is>
      </c>
      <c r="K24" s="32" t="inlineStr">
        <is>
          <t>매입채무 및 기타채무</t>
        </is>
      </c>
      <c r="L24" s="32" t="inlineStr">
        <is>
          <t>-</t>
        </is>
      </c>
      <c r="M24" s="32" t="inlineStr">
        <is>
          <t>제 49 기</t>
        </is>
      </c>
      <c r="N24" s="32" t="inlineStr">
        <is>
          <t>128941924469.0</t>
        </is>
      </c>
      <c r="O24" s="32" t="inlineStr">
        <is>
          <t>84024200651.0</t>
        </is>
      </c>
      <c r="P24" s="32" t="inlineStr">
        <is>
          <t>KRW</t>
        </is>
      </c>
      <c r="Q24" s="32" t="inlineStr">
        <is>
          <t>23</t>
        </is>
      </c>
    </row>
    <row r="25" ht="24" customHeight="1">
      <c r="A25" s="27" t="inlineStr">
        <is>
          <t>OpenDART_fnlttSinglAcntAll</t>
        </is>
      </c>
      <c r="B25" s="27" t="inlineStr">
        <is>
          <t>00118804</t>
        </is>
      </c>
      <c r="C25" s="27" t="inlineStr">
        <is>
          <t>동진쎄미켐</t>
        </is>
      </c>
      <c r="D25" s="27" t="inlineStr">
        <is>
          <t>dongjin_semichem</t>
        </is>
      </c>
      <c r="E25" s="27" t="inlineStr">
        <is>
          <t>005290</t>
        </is>
      </c>
      <c r="F25" s="27" t="inlineStr">
        <is>
          <t>2021</t>
        </is>
      </c>
      <c r="G25" s="27" t="inlineStr">
        <is>
          <t>CFS</t>
        </is>
      </c>
      <c r="H25" s="27" t="inlineStr">
        <is>
          <t>BS</t>
        </is>
      </c>
      <c r="I25" s="27" t="inlineStr">
        <is>
          <t>재무상태표</t>
        </is>
      </c>
      <c r="J25" s="27" t="inlineStr">
        <is>
          <t>ifrs-full_ShorttermBorrowings</t>
        </is>
      </c>
      <c r="K25" s="27" t="inlineStr">
        <is>
          <t>단기차입금</t>
        </is>
      </c>
      <c r="L25" s="27" t="inlineStr">
        <is>
          <t>-</t>
        </is>
      </c>
      <c r="M25" s="27" t="inlineStr">
        <is>
          <t>제 49 기</t>
        </is>
      </c>
      <c r="N25" s="27" t="inlineStr">
        <is>
          <t>285880903118.0</t>
        </is>
      </c>
      <c r="O25" s="27" t="inlineStr">
        <is>
          <t>277492409820.0</t>
        </is>
      </c>
      <c r="P25" s="27" t="inlineStr">
        <is>
          <t>KRW</t>
        </is>
      </c>
      <c r="Q25" s="27" t="inlineStr">
        <is>
          <t>24</t>
        </is>
      </c>
    </row>
    <row r="26" ht="24" customHeight="1">
      <c r="A26" s="32" t="inlineStr">
        <is>
          <t>OpenDART_fnlttSinglAcntAll</t>
        </is>
      </c>
      <c r="B26" s="32" t="inlineStr">
        <is>
          <t>00118804</t>
        </is>
      </c>
      <c r="C26" s="32" t="inlineStr">
        <is>
          <t>동진쎄미켐</t>
        </is>
      </c>
      <c r="D26" s="32" t="inlineStr">
        <is>
          <t>dongjin_semichem</t>
        </is>
      </c>
      <c r="E26" s="32" t="inlineStr">
        <is>
          <t>005290</t>
        </is>
      </c>
      <c r="F26" s="32" t="inlineStr">
        <is>
          <t>2021</t>
        </is>
      </c>
      <c r="G26" s="32" t="inlineStr">
        <is>
          <t>CFS</t>
        </is>
      </c>
      <c r="H26" s="32" t="inlineStr">
        <is>
          <t>BS</t>
        </is>
      </c>
      <c r="I26" s="32" t="inlineStr">
        <is>
          <t>재무상태표</t>
        </is>
      </c>
      <c r="J26" s="32" t="inlineStr">
        <is>
          <t>ifrs-full_CurrentTaxLiabilities</t>
        </is>
      </c>
      <c r="K26" s="32" t="inlineStr">
        <is>
          <t>당기법인세부채</t>
        </is>
      </c>
      <c r="L26" s="32" t="inlineStr">
        <is>
          <t>-</t>
        </is>
      </c>
      <c r="M26" s="32" t="inlineStr">
        <is>
          <t>제 49 기</t>
        </is>
      </c>
      <c r="N26" s="32" t="inlineStr">
        <is>
          <t>16007765131.0</t>
        </is>
      </c>
      <c r="O26" s="32" t="inlineStr">
        <is>
          <t>19734231154.0</t>
        </is>
      </c>
      <c r="P26" s="32" t="inlineStr">
        <is>
          <t>KRW</t>
        </is>
      </c>
      <c r="Q26" s="32" t="inlineStr">
        <is>
          <t>25</t>
        </is>
      </c>
    </row>
    <row r="27" ht="24" customHeight="1">
      <c r="A27" s="27" t="inlineStr">
        <is>
          <t>OpenDART_fnlttSinglAcntAll</t>
        </is>
      </c>
      <c r="B27" s="27" t="inlineStr">
        <is>
          <t>00118804</t>
        </is>
      </c>
      <c r="C27" s="27" t="inlineStr">
        <is>
          <t>동진쎄미켐</t>
        </is>
      </c>
      <c r="D27" s="27" t="inlineStr">
        <is>
          <t>dongjin_semichem</t>
        </is>
      </c>
      <c r="E27" s="27" t="inlineStr">
        <is>
          <t>005290</t>
        </is>
      </c>
      <c r="F27" s="27" t="inlineStr">
        <is>
          <t>2021</t>
        </is>
      </c>
      <c r="G27" s="27" t="inlineStr">
        <is>
          <t>CFS</t>
        </is>
      </c>
      <c r="H27" s="27" t="inlineStr">
        <is>
          <t>BS</t>
        </is>
      </c>
      <c r="I27" s="27" t="inlineStr">
        <is>
          <t>재무상태표</t>
        </is>
      </c>
      <c r="J27" s="27" t="inlineStr">
        <is>
          <t>-표준계정코드 미사용-</t>
        </is>
      </c>
      <c r="K27" s="27" t="inlineStr">
        <is>
          <t>단기리스부채</t>
        </is>
      </c>
      <c r="L27" s="27" t="inlineStr">
        <is>
          <t>-</t>
        </is>
      </c>
      <c r="M27" s="27" t="inlineStr">
        <is>
          <t>제 49 기</t>
        </is>
      </c>
      <c r="N27" s="27" t="inlineStr">
        <is>
          <t>5630671853.0</t>
        </is>
      </c>
      <c r="O27" s="27" t="inlineStr">
        <is>
          <t>5478279161.0</t>
        </is>
      </c>
      <c r="P27" s="27" t="inlineStr">
        <is>
          <t>KRW</t>
        </is>
      </c>
      <c r="Q27" s="27" t="inlineStr">
        <is>
          <t>26</t>
        </is>
      </c>
    </row>
    <row r="28" ht="24" customHeight="1">
      <c r="A28" s="32" t="inlineStr">
        <is>
          <t>OpenDART_fnlttSinglAcntAll</t>
        </is>
      </c>
      <c r="B28" s="32" t="inlineStr">
        <is>
          <t>00118804</t>
        </is>
      </c>
      <c r="C28" s="32" t="inlineStr">
        <is>
          <t>동진쎄미켐</t>
        </is>
      </c>
      <c r="D28" s="32" t="inlineStr">
        <is>
          <t>dongjin_semichem</t>
        </is>
      </c>
      <c r="E28" s="32" t="inlineStr">
        <is>
          <t>005290</t>
        </is>
      </c>
      <c r="F28" s="32" t="inlineStr">
        <is>
          <t>2021</t>
        </is>
      </c>
      <c r="G28" s="32" t="inlineStr">
        <is>
          <t>CFS</t>
        </is>
      </c>
      <c r="H28" s="32" t="inlineStr">
        <is>
          <t>BS</t>
        </is>
      </c>
      <c r="I28" s="32" t="inlineStr">
        <is>
          <t>재무상태표</t>
        </is>
      </c>
      <c r="J28" s="32" t="inlineStr">
        <is>
          <t>dart_OtherCurrentLiabilities</t>
        </is>
      </c>
      <c r="K28" s="32" t="inlineStr">
        <is>
          <t>기타유동부채</t>
        </is>
      </c>
      <c r="L28" s="32" t="inlineStr">
        <is>
          <t>-</t>
        </is>
      </c>
      <c r="M28" s="32" t="inlineStr">
        <is>
          <t>제 49 기</t>
        </is>
      </c>
      <c r="N28" s="32" t="inlineStr">
        <is>
          <t>22265039953.0</t>
        </is>
      </c>
      <c r="O28" s="32" t="inlineStr">
        <is>
          <t>12011858747.0</t>
        </is>
      </c>
      <c r="P28" s="32" t="inlineStr">
        <is>
          <t>KRW</t>
        </is>
      </c>
      <c r="Q28" s="32" t="inlineStr">
        <is>
          <t>27</t>
        </is>
      </c>
    </row>
    <row r="29" ht="24" customHeight="1">
      <c r="A29" s="27" t="inlineStr">
        <is>
          <t>OpenDART_fnlttSinglAcntAll</t>
        </is>
      </c>
      <c r="B29" s="27" t="inlineStr">
        <is>
          <t>00118804</t>
        </is>
      </c>
      <c r="C29" s="27" t="inlineStr">
        <is>
          <t>동진쎄미켐</t>
        </is>
      </c>
      <c r="D29" s="27" t="inlineStr">
        <is>
          <t>dongjin_semichem</t>
        </is>
      </c>
      <c r="E29" s="27" t="inlineStr">
        <is>
          <t>005290</t>
        </is>
      </c>
      <c r="F29" s="27" t="inlineStr">
        <is>
          <t>2021</t>
        </is>
      </c>
      <c r="G29" s="27" t="inlineStr">
        <is>
          <t>CFS</t>
        </is>
      </c>
      <c r="H29" s="27" t="inlineStr">
        <is>
          <t>BS</t>
        </is>
      </c>
      <c r="I29" s="27" t="inlineStr">
        <is>
          <t>재무상태표</t>
        </is>
      </c>
      <c r="J29" s="27" t="inlineStr">
        <is>
          <t>ifrs-full_NoncurrentLiabilities</t>
        </is>
      </c>
      <c r="K29" s="27" t="inlineStr">
        <is>
          <t>비유동부채</t>
        </is>
      </c>
      <c r="L29" s="27" t="inlineStr">
        <is>
          <t>-</t>
        </is>
      </c>
      <c r="M29" s="27" t="inlineStr">
        <is>
          <t>제 49 기</t>
        </is>
      </c>
      <c r="N29" s="27" t="inlineStr">
        <is>
          <t>166429339249.0</t>
        </is>
      </c>
      <c r="O29" s="27" t="inlineStr">
        <is>
          <t>124042572085.0</t>
        </is>
      </c>
      <c r="P29" s="27" t="inlineStr">
        <is>
          <t>KRW</t>
        </is>
      </c>
      <c r="Q29" s="27" t="inlineStr">
        <is>
          <t>28</t>
        </is>
      </c>
    </row>
    <row r="30" ht="24" customHeight="1">
      <c r="A30" s="32" t="inlineStr">
        <is>
          <t>OpenDART_fnlttSinglAcntAll</t>
        </is>
      </c>
      <c r="B30" s="32" t="inlineStr">
        <is>
          <t>00118804</t>
        </is>
      </c>
      <c r="C30" s="32" t="inlineStr">
        <is>
          <t>동진쎄미켐</t>
        </is>
      </c>
      <c r="D30" s="32" t="inlineStr">
        <is>
          <t>dongjin_semichem</t>
        </is>
      </c>
      <c r="E30" s="32" t="inlineStr">
        <is>
          <t>005290</t>
        </is>
      </c>
      <c r="F30" s="32" t="inlineStr">
        <is>
          <t>2021</t>
        </is>
      </c>
      <c r="G30" s="32" t="inlineStr">
        <is>
          <t>CFS</t>
        </is>
      </c>
      <c r="H30" s="32" t="inlineStr">
        <is>
          <t>BS</t>
        </is>
      </c>
      <c r="I30" s="32" t="inlineStr">
        <is>
          <t>재무상태표</t>
        </is>
      </c>
      <c r="J30" s="32" t="inlineStr">
        <is>
          <t>dart_LongTermTradeAndOtherNonCurrentPayables</t>
        </is>
      </c>
      <c r="K30" s="32" t="inlineStr">
        <is>
          <t>장기매입채무 및 기타채무</t>
        </is>
      </c>
      <c r="L30" s="32" t="inlineStr">
        <is>
          <t>-</t>
        </is>
      </c>
      <c r="M30" s="32" t="inlineStr">
        <is>
          <t>제 49 기</t>
        </is>
      </c>
      <c r="N30" s="32" t="inlineStr">
        <is>
          <t>383391670.0</t>
        </is>
      </c>
      <c r="O30" s="32" t="inlineStr">
        <is>
          <t>332841203.0</t>
        </is>
      </c>
      <c r="P30" s="32" t="inlineStr">
        <is>
          <t>KRW</t>
        </is>
      </c>
      <c r="Q30" s="32" t="inlineStr">
        <is>
          <t>29</t>
        </is>
      </c>
    </row>
    <row r="31" ht="24" customHeight="1">
      <c r="A31" s="27" t="inlineStr">
        <is>
          <t>OpenDART_fnlttSinglAcntAll</t>
        </is>
      </c>
      <c r="B31" s="27" t="inlineStr">
        <is>
          <t>00118804</t>
        </is>
      </c>
      <c r="C31" s="27" t="inlineStr">
        <is>
          <t>동진쎄미켐</t>
        </is>
      </c>
      <c r="D31" s="27" t="inlineStr">
        <is>
          <t>dongjin_semichem</t>
        </is>
      </c>
      <c r="E31" s="27" t="inlineStr">
        <is>
          <t>005290</t>
        </is>
      </c>
      <c r="F31" s="27" t="inlineStr">
        <is>
          <t>2021</t>
        </is>
      </c>
      <c r="G31" s="27" t="inlineStr">
        <is>
          <t>CFS</t>
        </is>
      </c>
      <c r="H31" s="27" t="inlineStr">
        <is>
          <t>BS</t>
        </is>
      </c>
      <c r="I31" s="27" t="inlineStr">
        <is>
          <t>재무상태표</t>
        </is>
      </c>
      <c r="J31" s="27" t="inlineStr">
        <is>
          <t>dart_LongTermBorrowingsGross</t>
        </is>
      </c>
      <c r="K31" s="27" t="inlineStr">
        <is>
          <t>장기차입금</t>
        </is>
      </c>
      <c r="L31" s="27" t="inlineStr">
        <is>
          <t>-</t>
        </is>
      </c>
      <c r="M31" s="27" t="inlineStr">
        <is>
          <t>제 49 기</t>
        </is>
      </c>
      <c r="N31" s="27" t="inlineStr">
        <is>
          <t>138179785614.0</t>
        </is>
      </c>
      <c r="O31" s="27" t="inlineStr">
        <is>
          <t>90764259928.0</t>
        </is>
      </c>
      <c r="P31" s="27" t="inlineStr">
        <is>
          <t>KRW</t>
        </is>
      </c>
      <c r="Q31" s="27" t="inlineStr">
        <is>
          <t>30</t>
        </is>
      </c>
    </row>
    <row r="32" ht="24" customHeight="1">
      <c r="A32" s="32" t="inlineStr">
        <is>
          <t>OpenDART_fnlttSinglAcntAll</t>
        </is>
      </c>
      <c r="B32" s="32" t="inlineStr">
        <is>
          <t>00118804</t>
        </is>
      </c>
      <c r="C32" s="32" t="inlineStr">
        <is>
          <t>동진쎄미켐</t>
        </is>
      </c>
      <c r="D32" s="32" t="inlineStr">
        <is>
          <t>dongjin_semichem</t>
        </is>
      </c>
      <c r="E32" s="32" t="inlineStr">
        <is>
          <t>005290</t>
        </is>
      </c>
      <c r="F32" s="32" t="inlineStr">
        <is>
          <t>2021</t>
        </is>
      </c>
      <c r="G32" s="32" t="inlineStr">
        <is>
          <t>CFS</t>
        </is>
      </c>
      <c r="H32" s="32" t="inlineStr">
        <is>
          <t>BS</t>
        </is>
      </c>
      <c r="I32" s="32" t="inlineStr">
        <is>
          <t>재무상태표</t>
        </is>
      </c>
      <c r="J32" s="32" t="inlineStr">
        <is>
          <t>-표준계정코드 미사용-</t>
        </is>
      </c>
      <c r="K32" s="32" t="inlineStr">
        <is>
          <t>장기리스부채</t>
        </is>
      </c>
      <c r="L32" s="32" t="inlineStr">
        <is>
          <t>-</t>
        </is>
      </c>
      <c r="M32" s="32" t="inlineStr">
        <is>
          <t>제 49 기</t>
        </is>
      </c>
      <c r="N32" s="32" t="inlineStr">
        <is>
          <t>8955377169.0</t>
        </is>
      </c>
      <c r="O32" s="32" t="inlineStr">
        <is>
          <t>11297404351.0</t>
        </is>
      </c>
      <c r="P32" s="32" t="inlineStr">
        <is>
          <t>KRW</t>
        </is>
      </c>
      <c r="Q32" s="32" t="inlineStr">
        <is>
          <t>31</t>
        </is>
      </c>
    </row>
    <row r="33" ht="24" customHeight="1">
      <c r="A33" s="27" t="inlineStr">
        <is>
          <t>OpenDART_fnlttSinglAcntAll</t>
        </is>
      </c>
      <c r="B33" s="27" t="inlineStr">
        <is>
          <t>00118804</t>
        </is>
      </c>
      <c r="C33" s="27" t="inlineStr">
        <is>
          <t>동진쎄미켐</t>
        </is>
      </c>
      <c r="D33" s="27" t="inlineStr">
        <is>
          <t>dongjin_semichem</t>
        </is>
      </c>
      <c r="E33" s="27" t="inlineStr">
        <is>
          <t>005290</t>
        </is>
      </c>
      <c r="F33" s="27" t="inlineStr">
        <is>
          <t>2021</t>
        </is>
      </c>
      <c r="G33" s="27" t="inlineStr">
        <is>
          <t>CFS</t>
        </is>
      </c>
      <c r="H33" s="27" t="inlineStr">
        <is>
          <t>BS</t>
        </is>
      </c>
      <c r="I33" s="27" t="inlineStr">
        <is>
          <t>재무상태표</t>
        </is>
      </c>
      <c r="J33" s="27" t="inlineStr">
        <is>
          <t>dart_PostemploymentBenefitObligations</t>
        </is>
      </c>
      <c r="K33" s="27" t="inlineStr">
        <is>
          <t>순확정급여부채</t>
        </is>
      </c>
      <c r="L33" s="27" t="inlineStr">
        <is>
          <t>-</t>
        </is>
      </c>
      <c r="M33" s="27" t="inlineStr">
        <is>
          <t>제 49 기</t>
        </is>
      </c>
      <c r="N33" s="27" t="inlineStr">
        <is>
          <t>17984183235.0</t>
        </is>
      </c>
      <c r="O33" s="27" t="inlineStr">
        <is>
          <t>18748154907.0</t>
        </is>
      </c>
      <c r="P33" s="27" t="inlineStr">
        <is>
          <t>KRW</t>
        </is>
      </c>
      <c r="Q33" s="27" t="inlineStr">
        <is>
          <t>32</t>
        </is>
      </c>
    </row>
    <row r="34" ht="24" customHeight="1">
      <c r="A34" s="32" t="inlineStr">
        <is>
          <t>OpenDART_fnlttSinglAcntAll</t>
        </is>
      </c>
      <c r="B34" s="32" t="inlineStr">
        <is>
          <t>00118804</t>
        </is>
      </c>
      <c r="C34" s="32" t="inlineStr">
        <is>
          <t>동진쎄미켐</t>
        </is>
      </c>
      <c r="D34" s="32" t="inlineStr">
        <is>
          <t>dongjin_semichem</t>
        </is>
      </c>
      <c r="E34" s="32" t="inlineStr">
        <is>
          <t>005290</t>
        </is>
      </c>
      <c r="F34" s="32" t="inlineStr">
        <is>
          <t>2021</t>
        </is>
      </c>
      <c r="G34" s="32" t="inlineStr">
        <is>
          <t>CFS</t>
        </is>
      </c>
      <c r="H34" s="32" t="inlineStr">
        <is>
          <t>BS</t>
        </is>
      </c>
      <c r="I34" s="32" t="inlineStr">
        <is>
          <t>재무상태표</t>
        </is>
      </c>
      <c r="J34" s="32" t="inlineStr">
        <is>
          <t>dart_OtherNonCurrentLiabilities</t>
        </is>
      </c>
      <c r="K34" s="32" t="inlineStr">
        <is>
          <t>기타비유동부채</t>
        </is>
      </c>
      <c r="L34" s="32" t="inlineStr">
        <is>
          <t>-</t>
        </is>
      </c>
      <c r="M34" s="32" t="inlineStr">
        <is>
          <t>제 49 기</t>
        </is>
      </c>
      <c r="N34" s="32" t="inlineStr">
        <is>
          <t>926601561.0</t>
        </is>
      </c>
      <c r="O34" s="32" t="inlineStr">
        <is>
          <t>2899911696.0</t>
        </is>
      </c>
      <c r="P34" s="32" t="inlineStr">
        <is>
          <t>KRW</t>
        </is>
      </c>
      <c r="Q34" s="32" t="inlineStr">
        <is>
          <t>33</t>
        </is>
      </c>
    </row>
    <row r="35" ht="24" customHeight="1">
      <c r="A35" s="27" t="inlineStr">
        <is>
          <t>OpenDART_fnlttSinglAcntAll</t>
        </is>
      </c>
      <c r="B35" s="27" t="inlineStr">
        <is>
          <t>00118804</t>
        </is>
      </c>
      <c r="C35" s="27" t="inlineStr">
        <is>
          <t>동진쎄미켐</t>
        </is>
      </c>
      <c r="D35" s="27" t="inlineStr">
        <is>
          <t>dongjin_semichem</t>
        </is>
      </c>
      <c r="E35" s="27" t="inlineStr">
        <is>
          <t>005290</t>
        </is>
      </c>
      <c r="F35" s="27" t="inlineStr">
        <is>
          <t>2021</t>
        </is>
      </c>
      <c r="G35" s="27" t="inlineStr">
        <is>
          <t>CFS</t>
        </is>
      </c>
      <c r="H35" s="27" t="inlineStr">
        <is>
          <t>BS</t>
        </is>
      </c>
      <c r="I35" s="27" t="inlineStr">
        <is>
          <t>재무상태표</t>
        </is>
      </c>
      <c r="J35" s="27" t="inlineStr">
        <is>
          <t>ifrs-full_Liabilities</t>
        </is>
      </c>
      <c r="K35" s="27" t="inlineStr">
        <is>
          <t>부채총계</t>
        </is>
      </c>
      <c r="L35" s="27" t="inlineStr">
        <is>
          <t>-</t>
        </is>
      </c>
      <c r="M35" s="27" t="inlineStr">
        <is>
          <t>제 49 기</t>
        </is>
      </c>
      <c r="N35" s="27" t="inlineStr">
        <is>
          <t>625155643773.0</t>
        </is>
      </c>
      <c r="O35" s="27" t="inlineStr">
        <is>
          <t>522783551618.0</t>
        </is>
      </c>
      <c r="P35" s="27" t="inlineStr">
        <is>
          <t>KRW</t>
        </is>
      </c>
      <c r="Q35" s="27" t="inlineStr">
        <is>
          <t>34</t>
        </is>
      </c>
    </row>
    <row r="36" ht="24" customHeight="1">
      <c r="A36" s="32" t="inlineStr">
        <is>
          <t>OpenDART_fnlttSinglAcntAll</t>
        </is>
      </c>
      <c r="B36" s="32" t="inlineStr">
        <is>
          <t>00118804</t>
        </is>
      </c>
      <c r="C36" s="32" t="inlineStr">
        <is>
          <t>동진쎄미켐</t>
        </is>
      </c>
      <c r="D36" s="32" t="inlineStr">
        <is>
          <t>dongjin_semichem</t>
        </is>
      </c>
      <c r="E36" s="32" t="inlineStr">
        <is>
          <t>005290</t>
        </is>
      </c>
      <c r="F36" s="32" t="inlineStr">
        <is>
          <t>2021</t>
        </is>
      </c>
      <c r="G36" s="32" t="inlineStr">
        <is>
          <t>CFS</t>
        </is>
      </c>
      <c r="H36" s="32" t="inlineStr">
        <is>
          <t>BS</t>
        </is>
      </c>
      <c r="I36" s="32" t="inlineStr">
        <is>
          <t>재무상태표</t>
        </is>
      </c>
      <c r="J36" s="32" t="inlineStr">
        <is>
          <t>ifrs-full_EquityAttributableToOwnersOfParent</t>
        </is>
      </c>
      <c r="K36" s="32" t="inlineStr">
        <is>
          <t>지배기업의 소유주에게 귀속되는 자본</t>
        </is>
      </c>
      <c r="L36" s="32" t="inlineStr">
        <is>
          <t>-</t>
        </is>
      </c>
      <c r="M36" s="32" t="inlineStr">
        <is>
          <t>제 49 기</t>
        </is>
      </c>
      <c r="N36" s="32" t="inlineStr">
        <is>
          <t>553448496270.0</t>
        </is>
      </c>
      <c r="O36" s="32" t="inlineStr">
        <is>
          <t>433768312756.0</t>
        </is>
      </c>
      <c r="P36" s="32" t="inlineStr">
        <is>
          <t>KRW</t>
        </is>
      </c>
      <c r="Q36" s="32" t="inlineStr">
        <is>
          <t>36</t>
        </is>
      </c>
    </row>
    <row r="37" ht="24" customHeight="1">
      <c r="A37" s="27" t="inlineStr">
        <is>
          <t>OpenDART_fnlttSinglAcntAll</t>
        </is>
      </c>
      <c r="B37" s="27" t="inlineStr">
        <is>
          <t>00118804</t>
        </is>
      </c>
      <c r="C37" s="27" t="inlineStr">
        <is>
          <t>동진쎄미켐</t>
        </is>
      </c>
      <c r="D37" s="27" t="inlineStr">
        <is>
          <t>dongjin_semichem</t>
        </is>
      </c>
      <c r="E37" s="27" t="inlineStr">
        <is>
          <t>005290</t>
        </is>
      </c>
      <c r="F37" s="27" t="inlineStr">
        <is>
          <t>2021</t>
        </is>
      </c>
      <c r="G37" s="27" t="inlineStr">
        <is>
          <t>CFS</t>
        </is>
      </c>
      <c r="H37" s="27" t="inlineStr">
        <is>
          <t>BS</t>
        </is>
      </c>
      <c r="I37" s="27" t="inlineStr">
        <is>
          <t>재무상태표</t>
        </is>
      </c>
      <c r="J37" s="27" t="inlineStr">
        <is>
          <t>ifrs-full_IssuedCapital</t>
        </is>
      </c>
      <c r="K37" s="27" t="inlineStr">
        <is>
          <t>자본금</t>
        </is>
      </c>
      <c r="L37" s="27" t="inlineStr">
        <is>
          <t>-</t>
        </is>
      </c>
      <c r="M37" s="27" t="inlineStr">
        <is>
          <t>제 49 기</t>
        </is>
      </c>
      <c r="N37" s="27" t="inlineStr">
        <is>
          <t>25707247000.0</t>
        </is>
      </c>
      <c r="O37" s="27" t="inlineStr">
        <is>
          <t>25707247000.0</t>
        </is>
      </c>
      <c r="P37" s="27" t="inlineStr">
        <is>
          <t>KRW</t>
        </is>
      </c>
      <c r="Q37" s="27" t="inlineStr">
        <is>
          <t>37</t>
        </is>
      </c>
    </row>
    <row r="38" ht="24" customHeight="1">
      <c r="A38" s="32" t="inlineStr">
        <is>
          <t>OpenDART_fnlttSinglAcntAll</t>
        </is>
      </c>
      <c r="B38" s="32" t="inlineStr">
        <is>
          <t>00118804</t>
        </is>
      </c>
      <c r="C38" s="32" t="inlineStr">
        <is>
          <t>동진쎄미켐</t>
        </is>
      </c>
      <c r="D38" s="32" t="inlineStr">
        <is>
          <t>dongjin_semichem</t>
        </is>
      </c>
      <c r="E38" s="32" t="inlineStr">
        <is>
          <t>005290</t>
        </is>
      </c>
      <c r="F38" s="32" t="inlineStr">
        <is>
          <t>2021</t>
        </is>
      </c>
      <c r="G38" s="32" t="inlineStr">
        <is>
          <t>CFS</t>
        </is>
      </c>
      <c r="H38" s="32" t="inlineStr">
        <is>
          <t>BS</t>
        </is>
      </c>
      <c r="I38" s="32" t="inlineStr">
        <is>
          <t>재무상태표</t>
        </is>
      </c>
      <c r="J38" s="32" t="inlineStr">
        <is>
          <t>-표준계정코드 미사용-</t>
        </is>
      </c>
      <c r="K38" s="32" t="inlineStr">
        <is>
          <t>기타불입자본</t>
        </is>
      </c>
      <c r="L38" s="32" t="inlineStr">
        <is>
          <t>-</t>
        </is>
      </c>
      <c r="M38" s="32" t="inlineStr">
        <is>
          <t>제 49 기</t>
        </is>
      </c>
      <c r="N38" s="32" t="inlineStr">
        <is>
          <t>122997090161.0</t>
        </is>
      </c>
      <c r="O38" s="32" t="inlineStr">
        <is>
          <t>122318052912.0</t>
        </is>
      </c>
      <c r="P38" s="32" t="inlineStr">
        <is>
          <t>KRW</t>
        </is>
      </c>
      <c r="Q38" s="32" t="inlineStr">
        <is>
          <t>38</t>
        </is>
      </c>
    </row>
    <row r="39" ht="24" customHeight="1">
      <c r="A39" s="27" t="inlineStr">
        <is>
          <t>OpenDART_fnlttSinglAcntAll</t>
        </is>
      </c>
      <c r="B39" s="27" t="inlineStr">
        <is>
          <t>00118804</t>
        </is>
      </c>
      <c r="C39" s="27" t="inlineStr">
        <is>
          <t>동진쎄미켐</t>
        </is>
      </c>
      <c r="D39" s="27" t="inlineStr">
        <is>
          <t>dongjin_semichem</t>
        </is>
      </c>
      <c r="E39" s="27" t="inlineStr">
        <is>
          <t>005290</t>
        </is>
      </c>
      <c r="F39" s="27" t="inlineStr">
        <is>
          <t>2021</t>
        </is>
      </c>
      <c r="G39" s="27" t="inlineStr">
        <is>
          <t>CFS</t>
        </is>
      </c>
      <c r="H39" s="27" t="inlineStr">
        <is>
          <t>BS</t>
        </is>
      </c>
      <c r="I39" s="27" t="inlineStr">
        <is>
          <t>재무상태표</t>
        </is>
      </c>
      <c r="J39" s="27" t="inlineStr">
        <is>
          <t>dart_ElementsOfOtherStockholdersEquity</t>
        </is>
      </c>
      <c r="K39" s="27" t="inlineStr">
        <is>
          <t>기타자본구성요소</t>
        </is>
      </c>
      <c r="L39" s="27" t="inlineStr">
        <is>
          <t>-</t>
        </is>
      </c>
      <c r="M39" s="27" t="inlineStr">
        <is>
          <t>제 49 기</t>
        </is>
      </c>
      <c r="N39" s="27" t="inlineStr">
        <is>
          <t>36880548974.0</t>
        </is>
      </c>
      <c r="O39" s="27" t="inlineStr">
        <is>
          <t>13313790086.0</t>
        </is>
      </c>
      <c r="P39" s="27" t="inlineStr">
        <is>
          <t>KRW</t>
        </is>
      </c>
      <c r="Q39" s="27" t="inlineStr">
        <is>
          <t>39</t>
        </is>
      </c>
    </row>
    <row r="40" ht="24" customHeight="1">
      <c r="A40" s="32" t="inlineStr">
        <is>
          <t>OpenDART_fnlttSinglAcntAll</t>
        </is>
      </c>
      <c r="B40" s="32" t="inlineStr">
        <is>
          <t>00118804</t>
        </is>
      </c>
      <c r="C40" s="32" t="inlineStr">
        <is>
          <t>동진쎄미켐</t>
        </is>
      </c>
      <c r="D40" s="32" t="inlineStr">
        <is>
          <t>dongjin_semichem</t>
        </is>
      </c>
      <c r="E40" s="32" t="inlineStr">
        <is>
          <t>005290</t>
        </is>
      </c>
      <c r="F40" s="32" t="inlineStr">
        <is>
          <t>2021</t>
        </is>
      </c>
      <c r="G40" s="32" t="inlineStr">
        <is>
          <t>CFS</t>
        </is>
      </c>
      <c r="H40" s="32" t="inlineStr">
        <is>
          <t>BS</t>
        </is>
      </c>
      <c r="I40" s="32" t="inlineStr">
        <is>
          <t>재무상태표</t>
        </is>
      </c>
      <c r="J40" s="32" t="inlineStr">
        <is>
          <t>ifrs-full_RetainedEarnings</t>
        </is>
      </c>
      <c r="K40" s="32" t="inlineStr">
        <is>
          <t>이익잉여금</t>
        </is>
      </c>
      <c r="L40" s="32" t="inlineStr">
        <is>
          <t>-</t>
        </is>
      </c>
      <c r="M40" s="32" t="inlineStr">
        <is>
          <t>제 49 기</t>
        </is>
      </c>
      <c r="N40" s="32" t="inlineStr">
        <is>
          <t>367863610135.0</t>
        </is>
      </c>
      <c r="O40" s="32" t="inlineStr">
        <is>
          <t>272429222758.0</t>
        </is>
      </c>
      <c r="P40" s="32" t="inlineStr">
        <is>
          <t>KRW</t>
        </is>
      </c>
      <c r="Q40" s="32" t="inlineStr">
        <is>
          <t>40</t>
        </is>
      </c>
    </row>
    <row r="41" ht="24" customHeight="1">
      <c r="A41" s="27" t="inlineStr">
        <is>
          <t>OpenDART_fnlttSinglAcntAll</t>
        </is>
      </c>
      <c r="B41" s="27" t="inlineStr">
        <is>
          <t>00118804</t>
        </is>
      </c>
      <c r="C41" s="27" t="inlineStr">
        <is>
          <t>동진쎄미켐</t>
        </is>
      </c>
      <c r="D41" s="27" t="inlineStr">
        <is>
          <t>dongjin_semichem</t>
        </is>
      </c>
      <c r="E41" s="27" t="inlineStr">
        <is>
          <t>005290</t>
        </is>
      </c>
      <c r="F41" s="27" t="inlineStr">
        <is>
          <t>2021</t>
        </is>
      </c>
      <c r="G41" s="27" t="inlineStr">
        <is>
          <t>CFS</t>
        </is>
      </c>
      <c r="H41" s="27" t="inlineStr">
        <is>
          <t>BS</t>
        </is>
      </c>
      <c r="I41" s="27" t="inlineStr">
        <is>
          <t>재무상태표</t>
        </is>
      </c>
      <c r="J41" s="27" t="inlineStr">
        <is>
          <t>ifrs-full_NoncontrollingInterests</t>
        </is>
      </c>
      <c r="K41" s="27" t="inlineStr">
        <is>
          <t>비지배지분</t>
        </is>
      </c>
      <c r="L41" s="27" t="inlineStr">
        <is>
          <t>-</t>
        </is>
      </c>
      <c r="M41" s="27" t="inlineStr">
        <is>
          <t>제 49 기</t>
        </is>
      </c>
      <c r="N41" s="27" t="inlineStr">
        <is>
          <t>7585003685.0</t>
        </is>
      </c>
      <c r="O41" s="27" t="inlineStr">
        <is>
          <t>4239962016.0</t>
        </is>
      </c>
      <c r="P41" s="27" t="inlineStr">
        <is>
          <t>KRW</t>
        </is>
      </c>
      <c r="Q41" s="27" t="inlineStr">
        <is>
          <t>41</t>
        </is>
      </c>
    </row>
    <row r="42" ht="24" customHeight="1">
      <c r="A42" s="32" t="inlineStr">
        <is>
          <t>OpenDART_fnlttSinglAcntAll</t>
        </is>
      </c>
      <c r="B42" s="32" t="inlineStr">
        <is>
          <t>00118804</t>
        </is>
      </c>
      <c r="C42" s="32" t="inlineStr">
        <is>
          <t>동진쎄미켐</t>
        </is>
      </c>
      <c r="D42" s="32" t="inlineStr">
        <is>
          <t>dongjin_semichem</t>
        </is>
      </c>
      <c r="E42" s="32" t="inlineStr">
        <is>
          <t>005290</t>
        </is>
      </c>
      <c r="F42" s="32" t="inlineStr">
        <is>
          <t>2021</t>
        </is>
      </c>
      <c r="G42" s="32" t="inlineStr">
        <is>
          <t>CFS</t>
        </is>
      </c>
      <c r="H42" s="32" t="inlineStr">
        <is>
          <t>BS</t>
        </is>
      </c>
      <c r="I42" s="32" t="inlineStr">
        <is>
          <t>재무상태표</t>
        </is>
      </c>
      <c r="J42" s="32" t="inlineStr">
        <is>
          <t>ifrs-full_Equity</t>
        </is>
      </c>
      <c r="K42" s="32" t="inlineStr">
        <is>
          <t>자본총계</t>
        </is>
      </c>
      <c r="L42" s="32" t="inlineStr">
        <is>
          <t>-</t>
        </is>
      </c>
      <c r="M42" s="32" t="inlineStr">
        <is>
          <t>제 49 기</t>
        </is>
      </c>
      <c r="N42" s="32" t="inlineStr">
        <is>
          <t>561033499955.0</t>
        </is>
      </c>
      <c r="O42" s="32" t="inlineStr">
        <is>
          <t>438008274772.0</t>
        </is>
      </c>
      <c r="P42" s="32" t="inlineStr">
        <is>
          <t>KRW</t>
        </is>
      </c>
      <c r="Q42" s="32" t="inlineStr">
        <is>
          <t>42</t>
        </is>
      </c>
    </row>
    <row r="43" ht="24" customHeight="1">
      <c r="A43" s="27" t="inlineStr">
        <is>
          <t>OpenDART_fnlttSinglAcntAll</t>
        </is>
      </c>
      <c r="B43" s="27" t="inlineStr">
        <is>
          <t>00118804</t>
        </is>
      </c>
      <c r="C43" s="27" t="inlineStr">
        <is>
          <t>동진쎄미켐</t>
        </is>
      </c>
      <c r="D43" s="27" t="inlineStr">
        <is>
          <t>dongjin_semichem</t>
        </is>
      </c>
      <c r="E43" s="27" t="inlineStr">
        <is>
          <t>005290</t>
        </is>
      </c>
      <c r="F43" s="27" t="inlineStr">
        <is>
          <t>2021</t>
        </is>
      </c>
      <c r="G43" s="27" t="inlineStr">
        <is>
          <t>CFS</t>
        </is>
      </c>
      <c r="H43" s="27" t="inlineStr">
        <is>
          <t>BS</t>
        </is>
      </c>
      <c r="I43" s="27" t="inlineStr">
        <is>
          <t>재무상태표</t>
        </is>
      </c>
      <c r="J43" s="27" t="inlineStr">
        <is>
          <t>ifrs-full_EquityAndLiabilities</t>
        </is>
      </c>
      <c r="K43" s="27" t="inlineStr">
        <is>
          <t>자본과부채총계</t>
        </is>
      </c>
      <c r="L43" s="27" t="inlineStr">
        <is>
          <t>-</t>
        </is>
      </c>
      <c r="M43" s="27" t="inlineStr">
        <is>
          <t>제 49 기</t>
        </is>
      </c>
      <c r="N43" s="27" t="inlineStr">
        <is>
          <t>1186189143728.0</t>
        </is>
      </c>
      <c r="O43" s="27" t="inlineStr">
        <is>
          <t>960791826390.0</t>
        </is>
      </c>
      <c r="P43" s="27" t="inlineStr">
        <is>
          <t>KRW</t>
        </is>
      </c>
      <c r="Q43" s="27" t="inlineStr">
        <is>
          <t>43</t>
        </is>
      </c>
    </row>
    <row r="44" ht="24" customHeight="1">
      <c r="A44" s="32" t="inlineStr">
        <is>
          <t>OpenDART_fnlttSinglAcntAll</t>
        </is>
      </c>
      <c r="B44" s="32" t="inlineStr">
        <is>
          <t>00118804</t>
        </is>
      </c>
      <c r="C44" s="32" t="inlineStr">
        <is>
          <t>동진쎄미켐</t>
        </is>
      </c>
      <c r="D44" s="32" t="inlineStr">
        <is>
          <t>dongjin_semichem</t>
        </is>
      </c>
      <c r="E44" s="32" t="inlineStr">
        <is>
          <t>005290</t>
        </is>
      </c>
      <c r="F44" s="32" t="inlineStr">
        <is>
          <t>2021</t>
        </is>
      </c>
      <c r="G44" s="32" t="inlineStr">
        <is>
          <t>CFS</t>
        </is>
      </c>
      <c r="H44" s="32" t="inlineStr">
        <is>
          <t>CIS</t>
        </is>
      </c>
      <c r="I44" s="32" t="inlineStr">
        <is>
          <t>포괄손익계산서</t>
        </is>
      </c>
      <c r="J44" s="32" t="inlineStr">
        <is>
          <t>ifrs-full_Revenue</t>
        </is>
      </c>
      <c r="K44" s="32" t="inlineStr">
        <is>
          <t>수익</t>
        </is>
      </c>
      <c r="L44" s="32" t="inlineStr">
        <is>
          <t>-</t>
        </is>
      </c>
      <c r="M44" s="32" t="inlineStr">
        <is>
          <t>제 49 기</t>
        </is>
      </c>
      <c r="N44" s="32" t="inlineStr">
        <is>
          <t>1161284077161.0</t>
        </is>
      </c>
      <c r="O44" s="32" t="inlineStr">
        <is>
          <t>937800799678.0</t>
        </is>
      </c>
      <c r="P44" s="32" t="inlineStr">
        <is>
          <t>KRW</t>
        </is>
      </c>
      <c r="Q44" s="32" t="inlineStr">
        <is>
          <t>0</t>
        </is>
      </c>
    </row>
    <row r="45" ht="24" customHeight="1">
      <c r="A45" s="27" t="inlineStr">
        <is>
          <t>OpenDART_fnlttSinglAcntAll</t>
        </is>
      </c>
      <c r="B45" s="27" t="inlineStr">
        <is>
          <t>00118804</t>
        </is>
      </c>
      <c r="C45" s="27" t="inlineStr">
        <is>
          <t>동진쎄미켐</t>
        </is>
      </c>
      <c r="D45" s="27" t="inlineStr">
        <is>
          <t>dongjin_semichem</t>
        </is>
      </c>
      <c r="E45" s="27" t="inlineStr">
        <is>
          <t>005290</t>
        </is>
      </c>
      <c r="F45" s="27" t="inlineStr">
        <is>
          <t>2021</t>
        </is>
      </c>
      <c r="G45" s="27" t="inlineStr">
        <is>
          <t>CFS</t>
        </is>
      </c>
      <c r="H45" s="27" t="inlineStr">
        <is>
          <t>CIS</t>
        </is>
      </c>
      <c r="I45" s="27" t="inlineStr">
        <is>
          <t>포괄손익계산서</t>
        </is>
      </c>
      <c r="J45" s="27" t="inlineStr">
        <is>
          <t>ifrs-full_CostOfSales</t>
        </is>
      </c>
      <c r="K45" s="27" t="inlineStr">
        <is>
          <t>매출원가</t>
        </is>
      </c>
      <c r="L45" s="27" t="inlineStr">
        <is>
          <t>-</t>
        </is>
      </c>
      <c r="M45" s="27" t="inlineStr">
        <is>
          <t>제 49 기</t>
        </is>
      </c>
      <c r="N45" s="27" t="inlineStr">
        <is>
          <t>921113882147.0</t>
        </is>
      </c>
      <c r="O45" s="27" t="inlineStr">
        <is>
          <t>718669864344.0</t>
        </is>
      </c>
      <c r="P45" s="27" t="inlineStr">
        <is>
          <t>KRW</t>
        </is>
      </c>
      <c r="Q45" s="27" t="inlineStr">
        <is>
          <t>1</t>
        </is>
      </c>
    </row>
    <row r="46" ht="24" customHeight="1">
      <c r="A46" s="32" t="inlineStr">
        <is>
          <t>OpenDART_fnlttSinglAcntAll</t>
        </is>
      </c>
      <c r="B46" s="32" t="inlineStr">
        <is>
          <t>00118804</t>
        </is>
      </c>
      <c r="C46" s="32" t="inlineStr">
        <is>
          <t>동진쎄미켐</t>
        </is>
      </c>
      <c r="D46" s="32" t="inlineStr">
        <is>
          <t>dongjin_semichem</t>
        </is>
      </c>
      <c r="E46" s="32" t="inlineStr">
        <is>
          <t>005290</t>
        </is>
      </c>
      <c r="F46" s="32" t="inlineStr">
        <is>
          <t>2021</t>
        </is>
      </c>
      <c r="G46" s="32" t="inlineStr">
        <is>
          <t>CFS</t>
        </is>
      </c>
      <c r="H46" s="32" t="inlineStr">
        <is>
          <t>CIS</t>
        </is>
      </c>
      <c r="I46" s="32" t="inlineStr">
        <is>
          <t>포괄손익계산서</t>
        </is>
      </c>
      <c r="J46" s="32" t="inlineStr">
        <is>
          <t>ifrs-full_GrossProfit</t>
        </is>
      </c>
      <c r="K46" s="32" t="inlineStr">
        <is>
          <t>매출총이익</t>
        </is>
      </c>
      <c r="L46" s="32" t="inlineStr">
        <is>
          <t>-</t>
        </is>
      </c>
      <c r="M46" s="32" t="inlineStr">
        <is>
          <t>제 49 기</t>
        </is>
      </c>
      <c r="N46" s="32" t="inlineStr">
        <is>
          <t>240170195014.0</t>
        </is>
      </c>
      <c r="O46" s="32" t="inlineStr">
        <is>
          <t>219130935334.0</t>
        </is>
      </c>
      <c r="P46" s="32" t="inlineStr">
        <is>
          <t>KRW</t>
        </is>
      </c>
      <c r="Q46" s="32" t="inlineStr">
        <is>
          <t>2</t>
        </is>
      </c>
    </row>
    <row r="47" ht="24" customHeight="1">
      <c r="A47" s="27" t="inlineStr">
        <is>
          <t>OpenDART_fnlttSinglAcntAll</t>
        </is>
      </c>
      <c r="B47" s="27" t="inlineStr">
        <is>
          <t>00118804</t>
        </is>
      </c>
      <c r="C47" s="27" t="inlineStr">
        <is>
          <t>동진쎄미켐</t>
        </is>
      </c>
      <c r="D47" s="27" t="inlineStr">
        <is>
          <t>dongjin_semichem</t>
        </is>
      </c>
      <c r="E47" s="27" t="inlineStr">
        <is>
          <t>005290</t>
        </is>
      </c>
      <c r="F47" s="27" t="inlineStr">
        <is>
          <t>2021</t>
        </is>
      </c>
      <c r="G47" s="27" t="inlineStr">
        <is>
          <t>CFS</t>
        </is>
      </c>
      <c r="H47" s="27" t="inlineStr">
        <is>
          <t>CIS</t>
        </is>
      </c>
      <c r="I47" s="27" t="inlineStr">
        <is>
          <t>포괄손익계산서</t>
        </is>
      </c>
      <c r="J47" s="27" t="inlineStr">
        <is>
          <t>dart_TotalSellingGeneralAdministrativeExpenses</t>
        </is>
      </c>
      <c r="K47" s="27" t="inlineStr">
        <is>
          <t>판매비와관리비</t>
        </is>
      </c>
      <c r="L47" s="27" t="inlineStr">
        <is>
          <t>-</t>
        </is>
      </c>
      <c r="M47" s="27" t="inlineStr">
        <is>
          <t>제 49 기</t>
        </is>
      </c>
      <c r="N47" s="27" t="inlineStr">
        <is>
          <t>108355261113.0</t>
        </is>
      </c>
      <c r="O47" s="27" t="inlineStr">
        <is>
          <t>92873277883.0</t>
        </is>
      </c>
      <c r="P47" s="27" t="inlineStr">
        <is>
          <t>KRW</t>
        </is>
      </c>
      <c r="Q47" s="27" t="inlineStr">
        <is>
          <t>3</t>
        </is>
      </c>
    </row>
    <row r="48" ht="24" customHeight="1">
      <c r="A48" s="32" t="inlineStr">
        <is>
          <t>OpenDART_fnlttSinglAcntAll</t>
        </is>
      </c>
      <c r="B48" s="32" t="inlineStr">
        <is>
          <t>00118804</t>
        </is>
      </c>
      <c r="C48" s="32" t="inlineStr">
        <is>
          <t>동진쎄미켐</t>
        </is>
      </c>
      <c r="D48" s="32" t="inlineStr">
        <is>
          <t>dongjin_semichem</t>
        </is>
      </c>
      <c r="E48" s="32" t="inlineStr">
        <is>
          <t>005290</t>
        </is>
      </c>
      <c r="F48" s="32" t="inlineStr">
        <is>
          <t>2021</t>
        </is>
      </c>
      <c r="G48" s="32" t="inlineStr">
        <is>
          <t>CFS</t>
        </is>
      </c>
      <c r="H48" s="32" t="inlineStr">
        <is>
          <t>CIS</t>
        </is>
      </c>
      <c r="I48" s="32" t="inlineStr">
        <is>
          <t>포괄손익계산서</t>
        </is>
      </c>
      <c r="J48" s="32" t="inlineStr">
        <is>
          <t>dart_FreightExpenses</t>
        </is>
      </c>
      <c r="K48" s="32" t="inlineStr">
        <is>
          <t>물류비</t>
        </is>
      </c>
      <c r="L48" s="32" t="inlineStr">
        <is>
          <t>-</t>
        </is>
      </c>
      <c r="M48" s="32" t="inlineStr">
        <is>
          <t>제 49 기</t>
        </is>
      </c>
      <c r="N48" s="32" t="inlineStr">
        <is>
          <t>26629495270.0</t>
        </is>
      </c>
      <c r="O48" s="32" t="inlineStr">
        <is>
          <t>19302253408.0</t>
        </is>
      </c>
      <c r="P48" s="32" t="inlineStr">
        <is>
          <t>KRW</t>
        </is>
      </c>
      <c r="Q48" s="32" t="inlineStr">
        <is>
          <t>4</t>
        </is>
      </c>
    </row>
    <row r="49" ht="24" customHeight="1">
      <c r="A49" s="27" t="inlineStr">
        <is>
          <t>OpenDART_fnlttSinglAcntAll</t>
        </is>
      </c>
      <c r="B49" s="27" t="inlineStr">
        <is>
          <t>00118804</t>
        </is>
      </c>
      <c r="C49" s="27" t="inlineStr">
        <is>
          <t>동진쎄미켐</t>
        </is>
      </c>
      <c r="D49" s="27" t="inlineStr">
        <is>
          <t>dongjin_semichem</t>
        </is>
      </c>
      <c r="E49" s="27" t="inlineStr">
        <is>
          <t>005290</t>
        </is>
      </c>
      <c r="F49" s="27" t="inlineStr">
        <is>
          <t>2021</t>
        </is>
      </c>
      <c r="G49" s="27" t="inlineStr">
        <is>
          <t>CFS</t>
        </is>
      </c>
      <c r="H49" s="27" t="inlineStr">
        <is>
          <t>CIS</t>
        </is>
      </c>
      <c r="I49" s="27" t="inlineStr">
        <is>
          <t>포괄손익계산서</t>
        </is>
      </c>
      <c r="J49" s="27" t="inlineStr">
        <is>
          <t>dart_MiscellaneousExpenses</t>
        </is>
      </c>
      <c r="K49" s="27" t="inlineStr">
        <is>
          <t>판매관리비</t>
        </is>
      </c>
      <c r="L49" s="27" t="inlineStr">
        <is>
          <t>-</t>
        </is>
      </c>
      <c r="M49" s="27" t="inlineStr">
        <is>
          <t>제 49 기</t>
        </is>
      </c>
      <c r="N49" s="27" t="inlineStr">
        <is>
          <t>64472143619.0</t>
        </is>
      </c>
      <c r="O49" s="27" t="inlineStr">
        <is>
          <t>60503437703.0</t>
        </is>
      </c>
      <c r="P49" s="27" t="inlineStr">
        <is>
          <t>KRW</t>
        </is>
      </c>
      <c r="Q49" s="27" t="inlineStr">
        <is>
          <t>5</t>
        </is>
      </c>
    </row>
    <row r="50" ht="24" customHeight="1">
      <c r="A50" s="32" t="inlineStr">
        <is>
          <t>OpenDART_fnlttSinglAcntAll</t>
        </is>
      </c>
      <c r="B50" s="32" t="inlineStr">
        <is>
          <t>00118804</t>
        </is>
      </c>
      <c r="C50" s="32" t="inlineStr">
        <is>
          <t>동진쎄미켐</t>
        </is>
      </c>
      <c r="D50" s="32" t="inlineStr">
        <is>
          <t>dongjin_semichem</t>
        </is>
      </c>
      <c r="E50" s="32" t="inlineStr">
        <is>
          <t>005290</t>
        </is>
      </c>
      <c r="F50" s="32" t="inlineStr">
        <is>
          <t>2021</t>
        </is>
      </c>
      <c r="G50" s="32" t="inlineStr">
        <is>
          <t>CFS</t>
        </is>
      </c>
      <c r="H50" s="32" t="inlineStr">
        <is>
          <t>CIS</t>
        </is>
      </c>
      <c r="I50" s="32" t="inlineStr">
        <is>
          <t>포괄손익계산서</t>
        </is>
      </c>
      <c r="J50" s="32" t="inlineStr">
        <is>
          <t>dart_ResearchExpense</t>
        </is>
      </c>
      <c r="K50" s="32" t="inlineStr">
        <is>
          <t>연구개발비</t>
        </is>
      </c>
      <c r="L50" s="32" t="inlineStr">
        <is>
          <t>-</t>
        </is>
      </c>
      <c r="M50" s="32" t="inlineStr">
        <is>
          <t>제 49 기</t>
        </is>
      </c>
      <c r="N50" s="32" t="inlineStr">
        <is>
          <t>17253622224.0</t>
        </is>
      </c>
      <c r="O50" s="32" t="inlineStr">
        <is>
          <t>13067586772.0</t>
        </is>
      </c>
      <c r="P50" s="32" t="inlineStr">
        <is>
          <t>KRW</t>
        </is>
      </c>
      <c r="Q50" s="32" t="inlineStr">
        <is>
          <t>6</t>
        </is>
      </c>
    </row>
    <row r="51" ht="24" customHeight="1">
      <c r="A51" s="27" t="inlineStr">
        <is>
          <t>OpenDART_fnlttSinglAcntAll</t>
        </is>
      </c>
      <c r="B51" s="27" t="inlineStr">
        <is>
          <t>00118804</t>
        </is>
      </c>
      <c r="C51" s="27" t="inlineStr">
        <is>
          <t>동진쎄미켐</t>
        </is>
      </c>
      <c r="D51" s="27" t="inlineStr">
        <is>
          <t>dongjin_semichem</t>
        </is>
      </c>
      <c r="E51" s="27" t="inlineStr">
        <is>
          <t>005290</t>
        </is>
      </c>
      <c r="F51" s="27" t="inlineStr">
        <is>
          <t>2021</t>
        </is>
      </c>
      <c r="G51" s="27" t="inlineStr">
        <is>
          <t>CFS</t>
        </is>
      </c>
      <c r="H51" s="27" t="inlineStr">
        <is>
          <t>CIS</t>
        </is>
      </c>
      <c r="I51" s="27" t="inlineStr">
        <is>
          <t>포괄손익계산서</t>
        </is>
      </c>
      <c r="J51" s="27" t="inlineStr">
        <is>
          <t>dart_OperatingIncomeLoss</t>
        </is>
      </c>
      <c r="K51" s="27" t="inlineStr">
        <is>
          <t>영업이익(손실)</t>
        </is>
      </c>
      <c r="L51" s="27" t="inlineStr">
        <is>
          <t>-</t>
        </is>
      </c>
      <c r="M51" s="27" t="inlineStr">
        <is>
          <t>제 49 기</t>
        </is>
      </c>
      <c r="N51" s="27" t="inlineStr">
        <is>
          <t>131814933901.0</t>
        </is>
      </c>
      <c r="O51" s="27" t="inlineStr">
        <is>
          <t>126257657451.0</t>
        </is>
      </c>
      <c r="P51" s="27" t="inlineStr">
        <is>
          <t>KRW</t>
        </is>
      </c>
      <c r="Q51" s="27" t="inlineStr">
        <is>
          <t>7</t>
        </is>
      </c>
    </row>
    <row r="52" ht="24" customHeight="1">
      <c r="A52" s="32" t="inlineStr">
        <is>
          <t>OpenDART_fnlttSinglAcntAll</t>
        </is>
      </c>
      <c r="B52" s="32" t="inlineStr">
        <is>
          <t>00118804</t>
        </is>
      </c>
      <c r="C52" s="32" t="inlineStr">
        <is>
          <t>동진쎄미켐</t>
        </is>
      </c>
      <c r="D52" s="32" t="inlineStr">
        <is>
          <t>dongjin_semichem</t>
        </is>
      </c>
      <c r="E52" s="32" t="inlineStr">
        <is>
          <t>005290</t>
        </is>
      </c>
      <c r="F52" s="32" t="inlineStr">
        <is>
          <t>2021</t>
        </is>
      </c>
      <c r="G52" s="32" t="inlineStr">
        <is>
          <t>CFS</t>
        </is>
      </c>
      <c r="H52" s="32" t="inlineStr">
        <is>
          <t>CIS</t>
        </is>
      </c>
      <c r="I52" s="32" t="inlineStr">
        <is>
          <t>포괄손익계산서</t>
        </is>
      </c>
      <c r="J52" s="32" t="inlineStr">
        <is>
          <t>ifrs-full_FinanceIncome</t>
        </is>
      </c>
      <c r="K52" s="32" t="inlineStr">
        <is>
          <t>금융수익</t>
        </is>
      </c>
      <c r="L52" s="32" t="inlineStr">
        <is>
          <t>-</t>
        </is>
      </c>
      <c r="M52" s="32" t="inlineStr">
        <is>
          <t>제 49 기</t>
        </is>
      </c>
      <c r="N52" s="32" t="inlineStr">
        <is>
          <t>1295684151.0</t>
        </is>
      </c>
      <c r="O52" s="32" t="inlineStr">
        <is>
          <t>1654302473.0</t>
        </is>
      </c>
      <c r="P52" s="32" t="inlineStr">
        <is>
          <t>KRW</t>
        </is>
      </c>
      <c r="Q52" s="32" t="inlineStr">
        <is>
          <t>8</t>
        </is>
      </c>
    </row>
    <row r="53" ht="24" customHeight="1">
      <c r="A53" s="27" t="inlineStr">
        <is>
          <t>OpenDART_fnlttSinglAcntAll</t>
        </is>
      </c>
      <c r="B53" s="27" t="inlineStr">
        <is>
          <t>00118804</t>
        </is>
      </c>
      <c r="C53" s="27" t="inlineStr">
        <is>
          <t>동진쎄미켐</t>
        </is>
      </c>
      <c r="D53" s="27" t="inlineStr">
        <is>
          <t>dongjin_semichem</t>
        </is>
      </c>
      <c r="E53" s="27" t="inlineStr">
        <is>
          <t>005290</t>
        </is>
      </c>
      <c r="F53" s="27" t="inlineStr">
        <is>
          <t>2021</t>
        </is>
      </c>
      <c r="G53" s="27" t="inlineStr">
        <is>
          <t>CFS</t>
        </is>
      </c>
      <c r="H53" s="27" t="inlineStr">
        <is>
          <t>CIS</t>
        </is>
      </c>
      <c r="I53" s="27" t="inlineStr">
        <is>
          <t>포괄손익계산서</t>
        </is>
      </c>
      <c r="J53" s="27" t="inlineStr">
        <is>
          <t>ifrs-full_FinanceCosts</t>
        </is>
      </c>
      <c r="K53" s="27" t="inlineStr">
        <is>
          <t>금융비용</t>
        </is>
      </c>
      <c r="L53" s="27" t="inlineStr">
        <is>
          <t>-</t>
        </is>
      </c>
      <c r="M53" s="27" t="inlineStr">
        <is>
          <t>제 49 기</t>
        </is>
      </c>
      <c r="N53" s="27" t="inlineStr">
        <is>
          <t>9927381308.0</t>
        </is>
      </c>
      <c r="O53" s="27" t="inlineStr">
        <is>
          <t>11509998931.0</t>
        </is>
      </c>
      <c r="P53" s="27" t="inlineStr">
        <is>
          <t>KRW</t>
        </is>
      </c>
      <c r="Q53" s="27" t="inlineStr">
        <is>
          <t>9</t>
        </is>
      </c>
    </row>
    <row r="54" ht="24" customHeight="1">
      <c r="A54" s="32" t="inlineStr">
        <is>
          <t>OpenDART_fnlttSinglAcntAll</t>
        </is>
      </c>
      <c r="B54" s="32" t="inlineStr">
        <is>
          <t>00118804</t>
        </is>
      </c>
      <c r="C54" s="32" t="inlineStr">
        <is>
          <t>동진쎄미켐</t>
        </is>
      </c>
      <c r="D54" s="32" t="inlineStr">
        <is>
          <t>dongjin_semichem</t>
        </is>
      </c>
      <c r="E54" s="32" t="inlineStr">
        <is>
          <t>005290</t>
        </is>
      </c>
      <c r="F54" s="32" t="inlineStr">
        <is>
          <t>2021</t>
        </is>
      </c>
      <c r="G54" s="32" t="inlineStr">
        <is>
          <t>CFS</t>
        </is>
      </c>
      <c r="H54" s="32" t="inlineStr">
        <is>
          <t>CIS</t>
        </is>
      </c>
      <c r="I54" s="32" t="inlineStr">
        <is>
          <t>포괄손익계산서</t>
        </is>
      </c>
      <c r="J54" s="32" t="inlineStr">
        <is>
          <t>-표준계정코드 미사용-</t>
        </is>
      </c>
      <c r="K54" s="32" t="inlineStr">
        <is>
          <t>관계기업투자손익</t>
        </is>
      </c>
      <c r="L54" s="32" t="inlineStr">
        <is>
          <t>-</t>
        </is>
      </c>
      <c r="M54" s="32" t="inlineStr">
        <is>
          <t>제 49 기</t>
        </is>
      </c>
      <c r="N54" s="32" t="inlineStr">
        <is>
          <t>0.0</t>
        </is>
      </c>
      <c r="O54" s="32" t="inlineStr">
        <is>
          <t>0.0</t>
        </is>
      </c>
      <c r="P54" s="32" t="inlineStr">
        <is>
          <t>KRW</t>
        </is>
      </c>
      <c r="Q54" s="32" t="inlineStr">
        <is>
          <t>10</t>
        </is>
      </c>
    </row>
    <row r="55" ht="24" customHeight="1">
      <c r="A55" s="27" t="inlineStr">
        <is>
          <t>OpenDART_fnlttSinglAcntAll</t>
        </is>
      </c>
      <c r="B55" s="27" t="inlineStr">
        <is>
          <t>00118804</t>
        </is>
      </c>
      <c r="C55" s="27" t="inlineStr">
        <is>
          <t>동진쎄미켐</t>
        </is>
      </c>
      <c r="D55" s="27" t="inlineStr">
        <is>
          <t>dongjin_semichem</t>
        </is>
      </c>
      <c r="E55" s="27" t="inlineStr">
        <is>
          <t>005290</t>
        </is>
      </c>
      <c r="F55" s="27" t="inlineStr">
        <is>
          <t>2021</t>
        </is>
      </c>
      <c r="G55" s="27" t="inlineStr">
        <is>
          <t>CFS</t>
        </is>
      </c>
      <c r="H55" s="27" t="inlineStr">
        <is>
          <t>CIS</t>
        </is>
      </c>
      <c r="I55" s="27" t="inlineStr">
        <is>
          <t>포괄손익계산서</t>
        </is>
      </c>
      <c r="J55" s="27" t="inlineStr">
        <is>
          <t>-표준계정코드 미사용-</t>
        </is>
      </c>
      <c r="K55" s="27" t="inlineStr">
        <is>
          <t>지분법이익</t>
        </is>
      </c>
      <c r="L55" s="27" t="inlineStr">
        <is>
          <t>-</t>
        </is>
      </c>
      <c r="M55" s="27" t="inlineStr">
        <is>
          <t>제 49 기</t>
        </is>
      </c>
      <c r="N55" s="27" t="inlineStr">
        <is>
          <t>-602467452.0</t>
        </is>
      </c>
      <c r="O55" s="27" t="inlineStr">
        <is>
          <t>-2542015434.0</t>
        </is>
      </c>
      <c r="P55" s="27" t="inlineStr">
        <is>
          <t>KRW</t>
        </is>
      </c>
      <c r="Q55" s="27" t="inlineStr">
        <is>
          <t>11</t>
        </is>
      </c>
    </row>
    <row r="56" ht="24" customHeight="1">
      <c r="A56" s="32" t="inlineStr">
        <is>
          <t>OpenDART_fnlttSinglAcntAll</t>
        </is>
      </c>
      <c r="B56" s="32" t="inlineStr">
        <is>
          <t>00118804</t>
        </is>
      </c>
      <c r="C56" s="32" t="inlineStr">
        <is>
          <t>동진쎄미켐</t>
        </is>
      </c>
      <c r="D56" s="32" t="inlineStr">
        <is>
          <t>dongjin_semichem</t>
        </is>
      </c>
      <c r="E56" s="32" t="inlineStr">
        <is>
          <t>005290</t>
        </is>
      </c>
      <c r="F56" s="32" t="inlineStr">
        <is>
          <t>2021</t>
        </is>
      </c>
      <c r="G56" s="32" t="inlineStr">
        <is>
          <t>CFS</t>
        </is>
      </c>
      <c r="H56" s="32" t="inlineStr">
        <is>
          <t>CIS</t>
        </is>
      </c>
      <c r="I56" s="32" t="inlineStr">
        <is>
          <t>포괄손익계산서</t>
        </is>
      </c>
      <c r="J56" s="32" t="inlineStr">
        <is>
          <t>-표준계정코드 미사용-</t>
        </is>
      </c>
      <c r="K56" s="32" t="inlineStr">
        <is>
          <t>기타영업외손익</t>
        </is>
      </c>
      <c r="L56" s="32" t="inlineStr">
        <is>
          <t>-</t>
        </is>
      </c>
      <c r="M56" s="32" t="inlineStr">
        <is>
          <t>제 49 기</t>
        </is>
      </c>
      <c r="N56" s="32" t="inlineStr">
        <is>
          <t>13215622958.0</t>
        </is>
      </c>
      <c r="O56" s="32" t="inlineStr">
        <is>
          <t>8099707483.0</t>
        </is>
      </c>
      <c r="P56" s="32" t="inlineStr">
        <is>
          <t>KRW</t>
        </is>
      </c>
      <c r="Q56" s="32" t="inlineStr">
        <is>
          <t>12</t>
        </is>
      </c>
    </row>
    <row r="57" ht="24" customHeight="1">
      <c r="A57" s="27" t="inlineStr">
        <is>
          <t>OpenDART_fnlttSinglAcntAll</t>
        </is>
      </c>
      <c r="B57" s="27" t="inlineStr">
        <is>
          <t>00118804</t>
        </is>
      </c>
      <c r="C57" s="27" t="inlineStr">
        <is>
          <t>동진쎄미켐</t>
        </is>
      </c>
      <c r="D57" s="27" t="inlineStr">
        <is>
          <t>dongjin_semichem</t>
        </is>
      </c>
      <c r="E57" s="27" t="inlineStr">
        <is>
          <t>005290</t>
        </is>
      </c>
      <c r="F57" s="27" t="inlineStr">
        <is>
          <t>2021</t>
        </is>
      </c>
      <c r="G57" s="27" t="inlineStr">
        <is>
          <t>CFS</t>
        </is>
      </c>
      <c r="H57" s="27" t="inlineStr">
        <is>
          <t>CIS</t>
        </is>
      </c>
      <c r="I57" s="27" t="inlineStr">
        <is>
          <t>포괄손익계산서</t>
        </is>
      </c>
      <c r="J57" s="27" t="inlineStr">
        <is>
          <t>ifrs-full_ProfitLossBeforeTax</t>
        </is>
      </c>
      <c r="K57" s="27" t="inlineStr">
        <is>
          <t>법인세비용차감전순이익</t>
        </is>
      </c>
      <c r="L57" s="27" t="inlineStr">
        <is>
          <t>-</t>
        </is>
      </c>
      <c r="M57" s="27" t="inlineStr">
        <is>
          <t>제 49 기</t>
        </is>
      </c>
      <c r="N57" s="27" t="inlineStr">
        <is>
          <t>135796392250.0</t>
        </is>
      </c>
      <c r="O57" s="27" t="inlineStr">
        <is>
          <t>121959653042.0</t>
        </is>
      </c>
      <c r="P57" s="27" t="inlineStr">
        <is>
          <t>KRW</t>
        </is>
      </c>
      <c r="Q57" s="27" t="inlineStr">
        <is>
          <t>13</t>
        </is>
      </c>
    </row>
    <row r="58" ht="24" customHeight="1">
      <c r="A58" s="32" t="inlineStr">
        <is>
          <t>OpenDART_fnlttSinglAcntAll</t>
        </is>
      </c>
      <c r="B58" s="32" t="inlineStr">
        <is>
          <t>00118804</t>
        </is>
      </c>
      <c r="C58" s="32" t="inlineStr">
        <is>
          <t>동진쎄미켐</t>
        </is>
      </c>
      <c r="D58" s="32" t="inlineStr">
        <is>
          <t>dongjin_semichem</t>
        </is>
      </c>
      <c r="E58" s="32" t="inlineStr">
        <is>
          <t>005290</t>
        </is>
      </c>
      <c r="F58" s="32" t="inlineStr">
        <is>
          <t>2021</t>
        </is>
      </c>
      <c r="G58" s="32" t="inlineStr">
        <is>
          <t>CFS</t>
        </is>
      </c>
      <c r="H58" s="32" t="inlineStr">
        <is>
          <t>CIS</t>
        </is>
      </c>
      <c r="I58" s="32" t="inlineStr">
        <is>
          <t>포괄손익계산서</t>
        </is>
      </c>
      <c r="J58" s="32" t="inlineStr">
        <is>
          <t>ifrs-full_IncomeTaxExpenseContinuingOperations</t>
        </is>
      </c>
      <c r="K58" s="32" t="inlineStr">
        <is>
          <t>법인세비용</t>
        </is>
      </c>
      <c r="L58" s="32" t="inlineStr">
        <is>
          <t>-</t>
        </is>
      </c>
      <c r="M58" s="32" t="inlineStr">
        <is>
          <t>제 49 기</t>
        </is>
      </c>
      <c r="N58" s="32" t="inlineStr">
        <is>
          <t>32917167433.0</t>
        </is>
      </c>
      <c r="O58" s="32" t="inlineStr">
        <is>
          <t>36701749580.0</t>
        </is>
      </c>
      <c r="P58" s="32" t="inlineStr">
        <is>
          <t>KRW</t>
        </is>
      </c>
      <c r="Q58" s="32" t="inlineStr">
        <is>
          <t>14</t>
        </is>
      </c>
    </row>
    <row r="59" ht="24" customHeight="1">
      <c r="A59" s="27" t="inlineStr">
        <is>
          <t>OpenDART_fnlttSinglAcntAll</t>
        </is>
      </c>
      <c r="B59" s="27" t="inlineStr">
        <is>
          <t>00118804</t>
        </is>
      </c>
      <c r="C59" s="27" t="inlineStr">
        <is>
          <t>동진쎄미켐</t>
        </is>
      </c>
      <c r="D59" s="27" t="inlineStr">
        <is>
          <t>dongjin_semichem</t>
        </is>
      </c>
      <c r="E59" s="27" t="inlineStr">
        <is>
          <t>005290</t>
        </is>
      </c>
      <c r="F59" s="27" t="inlineStr">
        <is>
          <t>2021</t>
        </is>
      </c>
      <c r="G59" s="27" t="inlineStr">
        <is>
          <t>CFS</t>
        </is>
      </c>
      <c r="H59" s="27" t="inlineStr">
        <is>
          <t>CIS</t>
        </is>
      </c>
      <c r="I59" s="27" t="inlineStr">
        <is>
          <t>포괄손익계산서</t>
        </is>
      </c>
      <c r="J59" s="27" t="inlineStr">
        <is>
          <t>ifrs-full_ProfitLoss</t>
        </is>
      </c>
      <c r="K59" s="27" t="inlineStr">
        <is>
          <t>당기순이익</t>
        </is>
      </c>
      <c r="L59" s="27" t="inlineStr">
        <is>
          <t>-</t>
        </is>
      </c>
      <c r="M59" s="27" t="inlineStr">
        <is>
          <t>제 49 기</t>
        </is>
      </c>
      <c r="N59" s="27" t="inlineStr">
        <is>
          <t>102879224817.0</t>
        </is>
      </c>
      <c r="O59" s="27" t="inlineStr">
        <is>
          <t>85257903462.0</t>
        </is>
      </c>
      <c r="P59" s="27" t="inlineStr">
        <is>
          <t>KRW</t>
        </is>
      </c>
      <c r="Q59" s="27" t="inlineStr">
        <is>
          <t>15</t>
        </is>
      </c>
    </row>
    <row r="60" ht="24" customHeight="1">
      <c r="A60" s="32" t="inlineStr">
        <is>
          <t>OpenDART_fnlttSinglAcntAll</t>
        </is>
      </c>
      <c r="B60" s="32" t="inlineStr">
        <is>
          <t>00118804</t>
        </is>
      </c>
      <c r="C60" s="32" t="inlineStr">
        <is>
          <t>동진쎄미켐</t>
        </is>
      </c>
      <c r="D60" s="32" t="inlineStr">
        <is>
          <t>dongjin_semichem</t>
        </is>
      </c>
      <c r="E60" s="32" t="inlineStr">
        <is>
          <t>005290</t>
        </is>
      </c>
      <c r="F60" s="32" t="inlineStr">
        <is>
          <t>2021</t>
        </is>
      </c>
      <c r="G60" s="32" t="inlineStr">
        <is>
          <t>CFS</t>
        </is>
      </c>
      <c r="H60" s="32" t="inlineStr">
        <is>
          <t>CIS</t>
        </is>
      </c>
      <c r="I60" s="32" t="inlineStr">
        <is>
          <t>포괄손익계산서</t>
        </is>
      </c>
      <c r="J60" s="32" t="inlineStr">
        <is>
          <t>ifrs-full_OtherComprehensiveIncome</t>
        </is>
      </c>
      <c r="K60" s="32" t="inlineStr">
        <is>
          <t>법인세 반영 후 기타포괄손익</t>
        </is>
      </c>
      <c r="L60" s="32" t="inlineStr">
        <is>
          <t>-</t>
        </is>
      </c>
      <c r="M60" s="32" t="inlineStr">
        <is>
          <t>제 49 기</t>
        </is>
      </c>
      <c r="N60" s="32" t="inlineStr">
        <is>
          <t>21039201218.0</t>
        </is>
      </c>
      <c r="O60" s="32" t="inlineStr">
        <is>
          <t>-3198552024.0</t>
        </is>
      </c>
      <c r="P60" s="32" t="inlineStr">
        <is>
          <t>KRW</t>
        </is>
      </c>
      <c r="Q60" s="32" t="inlineStr">
        <is>
          <t>16</t>
        </is>
      </c>
    </row>
    <row r="61" ht="24" customHeight="1">
      <c r="A61" s="27" t="inlineStr">
        <is>
          <t>OpenDART_fnlttSinglAcntAll</t>
        </is>
      </c>
      <c r="B61" s="27" t="inlineStr">
        <is>
          <t>00118804</t>
        </is>
      </c>
      <c r="C61" s="27" t="inlineStr">
        <is>
          <t>동진쎄미켐</t>
        </is>
      </c>
      <c r="D61" s="27" t="inlineStr">
        <is>
          <t>dongjin_semichem</t>
        </is>
      </c>
      <c r="E61" s="27" t="inlineStr">
        <is>
          <t>005290</t>
        </is>
      </c>
      <c r="F61" s="27" t="inlineStr">
        <is>
          <t>2021</t>
        </is>
      </c>
      <c r="G61" s="27" t="inlineStr">
        <is>
          <t>CFS</t>
        </is>
      </c>
      <c r="H61" s="27" t="inlineStr">
        <is>
          <t>CIS</t>
        </is>
      </c>
      <c r="I61" s="27" t="inlineStr">
        <is>
          <t>포괄손익계산서</t>
        </is>
      </c>
      <c r="J61" s="27" t="inlineStr">
        <is>
          <t>-표준계정코드 미사용-</t>
        </is>
      </c>
      <c r="K61" s="27" t="inlineStr">
        <is>
          <t>후속기간에 당기손익으로 재분류되지 않는 포괄손익</t>
        </is>
      </c>
      <c r="L61" s="27" t="inlineStr">
        <is>
          <t>-</t>
        </is>
      </c>
      <c r="M61" s="27" t="inlineStr">
        <is>
          <t>제 49 기</t>
        </is>
      </c>
      <c r="N61" s="27" t="inlineStr">
        <is>
          <t>-2688655000.0</t>
        </is>
      </c>
      <c r="O61" s="27" t="inlineStr">
        <is>
          <t>-1622176100.0</t>
        </is>
      </c>
      <c r="P61" s="27" t="inlineStr">
        <is>
          <t>KRW</t>
        </is>
      </c>
      <c r="Q61" s="27" t="inlineStr">
        <is>
          <t>17</t>
        </is>
      </c>
    </row>
    <row r="62" ht="24" customHeight="1">
      <c r="A62" s="32" t="inlineStr">
        <is>
          <t>OpenDART_fnlttSinglAcntAll</t>
        </is>
      </c>
      <c r="B62" s="32" t="inlineStr">
        <is>
          <t>00118804</t>
        </is>
      </c>
      <c r="C62" s="32" t="inlineStr">
        <is>
          <t>동진쎄미켐</t>
        </is>
      </c>
      <c r="D62" s="32" t="inlineStr">
        <is>
          <t>dongjin_semichem</t>
        </is>
      </c>
      <c r="E62" s="32" t="inlineStr">
        <is>
          <t>005290</t>
        </is>
      </c>
      <c r="F62" s="32" t="inlineStr">
        <is>
          <t>2021</t>
        </is>
      </c>
      <c r="G62" s="32" t="inlineStr">
        <is>
          <t>CFS</t>
        </is>
      </c>
      <c r="H62" s="32" t="inlineStr">
        <is>
          <t>CIS</t>
        </is>
      </c>
      <c r="I62" s="32" t="inlineStr">
        <is>
          <t>포괄손익계산서</t>
        </is>
      </c>
      <c r="J62" s="32" t="inlineStr">
        <is>
          <t>-표준계정코드 미사용-</t>
        </is>
      </c>
      <c r="K62" s="32" t="inlineStr">
        <is>
          <t>순확정급여부채 재측정요소</t>
        </is>
      </c>
      <c r="L62" s="32" t="inlineStr">
        <is>
          <t>-</t>
        </is>
      </c>
      <c r="M62" s="32" t="inlineStr">
        <is>
          <t>제 49 기</t>
        </is>
      </c>
      <c r="N62" s="32" t="inlineStr">
        <is>
          <t>-3546397547.0</t>
        </is>
      </c>
      <c r="O62" s="32" t="inlineStr">
        <is>
          <t>-2140920558.0</t>
        </is>
      </c>
      <c r="P62" s="32" t="inlineStr">
        <is>
          <t>KRW</t>
        </is>
      </c>
      <c r="Q62" s="32" t="inlineStr">
        <is>
          <t>18</t>
        </is>
      </c>
    </row>
    <row r="63" ht="24" customHeight="1">
      <c r="A63" s="27" t="inlineStr">
        <is>
          <t>OpenDART_fnlttSinglAcntAll</t>
        </is>
      </c>
      <c r="B63" s="27" t="inlineStr">
        <is>
          <t>00118804</t>
        </is>
      </c>
      <c r="C63" s="27" t="inlineStr">
        <is>
          <t>동진쎄미켐</t>
        </is>
      </c>
      <c r="D63" s="27" t="inlineStr">
        <is>
          <t>dongjin_semichem</t>
        </is>
      </c>
      <c r="E63" s="27" t="inlineStr">
        <is>
          <t>005290</t>
        </is>
      </c>
      <c r="F63" s="27" t="inlineStr">
        <is>
          <t>2021</t>
        </is>
      </c>
      <c r="G63" s="27" t="inlineStr">
        <is>
          <t>CFS</t>
        </is>
      </c>
      <c r="H63" s="27" t="inlineStr">
        <is>
          <t>CIS</t>
        </is>
      </c>
      <c r="I63" s="27" t="inlineStr">
        <is>
          <t>포괄손익계산서</t>
        </is>
      </c>
      <c r="J63" s="27" t="inlineStr">
        <is>
          <t>-표준계정코드 미사용-</t>
        </is>
      </c>
      <c r="K63" s="27" t="inlineStr">
        <is>
          <t>법인세효과</t>
        </is>
      </c>
      <c r="L63" s="27" t="inlineStr">
        <is>
          <t>-</t>
        </is>
      </c>
      <c r="M63" s="27" t="inlineStr">
        <is>
          <t>제 49 기</t>
        </is>
      </c>
      <c r="N63" s="27" t="inlineStr">
        <is>
          <t>857742547.0</t>
        </is>
      </c>
      <c r="O63" s="27" t="inlineStr">
        <is>
          <t>518744458.0</t>
        </is>
      </c>
      <c r="P63" s="27" t="inlineStr">
        <is>
          <t>KRW</t>
        </is>
      </c>
      <c r="Q63" s="27" t="inlineStr">
        <is>
          <t>19</t>
        </is>
      </c>
    </row>
    <row r="64" ht="24" customHeight="1">
      <c r="A64" s="32" t="inlineStr">
        <is>
          <t>OpenDART_fnlttSinglAcntAll</t>
        </is>
      </c>
      <c r="B64" s="32" t="inlineStr">
        <is>
          <t>00118804</t>
        </is>
      </c>
      <c r="C64" s="32" t="inlineStr">
        <is>
          <t>동진쎄미켐</t>
        </is>
      </c>
      <c r="D64" s="32" t="inlineStr">
        <is>
          <t>dongjin_semichem</t>
        </is>
      </c>
      <c r="E64" s="32" t="inlineStr">
        <is>
          <t>005290</t>
        </is>
      </c>
      <c r="F64" s="32" t="inlineStr">
        <is>
          <t>2021</t>
        </is>
      </c>
      <c r="G64" s="32" t="inlineStr">
        <is>
          <t>CFS</t>
        </is>
      </c>
      <c r="H64" s="32" t="inlineStr">
        <is>
          <t>CIS</t>
        </is>
      </c>
      <c r="I64" s="32" t="inlineStr">
        <is>
          <t>포괄손익계산서</t>
        </is>
      </c>
      <c r="J64" s="32" t="inlineStr">
        <is>
          <t>dart_OtherComprehensiveIncomeThatWillBeReclassifiedToProfitOrLossNetOfTax</t>
        </is>
      </c>
      <c r="K64" s="32" t="inlineStr">
        <is>
          <t>후속기간에 당기손익으로 재분류되는 포괄손익</t>
        </is>
      </c>
      <c r="L64" s="32" t="inlineStr">
        <is>
          <t>-</t>
        </is>
      </c>
      <c r="M64" s="32" t="inlineStr">
        <is>
          <t>제 49 기</t>
        </is>
      </c>
      <c r="N64" s="32" t="inlineStr">
        <is>
          <t>23727856218.0</t>
        </is>
      </c>
      <c r="O64" s="32" t="inlineStr">
        <is>
          <t>-1576375924.0</t>
        </is>
      </c>
      <c r="P64" s="32" t="inlineStr">
        <is>
          <t>KRW</t>
        </is>
      </c>
      <c r="Q64" s="32" t="inlineStr">
        <is>
          <t>20</t>
        </is>
      </c>
    </row>
    <row r="65" ht="24" customHeight="1">
      <c r="A65" s="27" t="inlineStr">
        <is>
          <t>OpenDART_fnlttSinglAcntAll</t>
        </is>
      </c>
      <c r="B65" s="27" t="inlineStr">
        <is>
          <t>00118804</t>
        </is>
      </c>
      <c r="C65" s="27" t="inlineStr">
        <is>
          <t>동진쎄미켐</t>
        </is>
      </c>
      <c r="D65" s="27" t="inlineStr">
        <is>
          <t>dongjin_semichem</t>
        </is>
      </c>
      <c r="E65" s="27" t="inlineStr">
        <is>
          <t>005290</t>
        </is>
      </c>
      <c r="F65" s="27" t="inlineStr">
        <is>
          <t>2021</t>
        </is>
      </c>
      <c r="G65" s="27" t="inlineStr">
        <is>
          <t>CFS</t>
        </is>
      </c>
      <c r="H65" s="27" t="inlineStr">
        <is>
          <t>CIS</t>
        </is>
      </c>
      <c r="I65" s="27" t="inlineStr">
        <is>
          <t>포괄손익계산서</t>
        </is>
      </c>
      <c r="J65" s="27" t="inlineStr">
        <is>
          <t>-표준계정코드 미사용-</t>
        </is>
      </c>
      <c r="K65" s="27" t="inlineStr">
        <is>
          <t>지분법자본변동</t>
        </is>
      </c>
      <c r="L65" s="27" t="inlineStr">
        <is>
          <t>-</t>
        </is>
      </c>
      <c r="M65" s="27" t="inlineStr">
        <is>
          <t>제 49 기</t>
        </is>
      </c>
      <c r="N65" s="27" t="inlineStr">
        <is>
          <t>-85632687.0</t>
        </is>
      </c>
      <c r="O65" s="27" t="inlineStr">
        <is>
          <t>91554123.0</t>
        </is>
      </c>
      <c r="P65" s="27" t="inlineStr">
        <is>
          <t>KRW</t>
        </is>
      </c>
      <c r="Q65" s="27" t="inlineStr">
        <is>
          <t>21</t>
        </is>
      </c>
    </row>
    <row r="66" ht="24" customHeight="1">
      <c r="A66" s="32" t="inlineStr">
        <is>
          <t>OpenDART_fnlttSinglAcntAll</t>
        </is>
      </c>
      <c r="B66" s="32" t="inlineStr">
        <is>
          <t>00118804</t>
        </is>
      </c>
      <c r="C66" s="32" t="inlineStr">
        <is>
          <t>동진쎄미켐</t>
        </is>
      </c>
      <c r="D66" s="32" t="inlineStr">
        <is>
          <t>dongjin_semichem</t>
        </is>
      </c>
      <c r="E66" s="32" t="inlineStr">
        <is>
          <t>005290</t>
        </is>
      </c>
      <c r="F66" s="32" t="inlineStr">
        <is>
          <t>2021</t>
        </is>
      </c>
      <c r="G66" s="32" t="inlineStr">
        <is>
          <t>CFS</t>
        </is>
      </c>
      <c r="H66" s="32" t="inlineStr">
        <is>
          <t>CIS</t>
        </is>
      </c>
      <c r="I66" s="32" t="inlineStr">
        <is>
          <t>포괄손익계산서</t>
        </is>
      </c>
      <c r="J66" s="32" t="inlineStr">
        <is>
          <t>-표준계정코드 미사용-</t>
        </is>
      </c>
      <c r="K66" s="32" t="inlineStr">
        <is>
          <t>해외사업환산손익</t>
        </is>
      </c>
      <c r="L66" s="32" t="inlineStr">
        <is>
          <t>-</t>
        </is>
      </c>
      <c r="M66" s="32" t="inlineStr">
        <is>
          <t>제 49 기</t>
        </is>
      </c>
      <c r="N66" s="32" t="inlineStr">
        <is>
          <t>23814106190.0</t>
        </is>
      </c>
      <c r="O66" s="32" t="inlineStr">
        <is>
          <t>-1667930047.0</t>
        </is>
      </c>
      <c r="P66" s="32" t="inlineStr">
        <is>
          <t>KRW</t>
        </is>
      </c>
      <c r="Q66" s="32" t="inlineStr">
        <is>
          <t>22</t>
        </is>
      </c>
    </row>
    <row r="67" ht="24" customHeight="1">
      <c r="A67" s="27" t="inlineStr">
        <is>
          <t>OpenDART_fnlttSinglAcntAll</t>
        </is>
      </c>
      <c r="B67" s="27" t="inlineStr">
        <is>
          <t>00118804</t>
        </is>
      </c>
      <c r="C67" s="27" t="inlineStr">
        <is>
          <t>동진쎄미켐</t>
        </is>
      </c>
      <c r="D67" s="27" t="inlineStr">
        <is>
          <t>dongjin_semichem</t>
        </is>
      </c>
      <c r="E67" s="27" t="inlineStr">
        <is>
          <t>005290</t>
        </is>
      </c>
      <c r="F67" s="27" t="inlineStr">
        <is>
          <t>2021</t>
        </is>
      </c>
      <c r="G67" s="27" t="inlineStr">
        <is>
          <t>CFS</t>
        </is>
      </c>
      <c r="H67" s="27" t="inlineStr">
        <is>
          <t>CIS</t>
        </is>
      </c>
      <c r="I67" s="27" t="inlineStr">
        <is>
          <t>포괄손익계산서</t>
        </is>
      </c>
      <c r="J67" s="27" t="inlineStr">
        <is>
          <t>-표준계정코드 미사용-</t>
        </is>
      </c>
      <c r="K67" s="27" t="inlineStr">
        <is>
          <t>법인세효과</t>
        </is>
      </c>
      <c r="L67" s="27" t="inlineStr">
        <is>
          <t>-</t>
        </is>
      </c>
      <c r="M67" s="27" t="inlineStr">
        <is>
          <t>제 49 기</t>
        </is>
      </c>
      <c r="N67" s="27" t="inlineStr">
        <is>
          <t>-617285.0</t>
        </is>
      </c>
      <c r="O67" s="27" t="inlineStr">
        <is>
          <t>0.0</t>
        </is>
      </c>
      <c r="P67" s="27" t="inlineStr">
        <is>
          <t>KRW</t>
        </is>
      </c>
      <c r="Q67" s="27" t="inlineStr">
        <is>
          <t>23</t>
        </is>
      </c>
    </row>
    <row r="68" ht="24" customHeight="1">
      <c r="A68" s="32" t="inlineStr">
        <is>
          <t>OpenDART_fnlttSinglAcntAll</t>
        </is>
      </c>
      <c r="B68" s="32" t="inlineStr">
        <is>
          <t>00118804</t>
        </is>
      </c>
      <c r="C68" s="32" t="inlineStr">
        <is>
          <t>동진쎄미켐</t>
        </is>
      </c>
      <c r="D68" s="32" t="inlineStr">
        <is>
          <t>dongjin_semichem</t>
        </is>
      </c>
      <c r="E68" s="32" t="inlineStr">
        <is>
          <t>005290</t>
        </is>
      </c>
      <c r="F68" s="32" t="inlineStr">
        <is>
          <t>2021</t>
        </is>
      </c>
      <c r="G68" s="32" t="inlineStr">
        <is>
          <t>CFS</t>
        </is>
      </c>
      <c r="H68" s="32" t="inlineStr">
        <is>
          <t>CIS</t>
        </is>
      </c>
      <c r="I68" s="32" t="inlineStr">
        <is>
          <t>포괄손익계산서</t>
        </is>
      </c>
      <c r="J68" s="32" t="inlineStr">
        <is>
          <t>ifrs-full_ComprehensiveIncome</t>
        </is>
      </c>
      <c r="K68" s="32" t="inlineStr">
        <is>
          <t>총포괄손익</t>
        </is>
      </c>
      <c r="L68" s="32" t="inlineStr">
        <is>
          <t>-</t>
        </is>
      </c>
      <c r="M68" s="32" t="inlineStr">
        <is>
          <t>제 49 기</t>
        </is>
      </c>
      <c r="N68" s="32" t="inlineStr">
        <is>
          <t>123918426035.0</t>
        </is>
      </c>
      <c r="O68" s="32" t="inlineStr">
        <is>
          <t>82059351438.0</t>
        </is>
      </c>
      <c r="P68" s="32" t="inlineStr">
        <is>
          <t>KRW</t>
        </is>
      </c>
      <c r="Q68" s="32" t="inlineStr">
        <is>
          <t>24</t>
        </is>
      </c>
    </row>
    <row r="69" ht="24" customHeight="1">
      <c r="A69" s="27" t="inlineStr">
        <is>
          <t>OpenDART_fnlttSinglAcntAll</t>
        </is>
      </c>
      <c r="B69" s="27" t="inlineStr">
        <is>
          <t>00118804</t>
        </is>
      </c>
      <c r="C69" s="27" t="inlineStr">
        <is>
          <t>동진쎄미켐</t>
        </is>
      </c>
      <c r="D69" s="27" t="inlineStr">
        <is>
          <t>dongjin_semichem</t>
        </is>
      </c>
      <c r="E69" s="27" t="inlineStr">
        <is>
          <t>005290</t>
        </is>
      </c>
      <c r="F69" s="27" t="inlineStr">
        <is>
          <t>2021</t>
        </is>
      </c>
      <c r="G69" s="27" t="inlineStr">
        <is>
          <t>CFS</t>
        </is>
      </c>
      <c r="H69" s="27" t="inlineStr">
        <is>
          <t>CIS</t>
        </is>
      </c>
      <c r="I69" s="27" t="inlineStr">
        <is>
          <t>포괄손익계산서</t>
        </is>
      </c>
      <c r="J69" s="27" t="inlineStr">
        <is>
          <t>ifrs-full_ProfitLossAttributableToOwnersOfParent</t>
        </is>
      </c>
      <c r="K69" s="27" t="inlineStr">
        <is>
          <t>지배기업 소유주지분</t>
        </is>
      </c>
      <c r="L69" s="27" t="inlineStr">
        <is>
          <t>-</t>
        </is>
      </c>
      <c r="M69" s="27" t="inlineStr">
        <is>
          <t>제 49 기</t>
        </is>
      </c>
      <c r="N69" s="27" t="inlineStr">
        <is>
          <t>103264491777.0</t>
        </is>
      </c>
      <c r="O69" s="27" t="inlineStr">
        <is>
          <t>85249088452.0</t>
        </is>
      </c>
      <c r="P69" s="27" t="inlineStr">
        <is>
          <t>KRW</t>
        </is>
      </c>
      <c r="Q69" s="27" t="inlineStr">
        <is>
          <t>26</t>
        </is>
      </c>
    </row>
    <row r="70" ht="24" customHeight="1">
      <c r="A70" s="32" t="inlineStr">
        <is>
          <t>OpenDART_fnlttSinglAcntAll</t>
        </is>
      </c>
      <c r="B70" s="32" t="inlineStr">
        <is>
          <t>00118804</t>
        </is>
      </c>
      <c r="C70" s="32" t="inlineStr">
        <is>
          <t>동진쎄미켐</t>
        </is>
      </c>
      <c r="D70" s="32" t="inlineStr">
        <is>
          <t>dongjin_semichem</t>
        </is>
      </c>
      <c r="E70" s="32" t="inlineStr">
        <is>
          <t>005290</t>
        </is>
      </c>
      <c r="F70" s="32" t="inlineStr">
        <is>
          <t>2021</t>
        </is>
      </c>
      <c r="G70" s="32" t="inlineStr">
        <is>
          <t>CFS</t>
        </is>
      </c>
      <c r="H70" s="32" t="inlineStr">
        <is>
          <t>CIS</t>
        </is>
      </c>
      <c r="I70" s="32" t="inlineStr">
        <is>
          <t>포괄손익계산서</t>
        </is>
      </c>
      <c r="J70" s="32" t="inlineStr">
        <is>
          <t>ifrs-full_ProfitLossAttributableToNoncontrollingInterests</t>
        </is>
      </c>
      <c r="K70" s="32" t="inlineStr">
        <is>
          <t>비지배지분</t>
        </is>
      </c>
      <c r="L70" s="32" t="inlineStr">
        <is>
          <t>-</t>
        </is>
      </c>
      <c r="M70" s="32" t="inlineStr">
        <is>
          <t>제 49 기</t>
        </is>
      </c>
      <c r="N70" s="32" t="inlineStr">
        <is>
          <t>-385266960.0</t>
        </is>
      </c>
      <c r="O70" s="32" t="inlineStr">
        <is>
          <t>8815010.0</t>
        </is>
      </c>
      <c r="P70" s="32" t="inlineStr">
        <is>
          <t>KRW</t>
        </is>
      </c>
      <c r="Q70" s="32" t="inlineStr">
        <is>
          <t>27</t>
        </is>
      </c>
    </row>
    <row r="71" ht="24" customHeight="1">
      <c r="A71" s="27" t="inlineStr">
        <is>
          <t>OpenDART_fnlttSinglAcntAll</t>
        </is>
      </c>
      <c r="B71" s="27" t="inlineStr">
        <is>
          <t>00118804</t>
        </is>
      </c>
      <c r="C71" s="27" t="inlineStr">
        <is>
          <t>동진쎄미켐</t>
        </is>
      </c>
      <c r="D71" s="27" t="inlineStr">
        <is>
          <t>dongjin_semichem</t>
        </is>
      </c>
      <c r="E71" s="27" t="inlineStr">
        <is>
          <t>005290</t>
        </is>
      </c>
      <c r="F71" s="27" t="inlineStr">
        <is>
          <t>2021</t>
        </is>
      </c>
      <c r="G71" s="27" t="inlineStr">
        <is>
          <t>CFS</t>
        </is>
      </c>
      <c r="H71" s="27" t="inlineStr">
        <is>
          <t>CIS</t>
        </is>
      </c>
      <c r="I71" s="27" t="inlineStr">
        <is>
          <t>포괄손익계산서</t>
        </is>
      </c>
      <c r="J71" s="27" t="inlineStr">
        <is>
          <t>ifrs-full_ComprehensiveIncomeAttributableToOwnersOfParent</t>
        </is>
      </c>
      <c r="K71" s="27" t="inlineStr">
        <is>
          <t>지배기업 소유주지분</t>
        </is>
      </c>
      <c r="L71" s="27" t="inlineStr">
        <is>
          <t>-</t>
        </is>
      </c>
      <c r="M71" s="27" t="inlineStr">
        <is>
          <t>제 49 기</t>
        </is>
      </c>
      <c r="N71" s="27" t="inlineStr">
        <is>
          <t>124142595665.0</t>
        </is>
      </c>
      <c r="O71" s="27" t="inlineStr">
        <is>
          <t>82047114466.0</t>
        </is>
      </c>
      <c r="P71" s="27" t="inlineStr">
        <is>
          <t>KRW</t>
        </is>
      </c>
      <c r="Q71" s="27" t="inlineStr">
        <is>
          <t>29</t>
        </is>
      </c>
    </row>
    <row r="72" ht="24" customHeight="1">
      <c r="A72" s="32" t="inlineStr">
        <is>
          <t>OpenDART_fnlttSinglAcntAll</t>
        </is>
      </c>
      <c r="B72" s="32" t="inlineStr">
        <is>
          <t>00118804</t>
        </is>
      </c>
      <c r="C72" s="32" t="inlineStr">
        <is>
          <t>동진쎄미켐</t>
        </is>
      </c>
      <c r="D72" s="32" t="inlineStr">
        <is>
          <t>dongjin_semichem</t>
        </is>
      </c>
      <c r="E72" s="32" t="inlineStr">
        <is>
          <t>005290</t>
        </is>
      </c>
      <c r="F72" s="32" t="inlineStr">
        <is>
          <t>2021</t>
        </is>
      </c>
      <c r="G72" s="32" t="inlineStr">
        <is>
          <t>CFS</t>
        </is>
      </c>
      <c r="H72" s="32" t="inlineStr">
        <is>
          <t>CIS</t>
        </is>
      </c>
      <c r="I72" s="32" t="inlineStr">
        <is>
          <t>포괄손익계산서</t>
        </is>
      </c>
      <c r="J72" s="32" t="inlineStr">
        <is>
          <t>ifrs-full_ComprehensiveIncomeAttributableToNoncontrollingInterests</t>
        </is>
      </c>
      <c r="K72" s="32" t="inlineStr">
        <is>
          <t>비지배지분</t>
        </is>
      </c>
      <c r="L72" s="32" t="inlineStr">
        <is>
          <t>-</t>
        </is>
      </c>
      <c r="M72" s="32" t="inlineStr">
        <is>
          <t>제 49 기</t>
        </is>
      </c>
      <c r="N72" s="32" t="inlineStr">
        <is>
          <t>-224169630.0</t>
        </is>
      </c>
      <c r="O72" s="32" t="inlineStr">
        <is>
          <t>12236972.0</t>
        </is>
      </c>
      <c r="P72" s="32" t="inlineStr">
        <is>
          <t>KRW</t>
        </is>
      </c>
      <c r="Q72" s="32" t="inlineStr">
        <is>
          <t>30</t>
        </is>
      </c>
    </row>
    <row r="73" ht="24" customHeight="1">
      <c r="A73" s="27" t="inlineStr">
        <is>
          <t>OpenDART_fnlttSinglAcntAll</t>
        </is>
      </c>
      <c r="B73" s="27" t="inlineStr">
        <is>
          <t>00118804</t>
        </is>
      </c>
      <c r="C73" s="27" t="inlineStr">
        <is>
          <t>동진쎄미켐</t>
        </is>
      </c>
      <c r="D73" s="27" t="inlineStr">
        <is>
          <t>dongjin_semichem</t>
        </is>
      </c>
      <c r="E73" s="27" t="inlineStr">
        <is>
          <t>005290</t>
        </is>
      </c>
      <c r="F73" s="27" t="inlineStr">
        <is>
          <t>2021</t>
        </is>
      </c>
      <c r="G73" s="27" t="inlineStr">
        <is>
          <t>CFS</t>
        </is>
      </c>
      <c r="H73" s="27" t="inlineStr">
        <is>
          <t>CIS</t>
        </is>
      </c>
      <c r="I73" s="27" t="inlineStr">
        <is>
          <t>포괄손익계산서</t>
        </is>
      </c>
      <c r="J73" s="27" t="inlineStr">
        <is>
          <t>ifrs-full_BasicEarningsLossPerShare</t>
        </is>
      </c>
      <c r="K73" s="27" t="inlineStr">
        <is>
          <t>기본주당이익(손실)</t>
        </is>
      </c>
      <c r="L73" s="27" t="inlineStr">
        <is>
          <t>-</t>
        </is>
      </c>
      <c r="M73" s="27" t="inlineStr">
        <is>
          <t>제 49 기</t>
        </is>
      </c>
      <c r="N73" s="27" t="inlineStr">
        <is>
          <t>2008.0</t>
        </is>
      </c>
      <c r="O73" s="27" t="inlineStr">
        <is>
          <t>1658.0</t>
        </is>
      </c>
      <c r="P73" s="27" t="inlineStr">
        <is>
          <t>KRW</t>
        </is>
      </c>
      <c r="Q73" s="27" t="inlineStr">
        <is>
          <t>32</t>
        </is>
      </c>
    </row>
    <row r="74" ht="24" customHeight="1">
      <c r="A74" s="32" t="inlineStr">
        <is>
          <t>OpenDART_fnlttSinglAcntAll</t>
        </is>
      </c>
      <c r="B74" s="32" t="inlineStr">
        <is>
          <t>00118804</t>
        </is>
      </c>
      <c r="C74" s="32" t="inlineStr">
        <is>
          <t>동진쎄미켐</t>
        </is>
      </c>
      <c r="D74" s="32" t="inlineStr">
        <is>
          <t>dongjin_semichem</t>
        </is>
      </c>
      <c r="E74" s="32" t="inlineStr">
        <is>
          <t>005290</t>
        </is>
      </c>
      <c r="F74" s="32" t="inlineStr">
        <is>
          <t>2021</t>
        </is>
      </c>
      <c r="G74" s="32" t="inlineStr">
        <is>
          <t>CFS</t>
        </is>
      </c>
      <c r="H74" s="32" t="inlineStr">
        <is>
          <t>CIS</t>
        </is>
      </c>
      <c r="I74" s="32" t="inlineStr">
        <is>
          <t>포괄손익계산서</t>
        </is>
      </c>
      <c r="J74" s="32" t="inlineStr">
        <is>
          <t>ifrs-full_DilutedEarningsLossPerShare</t>
        </is>
      </c>
      <c r="K74" s="32" t="inlineStr">
        <is>
          <t>희석주당이익(손실)</t>
        </is>
      </c>
      <c r="L74" s="32" t="inlineStr">
        <is>
          <t>-</t>
        </is>
      </c>
      <c r="M74" s="32" t="inlineStr">
        <is>
          <t>제 49 기</t>
        </is>
      </c>
      <c r="N74" s="32" t="inlineStr">
        <is>
          <t>2008.0</t>
        </is>
      </c>
      <c r="O74" s="32" t="inlineStr">
        <is>
          <t>1658.0</t>
        </is>
      </c>
      <c r="P74" s="32" t="inlineStr">
        <is>
          <t>KRW</t>
        </is>
      </c>
      <c r="Q74" s="32" t="inlineStr">
        <is>
          <t>33</t>
        </is>
      </c>
    </row>
    <row r="75" ht="24" customHeight="1">
      <c r="A75" s="27" t="inlineStr">
        <is>
          <t>OpenDART_fnlttSinglAcntAll</t>
        </is>
      </c>
      <c r="B75" s="27" t="inlineStr">
        <is>
          <t>00118804</t>
        </is>
      </c>
      <c r="C75" s="27" t="inlineStr">
        <is>
          <t>동진쎄미켐</t>
        </is>
      </c>
      <c r="D75" s="27" t="inlineStr">
        <is>
          <t>dongjin_semichem</t>
        </is>
      </c>
      <c r="E75" s="27" t="inlineStr">
        <is>
          <t>005290</t>
        </is>
      </c>
      <c r="F75" s="27" t="inlineStr">
        <is>
          <t>2021</t>
        </is>
      </c>
      <c r="G75" s="27" t="inlineStr">
        <is>
          <t>CFS</t>
        </is>
      </c>
      <c r="H75" s="27" t="inlineStr">
        <is>
          <t>CF</t>
        </is>
      </c>
      <c r="I75" s="27" t="inlineStr">
        <is>
          <t>현금흐름표</t>
        </is>
      </c>
      <c r="J75" s="27" t="inlineStr">
        <is>
          <t>ifrs-full_CashFlowsFromUsedInOperatingActivities</t>
        </is>
      </c>
      <c r="K75" s="27" t="inlineStr">
        <is>
          <t>영업활동현금흐름</t>
        </is>
      </c>
      <c r="L75" s="27" t="inlineStr">
        <is>
          <t>-</t>
        </is>
      </c>
      <c r="M75" s="27" t="inlineStr">
        <is>
          <t>제 49 기</t>
        </is>
      </c>
      <c r="N75" s="27" t="inlineStr">
        <is>
          <t>76098753709.0</t>
        </is>
      </c>
      <c r="O75" s="27" t="inlineStr">
        <is>
          <t>130241209519.0</t>
        </is>
      </c>
      <c r="P75" s="27" t="inlineStr">
        <is>
          <t>KRW</t>
        </is>
      </c>
      <c r="Q75" s="27" t="inlineStr">
        <is>
          <t>0</t>
        </is>
      </c>
    </row>
    <row r="76" ht="24" customHeight="1">
      <c r="A76" s="32" t="inlineStr">
        <is>
          <t>OpenDART_fnlttSinglAcntAll</t>
        </is>
      </c>
      <c r="B76" s="32" t="inlineStr">
        <is>
          <t>00118804</t>
        </is>
      </c>
      <c r="C76" s="32" t="inlineStr">
        <is>
          <t>동진쎄미켐</t>
        </is>
      </c>
      <c r="D76" s="32" t="inlineStr">
        <is>
          <t>dongjin_semichem</t>
        </is>
      </c>
      <c r="E76" s="32" t="inlineStr">
        <is>
          <t>005290</t>
        </is>
      </c>
      <c r="F76" s="32" t="inlineStr">
        <is>
          <t>2021</t>
        </is>
      </c>
      <c r="G76" s="32" t="inlineStr">
        <is>
          <t>CFS</t>
        </is>
      </c>
      <c r="H76" s="32" t="inlineStr">
        <is>
          <t>CF</t>
        </is>
      </c>
      <c r="I76" s="32" t="inlineStr">
        <is>
          <t>현금흐름표</t>
        </is>
      </c>
      <c r="J76" s="32" t="inlineStr">
        <is>
          <t>dart_ProfitLossForStatementOfCashFlows</t>
        </is>
      </c>
      <c r="K76" s="32" t="inlineStr">
        <is>
          <t>당기순이익</t>
        </is>
      </c>
      <c r="L76" s="32" t="inlineStr">
        <is>
          <t>-</t>
        </is>
      </c>
      <c r="M76" s="32" t="inlineStr">
        <is>
          <t>제 49 기</t>
        </is>
      </c>
      <c r="N76" s="32" t="inlineStr">
        <is>
          <t>102879224817.0</t>
        </is>
      </c>
      <c r="O76" s="32" t="inlineStr">
        <is>
          <t>85257903462.0</t>
        </is>
      </c>
      <c r="P76" s="32" t="inlineStr">
        <is>
          <t>KRW</t>
        </is>
      </c>
      <c r="Q76" s="32" t="inlineStr">
        <is>
          <t>1</t>
        </is>
      </c>
    </row>
    <row r="77" ht="24" customHeight="1">
      <c r="A77" s="27" t="inlineStr">
        <is>
          <t>OpenDART_fnlttSinglAcntAll</t>
        </is>
      </c>
      <c r="B77" s="27" t="inlineStr">
        <is>
          <t>00118804</t>
        </is>
      </c>
      <c r="C77" s="27" t="inlineStr">
        <is>
          <t>동진쎄미켐</t>
        </is>
      </c>
      <c r="D77" s="27" t="inlineStr">
        <is>
          <t>dongjin_semichem</t>
        </is>
      </c>
      <c r="E77" s="27" t="inlineStr">
        <is>
          <t>005290</t>
        </is>
      </c>
      <c r="F77" s="27" t="inlineStr">
        <is>
          <t>2021</t>
        </is>
      </c>
      <c r="G77" s="27" t="inlineStr">
        <is>
          <t>CFS</t>
        </is>
      </c>
      <c r="H77" s="27" t="inlineStr">
        <is>
          <t>CF</t>
        </is>
      </c>
      <c r="I77" s="27" t="inlineStr">
        <is>
          <t>현금흐름표</t>
        </is>
      </c>
      <c r="J77" s="27" t="inlineStr">
        <is>
          <t>ifrs-full_AdjustmentsForReconcileProfitLoss</t>
        </is>
      </c>
      <c r="K77" s="27" t="inlineStr">
        <is>
          <t>가감</t>
        </is>
      </c>
      <c r="L77" s="27" t="inlineStr">
        <is>
          <t>-</t>
        </is>
      </c>
      <c r="M77" s="27" t="inlineStr">
        <is>
          <t>제 49 기</t>
        </is>
      </c>
      <c r="N77" s="27" t="inlineStr">
        <is>
          <t>98705009885.0</t>
        </is>
      </c>
      <c r="O77" s="27" t="inlineStr">
        <is>
          <t>104191562773.0</t>
        </is>
      </c>
      <c r="P77" s="27" t="inlineStr">
        <is>
          <t>KRW</t>
        </is>
      </c>
      <c r="Q77" s="27" t="inlineStr">
        <is>
          <t>2</t>
        </is>
      </c>
    </row>
    <row r="78" ht="24" customHeight="1">
      <c r="A78" s="32" t="inlineStr">
        <is>
          <t>OpenDART_fnlttSinglAcntAll</t>
        </is>
      </c>
      <c r="B78" s="32" t="inlineStr">
        <is>
          <t>00118804</t>
        </is>
      </c>
      <c r="C78" s="32" t="inlineStr">
        <is>
          <t>동진쎄미켐</t>
        </is>
      </c>
      <c r="D78" s="32" t="inlineStr">
        <is>
          <t>dongjin_semichem</t>
        </is>
      </c>
      <c r="E78" s="32" t="inlineStr">
        <is>
          <t>005290</t>
        </is>
      </c>
      <c r="F78" s="32" t="inlineStr">
        <is>
          <t>2021</t>
        </is>
      </c>
      <c r="G78" s="32" t="inlineStr">
        <is>
          <t>CFS</t>
        </is>
      </c>
      <c r="H78" s="32" t="inlineStr">
        <is>
          <t>CF</t>
        </is>
      </c>
      <c r="I78" s="32" t="inlineStr">
        <is>
          <t>현금흐름표</t>
        </is>
      </c>
      <c r="J78" s="32" t="inlineStr">
        <is>
          <t>dart_AdjustmentsForProvisionForSeveranceIndemnities</t>
        </is>
      </c>
      <c r="K78" s="32" t="inlineStr">
        <is>
          <t>퇴직급여</t>
        </is>
      </c>
      <c r="L78" s="32" t="inlineStr">
        <is>
          <t>-</t>
        </is>
      </c>
      <c r="M78" s="32" t="inlineStr">
        <is>
          <t>제 49 기</t>
        </is>
      </c>
      <c r="N78" s="32" t="inlineStr">
        <is>
          <t>6072846604.0</t>
        </is>
      </c>
      <c r="O78" s="32" t="inlineStr">
        <is>
          <t>6008677572.0</t>
        </is>
      </c>
      <c r="P78" s="32" t="inlineStr">
        <is>
          <t>KRW</t>
        </is>
      </c>
      <c r="Q78" s="32" t="inlineStr">
        <is>
          <t>3</t>
        </is>
      </c>
    </row>
    <row r="79" ht="24" customHeight="1">
      <c r="A79" s="27" t="inlineStr">
        <is>
          <t>OpenDART_fnlttSinglAcntAll</t>
        </is>
      </c>
      <c r="B79" s="27" t="inlineStr">
        <is>
          <t>00118804</t>
        </is>
      </c>
      <c r="C79" s="27" t="inlineStr">
        <is>
          <t>동진쎄미켐</t>
        </is>
      </c>
      <c r="D79" s="27" t="inlineStr">
        <is>
          <t>dongjin_semichem</t>
        </is>
      </c>
      <c r="E79" s="27" t="inlineStr">
        <is>
          <t>005290</t>
        </is>
      </c>
      <c r="F79" s="27" t="inlineStr">
        <is>
          <t>2021</t>
        </is>
      </c>
      <c r="G79" s="27" t="inlineStr">
        <is>
          <t>CFS</t>
        </is>
      </c>
      <c r="H79" s="27" t="inlineStr">
        <is>
          <t>CF</t>
        </is>
      </c>
      <c r="I79" s="27" t="inlineStr">
        <is>
          <t>현금흐름표</t>
        </is>
      </c>
      <c r="J79" s="27" t="inlineStr">
        <is>
          <t>ifrs-full_AdjustmentsForIncomeTaxExpense</t>
        </is>
      </c>
      <c r="K79" s="27" t="inlineStr">
        <is>
          <t>법인세비용</t>
        </is>
      </c>
      <c r="L79" s="27" t="inlineStr">
        <is>
          <t>-</t>
        </is>
      </c>
      <c r="M79" s="27" t="inlineStr">
        <is>
          <t>제 49 기</t>
        </is>
      </c>
      <c r="N79" s="27" t="inlineStr">
        <is>
          <t>32917167433.0</t>
        </is>
      </c>
      <c r="O79" s="27" t="inlineStr">
        <is>
          <t>36701749580.0</t>
        </is>
      </c>
      <c r="P79" s="27" t="inlineStr">
        <is>
          <t>KRW</t>
        </is>
      </c>
      <c r="Q79" s="27" t="inlineStr">
        <is>
          <t>4</t>
        </is>
      </c>
    </row>
    <row r="80" ht="24" customHeight="1">
      <c r="A80" s="32" t="inlineStr">
        <is>
          <t>OpenDART_fnlttSinglAcntAll</t>
        </is>
      </c>
      <c r="B80" s="32" t="inlineStr">
        <is>
          <t>00118804</t>
        </is>
      </c>
      <c r="C80" s="32" t="inlineStr">
        <is>
          <t>동진쎄미켐</t>
        </is>
      </c>
      <c r="D80" s="32" t="inlineStr">
        <is>
          <t>dongjin_semichem</t>
        </is>
      </c>
      <c r="E80" s="32" t="inlineStr">
        <is>
          <t>005290</t>
        </is>
      </c>
      <c r="F80" s="32" t="inlineStr">
        <is>
          <t>2021</t>
        </is>
      </c>
      <c r="G80" s="32" t="inlineStr">
        <is>
          <t>CFS</t>
        </is>
      </c>
      <c r="H80" s="32" t="inlineStr">
        <is>
          <t>CF</t>
        </is>
      </c>
      <c r="I80" s="32" t="inlineStr">
        <is>
          <t>현금흐름표</t>
        </is>
      </c>
      <c r="J80" s="32" t="inlineStr">
        <is>
          <t>dart_AdjustmentsForDepreciationExpense</t>
        </is>
      </c>
      <c r="K80" s="32" t="inlineStr">
        <is>
          <t>감가상각비</t>
        </is>
      </c>
      <c r="L80" s="32" t="inlineStr">
        <is>
          <t>-</t>
        </is>
      </c>
      <c r="M80" s="32" t="inlineStr">
        <is>
          <t>제 49 기</t>
        </is>
      </c>
      <c r="N80" s="32" t="inlineStr">
        <is>
          <t>47289191301.0</t>
        </is>
      </c>
      <c r="O80" s="32" t="inlineStr">
        <is>
          <t>44437708361.0</t>
        </is>
      </c>
      <c r="P80" s="32" t="inlineStr">
        <is>
          <t>KRW</t>
        </is>
      </c>
      <c r="Q80" s="32" t="inlineStr">
        <is>
          <t>5</t>
        </is>
      </c>
    </row>
    <row r="81" ht="24" customHeight="1">
      <c r="A81" s="27" t="inlineStr">
        <is>
          <t>OpenDART_fnlttSinglAcntAll</t>
        </is>
      </c>
      <c r="B81" s="27" t="inlineStr">
        <is>
          <t>00118804</t>
        </is>
      </c>
      <c r="C81" s="27" t="inlineStr">
        <is>
          <t>동진쎄미켐</t>
        </is>
      </c>
      <c r="D81" s="27" t="inlineStr">
        <is>
          <t>dongjin_semichem</t>
        </is>
      </c>
      <c r="E81" s="27" t="inlineStr">
        <is>
          <t>005290</t>
        </is>
      </c>
      <c r="F81" s="27" t="inlineStr">
        <is>
          <t>2021</t>
        </is>
      </c>
      <c r="G81" s="27" t="inlineStr">
        <is>
          <t>CFS</t>
        </is>
      </c>
      <c r="H81" s="27" t="inlineStr">
        <is>
          <t>CF</t>
        </is>
      </c>
      <c r="I81" s="27" t="inlineStr">
        <is>
          <t>현금흐름표</t>
        </is>
      </c>
      <c r="J81" s="27" t="inlineStr">
        <is>
          <t>dart_AdjustmentsForLossesOnEvaluationOfInvestmentProperty</t>
        </is>
      </c>
      <c r="K81" s="27" t="inlineStr">
        <is>
          <t>투자부동산감가상각비</t>
        </is>
      </c>
      <c r="L81" s="27" t="inlineStr">
        <is>
          <t>-</t>
        </is>
      </c>
      <c r="M81" s="27" t="inlineStr">
        <is>
          <t>제 49 기</t>
        </is>
      </c>
      <c r="N81" s="27" t="inlineStr">
        <is>
          <t>113656368.0</t>
        </is>
      </c>
      <c r="O81" s="27" t="inlineStr">
        <is>
          <t>113656368.0</t>
        </is>
      </c>
      <c r="P81" s="27" t="inlineStr">
        <is>
          <t>KRW</t>
        </is>
      </c>
      <c r="Q81" s="27" t="inlineStr">
        <is>
          <t>6</t>
        </is>
      </c>
    </row>
    <row r="82" ht="24" customHeight="1">
      <c r="A82" s="32" t="inlineStr">
        <is>
          <t>OpenDART_fnlttSinglAcntAll</t>
        </is>
      </c>
      <c r="B82" s="32" t="inlineStr">
        <is>
          <t>00118804</t>
        </is>
      </c>
      <c r="C82" s="32" t="inlineStr">
        <is>
          <t>동진쎄미켐</t>
        </is>
      </c>
      <c r="D82" s="32" t="inlineStr">
        <is>
          <t>dongjin_semichem</t>
        </is>
      </c>
      <c r="E82" s="32" t="inlineStr">
        <is>
          <t>005290</t>
        </is>
      </c>
      <c r="F82" s="32" t="inlineStr">
        <is>
          <t>2021</t>
        </is>
      </c>
      <c r="G82" s="32" t="inlineStr">
        <is>
          <t>CFS</t>
        </is>
      </c>
      <c r="H82" s="32" t="inlineStr">
        <is>
          <t>CF</t>
        </is>
      </c>
      <c r="I82" s="32" t="inlineStr">
        <is>
          <t>현금흐름표</t>
        </is>
      </c>
      <c r="J82" s="32" t="inlineStr">
        <is>
          <t>dart_AdjustmentsForAmortisationExpense</t>
        </is>
      </c>
      <c r="K82" s="32" t="inlineStr">
        <is>
          <t>무형자산상각비</t>
        </is>
      </c>
      <c r="L82" s="32" t="inlineStr">
        <is>
          <t>-</t>
        </is>
      </c>
      <c r="M82" s="32" t="inlineStr">
        <is>
          <t>제 49 기</t>
        </is>
      </c>
      <c r="N82" s="32" t="inlineStr">
        <is>
          <t>1511010874.0</t>
        </is>
      </c>
      <c r="O82" s="32" t="inlineStr">
        <is>
          <t>1571808745.0</t>
        </is>
      </c>
      <c r="P82" s="32" t="inlineStr">
        <is>
          <t>KRW</t>
        </is>
      </c>
      <c r="Q82" s="32" t="inlineStr">
        <is>
          <t>7</t>
        </is>
      </c>
    </row>
    <row r="83" ht="24" customHeight="1">
      <c r="A83" s="27" t="inlineStr">
        <is>
          <t>OpenDART_fnlttSinglAcntAll</t>
        </is>
      </c>
      <c r="B83" s="27" t="inlineStr">
        <is>
          <t>00118804</t>
        </is>
      </c>
      <c r="C83" s="27" t="inlineStr">
        <is>
          <t>동진쎄미켐</t>
        </is>
      </c>
      <c r="D83" s="27" t="inlineStr">
        <is>
          <t>dongjin_semichem</t>
        </is>
      </c>
      <c r="E83" s="27" t="inlineStr">
        <is>
          <t>005290</t>
        </is>
      </c>
      <c r="F83" s="27" t="inlineStr">
        <is>
          <t>2021</t>
        </is>
      </c>
      <c r="G83" s="27" t="inlineStr">
        <is>
          <t>CFS</t>
        </is>
      </c>
      <c r="H83" s="27" t="inlineStr">
        <is>
          <t>CF</t>
        </is>
      </c>
      <c r="I83" s="27" t="inlineStr">
        <is>
          <t>현금흐름표</t>
        </is>
      </c>
      <c r="J83" s="27" t="inlineStr">
        <is>
          <t>ifrs-full_AdjustmentsForFinanceCosts</t>
        </is>
      </c>
      <c r="K83" s="27" t="inlineStr">
        <is>
          <t>금융비용</t>
        </is>
      </c>
      <c r="L83" s="27" t="inlineStr">
        <is>
          <t>-</t>
        </is>
      </c>
      <c r="M83" s="27" t="inlineStr">
        <is>
          <t>제 49 기</t>
        </is>
      </c>
      <c r="N83" s="27" t="inlineStr">
        <is>
          <t>9927381308.0</t>
        </is>
      </c>
      <c r="O83" s="27" t="inlineStr">
        <is>
          <t>11509998931.0</t>
        </is>
      </c>
      <c r="P83" s="27" t="inlineStr">
        <is>
          <t>KRW</t>
        </is>
      </c>
      <c r="Q83" s="27" t="inlineStr">
        <is>
          <t>8</t>
        </is>
      </c>
    </row>
    <row r="84" ht="24" customHeight="1">
      <c r="A84" s="32" t="inlineStr">
        <is>
          <t>OpenDART_fnlttSinglAcntAll</t>
        </is>
      </c>
      <c r="B84" s="32" t="inlineStr">
        <is>
          <t>00118804</t>
        </is>
      </c>
      <c r="C84" s="32" t="inlineStr">
        <is>
          <t>동진쎄미켐</t>
        </is>
      </c>
      <c r="D84" s="32" t="inlineStr">
        <is>
          <t>dongjin_semichem</t>
        </is>
      </c>
      <c r="E84" s="32" t="inlineStr">
        <is>
          <t>005290</t>
        </is>
      </c>
      <c r="F84" s="32" t="inlineStr">
        <is>
          <t>2021</t>
        </is>
      </c>
      <c r="G84" s="32" t="inlineStr">
        <is>
          <t>CFS</t>
        </is>
      </c>
      <c r="H84" s="32" t="inlineStr">
        <is>
          <t>CF</t>
        </is>
      </c>
      <c r="I84" s="32" t="inlineStr">
        <is>
          <t>현금흐름표</t>
        </is>
      </c>
      <c r="J84" s="32" t="inlineStr">
        <is>
          <t>dart_AdjustmentsForLossesOnForeignExchangeTranslations</t>
        </is>
      </c>
      <c r="K84" s="32" t="inlineStr">
        <is>
          <t>외화환산손실</t>
        </is>
      </c>
      <c r="L84" s="32" t="inlineStr">
        <is>
          <t>-</t>
        </is>
      </c>
      <c r="M84" s="32" t="inlineStr">
        <is>
          <t>제 49 기</t>
        </is>
      </c>
      <c r="N84" s="32" t="inlineStr">
        <is>
          <t>1421970701.0</t>
        </is>
      </c>
      <c r="O84" s="32" t="inlineStr">
        <is>
          <t>10344987445.0</t>
        </is>
      </c>
      <c r="P84" s="32" t="inlineStr">
        <is>
          <t>KRW</t>
        </is>
      </c>
      <c r="Q84" s="32" t="inlineStr">
        <is>
          <t>9</t>
        </is>
      </c>
    </row>
    <row r="85" ht="24" customHeight="1">
      <c r="A85" s="27" t="inlineStr">
        <is>
          <t>OpenDART_fnlttSinglAcntAll</t>
        </is>
      </c>
      <c r="B85" s="27" t="inlineStr">
        <is>
          <t>00118804</t>
        </is>
      </c>
      <c r="C85" s="27" t="inlineStr">
        <is>
          <t>동진쎄미켐</t>
        </is>
      </c>
      <c r="D85" s="27" t="inlineStr">
        <is>
          <t>dongjin_semichem</t>
        </is>
      </c>
      <c r="E85" s="27" t="inlineStr">
        <is>
          <t>005290</t>
        </is>
      </c>
      <c r="F85" s="27" t="inlineStr">
        <is>
          <t>2021</t>
        </is>
      </c>
      <c r="G85" s="27" t="inlineStr">
        <is>
          <t>CFS</t>
        </is>
      </c>
      <c r="H85" s="27" t="inlineStr">
        <is>
          <t>CF</t>
        </is>
      </c>
      <c r="I85" s="27" t="inlineStr">
        <is>
          <t>현금흐름표</t>
        </is>
      </c>
      <c r="J85" s="27" t="inlineStr">
        <is>
          <t>dart_AdjustmentsForBadDebtExpenses</t>
        </is>
      </c>
      <c r="K85" s="27" t="inlineStr">
        <is>
          <t>대손상각비</t>
        </is>
      </c>
      <c r="L85" s="27" t="inlineStr">
        <is>
          <t>-</t>
        </is>
      </c>
      <c r="M85" s="27" t="inlineStr">
        <is>
          <t>제 49 기</t>
        </is>
      </c>
      <c r="N85" s="27" t="inlineStr">
        <is>
          <t>708981577.0</t>
        </is>
      </c>
      <c r="O85" s="27" t="inlineStr">
        <is>
          <t>5527392155.0</t>
        </is>
      </c>
      <c r="P85" s="27" t="inlineStr">
        <is>
          <t>KRW</t>
        </is>
      </c>
      <c r="Q85" s="27" t="inlineStr">
        <is>
          <t>10</t>
        </is>
      </c>
    </row>
    <row r="86" ht="24" customHeight="1">
      <c r="A86" s="32" t="inlineStr">
        <is>
          <t>OpenDART_fnlttSinglAcntAll</t>
        </is>
      </c>
      <c r="B86" s="32" t="inlineStr">
        <is>
          <t>00118804</t>
        </is>
      </c>
      <c r="C86" s="32" t="inlineStr">
        <is>
          <t>동진쎄미켐</t>
        </is>
      </c>
      <c r="D86" s="32" t="inlineStr">
        <is>
          <t>dongjin_semichem</t>
        </is>
      </c>
      <c r="E86" s="32" t="inlineStr">
        <is>
          <t>005290</t>
        </is>
      </c>
      <c r="F86" s="32" t="inlineStr">
        <is>
          <t>2021</t>
        </is>
      </c>
      <c r="G86" s="32" t="inlineStr">
        <is>
          <t>CFS</t>
        </is>
      </c>
      <c r="H86" s="32" t="inlineStr">
        <is>
          <t>CF</t>
        </is>
      </c>
      <c r="I86" s="32" t="inlineStr">
        <is>
          <t>현금흐름표</t>
        </is>
      </c>
      <c r="J86" s="32" t="inlineStr">
        <is>
          <t>dart_AdjustmentsForLossesOfAssociatesAndJointVenturesAccountedForUsingEquityMethod</t>
        </is>
      </c>
      <c r="K86" s="32" t="inlineStr">
        <is>
          <t>지분법손실</t>
        </is>
      </c>
      <c r="L86" s="32" t="inlineStr">
        <is>
          <t>-</t>
        </is>
      </c>
      <c r="M86" s="32" t="inlineStr">
        <is>
          <t>제 49 기</t>
        </is>
      </c>
      <c r="N86" s="32" t="inlineStr">
        <is>
          <t>602467452.0</t>
        </is>
      </c>
      <c r="O86" s="32" t="inlineStr">
        <is>
          <t>2561542385.0</t>
        </is>
      </c>
      <c r="P86" s="32" t="inlineStr">
        <is>
          <t>KRW</t>
        </is>
      </c>
      <c r="Q86" s="32" t="inlineStr">
        <is>
          <t>11</t>
        </is>
      </c>
    </row>
    <row r="87" ht="24" customHeight="1">
      <c r="A87" s="27" t="inlineStr">
        <is>
          <t>OpenDART_fnlttSinglAcntAll</t>
        </is>
      </c>
      <c r="B87" s="27" t="inlineStr">
        <is>
          <t>00118804</t>
        </is>
      </c>
      <c r="C87" s="27" t="inlineStr">
        <is>
          <t>동진쎄미켐</t>
        </is>
      </c>
      <c r="D87" s="27" t="inlineStr">
        <is>
          <t>dongjin_semichem</t>
        </is>
      </c>
      <c r="E87" s="27" t="inlineStr">
        <is>
          <t>005290</t>
        </is>
      </c>
      <c r="F87" s="27" t="inlineStr">
        <is>
          <t>2021</t>
        </is>
      </c>
      <c r="G87" s="27" t="inlineStr">
        <is>
          <t>CFS</t>
        </is>
      </c>
      <c r="H87" s="27" t="inlineStr">
        <is>
          <t>CF</t>
        </is>
      </c>
      <c r="I87" s="27" t="inlineStr">
        <is>
          <t>현금흐름표</t>
        </is>
      </c>
      <c r="J87" s="27" t="inlineStr">
        <is>
          <t>dart_AdjustmentsForOtherBadDebtExpenses</t>
        </is>
      </c>
      <c r="K87" s="27" t="inlineStr">
        <is>
          <t>기타의 대손상각비</t>
        </is>
      </c>
      <c r="L87" s="27" t="inlineStr">
        <is>
          <t>-</t>
        </is>
      </c>
      <c r="M87" s="27" t="inlineStr">
        <is>
          <t>제 49 기</t>
        </is>
      </c>
      <c r="N87" s="27" t="inlineStr">
        <is>
          <t>1770828879.0</t>
        </is>
      </c>
      <c r="O87" s="27" t="inlineStr">
        <is>
          <t>218010198.0</t>
        </is>
      </c>
      <c r="P87" s="27" t="inlineStr">
        <is>
          <t>KRW</t>
        </is>
      </c>
      <c r="Q87" s="27" t="inlineStr">
        <is>
          <t>12</t>
        </is>
      </c>
    </row>
    <row r="88" ht="24" customHeight="1">
      <c r="A88" s="32" t="inlineStr">
        <is>
          <t>OpenDART_fnlttSinglAcntAll</t>
        </is>
      </c>
      <c r="B88" s="32" t="inlineStr">
        <is>
          <t>00118804</t>
        </is>
      </c>
      <c r="C88" s="32" t="inlineStr">
        <is>
          <t>동진쎄미켐</t>
        </is>
      </c>
      <c r="D88" s="32" t="inlineStr">
        <is>
          <t>dongjin_semichem</t>
        </is>
      </c>
      <c r="E88" s="32" t="inlineStr">
        <is>
          <t>005290</t>
        </is>
      </c>
      <c r="F88" s="32" t="inlineStr">
        <is>
          <t>2021</t>
        </is>
      </c>
      <c r="G88" s="32" t="inlineStr">
        <is>
          <t>CFS</t>
        </is>
      </c>
      <c r="H88" s="32" t="inlineStr">
        <is>
          <t>CF</t>
        </is>
      </c>
      <c r="I88" s="32" t="inlineStr">
        <is>
          <t>현금흐름표</t>
        </is>
      </c>
      <c r="J88" s="32" t="inlineStr">
        <is>
          <t>dart_AdjustmentsForLossesOnDispositionOfPropertyPlantAndEquipment</t>
        </is>
      </c>
      <c r="K88" s="32" t="inlineStr">
        <is>
          <t>유형자산처분손실</t>
        </is>
      </c>
      <c r="L88" s="32" t="inlineStr">
        <is>
          <t>-</t>
        </is>
      </c>
      <c r="M88" s="32" t="inlineStr">
        <is>
          <t>제 49 기</t>
        </is>
      </c>
      <c r="N88" s="32" t="inlineStr">
        <is>
          <t>202406451.0</t>
        </is>
      </c>
      <c r="O88" s="32" t="inlineStr">
        <is>
          <t>328248567.0</t>
        </is>
      </c>
      <c r="P88" s="32" t="inlineStr">
        <is>
          <t>KRW</t>
        </is>
      </c>
      <c r="Q88" s="32" t="inlineStr">
        <is>
          <t>13</t>
        </is>
      </c>
    </row>
    <row r="89" ht="24" customHeight="1">
      <c r="A89" s="27" t="inlineStr">
        <is>
          <t>OpenDART_fnlttSinglAcntAll</t>
        </is>
      </c>
      <c r="B89" s="27" t="inlineStr">
        <is>
          <t>00118804</t>
        </is>
      </c>
      <c r="C89" s="27" t="inlineStr">
        <is>
          <t>동진쎄미켐</t>
        </is>
      </c>
      <c r="D89" s="27" t="inlineStr">
        <is>
          <t>dongjin_semichem</t>
        </is>
      </c>
      <c r="E89" s="27" t="inlineStr">
        <is>
          <t>005290</t>
        </is>
      </c>
      <c r="F89" s="27" t="inlineStr">
        <is>
          <t>2021</t>
        </is>
      </c>
      <c r="G89" s="27" t="inlineStr">
        <is>
          <t>CFS</t>
        </is>
      </c>
      <c r="H89" s="27" t="inlineStr">
        <is>
          <t>CF</t>
        </is>
      </c>
      <c r="I89" s="27" t="inlineStr">
        <is>
          <t>현금흐름표</t>
        </is>
      </c>
      <c r="J89" s="27" t="inlineStr">
        <is>
          <t>dart_AdjustmentsForLossesOnDisposalsOfIntangibleAssets</t>
        </is>
      </c>
      <c r="K89" s="27" t="inlineStr">
        <is>
          <t>무형자산처분손실</t>
        </is>
      </c>
      <c r="L89" s="27" t="inlineStr">
        <is>
          <t>-</t>
        </is>
      </c>
      <c r="M89" s="27" t="inlineStr">
        <is>
          <t>제 49 기</t>
        </is>
      </c>
      <c r="N89" s="27" t="inlineStr">
        <is>
          <t>0.0</t>
        </is>
      </c>
      <c r="O89" s="27" t="inlineStr">
        <is>
          <t>0.0</t>
        </is>
      </c>
      <c r="P89" s="27" t="inlineStr">
        <is>
          <t>KRW</t>
        </is>
      </c>
      <c r="Q89" s="27" t="inlineStr">
        <is>
          <t>14</t>
        </is>
      </c>
    </row>
    <row r="90" ht="24" customHeight="1">
      <c r="A90" s="32" t="inlineStr">
        <is>
          <t>OpenDART_fnlttSinglAcntAll</t>
        </is>
      </c>
      <c r="B90" s="32" t="inlineStr">
        <is>
          <t>00118804</t>
        </is>
      </c>
      <c r="C90" s="32" t="inlineStr">
        <is>
          <t>동진쎄미켐</t>
        </is>
      </c>
      <c r="D90" s="32" t="inlineStr">
        <is>
          <t>dongjin_semichem</t>
        </is>
      </c>
      <c r="E90" s="32" t="inlineStr">
        <is>
          <t>005290</t>
        </is>
      </c>
      <c r="F90" s="32" t="inlineStr">
        <is>
          <t>2021</t>
        </is>
      </c>
      <c r="G90" s="32" t="inlineStr">
        <is>
          <t>CFS</t>
        </is>
      </c>
      <c r="H90" s="32" t="inlineStr">
        <is>
          <t>CF</t>
        </is>
      </c>
      <c r="I90" s="32" t="inlineStr">
        <is>
          <t>현금흐름표</t>
        </is>
      </c>
      <c r="J90" s="32" t="inlineStr">
        <is>
          <t>-표준계정코드 미사용-</t>
        </is>
      </c>
      <c r="K90" s="32" t="inlineStr">
        <is>
          <t>투자금융자산처분손실</t>
        </is>
      </c>
      <c r="L90" s="32" t="inlineStr">
        <is>
          <t>-</t>
        </is>
      </c>
      <c r="M90" s="32" t="inlineStr">
        <is>
          <t>제 49 기</t>
        </is>
      </c>
      <c r="N90" s="32" t="inlineStr">
        <is>
          <t>0.0</t>
        </is>
      </c>
      <c r="O90" s="32" t="inlineStr">
        <is>
          <t>0.0</t>
        </is>
      </c>
      <c r="P90" s="32" t="inlineStr">
        <is>
          <t>KRW</t>
        </is>
      </c>
      <c r="Q90" s="32" t="inlineStr">
        <is>
          <t>15</t>
        </is>
      </c>
    </row>
    <row r="91" ht="24" customHeight="1">
      <c r="A91" s="27" t="inlineStr">
        <is>
          <t>OpenDART_fnlttSinglAcntAll</t>
        </is>
      </c>
      <c r="B91" s="27" t="inlineStr">
        <is>
          <t>00118804</t>
        </is>
      </c>
      <c r="C91" s="27" t="inlineStr">
        <is>
          <t>동진쎄미켐</t>
        </is>
      </c>
      <c r="D91" s="27" t="inlineStr">
        <is>
          <t>dongjin_semichem</t>
        </is>
      </c>
      <c r="E91" s="27" t="inlineStr">
        <is>
          <t>005290</t>
        </is>
      </c>
      <c r="F91" s="27" t="inlineStr">
        <is>
          <t>2021</t>
        </is>
      </c>
      <c r="G91" s="27" t="inlineStr">
        <is>
          <t>CFS</t>
        </is>
      </c>
      <c r="H91" s="27" t="inlineStr">
        <is>
          <t>CF</t>
        </is>
      </c>
      <c r="I91" s="27" t="inlineStr">
        <is>
          <t>현금흐름표</t>
        </is>
      </c>
      <c r="J91" s="27" t="inlineStr">
        <is>
          <t>-표준계정코드 미사용-</t>
        </is>
      </c>
      <c r="K91" s="27" t="inlineStr">
        <is>
          <t>투자금융자산평가손실</t>
        </is>
      </c>
      <c r="L91" s="27" t="inlineStr">
        <is>
          <t>-</t>
        </is>
      </c>
      <c r="M91" s="27" t="inlineStr">
        <is>
          <t>제 49 기</t>
        </is>
      </c>
      <c r="N91" s="27" t="inlineStr">
        <is>
          <t>95752889.0</t>
        </is>
      </c>
      <c r="O91" s="27" t="inlineStr">
        <is>
          <t>6469478.0</t>
        </is>
      </c>
      <c r="P91" s="27" t="inlineStr">
        <is>
          <t>KRW</t>
        </is>
      </c>
      <c r="Q91" s="27" t="inlineStr">
        <is>
          <t>16</t>
        </is>
      </c>
    </row>
    <row r="92" ht="24" customHeight="1">
      <c r="A92" s="32" t="inlineStr">
        <is>
          <t>OpenDART_fnlttSinglAcntAll</t>
        </is>
      </c>
      <c r="B92" s="32" t="inlineStr">
        <is>
          <t>00118804</t>
        </is>
      </c>
      <c r="C92" s="32" t="inlineStr">
        <is>
          <t>동진쎄미켐</t>
        </is>
      </c>
      <c r="D92" s="32" t="inlineStr">
        <is>
          <t>dongjin_semichem</t>
        </is>
      </c>
      <c r="E92" s="32" t="inlineStr">
        <is>
          <t>005290</t>
        </is>
      </c>
      <c r="F92" s="32" t="inlineStr">
        <is>
          <t>2021</t>
        </is>
      </c>
      <c r="G92" s="32" t="inlineStr">
        <is>
          <t>CFS</t>
        </is>
      </c>
      <c r="H92" s="32" t="inlineStr">
        <is>
          <t>CF</t>
        </is>
      </c>
      <c r="I92" s="32" t="inlineStr">
        <is>
          <t>현금흐름표</t>
        </is>
      </c>
      <c r="J92" s="32" t="inlineStr">
        <is>
          <t>dart_AdjustmentsForImpairmentLossesOfPropertyPlantAndEquipment</t>
        </is>
      </c>
      <c r="K92" s="32" t="inlineStr">
        <is>
          <t>유형자산손상차손</t>
        </is>
      </c>
      <c r="L92" s="32" t="inlineStr">
        <is>
          <t>-</t>
        </is>
      </c>
      <c r="M92" s="32" t="inlineStr">
        <is>
          <t>제 49 기</t>
        </is>
      </c>
      <c r="N92" s="32" t="inlineStr">
        <is>
          <t>1382860624.0</t>
        </is>
      </c>
      <c r="O92" s="32" t="inlineStr">
        <is>
          <t>4716870621.0</t>
        </is>
      </c>
      <c r="P92" s="32" t="inlineStr">
        <is>
          <t>KRW</t>
        </is>
      </c>
      <c r="Q92" s="32" t="inlineStr">
        <is>
          <t>17</t>
        </is>
      </c>
    </row>
    <row r="93" ht="24" customHeight="1">
      <c r="A93" s="27" t="inlineStr">
        <is>
          <t>OpenDART_fnlttSinglAcntAll</t>
        </is>
      </c>
      <c r="B93" s="27" t="inlineStr">
        <is>
          <t>00118804</t>
        </is>
      </c>
      <c r="C93" s="27" t="inlineStr">
        <is>
          <t>동진쎄미켐</t>
        </is>
      </c>
      <c r="D93" s="27" t="inlineStr">
        <is>
          <t>dongjin_semichem</t>
        </is>
      </c>
      <c r="E93" s="27" t="inlineStr">
        <is>
          <t>005290</t>
        </is>
      </c>
      <c r="F93" s="27" t="inlineStr">
        <is>
          <t>2021</t>
        </is>
      </c>
      <c r="G93" s="27" t="inlineStr">
        <is>
          <t>CFS</t>
        </is>
      </c>
      <c r="H93" s="27" t="inlineStr">
        <is>
          <t>CF</t>
        </is>
      </c>
      <c r="I93" s="27" t="inlineStr">
        <is>
          <t>현금흐름표</t>
        </is>
      </c>
      <c r="J93" s="27" t="inlineStr">
        <is>
          <t>dart_AdjustmentsForImpairmentLossesOfIntangibleAssets</t>
        </is>
      </c>
      <c r="K93" s="27" t="inlineStr">
        <is>
          <t>무형자산손상차손</t>
        </is>
      </c>
      <c r="L93" s="27" t="inlineStr">
        <is>
          <t>-</t>
        </is>
      </c>
      <c r="M93" s="27" t="inlineStr">
        <is>
          <t>제 49 기</t>
        </is>
      </c>
      <c r="N93" s="27" t="inlineStr">
        <is>
          <t>63040159.0</t>
        </is>
      </c>
      <c r="O93" s="27" t="inlineStr">
        <is>
          <t>0.0</t>
        </is>
      </c>
      <c r="P93" s="27" t="inlineStr">
        <is>
          <t>KRW</t>
        </is>
      </c>
      <c r="Q93" s="27" t="inlineStr">
        <is>
          <t>18</t>
        </is>
      </c>
    </row>
    <row r="94" ht="24" customHeight="1">
      <c r="A94" s="32" t="inlineStr">
        <is>
          <t>OpenDART_fnlttSinglAcntAll</t>
        </is>
      </c>
      <c r="B94" s="32" t="inlineStr">
        <is>
          <t>00118804</t>
        </is>
      </c>
      <c r="C94" s="32" t="inlineStr">
        <is>
          <t>동진쎄미켐</t>
        </is>
      </c>
      <c r="D94" s="32" t="inlineStr">
        <is>
          <t>dongjin_semichem</t>
        </is>
      </c>
      <c r="E94" s="32" t="inlineStr">
        <is>
          <t>005290</t>
        </is>
      </c>
      <c r="F94" s="32" t="inlineStr">
        <is>
          <t>2021</t>
        </is>
      </c>
      <c r="G94" s="32" t="inlineStr">
        <is>
          <t>CFS</t>
        </is>
      </c>
      <c r="H94" s="32" t="inlineStr">
        <is>
          <t>CF</t>
        </is>
      </c>
      <c r="I94" s="32" t="inlineStr">
        <is>
          <t>현금흐름표</t>
        </is>
      </c>
      <c r="J94" s="32" t="inlineStr">
        <is>
          <t>-표준계정코드 미사용-</t>
        </is>
      </c>
      <c r="K94" s="32" t="inlineStr">
        <is>
          <t>관계기업투자손상차손</t>
        </is>
      </c>
      <c r="L94" s="32" t="inlineStr">
        <is>
          <t>-</t>
        </is>
      </c>
      <c r="M94" s="32" t="inlineStr">
        <is>
          <t>제 49 기</t>
        </is>
      </c>
      <c r="N94" s="32" t="inlineStr">
        <is>
          <t>1748109114.0</t>
        </is>
      </c>
      <c r="O94" s="32" t="inlineStr">
        <is>
          <t>0.0</t>
        </is>
      </c>
      <c r="P94" s="32" t="inlineStr">
        <is>
          <t>KRW</t>
        </is>
      </c>
      <c r="Q94" s="32" t="inlineStr">
        <is>
          <t>19</t>
        </is>
      </c>
    </row>
    <row r="95" ht="24" customHeight="1">
      <c r="A95" s="27" t="inlineStr">
        <is>
          <t>OpenDART_fnlttSinglAcntAll</t>
        </is>
      </c>
      <c r="B95" s="27" t="inlineStr">
        <is>
          <t>00118804</t>
        </is>
      </c>
      <c r="C95" s="27" t="inlineStr">
        <is>
          <t>동진쎄미켐</t>
        </is>
      </c>
      <c r="D95" s="27" t="inlineStr">
        <is>
          <t>dongjin_semichem</t>
        </is>
      </c>
      <c r="E95" s="27" t="inlineStr">
        <is>
          <t>005290</t>
        </is>
      </c>
      <c r="F95" s="27" t="inlineStr">
        <is>
          <t>2021</t>
        </is>
      </c>
      <c r="G95" s="27" t="inlineStr">
        <is>
          <t>CFS</t>
        </is>
      </c>
      <c r="H95" s="27" t="inlineStr">
        <is>
          <t>CF</t>
        </is>
      </c>
      <c r="I95" s="27" t="inlineStr">
        <is>
          <t>현금흐름표</t>
        </is>
      </c>
      <c r="J95" s="27" t="inlineStr">
        <is>
          <t>-표준계정코드 미사용-</t>
        </is>
      </c>
      <c r="K95" s="27" t="inlineStr">
        <is>
          <t>파생상품관련손실</t>
        </is>
      </c>
      <c r="L95" s="27" t="inlineStr">
        <is>
          <t>-</t>
        </is>
      </c>
      <c r="M95" s="27" t="inlineStr">
        <is>
          <t>제 49 기</t>
        </is>
      </c>
      <c r="N95" s="27" t="inlineStr">
        <is>
          <t>13562706.0</t>
        </is>
      </c>
      <c r="O95" s="27" t="inlineStr">
        <is>
          <t>0.0</t>
        </is>
      </c>
      <c r="P95" s="27" t="inlineStr">
        <is>
          <t>KRW</t>
        </is>
      </c>
      <c r="Q95" s="27" t="inlineStr">
        <is>
          <t>20</t>
        </is>
      </c>
    </row>
    <row r="96" ht="24" customHeight="1">
      <c r="A96" s="32" t="inlineStr">
        <is>
          <t>OpenDART_fnlttSinglAcntAll</t>
        </is>
      </c>
      <c r="B96" s="32" t="inlineStr">
        <is>
          <t>00118804</t>
        </is>
      </c>
      <c r="C96" s="32" t="inlineStr">
        <is>
          <t>동진쎄미켐</t>
        </is>
      </c>
      <c r="D96" s="32" t="inlineStr">
        <is>
          <t>dongjin_semichem</t>
        </is>
      </c>
      <c r="E96" s="32" t="inlineStr">
        <is>
          <t>005290</t>
        </is>
      </c>
      <c r="F96" s="32" t="inlineStr">
        <is>
          <t>2021</t>
        </is>
      </c>
      <c r="G96" s="32" t="inlineStr">
        <is>
          <t>CFS</t>
        </is>
      </c>
      <c r="H96" s="32" t="inlineStr">
        <is>
          <t>CF</t>
        </is>
      </c>
      <c r="I96" s="32" t="inlineStr">
        <is>
          <t>현금흐름표</t>
        </is>
      </c>
      <c r="J96" s="32" t="inlineStr">
        <is>
          <t>dart_AdjustmentsForOtherLossesWithoutCashFlowOut</t>
        </is>
      </c>
      <c r="K96" s="32" t="inlineStr">
        <is>
          <t>기타 현금의 유출 없는 비용등</t>
        </is>
      </c>
      <c r="L96" s="32" t="inlineStr">
        <is>
          <t>-</t>
        </is>
      </c>
      <c r="M96" s="32" t="inlineStr">
        <is>
          <t>제 49 기</t>
        </is>
      </c>
      <c r="N96" s="32" t="inlineStr">
        <is>
          <t>1128600623.0</t>
        </is>
      </c>
      <c r="O96" s="32" t="inlineStr">
        <is>
          <t>838004551.0</t>
        </is>
      </c>
      <c r="P96" s="32" t="inlineStr">
        <is>
          <t>KRW</t>
        </is>
      </c>
      <c r="Q96" s="32" t="inlineStr">
        <is>
          <t>21</t>
        </is>
      </c>
    </row>
    <row r="97" ht="24" customHeight="1">
      <c r="A97" s="27" t="inlineStr">
        <is>
          <t>OpenDART_fnlttSinglAcntAll</t>
        </is>
      </c>
      <c r="B97" s="27" t="inlineStr">
        <is>
          <t>00118804</t>
        </is>
      </c>
      <c r="C97" s="27" t="inlineStr">
        <is>
          <t>동진쎄미켐</t>
        </is>
      </c>
      <c r="D97" s="27" t="inlineStr">
        <is>
          <t>dongjin_semichem</t>
        </is>
      </c>
      <c r="E97" s="27" t="inlineStr">
        <is>
          <t>005290</t>
        </is>
      </c>
      <c r="F97" s="27" t="inlineStr">
        <is>
          <t>2021</t>
        </is>
      </c>
      <c r="G97" s="27" t="inlineStr">
        <is>
          <t>CFS</t>
        </is>
      </c>
      <c r="H97" s="27" t="inlineStr">
        <is>
          <t>CF</t>
        </is>
      </c>
      <c r="I97" s="27" t="inlineStr">
        <is>
          <t>현금흐름표</t>
        </is>
      </c>
      <c r="J97" s="27" t="inlineStr">
        <is>
          <t>dart_AdjustmentsForInterestIncome</t>
        </is>
      </c>
      <c r="K97" s="27" t="inlineStr">
        <is>
          <t>금융수익</t>
        </is>
      </c>
      <c r="L97" s="27" t="inlineStr">
        <is>
          <t>-</t>
        </is>
      </c>
      <c r="M97" s="27" t="inlineStr">
        <is>
          <t>제 49 기</t>
        </is>
      </c>
      <c r="N97" s="27" t="inlineStr">
        <is>
          <t>1295684151.0</t>
        </is>
      </c>
      <c r="O97" s="27" t="inlineStr">
        <is>
          <t>1654302473.0</t>
        </is>
      </c>
      <c r="P97" s="27" t="inlineStr">
        <is>
          <t>KRW</t>
        </is>
      </c>
      <c r="Q97" s="27" t="inlineStr">
        <is>
          <t>22</t>
        </is>
      </c>
    </row>
    <row r="98" ht="24" customHeight="1">
      <c r="A98" s="32" t="inlineStr">
        <is>
          <t>OpenDART_fnlttSinglAcntAll</t>
        </is>
      </c>
      <c r="B98" s="32" t="inlineStr">
        <is>
          <t>00118804</t>
        </is>
      </c>
      <c r="C98" s="32" t="inlineStr">
        <is>
          <t>동진쎄미켐</t>
        </is>
      </c>
      <c r="D98" s="32" t="inlineStr">
        <is>
          <t>dongjin_semichem</t>
        </is>
      </c>
      <c r="E98" s="32" t="inlineStr">
        <is>
          <t>005290</t>
        </is>
      </c>
      <c r="F98" s="32" t="inlineStr">
        <is>
          <t>2021</t>
        </is>
      </c>
      <c r="G98" s="32" t="inlineStr">
        <is>
          <t>CFS</t>
        </is>
      </c>
      <c r="H98" s="32" t="inlineStr">
        <is>
          <t>CF</t>
        </is>
      </c>
      <c r="I98" s="32" t="inlineStr">
        <is>
          <t>현금흐름표</t>
        </is>
      </c>
      <c r="J98" s="32" t="inlineStr">
        <is>
          <t>dart_AdjustmentsForGainOnForeignExchangeTranslations</t>
        </is>
      </c>
      <c r="K98" s="32" t="inlineStr">
        <is>
          <t>외화환산이익</t>
        </is>
      </c>
      <c r="L98" s="32" t="inlineStr">
        <is>
          <t>-</t>
        </is>
      </c>
      <c r="M98" s="32" t="inlineStr">
        <is>
          <t>제 49 기</t>
        </is>
      </c>
      <c r="N98" s="32" t="inlineStr">
        <is>
          <t>4209195508.0</t>
        </is>
      </c>
      <c r="O98" s="32" t="inlineStr">
        <is>
          <t>4160591057.0</t>
        </is>
      </c>
      <c r="P98" s="32" t="inlineStr">
        <is>
          <t>KRW</t>
        </is>
      </c>
      <c r="Q98" s="32" t="inlineStr">
        <is>
          <t>23</t>
        </is>
      </c>
    </row>
    <row r="99" ht="24" customHeight="1">
      <c r="A99" s="27" t="inlineStr">
        <is>
          <t>OpenDART_fnlttSinglAcntAll</t>
        </is>
      </c>
      <c r="B99" s="27" t="inlineStr">
        <is>
          <t>00118804</t>
        </is>
      </c>
      <c r="C99" s="27" t="inlineStr">
        <is>
          <t>동진쎄미켐</t>
        </is>
      </c>
      <c r="D99" s="27" t="inlineStr">
        <is>
          <t>dongjin_semichem</t>
        </is>
      </c>
      <c r="E99" s="27" t="inlineStr">
        <is>
          <t>005290</t>
        </is>
      </c>
      <c r="F99" s="27" t="inlineStr">
        <is>
          <t>2021</t>
        </is>
      </c>
      <c r="G99" s="27" t="inlineStr">
        <is>
          <t>CFS</t>
        </is>
      </c>
      <c r="H99" s="27" t="inlineStr">
        <is>
          <t>CF</t>
        </is>
      </c>
      <c r="I99" s="27" t="inlineStr">
        <is>
          <t>현금흐름표</t>
        </is>
      </c>
      <c r="J99" s="27" t="inlineStr">
        <is>
          <t>dart_AdjustmentsForProfitsOfAssociatesAndJointVenturesAccountedForUsingEquityMethod</t>
        </is>
      </c>
      <c r="K99" s="27" t="inlineStr">
        <is>
          <t>지분법이익</t>
        </is>
      </c>
      <c r="L99" s="27" t="inlineStr">
        <is>
          <t>-</t>
        </is>
      </c>
      <c r="M99" s="27" t="inlineStr">
        <is>
          <t>제 49 기</t>
        </is>
      </c>
      <c r="N99" s="27" t="inlineStr">
        <is>
          <t>0.0</t>
        </is>
      </c>
      <c r="O99" s="27" t="inlineStr">
        <is>
          <t>19526951.0</t>
        </is>
      </c>
      <c r="P99" s="27" t="inlineStr">
        <is>
          <t>KRW</t>
        </is>
      </c>
      <c r="Q99" s="27" t="inlineStr">
        <is>
          <t>24</t>
        </is>
      </c>
    </row>
    <row r="100" ht="24" customHeight="1">
      <c r="A100" s="32" t="inlineStr">
        <is>
          <t>OpenDART_fnlttSinglAcntAll</t>
        </is>
      </c>
      <c r="B100" s="32" t="inlineStr">
        <is>
          <t>00118804</t>
        </is>
      </c>
      <c r="C100" s="32" t="inlineStr">
        <is>
          <t>동진쎄미켐</t>
        </is>
      </c>
      <c r="D100" s="32" t="inlineStr">
        <is>
          <t>dongjin_semichem</t>
        </is>
      </c>
      <c r="E100" s="32" t="inlineStr">
        <is>
          <t>005290</t>
        </is>
      </c>
      <c r="F100" s="32" t="inlineStr">
        <is>
          <t>2021</t>
        </is>
      </c>
      <c r="G100" s="32" t="inlineStr">
        <is>
          <t>CFS</t>
        </is>
      </c>
      <c r="H100" s="32" t="inlineStr">
        <is>
          <t>CF</t>
        </is>
      </c>
      <c r="I100" s="32" t="inlineStr">
        <is>
          <t>현금흐름표</t>
        </is>
      </c>
      <c r="J100" s="32" t="inlineStr">
        <is>
          <t>dart_AdjustmentsForReversalsOfBadDebtExpenses</t>
        </is>
      </c>
      <c r="K100" s="32" t="inlineStr">
        <is>
          <t>기타 대손충당금환입</t>
        </is>
      </c>
      <c r="L100" s="32" t="inlineStr">
        <is>
          <t>-</t>
        </is>
      </c>
      <c r="M100" s="32" t="inlineStr">
        <is>
          <t>제 49 기</t>
        </is>
      </c>
      <c r="N100" s="32" t="inlineStr">
        <is>
          <t>0.0</t>
        </is>
      </c>
      <c r="O100" s="32" t="inlineStr">
        <is>
          <t>0.0</t>
        </is>
      </c>
      <c r="P100" s="32" t="inlineStr">
        <is>
          <t>KRW</t>
        </is>
      </c>
      <c r="Q100" s="32" t="inlineStr">
        <is>
          <t>25</t>
        </is>
      </c>
    </row>
    <row r="101" ht="24" customHeight="1">
      <c r="A101" s="27" t="inlineStr">
        <is>
          <t>OpenDART_fnlttSinglAcntAll</t>
        </is>
      </c>
      <c r="B101" s="27" t="inlineStr">
        <is>
          <t>00118804</t>
        </is>
      </c>
      <c r="C101" s="27" t="inlineStr">
        <is>
          <t>동진쎄미켐</t>
        </is>
      </c>
      <c r="D101" s="27" t="inlineStr">
        <is>
          <t>dongjin_semichem</t>
        </is>
      </c>
      <c r="E101" s="27" t="inlineStr">
        <is>
          <t>005290</t>
        </is>
      </c>
      <c r="F101" s="27" t="inlineStr">
        <is>
          <t>2021</t>
        </is>
      </c>
      <c r="G101" s="27" t="inlineStr">
        <is>
          <t>CFS</t>
        </is>
      </c>
      <c r="H101" s="27" t="inlineStr">
        <is>
          <t>CF</t>
        </is>
      </c>
      <c r="I101" s="27" t="inlineStr">
        <is>
          <t>현금흐름표</t>
        </is>
      </c>
      <c r="J101" s="27" t="inlineStr">
        <is>
          <t>-표준계정코드 미사용-</t>
        </is>
      </c>
      <c r="K101" s="27" t="inlineStr">
        <is>
          <t>투자금융자산평가이익</t>
        </is>
      </c>
      <c r="L101" s="27" t="inlineStr">
        <is>
          <t>-</t>
        </is>
      </c>
      <c r="M101" s="27" t="inlineStr">
        <is>
          <t>제 49 기</t>
        </is>
      </c>
      <c r="N101" s="27" t="inlineStr">
        <is>
          <t>0.0</t>
        </is>
      </c>
      <c r="O101" s="27" t="inlineStr">
        <is>
          <t>44402910.0</t>
        </is>
      </c>
      <c r="P101" s="27" t="inlineStr">
        <is>
          <t>KRW</t>
        </is>
      </c>
      <c r="Q101" s="27" t="inlineStr">
        <is>
          <t>26</t>
        </is>
      </c>
    </row>
    <row r="102" ht="24" customHeight="1">
      <c r="A102" s="32" t="inlineStr">
        <is>
          <t>OpenDART_fnlttSinglAcntAll</t>
        </is>
      </c>
      <c r="B102" s="32" t="inlineStr">
        <is>
          <t>00118804</t>
        </is>
      </c>
      <c r="C102" s="32" t="inlineStr">
        <is>
          <t>동진쎄미켐</t>
        </is>
      </c>
      <c r="D102" s="32" t="inlineStr">
        <is>
          <t>dongjin_semichem</t>
        </is>
      </c>
      <c r="E102" s="32" t="inlineStr">
        <is>
          <t>005290</t>
        </is>
      </c>
      <c r="F102" s="32" t="inlineStr">
        <is>
          <t>2021</t>
        </is>
      </c>
      <c r="G102" s="32" t="inlineStr">
        <is>
          <t>CFS</t>
        </is>
      </c>
      <c r="H102" s="32" t="inlineStr">
        <is>
          <t>CF</t>
        </is>
      </c>
      <c r="I102" s="32" t="inlineStr">
        <is>
          <t>현금흐름표</t>
        </is>
      </c>
      <c r="J102" s="32" t="inlineStr">
        <is>
          <t>dart_AdjustmentsForGainOnDispositionOfTangibleAssets</t>
        </is>
      </c>
      <c r="K102" s="32" t="inlineStr">
        <is>
          <t>유형자산처분이익</t>
        </is>
      </c>
      <c r="L102" s="32" t="inlineStr">
        <is>
          <t>-</t>
        </is>
      </c>
      <c r="M102" s="32" t="inlineStr">
        <is>
          <t>제 49 기</t>
        </is>
      </c>
      <c r="N102" s="32" t="inlineStr">
        <is>
          <t>258732189.0</t>
        </is>
      </c>
      <c r="O102" s="32" t="inlineStr">
        <is>
          <t>169481376.0</t>
        </is>
      </c>
      <c r="P102" s="32" t="inlineStr">
        <is>
          <t>KRW</t>
        </is>
      </c>
      <c r="Q102" s="32" t="inlineStr">
        <is>
          <t>27</t>
        </is>
      </c>
    </row>
    <row r="103" ht="24" customHeight="1">
      <c r="A103" s="27" t="inlineStr">
        <is>
          <t>OpenDART_fnlttSinglAcntAll</t>
        </is>
      </c>
      <c r="B103" s="27" t="inlineStr">
        <is>
          <t>00118804</t>
        </is>
      </c>
      <c r="C103" s="27" t="inlineStr">
        <is>
          <t>동진쎄미켐</t>
        </is>
      </c>
      <c r="D103" s="27" t="inlineStr">
        <is>
          <t>dongjin_semichem</t>
        </is>
      </c>
      <c r="E103" s="27" t="inlineStr">
        <is>
          <t>005290</t>
        </is>
      </c>
      <c r="F103" s="27" t="inlineStr">
        <is>
          <t>2021</t>
        </is>
      </c>
      <c r="G103" s="27" t="inlineStr">
        <is>
          <t>CFS</t>
        </is>
      </c>
      <c r="H103" s="27" t="inlineStr">
        <is>
          <t>CF</t>
        </is>
      </c>
      <c r="I103" s="27" t="inlineStr">
        <is>
          <t>현금흐름표</t>
        </is>
      </c>
      <c r="J103" s="27" t="inlineStr">
        <is>
          <t>dart_AdjustmentsForGainsOnDisposalsOfInvestmentProperty</t>
        </is>
      </c>
      <c r="K103" s="27" t="inlineStr">
        <is>
          <t>투자부동산처분이익</t>
        </is>
      </c>
      <c r="L103" s="27" t="inlineStr">
        <is>
          <t>-</t>
        </is>
      </c>
      <c r="M103" s="27" t="inlineStr">
        <is>
          <t>제 49 기</t>
        </is>
      </c>
      <c r="N103" s="27" t="inlineStr">
        <is>
          <t>0.0</t>
        </is>
      </c>
      <c r="O103" s="27" t="inlineStr">
        <is>
          <t>14437817733.0</t>
        </is>
      </c>
      <c r="P103" s="27" t="inlineStr">
        <is>
          <t>KRW</t>
        </is>
      </c>
      <c r="Q103" s="27" t="inlineStr">
        <is>
          <t>28</t>
        </is>
      </c>
    </row>
    <row r="104" ht="24" customHeight="1">
      <c r="A104" s="32" t="inlineStr">
        <is>
          <t>OpenDART_fnlttSinglAcntAll</t>
        </is>
      </c>
      <c r="B104" s="32" t="inlineStr">
        <is>
          <t>00118804</t>
        </is>
      </c>
      <c r="C104" s="32" t="inlineStr">
        <is>
          <t>동진쎄미켐</t>
        </is>
      </c>
      <c r="D104" s="32" t="inlineStr">
        <is>
          <t>dongjin_semichem</t>
        </is>
      </c>
      <c r="E104" s="32" t="inlineStr">
        <is>
          <t>005290</t>
        </is>
      </c>
      <c r="F104" s="32" t="inlineStr">
        <is>
          <t>2021</t>
        </is>
      </c>
      <c r="G104" s="32" t="inlineStr">
        <is>
          <t>CFS</t>
        </is>
      </c>
      <c r="H104" s="32" t="inlineStr">
        <is>
          <t>CF</t>
        </is>
      </c>
      <c r="I104" s="32" t="inlineStr">
        <is>
          <t>현금흐름표</t>
        </is>
      </c>
      <c r="J104" s="32" t="inlineStr">
        <is>
          <t>-표준계정코드 미사용-</t>
        </is>
      </c>
      <c r="K104" s="32" t="inlineStr">
        <is>
          <t>관계기업투자처분이익</t>
        </is>
      </c>
      <c r="L104" s="32" t="inlineStr">
        <is>
          <t>-</t>
        </is>
      </c>
      <c r="M104" s="32" t="inlineStr">
        <is>
          <t>제 49 기</t>
        </is>
      </c>
      <c r="N104" s="32" t="inlineStr">
        <is>
          <t>0.0</t>
        </is>
      </c>
      <c r="O104" s="32" t="inlineStr">
        <is>
          <t>0.0</t>
        </is>
      </c>
      <c r="P104" s="32" t="inlineStr">
        <is>
          <t>KRW</t>
        </is>
      </c>
      <c r="Q104" s="32" t="inlineStr">
        <is>
          <t>29</t>
        </is>
      </c>
    </row>
    <row r="105" ht="24" customHeight="1">
      <c r="A105" s="27" t="inlineStr">
        <is>
          <t>OpenDART_fnlttSinglAcntAll</t>
        </is>
      </c>
      <c r="B105" s="27" t="inlineStr">
        <is>
          <t>00118804</t>
        </is>
      </c>
      <c r="C105" s="27" t="inlineStr">
        <is>
          <t>동진쎄미켐</t>
        </is>
      </c>
      <c r="D105" s="27" t="inlineStr">
        <is>
          <t>dongjin_semichem</t>
        </is>
      </c>
      <c r="E105" s="27" t="inlineStr">
        <is>
          <t>005290</t>
        </is>
      </c>
      <c r="F105" s="27" t="inlineStr">
        <is>
          <t>2021</t>
        </is>
      </c>
      <c r="G105" s="27" t="inlineStr">
        <is>
          <t>CFS</t>
        </is>
      </c>
      <c r="H105" s="27" t="inlineStr">
        <is>
          <t>CF</t>
        </is>
      </c>
      <c r="I105" s="27" t="inlineStr">
        <is>
          <t>현금흐름표</t>
        </is>
      </c>
      <c r="J105" s="27" t="inlineStr">
        <is>
          <t>dart_AdjustmentsForReversalsOfImpairmentLossesOnIntangibleAssets</t>
        </is>
      </c>
      <c r="K105" s="27" t="inlineStr">
        <is>
          <t>무형자산손상차손환입</t>
        </is>
      </c>
      <c r="L105" s="27" t="inlineStr">
        <is>
          <t>-</t>
        </is>
      </c>
      <c r="M105" s="27" t="inlineStr">
        <is>
          <t>제 49 기</t>
        </is>
      </c>
      <c r="N105" s="27" t="inlineStr">
        <is>
          <t>47248990.0</t>
        </is>
      </c>
      <c r="O105" s="27" t="inlineStr">
        <is>
          <t>85761760.0</t>
        </is>
      </c>
      <c r="P105" s="27" t="inlineStr">
        <is>
          <t>KRW</t>
        </is>
      </c>
      <c r="Q105" s="27" t="inlineStr">
        <is>
          <t>30</t>
        </is>
      </c>
    </row>
    <row r="106" ht="24" customHeight="1">
      <c r="A106" s="32" t="inlineStr">
        <is>
          <t>OpenDART_fnlttSinglAcntAll</t>
        </is>
      </c>
      <c r="B106" s="32" t="inlineStr">
        <is>
          <t>00118804</t>
        </is>
      </c>
      <c r="C106" s="32" t="inlineStr">
        <is>
          <t>동진쎄미켐</t>
        </is>
      </c>
      <c r="D106" s="32" t="inlineStr">
        <is>
          <t>dongjin_semichem</t>
        </is>
      </c>
      <c r="E106" s="32" t="inlineStr">
        <is>
          <t>005290</t>
        </is>
      </c>
      <c r="F106" s="32" t="inlineStr">
        <is>
          <t>2021</t>
        </is>
      </c>
      <c r="G106" s="32" t="inlineStr">
        <is>
          <t>CFS</t>
        </is>
      </c>
      <c r="H106" s="32" t="inlineStr">
        <is>
          <t>CF</t>
        </is>
      </c>
      <c r="I106" s="32" t="inlineStr">
        <is>
          <t>현금흐름표</t>
        </is>
      </c>
      <c r="J106" s="32" t="inlineStr">
        <is>
          <t>dart_AdjustmentsForOtherGainsWithoutCashFlowIn</t>
        </is>
      </c>
      <c r="K106" s="32" t="inlineStr">
        <is>
          <t>기타 현금의 유입 없는 수익등</t>
        </is>
      </c>
      <c r="L106" s="32" t="inlineStr">
        <is>
          <t>-</t>
        </is>
      </c>
      <c r="M106" s="32" t="inlineStr">
        <is>
          <t>제 49 기</t>
        </is>
      </c>
      <c r="N106" s="32" t="inlineStr">
        <is>
          <t>2453964340.0</t>
        </is>
      </c>
      <c r="O106" s="32" t="inlineStr">
        <is>
          <t>121677924.0</t>
        </is>
      </c>
      <c r="P106" s="32" t="inlineStr">
        <is>
          <t>KRW</t>
        </is>
      </c>
      <c r="Q106" s="32" t="inlineStr">
        <is>
          <t>31</t>
        </is>
      </c>
    </row>
    <row r="107" ht="24" customHeight="1">
      <c r="A107" s="27" t="inlineStr">
        <is>
          <t>OpenDART_fnlttSinglAcntAll</t>
        </is>
      </c>
      <c r="B107" s="27" t="inlineStr">
        <is>
          <t>00118804</t>
        </is>
      </c>
      <c r="C107" s="27" t="inlineStr">
        <is>
          <t>동진쎄미켐</t>
        </is>
      </c>
      <c r="D107" s="27" t="inlineStr">
        <is>
          <t>dongjin_semichem</t>
        </is>
      </c>
      <c r="E107" s="27" t="inlineStr">
        <is>
          <t>005290</t>
        </is>
      </c>
      <c r="F107" s="27" t="inlineStr">
        <is>
          <t>2021</t>
        </is>
      </c>
      <c r="G107" s="27" t="inlineStr">
        <is>
          <t>CFS</t>
        </is>
      </c>
      <c r="H107" s="27" t="inlineStr">
        <is>
          <t>CF</t>
        </is>
      </c>
      <c r="I107" s="27" t="inlineStr">
        <is>
          <t>현금흐름표</t>
        </is>
      </c>
      <c r="J107" s="27" t="inlineStr">
        <is>
          <t>dart_AdjustmentsForAssetsLiabilitiesOfOperatingActivities</t>
        </is>
      </c>
      <c r="K107" s="27" t="inlineStr">
        <is>
          <t>자산ㆍ부채의증감</t>
        </is>
      </c>
      <c r="L107" s="27" t="inlineStr">
        <is>
          <t>-</t>
        </is>
      </c>
      <c r="M107" s="27" t="inlineStr">
        <is>
          <t>제 49 기</t>
        </is>
      </c>
      <c r="N107" s="27" t="inlineStr">
        <is>
          <t>-82704706680.0</t>
        </is>
      </c>
      <c r="O107" s="27" t="inlineStr">
        <is>
          <t>-19950319068.0</t>
        </is>
      </c>
      <c r="P107" s="27" t="inlineStr">
        <is>
          <t>KRW</t>
        </is>
      </c>
      <c r="Q107" s="27" t="inlineStr">
        <is>
          <t>32</t>
        </is>
      </c>
    </row>
    <row r="108" ht="24" customHeight="1">
      <c r="A108" s="32" t="inlineStr">
        <is>
          <t>OpenDART_fnlttSinglAcntAll</t>
        </is>
      </c>
      <c r="B108" s="32" t="inlineStr">
        <is>
          <t>00118804</t>
        </is>
      </c>
      <c r="C108" s="32" t="inlineStr">
        <is>
          <t>동진쎄미켐</t>
        </is>
      </c>
      <c r="D108" s="32" t="inlineStr">
        <is>
          <t>dongjin_semichem</t>
        </is>
      </c>
      <c r="E108" s="32" t="inlineStr">
        <is>
          <t>005290</t>
        </is>
      </c>
      <c r="F108" s="32" t="inlineStr">
        <is>
          <t>2021</t>
        </is>
      </c>
      <c r="G108" s="32" t="inlineStr">
        <is>
          <t>CFS</t>
        </is>
      </c>
      <c r="H108" s="32" t="inlineStr">
        <is>
          <t>CF</t>
        </is>
      </c>
      <c r="I108" s="32" t="inlineStr">
        <is>
          <t>현금흐름표</t>
        </is>
      </c>
      <c r="J108" s="32" t="inlineStr">
        <is>
          <t>ifrs-full_AdjustmentsForDecreaseIncreaseInTradeAccountReceivable</t>
        </is>
      </c>
      <c r="K108" s="32" t="inlineStr">
        <is>
          <t>매출채권의 감소(증가)</t>
        </is>
      </c>
      <c r="L108" s="32" t="inlineStr">
        <is>
          <t>-</t>
        </is>
      </c>
      <c r="M108" s="32" t="inlineStr">
        <is>
          <t>제 49 기</t>
        </is>
      </c>
      <c r="N108" s="32" t="inlineStr">
        <is>
          <t>-64097460880.0</t>
        </is>
      </c>
      <c r="O108" s="32" t="inlineStr">
        <is>
          <t>-7804530629.0</t>
        </is>
      </c>
      <c r="P108" s="32" t="inlineStr">
        <is>
          <t>KRW</t>
        </is>
      </c>
      <c r="Q108" s="32" t="inlineStr">
        <is>
          <t>33</t>
        </is>
      </c>
    </row>
    <row r="109" ht="24" customHeight="1">
      <c r="A109" s="27" t="inlineStr">
        <is>
          <t>OpenDART_fnlttSinglAcntAll</t>
        </is>
      </c>
      <c r="B109" s="27" t="inlineStr">
        <is>
          <t>00118804</t>
        </is>
      </c>
      <c r="C109" s="27" t="inlineStr">
        <is>
          <t>동진쎄미켐</t>
        </is>
      </c>
      <c r="D109" s="27" t="inlineStr">
        <is>
          <t>dongjin_semichem</t>
        </is>
      </c>
      <c r="E109" s="27" t="inlineStr">
        <is>
          <t>005290</t>
        </is>
      </c>
      <c r="F109" s="27" t="inlineStr">
        <is>
          <t>2021</t>
        </is>
      </c>
      <c r="G109" s="27" t="inlineStr">
        <is>
          <t>CFS</t>
        </is>
      </c>
      <c r="H109" s="27" t="inlineStr">
        <is>
          <t>CF</t>
        </is>
      </c>
      <c r="I109" s="27" t="inlineStr">
        <is>
          <t>현금흐름표</t>
        </is>
      </c>
      <c r="J109" s="27" t="inlineStr">
        <is>
          <t>dart_AdjustmentsForDecreaseincreaseInTradeAndOtherCurrentReceivables</t>
        </is>
      </c>
      <c r="K109" s="27" t="inlineStr">
        <is>
          <t>기타유동금융채권의 감소(증가)</t>
        </is>
      </c>
      <c r="L109" s="27" t="inlineStr">
        <is>
          <t>-</t>
        </is>
      </c>
      <c r="M109" s="27" t="inlineStr">
        <is>
          <t>제 49 기</t>
        </is>
      </c>
      <c r="N109" s="27" t="inlineStr">
        <is>
          <t>2157573516.0</t>
        </is>
      </c>
      <c r="O109" s="27" t="inlineStr">
        <is>
          <t>609421194.0</t>
        </is>
      </c>
      <c r="P109" s="27" t="inlineStr">
        <is>
          <t>KRW</t>
        </is>
      </c>
      <c r="Q109" s="27" t="inlineStr">
        <is>
          <t>34</t>
        </is>
      </c>
    </row>
    <row r="110" ht="24" customHeight="1">
      <c r="A110" s="32" t="inlineStr">
        <is>
          <t>OpenDART_fnlttSinglAcntAll</t>
        </is>
      </c>
      <c r="B110" s="32" t="inlineStr">
        <is>
          <t>00118804</t>
        </is>
      </c>
      <c r="C110" s="32" t="inlineStr">
        <is>
          <t>동진쎄미켐</t>
        </is>
      </c>
      <c r="D110" s="32" t="inlineStr">
        <is>
          <t>dongjin_semichem</t>
        </is>
      </c>
      <c r="E110" s="32" t="inlineStr">
        <is>
          <t>005290</t>
        </is>
      </c>
      <c r="F110" s="32" t="inlineStr">
        <is>
          <t>2021</t>
        </is>
      </c>
      <c r="G110" s="32" t="inlineStr">
        <is>
          <t>CFS</t>
        </is>
      </c>
      <c r="H110" s="32" t="inlineStr">
        <is>
          <t>CF</t>
        </is>
      </c>
      <c r="I110" s="32" t="inlineStr">
        <is>
          <t>현금흐름표</t>
        </is>
      </c>
      <c r="J110" s="32" t="inlineStr">
        <is>
          <t>dart_AdjustmentsForDecreaseIncreaseInOtherCurrentAssets</t>
        </is>
      </c>
      <c r="K110" s="32" t="inlineStr">
        <is>
          <t>기타유동자산의 감소(증가)</t>
        </is>
      </c>
      <c r="L110" s="32" t="inlineStr">
        <is>
          <t>-</t>
        </is>
      </c>
      <c r="M110" s="32" t="inlineStr">
        <is>
          <t>제 49 기</t>
        </is>
      </c>
      <c r="N110" s="32" t="inlineStr">
        <is>
          <t>-7281671872.0</t>
        </is>
      </c>
      <c r="O110" s="32" t="inlineStr">
        <is>
          <t>-4961875307.0</t>
        </is>
      </c>
      <c r="P110" s="32" t="inlineStr">
        <is>
          <t>KRW</t>
        </is>
      </c>
      <c r="Q110" s="32" t="inlineStr">
        <is>
          <t>35</t>
        </is>
      </c>
    </row>
    <row r="111" ht="24" customHeight="1">
      <c r="A111" s="27" t="inlineStr">
        <is>
          <t>OpenDART_fnlttSinglAcntAll</t>
        </is>
      </c>
      <c r="B111" s="27" t="inlineStr">
        <is>
          <t>00118804</t>
        </is>
      </c>
      <c r="C111" s="27" t="inlineStr">
        <is>
          <t>동진쎄미켐</t>
        </is>
      </c>
      <c r="D111" s="27" t="inlineStr">
        <is>
          <t>dongjin_semichem</t>
        </is>
      </c>
      <c r="E111" s="27" t="inlineStr">
        <is>
          <t>005290</t>
        </is>
      </c>
      <c r="F111" s="27" t="inlineStr">
        <is>
          <t>2021</t>
        </is>
      </c>
      <c r="G111" s="27" t="inlineStr">
        <is>
          <t>CFS</t>
        </is>
      </c>
      <c r="H111" s="27" t="inlineStr">
        <is>
          <t>CF</t>
        </is>
      </c>
      <c r="I111" s="27" t="inlineStr">
        <is>
          <t>현금흐름표</t>
        </is>
      </c>
      <c r="J111" s="27" t="inlineStr">
        <is>
          <t>-표준계정코드 미사용-</t>
        </is>
      </c>
      <c r="K111" s="27" t="inlineStr">
        <is>
          <t>기타비유동자산의 증가</t>
        </is>
      </c>
      <c r="L111" s="27" t="inlineStr">
        <is>
          <t>-</t>
        </is>
      </c>
      <c r="M111" s="27" t="inlineStr">
        <is>
          <t>제 49 기</t>
        </is>
      </c>
      <c r="N111" s="27" t="inlineStr">
        <is>
          <t>-278815867.0</t>
        </is>
      </c>
      <c r="O111" s="27" t="inlineStr">
        <is>
          <t>-29696805.0</t>
        </is>
      </c>
      <c r="P111" s="27" t="inlineStr">
        <is>
          <t>KRW</t>
        </is>
      </c>
      <c r="Q111" s="27" t="inlineStr">
        <is>
          <t>36</t>
        </is>
      </c>
    </row>
    <row r="112" ht="24" customHeight="1">
      <c r="A112" s="32" t="inlineStr">
        <is>
          <t>OpenDART_fnlttSinglAcntAll</t>
        </is>
      </c>
      <c r="B112" s="32" t="inlineStr">
        <is>
          <t>00118804</t>
        </is>
      </c>
      <c r="C112" s="32" t="inlineStr">
        <is>
          <t>동진쎄미켐</t>
        </is>
      </c>
      <c r="D112" s="32" t="inlineStr">
        <is>
          <t>dongjin_semichem</t>
        </is>
      </c>
      <c r="E112" s="32" t="inlineStr">
        <is>
          <t>005290</t>
        </is>
      </c>
      <c r="F112" s="32" t="inlineStr">
        <is>
          <t>2021</t>
        </is>
      </c>
      <c r="G112" s="32" t="inlineStr">
        <is>
          <t>CFS</t>
        </is>
      </c>
      <c r="H112" s="32" t="inlineStr">
        <is>
          <t>CF</t>
        </is>
      </c>
      <c r="I112" s="32" t="inlineStr">
        <is>
          <t>현금흐름표</t>
        </is>
      </c>
      <c r="J112" s="32" t="inlineStr">
        <is>
          <t>-표준계정코드 미사용-</t>
        </is>
      </c>
      <c r="K112" s="32" t="inlineStr">
        <is>
          <t>기타비유동금융채권의 감소</t>
        </is>
      </c>
      <c r="L112" s="32" t="inlineStr">
        <is>
          <t>-</t>
        </is>
      </c>
      <c r="M112" s="32" t="inlineStr">
        <is>
          <t>제 49 기</t>
        </is>
      </c>
      <c r="N112" s="32" t="inlineStr">
        <is>
          <t>-766779746.0</t>
        </is>
      </c>
      <c r="O112" s="32" t="inlineStr">
        <is>
          <t>-157709179.0</t>
        </is>
      </c>
      <c r="P112" s="32" t="inlineStr">
        <is>
          <t>KRW</t>
        </is>
      </c>
      <c r="Q112" s="32" t="inlineStr">
        <is>
          <t>37</t>
        </is>
      </c>
    </row>
    <row r="113" ht="24" customHeight="1">
      <c r="A113" s="27" t="inlineStr">
        <is>
          <t>OpenDART_fnlttSinglAcntAll</t>
        </is>
      </c>
      <c r="B113" s="27" t="inlineStr">
        <is>
          <t>00118804</t>
        </is>
      </c>
      <c r="C113" s="27" t="inlineStr">
        <is>
          <t>동진쎄미켐</t>
        </is>
      </c>
      <c r="D113" s="27" t="inlineStr">
        <is>
          <t>dongjin_semichem</t>
        </is>
      </c>
      <c r="E113" s="27" t="inlineStr">
        <is>
          <t>005290</t>
        </is>
      </c>
      <c r="F113" s="27" t="inlineStr">
        <is>
          <t>2021</t>
        </is>
      </c>
      <c r="G113" s="27" t="inlineStr">
        <is>
          <t>CFS</t>
        </is>
      </c>
      <c r="H113" s="27" t="inlineStr">
        <is>
          <t>CF</t>
        </is>
      </c>
      <c r="I113" s="27" t="inlineStr">
        <is>
          <t>현금흐름표</t>
        </is>
      </c>
      <c r="J113" s="27" t="inlineStr">
        <is>
          <t>ifrs-full_AdjustmentsForDecreaseIncreaseInInventories</t>
        </is>
      </c>
      <c r="K113" s="27" t="inlineStr">
        <is>
          <t>재고자산의 감소(증가)</t>
        </is>
      </c>
      <c r="L113" s="27" t="inlineStr">
        <is>
          <t>-</t>
        </is>
      </c>
      <c r="M113" s="27" t="inlineStr">
        <is>
          <t>제 49 기</t>
        </is>
      </c>
      <c r="N113" s="27" t="inlineStr">
        <is>
          <t>-53202602792.0</t>
        </is>
      </c>
      <c r="O113" s="27" t="inlineStr">
        <is>
          <t>-12701868981.0</t>
        </is>
      </c>
      <c r="P113" s="27" t="inlineStr">
        <is>
          <t>KRW</t>
        </is>
      </c>
      <c r="Q113" s="27" t="inlineStr">
        <is>
          <t>38</t>
        </is>
      </c>
    </row>
    <row r="114" ht="24" customHeight="1">
      <c r="A114" s="32" t="inlineStr">
        <is>
          <t>OpenDART_fnlttSinglAcntAll</t>
        </is>
      </c>
      <c r="B114" s="32" t="inlineStr">
        <is>
          <t>00118804</t>
        </is>
      </c>
      <c r="C114" s="32" t="inlineStr">
        <is>
          <t>동진쎄미켐</t>
        </is>
      </c>
      <c r="D114" s="32" t="inlineStr">
        <is>
          <t>dongjin_semichem</t>
        </is>
      </c>
      <c r="E114" s="32" t="inlineStr">
        <is>
          <t>005290</t>
        </is>
      </c>
      <c r="F114" s="32" t="inlineStr">
        <is>
          <t>2021</t>
        </is>
      </c>
      <c r="G114" s="32" t="inlineStr">
        <is>
          <t>CFS</t>
        </is>
      </c>
      <c r="H114" s="32" t="inlineStr">
        <is>
          <t>CF</t>
        </is>
      </c>
      <c r="I114" s="32" t="inlineStr">
        <is>
          <t>현금흐름표</t>
        </is>
      </c>
      <c r="J114" s="32" t="inlineStr">
        <is>
          <t>ifrs-full_AdjustmentsForIncreaseDecreaseInTradeAccountPayable</t>
        </is>
      </c>
      <c r="K114" s="32" t="inlineStr">
        <is>
          <t>매입채무의 증가(감소)</t>
        </is>
      </c>
      <c r="L114" s="32" t="inlineStr">
        <is>
          <t>-</t>
        </is>
      </c>
      <c r="M114" s="32" t="inlineStr">
        <is>
          <t>제 49 기</t>
        </is>
      </c>
      <c r="N114" s="32" t="inlineStr">
        <is>
          <t>45472191674.0</t>
        </is>
      </c>
      <c r="O114" s="32" t="inlineStr">
        <is>
          <t>15822848985.0</t>
        </is>
      </c>
      <c r="P114" s="32" t="inlineStr">
        <is>
          <t>KRW</t>
        </is>
      </c>
      <c r="Q114" s="32" t="inlineStr">
        <is>
          <t>39</t>
        </is>
      </c>
    </row>
    <row r="115" ht="24" customHeight="1">
      <c r="A115" s="27" t="inlineStr">
        <is>
          <t>OpenDART_fnlttSinglAcntAll</t>
        </is>
      </c>
      <c r="B115" s="27" t="inlineStr">
        <is>
          <t>00118804</t>
        </is>
      </c>
      <c r="C115" s="27" t="inlineStr">
        <is>
          <t>동진쎄미켐</t>
        </is>
      </c>
      <c r="D115" s="27" t="inlineStr">
        <is>
          <t>dongjin_semichem</t>
        </is>
      </c>
      <c r="E115" s="27" t="inlineStr">
        <is>
          <t>005290</t>
        </is>
      </c>
      <c r="F115" s="27" t="inlineStr">
        <is>
          <t>2021</t>
        </is>
      </c>
      <c r="G115" s="27" t="inlineStr">
        <is>
          <t>CFS</t>
        </is>
      </c>
      <c r="H115" s="27" t="inlineStr">
        <is>
          <t>CF</t>
        </is>
      </c>
      <c r="I115" s="27" t="inlineStr">
        <is>
          <t>현금흐름표</t>
        </is>
      </c>
      <c r="J115" s="27" t="inlineStr">
        <is>
          <t>dart_AdjustmentsForIncreasedecreaseInOtherCurrentFinancialLiabilities</t>
        </is>
      </c>
      <c r="K115" s="27" t="inlineStr">
        <is>
          <t>기타유동금융채무의 증가(감소)</t>
        </is>
      </c>
      <c r="L115" s="27" t="inlineStr">
        <is>
          <t>-</t>
        </is>
      </c>
      <c r="M115" s="27" t="inlineStr">
        <is>
          <t>제 49 기</t>
        </is>
      </c>
      <c r="N115" s="27" t="inlineStr">
        <is>
          <t>-550438325.0</t>
        </is>
      </c>
      <c r="O115" s="27" t="inlineStr">
        <is>
          <t>695704486.0</t>
        </is>
      </c>
      <c r="P115" s="27" t="inlineStr">
        <is>
          <t>KRW</t>
        </is>
      </c>
      <c r="Q115" s="27" t="inlineStr">
        <is>
          <t>40</t>
        </is>
      </c>
    </row>
    <row r="116" ht="24" customHeight="1">
      <c r="A116" s="32" t="inlineStr">
        <is>
          <t>OpenDART_fnlttSinglAcntAll</t>
        </is>
      </c>
      <c r="B116" s="32" t="inlineStr">
        <is>
          <t>00118804</t>
        </is>
      </c>
      <c r="C116" s="32" t="inlineStr">
        <is>
          <t>동진쎄미켐</t>
        </is>
      </c>
      <c r="D116" s="32" t="inlineStr">
        <is>
          <t>dongjin_semichem</t>
        </is>
      </c>
      <c r="E116" s="32" t="inlineStr">
        <is>
          <t>005290</t>
        </is>
      </c>
      <c r="F116" s="32" t="inlineStr">
        <is>
          <t>2021</t>
        </is>
      </c>
      <c r="G116" s="32" t="inlineStr">
        <is>
          <t>CFS</t>
        </is>
      </c>
      <c r="H116" s="32" t="inlineStr">
        <is>
          <t>CF</t>
        </is>
      </c>
      <c r="I116" s="32" t="inlineStr">
        <is>
          <t>현금흐름표</t>
        </is>
      </c>
      <c r="J116" s="32" t="inlineStr">
        <is>
          <t>dart_AdjustmentsForIncreaseDecreaseInOtherCurrentLiabilities</t>
        </is>
      </c>
      <c r="K116" s="32" t="inlineStr">
        <is>
          <t>기타유동부채의 증가(감소)</t>
        </is>
      </c>
      <c r="L116" s="32" t="inlineStr">
        <is>
          <t>-</t>
        </is>
      </c>
      <c r="M116" s="32" t="inlineStr">
        <is>
          <t>제 49 기</t>
        </is>
      </c>
      <c r="N116" s="32" t="inlineStr">
        <is>
          <t>6637762057.0</t>
        </is>
      </c>
      <c r="O116" s="32" t="inlineStr">
        <is>
          <t>-2924427265.0</t>
        </is>
      </c>
      <c r="P116" s="32" t="inlineStr">
        <is>
          <t>KRW</t>
        </is>
      </c>
      <c r="Q116" s="32" t="inlineStr">
        <is>
          <t>41</t>
        </is>
      </c>
    </row>
    <row r="117" ht="24" customHeight="1">
      <c r="A117" s="27" t="inlineStr">
        <is>
          <t>OpenDART_fnlttSinglAcntAll</t>
        </is>
      </c>
      <c r="B117" s="27" t="inlineStr">
        <is>
          <t>00118804</t>
        </is>
      </c>
      <c r="C117" s="27" t="inlineStr">
        <is>
          <t>동진쎄미켐</t>
        </is>
      </c>
      <c r="D117" s="27" t="inlineStr">
        <is>
          <t>dongjin_semichem</t>
        </is>
      </c>
      <c r="E117" s="27" t="inlineStr">
        <is>
          <t>005290</t>
        </is>
      </c>
      <c r="F117" s="27" t="inlineStr">
        <is>
          <t>2021</t>
        </is>
      </c>
      <c r="G117" s="27" t="inlineStr">
        <is>
          <t>CFS</t>
        </is>
      </c>
      <c r="H117" s="27" t="inlineStr">
        <is>
          <t>CF</t>
        </is>
      </c>
      <c r="I117" s="27" t="inlineStr">
        <is>
          <t>현금흐름표</t>
        </is>
      </c>
      <c r="J117" s="27" t="inlineStr">
        <is>
          <t>dart_AdjustmentsForIncreasedecreaseInOtherNonCurrentFinancialLiabilities</t>
        </is>
      </c>
      <c r="K117" s="27" t="inlineStr">
        <is>
          <t>기타비유동금융채무의 증가(감소)</t>
        </is>
      </c>
      <c r="L117" s="27" t="inlineStr">
        <is>
          <t>-</t>
        </is>
      </c>
      <c r="M117" s="27" t="inlineStr">
        <is>
          <t>제 49 기</t>
        </is>
      </c>
      <c r="N117" s="27" t="inlineStr">
        <is>
          <t>17303700.0</t>
        </is>
      </c>
      <c r="O117" s="27" t="inlineStr">
        <is>
          <t>-117696300.0</t>
        </is>
      </c>
      <c r="P117" s="27" t="inlineStr">
        <is>
          <t>KRW</t>
        </is>
      </c>
      <c r="Q117" s="27" t="inlineStr">
        <is>
          <t>42</t>
        </is>
      </c>
    </row>
    <row r="118" ht="24" customHeight="1">
      <c r="A118" s="32" t="inlineStr">
        <is>
          <t>OpenDART_fnlttSinglAcntAll</t>
        </is>
      </c>
      <c r="B118" s="32" t="inlineStr">
        <is>
          <t>00118804</t>
        </is>
      </c>
      <c r="C118" s="32" t="inlineStr">
        <is>
          <t>동진쎄미켐</t>
        </is>
      </c>
      <c r="D118" s="32" t="inlineStr">
        <is>
          <t>dongjin_semichem</t>
        </is>
      </c>
      <c r="E118" s="32" t="inlineStr">
        <is>
          <t>005290</t>
        </is>
      </c>
      <c r="F118" s="32" t="inlineStr">
        <is>
          <t>2021</t>
        </is>
      </c>
      <c r="G118" s="32" t="inlineStr">
        <is>
          <t>CFS</t>
        </is>
      </c>
      <c r="H118" s="32" t="inlineStr">
        <is>
          <t>CF</t>
        </is>
      </c>
      <c r="I118" s="32" t="inlineStr">
        <is>
          <t>현금흐름표</t>
        </is>
      </c>
      <c r="J118" s="32" t="inlineStr">
        <is>
          <t>dart_AdjustmentsForDecreaseincreaseInFairValueOfPlanAssets</t>
        </is>
      </c>
      <c r="K118" s="32" t="inlineStr">
        <is>
          <t>사외적립자산의 감소(증가)</t>
        </is>
      </c>
      <c r="L118" s="32" t="inlineStr">
        <is>
          <t>-</t>
        </is>
      </c>
      <c r="M118" s="32" t="inlineStr">
        <is>
          <t>제 49 기</t>
        </is>
      </c>
      <c r="N118" s="32" t="inlineStr">
        <is>
          <t>-5048375441.0</t>
        </is>
      </c>
      <c r="O118" s="32" t="inlineStr">
        <is>
          <t>-3658692759.0</t>
        </is>
      </c>
      <c r="P118" s="32" t="inlineStr">
        <is>
          <t>KRW</t>
        </is>
      </c>
      <c r="Q118" s="32" t="inlineStr">
        <is>
          <t>43</t>
        </is>
      </c>
    </row>
    <row r="119" ht="24" customHeight="1">
      <c r="A119" s="27" t="inlineStr">
        <is>
          <t>OpenDART_fnlttSinglAcntAll</t>
        </is>
      </c>
      <c r="B119" s="27" t="inlineStr">
        <is>
          <t>00118804</t>
        </is>
      </c>
      <c r="C119" s="27" t="inlineStr">
        <is>
          <t>동진쎄미켐</t>
        </is>
      </c>
      <c r="D119" s="27" t="inlineStr">
        <is>
          <t>dongjin_semichem</t>
        </is>
      </c>
      <c r="E119" s="27" t="inlineStr">
        <is>
          <t>005290</t>
        </is>
      </c>
      <c r="F119" s="27" t="inlineStr">
        <is>
          <t>2021</t>
        </is>
      </c>
      <c r="G119" s="27" t="inlineStr">
        <is>
          <t>CFS</t>
        </is>
      </c>
      <c r="H119" s="27" t="inlineStr">
        <is>
          <t>CF</t>
        </is>
      </c>
      <c r="I119" s="27" t="inlineStr">
        <is>
          <t>현금흐름표</t>
        </is>
      </c>
      <c r="J119" s="27" t="inlineStr">
        <is>
          <t>-표준계정코드 미사용-</t>
        </is>
      </c>
      <c r="K119" s="27" t="inlineStr">
        <is>
          <t>관계회사퇴직금의 전출</t>
        </is>
      </c>
      <c r="L119" s="27" t="inlineStr">
        <is>
          <t>-</t>
        </is>
      </c>
      <c r="M119" s="27" t="inlineStr">
        <is>
          <t>제 49 기</t>
        </is>
      </c>
      <c r="N119" s="27" t="inlineStr">
        <is>
          <t>-81070206.0</t>
        </is>
      </c>
      <c r="O119" s="27" t="inlineStr">
        <is>
          <t>-119700890.0</t>
        </is>
      </c>
      <c r="P119" s="27" t="inlineStr">
        <is>
          <t>KRW</t>
        </is>
      </c>
      <c r="Q119" s="27" t="inlineStr">
        <is>
          <t>44</t>
        </is>
      </c>
    </row>
    <row r="120" ht="24" customHeight="1">
      <c r="A120" s="32" t="inlineStr">
        <is>
          <t>OpenDART_fnlttSinglAcntAll</t>
        </is>
      </c>
      <c r="B120" s="32" t="inlineStr">
        <is>
          <t>00118804</t>
        </is>
      </c>
      <c r="C120" s="32" t="inlineStr">
        <is>
          <t>동진쎄미켐</t>
        </is>
      </c>
      <c r="D120" s="32" t="inlineStr">
        <is>
          <t>dongjin_semichem</t>
        </is>
      </c>
      <c r="E120" s="32" t="inlineStr">
        <is>
          <t>005290</t>
        </is>
      </c>
      <c r="F120" s="32" t="inlineStr">
        <is>
          <t>2021</t>
        </is>
      </c>
      <c r="G120" s="32" t="inlineStr">
        <is>
          <t>CFS</t>
        </is>
      </c>
      <c r="H120" s="32" t="inlineStr">
        <is>
          <t>CF</t>
        </is>
      </c>
      <c r="I120" s="32" t="inlineStr">
        <is>
          <t>현금흐름표</t>
        </is>
      </c>
      <c r="J120" s="32" t="inlineStr">
        <is>
          <t>-표준계정코드 미사용-</t>
        </is>
      </c>
      <c r="K120" s="32" t="inlineStr">
        <is>
          <t>퇴직금 지급액</t>
        </is>
      </c>
      <c r="L120" s="32" t="inlineStr">
        <is>
          <t>-</t>
        </is>
      </c>
      <c r="M120" s="32" t="inlineStr">
        <is>
          <t>제 49 기</t>
        </is>
      </c>
      <c r="N120" s="32" t="inlineStr">
        <is>
          <t>-5256396576.0</t>
        </is>
      </c>
      <c r="O120" s="32" t="inlineStr">
        <is>
          <t>-3608507314.0</t>
        </is>
      </c>
      <c r="P120" s="32" t="inlineStr">
        <is>
          <t>KRW</t>
        </is>
      </c>
      <c r="Q120" s="32" t="inlineStr">
        <is>
          <t>45</t>
        </is>
      </c>
    </row>
    <row r="121" ht="24" customHeight="1">
      <c r="A121" s="27" t="inlineStr">
        <is>
          <t>OpenDART_fnlttSinglAcntAll</t>
        </is>
      </c>
      <c r="B121" s="27" t="inlineStr">
        <is>
          <t>00118804</t>
        </is>
      </c>
      <c r="C121" s="27" t="inlineStr">
        <is>
          <t>동진쎄미켐</t>
        </is>
      </c>
      <c r="D121" s="27" t="inlineStr">
        <is>
          <t>dongjin_semichem</t>
        </is>
      </c>
      <c r="E121" s="27" t="inlineStr">
        <is>
          <t>005290</t>
        </is>
      </c>
      <c r="F121" s="27" t="inlineStr">
        <is>
          <t>2021</t>
        </is>
      </c>
      <c r="G121" s="27" t="inlineStr">
        <is>
          <t>CFS</t>
        </is>
      </c>
      <c r="H121" s="27" t="inlineStr">
        <is>
          <t>CF</t>
        </is>
      </c>
      <c r="I121" s="27" t="inlineStr">
        <is>
          <t>현금흐름표</t>
        </is>
      </c>
      <c r="J121" s="27" t="inlineStr">
        <is>
          <t>-표준계정코드 미사용-</t>
        </is>
      </c>
      <c r="K121" s="27" t="inlineStr">
        <is>
          <t>기타 영업활동으로 인한 자산, 부채의 증감</t>
        </is>
      </c>
      <c r="L121" s="27" t="inlineStr">
        <is>
          <t>-</t>
        </is>
      </c>
      <c r="M121" s="27" t="inlineStr">
        <is>
          <t>제 49 기</t>
        </is>
      </c>
      <c r="N121" s="27" t="inlineStr">
        <is>
          <t>-425925922.0</t>
        </is>
      </c>
      <c r="O121" s="27" t="inlineStr">
        <is>
          <t>-993588304.0</t>
        </is>
      </c>
      <c r="P121" s="27" t="inlineStr">
        <is>
          <t>KRW</t>
        </is>
      </c>
      <c r="Q121" s="27" t="inlineStr">
        <is>
          <t>46</t>
        </is>
      </c>
    </row>
    <row r="122" ht="24" customHeight="1">
      <c r="A122" s="32" t="inlineStr">
        <is>
          <t>OpenDART_fnlttSinglAcntAll</t>
        </is>
      </c>
      <c r="B122" s="32" t="inlineStr">
        <is>
          <t>00118804</t>
        </is>
      </c>
      <c r="C122" s="32" t="inlineStr">
        <is>
          <t>동진쎄미켐</t>
        </is>
      </c>
      <c r="D122" s="32" t="inlineStr">
        <is>
          <t>dongjin_semichem</t>
        </is>
      </c>
      <c r="E122" s="32" t="inlineStr">
        <is>
          <t>005290</t>
        </is>
      </c>
      <c r="F122" s="32" t="inlineStr">
        <is>
          <t>2021</t>
        </is>
      </c>
      <c r="G122" s="32" t="inlineStr">
        <is>
          <t>CFS</t>
        </is>
      </c>
      <c r="H122" s="32" t="inlineStr">
        <is>
          <t>CF</t>
        </is>
      </c>
      <c r="I122" s="32" t="inlineStr">
        <is>
          <t>현금흐름표</t>
        </is>
      </c>
      <c r="J122" s="32" t="inlineStr">
        <is>
          <t>ifrs-full_InterestReceivedClassifiedAsOperatingActivities</t>
        </is>
      </c>
      <c r="K122" s="32" t="inlineStr">
        <is>
          <t>이자수취</t>
        </is>
      </c>
      <c r="L122" s="32" t="inlineStr">
        <is>
          <t>-</t>
        </is>
      </c>
      <c r="M122" s="32" t="inlineStr">
        <is>
          <t>제 49 기</t>
        </is>
      </c>
      <c r="N122" s="32" t="inlineStr">
        <is>
          <t>1297324748.0</t>
        </is>
      </c>
      <c r="O122" s="32" t="inlineStr">
        <is>
          <t>1591528169.0</t>
        </is>
      </c>
      <c r="P122" s="32" t="inlineStr">
        <is>
          <t>KRW</t>
        </is>
      </c>
      <c r="Q122" s="32" t="inlineStr">
        <is>
          <t>47</t>
        </is>
      </c>
    </row>
    <row r="123" ht="24" customHeight="1">
      <c r="A123" s="27" t="inlineStr">
        <is>
          <t>OpenDART_fnlttSinglAcntAll</t>
        </is>
      </c>
      <c r="B123" s="27" t="inlineStr">
        <is>
          <t>00118804</t>
        </is>
      </c>
      <c r="C123" s="27" t="inlineStr">
        <is>
          <t>동진쎄미켐</t>
        </is>
      </c>
      <c r="D123" s="27" t="inlineStr">
        <is>
          <t>dongjin_semichem</t>
        </is>
      </c>
      <c r="E123" s="27" t="inlineStr">
        <is>
          <t>005290</t>
        </is>
      </c>
      <c r="F123" s="27" t="inlineStr">
        <is>
          <t>2021</t>
        </is>
      </c>
      <c r="G123" s="27" t="inlineStr">
        <is>
          <t>CFS</t>
        </is>
      </c>
      <c r="H123" s="27" t="inlineStr">
        <is>
          <t>CF</t>
        </is>
      </c>
      <c r="I123" s="27" t="inlineStr">
        <is>
          <t>현금흐름표</t>
        </is>
      </c>
      <c r="J123" s="27" t="inlineStr">
        <is>
          <t>ifrs-full_InterestPaidClassifiedAsOperatingActivities</t>
        </is>
      </c>
      <c r="K123" s="27" t="inlineStr">
        <is>
          <t>이자지급</t>
        </is>
      </c>
      <c r="L123" s="27" t="inlineStr">
        <is>
          <t>-</t>
        </is>
      </c>
      <c r="M123" s="27" t="inlineStr">
        <is>
          <t>제 49 기</t>
        </is>
      </c>
      <c r="N123" s="27" t="inlineStr">
        <is>
          <t>9631793782.0</t>
        </is>
      </c>
      <c r="O123" s="27" t="inlineStr">
        <is>
          <t>11791109407.0</t>
        </is>
      </c>
      <c r="P123" s="27" t="inlineStr">
        <is>
          <t>KRW</t>
        </is>
      </c>
      <c r="Q123" s="27" t="inlineStr">
        <is>
          <t>48</t>
        </is>
      </c>
    </row>
    <row r="124" ht="24" customHeight="1">
      <c r="A124" s="32" t="inlineStr">
        <is>
          <t>OpenDART_fnlttSinglAcntAll</t>
        </is>
      </c>
      <c r="B124" s="32" t="inlineStr">
        <is>
          <t>00118804</t>
        </is>
      </c>
      <c r="C124" s="32" t="inlineStr">
        <is>
          <t>동진쎄미켐</t>
        </is>
      </c>
      <c r="D124" s="32" t="inlineStr">
        <is>
          <t>dongjin_semichem</t>
        </is>
      </c>
      <c r="E124" s="32" t="inlineStr">
        <is>
          <t>005290</t>
        </is>
      </c>
      <c r="F124" s="32" t="inlineStr">
        <is>
          <t>2021</t>
        </is>
      </c>
      <c r="G124" s="32" t="inlineStr">
        <is>
          <t>CFS</t>
        </is>
      </c>
      <c r="H124" s="32" t="inlineStr">
        <is>
          <t>CF</t>
        </is>
      </c>
      <c r="I124" s="32" t="inlineStr">
        <is>
          <t>현금흐름표</t>
        </is>
      </c>
      <c r="J124" s="32" t="inlineStr">
        <is>
          <t>-표준계정코드 미사용-</t>
        </is>
      </c>
      <c r="K124" s="32" t="inlineStr">
        <is>
          <t>법인세의 환급</t>
        </is>
      </c>
      <c r="L124" s="32" t="inlineStr">
        <is>
          <t>-</t>
        </is>
      </c>
      <c r="M124" s="32" t="inlineStr">
        <is>
          <t>제 49 기</t>
        </is>
      </c>
      <c r="N124" s="32" t="inlineStr">
        <is>
          <t>806665133.0</t>
        </is>
      </c>
      <c r="O124" s="32" t="inlineStr">
        <is>
          <t>434863582.0</t>
        </is>
      </c>
      <c r="P124" s="32" t="inlineStr">
        <is>
          <t>KRW</t>
        </is>
      </c>
      <c r="Q124" s="32" t="inlineStr">
        <is>
          <t>49</t>
        </is>
      </c>
    </row>
    <row r="125" ht="24" customHeight="1">
      <c r="A125" s="27" t="inlineStr">
        <is>
          <t>OpenDART_fnlttSinglAcntAll</t>
        </is>
      </c>
      <c r="B125" s="27" t="inlineStr">
        <is>
          <t>00118804</t>
        </is>
      </c>
      <c r="C125" s="27" t="inlineStr">
        <is>
          <t>동진쎄미켐</t>
        </is>
      </c>
      <c r="D125" s="27" t="inlineStr">
        <is>
          <t>dongjin_semichem</t>
        </is>
      </c>
      <c r="E125" s="27" t="inlineStr">
        <is>
          <t>005290</t>
        </is>
      </c>
      <c r="F125" s="27" t="inlineStr">
        <is>
          <t>2021</t>
        </is>
      </c>
      <c r="G125" s="27" t="inlineStr">
        <is>
          <t>CFS</t>
        </is>
      </c>
      <c r="H125" s="27" t="inlineStr">
        <is>
          <t>CF</t>
        </is>
      </c>
      <c r="I125" s="27" t="inlineStr">
        <is>
          <t>현금흐름표</t>
        </is>
      </c>
      <c r="J125" s="27" t="inlineStr">
        <is>
          <t>ifrs-full_IncomeTaxesPaidRefundClassifiedAsOperatingActivities</t>
        </is>
      </c>
      <c r="K125" s="27" t="inlineStr">
        <is>
          <t>법인세의 납부</t>
        </is>
      </c>
      <c r="L125" s="27" t="inlineStr">
        <is>
          <t>-</t>
        </is>
      </c>
      <c r="M125" s="27" t="inlineStr">
        <is>
          <t>제 49 기</t>
        </is>
      </c>
      <c r="N125" s="27" t="inlineStr">
        <is>
          <t>35252970412.0</t>
        </is>
      </c>
      <c r="O125" s="27" t="inlineStr">
        <is>
          <t>29493219992.0</t>
        </is>
      </c>
      <c r="P125" s="27" t="inlineStr">
        <is>
          <t>KRW</t>
        </is>
      </c>
      <c r="Q125" s="27" t="inlineStr">
        <is>
          <t>50</t>
        </is>
      </c>
    </row>
    <row r="126" ht="24" customHeight="1">
      <c r="A126" s="32" t="inlineStr">
        <is>
          <t>OpenDART_fnlttSinglAcntAll</t>
        </is>
      </c>
      <c r="B126" s="32" t="inlineStr">
        <is>
          <t>00118804</t>
        </is>
      </c>
      <c r="C126" s="32" t="inlineStr">
        <is>
          <t>동진쎄미켐</t>
        </is>
      </c>
      <c r="D126" s="32" t="inlineStr">
        <is>
          <t>dongjin_semichem</t>
        </is>
      </c>
      <c r="E126" s="32" t="inlineStr">
        <is>
          <t>005290</t>
        </is>
      </c>
      <c r="F126" s="32" t="inlineStr">
        <is>
          <t>2021</t>
        </is>
      </c>
      <c r="G126" s="32" t="inlineStr">
        <is>
          <t>CFS</t>
        </is>
      </c>
      <c r="H126" s="32" t="inlineStr">
        <is>
          <t>CF</t>
        </is>
      </c>
      <c r="I126" s="32" t="inlineStr">
        <is>
          <t>현금흐름표</t>
        </is>
      </c>
      <c r="J126" s="32" t="inlineStr">
        <is>
          <t>ifrs-full_CashFlowsFromUsedInInvestingActivities</t>
        </is>
      </c>
      <c r="K126" s="32" t="inlineStr">
        <is>
          <t>투자활동현금흐름</t>
        </is>
      </c>
      <c r="L126" s="32" t="inlineStr">
        <is>
          <t>-</t>
        </is>
      </c>
      <c r="M126" s="32" t="inlineStr">
        <is>
          <t>제 49 기</t>
        </is>
      </c>
      <c r="N126" s="32" t="inlineStr">
        <is>
          <t>-96276916853.0</t>
        </is>
      </c>
      <c r="O126" s="32" t="inlineStr">
        <is>
          <t>-40623006080.0</t>
        </is>
      </c>
      <c r="P126" s="32" t="inlineStr">
        <is>
          <t>KRW</t>
        </is>
      </c>
      <c r="Q126" s="32" t="inlineStr">
        <is>
          <t>51</t>
        </is>
      </c>
    </row>
    <row r="127" ht="24" customHeight="1">
      <c r="A127" s="27" t="inlineStr">
        <is>
          <t>OpenDART_fnlttSinglAcntAll</t>
        </is>
      </c>
      <c r="B127" s="27" t="inlineStr">
        <is>
          <t>00118804</t>
        </is>
      </c>
      <c r="C127" s="27" t="inlineStr">
        <is>
          <t>동진쎄미켐</t>
        </is>
      </c>
      <c r="D127" s="27" t="inlineStr">
        <is>
          <t>dongjin_semichem</t>
        </is>
      </c>
      <c r="E127" s="27" t="inlineStr">
        <is>
          <t>005290</t>
        </is>
      </c>
      <c r="F127" s="27" t="inlineStr">
        <is>
          <t>2021</t>
        </is>
      </c>
      <c r="G127" s="27" t="inlineStr">
        <is>
          <t>CFS</t>
        </is>
      </c>
      <c r="H127" s="27" t="inlineStr">
        <is>
          <t>CF</t>
        </is>
      </c>
      <c r="I127" s="27" t="inlineStr">
        <is>
          <t>현금흐름표</t>
        </is>
      </c>
      <c r="J127" s="27" t="inlineStr">
        <is>
          <t>-표준계정코드 미사용-</t>
        </is>
      </c>
      <c r="K127" s="27" t="inlineStr">
        <is>
          <t>단기금융자산의 감소</t>
        </is>
      </c>
      <c r="L127" s="27" t="inlineStr">
        <is>
          <t>-</t>
        </is>
      </c>
      <c r="M127" s="27" t="inlineStr">
        <is>
          <t>제 49 기</t>
        </is>
      </c>
      <c r="N127" s="27" t="inlineStr">
        <is>
          <t>49038807835.0</t>
        </is>
      </c>
      <c r="O127" s="27" t="inlineStr">
        <is>
          <t>75986181168.0</t>
        </is>
      </c>
      <c r="P127" s="27" t="inlineStr">
        <is>
          <t>KRW</t>
        </is>
      </c>
      <c r="Q127" s="27" t="inlineStr">
        <is>
          <t>52</t>
        </is>
      </c>
    </row>
    <row r="128" ht="24" customHeight="1">
      <c r="A128" s="32" t="inlineStr">
        <is>
          <t>OpenDART_fnlttSinglAcntAll</t>
        </is>
      </c>
      <c r="B128" s="32" t="inlineStr">
        <is>
          <t>00118804</t>
        </is>
      </c>
      <c r="C128" s="32" t="inlineStr">
        <is>
          <t>동진쎄미켐</t>
        </is>
      </c>
      <c r="D128" s="32" t="inlineStr">
        <is>
          <t>dongjin_semichem</t>
        </is>
      </c>
      <c r="E128" s="32" t="inlineStr">
        <is>
          <t>005290</t>
        </is>
      </c>
      <c r="F128" s="32" t="inlineStr">
        <is>
          <t>2021</t>
        </is>
      </c>
      <c r="G128" s="32" t="inlineStr">
        <is>
          <t>CFS</t>
        </is>
      </c>
      <c r="H128" s="32" t="inlineStr">
        <is>
          <t>CF</t>
        </is>
      </c>
      <c r="I128" s="32" t="inlineStr">
        <is>
          <t>현금흐름표</t>
        </is>
      </c>
      <c r="J128" s="32" t="inlineStr">
        <is>
          <t>-표준계정코드 미사용-</t>
        </is>
      </c>
      <c r="K128" s="32" t="inlineStr">
        <is>
          <t>투자금융자산의 처분</t>
        </is>
      </c>
      <c r="L128" s="32" t="inlineStr">
        <is>
          <t>-</t>
        </is>
      </c>
      <c r="M128" s="32" t="inlineStr">
        <is>
          <t>제 49 기</t>
        </is>
      </c>
      <c r="N128" s="32" t="inlineStr">
        <is>
          <t>0.0</t>
        </is>
      </c>
      <c r="O128" s="32" t="inlineStr">
        <is>
          <t>53976000.0</t>
        </is>
      </c>
      <c r="P128" s="32" t="inlineStr">
        <is>
          <t>KRW</t>
        </is>
      </c>
      <c r="Q128" s="32" t="inlineStr">
        <is>
          <t>53</t>
        </is>
      </c>
    </row>
    <row r="129" ht="24" customHeight="1">
      <c r="A129" s="27" t="inlineStr">
        <is>
          <t>OpenDART_fnlttSinglAcntAll</t>
        </is>
      </c>
      <c r="B129" s="27" t="inlineStr">
        <is>
          <t>00118804</t>
        </is>
      </c>
      <c r="C129" s="27" t="inlineStr">
        <is>
          <t>동진쎄미켐</t>
        </is>
      </c>
      <c r="D129" s="27" t="inlineStr">
        <is>
          <t>dongjin_semichem</t>
        </is>
      </c>
      <c r="E129" s="27" t="inlineStr">
        <is>
          <t>005290</t>
        </is>
      </c>
      <c r="F129" s="27" t="inlineStr">
        <is>
          <t>2021</t>
        </is>
      </c>
      <c r="G129" s="27" t="inlineStr">
        <is>
          <t>CFS</t>
        </is>
      </c>
      <c r="H129" s="27" t="inlineStr">
        <is>
          <t>CF</t>
        </is>
      </c>
      <c r="I129" s="27" t="inlineStr">
        <is>
          <t>현금흐름표</t>
        </is>
      </c>
      <c r="J129" s="27" t="inlineStr">
        <is>
          <t>-표준계정코드 미사용-</t>
        </is>
      </c>
      <c r="K129" s="27" t="inlineStr">
        <is>
          <t>연결대상범위변동으로 인한 증가</t>
        </is>
      </c>
      <c r="L129" s="27" t="inlineStr">
        <is>
          <t>-</t>
        </is>
      </c>
      <c r="M129" s="27" t="inlineStr">
        <is>
          <t>제 49 기</t>
        </is>
      </c>
      <c r="N129" s="27" t="inlineStr">
        <is>
          <t>0.0</t>
        </is>
      </c>
      <c r="O129" s="27" t="inlineStr">
        <is>
          <t>3467439.0</t>
        </is>
      </c>
      <c r="P129" s="27" t="inlineStr">
        <is>
          <t>KRW</t>
        </is>
      </c>
      <c r="Q129" s="27" t="inlineStr">
        <is>
          <t>54</t>
        </is>
      </c>
    </row>
    <row r="130" ht="24" customHeight="1">
      <c r="A130" s="32" t="inlineStr">
        <is>
          <t>OpenDART_fnlttSinglAcntAll</t>
        </is>
      </c>
      <c r="B130" s="32" t="inlineStr">
        <is>
          <t>00118804</t>
        </is>
      </c>
      <c r="C130" s="32" t="inlineStr">
        <is>
          <t>동진쎄미켐</t>
        </is>
      </c>
      <c r="D130" s="32" t="inlineStr">
        <is>
          <t>dongjin_semichem</t>
        </is>
      </c>
      <c r="E130" s="32" t="inlineStr">
        <is>
          <t>005290</t>
        </is>
      </c>
      <c r="F130" s="32" t="inlineStr">
        <is>
          <t>2021</t>
        </is>
      </c>
      <c r="G130" s="32" t="inlineStr">
        <is>
          <t>CFS</t>
        </is>
      </c>
      <c r="H130" s="32" t="inlineStr">
        <is>
          <t>CF</t>
        </is>
      </c>
      <c r="I130" s="32" t="inlineStr">
        <is>
          <t>현금흐름표</t>
        </is>
      </c>
      <c r="J130" s="32" t="inlineStr">
        <is>
          <t>-표준계정코드 미사용-</t>
        </is>
      </c>
      <c r="K130" s="32" t="inlineStr">
        <is>
          <t>단기대여금의 회수</t>
        </is>
      </c>
      <c r="L130" s="32" t="inlineStr">
        <is>
          <t>-</t>
        </is>
      </c>
      <c r="M130" s="32" t="inlineStr">
        <is>
          <t>제 49 기</t>
        </is>
      </c>
      <c r="N130" s="32" t="inlineStr">
        <is>
          <t>4714230000.0</t>
        </is>
      </c>
      <c r="O130" s="32" t="inlineStr">
        <is>
          <t>4511287700.0</t>
        </is>
      </c>
      <c r="P130" s="32" t="inlineStr">
        <is>
          <t>KRW</t>
        </is>
      </c>
      <c r="Q130" s="32" t="inlineStr">
        <is>
          <t>55</t>
        </is>
      </c>
    </row>
    <row r="131" ht="24" customHeight="1">
      <c r="A131" s="27" t="inlineStr">
        <is>
          <t>OpenDART_fnlttSinglAcntAll</t>
        </is>
      </c>
      <c r="B131" s="27" t="inlineStr">
        <is>
          <t>00118804</t>
        </is>
      </c>
      <c r="C131" s="27" t="inlineStr">
        <is>
          <t>동진쎄미켐</t>
        </is>
      </c>
      <c r="D131" s="27" t="inlineStr">
        <is>
          <t>dongjin_semichem</t>
        </is>
      </c>
      <c r="E131" s="27" t="inlineStr">
        <is>
          <t>005290</t>
        </is>
      </c>
      <c r="F131" s="27" t="inlineStr">
        <is>
          <t>2021</t>
        </is>
      </c>
      <c r="G131" s="27" t="inlineStr">
        <is>
          <t>CFS</t>
        </is>
      </c>
      <c r="H131" s="27" t="inlineStr">
        <is>
          <t>CF</t>
        </is>
      </c>
      <c r="I131" s="27" t="inlineStr">
        <is>
          <t>현금흐름표</t>
        </is>
      </c>
      <c r="J131" s="27" t="inlineStr">
        <is>
          <t>dart_ProceedsFromSalesOfLongTermLoansAndReceivables</t>
        </is>
      </c>
      <c r="K131" s="27" t="inlineStr">
        <is>
          <t>장기대여금의 회수</t>
        </is>
      </c>
      <c r="L131" s="27" t="inlineStr">
        <is>
          <t>-</t>
        </is>
      </c>
      <c r="M131" s="27" t="inlineStr">
        <is>
          <t>제 49 기</t>
        </is>
      </c>
      <c r="N131" s="27" t="inlineStr">
        <is>
          <t>2017550000.0</t>
        </is>
      </c>
      <c r="O131" s="27" t="inlineStr">
        <is>
          <t>11900000.0</t>
        </is>
      </c>
      <c r="P131" s="27" t="inlineStr">
        <is>
          <t>KRW</t>
        </is>
      </c>
      <c r="Q131" s="27" t="inlineStr">
        <is>
          <t>56</t>
        </is>
      </c>
    </row>
    <row r="132" ht="24" customHeight="1">
      <c r="A132" s="32" t="inlineStr">
        <is>
          <t>OpenDART_fnlttSinglAcntAll</t>
        </is>
      </c>
      <c r="B132" s="32" t="inlineStr">
        <is>
          <t>00118804</t>
        </is>
      </c>
      <c r="C132" s="32" t="inlineStr">
        <is>
          <t>동진쎄미켐</t>
        </is>
      </c>
      <c r="D132" s="32" t="inlineStr">
        <is>
          <t>dongjin_semichem</t>
        </is>
      </c>
      <c r="E132" s="32" t="inlineStr">
        <is>
          <t>005290</t>
        </is>
      </c>
      <c r="F132" s="32" t="inlineStr">
        <is>
          <t>2021</t>
        </is>
      </c>
      <c r="G132" s="32" t="inlineStr">
        <is>
          <t>CFS</t>
        </is>
      </c>
      <c r="H132" s="32" t="inlineStr">
        <is>
          <t>CF</t>
        </is>
      </c>
      <c r="I132" s="32" t="inlineStr">
        <is>
          <t>현금흐름표</t>
        </is>
      </c>
      <c r="J132" s="32" t="inlineStr">
        <is>
          <t>ifrs-full_ProceedsFromSalesOfPropertyPlantAndEquipmentClassifiedAsInvestingActivities</t>
        </is>
      </c>
      <c r="K132" s="32" t="inlineStr">
        <is>
          <t>유형자산의 처분</t>
        </is>
      </c>
      <c r="L132" s="32" t="inlineStr">
        <is>
          <t>-</t>
        </is>
      </c>
      <c r="M132" s="32" t="inlineStr">
        <is>
          <t>제 49 기</t>
        </is>
      </c>
      <c r="N132" s="32" t="inlineStr">
        <is>
          <t>964269504.0</t>
        </is>
      </c>
      <c r="O132" s="32" t="inlineStr">
        <is>
          <t>213720109.0</t>
        </is>
      </c>
      <c r="P132" s="32" t="inlineStr">
        <is>
          <t>KRW</t>
        </is>
      </c>
      <c r="Q132" s="32" t="inlineStr">
        <is>
          <t>57</t>
        </is>
      </c>
    </row>
    <row r="133" ht="24" customHeight="1">
      <c r="A133" s="27" t="inlineStr">
        <is>
          <t>OpenDART_fnlttSinglAcntAll</t>
        </is>
      </c>
      <c r="B133" s="27" t="inlineStr">
        <is>
          <t>00118804</t>
        </is>
      </c>
      <c r="C133" s="27" t="inlineStr">
        <is>
          <t>동진쎄미켐</t>
        </is>
      </c>
      <c r="D133" s="27" t="inlineStr">
        <is>
          <t>dongjin_semichem</t>
        </is>
      </c>
      <c r="E133" s="27" t="inlineStr">
        <is>
          <t>005290</t>
        </is>
      </c>
      <c r="F133" s="27" t="inlineStr">
        <is>
          <t>2021</t>
        </is>
      </c>
      <c r="G133" s="27" t="inlineStr">
        <is>
          <t>CFS</t>
        </is>
      </c>
      <c r="H133" s="27" t="inlineStr">
        <is>
          <t>CF</t>
        </is>
      </c>
      <c r="I133" s="27" t="inlineStr">
        <is>
          <t>현금흐름표</t>
        </is>
      </c>
      <c r="J133" s="27" t="inlineStr">
        <is>
          <t>dart_ProceedsFromSalesOfInvestmentProperty</t>
        </is>
      </c>
      <c r="K133" s="27" t="inlineStr">
        <is>
          <t>투자부동산의 처분</t>
        </is>
      </c>
      <c r="L133" s="27" t="inlineStr">
        <is>
          <t>-</t>
        </is>
      </c>
      <c r="M133" s="27" t="inlineStr">
        <is>
          <t>제 49 기</t>
        </is>
      </c>
      <c r="N133" s="27" t="inlineStr">
        <is>
          <t>0.0</t>
        </is>
      </c>
      <c r="O133" s="27" t="inlineStr">
        <is>
          <t>28500000000.0</t>
        </is>
      </c>
      <c r="P133" s="27" t="inlineStr">
        <is>
          <t>KRW</t>
        </is>
      </c>
      <c r="Q133" s="27" t="inlineStr">
        <is>
          <t>58</t>
        </is>
      </c>
    </row>
    <row r="134" ht="24" customHeight="1">
      <c r="A134" s="32" t="inlineStr">
        <is>
          <t>OpenDART_fnlttSinglAcntAll</t>
        </is>
      </c>
      <c r="B134" s="32" t="inlineStr">
        <is>
          <t>00118804</t>
        </is>
      </c>
      <c r="C134" s="32" t="inlineStr">
        <is>
          <t>동진쎄미켐</t>
        </is>
      </c>
      <c r="D134" s="32" t="inlineStr">
        <is>
          <t>dongjin_semichem</t>
        </is>
      </c>
      <c r="E134" s="32" t="inlineStr">
        <is>
          <t>005290</t>
        </is>
      </c>
      <c r="F134" s="32" t="inlineStr">
        <is>
          <t>2021</t>
        </is>
      </c>
      <c r="G134" s="32" t="inlineStr">
        <is>
          <t>CFS</t>
        </is>
      </c>
      <c r="H134" s="32" t="inlineStr">
        <is>
          <t>CF</t>
        </is>
      </c>
      <c r="I134" s="32" t="inlineStr">
        <is>
          <t>현금흐름표</t>
        </is>
      </c>
      <c r="J134" s="32" t="inlineStr">
        <is>
          <t>-표준계정코드 미사용-</t>
        </is>
      </c>
      <c r="K134" s="32" t="inlineStr">
        <is>
          <t>국고보조금의 수령</t>
        </is>
      </c>
      <c r="L134" s="32" t="inlineStr">
        <is>
          <t>-</t>
        </is>
      </c>
      <c r="M134" s="32" t="inlineStr">
        <is>
          <t>제 49 기</t>
        </is>
      </c>
      <c r="N134" s="32" t="inlineStr">
        <is>
          <t>8541693974.0</t>
        </is>
      </c>
      <c r="O134" s="32" t="inlineStr">
        <is>
          <t>8839809717.0</t>
        </is>
      </c>
      <c r="P134" s="32" t="inlineStr">
        <is>
          <t>KRW</t>
        </is>
      </c>
      <c r="Q134" s="32" t="inlineStr">
        <is>
          <t>59</t>
        </is>
      </c>
    </row>
    <row r="135" ht="24" customHeight="1">
      <c r="A135" s="27" t="inlineStr">
        <is>
          <t>OpenDART_fnlttSinglAcntAll</t>
        </is>
      </c>
      <c r="B135" s="27" t="inlineStr">
        <is>
          <t>00118804</t>
        </is>
      </c>
      <c r="C135" s="27" t="inlineStr">
        <is>
          <t>동진쎄미켐</t>
        </is>
      </c>
      <c r="D135" s="27" t="inlineStr">
        <is>
          <t>dongjin_semichem</t>
        </is>
      </c>
      <c r="E135" s="27" t="inlineStr">
        <is>
          <t>005290</t>
        </is>
      </c>
      <c r="F135" s="27" t="inlineStr">
        <is>
          <t>2021</t>
        </is>
      </c>
      <c r="G135" s="27" t="inlineStr">
        <is>
          <t>CFS</t>
        </is>
      </c>
      <c r="H135" s="27" t="inlineStr">
        <is>
          <t>CF</t>
        </is>
      </c>
      <c r="I135" s="27" t="inlineStr">
        <is>
          <t>현금흐름표</t>
        </is>
      </c>
      <c r="J135" s="27" t="inlineStr">
        <is>
          <t>-표준계정코드 미사용-</t>
        </is>
      </c>
      <c r="K135" s="27" t="inlineStr">
        <is>
          <t>단기대여금의 대여</t>
        </is>
      </c>
      <c r="L135" s="27" t="inlineStr">
        <is>
          <t>-</t>
        </is>
      </c>
      <c r="M135" s="27" t="inlineStr">
        <is>
          <t>제 49 기</t>
        </is>
      </c>
      <c r="N135" s="27" t="inlineStr">
        <is>
          <t>-1525898000.0</t>
        </is>
      </c>
      <c r="O135" s="27" t="inlineStr">
        <is>
          <t>-4494852950.0</t>
        </is>
      </c>
      <c r="P135" s="27" t="inlineStr">
        <is>
          <t>KRW</t>
        </is>
      </c>
      <c r="Q135" s="27" t="inlineStr">
        <is>
          <t>60</t>
        </is>
      </c>
    </row>
    <row r="136" ht="24" customHeight="1">
      <c r="A136" s="32" t="inlineStr">
        <is>
          <t>OpenDART_fnlttSinglAcntAll</t>
        </is>
      </c>
      <c r="B136" s="32" t="inlineStr">
        <is>
          <t>00118804</t>
        </is>
      </c>
      <c r="C136" s="32" t="inlineStr">
        <is>
          <t>동진쎄미켐</t>
        </is>
      </c>
      <c r="D136" s="32" t="inlineStr">
        <is>
          <t>dongjin_semichem</t>
        </is>
      </c>
      <c r="E136" s="32" t="inlineStr">
        <is>
          <t>005290</t>
        </is>
      </c>
      <c r="F136" s="32" t="inlineStr">
        <is>
          <t>2021</t>
        </is>
      </c>
      <c r="G136" s="32" t="inlineStr">
        <is>
          <t>CFS</t>
        </is>
      </c>
      <c r="H136" s="32" t="inlineStr">
        <is>
          <t>CF</t>
        </is>
      </c>
      <c r="I136" s="32" t="inlineStr">
        <is>
          <t>현금흐름표</t>
        </is>
      </c>
      <c r="J136" s="32" t="inlineStr">
        <is>
          <t>-표준계정코드 미사용-</t>
        </is>
      </c>
      <c r="K136" s="32" t="inlineStr">
        <is>
          <t>장기대여금의 대여</t>
        </is>
      </c>
      <c r="L136" s="32" t="inlineStr">
        <is>
          <t>-</t>
        </is>
      </c>
      <c r="M136" s="32" t="inlineStr">
        <is>
          <t>제 49 기</t>
        </is>
      </c>
      <c r="N136" s="32" t="inlineStr">
        <is>
          <t>-1148409672.0</t>
        </is>
      </c>
      <c r="O136" s="32" t="inlineStr">
        <is>
          <t>0.0</t>
        </is>
      </c>
      <c r="P136" s="32" t="inlineStr">
        <is>
          <t>KRW</t>
        </is>
      </c>
      <c r="Q136" s="32" t="inlineStr">
        <is>
          <t>61</t>
        </is>
      </c>
    </row>
    <row r="137" ht="24" customHeight="1">
      <c r="A137" s="27" t="inlineStr">
        <is>
          <t>OpenDART_fnlttSinglAcntAll</t>
        </is>
      </c>
      <c r="B137" s="27" t="inlineStr">
        <is>
          <t>00118804</t>
        </is>
      </c>
      <c r="C137" s="27" t="inlineStr">
        <is>
          <t>동진쎄미켐</t>
        </is>
      </c>
      <c r="D137" s="27" t="inlineStr">
        <is>
          <t>dongjin_semichem</t>
        </is>
      </c>
      <c r="E137" s="27" t="inlineStr">
        <is>
          <t>005290</t>
        </is>
      </c>
      <c r="F137" s="27" t="inlineStr">
        <is>
          <t>2021</t>
        </is>
      </c>
      <c r="G137" s="27" t="inlineStr">
        <is>
          <t>CFS</t>
        </is>
      </c>
      <c r="H137" s="27" t="inlineStr">
        <is>
          <t>CF</t>
        </is>
      </c>
      <c r="I137" s="27" t="inlineStr">
        <is>
          <t>현금흐름표</t>
        </is>
      </c>
      <c r="J137" s="27" t="inlineStr">
        <is>
          <t>dart_PurchaseOfShortTermFinancialInstruments</t>
        </is>
      </c>
      <c r="K137" s="27" t="inlineStr">
        <is>
          <t>단기금융자산의 취득</t>
        </is>
      </c>
      <c r="L137" s="27" t="inlineStr">
        <is>
          <t>-</t>
        </is>
      </c>
      <c r="M137" s="27" t="inlineStr">
        <is>
          <t>제 49 기</t>
        </is>
      </c>
      <c r="N137" s="27" t="inlineStr">
        <is>
          <t>54707016630.0</t>
        </is>
      </c>
      <c r="O137" s="27" t="inlineStr">
        <is>
          <t>93746109351.0</t>
        </is>
      </c>
      <c r="P137" s="27" t="inlineStr">
        <is>
          <t>KRW</t>
        </is>
      </c>
      <c r="Q137" s="27" t="inlineStr">
        <is>
          <t>62</t>
        </is>
      </c>
    </row>
    <row r="138" ht="24" customHeight="1">
      <c r="A138" s="32" t="inlineStr">
        <is>
          <t>OpenDART_fnlttSinglAcntAll</t>
        </is>
      </c>
      <c r="B138" s="32" t="inlineStr">
        <is>
          <t>00118804</t>
        </is>
      </c>
      <c r="C138" s="32" t="inlineStr">
        <is>
          <t>동진쎄미켐</t>
        </is>
      </c>
      <c r="D138" s="32" t="inlineStr">
        <is>
          <t>dongjin_semichem</t>
        </is>
      </c>
      <c r="E138" s="32" t="inlineStr">
        <is>
          <t>005290</t>
        </is>
      </c>
      <c r="F138" s="32" t="inlineStr">
        <is>
          <t>2021</t>
        </is>
      </c>
      <c r="G138" s="32" t="inlineStr">
        <is>
          <t>CFS</t>
        </is>
      </c>
      <c r="H138" s="32" t="inlineStr">
        <is>
          <t>CF</t>
        </is>
      </c>
      <c r="I138" s="32" t="inlineStr">
        <is>
          <t>현금흐름표</t>
        </is>
      </c>
      <c r="J138" s="32" t="inlineStr">
        <is>
          <t>-표준계정코드 미사용-</t>
        </is>
      </c>
      <c r="K138" s="32" t="inlineStr">
        <is>
          <t>장기금융자산의 취득</t>
        </is>
      </c>
      <c r="L138" s="32" t="inlineStr">
        <is>
          <t>-</t>
        </is>
      </c>
      <c r="M138" s="32" t="inlineStr">
        <is>
          <t>제 49 기</t>
        </is>
      </c>
      <c r="N138" s="32" t="inlineStr">
        <is>
          <t>-360000000.0</t>
        </is>
      </c>
      <c r="O138" s="32" t="inlineStr">
        <is>
          <t>0.0</t>
        </is>
      </c>
      <c r="P138" s="32" t="inlineStr">
        <is>
          <t>KRW</t>
        </is>
      </c>
      <c r="Q138" s="32" t="inlineStr">
        <is>
          <t>63</t>
        </is>
      </c>
    </row>
    <row r="139" ht="24" customHeight="1">
      <c r="A139" s="27" t="inlineStr">
        <is>
          <t>OpenDART_fnlttSinglAcntAll</t>
        </is>
      </c>
      <c r="B139" s="27" t="inlineStr">
        <is>
          <t>00118804</t>
        </is>
      </c>
      <c r="C139" s="27" t="inlineStr">
        <is>
          <t>동진쎄미켐</t>
        </is>
      </c>
      <c r="D139" s="27" t="inlineStr">
        <is>
          <t>dongjin_semichem</t>
        </is>
      </c>
      <c r="E139" s="27" t="inlineStr">
        <is>
          <t>005290</t>
        </is>
      </c>
      <c r="F139" s="27" t="inlineStr">
        <is>
          <t>2021</t>
        </is>
      </c>
      <c r="G139" s="27" t="inlineStr">
        <is>
          <t>CFS</t>
        </is>
      </c>
      <c r="H139" s="27" t="inlineStr">
        <is>
          <t>CF</t>
        </is>
      </c>
      <c r="I139" s="27" t="inlineStr">
        <is>
          <t>현금흐름표</t>
        </is>
      </c>
      <c r="J139" s="27" t="inlineStr">
        <is>
          <t>-표준계정코드 미사용-</t>
        </is>
      </c>
      <c r="K139" s="27" t="inlineStr">
        <is>
          <t>투자금융자산의 취득</t>
        </is>
      </c>
      <c r="L139" s="27" t="inlineStr">
        <is>
          <t>-</t>
        </is>
      </c>
      <c r="M139" s="27" t="inlineStr">
        <is>
          <t>제 49 기</t>
        </is>
      </c>
      <c r="N139" s="27" t="inlineStr">
        <is>
          <t>0.0</t>
        </is>
      </c>
      <c r="O139" s="27" t="inlineStr">
        <is>
          <t>-2639.0</t>
        </is>
      </c>
      <c r="P139" s="27" t="inlineStr">
        <is>
          <t>KRW</t>
        </is>
      </c>
      <c r="Q139" s="27" t="inlineStr">
        <is>
          <t>64</t>
        </is>
      </c>
    </row>
    <row r="140" ht="24" customHeight="1">
      <c r="A140" s="32" t="inlineStr">
        <is>
          <t>OpenDART_fnlttSinglAcntAll</t>
        </is>
      </c>
      <c r="B140" s="32" t="inlineStr">
        <is>
          <t>00118804</t>
        </is>
      </c>
      <c r="C140" s="32" t="inlineStr">
        <is>
          <t>동진쎄미켐</t>
        </is>
      </c>
      <c r="D140" s="32" t="inlineStr">
        <is>
          <t>dongjin_semichem</t>
        </is>
      </c>
      <c r="E140" s="32" t="inlineStr">
        <is>
          <t>005290</t>
        </is>
      </c>
      <c r="F140" s="32" t="inlineStr">
        <is>
          <t>2021</t>
        </is>
      </c>
      <c r="G140" s="32" t="inlineStr">
        <is>
          <t>CFS</t>
        </is>
      </c>
      <c r="H140" s="32" t="inlineStr">
        <is>
          <t>CF</t>
        </is>
      </c>
      <c r="I140" s="32" t="inlineStr">
        <is>
          <t>현금흐름표</t>
        </is>
      </c>
      <c r="J140" s="32" t="inlineStr">
        <is>
          <t>-표준계정코드 미사용-</t>
        </is>
      </c>
      <c r="K140" s="32" t="inlineStr">
        <is>
          <t>관계기업투자의 취득</t>
        </is>
      </c>
      <c r="L140" s="32" t="inlineStr">
        <is>
          <t>-</t>
        </is>
      </c>
      <c r="M140" s="32" t="inlineStr">
        <is>
          <t>제 49 기</t>
        </is>
      </c>
      <c r="N140" s="32" t="inlineStr">
        <is>
          <t>-3984805023.0</t>
        </is>
      </c>
      <c r="O140" s="32" t="inlineStr">
        <is>
          <t>0.0</t>
        </is>
      </c>
      <c r="P140" s="32" t="inlineStr">
        <is>
          <t>KRW</t>
        </is>
      </c>
      <c r="Q140" s="32" t="inlineStr">
        <is>
          <t>65</t>
        </is>
      </c>
    </row>
    <row r="141" ht="24" customHeight="1">
      <c r="A141" s="27" t="inlineStr">
        <is>
          <t>OpenDART_fnlttSinglAcntAll</t>
        </is>
      </c>
      <c r="B141" s="27" t="inlineStr">
        <is>
          <t>00118804</t>
        </is>
      </c>
      <c r="C141" s="27" t="inlineStr">
        <is>
          <t>동진쎄미켐</t>
        </is>
      </c>
      <c r="D141" s="27" t="inlineStr">
        <is>
          <t>dongjin_semichem</t>
        </is>
      </c>
      <c r="E141" s="27" t="inlineStr">
        <is>
          <t>005290</t>
        </is>
      </c>
      <c r="F141" s="27" t="inlineStr">
        <is>
          <t>2021</t>
        </is>
      </c>
      <c r="G141" s="27" t="inlineStr">
        <is>
          <t>CFS</t>
        </is>
      </c>
      <c r="H141" s="27" t="inlineStr">
        <is>
          <t>CF</t>
        </is>
      </c>
      <c r="I141" s="27" t="inlineStr">
        <is>
          <t>현금흐름표</t>
        </is>
      </c>
      <c r="J141" s="27" t="inlineStr">
        <is>
          <t>-표준계정코드 미사용-</t>
        </is>
      </c>
      <c r="K141" s="27" t="inlineStr">
        <is>
          <t>파생상품자산의 취득</t>
        </is>
      </c>
      <c r="L141" s="27" t="inlineStr">
        <is>
          <t>-</t>
        </is>
      </c>
      <c r="M141" s="27" t="inlineStr">
        <is>
          <t>제 49 기</t>
        </is>
      </c>
      <c r="N141" s="27" t="inlineStr">
        <is>
          <t>-15172545.0</t>
        </is>
      </c>
      <c r="O141" s="27" t="inlineStr">
        <is>
          <t>0.0</t>
        </is>
      </c>
      <c r="P141" s="27" t="inlineStr">
        <is>
          <t>KRW</t>
        </is>
      </c>
      <c r="Q141" s="27" t="inlineStr">
        <is>
          <t>66</t>
        </is>
      </c>
    </row>
    <row r="142" ht="24" customHeight="1">
      <c r="A142" s="32" t="inlineStr">
        <is>
          <t>OpenDART_fnlttSinglAcntAll</t>
        </is>
      </c>
      <c r="B142" s="32" t="inlineStr">
        <is>
          <t>00118804</t>
        </is>
      </c>
      <c r="C142" s="32" t="inlineStr">
        <is>
          <t>동진쎄미켐</t>
        </is>
      </c>
      <c r="D142" s="32" t="inlineStr">
        <is>
          <t>dongjin_semichem</t>
        </is>
      </c>
      <c r="E142" s="32" t="inlineStr">
        <is>
          <t>005290</t>
        </is>
      </c>
      <c r="F142" s="32" t="inlineStr">
        <is>
          <t>2021</t>
        </is>
      </c>
      <c r="G142" s="32" t="inlineStr">
        <is>
          <t>CFS</t>
        </is>
      </c>
      <c r="H142" s="32" t="inlineStr">
        <is>
          <t>CF</t>
        </is>
      </c>
      <c r="I142" s="32" t="inlineStr">
        <is>
          <t>현금흐름표</t>
        </is>
      </c>
      <c r="J142" s="32" t="inlineStr">
        <is>
          <t>ifrs-full_PurchaseOfPropertyPlantAndEquipmentClassifiedAsInvestingActivities</t>
        </is>
      </c>
      <c r="K142" s="32" t="inlineStr">
        <is>
          <t>유형자산의 취득</t>
        </is>
      </c>
      <c r="L142" s="32" t="inlineStr">
        <is>
          <t>-</t>
        </is>
      </c>
      <c r="M142" s="32" t="inlineStr">
        <is>
          <t>제 49 기</t>
        </is>
      </c>
      <c r="N142" s="32" t="inlineStr">
        <is>
          <t>98848468049.0</t>
        </is>
      </c>
      <c r="O142" s="32" t="inlineStr">
        <is>
          <t>59944436444.0</t>
        </is>
      </c>
      <c r="P142" s="32" t="inlineStr">
        <is>
          <t>KRW</t>
        </is>
      </c>
      <c r="Q142" s="32" t="inlineStr">
        <is>
          <t>67</t>
        </is>
      </c>
    </row>
    <row r="143" ht="24" customHeight="1">
      <c r="A143" s="27" t="inlineStr">
        <is>
          <t>OpenDART_fnlttSinglAcntAll</t>
        </is>
      </c>
      <c r="B143" s="27" t="inlineStr">
        <is>
          <t>00118804</t>
        </is>
      </c>
      <c r="C143" s="27" t="inlineStr">
        <is>
          <t>동진쎄미켐</t>
        </is>
      </c>
      <c r="D143" s="27" t="inlineStr">
        <is>
          <t>dongjin_semichem</t>
        </is>
      </c>
      <c r="E143" s="27" t="inlineStr">
        <is>
          <t>005290</t>
        </is>
      </c>
      <c r="F143" s="27" t="inlineStr">
        <is>
          <t>2021</t>
        </is>
      </c>
      <c r="G143" s="27" t="inlineStr">
        <is>
          <t>CFS</t>
        </is>
      </c>
      <c r="H143" s="27" t="inlineStr">
        <is>
          <t>CF</t>
        </is>
      </c>
      <c r="I143" s="27" t="inlineStr">
        <is>
          <t>현금흐름표</t>
        </is>
      </c>
      <c r="J143" s="27" t="inlineStr">
        <is>
          <t>ifrs-full_PurchaseOfIntangibleAssetsClassifiedAsInvestingActivities</t>
        </is>
      </c>
      <c r="K143" s="27" t="inlineStr">
        <is>
          <t>무형자산의 취득</t>
        </is>
      </c>
      <c r="L143" s="27" t="inlineStr">
        <is>
          <t>-</t>
        </is>
      </c>
      <c r="M143" s="27" t="inlineStr">
        <is>
          <t>제 49 기</t>
        </is>
      </c>
      <c r="N143" s="27" t="inlineStr">
        <is>
          <t>963698247.0</t>
        </is>
      </c>
      <c r="O143" s="27" t="inlineStr">
        <is>
          <t>557946829.0</t>
        </is>
      </c>
      <c r="P143" s="27" t="inlineStr">
        <is>
          <t>KRW</t>
        </is>
      </c>
      <c r="Q143" s="27" t="inlineStr">
        <is>
          <t>68</t>
        </is>
      </c>
    </row>
    <row r="144" ht="24" customHeight="1">
      <c r="A144" s="32" t="inlineStr">
        <is>
          <t>OpenDART_fnlttSinglAcntAll</t>
        </is>
      </c>
      <c r="B144" s="32" t="inlineStr">
        <is>
          <t>00118804</t>
        </is>
      </c>
      <c r="C144" s="32" t="inlineStr">
        <is>
          <t>동진쎄미켐</t>
        </is>
      </c>
      <c r="D144" s="32" t="inlineStr">
        <is>
          <t>dongjin_semichem</t>
        </is>
      </c>
      <c r="E144" s="32" t="inlineStr">
        <is>
          <t>005290</t>
        </is>
      </c>
      <c r="F144" s="32" t="inlineStr">
        <is>
          <t>2021</t>
        </is>
      </c>
      <c r="G144" s="32" t="inlineStr">
        <is>
          <t>CFS</t>
        </is>
      </c>
      <c r="H144" s="32" t="inlineStr">
        <is>
          <t>CF</t>
        </is>
      </c>
      <c r="I144" s="32" t="inlineStr">
        <is>
          <t>현금흐름표</t>
        </is>
      </c>
      <c r="J144" s="32" t="inlineStr">
        <is>
          <t>ifrs-full_CashFlowsFromUsedInFinancingActivities</t>
        </is>
      </c>
      <c r="K144" s="32" t="inlineStr">
        <is>
          <t>재무활동현금흐름</t>
        </is>
      </c>
      <c r="L144" s="32" t="inlineStr">
        <is>
          <t>-</t>
        </is>
      </c>
      <c r="M144" s="32" t="inlineStr">
        <is>
          <t>제 49 기</t>
        </is>
      </c>
      <c r="N144" s="32" t="inlineStr">
        <is>
          <t>39134394743.0</t>
        </is>
      </c>
      <c r="O144" s="32" t="inlineStr">
        <is>
          <t>6455220631.0</t>
        </is>
      </c>
      <c r="P144" s="32" t="inlineStr">
        <is>
          <t>KRW</t>
        </is>
      </c>
      <c r="Q144" s="32" t="inlineStr">
        <is>
          <t>69</t>
        </is>
      </c>
    </row>
    <row r="145" ht="24" customHeight="1">
      <c r="A145" s="27" t="inlineStr">
        <is>
          <t>OpenDART_fnlttSinglAcntAll</t>
        </is>
      </c>
      <c r="B145" s="27" t="inlineStr">
        <is>
          <t>00118804</t>
        </is>
      </c>
      <c r="C145" s="27" t="inlineStr">
        <is>
          <t>동진쎄미켐</t>
        </is>
      </c>
      <c r="D145" s="27" t="inlineStr">
        <is>
          <t>dongjin_semichem</t>
        </is>
      </c>
      <c r="E145" s="27" t="inlineStr">
        <is>
          <t>005290</t>
        </is>
      </c>
      <c r="F145" s="27" t="inlineStr">
        <is>
          <t>2021</t>
        </is>
      </c>
      <c r="G145" s="27" t="inlineStr">
        <is>
          <t>CFS</t>
        </is>
      </c>
      <c r="H145" s="27" t="inlineStr">
        <is>
          <t>CF</t>
        </is>
      </c>
      <c r="I145" s="27" t="inlineStr">
        <is>
          <t>현금흐름표</t>
        </is>
      </c>
      <c r="J145" s="27" t="inlineStr">
        <is>
          <t>dart_ProceedsFromShortTermBorrowings</t>
        </is>
      </c>
      <c r="K145" s="27" t="inlineStr">
        <is>
          <t>단기차입금의 차입</t>
        </is>
      </c>
      <c r="L145" s="27" t="inlineStr">
        <is>
          <t>-</t>
        </is>
      </c>
      <c r="M145" s="27" t="inlineStr">
        <is>
          <t>제 49 기</t>
        </is>
      </c>
      <c r="N145" s="27" t="inlineStr">
        <is>
          <t>229553852953.0</t>
        </is>
      </c>
      <c r="O145" s="27" t="inlineStr">
        <is>
          <t>262800170348.0</t>
        </is>
      </c>
      <c r="P145" s="27" t="inlineStr">
        <is>
          <t>KRW</t>
        </is>
      </c>
      <c r="Q145" s="27" t="inlineStr">
        <is>
          <t>70</t>
        </is>
      </c>
    </row>
    <row r="146" ht="24" customHeight="1">
      <c r="A146" s="32" t="inlineStr">
        <is>
          <t>OpenDART_fnlttSinglAcntAll</t>
        </is>
      </c>
      <c r="B146" s="32" t="inlineStr">
        <is>
          <t>00118804</t>
        </is>
      </c>
      <c r="C146" s="32" t="inlineStr">
        <is>
          <t>동진쎄미켐</t>
        </is>
      </c>
      <c r="D146" s="32" t="inlineStr">
        <is>
          <t>dongjin_semichem</t>
        </is>
      </c>
      <c r="E146" s="32" t="inlineStr">
        <is>
          <t>005290</t>
        </is>
      </c>
      <c r="F146" s="32" t="inlineStr">
        <is>
          <t>2021</t>
        </is>
      </c>
      <c r="G146" s="32" t="inlineStr">
        <is>
          <t>CFS</t>
        </is>
      </c>
      <c r="H146" s="32" t="inlineStr">
        <is>
          <t>CF</t>
        </is>
      </c>
      <c r="I146" s="32" t="inlineStr">
        <is>
          <t>현금흐름표</t>
        </is>
      </c>
      <c r="J146" s="32" t="inlineStr">
        <is>
          <t>dart_ProceedsFromLongTermBorrowings</t>
        </is>
      </c>
      <c r="K146" s="32" t="inlineStr">
        <is>
          <t>장기차입금의 차입</t>
        </is>
      </c>
      <c r="L146" s="32" t="inlineStr">
        <is>
          <t>-</t>
        </is>
      </c>
      <c r="M146" s="32" t="inlineStr">
        <is>
          <t>제 49 기</t>
        </is>
      </c>
      <c r="N146" s="32" t="inlineStr">
        <is>
          <t>84337116602.0</t>
        </is>
      </c>
      <c r="O146" s="32" t="inlineStr">
        <is>
          <t>83391841270.0</t>
        </is>
      </c>
      <c r="P146" s="32" t="inlineStr">
        <is>
          <t>KRW</t>
        </is>
      </c>
      <c r="Q146" s="32" t="inlineStr">
        <is>
          <t>71</t>
        </is>
      </c>
    </row>
    <row r="147" ht="24" customHeight="1">
      <c r="A147" s="27" t="inlineStr">
        <is>
          <t>OpenDART_fnlttSinglAcntAll</t>
        </is>
      </c>
      <c r="B147" s="27" t="inlineStr">
        <is>
          <t>00118804</t>
        </is>
      </c>
      <c r="C147" s="27" t="inlineStr">
        <is>
          <t>동진쎄미켐</t>
        </is>
      </c>
      <c r="D147" s="27" t="inlineStr">
        <is>
          <t>dongjin_semichem</t>
        </is>
      </c>
      <c r="E147" s="27" t="inlineStr">
        <is>
          <t>005290</t>
        </is>
      </c>
      <c r="F147" s="27" t="inlineStr">
        <is>
          <t>2021</t>
        </is>
      </c>
      <c r="G147" s="27" t="inlineStr">
        <is>
          <t>CFS</t>
        </is>
      </c>
      <c r="H147" s="27" t="inlineStr">
        <is>
          <t>CF</t>
        </is>
      </c>
      <c r="I147" s="27" t="inlineStr">
        <is>
          <t>현금흐름표</t>
        </is>
      </c>
      <c r="J147" s="27" t="inlineStr">
        <is>
          <t>-표준계정코드 미사용-</t>
        </is>
      </c>
      <c r="K147" s="27" t="inlineStr">
        <is>
          <t>유상증자</t>
        </is>
      </c>
      <c r="L147" s="27" t="inlineStr">
        <is>
          <t>-</t>
        </is>
      </c>
      <c r="M147" s="27" t="inlineStr">
        <is>
          <t>제 49 기</t>
        </is>
      </c>
      <c r="N147" s="27" t="inlineStr">
        <is>
          <t>6074200000.0</t>
        </is>
      </c>
      <c r="O147" s="27" t="inlineStr">
        <is>
          <t>211130247.0</t>
        </is>
      </c>
      <c r="P147" s="27" t="inlineStr">
        <is>
          <t>KRW</t>
        </is>
      </c>
      <c r="Q147" s="27" t="inlineStr">
        <is>
          <t>72</t>
        </is>
      </c>
    </row>
    <row r="148" ht="24" customHeight="1">
      <c r="A148" s="32" t="inlineStr">
        <is>
          <t>OpenDART_fnlttSinglAcntAll</t>
        </is>
      </c>
      <c r="B148" s="32" t="inlineStr">
        <is>
          <t>00118804</t>
        </is>
      </c>
      <c r="C148" s="32" t="inlineStr">
        <is>
          <t>동진쎄미켐</t>
        </is>
      </c>
      <c r="D148" s="32" t="inlineStr">
        <is>
          <t>dongjin_semichem</t>
        </is>
      </c>
      <c r="E148" s="32" t="inlineStr">
        <is>
          <t>005290</t>
        </is>
      </c>
      <c r="F148" s="32" t="inlineStr">
        <is>
          <t>2021</t>
        </is>
      </c>
      <c r="G148" s="32" t="inlineStr">
        <is>
          <t>CFS</t>
        </is>
      </c>
      <c r="H148" s="32" t="inlineStr">
        <is>
          <t>CF</t>
        </is>
      </c>
      <c r="I148" s="32" t="inlineStr">
        <is>
          <t>현금흐름표</t>
        </is>
      </c>
      <c r="J148" s="32" t="inlineStr">
        <is>
          <t>-표준계정코드 미사용-</t>
        </is>
      </c>
      <c r="K148" s="32" t="inlineStr">
        <is>
          <t>기타재무활동으로 인한 현금유입액</t>
        </is>
      </c>
      <c r="L148" s="32" t="inlineStr">
        <is>
          <t>-</t>
        </is>
      </c>
      <c r="M148" s="32" t="inlineStr">
        <is>
          <t>제 49 기</t>
        </is>
      </c>
      <c r="N148" s="32" t="inlineStr">
        <is>
          <t>0.0</t>
        </is>
      </c>
      <c r="O148" s="32" t="inlineStr">
        <is>
          <t>0.0</t>
        </is>
      </c>
      <c r="P148" s="32" t="inlineStr">
        <is>
          <t>KRW</t>
        </is>
      </c>
      <c r="Q148" s="32" t="inlineStr">
        <is>
          <t>73</t>
        </is>
      </c>
    </row>
    <row r="149" ht="24" customHeight="1">
      <c r="A149" s="27" t="inlineStr">
        <is>
          <t>OpenDART_fnlttSinglAcntAll</t>
        </is>
      </c>
      <c r="B149" s="27" t="inlineStr">
        <is>
          <t>00118804</t>
        </is>
      </c>
      <c r="C149" s="27" t="inlineStr">
        <is>
          <t>동진쎄미켐</t>
        </is>
      </c>
      <c r="D149" s="27" t="inlineStr">
        <is>
          <t>dongjin_semichem</t>
        </is>
      </c>
      <c r="E149" s="27" t="inlineStr">
        <is>
          <t>005290</t>
        </is>
      </c>
      <c r="F149" s="27" t="inlineStr">
        <is>
          <t>2021</t>
        </is>
      </c>
      <c r="G149" s="27" t="inlineStr">
        <is>
          <t>CFS</t>
        </is>
      </c>
      <c r="H149" s="27" t="inlineStr">
        <is>
          <t>CF</t>
        </is>
      </c>
      <c r="I149" s="27" t="inlineStr">
        <is>
          <t>현금흐름표</t>
        </is>
      </c>
      <c r="J149" s="27" t="inlineStr">
        <is>
          <t>dart_RepaymentsOfShortTermBorrowings</t>
        </is>
      </c>
      <c r="K149" s="27" t="inlineStr">
        <is>
          <t>단기차입금의 상환</t>
        </is>
      </c>
      <c r="L149" s="27" t="inlineStr">
        <is>
          <t>-</t>
        </is>
      </c>
      <c r="M149" s="27" t="inlineStr">
        <is>
          <t>제 49 기</t>
        </is>
      </c>
      <c r="N149" s="27" t="inlineStr">
        <is>
          <t>248785845977.0</t>
        </is>
      </c>
      <c r="O149" s="27" t="inlineStr">
        <is>
          <t>279360093914.0</t>
        </is>
      </c>
      <c r="P149" s="27" t="inlineStr">
        <is>
          <t>KRW</t>
        </is>
      </c>
      <c r="Q149" s="27" t="inlineStr">
        <is>
          <t>74</t>
        </is>
      </c>
    </row>
    <row r="150" ht="24" customHeight="1">
      <c r="A150" s="32" t="inlineStr">
        <is>
          <t>OpenDART_fnlttSinglAcntAll</t>
        </is>
      </c>
      <c r="B150" s="32" t="inlineStr">
        <is>
          <t>00118804</t>
        </is>
      </c>
      <c r="C150" s="32" t="inlineStr">
        <is>
          <t>동진쎄미켐</t>
        </is>
      </c>
      <c r="D150" s="32" t="inlineStr">
        <is>
          <t>dongjin_semichem</t>
        </is>
      </c>
      <c r="E150" s="32" t="inlineStr">
        <is>
          <t>005290</t>
        </is>
      </c>
      <c r="F150" s="32" t="inlineStr">
        <is>
          <t>2021</t>
        </is>
      </c>
      <c r="G150" s="32" t="inlineStr">
        <is>
          <t>CFS</t>
        </is>
      </c>
      <c r="H150" s="32" t="inlineStr">
        <is>
          <t>CF</t>
        </is>
      </c>
      <c r="I150" s="32" t="inlineStr">
        <is>
          <t>현금흐름표</t>
        </is>
      </c>
      <c r="J150" s="32" t="inlineStr">
        <is>
          <t>dart_RepaymentsOfLongTermBorrowings</t>
        </is>
      </c>
      <c r="K150" s="32" t="inlineStr">
        <is>
          <t>장기차입금의 상환</t>
        </is>
      </c>
      <c r="L150" s="32" t="inlineStr">
        <is>
          <t>-</t>
        </is>
      </c>
      <c r="M150" s="32" t="inlineStr">
        <is>
          <t>제 49 기</t>
        </is>
      </c>
      <c r="N150" s="32" t="inlineStr">
        <is>
          <t>17609947635.0</t>
        </is>
      </c>
      <c r="O150" s="32" t="inlineStr">
        <is>
          <t>49972144312.0</t>
        </is>
      </c>
      <c r="P150" s="32" t="inlineStr">
        <is>
          <t>KRW</t>
        </is>
      </c>
      <c r="Q150" s="32" t="inlineStr">
        <is>
          <t>75</t>
        </is>
      </c>
    </row>
    <row r="151" ht="24" customHeight="1">
      <c r="A151" s="27" t="inlineStr">
        <is>
          <t>OpenDART_fnlttSinglAcntAll</t>
        </is>
      </c>
      <c r="B151" s="27" t="inlineStr">
        <is>
          <t>00118804</t>
        </is>
      </c>
      <c r="C151" s="27" t="inlineStr">
        <is>
          <t>동진쎄미켐</t>
        </is>
      </c>
      <c r="D151" s="27" t="inlineStr">
        <is>
          <t>dongjin_semichem</t>
        </is>
      </c>
      <c r="E151" s="27" t="inlineStr">
        <is>
          <t>005290</t>
        </is>
      </c>
      <c r="F151" s="27" t="inlineStr">
        <is>
          <t>2021</t>
        </is>
      </c>
      <c r="G151" s="27" t="inlineStr">
        <is>
          <t>CFS</t>
        </is>
      </c>
      <c r="H151" s="27" t="inlineStr">
        <is>
          <t>CF</t>
        </is>
      </c>
      <c r="I151" s="27" t="inlineStr">
        <is>
          <t>현금흐름표</t>
        </is>
      </c>
      <c r="J151" s="27" t="inlineStr">
        <is>
          <t>-표준계정코드 미사용-</t>
        </is>
      </c>
      <c r="K151" s="27" t="inlineStr">
        <is>
          <t>종속기업투자의 추가취득</t>
        </is>
      </c>
      <c r="L151" s="27" t="inlineStr">
        <is>
          <t>-</t>
        </is>
      </c>
      <c r="M151" s="27" t="inlineStr">
        <is>
          <t>제 49 기</t>
        </is>
      </c>
      <c r="N151" s="27" t="inlineStr">
        <is>
          <t>-1782308990.0</t>
        </is>
      </c>
      <c r="O151" s="27" t="inlineStr">
        <is>
          <t>0.0</t>
        </is>
      </c>
      <c r="P151" s="27" t="inlineStr">
        <is>
          <t>KRW</t>
        </is>
      </c>
      <c r="Q151" s="27" t="inlineStr">
        <is>
          <t>76</t>
        </is>
      </c>
    </row>
    <row r="152" ht="24" customHeight="1">
      <c r="A152" s="32" t="inlineStr">
        <is>
          <t>OpenDART_fnlttSinglAcntAll</t>
        </is>
      </c>
      <c r="B152" s="32" t="inlineStr">
        <is>
          <t>00118804</t>
        </is>
      </c>
      <c r="C152" s="32" t="inlineStr">
        <is>
          <t>동진쎄미켐</t>
        </is>
      </c>
      <c r="D152" s="32" t="inlineStr">
        <is>
          <t>dongjin_semichem</t>
        </is>
      </c>
      <c r="E152" s="32" t="inlineStr">
        <is>
          <t>005290</t>
        </is>
      </c>
      <c r="F152" s="32" t="inlineStr">
        <is>
          <t>2021</t>
        </is>
      </c>
      <c r="G152" s="32" t="inlineStr">
        <is>
          <t>CFS</t>
        </is>
      </c>
      <c r="H152" s="32" t="inlineStr">
        <is>
          <t>CF</t>
        </is>
      </c>
      <c r="I152" s="32" t="inlineStr">
        <is>
          <t>현금흐름표</t>
        </is>
      </c>
      <c r="J152" s="32" t="inlineStr">
        <is>
          <t>ifrs-full_PaymentsOfFinanceLeaseLiabilitiesClassifiedAsFinancingActivities</t>
        </is>
      </c>
      <c r="K152" s="32" t="inlineStr">
        <is>
          <t>리스부채의 감소</t>
        </is>
      </c>
      <c r="L152" s="32" t="inlineStr">
        <is>
          <t>-</t>
        </is>
      </c>
      <c r="M152" s="32" t="inlineStr">
        <is>
          <t>제 49 기</t>
        </is>
      </c>
      <c r="N152" s="32" t="inlineStr">
        <is>
          <t>7467580348.0</t>
        </is>
      </c>
      <c r="O152" s="32" t="inlineStr">
        <is>
          <t>5988378548.0</t>
        </is>
      </c>
      <c r="P152" s="32" t="inlineStr">
        <is>
          <t>KRW</t>
        </is>
      </c>
      <c r="Q152" s="32" t="inlineStr">
        <is>
          <t>77</t>
        </is>
      </c>
    </row>
    <row r="153" ht="24" customHeight="1">
      <c r="A153" s="27" t="inlineStr">
        <is>
          <t>OpenDART_fnlttSinglAcntAll</t>
        </is>
      </c>
      <c r="B153" s="27" t="inlineStr">
        <is>
          <t>00118804</t>
        </is>
      </c>
      <c r="C153" s="27" t="inlineStr">
        <is>
          <t>동진쎄미켐</t>
        </is>
      </c>
      <c r="D153" s="27" t="inlineStr">
        <is>
          <t>dongjin_semichem</t>
        </is>
      </c>
      <c r="E153" s="27" t="inlineStr">
        <is>
          <t>005290</t>
        </is>
      </c>
      <c r="F153" s="27" t="inlineStr">
        <is>
          <t>2021</t>
        </is>
      </c>
      <c r="G153" s="27" t="inlineStr">
        <is>
          <t>CFS</t>
        </is>
      </c>
      <c r="H153" s="27" t="inlineStr">
        <is>
          <t>CF</t>
        </is>
      </c>
      <c r="I153" s="27" t="inlineStr">
        <is>
          <t>현금흐름표</t>
        </is>
      </c>
      <c r="J153" s="27" t="inlineStr">
        <is>
          <t>-표준계정코드 미사용-</t>
        </is>
      </c>
      <c r="K153" s="27" t="inlineStr">
        <is>
          <t>배당금의 지급</t>
        </is>
      </c>
      <c r="L153" s="27" t="inlineStr">
        <is>
          <t>-</t>
        </is>
      </c>
      <c r="M153" s="27" t="inlineStr">
        <is>
          <t>제 49 기</t>
        </is>
      </c>
      <c r="N153" s="27" t="inlineStr">
        <is>
          <t>-5185091862.0</t>
        </is>
      </c>
      <c r="O153" s="27" t="inlineStr">
        <is>
          <t>-4627304460.0</t>
        </is>
      </c>
      <c r="P153" s="27" t="inlineStr">
        <is>
          <t>KRW</t>
        </is>
      </c>
      <c r="Q153" s="27" t="inlineStr">
        <is>
          <t>78</t>
        </is>
      </c>
    </row>
    <row r="154" ht="24" customHeight="1">
      <c r="A154" s="32" t="inlineStr">
        <is>
          <t>OpenDART_fnlttSinglAcntAll</t>
        </is>
      </c>
      <c r="B154" s="32" t="inlineStr">
        <is>
          <t>00118804</t>
        </is>
      </c>
      <c r="C154" s="32" t="inlineStr">
        <is>
          <t>동진쎄미켐</t>
        </is>
      </c>
      <c r="D154" s="32" t="inlineStr">
        <is>
          <t>dongjin_semichem</t>
        </is>
      </c>
      <c r="E154" s="32" t="inlineStr">
        <is>
          <t>005290</t>
        </is>
      </c>
      <c r="F154" s="32" t="inlineStr">
        <is>
          <t>2021</t>
        </is>
      </c>
      <c r="G154" s="32" t="inlineStr">
        <is>
          <t>CFS</t>
        </is>
      </c>
      <c r="H154" s="32" t="inlineStr">
        <is>
          <t>CF</t>
        </is>
      </c>
      <c r="I154" s="32" t="inlineStr">
        <is>
          <t>현금흐름표</t>
        </is>
      </c>
      <c r="J154" s="32" t="inlineStr">
        <is>
          <t>ifrs-full_EffectOfExchangeRateChangesOnCashAndCashEquivalents</t>
        </is>
      </c>
      <c r="K154" s="32" t="inlineStr">
        <is>
          <t>외화표시 현금 및 현금성 자산 등의 환율변동효과</t>
        </is>
      </c>
      <c r="L154" s="32" t="inlineStr">
        <is>
          <t>-</t>
        </is>
      </c>
      <c r="M154" s="32" t="inlineStr">
        <is>
          <t>제 49 기</t>
        </is>
      </c>
      <c r="N154" s="32" t="inlineStr">
        <is>
          <t>10969218430.0</t>
        </is>
      </c>
      <c r="O154" s="32" t="inlineStr">
        <is>
          <t>-9171096156.0</t>
        </is>
      </c>
      <c r="P154" s="32" t="inlineStr">
        <is>
          <t>KRW</t>
        </is>
      </c>
      <c r="Q154" s="32" t="inlineStr">
        <is>
          <t>79</t>
        </is>
      </c>
    </row>
    <row r="155" ht="24" customHeight="1">
      <c r="A155" s="27" t="inlineStr">
        <is>
          <t>OpenDART_fnlttSinglAcntAll</t>
        </is>
      </c>
      <c r="B155" s="27" t="inlineStr">
        <is>
          <t>00118804</t>
        </is>
      </c>
      <c r="C155" s="27" t="inlineStr">
        <is>
          <t>동진쎄미켐</t>
        </is>
      </c>
      <c r="D155" s="27" t="inlineStr">
        <is>
          <t>dongjin_semichem</t>
        </is>
      </c>
      <c r="E155" s="27" t="inlineStr">
        <is>
          <t>005290</t>
        </is>
      </c>
      <c r="F155" s="27" t="inlineStr">
        <is>
          <t>2021</t>
        </is>
      </c>
      <c r="G155" s="27" t="inlineStr">
        <is>
          <t>CFS</t>
        </is>
      </c>
      <c r="H155" s="27" t="inlineStr">
        <is>
          <t>CF</t>
        </is>
      </c>
      <c r="I155" s="27" t="inlineStr">
        <is>
          <t>현금흐름표</t>
        </is>
      </c>
      <c r="J155" s="27" t="inlineStr">
        <is>
          <t>ifrs-full_IncreaseDecreaseInCashAndCashEquivalents</t>
        </is>
      </c>
      <c r="K155" s="27" t="inlineStr">
        <is>
          <t>현금 및 현금성자산의 순증가(감소)</t>
        </is>
      </c>
      <c r="L155" s="27" t="inlineStr">
        <is>
          <t>-</t>
        </is>
      </c>
      <c r="M155" s="27" t="inlineStr">
        <is>
          <t>제 49 기</t>
        </is>
      </c>
      <c r="N155" s="27" t="inlineStr">
        <is>
          <t>29925450029.0</t>
        </is>
      </c>
      <c r="O155" s="27" t="inlineStr">
        <is>
          <t>86902327914.0</t>
        </is>
      </c>
      <c r="P155" s="27" t="inlineStr">
        <is>
          <t>KRW</t>
        </is>
      </c>
      <c r="Q155" s="27" t="inlineStr">
        <is>
          <t>80</t>
        </is>
      </c>
    </row>
    <row r="156" ht="24" customHeight="1">
      <c r="A156" s="32" t="inlineStr">
        <is>
          <t>OpenDART_fnlttSinglAcntAll</t>
        </is>
      </c>
      <c r="B156" s="32" t="inlineStr">
        <is>
          <t>00118804</t>
        </is>
      </c>
      <c r="C156" s="32" t="inlineStr">
        <is>
          <t>동진쎄미켐</t>
        </is>
      </c>
      <c r="D156" s="32" t="inlineStr">
        <is>
          <t>dongjin_semichem</t>
        </is>
      </c>
      <c r="E156" s="32" t="inlineStr">
        <is>
          <t>005290</t>
        </is>
      </c>
      <c r="F156" s="32" t="inlineStr">
        <is>
          <t>2021</t>
        </is>
      </c>
      <c r="G156" s="32" t="inlineStr">
        <is>
          <t>CFS</t>
        </is>
      </c>
      <c r="H156" s="32" t="inlineStr">
        <is>
          <t>CF</t>
        </is>
      </c>
      <c r="I156" s="32" t="inlineStr">
        <is>
          <t>현금흐름표</t>
        </is>
      </c>
      <c r="J156" s="32" t="inlineStr">
        <is>
          <t>dart_CashAndCashEquivalentsAtBeginningOfPeriodCf</t>
        </is>
      </c>
      <c r="K156" s="32" t="inlineStr">
        <is>
          <t>기초현금및현금성자산</t>
        </is>
      </c>
      <c r="L156" s="32" t="inlineStr">
        <is>
          <t>-</t>
        </is>
      </c>
      <c r="M156" s="32" t="inlineStr">
        <is>
          <t>제 49 기</t>
        </is>
      </c>
      <c r="N156" s="32" t="inlineStr">
        <is>
          <t>201286539579.0</t>
        </is>
      </c>
      <c r="O156" s="32" t="inlineStr">
        <is>
          <t>114384211665.0</t>
        </is>
      </c>
      <c r="P156" s="32" t="inlineStr">
        <is>
          <t>KRW</t>
        </is>
      </c>
      <c r="Q156" s="32" t="inlineStr">
        <is>
          <t>81</t>
        </is>
      </c>
    </row>
    <row r="157" ht="24" customHeight="1">
      <c r="A157" s="27" t="inlineStr">
        <is>
          <t>OpenDART_fnlttSinglAcntAll</t>
        </is>
      </c>
      <c r="B157" s="27" t="inlineStr">
        <is>
          <t>00118804</t>
        </is>
      </c>
      <c r="C157" s="27" t="inlineStr">
        <is>
          <t>동진쎄미켐</t>
        </is>
      </c>
      <c r="D157" s="27" t="inlineStr">
        <is>
          <t>dongjin_semichem</t>
        </is>
      </c>
      <c r="E157" s="27" t="inlineStr">
        <is>
          <t>005290</t>
        </is>
      </c>
      <c r="F157" s="27" t="inlineStr">
        <is>
          <t>2021</t>
        </is>
      </c>
      <c r="G157" s="27" t="inlineStr">
        <is>
          <t>CFS</t>
        </is>
      </c>
      <c r="H157" s="27" t="inlineStr">
        <is>
          <t>CF</t>
        </is>
      </c>
      <c r="I157" s="27" t="inlineStr">
        <is>
          <t>현금흐름표</t>
        </is>
      </c>
      <c r="J157" s="27" t="inlineStr">
        <is>
          <t>dart_CashAndCashEquivalentsAtEndOfPeriodCf</t>
        </is>
      </c>
      <c r="K157" s="27" t="inlineStr">
        <is>
          <t>기말현금및현금성자산</t>
        </is>
      </c>
      <c r="L157" s="27" t="inlineStr">
        <is>
          <t>-</t>
        </is>
      </c>
      <c r="M157" s="27" t="inlineStr">
        <is>
          <t>제 49 기</t>
        </is>
      </c>
      <c r="N157" s="27" t="inlineStr">
        <is>
          <t>231211989608.0</t>
        </is>
      </c>
      <c r="O157" s="27" t="inlineStr">
        <is>
          <t>201286539579.0</t>
        </is>
      </c>
      <c r="P157" s="27" t="inlineStr">
        <is>
          <t>KRW</t>
        </is>
      </c>
      <c r="Q157" s="27" t="inlineStr">
        <is>
          <t>82</t>
        </is>
      </c>
    </row>
    <row r="158" ht="24" customHeight="1">
      <c r="A158" s="32" t="inlineStr">
        <is>
          <t>OpenDART_fnlttSinglAcntAll</t>
        </is>
      </c>
      <c r="B158" s="32" t="inlineStr">
        <is>
          <t>00118804</t>
        </is>
      </c>
      <c r="C158" s="32" t="inlineStr">
        <is>
          <t>동진쎄미켐</t>
        </is>
      </c>
      <c r="D158" s="32" t="inlineStr">
        <is>
          <t>dongjin_semichem</t>
        </is>
      </c>
      <c r="E158" s="32" t="inlineStr">
        <is>
          <t>005290</t>
        </is>
      </c>
      <c r="F158" s="32" t="inlineStr">
        <is>
          <t>2021</t>
        </is>
      </c>
      <c r="G158" s="32" t="inlineStr">
        <is>
          <t>CFS</t>
        </is>
      </c>
      <c r="H158" s="32" t="inlineStr">
        <is>
          <t>SCE</t>
        </is>
      </c>
      <c r="I158" s="32" t="inlineStr">
        <is>
          <t>자본변동표</t>
        </is>
      </c>
      <c r="J158" s="32" t="inlineStr">
        <is>
          <t>dart_EquityAtBeginningOfPeriod</t>
        </is>
      </c>
      <c r="K158" s="32" t="inlineStr">
        <is>
          <t>기초자본</t>
        </is>
      </c>
      <c r="L158" s="32" t="inlineStr">
        <is>
          <t>연결재무제표 [member]</t>
        </is>
      </c>
      <c r="M158" s="32" t="inlineStr">
        <is>
          <t>제 49 기</t>
        </is>
      </c>
      <c r="N158" s="32" t="inlineStr">
        <is>
          <t>438008274772.0</t>
        </is>
      </c>
      <c r="O158" s="32" t="inlineStr">
        <is>
          <t>360362019184.0</t>
        </is>
      </c>
      <c r="P158" s="32" t="inlineStr">
        <is>
          <t>KRW</t>
        </is>
      </c>
      <c r="Q158" s="32" t="inlineStr">
        <is>
          <t>1</t>
        </is>
      </c>
    </row>
    <row r="159" ht="24" customHeight="1">
      <c r="A159" s="27" t="inlineStr">
        <is>
          <t>OpenDART_fnlttSinglAcntAll</t>
        </is>
      </c>
      <c r="B159" s="27" t="inlineStr">
        <is>
          <t>00118804</t>
        </is>
      </c>
      <c r="C159" s="27" t="inlineStr">
        <is>
          <t>동진쎄미켐</t>
        </is>
      </c>
      <c r="D159" s="27" t="inlineStr">
        <is>
          <t>dongjin_semichem</t>
        </is>
      </c>
      <c r="E159" s="27" t="inlineStr">
        <is>
          <t>005290</t>
        </is>
      </c>
      <c r="F159" s="27" t="inlineStr">
        <is>
          <t>2021</t>
        </is>
      </c>
      <c r="G159" s="27" t="inlineStr">
        <is>
          <t>CFS</t>
        </is>
      </c>
      <c r="H159" s="27" t="inlineStr">
        <is>
          <t>SCE</t>
        </is>
      </c>
      <c r="I159" s="27" t="inlineStr">
        <is>
          <t>자본변동표</t>
        </is>
      </c>
      <c r="J159" s="27" t="inlineStr">
        <is>
          <t>dart_EquityAtBeginningOfPeriod</t>
        </is>
      </c>
      <c r="K159" s="27" t="inlineStr">
        <is>
          <t>기초자본</t>
        </is>
      </c>
      <c r="L159" s="27" t="inlineStr">
        <is>
          <t>자본 [member]|비지배지분 [member]</t>
        </is>
      </c>
      <c r="M159" s="27" t="inlineStr">
        <is>
          <t>제 49 기</t>
        </is>
      </c>
      <c r="N159" s="27" t="inlineStr">
        <is>
          <t>4239962016.0</t>
        </is>
      </c>
      <c r="O159" s="27" t="inlineStr">
        <is>
          <t>4015352798.0</t>
        </is>
      </c>
      <c r="P159" s="27" t="inlineStr">
        <is>
          <t>KRW</t>
        </is>
      </c>
      <c r="Q159" s="27" t="inlineStr">
        <is>
          <t>1</t>
        </is>
      </c>
    </row>
    <row r="160" ht="24" customHeight="1">
      <c r="A160" s="32" t="inlineStr">
        <is>
          <t>OpenDART_fnlttSinglAcntAll</t>
        </is>
      </c>
      <c r="B160" s="32" t="inlineStr">
        <is>
          <t>00118804</t>
        </is>
      </c>
      <c r="C160" s="32" t="inlineStr">
        <is>
          <t>동진쎄미켐</t>
        </is>
      </c>
      <c r="D160" s="32" t="inlineStr">
        <is>
          <t>dongjin_semichem</t>
        </is>
      </c>
      <c r="E160" s="32" t="inlineStr">
        <is>
          <t>005290</t>
        </is>
      </c>
      <c r="F160" s="32" t="inlineStr">
        <is>
          <t>2021</t>
        </is>
      </c>
      <c r="G160" s="32" t="inlineStr">
        <is>
          <t>CFS</t>
        </is>
      </c>
      <c r="H160" s="32" t="inlineStr">
        <is>
          <t>SCE</t>
        </is>
      </c>
      <c r="I160" s="32" t="inlineStr">
        <is>
          <t>자본변동표</t>
        </is>
      </c>
      <c r="J160" s="32" t="inlineStr">
        <is>
          <t>dart_EquityAtBeginningOfPeriod</t>
        </is>
      </c>
      <c r="K160" s="32" t="inlineStr">
        <is>
          <t>기초자본</t>
        </is>
      </c>
      <c r="L160" s="32" t="inlineStr">
        <is>
          <t>자본 [member]|지배기업의 소유주에게 귀속되는 자본 [member]</t>
        </is>
      </c>
      <c r="M160" s="32" t="inlineStr">
        <is>
          <t>제 49 기</t>
        </is>
      </c>
      <c r="N160" s="32" t="inlineStr">
        <is>
          <t>433768312756.0</t>
        </is>
      </c>
      <c r="O160" s="32" t="inlineStr">
        <is>
          <t>356346666386.0</t>
        </is>
      </c>
      <c r="P160" s="32" t="inlineStr">
        <is>
          <t>KRW</t>
        </is>
      </c>
      <c r="Q160" s="32" t="inlineStr">
        <is>
          <t>1</t>
        </is>
      </c>
    </row>
    <row r="161" ht="24" customHeight="1">
      <c r="A161" s="27" t="inlineStr">
        <is>
          <t>OpenDART_fnlttSinglAcntAll</t>
        </is>
      </c>
      <c r="B161" s="27" t="inlineStr">
        <is>
          <t>00118804</t>
        </is>
      </c>
      <c r="C161" s="27" t="inlineStr">
        <is>
          <t>동진쎄미켐</t>
        </is>
      </c>
      <c r="D161" s="27" t="inlineStr">
        <is>
          <t>dongjin_semichem</t>
        </is>
      </c>
      <c r="E161" s="27" t="inlineStr">
        <is>
          <t>005290</t>
        </is>
      </c>
      <c r="F161" s="27" t="inlineStr">
        <is>
          <t>2021</t>
        </is>
      </c>
      <c r="G161" s="27" t="inlineStr">
        <is>
          <t>CFS</t>
        </is>
      </c>
      <c r="H161" s="27" t="inlineStr">
        <is>
          <t>SCE</t>
        </is>
      </c>
      <c r="I161" s="27" t="inlineStr">
        <is>
          <t>자본변동표</t>
        </is>
      </c>
      <c r="J161" s="27" t="inlineStr">
        <is>
          <t>dart_EquityAtBeginningOfPeriod</t>
        </is>
      </c>
      <c r="K161" s="27" t="inlineStr">
        <is>
          <t>기초자본</t>
        </is>
      </c>
      <c r="L161" s="27" t="inlineStr">
        <is>
          <t>자본 [member]|지배기업의 소유주에게 귀속되는 자본 [member]|자본금 [member]</t>
        </is>
      </c>
      <c r="M161" s="27" t="inlineStr">
        <is>
          <t>제 49 기</t>
        </is>
      </c>
      <c r="N161" s="27" t="inlineStr">
        <is>
          <t>25707247000.0</t>
        </is>
      </c>
      <c r="O161" s="27" t="inlineStr">
        <is>
          <t>25707247000.0</t>
        </is>
      </c>
      <c r="P161" s="27" t="inlineStr">
        <is>
          <t>KRW</t>
        </is>
      </c>
      <c r="Q161" s="27" t="inlineStr">
        <is>
          <t>1</t>
        </is>
      </c>
    </row>
    <row r="162" ht="24" customHeight="1">
      <c r="A162" s="32" t="inlineStr">
        <is>
          <t>OpenDART_fnlttSinglAcntAll</t>
        </is>
      </c>
      <c r="B162" s="32" t="inlineStr">
        <is>
          <t>00118804</t>
        </is>
      </c>
      <c r="C162" s="32" t="inlineStr">
        <is>
          <t>동진쎄미켐</t>
        </is>
      </c>
      <c r="D162" s="32" t="inlineStr">
        <is>
          <t>dongjin_semichem</t>
        </is>
      </c>
      <c r="E162" s="32" t="inlineStr">
        <is>
          <t>005290</t>
        </is>
      </c>
      <c r="F162" s="32" t="inlineStr">
        <is>
          <t>2021</t>
        </is>
      </c>
      <c r="G162" s="32" t="inlineStr">
        <is>
          <t>CFS</t>
        </is>
      </c>
      <c r="H162" s="32" t="inlineStr">
        <is>
          <t>SCE</t>
        </is>
      </c>
      <c r="I162" s="32" t="inlineStr">
        <is>
          <t>자본변동표</t>
        </is>
      </c>
      <c r="J162" s="32" t="inlineStr">
        <is>
          <t>dart_EquityAtBeginningOfPeriod</t>
        </is>
      </c>
      <c r="K162" s="32" t="inlineStr">
        <is>
          <t>기초자본</t>
        </is>
      </c>
      <c r="L162" s="32" t="inlineStr">
        <is>
          <t>자본 [member]|지배기업의 소유주에게 귀속되는 자본 [member]|기타자본구성요소 [member]</t>
        </is>
      </c>
      <c r="M162" s="32" t="inlineStr">
        <is>
          <t>제 49 기</t>
        </is>
      </c>
      <c r="N162" s="32" t="inlineStr">
        <is>
          <t>13313790086.0</t>
        </is>
      </c>
      <c r="O162" s="32" t="inlineStr">
        <is>
          <t>14891299265.0</t>
        </is>
      </c>
      <c r="P162" s="32" t="inlineStr">
        <is>
          <t>KRW</t>
        </is>
      </c>
      <c r="Q162" s="32" t="inlineStr">
        <is>
          <t>1</t>
        </is>
      </c>
    </row>
    <row r="163" ht="24" customHeight="1">
      <c r="A163" s="27" t="inlineStr">
        <is>
          <t>OpenDART_fnlttSinglAcntAll</t>
        </is>
      </c>
      <c r="B163" s="27" t="inlineStr">
        <is>
          <t>00118804</t>
        </is>
      </c>
      <c r="C163" s="27" t="inlineStr">
        <is>
          <t>동진쎄미켐</t>
        </is>
      </c>
      <c r="D163" s="27" t="inlineStr">
        <is>
          <t>dongjin_semichem</t>
        </is>
      </c>
      <c r="E163" s="27" t="inlineStr">
        <is>
          <t>005290</t>
        </is>
      </c>
      <c r="F163" s="27" t="inlineStr">
        <is>
          <t>2021</t>
        </is>
      </c>
      <c r="G163" s="27" t="inlineStr">
        <is>
          <t>CFS</t>
        </is>
      </c>
      <c r="H163" s="27" t="inlineStr">
        <is>
          <t>SCE</t>
        </is>
      </c>
      <c r="I163" s="27" t="inlineStr">
        <is>
          <t>자본변동표</t>
        </is>
      </c>
      <c r="J163" s="27" t="inlineStr">
        <is>
          <t>dart_EquityAtBeginningOfPeriod</t>
        </is>
      </c>
      <c r="K163" s="27" t="inlineStr">
        <is>
          <t>기초자본</t>
        </is>
      </c>
      <c r="L163" s="27" t="inlineStr">
        <is>
          <t>자본 [member]|지배기업의 소유주에게 귀속되는 자본 [member]|이익잉여금 [member]</t>
        </is>
      </c>
      <c r="M163" s="27" t="inlineStr">
        <is>
          <t>제 49 기</t>
        </is>
      </c>
      <c r="N163" s="27" t="inlineStr">
        <is>
          <t>272429222758.0</t>
        </is>
      </c>
      <c r="O163" s="27" t="inlineStr">
        <is>
          <t>193431903573.0</t>
        </is>
      </c>
      <c r="P163" s="27" t="inlineStr">
        <is>
          <t>KRW</t>
        </is>
      </c>
      <c r="Q163" s="27" t="inlineStr">
        <is>
          <t>1</t>
        </is>
      </c>
    </row>
    <row r="164" ht="24" customHeight="1">
      <c r="A164" s="32" t="inlineStr">
        <is>
          <t>OpenDART_fnlttSinglAcntAll</t>
        </is>
      </c>
      <c r="B164" s="32" t="inlineStr">
        <is>
          <t>00118804</t>
        </is>
      </c>
      <c r="C164" s="32" t="inlineStr">
        <is>
          <t>동진쎄미켐</t>
        </is>
      </c>
      <c r="D164" s="32" t="inlineStr">
        <is>
          <t>dongjin_semichem</t>
        </is>
      </c>
      <c r="E164" s="32" t="inlineStr">
        <is>
          <t>005290</t>
        </is>
      </c>
      <c r="F164" s="32" t="inlineStr">
        <is>
          <t>2021</t>
        </is>
      </c>
      <c r="G164" s="32" t="inlineStr">
        <is>
          <t>CFS</t>
        </is>
      </c>
      <c r="H164" s="32" t="inlineStr">
        <is>
          <t>SCE</t>
        </is>
      </c>
      <c r="I164" s="32" t="inlineStr">
        <is>
          <t>자본변동표</t>
        </is>
      </c>
      <c r="J164" s="32" t="inlineStr">
        <is>
          <t>dart_EquityAtBeginningOfPeriod</t>
        </is>
      </c>
      <c r="K164" s="32" t="inlineStr">
        <is>
          <t>기초자본</t>
        </is>
      </c>
      <c r="L164" s="32" t="inlineStr">
        <is>
          <t>자본 [member]|지배기업의 소유주에게 귀속되는 자본 [member]|기타불입자본</t>
        </is>
      </c>
      <c r="M164" s="32" t="inlineStr">
        <is>
          <t>제 49 기</t>
        </is>
      </c>
      <c r="N164" s="32" t="inlineStr">
        <is>
          <t>122318052912.0</t>
        </is>
      </c>
      <c r="O164" s="32" t="inlineStr">
        <is>
          <t>122316216548.0</t>
        </is>
      </c>
      <c r="P164" s="32" t="inlineStr">
        <is>
          <t>KRW</t>
        </is>
      </c>
      <c r="Q164" s="32" t="inlineStr">
        <is>
          <t>1</t>
        </is>
      </c>
    </row>
    <row r="165" ht="24" customHeight="1">
      <c r="A165" s="27" t="inlineStr">
        <is>
          <t>OpenDART_fnlttSinglAcntAll</t>
        </is>
      </c>
      <c r="B165" s="27" t="inlineStr">
        <is>
          <t>00118804</t>
        </is>
      </c>
      <c r="C165" s="27" t="inlineStr">
        <is>
          <t>동진쎄미켐</t>
        </is>
      </c>
      <c r="D165" s="27" t="inlineStr">
        <is>
          <t>dongjin_semichem</t>
        </is>
      </c>
      <c r="E165" s="27" t="inlineStr">
        <is>
          <t>005290</t>
        </is>
      </c>
      <c r="F165" s="27" t="inlineStr">
        <is>
          <t>2021</t>
        </is>
      </c>
      <c r="G165" s="27" t="inlineStr">
        <is>
          <t>CFS</t>
        </is>
      </c>
      <c r="H165" s="27" t="inlineStr">
        <is>
          <t>SCE</t>
        </is>
      </c>
      <c r="I165" s="27" t="inlineStr">
        <is>
          <t>자본변동표</t>
        </is>
      </c>
      <c r="J165" s="27" t="inlineStr">
        <is>
          <t>ifrs-full_IncreaseDecreaseThroughChangesInAccountingPolicies</t>
        </is>
      </c>
      <c r="K165" s="27" t="inlineStr">
        <is>
          <t>기업회계기준서 제1116호 최초 적용에 따른 조정</t>
        </is>
      </c>
      <c r="L165" s="27" t="inlineStr">
        <is>
          <t>자본 [member]|비지배지분 [member]</t>
        </is>
      </c>
      <c r="M165" s="27" t="inlineStr">
        <is>
          <t>제 49 기</t>
        </is>
      </c>
      <c r="N165" s="27" t="inlineStr">
        <is>
          <t>0.0</t>
        </is>
      </c>
      <c r="O165" s="27" t="inlineStr">
        <is>
          <t>0.0</t>
        </is>
      </c>
      <c r="P165" s="27" t="inlineStr">
        <is>
          <t>KRW</t>
        </is>
      </c>
      <c r="Q165" s="27" t="inlineStr">
        <is>
          <t>2</t>
        </is>
      </c>
    </row>
    <row r="166" ht="24" customHeight="1">
      <c r="A166" s="32" t="inlineStr">
        <is>
          <t>OpenDART_fnlttSinglAcntAll</t>
        </is>
      </c>
      <c r="B166" s="32" t="inlineStr">
        <is>
          <t>00118804</t>
        </is>
      </c>
      <c r="C166" s="32" t="inlineStr">
        <is>
          <t>동진쎄미켐</t>
        </is>
      </c>
      <c r="D166" s="32" t="inlineStr">
        <is>
          <t>dongjin_semichem</t>
        </is>
      </c>
      <c r="E166" s="32" t="inlineStr">
        <is>
          <t>005290</t>
        </is>
      </c>
      <c r="F166" s="32" t="inlineStr">
        <is>
          <t>2021</t>
        </is>
      </c>
      <c r="G166" s="32" t="inlineStr">
        <is>
          <t>CFS</t>
        </is>
      </c>
      <c r="H166" s="32" t="inlineStr">
        <is>
          <t>SCE</t>
        </is>
      </c>
      <c r="I166" s="32" t="inlineStr">
        <is>
          <t>자본변동표</t>
        </is>
      </c>
      <c r="J166" s="32" t="inlineStr">
        <is>
          <t>ifrs-full_IncreaseDecreaseThroughChangesInAccountingPolicies</t>
        </is>
      </c>
      <c r="K166" s="32" t="inlineStr">
        <is>
          <t>기업회계기준서 제1116호 최초 적용에 따른 조정</t>
        </is>
      </c>
      <c r="L166" s="32" t="inlineStr">
        <is>
          <t>자본 [member]|지배기업의 소유주에게 귀속되는 자본 [member]</t>
        </is>
      </c>
      <c r="M166" s="32" t="inlineStr">
        <is>
          <t>제 49 기</t>
        </is>
      </c>
      <c r="N166" s="32" t="inlineStr">
        <is>
          <t>0.0</t>
        </is>
      </c>
      <c r="O166" s="32" t="inlineStr">
        <is>
          <t>0.0</t>
        </is>
      </c>
      <c r="P166" s="32" t="inlineStr">
        <is>
          <t>KRW</t>
        </is>
      </c>
      <c r="Q166" s="32" t="inlineStr">
        <is>
          <t>2</t>
        </is>
      </c>
    </row>
    <row r="167" ht="24" customHeight="1">
      <c r="A167" s="27" t="inlineStr">
        <is>
          <t>OpenDART_fnlttSinglAcntAll</t>
        </is>
      </c>
      <c r="B167" s="27" t="inlineStr">
        <is>
          <t>00118804</t>
        </is>
      </c>
      <c r="C167" s="27" t="inlineStr">
        <is>
          <t>동진쎄미켐</t>
        </is>
      </c>
      <c r="D167" s="27" t="inlineStr">
        <is>
          <t>dongjin_semichem</t>
        </is>
      </c>
      <c r="E167" s="27" t="inlineStr">
        <is>
          <t>005290</t>
        </is>
      </c>
      <c r="F167" s="27" t="inlineStr">
        <is>
          <t>2021</t>
        </is>
      </c>
      <c r="G167" s="27" t="inlineStr">
        <is>
          <t>CFS</t>
        </is>
      </c>
      <c r="H167" s="27" t="inlineStr">
        <is>
          <t>SCE</t>
        </is>
      </c>
      <c r="I167" s="27" t="inlineStr">
        <is>
          <t>자본변동표</t>
        </is>
      </c>
      <c r="J167" s="27" t="inlineStr">
        <is>
          <t>ifrs-full_IncreaseDecreaseThroughChangesInAccountingPolicies</t>
        </is>
      </c>
      <c r="K167" s="27" t="inlineStr">
        <is>
          <t>기업회계기준서 제1116호 최초 적용에 따른 조정</t>
        </is>
      </c>
      <c r="L167" s="27" t="inlineStr">
        <is>
          <t>자본 [member]|지배기업의 소유주에게 귀속되는 자본 [member]|기타불입자본</t>
        </is>
      </c>
      <c r="M167" s="27" t="inlineStr">
        <is>
          <t>제 49 기</t>
        </is>
      </c>
      <c r="N167" s="27" t="inlineStr">
        <is>
          <t>0.0</t>
        </is>
      </c>
      <c r="O167" s="27" t="inlineStr">
        <is>
          <t>0.0</t>
        </is>
      </c>
      <c r="P167" s="27" t="inlineStr">
        <is>
          <t>KRW</t>
        </is>
      </c>
      <c r="Q167" s="27" t="inlineStr">
        <is>
          <t>2</t>
        </is>
      </c>
    </row>
    <row r="168" ht="24" customHeight="1">
      <c r="A168" s="32" t="inlineStr">
        <is>
          <t>OpenDART_fnlttSinglAcntAll</t>
        </is>
      </c>
      <c r="B168" s="32" t="inlineStr">
        <is>
          <t>00118804</t>
        </is>
      </c>
      <c r="C168" s="32" t="inlineStr">
        <is>
          <t>동진쎄미켐</t>
        </is>
      </c>
      <c r="D168" s="32" t="inlineStr">
        <is>
          <t>dongjin_semichem</t>
        </is>
      </c>
      <c r="E168" s="32" t="inlineStr">
        <is>
          <t>005290</t>
        </is>
      </c>
      <c r="F168" s="32" t="inlineStr">
        <is>
          <t>2021</t>
        </is>
      </c>
      <c r="G168" s="32" t="inlineStr">
        <is>
          <t>CFS</t>
        </is>
      </c>
      <c r="H168" s="32" t="inlineStr">
        <is>
          <t>SCE</t>
        </is>
      </c>
      <c r="I168" s="32" t="inlineStr">
        <is>
          <t>자본변동표</t>
        </is>
      </c>
      <c r="J168" s="32" t="inlineStr">
        <is>
          <t>ifrs-full_IncreaseDecreaseThroughChangesInAccountingPolicies</t>
        </is>
      </c>
      <c r="K168" s="32" t="inlineStr">
        <is>
          <t>기업회계기준서 제1116호 최초 적용에 따른 조정</t>
        </is>
      </c>
      <c r="L168" s="32" t="inlineStr">
        <is>
          <t>자본 [member]|지배기업의 소유주에게 귀속되는 자본 [member]|기타자본구성요소 [member]</t>
        </is>
      </c>
      <c r="M168" s="32" t="inlineStr">
        <is>
          <t>제 49 기</t>
        </is>
      </c>
      <c r="N168" s="32" t="inlineStr">
        <is>
          <t>0.0</t>
        </is>
      </c>
      <c r="O168" s="32" t="inlineStr">
        <is>
          <t>0.0</t>
        </is>
      </c>
      <c r="P168" s="32" t="inlineStr">
        <is>
          <t>KRW</t>
        </is>
      </c>
      <c r="Q168" s="32" t="inlineStr">
        <is>
          <t>2</t>
        </is>
      </c>
    </row>
    <row r="169" ht="24" customHeight="1">
      <c r="A169" s="27" t="inlineStr">
        <is>
          <t>OpenDART_fnlttSinglAcntAll</t>
        </is>
      </c>
      <c r="B169" s="27" t="inlineStr">
        <is>
          <t>00118804</t>
        </is>
      </c>
      <c r="C169" s="27" t="inlineStr">
        <is>
          <t>동진쎄미켐</t>
        </is>
      </c>
      <c r="D169" s="27" t="inlineStr">
        <is>
          <t>dongjin_semichem</t>
        </is>
      </c>
      <c r="E169" s="27" t="inlineStr">
        <is>
          <t>005290</t>
        </is>
      </c>
      <c r="F169" s="27" t="inlineStr">
        <is>
          <t>2021</t>
        </is>
      </c>
      <c r="G169" s="27" t="inlineStr">
        <is>
          <t>CFS</t>
        </is>
      </c>
      <c r="H169" s="27" t="inlineStr">
        <is>
          <t>SCE</t>
        </is>
      </c>
      <c r="I169" s="27" t="inlineStr">
        <is>
          <t>자본변동표</t>
        </is>
      </c>
      <c r="J169" s="27" t="inlineStr">
        <is>
          <t>ifrs-full_IncreaseDecreaseThroughChangesInAccountingPolicies</t>
        </is>
      </c>
      <c r="K169" s="27" t="inlineStr">
        <is>
          <t>기업회계기준서 제1116호 최초 적용에 따른 조정</t>
        </is>
      </c>
      <c r="L169" s="27" t="inlineStr">
        <is>
          <t>자본 [member]|지배기업의 소유주에게 귀속되는 자본 [member]|이익잉여금 [member]</t>
        </is>
      </c>
      <c r="M169" s="27" t="inlineStr">
        <is>
          <t>제 49 기</t>
        </is>
      </c>
      <c r="N169" s="27" t="inlineStr">
        <is>
          <t>0.0</t>
        </is>
      </c>
      <c r="O169" s="27" t="inlineStr">
        <is>
          <t>0.0</t>
        </is>
      </c>
      <c r="P169" s="27" t="inlineStr">
        <is>
          <t>KRW</t>
        </is>
      </c>
      <c r="Q169" s="27" t="inlineStr">
        <is>
          <t>2</t>
        </is>
      </c>
    </row>
    <row r="170" ht="24" customHeight="1">
      <c r="A170" s="32" t="inlineStr">
        <is>
          <t>OpenDART_fnlttSinglAcntAll</t>
        </is>
      </c>
      <c r="B170" s="32" t="inlineStr">
        <is>
          <t>00118804</t>
        </is>
      </c>
      <c r="C170" s="32" t="inlineStr">
        <is>
          <t>동진쎄미켐</t>
        </is>
      </c>
      <c r="D170" s="32" t="inlineStr">
        <is>
          <t>dongjin_semichem</t>
        </is>
      </c>
      <c r="E170" s="32" t="inlineStr">
        <is>
          <t>005290</t>
        </is>
      </c>
      <c r="F170" s="32" t="inlineStr">
        <is>
          <t>2021</t>
        </is>
      </c>
      <c r="G170" s="32" t="inlineStr">
        <is>
          <t>CFS</t>
        </is>
      </c>
      <c r="H170" s="32" t="inlineStr">
        <is>
          <t>SCE</t>
        </is>
      </c>
      <c r="I170" s="32" t="inlineStr">
        <is>
          <t>자본변동표</t>
        </is>
      </c>
      <c r="J170" s="32" t="inlineStr">
        <is>
          <t>ifrs-full_IncreaseDecreaseThroughChangesInAccountingPolicies</t>
        </is>
      </c>
      <c r="K170" s="32" t="inlineStr">
        <is>
          <t>기업회계기준서 제1116호 최초 적용에 따른 조정</t>
        </is>
      </c>
      <c r="L170" s="32" t="inlineStr">
        <is>
          <t>자본 [member]|지배기업의 소유주에게 귀속되는 자본 [member]|자본금 [member]</t>
        </is>
      </c>
      <c r="M170" s="32" t="inlineStr">
        <is>
          <t>제 49 기</t>
        </is>
      </c>
      <c r="N170" s="32" t="inlineStr">
        <is>
          <t>0.0</t>
        </is>
      </c>
      <c r="O170" s="32" t="inlineStr">
        <is>
          <t>0.0</t>
        </is>
      </c>
      <c r="P170" s="32" t="inlineStr">
        <is>
          <t>KRW</t>
        </is>
      </c>
      <c r="Q170" s="32" t="inlineStr">
        <is>
          <t>2</t>
        </is>
      </c>
    </row>
    <row r="171" ht="24" customHeight="1">
      <c r="A171" s="27" t="inlineStr">
        <is>
          <t>OpenDART_fnlttSinglAcntAll</t>
        </is>
      </c>
      <c r="B171" s="27" t="inlineStr">
        <is>
          <t>00118804</t>
        </is>
      </c>
      <c r="C171" s="27" t="inlineStr">
        <is>
          <t>동진쎄미켐</t>
        </is>
      </c>
      <c r="D171" s="27" t="inlineStr">
        <is>
          <t>dongjin_semichem</t>
        </is>
      </c>
      <c r="E171" s="27" t="inlineStr">
        <is>
          <t>005290</t>
        </is>
      </c>
      <c r="F171" s="27" t="inlineStr">
        <is>
          <t>2021</t>
        </is>
      </c>
      <c r="G171" s="27" t="inlineStr">
        <is>
          <t>CFS</t>
        </is>
      </c>
      <c r="H171" s="27" t="inlineStr">
        <is>
          <t>SCE</t>
        </is>
      </c>
      <c r="I171" s="27" t="inlineStr">
        <is>
          <t>자본변동표</t>
        </is>
      </c>
      <c r="J171" s="27" t="inlineStr">
        <is>
          <t>ifrs-full_IncreaseDecreaseThroughChangesInAccountingPolicies</t>
        </is>
      </c>
      <c r="K171" s="27" t="inlineStr">
        <is>
          <t>기업회계기준서 제1116호 최초 적용에 따른 조정</t>
        </is>
      </c>
      <c r="L171" s="27" t="inlineStr">
        <is>
          <t>연결재무제표 [member]</t>
        </is>
      </c>
      <c r="M171" s="27" t="inlineStr">
        <is>
          <t>제 49 기</t>
        </is>
      </c>
      <c r="N171" s="27" t="inlineStr">
        <is>
          <t>0.0</t>
        </is>
      </c>
      <c r="O171" s="27" t="inlineStr">
        <is>
          <t>0.0</t>
        </is>
      </c>
      <c r="P171" s="27" t="inlineStr">
        <is>
          <t>KRW</t>
        </is>
      </c>
      <c r="Q171" s="27" t="inlineStr">
        <is>
          <t>2</t>
        </is>
      </c>
    </row>
    <row r="172" ht="24" customHeight="1">
      <c r="A172" s="32" t="inlineStr">
        <is>
          <t>OpenDART_fnlttSinglAcntAll</t>
        </is>
      </c>
      <c r="B172" s="32" t="inlineStr">
        <is>
          <t>00118804</t>
        </is>
      </c>
      <c r="C172" s="32" t="inlineStr">
        <is>
          <t>동진쎄미켐</t>
        </is>
      </c>
      <c r="D172" s="32" t="inlineStr">
        <is>
          <t>dongjin_semichem</t>
        </is>
      </c>
      <c r="E172" s="32" t="inlineStr">
        <is>
          <t>005290</t>
        </is>
      </c>
      <c r="F172" s="32" t="inlineStr">
        <is>
          <t>2021</t>
        </is>
      </c>
      <c r="G172" s="32" t="inlineStr">
        <is>
          <t>CFS</t>
        </is>
      </c>
      <c r="H172" s="32" t="inlineStr">
        <is>
          <t>SCE</t>
        </is>
      </c>
      <c r="I172" s="32" t="inlineStr">
        <is>
          <t>자본변동표</t>
        </is>
      </c>
      <c r="J172" s="32" t="inlineStr">
        <is>
          <t>-표준계정코드 미사용-</t>
        </is>
      </c>
      <c r="K172" s="32" t="inlineStr">
        <is>
          <t>수정 후 기초자본</t>
        </is>
      </c>
      <c r="L172" s="32" t="inlineStr">
        <is>
          <t>연결재무제표 [member]</t>
        </is>
      </c>
      <c r="M172" s="32" t="inlineStr">
        <is>
          <t>제 49 기</t>
        </is>
      </c>
      <c r="N172" s="32" t="inlineStr">
        <is>
          <t>438008274772.0</t>
        </is>
      </c>
      <c r="O172" s="32" t="inlineStr">
        <is>
          <t>360362019184.0</t>
        </is>
      </c>
      <c r="P172" s="32" t="inlineStr">
        <is>
          <t>KRW</t>
        </is>
      </c>
      <c r="Q172" s="32" t="inlineStr">
        <is>
          <t>3</t>
        </is>
      </c>
    </row>
    <row r="173" ht="24" customHeight="1">
      <c r="A173" s="27" t="inlineStr">
        <is>
          <t>OpenDART_fnlttSinglAcntAll</t>
        </is>
      </c>
      <c r="B173" s="27" t="inlineStr">
        <is>
          <t>00118804</t>
        </is>
      </c>
      <c r="C173" s="27" t="inlineStr">
        <is>
          <t>동진쎄미켐</t>
        </is>
      </c>
      <c r="D173" s="27" t="inlineStr">
        <is>
          <t>dongjin_semichem</t>
        </is>
      </c>
      <c r="E173" s="27" t="inlineStr">
        <is>
          <t>005290</t>
        </is>
      </c>
      <c r="F173" s="27" t="inlineStr">
        <is>
          <t>2021</t>
        </is>
      </c>
      <c r="G173" s="27" t="inlineStr">
        <is>
          <t>CFS</t>
        </is>
      </c>
      <c r="H173" s="27" t="inlineStr">
        <is>
          <t>SCE</t>
        </is>
      </c>
      <c r="I173" s="27" t="inlineStr">
        <is>
          <t>자본변동표</t>
        </is>
      </c>
      <c r="J173" s="27" t="inlineStr">
        <is>
          <t>-표준계정코드 미사용-</t>
        </is>
      </c>
      <c r="K173" s="27" t="inlineStr">
        <is>
          <t>수정 후 기초자본</t>
        </is>
      </c>
      <c r="L173" s="27" t="inlineStr">
        <is>
          <t>자본 [member]|비지배지분 [member]</t>
        </is>
      </c>
      <c r="M173" s="27" t="inlineStr">
        <is>
          <t>제 49 기</t>
        </is>
      </c>
      <c r="N173" s="27" t="inlineStr">
        <is>
          <t>4239962016.0</t>
        </is>
      </c>
      <c r="O173" s="27" t="inlineStr">
        <is>
          <t>4015352798.0</t>
        </is>
      </c>
      <c r="P173" s="27" t="inlineStr">
        <is>
          <t>KRW</t>
        </is>
      </c>
      <c r="Q173" s="27" t="inlineStr">
        <is>
          <t>3</t>
        </is>
      </c>
    </row>
    <row r="174" ht="24" customHeight="1">
      <c r="A174" s="32" t="inlineStr">
        <is>
          <t>OpenDART_fnlttSinglAcntAll</t>
        </is>
      </c>
      <c r="B174" s="32" t="inlineStr">
        <is>
          <t>00118804</t>
        </is>
      </c>
      <c r="C174" s="32" t="inlineStr">
        <is>
          <t>동진쎄미켐</t>
        </is>
      </c>
      <c r="D174" s="32" t="inlineStr">
        <is>
          <t>dongjin_semichem</t>
        </is>
      </c>
      <c r="E174" s="32" t="inlineStr">
        <is>
          <t>005290</t>
        </is>
      </c>
      <c r="F174" s="32" t="inlineStr">
        <is>
          <t>2021</t>
        </is>
      </c>
      <c r="G174" s="32" t="inlineStr">
        <is>
          <t>CFS</t>
        </is>
      </c>
      <c r="H174" s="32" t="inlineStr">
        <is>
          <t>SCE</t>
        </is>
      </c>
      <c r="I174" s="32" t="inlineStr">
        <is>
          <t>자본변동표</t>
        </is>
      </c>
      <c r="J174" s="32" t="inlineStr">
        <is>
          <t>-표준계정코드 미사용-</t>
        </is>
      </c>
      <c r="K174" s="32" t="inlineStr">
        <is>
          <t>수정 후 기초자본</t>
        </is>
      </c>
      <c r="L174" s="32" t="inlineStr">
        <is>
          <t>자본 [member]|지배기업의 소유주에게 귀속되는 자본 [member]</t>
        </is>
      </c>
      <c r="M174" s="32" t="inlineStr">
        <is>
          <t>제 49 기</t>
        </is>
      </c>
      <c r="N174" s="32" t="inlineStr">
        <is>
          <t>433768312756.0</t>
        </is>
      </c>
      <c r="O174" s="32" t="inlineStr">
        <is>
          <t>356346666386.0</t>
        </is>
      </c>
      <c r="P174" s="32" t="inlineStr">
        <is>
          <t>KRW</t>
        </is>
      </c>
      <c r="Q174" s="32" t="inlineStr">
        <is>
          <t>3</t>
        </is>
      </c>
    </row>
    <row r="175" ht="24" customHeight="1">
      <c r="A175" s="27" t="inlineStr">
        <is>
          <t>OpenDART_fnlttSinglAcntAll</t>
        </is>
      </c>
      <c r="B175" s="27" t="inlineStr">
        <is>
          <t>00118804</t>
        </is>
      </c>
      <c r="C175" s="27" t="inlineStr">
        <is>
          <t>동진쎄미켐</t>
        </is>
      </c>
      <c r="D175" s="27" t="inlineStr">
        <is>
          <t>dongjin_semichem</t>
        </is>
      </c>
      <c r="E175" s="27" t="inlineStr">
        <is>
          <t>005290</t>
        </is>
      </c>
      <c r="F175" s="27" t="inlineStr">
        <is>
          <t>2021</t>
        </is>
      </c>
      <c r="G175" s="27" t="inlineStr">
        <is>
          <t>CFS</t>
        </is>
      </c>
      <c r="H175" s="27" t="inlineStr">
        <is>
          <t>SCE</t>
        </is>
      </c>
      <c r="I175" s="27" t="inlineStr">
        <is>
          <t>자본변동표</t>
        </is>
      </c>
      <c r="J175" s="27" t="inlineStr">
        <is>
          <t>-표준계정코드 미사용-</t>
        </is>
      </c>
      <c r="K175" s="27" t="inlineStr">
        <is>
          <t>수정 후 기초자본</t>
        </is>
      </c>
      <c r="L175" s="27" t="inlineStr">
        <is>
          <t>자본 [member]|지배기업의 소유주에게 귀속되는 자본 [member]|기타불입자본</t>
        </is>
      </c>
      <c r="M175" s="27" t="inlineStr">
        <is>
          <t>제 49 기</t>
        </is>
      </c>
      <c r="N175" s="27" t="inlineStr">
        <is>
          <t>122318052912.0</t>
        </is>
      </c>
      <c r="O175" s="27" t="inlineStr">
        <is>
          <t>122316216548.0</t>
        </is>
      </c>
      <c r="P175" s="27" t="inlineStr">
        <is>
          <t>KRW</t>
        </is>
      </c>
      <c r="Q175" s="27" t="inlineStr">
        <is>
          <t>3</t>
        </is>
      </c>
    </row>
    <row r="176" ht="24" customHeight="1">
      <c r="A176" s="32" t="inlineStr">
        <is>
          <t>OpenDART_fnlttSinglAcntAll</t>
        </is>
      </c>
      <c r="B176" s="32" t="inlineStr">
        <is>
          <t>00118804</t>
        </is>
      </c>
      <c r="C176" s="32" t="inlineStr">
        <is>
          <t>동진쎄미켐</t>
        </is>
      </c>
      <c r="D176" s="32" t="inlineStr">
        <is>
          <t>dongjin_semichem</t>
        </is>
      </c>
      <c r="E176" s="32" t="inlineStr">
        <is>
          <t>005290</t>
        </is>
      </c>
      <c r="F176" s="32" t="inlineStr">
        <is>
          <t>2021</t>
        </is>
      </c>
      <c r="G176" s="32" t="inlineStr">
        <is>
          <t>CFS</t>
        </is>
      </c>
      <c r="H176" s="32" t="inlineStr">
        <is>
          <t>SCE</t>
        </is>
      </c>
      <c r="I176" s="32" t="inlineStr">
        <is>
          <t>자본변동표</t>
        </is>
      </c>
      <c r="J176" s="32" t="inlineStr">
        <is>
          <t>-표준계정코드 미사용-</t>
        </is>
      </c>
      <c r="K176" s="32" t="inlineStr">
        <is>
          <t>수정 후 기초자본</t>
        </is>
      </c>
      <c r="L176" s="32" t="inlineStr">
        <is>
          <t>자본 [member]|지배기업의 소유주에게 귀속되는 자본 [member]|기타자본구성요소 [member]</t>
        </is>
      </c>
      <c r="M176" s="32" t="inlineStr">
        <is>
          <t>제 49 기</t>
        </is>
      </c>
      <c r="N176" s="32" t="inlineStr">
        <is>
          <t>13313790086.0</t>
        </is>
      </c>
      <c r="O176" s="32" t="inlineStr">
        <is>
          <t>14891299265.0</t>
        </is>
      </c>
      <c r="P176" s="32" t="inlineStr">
        <is>
          <t>KRW</t>
        </is>
      </c>
      <c r="Q176" s="32" t="inlineStr">
        <is>
          <t>3</t>
        </is>
      </c>
    </row>
    <row r="177" ht="24" customHeight="1">
      <c r="A177" s="27" t="inlineStr">
        <is>
          <t>OpenDART_fnlttSinglAcntAll</t>
        </is>
      </c>
      <c r="B177" s="27" t="inlineStr">
        <is>
          <t>00118804</t>
        </is>
      </c>
      <c r="C177" s="27" t="inlineStr">
        <is>
          <t>동진쎄미켐</t>
        </is>
      </c>
      <c r="D177" s="27" t="inlineStr">
        <is>
          <t>dongjin_semichem</t>
        </is>
      </c>
      <c r="E177" s="27" t="inlineStr">
        <is>
          <t>005290</t>
        </is>
      </c>
      <c r="F177" s="27" t="inlineStr">
        <is>
          <t>2021</t>
        </is>
      </c>
      <c r="G177" s="27" t="inlineStr">
        <is>
          <t>CFS</t>
        </is>
      </c>
      <c r="H177" s="27" t="inlineStr">
        <is>
          <t>SCE</t>
        </is>
      </c>
      <c r="I177" s="27" t="inlineStr">
        <is>
          <t>자본변동표</t>
        </is>
      </c>
      <c r="J177" s="27" t="inlineStr">
        <is>
          <t>-표준계정코드 미사용-</t>
        </is>
      </c>
      <c r="K177" s="27" t="inlineStr">
        <is>
          <t>수정 후 기초자본</t>
        </is>
      </c>
      <c r="L177" s="27" t="inlineStr">
        <is>
          <t>자본 [member]|지배기업의 소유주에게 귀속되는 자본 [member]|이익잉여금 [member]</t>
        </is>
      </c>
      <c r="M177" s="27" t="inlineStr">
        <is>
          <t>제 49 기</t>
        </is>
      </c>
      <c r="N177" s="27" t="inlineStr">
        <is>
          <t>272429222758.0</t>
        </is>
      </c>
      <c r="O177" s="27" t="inlineStr">
        <is>
          <t>193431903573.0</t>
        </is>
      </c>
      <c r="P177" s="27" t="inlineStr">
        <is>
          <t>KRW</t>
        </is>
      </c>
      <c r="Q177" s="27" t="inlineStr">
        <is>
          <t>3</t>
        </is>
      </c>
    </row>
    <row r="178" ht="24" customHeight="1">
      <c r="A178" s="32" t="inlineStr">
        <is>
          <t>OpenDART_fnlttSinglAcntAll</t>
        </is>
      </c>
      <c r="B178" s="32" t="inlineStr">
        <is>
          <t>00118804</t>
        </is>
      </c>
      <c r="C178" s="32" t="inlineStr">
        <is>
          <t>동진쎄미켐</t>
        </is>
      </c>
      <c r="D178" s="32" t="inlineStr">
        <is>
          <t>dongjin_semichem</t>
        </is>
      </c>
      <c r="E178" s="32" t="inlineStr">
        <is>
          <t>005290</t>
        </is>
      </c>
      <c r="F178" s="32" t="inlineStr">
        <is>
          <t>2021</t>
        </is>
      </c>
      <c r="G178" s="32" t="inlineStr">
        <is>
          <t>CFS</t>
        </is>
      </c>
      <c r="H178" s="32" t="inlineStr">
        <is>
          <t>SCE</t>
        </is>
      </c>
      <c r="I178" s="32" t="inlineStr">
        <is>
          <t>자본변동표</t>
        </is>
      </c>
      <c r="J178" s="32" t="inlineStr">
        <is>
          <t>-표준계정코드 미사용-</t>
        </is>
      </c>
      <c r="K178" s="32" t="inlineStr">
        <is>
          <t>수정 후 기초자본</t>
        </is>
      </c>
      <c r="L178" s="32" t="inlineStr">
        <is>
          <t>자본 [member]|지배기업의 소유주에게 귀속되는 자본 [member]|자본금 [member]</t>
        </is>
      </c>
      <c r="M178" s="32" t="inlineStr">
        <is>
          <t>제 49 기</t>
        </is>
      </c>
      <c r="N178" s="32" t="inlineStr">
        <is>
          <t>25707247000.0</t>
        </is>
      </c>
      <c r="O178" s="32" t="inlineStr">
        <is>
          <t>25707247000.0</t>
        </is>
      </c>
      <c r="P178" s="32" t="inlineStr">
        <is>
          <t>KRW</t>
        </is>
      </c>
      <c r="Q178" s="32" t="inlineStr">
        <is>
          <t>3</t>
        </is>
      </c>
    </row>
    <row r="179" ht="24" customHeight="1">
      <c r="A179" s="27" t="inlineStr">
        <is>
          <t>OpenDART_fnlttSinglAcntAll</t>
        </is>
      </c>
      <c r="B179" s="27" t="inlineStr">
        <is>
          <t>00118804</t>
        </is>
      </c>
      <c r="C179" s="27" t="inlineStr">
        <is>
          <t>동진쎄미켐</t>
        </is>
      </c>
      <c r="D179" s="27" t="inlineStr">
        <is>
          <t>dongjin_semichem</t>
        </is>
      </c>
      <c r="E179" s="27" t="inlineStr">
        <is>
          <t>005290</t>
        </is>
      </c>
      <c r="F179" s="27" t="inlineStr">
        <is>
          <t>2021</t>
        </is>
      </c>
      <c r="G179" s="27" t="inlineStr">
        <is>
          <t>CFS</t>
        </is>
      </c>
      <c r="H179" s="27" t="inlineStr">
        <is>
          <t>SCE</t>
        </is>
      </c>
      <c r="I179" s="27" t="inlineStr">
        <is>
          <t>자본변동표</t>
        </is>
      </c>
      <c r="J179" s="27" t="inlineStr">
        <is>
          <t>ifrs-full_DividendsPaid</t>
        </is>
      </c>
      <c r="K179" s="27" t="inlineStr">
        <is>
          <t>배당금</t>
        </is>
      </c>
      <c r="L179" s="27" t="inlineStr">
        <is>
          <t>연결재무제표 [member]</t>
        </is>
      </c>
      <c r="M179" s="27" t="inlineStr">
        <is>
          <t>제 49 기</t>
        </is>
      </c>
      <c r="N179" s="27" t="inlineStr">
        <is>
          <t>5185091862.0</t>
        </is>
      </c>
      <c r="O179" s="27" t="inlineStr">
        <is>
          <t>4627304460.0</t>
        </is>
      </c>
      <c r="P179" s="27" t="inlineStr">
        <is>
          <t>KRW</t>
        </is>
      </c>
      <c r="Q179" s="27" t="inlineStr">
        <is>
          <t>4</t>
        </is>
      </c>
    </row>
    <row r="180" ht="24" customHeight="1">
      <c r="A180" s="32" t="inlineStr">
        <is>
          <t>OpenDART_fnlttSinglAcntAll</t>
        </is>
      </c>
      <c r="B180" s="32" t="inlineStr">
        <is>
          <t>00118804</t>
        </is>
      </c>
      <c r="C180" s="32" t="inlineStr">
        <is>
          <t>동진쎄미켐</t>
        </is>
      </c>
      <c r="D180" s="32" t="inlineStr">
        <is>
          <t>dongjin_semichem</t>
        </is>
      </c>
      <c r="E180" s="32" t="inlineStr">
        <is>
          <t>005290</t>
        </is>
      </c>
      <c r="F180" s="32" t="inlineStr">
        <is>
          <t>2021</t>
        </is>
      </c>
      <c r="G180" s="32" t="inlineStr">
        <is>
          <t>CFS</t>
        </is>
      </c>
      <c r="H180" s="32" t="inlineStr">
        <is>
          <t>SCE</t>
        </is>
      </c>
      <c r="I180" s="32" t="inlineStr">
        <is>
          <t>자본변동표</t>
        </is>
      </c>
      <c r="J180" s="32" t="inlineStr">
        <is>
          <t>ifrs-full_DividendsPaid</t>
        </is>
      </c>
      <c r="K180" s="32" t="inlineStr">
        <is>
          <t>배당금</t>
        </is>
      </c>
      <c r="L180" s="32" t="inlineStr">
        <is>
          <t>자본 [member]|비지배지분 [member]</t>
        </is>
      </c>
      <c r="M180" s="32" t="inlineStr">
        <is>
          <t>제 49 기</t>
        </is>
      </c>
      <c r="N180" s="32" t="inlineStr">
        <is>
          <t>43642462.0</t>
        </is>
      </c>
      <c r="O180" s="32" t="inlineStr">
        <is>
          <t>0.0</t>
        </is>
      </c>
      <c r="P180" s="32" t="inlineStr">
        <is>
          <t>KRW</t>
        </is>
      </c>
      <c r="Q180" s="32" t="inlineStr">
        <is>
          <t>4</t>
        </is>
      </c>
    </row>
    <row r="181" ht="24" customHeight="1">
      <c r="A181" s="27" t="inlineStr">
        <is>
          <t>OpenDART_fnlttSinglAcntAll</t>
        </is>
      </c>
      <c r="B181" s="27" t="inlineStr">
        <is>
          <t>00118804</t>
        </is>
      </c>
      <c r="C181" s="27" t="inlineStr">
        <is>
          <t>동진쎄미켐</t>
        </is>
      </c>
      <c r="D181" s="27" t="inlineStr">
        <is>
          <t>dongjin_semichem</t>
        </is>
      </c>
      <c r="E181" s="27" t="inlineStr">
        <is>
          <t>005290</t>
        </is>
      </c>
      <c r="F181" s="27" t="inlineStr">
        <is>
          <t>2021</t>
        </is>
      </c>
      <c r="G181" s="27" t="inlineStr">
        <is>
          <t>CFS</t>
        </is>
      </c>
      <c r="H181" s="27" t="inlineStr">
        <is>
          <t>SCE</t>
        </is>
      </c>
      <c r="I181" s="27" t="inlineStr">
        <is>
          <t>자본변동표</t>
        </is>
      </c>
      <c r="J181" s="27" t="inlineStr">
        <is>
          <t>ifrs-full_DividendsPaid</t>
        </is>
      </c>
      <c r="K181" s="27" t="inlineStr">
        <is>
          <t>배당금</t>
        </is>
      </c>
      <c r="L181" s="27" t="inlineStr">
        <is>
          <t>자본 [member]|지배기업의 소유주에게 귀속되는 자본 [member]</t>
        </is>
      </c>
      <c r="M181" s="27" t="inlineStr">
        <is>
          <t>제 49 기</t>
        </is>
      </c>
      <c r="N181" s="27" t="inlineStr">
        <is>
          <t>5141449400.0</t>
        </is>
      </c>
      <c r="O181" s="27" t="inlineStr">
        <is>
          <t>4627304460.0</t>
        </is>
      </c>
      <c r="P181" s="27" t="inlineStr">
        <is>
          <t>KRW</t>
        </is>
      </c>
      <c r="Q181" s="27" t="inlineStr">
        <is>
          <t>4</t>
        </is>
      </c>
    </row>
    <row r="182" ht="24" customHeight="1">
      <c r="A182" s="32" t="inlineStr">
        <is>
          <t>OpenDART_fnlttSinglAcntAll</t>
        </is>
      </c>
      <c r="B182" s="32" t="inlineStr">
        <is>
          <t>00118804</t>
        </is>
      </c>
      <c r="C182" s="32" t="inlineStr">
        <is>
          <t>동진쎄미켐</t>
        </is>
      </c>
      <c r="D182" s="32" t="inlineStr">
        <is>
          <t>dongjin_semichem</t>
        </is>
      </c>
      <c r="E182" s="32" t="inlineStr">
        <is>
          <t>005290</t>
        </is>
      </c>
      <c r="F182" s="32" t="inlineStr">
        <is>
          <t>2021</t>
        </is>
      </c>
      <c r="G182" s="32" t="inlineStr">
        <is>
          <t>CFS</t>
        </is>
      </c>
      <c r="H182" s="32" t="inlineStr">
        <is>
          <t>SCE</t>
        </is>
      </c>
      <c r="I182" s="32" t="inlineStr">
        <is>
          <t>자본변동표</t>
        </is>
      </c>
      <c r="J182" s="32" t="inlineStr">
        <is>
          <t>ifrs-full_DividendsPaid</t>
        </is>
      </c>
      <c r="K182" s="32" t="inlineStr">
        <is>
          <t>배당금</t>
        </is>
      </c>
      <c r="L182" s="32" t="inlineStr">
        <is>
          <t>자본 [member]|지배기업의 소유주에게 귀속되는 자본 [member]|기타불입자본</t>
        </is>
      </c>
      <c r="M182" s="32" t="inlineStr">
        <is>
          <t>제 49 기</t>
        </is>
      </c>
      <c r="N182" s="32" t="inlineStr">
        <is>
          <t>0.0</t>
        </is>
      </c>
      <c r="O182" s="32" t="inlineStr">
        <is>
          <t>0.0</t>
        </is>
      </c>
      <c r="P182" s="32" t="inlineStr">
        <is>
          <t>KRW</t>
        </is>
      </c>
      <c r="Q182" s="32" t="inlineStr">
        <is>
          <t>4</t>
        </is>
      </c>
    </row>
    <row r="183" ht="24" customHeight="1">
      <c r="A183" s="27" t="inlineStr">
        <is>
          <t>OpenDART_fnlttSinglAcntAll</t>
        </is>
      </c>
      <c r="B183" s="27" t="inlineStr">
        <is>
          <t>00118804</t>
        </is>
      </c>
      <c r="C183" s="27" t="inlineStr">
        <is>
          <t>동진쎄미켐</t>
        </is>
      </c>
      <c r="D183" s="27" t="inlineStr">
        <is>
          <t>dongjin_semichem</t>
        </is>
      </c>
      <c r="E183" s="27" t="inlineStr">
        <is>
          <t>005290</t>
        </is>
      </c>
      <c r="F183" s="27" t="inlineStr">
        <is>
          <t>2021</t>
        </is>
      </c>
      <c r="G183" s="27" t="inlineStr">
        <is>
          <t>CFS</t>
        </is>
      </c>
      <c r="H183" s="27" t="inlineStr">
        <is>
          <t>SCE</t>
        </is>
      </c>
      <c r="I183" s="27" t="inlineStr">
        <is>
          <t>자본변동표</t>
        </is>
      </c>
      <c r="J183" s="27" t="inlineStr">
        <is>
          <t>ifrs-full_DividendsPaid</t>
        </is>
      </c>
      <c r="K183" s="27" t="inlineStr">
        <is>
          <t>배당금</t>
        </is>
      </c>
      <c r="L183" s="27" t="inlineStr">
        <is>
          <t>자본 [member]|지배기업의 소유주에게 귀속되는 자본 [member]|기타자본구성요소 [member]</t>
        </is>
      </c>
      <c r="M183" s="27" t="inlineStr">
        <is>
          <t>제 49 기</t>
        </is>
      </c>
      <c r="N183" s="27" t="inlineStr">
        <is>
          <t>0.0</t>
        </is>
      </c>
      <c r="O183" s="27" t="inlineStr">
        <is>
          <t>0.0</t>
        </is>
      </c>
      <c r="P183" s="27" t="inlineStr">
        <is>
          <t>KRW</t>
        </is>
      </c>
      <c r="Q183" s="27" t="inlineStr">
        <is>
          <t>4</t>
        </is>
      </c>
    </row>
    <row r="184" ht="24" customHeight="1">
      <c r="A184" s="32" t="inlineStr">
        <is>
          <t>OpenDART_fnlttSinglAcntAll</t>
        </is>
      </c>
      <c r="B184" s="32" t="inlineStr">
        <is>
          <t>00118804</t>
        </is>
      </c>
      <c r="C184" s="32" t="inlineStr">
        <is>
          <t>동진쎄미켐</t>
        </is>
      </c>
      <c r="D184" s="32" t="inlineStr">
        <is>
          <t>dongjin_semichem</t>
        </is>
      </c>
      <c r="E184" s="32" t="inlineStr">
        <is>
          <t>005290</t>
        </is>
      </c>
      <c r="F184" s="32" t="inlineStr">
        <is>
          <t>2021</t>
        </is>
      </c>
      <c r="G184" s="32" t="inlineStr">
        <is>
          <t>CFS</t>
        </is>
      </c>
      <c r="H184" s="32" t="inlineStr">
        <is>
          <t>SCE</t>
        </is>
      </c>
      <c r="I184" s="32" t="inlineStr">
        <is>
          <t>자본변동표</t>
        </is>
      </c>
      <c r="J184" s="32" t="inlineStr">
        <is>
          <t>ifrs-full_DividendsPaid</t>
        </is>
      </c>
      <c r="K184" s="32" t="inlineStr">
        <is>
          <t>배당금</t>
        </is>
      </c>
      <c r="L184" s="32" t="inlineStr">
        <is>
          <t>자본 [member]|지배기업의 소유주에게 귀속되는 자본 [member]|이익잉여금 [member]</t>
        </is>
      </c>
      <c r="M184" s="32" t="inlineStr">
        <is>
          <t>제 49 기</t>
        </is>
      </c>
      <c r="N184" s="32" t="inlineStr">
        <is>
          <t>5141449400.0</t>
        </is>
      </c>
      <c r="O184" s="32" t="inlineStr">
        <is>
          <t>4627304460.0</t>
        </is>
      </c>
      <c r="P184" s="32" t="inlineStr">
        <is>
          <t>KRW</t>
        </is>
      </c>
      <c r="Q184" s="32" t="inlineStr">
        <is>
          <t>4</t>
        </is>
      </c>
    </row>
    <row r="185" ht="24" customHeight="1">
      <c r="A185" s="27" t="inlineStr">
        <is>
          <t>OpenDART_fnlttSinglAcntAll</t>
        </is>
      </c>
      <c r="B185" s="27" t="inlineStr">
        <is>
          <t>00118804</t>
        </is>
      </c>
      <c r="C185" s="27" t="inlineStr">
        <is>
          <t>동진쎄미켐</t>
        </is>
      </c>
      <c r="D185" s="27" t="inlineStr">
        <is>
          <t>dongjin_semichem</t>
        </is>
      </c>
      <c r="E185" s="27" t="inlineStr">
        <is>
          <t>005290</t>
        </is>
      </c>
      <c r="F185" s="27" t="inlineStr">
        <is>
          <t>2021</t>
        </is>
      </c>
      <c r="G185" s="27" t="inlineStr">
        <is>
          <t>CFS</t>
        </is>
      </c>
      <c r="H185" s="27" t="inlineStr">
        <is>
          <t>SCE</t>
        </is>
      </c>
      <c r="I185" s="27" t="inlineStr">
        <is>
          <t>자본변동표</t>
        </is>
      </c>
      <c r="J185" s="27" t="inlineStr">
        <is>
          <t>ifrs-full_DividendsPaid</t>
        </is>
      </c>
      <c r="K185" s="27" t="inlineStr">
        <is>
          <t>배당금</t>
        </is>
      </c>
      <c r="L185" s="27" t="inlineStr">
        <is>
          <t>자본 [member]|지배기업의 소유주에게 귀속되는 자본 [member]|자본금 [member]</t>
        </is>
      </c>
      <c r="M185" s="27" t="inlineStr">
        <is>
          <t>제 49 기</t>
        </is>
      </c>
      <c r="N185" s="27" t="inlineStr">
        <is>
          <t>0.0</t>
        </is>
      </c>
      <c r="O185" s="27" t="inlineStr">
        <is>
          <t>0.0</t>
        </is>
      </c>
      <c r="P185" s="27" t="inlineStr">
        <is>
          <t>KRW</t>
        </is>
      </c>
      <c r="Q185" s="27" t="inlineStr">
        <is>
          <t>4</t>
        </is>
      </c>
    </row>
    <row r="186" ht="24" customHeight="1">
      <c r="A186" s="32" t="inlineStr">
        <is>
          <t>OpenDART_fnlttSinglAcntAll</t>
        </is>
      </c>
      <c r="B186" s="32" t="inlineStr">
        <is>
          <t>00118804</t>
        </is>
      </c>
      <c r="C186" s="32" t="inlineStr">
        <is>
          <t>동진쎄미켐</t>
        </is>
      </c>
      <c r="D186" s="32" t="inlineStr">
        <is>
          <t>dongjin_semichem</t>
        </is>
      </c>
      <c r="E186" s="32" t="inlineStr">
        <is>
          <t>005290</t>
        </is>
      </c>
      <c r="F186" s="32" t="inlineStr">
        <is>
          <t>2021</t>
        </is>
      </c>
      <c r="G186" s="32" t="inlineStr">
        <is>
          <t>CFS</t>
        </is>
      </c>
      <c r="H186" s="32" t="inlineStr">
        <is>
          <t>SCE</t>
        </is>
      </c>
      <c r="I186" s="32" t="inlineStr">
        <is>
          <t>자본변동표</t>
        </is>
      </c>
      <c r="J186" s="32" t="inlineStr">
        <is>
          <t>ifrs-full_ProfitLoss</t>
        </is>
      </c>
      <c r="K186" s="32" t="inlineStr">
        <is>
          <t>당기순이익</t>
        </is>
      </c>
      <c r="L186" s="32" t="inlineStr">
        <is>
          <t>연결재무제표 [member]</t>
        </is>
      </c>
      <c r="M186" s="32" t="inlineStr">
        <is>
          <t>제 49 기</t>
        </is>
      </c>
      <c r="N186" s="32" t="inlineStr">
        <is>
          <t>102879224817.0</t>
        </is>
      </c>
      <c r="O186" s="32" t="inlineStr">
        <is>
          <t>85257903462.0</t>
        </is>
      </c>
      <c r="P186" s="32" t="inlineStr">
        <is>
          <t>KRW</t>
        </is>
      </c>
      <c r="Q186" s="32" t="inlineStr">
        <is>
          <t>5</t>
        </is>
      </c>
    </row>
    <row r="187" ht="24" customHeight="1">
      <c r="A187" s="27" t="inlineStr">
        <is>
          <t>OpenDART_fnlttSinglAcntAll</t>
        </is>
      </c>
      <c r="B187" s="27" t="inlineStr">
        <is>
          <t>00118804</t>
        </is>
      </c>
      <c r="C187" s="27" t="inlineStr">
        <is>
          <t>동진쎄미켐</t>
        </is>
      </c>
      <c r="D187" s="27" t="inlineStr">
        <is>
          <t>dongjin_semichem</t>
        </is>
      </c>
      <c r="E187" s="27" t="inlineStr">
        <is>
          <t>005290</t>
        </is>
      </c>
      <c r="F187" s="27" t="inlineStr">
        <is>
          <t>2021</t>
        </is>
      </c>
      <c r="G187" s="27" t="inlineStr">
        <is>
          <t>CFS</t>
        </is>
      </c>
      <c r="H187" s="27" t="inlineStr">
        <is>
          <t>SCE</t>
        </is>
      </c>
      <c r="I187" s="27" t="inlineStr">
        <is>
          <t>자본변동표</t>
        </is>
      </c>
      <c r="J187" s="27" t="inlineStr">
        <is>
          <t>ifrs-full_ProfitLoss</t>
        </is>
      </c>
      <c r="K187" s="27" t="inlineStr">
        <is>
          <t>당기순이익</t>
        </is>
      </c>
      <c r="L187" s="27" t="inlineStr">
        <is>
          <t>자본 [member]|비지배지분 [member]</t>
        </is>
      </c>
      <c r="M187" s="27" t="inlineStr">
        <is>
          <t>제 49 기</t>
        </is>
      </c>
      <c r="N187" s="27" t="inlineStr">
        <is>
          <t>-385266960.0</t>
        </is>
      </c>
      <c r="O187" s="27" t="inlineStr">
        <is>
          <t>8815010.0</t>
        </is>
      </c>
      <c r="P187" s="27" t="inlineStr">
        <is>
          <t>KRW</t>
        </is>
      </c>
      <c r="Q187" s="27" t="inlineStr">
        <is>
          <t>5</t>
        </is>
      </c>
    </row>
    <row r="188" ht="24" customHeight="1">
      <c r="A188" s="32" t="inlineStr">
        <is>
          <t>OpenDART_fnlttSinglAcntAll</t>
        </is>
      </c>
      <c r="B188" s="32" t="inlineStr">
        <is>
          <t>00118804</t>
        </is>
      </c>
      <c r="C188" s="32" t="inlineStr">
        <is>
          <t>동진쎄미켐</t>
        </is>
      </c>
      <c r="D188" s="32" t="inlineStr">
        <is>
          <t>dongjin_semichem</t>
        </is>
      </c>
      <c r="E188" s="32" t="inlineStr">
        <is>
          <t>005290</t>
        </is>
      </c>
      <c r="F188" s="32" t="inlineStr">
        <is>
          <t>2021</t>
        </is>
      </c>
      <c r="G188" s="32" t="inlineStr">
        <is>
          <t>CFS</t>
        </is>
      </c>
      <c r="H188" s="32" t="inlineStr">
        <is>
          <t>SCE</t>
        </is>
      </c>
      <c r="I188" s="32" t="inlineStr">
        <is>
          <t>자본변동표</t>
        </is>
      </c>
      <c r="J188" s="32" t="inlineStr">
        <is>
          <t>ifrs-full_ProfitLoss</t>
        </is>
      </c>
      <c r="K188" s="32" t="inlineStr">
        <is>
          <t>당기순이익</t>
        </is>
      </c>
      <c r="L188" s="32" t="inlineStr">
        <is>
          <t>자본 [member]|지배기업의 소유주에게 귀속되는 자본 [member]</t>
        </is>
      </c>
      <c r="M188" s="32" t="inlineStr">
        <is>
          <t>제 49 기</t>
        </is>
      </c>
      <c r="N188" s="32" t="inlineStr">
        <is>
          <t>103264491777.0</t>
        </is>
      </c>
      <c r="O188" s="32" t="inlineStr">
        <is>
          <t>85249088452.0</t>
        </is>
      </c>
      <c r="P188" s="32" t="inlineStr">
        <is>
          <t>KRW</t>
        </is>
      </c>
      <c r="Q188" s="32" t="inlineStr">
        <is>
          <t>5</t>
        </is>
      </c>
    </row>
    <row r="189" ht="24" customHeight="1">
      <c r="A189" s="27" t="inlineStr">
        <is>
          <t>OpenDART_fnlttSinglAcntAll</t>
        </is>
      </c>
      <c r="B189" s="27" t="inlineStr">
        <is>
          <t>00118804</t>
        </is>
      </c>
      <c r="C189" s="27" t="inlineStr">
        <is>
          <t>동진쎄미켐</t>
        </is>
      </c>
      <c r="D189" s="27" t="inlineStr">
        <is>
          <t>dongjin_semichem</t>
        </is>
      </c>
      <c r="E189" s="27" t="inlineStr">
        <is>
          <t>005290</t>
        </is>
      </c>
      <c r="F189" s="27" t="inlineStr">
        <is>
          <t>2021</t>
        </is>
      </c>
      <c r="G189" s="27" t="inlineStr">
        <is>
          <t>CFS</t>
        </is>
      </c>
      <c r="H189" s="27" t="inlineStr">
        <is>
          <t>SCE</t>
        </is>
      </c>
      <c r="I189" s="27" t="inlineStr">
        <is>
          <t>자본변동표</t>
        </is>
      </c>
      <c r="J189" s="27" t="inlineStr">
        <is>
          <t>ifrs-full_ProfitLoss</t>
        </is>
      </c>
      <c r="K189" s="27" t="inlineStr">
        <is>
          <t>당기순이익</t>
        </is>
      </c>
      <c r="L189" s="27" t="inlineStr">
        <is>
          <t>자본 [member]|지배기업의 소유주에게 귀속되는 자본 [member]|기타불입자본</t>
        </is>
      </c>
      <c r="M189" s="27" t="inlineStr">
        <is>
          <t>제 49 기</t>
        </is>
      </c>
      <c r="N189" s="27" t="inlineStr">
        <is>
          <t>0.0</t>
        </is>
      </c>
      <c r="O189" s="27" t="inlineStr">
        <is>
          <t>0.0</t>
        </is>
      </c>
      <c r="P189" s="27" t="inlineStr">
        <is>
          <t>KRW</t>
        </is>
      </c>
      <c r="Q189" s="27" t="inlineStr">
        <is>
          <t>5</t>
        </is>
      </c>
    </row>
    <row r="190" ht="24" customHeight="1">
      <c r="A190" s="32" t="inlineStr">
        <is>
          <t>OpenDART_fnlttSinglAcntAll</t>
        </is>
      </c>
      <c r="B190" s="32" t="inlineStr">
        <is>
          <t>00118804</t>
        </is>
      </c>
      <c r="C190" s="32" t="inlineStr">
        <is>
          <t>동진쎄미켐</t>
        </is>
      </c>
      <c r="D190" s="32" t="inlineStr">
        <is>
          <t>dongjin_semichem</t>
        </is>
      </c>
      <c r="E190" s="32" t="inlineStr">
        <is>
          <t>005290</t>
        </is>
      </c>
      <c r="F190" s="32" t="inlineStr">
        <is>
          <t>2021</t>
        </is>
      </c>
      <c r="G190" s="32" t="inlineStr">
        <is>
          <t>CFS</t>
        </is>
      </c>
      <c r="H190" s="32" t="inlineStr">
        <is>
          <t>SCE</t>
        </is>
      </c>
      <c r="I190" s="32" t="inlineStr">
        <is>
          <t>자본변동표</t>
        </is>
      </c>
      <c r="J190" s="32" t="inlineStr">
        <is>
          <t>ifrs-full_ProfitLoss</t>
        </is>
      </c>
      <c r="K190" s="32" t="inlineStr">
        <is>
          <t>당기순이익</t>
        </is>
      </c>
      <c r="L190" s="32" t="inlineStr">
        <is>
          <t>자본 [member]|지배기업의 소유주에게 귀속되는 자본 [member]|기타자본구성요소 [member]</t>
        </is>
      </c>
      <c r="M190" s="32" t="inlineStr">
        <is>
          <t>제 49 기</t>
        </is>
      </c>
      <c r="N190" s="32" t="inlineStr">
        <is>
          <t>0.0</t>
        </is>
      </c>
      <c r="O190" s="32" t="inlineStr">
        <is>
          <t>0.0</t>
        </is>
      </c>
      <c r="P190" s="32" t="inlineStr">
        <is>
          <t>KRW</t>
        </is>
      </c>
      <c r="Q190" s="32" t="inlineStr">
        <is>
          <t>5</t>
        </is>
      </c>
    </row>
    <row r="191" ht="24" customHeight="1">
      <c r="A191" s="27" t="inlineStr">
        <is>
          <t>OpenDART_fnlttSinglAcntAll</t>
        </is>
      </c>
      <c r="B191" s="27" t="inlineStr">
        <is>
          <t>00118804</t>
        </is>
      </c>
      <c r="C191" s="27" t="inlineStr">
        <is>
          <t>동진쎄미켐</t>
        </is>
      </c>
      <c r="D191" s="27" t="inlineStr">
        <is>
          <t>dongjin_semichem</t>
        </is>
      </c>
      <c r="E191" s="27" t="inlineStr">
        <is>
          <t>005290</t>
        </is>
      </c>
      <c r="F191" s="27" t="inlineStr">
        <is>
          <t>2021</t>
        </is>
      </c>
      <c r="G191" s="27" t="inlineStr">
        <is>
          <t>CFS</t>
        </is>
      </c>
      <c r="H191" s="27" t="inlineStr">
        <is>
          <t>SCE</t>
        </is>
      </c>
      <c r="I191" s="27" t="inlineStr">
        <is>
          <t>자본변동표</t>
        </is>
      </c>
      <c r="J191" s="27" t="inlineStr">
        <is>
          <t>ifrs-full_ProfitLoss</t>
        </is>
      </c>
      <c r="K191" s="27" t="inlineStr">
        <is>
          <t>당기순이익</t>
        </is>
      </c>
      <c r="L191" s="27" t="inlineStr">
        <is>
          <t>자본 [member]|지배기업의 소유주에게 귀속되는 자본 [member]|이익잉여금 [member]</t>
        </is>
      </c>
      <c r="M191" s="27" t="inlineStr">
        <is>
          <t>제 49 기</t>
        </is>
      </c>
      <c r="N191" s="27" t="inlineStr">
        <is>
          <t>103264491777.0</t>
        </is>
      </c>
      <c r="O191" s="27" t="inlineStr">
        <is>
          <t>85249088452.0</t>
        </is>
      </c>
      <c r="P191" s="27" t="inlineStr">
        <is>
          <t>KRW</t>
        </is>
      </c>
      <c r="Q191" s="27" t="inlineStr">
        <is>
          <t>5</t>
        </is>
      </c>
    </row>
    <row r="192" ht="24" customHeight="1">
      <c r="A192" s="32" t="inlineStr">
        <is>
          <t>OpenDART_fnlttSinglAcntAll</t>
        </is>
      </c>
      <c r="B192" s="32" t="inlineStr">
        <is>
          <t>00118804</t>
        </is>
      </c>
      <c r="C192" s="32" t="inlineStr">
        <is>
          <t>동진쎄미켐</t>
        </is>
      </c>
      <c r="D192" s="32" t="inlineStr">
        <is>
          <t>dongjin_semichem</t>
        </is>
      </c>
      <c r="E192" s="32" t="inlineStr">
        <is>
          <t>005290</t>
        </is>
      </c>
      <c r="F192" s="32" t="inlineStr">
        <is>
          <t>2021</t>
        </is>
      </c>
      <c r="G192" s="32" t="inlineStr">
        <is>
          <t>CFS</t>
        </is>
      </c>
      <c r="H192" s="32" t="inlineStr">
        <is>
          <t>SCE</t>
        </is>
      </c>
      <c r="I192" s="32" t="inlineStr">
        <is>
          <t>자본변동표</t>
        </is>
      </c>
      <c r="J192" s="32" t="inlineStr">
        <is>
          <t>ifrs-full_ProfitLoss</t>
        </is>
      </c>
      <c r="K192" s="32" t="inlineStr">
        <is>
          <t>당기순이익</t>
        </is>
      </c>
      <c r="L192" s="32" t="inlineStr">
        <is>
          <t>자본 [member]|지배기업의 소유주에게 귀속되는 자본 [member]|자본금 [member]</t>
        </is>
      </c>
      <c r="M192" s="32" t="inlineStr">
        <is>
          <t>제 49 기</t>
        </is>
      </c>
      <c r="N192" s="32" t="inlineStr">
        <is>
          <t>0.0</t>
        </is>
      </c>
      <c r="O192" s="32" t="inlineStr">
        <is>
          <t>0.0</t>
        </is>
      </c>
      <c r="P192" s="32" t="inlineStr">
        <is>
          <t>KRW</t>
        </is>
      </c>
      <c r="Q192" s="32" t="inlineStr">
        <is>
          <t>5</t>
        </is>
      </c>
    </row>
    <row r="193" ht="24" customHeight="1">
      <c r="A193" s="27" t="inlineStr">
        <is>
          <t>OpenDART_fnlttSinglAcntAll</t>
        </is>
      </c>
      <c r="B193" s="27" t="inlineStr">
        <is>
          <t>00118804</t>
        </is>
      </c>
      <c r="C193" s="27" t="inlineStr">
        <is>
          <t>동진쎄미켐</t>
        </is>
      </c>
      <c r="D193" s="27" t="inlineStr">
        <is>
          <t>dongjin_semichem</t>
        </is>
      </c>
      <c r="E193" s="27" t="inlineStr">
        <is>
          <t>005290</t>
        </is>
      </c>
      <c r="F193" s="27" t="inlineStr">
        <is>
          <t>2021</t>
        </is>
      </c>
      <c r="G193" s="27" t="inlineStr">
        <is>
          <t>CFS</t>
        </is>
      </c>
      <c r="H193" s="27" t="inlineStr">
        <is>
          <t>SCE</t>
        </is>
      </c>
      <c r="I193" s="27" t="inlineStr">
        <is>
          <t>자본변동표</t>
        </is>
      </c>
      <c r="J193" s="27" t="inlineStr">
        <is>
          <t>-표준계정코드 미사용-</t>
        </is>
      </c>
      <c r="K193" s="27" t="inlineStr">
        <is>
          <t>순확정급여부채 재측정요소</t>
        </is>
      </c>
      <c r="L193" s="27" t="inlineStr">
        <is>
          <t>연결재무제표 [member]</t>
        </is>
      </c>
      <c r="M193" s="27" t="inlineStr">
        <is>
          <t>제 49 기</t>
        </is>
      </c>
      <c r="N193" s="27" t="inlineStr">
        <is>
          <t>-2688655000.0</t>
        </is>
      </c>
      <c r="O193" s="27" t="inlineStr">
        <is>
          <t>-1622176100.0</t>
        </is>
      </c>
      <c r="P193" s="27" t="inlineStr">
        <is>
          <t>KRW</t>
        </is>
      </c>
      <c r="Q193" s="27" t="inlineStr">
        <is>
          <t>6</t>
        </is>
      </c>
    </row>
    <row r="194" ht="24" customHeight="1">
      <c r="A194" s="32" t="inlineStr">
        <is>
          <t>OpenDART_fnlttSinglAcntAll</t>
        </is>
      </c>
      <c r="B194" s="32" t="inlineStr">
        <is>
          <t>00118804</t>
        </is>
      </c>
      <c r="C194" s="32" t="inlineStr">
        <is>
          <t>동진쎄미켐</t>
        </is>
      </c>
      <c r="D194" s="32" t="inlineStr">
        <is>
          <t>dongjin_semichem</t>
        </is>
      </c>
      <c r="E194" s="32" t="inlineStr">
        <is>
          <t>005290</t>
        </is>
      </c>
      <c r="F194" s="32" t="inlineStr">
        <is>
          <t>2021</t>
        </is>
      </c>
      <c r="G194" s="32" t="inlineStr">
        <is>
          <t>CFS</t>
        </is>
      </c>
      <c r="H194" s="32" t="inlineStr">
        <is>
          <t>SCE</t>
        </is>
      </c>
      <c r="I194" s="32" t="inlineStr">
        <is>
          <t>자본변동표</t>
        </is>
      </c>
      <c r="J194" s="32" t="inlineStr">
        <is>
          <t>-표준계정코드 미사용-</t>
        </is>
      </c>
      <c r="K194" s="32" t="inlineStr">
        <is>
          <t>순확정급여부채 재측정요소</t>
        </is>
      </c>
      <c r="L194" s="32" t="inlineStr">
        <is>
          <t>자본 [member]|비지배지분 [member]</t>
        </is>
      </c>
      <c r="M194" s="32" t="inlineStr">
        <is>
          <t>제 49 기</t>
        </is>
      </c>
      <c r="N194" s="32" t="inlineStr">
        <is>
          <t>0.0</t>
        </is>
      </c>
      <c r="O194" s="32" t="inlineStr">
        <is>
          <t>2288707.0</t>
        </is>
      </c>
      <c r="P194" s="32" t="inlineStr">
        <is>
          <t>KRW</t>
        </is>
      </c>
      <c r="Q194" s="32" t="inlineStr">
        <is>
          <t>6</t>
        </is>
      </c>
    </row>
    <row r="195" ht="24" customHeight="1">
      <c r="A195" s="27" t="inlineStr">
        <is>
          <t>OpenDART_fnlttSinglAcntAll</t>
        </is>
      </c>
      <c r="B195" s="27" t="inlineStr">
        <is>
          <t>00118804</t>
        </is>
      </c>
      <c r="C195" s="27" t="inlineStr">
        <is>
          <t>동진쎄미켐</t>
        </is>
      </c>
      <c r="D195" s="27" t="inlineStr">
        <is>
          <t>dongjin_semichem</t>
        </is>
      </c>
      <c r="E195" s="27" t="inlineStr">
        <is>
          <t>005290</t>
        </is>
      </c>
      <c r="F195" s="27" t="inlineStr">
        <is>
          <t>2021</t>
        </is>
      </c>
      <c r="G195" s="27" t="inlineStr">
        <is>
          <t>CFS</t>
        </is>
      </c>
      <c r="H195" s="27" t="inlineStr">
        <is>
          <t>SCE</t>
        </is>
      </c>
      <c r="I195" s="27" t="inlineStr">
        <is>
          <t>자본변동표</t>
        </is>
      </c>
      <c r="J195" s="27" t="inlineStr">
        <is>
          <t>-표준계정코드 미사용-</t>
        </is>
      </c>
      <c r="K195" s="27" t="inlineStr">
        <is>
          <t>순확정급여부채 재측정요소</t>
        </is>
      </c>
      <c r="L195" s="27" t="inlineStr">
        <is>
          <t>자본 [member]|지배기업의 소유주에게 귀속되는 자본 [member]</t>
        </is>
      </c>
      <c r="M195" s="27" t="inlineStr">
        <is>
          <t>제 49 기</t>
        </is>
      </c>
      <c r="N195" s="27" t="inlineStr">
        <is>
          <t>-2688655000.0</t>
        </is>
      </c>
      <c r="O195" s="27" t="inlineStr">
        <is>
          <t>-1624464807.0</t>
        </is>
      </c>
      <c r="P195" s="27" t="inlineStr">
        <is>
          <t>KRW</t>
        </is>
      </c>
      <c r="Q195" s="27" t="inlineStr">
        <is>
          <t>6</t>
        </is>
      </c>
    </row>
    <row r="196" ht="24" customHeight="1">
      <c r="A196" s="32" t="inlineStr">
        <is>
          <t>OpenDART_fnlttSinglAcntAll</t>
        </is>
      </c>
      <c r="B196" s="32" t="inlineStr">
        <is>
          <t>00118804</t>
        </is>
      </c>
      <c r="C196" s="32" t="inlineStr">
        <is>
          <t>동진쎄미켐</t>
        </is>
      </c>
      <c r="D196" s="32" t="inlineStr">
        <is>
          <t>dongjin_semichem</t>
        </is>
      </c>
      <c r="E196" s="32" t="inlineStr">
        <is>
          <t>005290</t>
        </is>
      </c>
      <c r="F196" s="32" t="inlineStr">
        <is>
          <t>2021</t>
        </is>
      </c>
      <c r="G196" s="32" t="inlineStr">
        <is>
          <t>CFS</t>
        </is>
      </c>
      <c r="H196" s="32" t="inlineStr">
        <is>
          <t>SCE</t>
        </is>
      </c>
      <c r="I196" s="32" t="inlineStr">
        <is>
          <t>자본변동표</t>
        </is>
      </c>
      <c r="J196" s="32" t="inlineStr">
        <is>
          <t>-표준계정코드 미사용-</t>
        </is>
      </c>
      <c r="K196" s="32" t="inlineStr">
        <is>
          <t>순확정급여부채 재측정요소</t>
        </is>
      </c>
      <c r="L196" s="32" t="inlineStr">
        <is>
          <t>자본 [member]|지배기업의 소유주에게 귀속되는 자본 [member]|기타불입자본</t>
        </is>
      </c>
      <c r="M196" s="32" t="inlineStr">
        <is>
          <t>제 49 기</t>
        </is>
      </c>
      <c r="N196" s="32" t="inlineStr">
        <is>
          <t>0.0</t>
        </is>
      </c>
      <c r="O196" s="32" t="inlineStr">
        <is>
          <t>0.0</t>
        </is>
      </c>
      <c r="P196" s="32" t="inlineStr">
        <is>
          <t>KRW</t>
        </is>
      </c>
      <c r="Q196" s="32" t="inlineStr">
        <is>
          <t>6</t>
        </is>
      </c>
    </row>
    <row r="197" ht="24" customHeight="1">
      <c r="A197" s="27" t="inlineStr">
        <is>
          <t>OpenDART_fnlttSinglAcntAll</t>
        </is>
      </c>
      <c r="B197" s="27" t="inlineStr">
        <is>
          <t>00118804</t>
        </is>
      </c>
      <c r="C197" s="27" t="inlineStr">
        <is>
          <t>동진쎄미켐</t>
        </is>
      </c>
      <c r="D197" s="27" t="inlineStr">
        <is>
          <t>dongjin_semichem</t>
        </is>
      </c>
      <c r="E197" s="27" t="inlineStr">
        <is>
          <t>005290</t>
        </is>
      </c>
      <c r="F197" s="27" t="inlineStr">
        <is>
          <t>2021</t>
        </is>
      </c>
      <c r="G197" s="27" t="inlineStr">
        <is>
          <t>CFS</t>
        </is>
      </c>
      <c r="H197" s="27" t="inlineStr">
        <is>
          <t>SCE</t>
        </is>
      </c>
      <c r="I197" s="27" t="inlineStr">
        <is>
          <t>자본변동표</t>
        </is>
      </c>
      <c r="J197" s="27" t="inlineStr">
        <is>
          <t>-표준계정코드 미사용-</t>
        </is>
      </c>
      <c r="K197" s="27" t="inlineStr">
        <is>
          <t>순확정급여부채 재측정요소</t>
        </is>
      </c>
      <c r="L197" s="27" t="inlineStr">
        <is>
          <t>자본 [member]|지배기업의 소유주에게 귀속되는 자본 [member]|기타자본구성요소 [member]</t>
        </is>
      </c>
      <c r="M197" s="27" t="inlineStr">
        <is>
          <t>제 49 기</t>
        </is>
      </c>
      <c r="N197" s="27" t="inlineStr">
        <is>
          <t>0.0</t>
        </is>
      </c>
      <c r="O197" s="27" t="inlineStr">
        <is>
          <t>0.0</t>
        </is>
      </c>
      <c r="P197" s="27" t="inlineStr">
        <is>
          <t>KRW</t>
        </is>
      </c>
      <c r="Q197" s="27" t="inlineStr">
        <is>
          <t>6</t>
        </is>
      </c>
    </row>
    <row r="198" ht="24" customHeight="1">
      <c r="A198" s="32" t="inlineStr">
        <is>
          <t>OpenDART_fnlttSinglAcntAll</t>
        </is>
      </c>
      <c r="B198" s="32" t="inlineStr">
        <is>
          <t>00118804</t>
        </is>
      </c>
      <c r="C198" s="32" t="inlineStr">
        <is>
          <t>동진쎄미켐</t>
        </is>
      </c>
      <c r="D198" s="32" t="inlineStr">
        <is>
          <t>dongjin_semichem</t>
        </is>
      </c>
      <c r="E198" s="32" t="inlineStr">
        <is>
          <t>005290</t>
        </is>
      </c>
      <c r="F198" s="32" t="inlineStr">
        <is>
          <t>2021</t>
        </is>
      </c>
      <c r="G198" s="32" t="inlineStr">
        <is>
          <t>CFS</t>
        </is>
      </c>
      <c r="H198" s="32" t="inlineStr">
        <is>
          <t>SCE</t>
        </is>
      </c>
      <c r="I198" s="32" t="inlineStr">
        <is>
          <t>자본변동표</t>
        </is>
      </c>
      <c r="J198" s="32" t="inlineStr">
        <is>
          <t>-표준계정코드 미사용-</t>
        </is>
      </c>
      <c r="K198" s="32" t="inlineStr">
        <is>
          <t>순확정급여부채 재측정요소</t>
        </is>
      </c>
      <c r="L198" s="32" t="inlineStr">
        <is>
          <t>자본 [member]|지배기업의 소유주에게 귀속되는 자본 [member]|이익잉여금 [member]</t>
        </is>
      </c>
      <c r="M198" s="32" t="inlineStr">
        <is>
          <t>제 49 기</t>
        </is>
      </c>
      <c r="N198" s="32" t="inlineStr">
        <is>
          <t>-2688655000.0</t>
        </is>
      </c>
      <c r="O198" s="32" t="inlineStr">
        <is>
          <t>-1624464807.0</t>
        </is>
      </c>
      <c r="P198" s="32" t="inlineStr">
        <is>
          <t>KRW</t>
        </is>
      </c>
      <c r="Q198" s="32" t="inlineStr">
        <is>
          <t>6</t>
        </is>
      </c>
    </row>
    <row r="199" ht="24" customHeight="1">
      <c r="A199" s="27" t="inlineStr">
        <is>
          <t>OpenDART_fnlttSinglAcntAll</t>
        </is>
      </c>
      <c r="B199" s="27" t="inlineStr">
        <is>
          <t>00118804</t>
        </is>
      </c>
      <c r="C199" s="27" t="inlineStr">
        <is>
          <t>동진쎄미켐</t>
        </is>
      </c>
      <c r="D199" s="27" t="inlineStr">
        <is>
          <t>dongjin_semichem</t>
        </is>
      </c>
      <c r="E199" s="27" t="inlineStr">
        <is>
          <t>005290</t>
        </is>
      </c>
      <c r="F199" s="27" t="inlineStr">
        <is>
          <t>2021</t>
        </is>
      </c>
      <c r="G199" s="27" t="inlineStr">
        <is>
          <t>CFS</t>
        </is>
      </c>
      <c r="H199" s="27" t="inlineStr">
        <is>
          <t>SCE</t>
        </is>
      </c>
      <c r="I199" s="27" t="inlineStr">
        <is>
          <t>자본변동표</t>
        </is>
      </c>
      <c r="J199" s="27" t="inlineStr">
        <is>
          <t>-표준계정코드 미사용-</t>
        </is>
      </c>
      <c r="K199" s="27" t="inlineStr">
        <is>
          <t>순확정급여부채 재측정요소</t>
        </is>
      </c>
      <c r="L199" s="27" t="inlineStr">
        <is>
          <t>자본 [member]|지배기업의 소유주에게 귀속되는 자본 [member]|자본금 [member]</t>
        </is>
      </c>
      <c r="M199" s="27" t="inlineStr">
        <is>
          <t>제 49 기</t>
        </is>
      </c>
      <c r="N199" s="27" t="inlineStr">
        <is>
          <t>0.0</t>
        </is>
      </c>
      <c r="O199" s="27" t="inlineStr">
        <is>
          <t>0.0</t>
        </is>
      </c>
      <c r="P199" s="27" t="inlineStr">
        <is>
          <t>KRW</t>
        </is>
      </c>
      <c r="Q199" s="27" t="inlineStr">
        <is>
          <t>6</t>
        </is>
      </c>
    </row>
    <row r="200" ht="24" customHeight="1">
      <c r="A200" s="32" t="inlineStr">
        <is>
          <t>OpenDART_fnlttSinglAcntAll</t>
        </is>
      </c>
      <c r="B200" s="32" t="inlineStr">
        <is>
          <t>00118804</t>
        </is>
      </c>
      <c r="C200" s="32" t="inlineStr">
        <is>
          <t>동진쎄미켐</t>
        </is>
      </c>
      <c r="D200" s="32" t="inlineStr">
        <is>
          <t>dongjin_semichem</t>
        </is>
      </c>
      <c r="E200" s="32" t="inlineStr">
        <is>
          <t>005290</t>
        </is>
      </c>
      <c r="F200" s="32" t="inlineStr">
        <is>
          <t>2021</t>
        </is>
      </c>
      <c r="G200" s="32" t="inlineStr">
        <is>
          <t>CFS</t>
        </is>
      </c>
      <c r="H200" s="32" t="inlineStr">
        <is>
          <t>SCE</t>
        </is>
      </c>
      <c r="I200" s="32" t="inlineStr">
        <is>
          <t>자본변동표</t>
        </is>
      </c>
      <c r="J200" s="32" t="inlineStr">
        <is>
          <t>-표준계정코드 미사용-</t>
        </is>
      </c>
      <c r="K200" s="32" t="inlineStr">
        <is>
          <t>관계기업 기타포괄손익에 대한 지분</t>
        </is>
      </c>
      <c r="L200" s="32" t="inlineStr">
        <is>
          <t>연결재무제표 [member]</t>
        </is>
      </c>
      <c r="M200" s="32" t="inlineStr">
        <is>
          <t>제 49 기</t>
        </is>
      </c>
      <c r="N200" s="32" t="inlineStr">
        <is>
          <t>-86249972.0</t>
        </is>
      </c>
      <c r="O200" s="32" t="inlineStr">
        <is>
          <t>91554123.0</t>
        </is>
      </c>
      <c r="P200" s="32" t="inlineStr">
        <is>
          <t>KRW</t>
        </is>
      </c>
      <c r="Q200" s="32" t="inlineStr">
        <is>
          <t>7</t>
        </is>
      </c>
    </row>
    <row r="201" ht="24" customHeight="1">
      <c r="A201" s="27" t="inlineStr">
        <is>
          <t>OpenDART_fnlttSinglAcntAll</t>
        </is>
      </c>
      <c r="B201" s="27" t="inlineStr">
        <is>
          <t>00118804</t>
        </is>
      </c>
      <c r="C201" s="27" t="inlineStr">
        <is>
          <t>동진쎄미켐</t>
        </is>
      </c>
      <c r="D201" s="27" t="inlineStr">
        <is>
          <t>dongjin_semichem</t>
        </is>
      </c>
      <c r="E201" s="27" t="inlineStr">
        <is>
          <t>005290</t>
        </is>
      </c>
      <c r="F201" s="27" t="inlineStr">
        <is>
          <t>2021</t>
        </is>
      </c>
      <c r="G201" s="27" t="inlineStr">
        <is>
          <t>CFS</t>
        </is>
      </c>
      <c r="H201" s="27" t="inlineStr">
        <is>
          <t>SCE</t>
        </is>
      </c>
      <c r="I201" s="27" t="inlineStr">
        <is>
          <t>자본변동표</t>
        </is>
      </c>
      <c r="J201" s="27" t="inlineStr">
        <is>
          <t>-표준계정코드 미사용-</t>
        </is>
      </c>
      <c r="K201" s="27" t="inlineStr">
        <is>
          <t>관계기업 기타포괄손익에 대한 지분</t>
        </is>
      </c>
      <c r="L201" s="27" t="inlineStr">
        <is>
          <t>자본 [member]|비지배지분 [member]</t>
        </is>
      </c>
      <c r="M201" s="27" t="inlineStr">
        <is>
          <t>제 49 기</t>
        </is>
      </c>
      <c r="N201" s="27" t="inlineStr">
        <is>
          <t>0.0</t>
        </is>
      </c>
      <c r="O201" s="27" t="inlineStr">
        <is>
          <t>0.0</t>
        </is>
      </c>
      <c r="P201" s="27" t="inlineStr">
        <is>
          <t>KRW</t>
        </is>
      </c>
      <c r="Q201" s="27" t="inlineStr">
        <is>
          <t>7</t>
        </is>
      </c>
    </row>
    <row r="202" ht="24" customHeight="1">
      <c r="A202" s="32" t="inlineStr">
        <is>
          <t>OpenDART_fnlttSinglAcntAll</t>
        </is>
      </c>
      <c r="B202" s="32" t="inlineStr">
        <is>
          <t>00118804</t>
        </is>
      </c>
      <c r="C202" s="32" t="inlineStr">
        <is>
          <t>동진쎄미켐</t>
        </is>
      </c>
      <c r="D202" s="32" t="inlineStr">
        <is>
          <t>dongjin_semichem</t>
        </is>
      </c>
      <c r="E202" s="32" t="inlineStr">
        <is>
          <t>005290</t>
        </is>
      </c>
      <c r="F202" s="32" t="inlineStr">
        <is>
          <t>2021</t>
        </is>
      </c>
      <c r="G202" s="32" t="inlineStr">
        <is>
          <t>CFS</t>
        </is>
      </c>
      <c r="H202" s="32" t="inlineStr">
        <is>
          <t>SCE</t>
        </is>
      </c>
      <c r="I202" s="32" t="inlineStr">
        <is>
          <t>자본변동표</t>
        </is>
      </c>
      <c r="J202" s="32" t="inlineStr">
        <is>
          <t>-표준계정코드 미사용-</t>
        </is>
      </c>
      <c r="K202" s="32" t="inlineStr">
        <is>
          <t>관계기업 기타포괄손익에 대한 지분</t>
        </is>
      </c>
      <c r="L202" s="32" t="inlineStr">
        <is>
          <t>자본 [member]|지배기업의 소유주에게 귀속되는 자본 [member]</t>
        </is>
      </c>
      <c r="M202" s="32" t="inlineStr">
        <is>
          <t>제 49 기</t>
        </is>
      </c>
      <c r="N202" s="32" t="inlineStr">
        <is>
          <t>-86249972.0</t>
        </is>
      </c>
      <c r="O202" s="32" t="inlineStr">
        <is>
          <t>91554123.0</t>
        </is>
      </c>
      <c r="P202" s="32" t="inlineStr">
        <is>
          <t>KRW</t>
        </is>
      </c>
      <c r="Q202" s="32" t="inlineStr">
        <is>
          <t>7</t>
        </is>
      </c>
    </row>
    <row r="203" ht="24" customHeight="1">
      <c r="A203" s="27" t="inlineStr">
        <is>
          <t>OpenDART_fnlttSinglAcntAll</t>
        </is>
      </c>
      <c r="B203" s="27" t="inlineStr">
        <is>
          <t>00118804</t>
        </is>
      </c>
      <c r="C203" s="27" t="inlineStr">
        <is>
          <t>동진쎄미켐</t>
        </is>
      </c>
      <c r="D203" s="27" t="inlineStr">
        <is>
          <t>dongjin_semichem</t>
        </is>
      </c>
      <c r="E203" s="27" t="inlineStr">
        <is>
          <t>005290</t>
        </is>
      </c>
      <c r="F203" s="27" t="inlineStr">
        <is>
          <t>2021</t>
        </is>
      </c>
      <c r="G203" s="27" t="inlineStr">
        <is>
          <t>CFS</t>
        </is>
      </c>
      <c r="H203" s="27" t="inlineStr">
        <is>
          <t>SCE</t>
        </is>
      </c>
      <c r="I203" s="27" t="inlineStr">
        <is>
          <t>자본변동표</t>
        </is>
      </c>
      <c r="J203" s="27" t="inlineStr">
        <is>
          <t>-표준계정코드 미사용-</t>
        </is>
      </c>
      <c r="K203" s="27" t="inlineStr">
        <is>
          <t>관계기업 기타포괄손익에 대한 지분</t>
        </is>
      </c>
      <c r="L203" s="27" t="inlineStr">
        <is>
          <t>자본 [member]|지배기업의 소유주에게 귀속되는 자본 [member]|기타불입자본</t>
        </is>
      </c>
      <c r="M203" s="27" t="inlineStr">
        <is>
          <t>제 49 기</t>
        </is>
      </c>
      <c r="N203" s="27" t="inlineStr">
        <is>
          <t>0.0</t>
        </is>
      </c>
      <c r="O203" s="27" t="inlineStr">
        <is>
          <t>0.0</t>
        </is>
      </c>
      <c r="P203" s="27" t="inlineStr">
        <is>
          <t>KRW</t>
        </is>
      </c>
      <c r="Q203" s="27" t="inlineStr">
        <is>
          <t>7</t>
        </is>
      </c>
    </row>
    <row r="204" ht="24" customHeight="1">
      <c r="A204" s="32" t="inlineStr">
        <is>
          <t>OpenDART_fnlttSinglAcntAll</t>
        </is>
      </c>
      <c r="B204" s="32" t="inlineStr">
        <is>
          <t>00118804</t>
        </is>
      </c>
      <c r="C204" s="32" t="inlineStr">
        <is>
          <t>동진쎄미켐</t>
        </is>
      </c>
      <c r="D204" s="32" t="inlineStr">
        <is>
          <t>dongjin_semichem</t>
        </is>
      </c>
      <c r="E204" s="32" t="inlineStr">
        <is>
          <t>005290</t>
        </is>
      </c>
      <c r="F204" s="32" t="inlineStr">
        <is>
          <t>2021</t>
        </is>
      </c>
      <c r="G204" s="32" t="inlineStr">
        <is>
          <t>CFS</t>
        </is>
      </c>
      <c r="H204" s="32" t="inlineStr">
        <is>
          <t>SCE</t>
        </is>
      </c>
      <c r="I204" s="32" t="inlineStr">
        <is>
          <t>자본변동표</t>
        </is>
      </c>
      <c r="J204" s="32" t="inlineStr">
        <is>
          <t>-표준계정코드 미사용-</t>
        </is>
      </c>
      <c r="K204" s="32" t="inlineStr">
        <is>
          <t>관계기업 기타포괄손익에 대한 지분</t>
        </is>
      </c>
      <c r="L204" s="32" t="inlineStr">
        <is>
          <t>자본 [member]|지배기업의 소유주에게 귀속되는 자본 [member]|기타자본구성요소 [member]</t>
        </is>
      </c>
      <c r="M204" s="32" t="inlineStr">
        <is>
          <t>제 49 기</t>
        </is>
      </c>
      <c r="N204" s="32" t="inlineStr">
        <is>
          <t>-86249972.0</t>
        </is>
      </c>
      <c r="O204" s="32" t="inlineStr">
        <is>
          <t>91554123.0</t>
        </is>
      </c>
      <c r="P204" s="32" t="inlineStr">
        <is>
          <t>KRW</t>
        </is>
      </c>
      <c r="Q204" s="32" t="inlineStr">
        <is>
          <t>7</t>
        </is>
      </c>
    </row>
    <row r="205" ht="24" customHeight="1">
      <c r="A205" s="27" t="inlineStr">
        <is>
          <t>OpenDART_fnlttSinglAcntAll</t>
        </is>
      </c>
      <c r="B205" s="27" t="inlineStr">
        <is>
          <t>00118804</t>
        </is>
      </c>
      <c r="C205" s="27" t="inlineStr">
        <is>
          <t>동진쎄미켐</t>
        </is>
      </c>
      <c r="D205" s="27" t="inlineStr">
        <is>
          <t>dongjin_semichem</t>
        </is>
      </c>
      <c r="E205" s="27" t="inlineStr">
        <is>
          <t>005290</t>
        </is>
      </c>
      <c r="F205" s="27" t="inlineStr">
        <is>
          <t>2021</t>
        </is>
      </c>
      <c r="G205" s="27" t="inlineStr">
        <is>
          <t>CFS</t>
        </is>
      </c>
      <c r="H205" s="27" t="inlineStr">
        <is>
          <t>SCE</t>
        </is>
      </c>
      <c r="I205" s="27" t="inlineStr">
        <is>
          <t>자본변동표</t>
        </is>
      </c>
      <c r="J205" s="27" t="inlineStr">
        <is>
          <t>-표준계정코드 미사용-</t>
        </is>
      </c>
      <c r="K205" s="27" t="inlineStr">
        <is>
          <t>관계기업 기타포괄손익에 대한 지분</t>
        </is>
      </c>
      <c r="L205" s="27" t="inlineStr">
        <is>
          <t>자본 [member]|지배기업의 소유주에게 귀속되는 자본 [member]|이익잉여금 [member]</t>
        </is>
      </c>
      <c r="M205" s="27" t="inlineStr">
        <is>
          <t>제 49 기</t>
        </is>
      </c>
      <c r="N205" s="27" t="inlineStr">
        <is>
          <t>0.0</t>
        </is>
      </c>
      <c r="O205" s="27" t="inlineStr">
        <is>
          <t>0.0</t>
        </is>
      </c>
      <c r="P205" s="27" t="inlineStr">
        <is>
          <t>KRW</t>
        </is>
      </c>
      <c r="Q205" s="27" t="inlineStr">
        <is>
          <t>7</t>
        </is>
      </c>
    </row>
    <row r="206" ht="24" customHeight="1">
      <c r="A206" s="32" t="inlineStr">
        <is>
          <t>OpenDART_fnlttSinglAcntAll</t>
        </is>
      </c>
      <c r="B206" s="32" t="inlineStr">
        <is>
          <t>00118804</t>
        </is>
      </c>
      <c r="C206" s="32" t="inlineStr">
        <is>
          <t>동진쎄미켐</t>
        </is>
      </c>
      <c r="D206" s="32" t="inlineStr">
        <is>
          <t>dongjin_semichem</t>
        </is>
      </c>
      <c r="E206" s="32" t="inlineStr">
        <is>
          <t>005290</t>
        </is>
      </c>
      <c r="F206" s="32" t="inlineStr">
        <is>
          <t>2021</t>
        </is>
      </c>
      <c r="G206" s="32" t="inlineStr">
        <is>
          <t>CFS</t>
        </is>
      </c>
      <c r="H206" s="32" t="inlineStr">
        <is>
          <t>SCE</t>
        </is>
      </c>
      <c r="I206" s="32" t="inlineStr">
        <is>
          <t>자본변동표</t>
        </is>
      </c>
      <c r="J206" s="32" t="inlineStr">
        <is>
          <t>-표준계정코드 미사용-</t>
        </is>
      </c>
      <c r="K206" s="32" t="inlineStr">
        <is>
          <t>관계기업 기타포괄손익에 대한 지분</t>
        </is>
      </c>
      <c r="L206" s="32" t="inlineStr">
        <is>
          <t>자본 [member]|지배기업의 소유주에게 귀속되는 자본 [member]|자본금 [member]</t>
        </is>
      </c>
      <c r="M206" s="32" t="inlineStr">
        <is>
          <t>제 49 기</t>
        </is>
      </c>
      <c r="N206" s="32" t="inlineStr">
        <is>
          <t>0.0</t>
        </is>
      </c>
      <c r="O206" s="32" t="inlineStr">
        <is>
          <t>0.0</t>
        </is>
      </c>
      <c r="P206" s="32" t="inlineStr">
        <is>
          <t>KRW</t>
        </is>
      </c>
      <c r="Q206" s="32" t="inlineStr">
        <is>
          <t>7</t>
        </is>
      </c>
    </row>
    <row r="207" ht="24" customHeight="1">
      <c r="A207" s="27" t="inlineStr">
        <is>
          <t>OpenDART_fnlttSinglAcntAll</t>
        </is>
      </c>
      <c r="B207" s="27" t="inlineStr">
        <is>
          <t>00118804</t>
        </is>
      </c>
      <c r="C207" s="27" t="inlineStr">
        <is>
          <t>동진쎄미켐</t>
        </is>
      </c>
      <c r="D207" s="27" t="inlineStr">
        <is>
          <t>dongjin_semichem</t>
        </is>
      </c>
      <c r="E207" s="27" t="inlineStr">
        <is>
          <t>005290</t>
        </is>
      </c>
      <c r="F207" s="27" t="inlineStr">
        <is>
          <t>2021</t>
        </is>
      </c>
      <c r="G207" s="27" t="inlineStr">
        <is>
          <t>CFS</t>
        </is>
      </c>
      <c r="H207" s="27" t="inlineStr">
        <is>
          <t>SCE</t>
        </is>
      </c>
      <c r="I207" s="27" t="inlineStr">
        <is>
          <t>자본변동표</t>
        </is>
      </c>
      <c r="J207" s="27" t="inlineStr">
        <is>
          <t>-표준계정코드 미사용-</t>
        </is>
      </c>
      <c r="K207" s="27" t="inlineStr">
        <is>
          <t>해외사업장환산 외환차이</t>
        </is>
      </c>
      <c r="L207" s="27" t="inlineStr">
        <is>
          <t>연결재무제표 [member]</t>
        </is>
      </c>
      <c r="M207" s="27" t="inlineStr">
        <is>
          <t>제 49 기</t>
        </is>
      </c>
      <c r="N207" s="27" t="inlineStr">
        <is>
          <t>23814106190.0</t>
        </is>
      </c>
      <c r="O207" s="27" t="inlineStr">
        <is>
          <t>-1667930047.0</t>
        </is>
      </c>
      <c r="P207" s="27" t="inlineStr">
        <is>
          <t>KRW</t>
        </is>
      </c>
      <c r="Q207" s="27" t="inlineStr">
        <is>
          <t>8</t>
        </is>
      </c>
    </row>
    <row r="208" ht="24" customHeight="1">
      <c r="A208" s="32" t="inlineStr">
        <is>
          <t>OpenDART_fnlttSinglAcntAll</t>
        </is>
      </c>
      <c r="B208" s="32" t="inlineStr">
        <is>
          <t>00118804</t>
        </is>
      </c>
      <c r="C208" s="32" t="inlineStr">
        <is>
          <t>동진쎄미켐</t>
        </is>
      </c>
      <c r="D208" s="32" t="inlineStr">
        <is>
          <t>dongjin_semichem</t>
        </is>
      </c>
      <c r="E208" s="32" t="inlineStr">
        <is>
          <t>005290</t>
        </is>
      </c>
      <c r="F208" s="32" t="inlineStr">
        <is>
          <t>2021</t>
        </is>
      </c>
      <c r="G208" s="32" t="inlineStr">
        <is>
          <t>CFS</t>
        </is>
      </c>
      <c r="H208" s="32" t="inlineStr">
        <is>
          <t>SCE</t>
        </is>
      </c>
      <c r="I208" s="32" t="inlineStr">
        <is>
          <t>자본변동표</t>
        </is>
      </c>
      <c r="J208" s="32" t="inlineStr">
        <is>
          <t>-표준계정코드 미사용-</t>
        </is>
      </c>
      <c r="K208" s="32" t="inlineStr">
        <is>
          <t>해외사업장환산 외환차이</t>
        </is>
      </c>
      <c r="L208" s="32" t="inlineStr">
        <is>
          <t>자본 [member]|비지배지분 [member]</t>
        </is>
      </c>
      <c r="M208" s="32" t="inlineStr">
        <is>
          <t>제 49 기</t>
        </is>
      </c>
      <c r="N208" s="32" t="inlineStr">
        <is>
          <t>161097330.0</t>
        </is>
      </c>
      <c r="O208" s="32" t="inlineStr">
        <is>
          <t>1133255.0</t>
        </is>
      </c>
      <c r="P208" s="32" t="inlineStr">
        <is>
          <t>KRW</t>
        </is>
      </c>
      <c r="Q208" s="32" t="inlineStr">
        <is>
          <t>8</t>
        </is>
      </c>
    </row>
    <row r="209" ht="24" customHeight="1">
      <c r="A209" s="27" t="inlineStr">
        <is>
          <t>OpenDART_fnlttSinglAcntAll</t>
        </is>
      </c>
      <c r="B209" s="27" t="inlineStr">
        <is>
          <t>00118804</t>
        </is>
      </c>
      <c r="C209" s="27" t="inlineStr">
        <is>
          <t>동진쎄미켐</t>
        </is>
      </c>
      <c r="D209" s="27" t="inlineStr">
        <is>
          <t>dongjin_semichem</t>
        </is>
      </c>
      <c r="E209" s="27" t="inlineStr">
        <is>
          <t>005290</t>
        </is>
      </c>
      <c r="F209" s="27" t="inlineStr">
        <is>
          <t>2021</t>
        </is>
      </c>
      <c r="G209" s="27" t="inlineStr">
        <is>
          <t>CFS</t>
        </is>
      </c>
      <c r="H209" s="27" t="inlineStr">
        <is>
          <t>SCE</t>
        </is>
      </c>
      <c r="I209" s="27" t="inlineStr">
        <is>
          <t>자본변동표</t>
        </is>
      </c>
      <c r="J209" s="27" t="inlineStr">
        <is>
          <t>-표준계정코드 미사용-</t>
        </is>
      </c>
      <c r="K209" s="27" t="inlineStr">
        <is>
          <t>해외사업장환산 외환차이</t>
        </is>
      </c>
      <c r="L209" s="27" t="inlineStr">
        <is>
          <t>자본 [member]|지배기업의 소유주에게 귀속되는 자본 [member]</t>
        </is>
      </c>
      <c r="M209" s="27" t="inlineStr">
        <is>
          <t>제 49 기</t>
        </is>
      </c>
      <c r="N209" s="27" t="inlineStr">
        <is>
          <t>23653008860.0</t>
        </is>
      </c>
      <c r="O209" s="27" t="inlineStr">
        <is>
          <t>-1669063302.0</t>
        </is>
      </c>
      <c r="P209" s="27" t="inlineStr">
        <is>
          <t>KRW</t>
        </is>
      </c>
      <c r="Q209" s="27" t="inlineStr">
        <is>
          <t>8</t>
        </is>
      </c>
    </row>
    <row r="210" ht="24" customHeight="1">
      <c r="A210" s="32" t="inlineStr">
        <is>
          <t>OpenDART_fnlttSinglAcntAll</t>
        </is>
      </c>
      <c r="B210" s="32" t="inlineStr">
        <is>
          <t>00118804</t>
        </is>
      </c>
      <c r="C210" s="32" t="inlineStr">
        <is>
          <t>동진쎄미켐</t>
        </is>
      </c>
      <c r="D210" s="32" t="inlineStr">
        <is>
          <t>dongjin_semichem</t>
        </is>
      </c>
      <c r="E210" s="32" t="inlineStr">
        <is>
          <t>005290</t>
        </is>
      </c>
      <c r="F210" s="32" t="inlineStr">
        <is>
          <t>2021</t>
        </is>
      </c>
      <c r="G210" s="32" t="inlineStr">
        <is>
          <t>CFS</t>
        </is>
      </c>
      <c r="H210" s="32" t="inlineStr">
        <is>
          <t>SCE</t>
        </is>
      </c>
      <c r="I210" s="32" t="inlineStr">
        <is>
          <t>자본변동표</t>
        </is>
      </c>
      <c r="J210" s="32" t="inlineStr">
        <is>
          <t>-표준계정코드 미사용-</t>
        </is>
      </c>
      <c r="K210" s="32" t="inlineStr">
        <is>
          <t>해외사업장환산 외환차이</t>
        </is>
      </c>
      <c r="L210" s="32" t="inlineStr">
        <is>
          <t>자본 [member]|지배기업의 소유주에게 귀속되는 자본 [member]|기타불입자본</t>
        </is>
      </c>
      <c r="M210" s="32" t="inlineStr">
        <is>
          <t>제 49 기</t>
        </is>
      </c>
      <c r="N210" s="32" t="inlineStr">
        <is>
          <t>0.0</t>
        </is>
      </c>
      <c r="O210" s="32" t="inlineStr">
        <is>
          <t>0.0</t>
        </is>
      </c>
      <c r="P210" s="32" t="inlineStr">
        <is>
          <t>KRW</t>
        </is>
      </c>
      <c r="Q210" s="32" t="inlineStr">
        <is>
          <t>8</t>
        </is>
      </c>
    </row>
    <row r="211" ht="24" customHeight="1">
      <c r="A211" s="27" t="inlineStr">
        <is>
          <t>OpenDART_fnlttSinglAcntAll</t>
        </is>
      </c>
      <c r="B211" s="27" t="inlineStr">
        <is>
          <t>00118804</t>
        </is>
      </c>
      <c r="C211" s="27" t="inlineStr">
        <is>
          <t>동진쎄미켐</t>
        </is>
      </c>
      <c r="D211" s="27" t="inlineStr">
        <is>
          <t>dongjin_semichem</t>
        </is>
      </c>
      <c r="E211" s="27" t="inlineStr">
        <is>
          <t>005290</t>
        </is>
      </c>
      <c r="F211" s="27" t="inlineStr">
        <is>
          <t>2021</t>
        </is>
      </c>
      <c r="G211" s="27" t="inlineStr">
        <is>
          <t>CFS</t>
        </is>
      </c>
      <c r="H211" s="27" t="inlineStr">
        <is>
          <t>SCE</t>
        </is>
      </c>
      <c r="I211" s="27" t="inlineStr">
        <is>
          <t>자본변동표</t>
        </is>
      </c>
      <c r="J211" s="27" t="inlineStr">
        <is>
          <t>-표준계정코드 미사용-</t>
        </is>
      </c>
      <c r="K211" s="27" t="inlineStr">
        <is>
          <t>해외사업장환산 외환차이</t>
        </is>
      </c>
      <c r="L211" s="27" t="inlineStr">
        <is>
          <t>자본 [member]|지배기업의 소유주에게 귀속되는 자본 [member]|기타자본구성요소 [member]</t>
        </is>
      </c>
      <c r="M211" s="27" t="inlineStr">
        <is>
          <t>제 49 기</t>
        </is>
      </c>
      <c r="N211" s="27" t="inlineStr">
        <is>
          <t>23653008860.0</t>
        </is>
      </c>
      <c r="O211" s="27" t="inlineStr">
        <is>
          <t>-1669063302.0</t>
        </is>
      </c>
      <c r="P211" s="27" t="inlineStr">
        <is>
          <t>KRW</t>
        </is>
      </c>
      <c r="Q211" s="27" t="inlineStr">
        <is>
          <t>8</t>
        </is>
      </c>
    </row>
    <row r="212" ht="24" customHeight="1">
      <c r="A212" s="32" t="inlineStr">
        <is>
          <t>OpenDART_fnlttSinglAcntAll</t>
        </is>
      </c>
      <c r="B212" s="32" t="inlineStr">
        <is>
          <t>00118804</t>
        </is>
      </c>
      <c r="C212" s="32" t="inlineStr">
        <is>
          <t>동진쎄미켐</t>
        </is>
      </c>
      <c r="D212" s="32" t="inlineStr">
        <is>
          <t>dongjin_semichem</t>
        </is>
      </c>
      <c r="E212" s="32" t="inlineStr">
        <is>
          <t>005290</t>
        </is>
      </c>
      <c r="F212" s="32" t="inlineStr">
        <is>
          <t>2021</t>
        </is>
      </c>
      <c r="G212" s="32" t="inlineStr">
        <is>
          <t>CFS</t>
        </is>
      </c>
      <c r="H212" s="32" t="inlineStr">
        <is>
          <t>SCE</t>
        </is>
      </c>
      <c r="I212" s="32" t="inlineStr">
        <is>
          <t>자본변동표</t>
        </is>
      </c>
      <c r="J212" s="32" t="inlineStr">
        <is>
          <t>-표준계정코드 미사용-</t>
        </is>
      </c>
      <c r="K212" s="32" t="inlineStr">
        <is>
          <t>해외사업장환산 외환차이</t>
        </is>
      </c>
      <c r="L212" s="32" t="inlineStr">
        <is>
          <t>자본 [member]|지배기업의 소유주에게 귀속되는 자본 [member]|이익잉여금 [member]</t>
        </is>
      </c>
      <c r="M212" s="32" t="inlineStr">
        <is>
          <t>제 49 기</t>
        </is>
      </c>
      <c r="N212" s="32" t="inlineStr">
        <is>
          <t>0.0</t>
        </is>
      </c>
      <c r="O212" s="32" t="inlineStr">
        <is>
          <t>0.0</t>
        </is>
      </c>
      <c r="P212" s="32" t="inlineStr">
        <is>
          <t>KRW</t>
        </is>
      </c>
      <c r="Q212" s="32" t="inlineStr">
        <is>
          <t>8</t>
        </is>
      </c>
    </row>
    <row r="213" ht="24" customHeight="1">
      <c r="A213" s="27" t="inlineStr">
        <is>
          <t>OpenDART_fnlttSinglAcntAll</t>
        </is>
      </c>
      <c r="B213" s="27" t="inlineStr">
        <is>
          <t>00118804</t>
        </is>
      </c>
      <c r="C213" s="27" t="inlineStr">
        <is>
          <t>동진쎄미켐</t>
        </is>
      </c>
      <c r="D213" s="27" t="inlineStr">
        <is>
          <t>dongjin_semichem</t>
        </is>
      </c>
      <c r="E213" s="27" t="inlineStr">
        <is>
          <t>005290</t>
        </is>
      </c>
      <c r="F213" s="27" t="inlineStr">
        <is>
          <t>2021</t>
        </is>
      </c>
      <c r="G213" s="27" t="inlineStr">
        <is>
          <t>CFS</t>
        </is>
      </c>
      <c r="H213" s="27" t="inlineStr">
        <is>
          <t>SCE</t>
        </is>
      </c>
      <c r="I213" s="27" t="inlineStr">
        <is>
          <t>자본변동표</t>
        </is>
      </c>
      <c r="J213" s="27" t="inlineStr">
        <is>
          <t>-표준계정코드 미사용-</t>
        </is>
      </c>
      <c r="K213" s="27" t="inlineStr">
        <is>
          <t>해외사업장환산 외환차이</t>
        </is>
      </c>
      <c r="L213" s="27" t="inlineStr">
        <is>
          <t>자본 [member]|지배기업의 소유주에게 귀속되는 자본 [member]|자본금 [member]</t>
        </is>
      </c>
      <c r="M213" s="27" t="inlineStr">
        <is>
          <t>제 49 기</t>
        </is>
      </c>
      <c r="N213" s="27" t="inlineStr">
        <is>
          <t>0.0</t>
        </is>
      </c>
      <c r="O213" s="27" t="inlineStr">
        <is>
          <t>0.0</t>
        </is>
      </c>
      <c r="P213" s="27" t="inlineStr">
        <is>
          <t>KRW</t>
        </is>
      </c>
      <c r="Q213" s="27" t="inlineStr">
        <is>
          <t>8</t>
        </is>
      </c>
    </row>
    <row r="214" ht="24" customHeight="1">
      <c r="A214" s="32" t="inlineStr">
        <is>
          <t>OpenDART_fnlttSinglAcntAll</t>
        </is>
      </c>
      <c r="B214" s="32" t="inlineStr">
        <is>
          <t>00118804</t>
        </is>
      </c>
      <c r="C214" s="32" t="inlineStr">
        <is>
          <t>동진쎄미켐</t>
        </is>
      </c>
      <c r="D214" s="32" t="inlineStr">
        <is>
          <t>dongjin_semichem</t>
        </is>
      </c>
      <c r="E214" s="32" t="inlineStr">
        <is>
          <t>005290</t>
        </is>
      </c>
      <c r="F214" s="32" t="inlineStr">
        <is>
          <t>2021</t>
        </is>
      </c>
      <c r="G214" s="32" t="inlineStr">
        <is>
          <t>CFS</t>
        </is>
      </c>
      <c r="H214" s="32" t="inlineStr">
        <is>
          <t>SCE</t>
        </is>
      </c>
      <c r="I214" s="32" t="inlineStr">
        <is>
          <t>자본변동표</t>
        </is>
      </c>
      <c r="J214" s="32" t="inlineStr">
        <is>
          <t>-표준계정코드 미사용-</t>
        </is>
      </c>
      <c r="K214" s="32" t="inlineStr">
        <is>
          <t>유형자산평가</t>
        </is>
      </c>
      <c r="L214" s="32" t="inlineStr">
        <is>
          <t>연결재무제표 [member]</t>
        </is>
      </c>
      <c r="M214" s="32" t="inlineStr">
        <is>
          <t>제 49 기</t>
        </is>
      </c>
      <c r="N214" s="32" t="inlineStr">
        <is>
          <t>0.0</t>
        </is>
      </c>
      <c r="O214" s="32" t="inlineStr">
        <is>
          <t>0.0</t>
        </is>
      </c>
      <c r="P214" s="32" t="inlineStr">
        <is>
          <t>KRW</t>
        </is>
      </c>
      <c r="Q214" s="32" t="inlineStr">
        <is>
          <t>9</t>
        </is>
      </c>
    </row>
    <row r="215" ht="24" customHeight="1">
      <c r="A215" s="27" t="inlineStr">
        <is>
          <t>OpenDART_fnlttSinglAcntAll</t>
        </is>
      </c>
      <c r="B215" s="27" t="inlineStr">
        <is>
          <t>00118804</t>
        </is>
      </c>
      <c r="C215" s="27" t="inlineStr">
        <is>
          <t>동진쎄미켐</t>
        </is>
      </c>
      <c r="D215" s="27" t="inlineStr">
        <is>
          <t>dongjin_semichem</t>
        </is>
      </c>
      <c r="E215" s="27" t="inlineStr">
        <is>
          <t>005290</t>
        </is>
      </c>
      <c r="F215" s="27" t="inlineStr">
        <is>
          <t>2021</t>
        </is>
      </c>
      <c r="G215" s="27" t="inlineStr">
        <is>
          <t>CFS</t>
        </is>
      </c>
      <c r="H215" s="27" t="inlineStr">
        <is>
          <t>SCE</t>
        </is>
      </c>
      <c r="I215" s="27" t="inlineStr">
        <is>
          <t>자본변동표</t>
        </is>
      </c>
      <c r="J215" s="27" t="inlineStr">
        <is>
          <t>-표준계정코드 미사용-</t>
        </is>
      </c>
      <c r="K215" s="27" t="inlineStr">
        <is>
          <t>유형자산평가</t>
        </is>
      </c>
      <c r="L215" s="27" t="inlineStr">
        <is>
          <t>자본 [member]|비지배지분 [member]</t>
        </is>
      </c>
      <c r="M215" s="27" t="inlineStr">
        <is>
          <t>제 49 기</t>
        </is>
      </c>
      <c r="N215" s="27" t="inlineStr">
        <is>
          <t>0.0</t>
        </is>
      </c>
      <c r="O215" s="27" t="inlineStr">
        <is>
          <t>0.0</t>
        </is>
      </c>
      <c r="P215" s="27" t="inlineStr">
        <is>
          <t>KRW</t>
        </is>
      </c>
      <c r="Q215" s="27" t="inlineStr">
        <is>
          <t>9</t>
        </is>
      </c>
    </row>
    <row r="216" ht="24" customHeight="1">
      <c r="A216" s="32" t="inlineStr">
        <is>
          <t>OpenDART_fnlttSinglAcntAll</t>
        </is>
      </c>
      <c r="B216" s="32" t="inlineStr">
        <is>
          <t>00118804</t>
        </is>
      </c>
      <c r="C216" s="32" t="inlineStr">
        <is>
          <t>동진쎄미켐</t>
        </is>
      </c>
      <c r="D216" s="32" t="inlineStr">
        <is>
          <t>dongjin_semichem</t>
        </is>
      </c>
      <c r="E216" s="32" t="inlineStr">
        <is>
          <t>005290</t>
        </is>
      </c>
      <c r="F216" s="32" t="inlineStr">
        <is>
          <t>2021</t>
        </is>
      </c>
      <c r="G216" s="32" t="inlineStr">
        <is>
          <t>CFS</t>
        </is>
      </c>
      <c r="H216" s="32" t="inlineStr">
        <is>
          <t>SCE</t>
        </is>
      </c>
      <c r="I216" s="32" t="inlineStr">
        <is>
          <t>자본변동표</t>
        </is>
      </c>
      <c r="J216" s="32" t="inlineStr">
        <is>
          <t>-표준계정코드 미사용-</t>
        </is>
      </c>
      <c r="K216" s="32" t="inlineStr">
        <is>
          <t>유형자산평가</t>
        </is>
      </c>
      <c r="L216" s="32" t="inlineStr">
        <is>
          <t>자본 [member]|지배기업의 소유주에게 귀속되는 자본 [member]</t>
        </is>
      </c>
      <c r="M216" s="32" t="inlineStr">
        <is>
          <t>제 49 기</t>
        </is>
      </c>
      <c r="N216" s="32" t="inlineStr">
        <is>
          <t>0.0</t>
        </is>
      </c>
      <c r="O216" s="32" t="inlineStr">
        <is>
          <t>0.0</t>
        </is>
      </c>
      <c r="P216" s="32" t="inlineStr">
        <is>
          <t>KRW</t>
        </is>
      </c>
      <c r="Q216" s="32" t="inlineStr">
        <is>
          <t>9</t>
        </is>
      </c>
    </row>
    <row r="217" ht="24" customHeight="1">
      <c r="A217" s="27" t="inlineStr">
        <is>
          <t>OpenDART_fnlttSinglAcntAll</t>
        </is>
      </c>
      <c r="B217" s="27" t="inlineStr">
        <is>
          <t>00118804</t>
        </is>
      </c>
      <c r="C217" s="27" t="inlineStr">
        <is>
          <t>동진쎄미켐</t>
        </is>
      </c>
      <c r="D217" s="27" t="inlineStr">
        <is>
          <t>dongjin_semichem</t>
        </is>
      </c>
      <c r="E217" s="27" t="inlineStr">
        <is>
          <t>005290</t>
        </is>
      </c>
      <c r="F217" s="27" t="inlineStr">
        <is>
          <t>2021</t>
        </is>
      </c>
      <c r="G217" s="27" t="inlineStr">
        <is>
          <t>CFS</t>
        </is>
      </c>
      <c r="H217" s="27" t="inlineStr">
        <is>
          <t>SCE</t>
        </is>
      </c>
      <c r="I217" s="27" t="inlineStr">
        <is>
          <t>자본변동표</t>
        </is>
      </c>
      <c r="J217" s="27" t="inlineStr">
        <is>
          <t>-표준계정코드 미사용-</t>
        </is>
      </c>
      <c r="K217" s="27" t="inlineStr">
        <is>
          <t>유형자산평가</t>
        </is>
      </c>
      <c r="L217" s="27" t="inlineStr">
        <is>
          <t>자본 [member]|지배기업의 소유주에게 귀속되는 자본 [member]|기타불입자본</t>
        </is>
      </c>
      <c r="M217" s="27" t="inlineStr">
        <is>
          <t>제 49 기</t>
        </is>
      </c>
      <c r="N217" s="27" t="inlineStr">
        <is>
          <t>0.0</t>
        </is>
      </c>
      <c r="O217" s="27" t="inlineStr">
        <is>
          <t>0.0</t>
        </is>
      </c>
      <c r="P217" s="27" t="inlineStr">
        <is>
          <t>KRW</t>
        </is>
      </c>
      <c r="Q217" s="27" t="inlineStr">
        <is>
          <t>9</t>
        </is>
      </c>
    </row>
    <row r="218" ht="24" customHeight="1">
      <c r="A218" s="32" t="inlineStr">
        <is>
          <t>OpenDART_fnlttSinglAcntAll</t>
        </is>
      </c>
      <c r="B218" s="32" t="inlineStr">
        <is>
          <t>00118804</t>
        </is>
      </c>
      <c r="C218" s="32" t="inlineStr">
        <is>
          <t>동진쎄미켐</t>
        </is>
      </c>
      <c r="D218" s="32" t="inlineStr">
        <is>
          <t>dongjin_semichem</t>
        </is>
      </c>
      <c r="E218" s="32" t="inlineStr">
        <is>
          <t>005290</t>
        </is>
      </c>
      <c r="F218" s="32" t="inlineStr">
        <is>
          <t>2021</t>
        </is>
      </c>
      <c r="G218" s="32" t="inlineStr">
        <is>
          <t>CFS</t>
        </is>
      </c>
      <c r="H218" s="32" t="inlineStr">
        <is>
          <t>SCE</t>
        </is>
      </c>
      <c r="I218" s="32" t="inlineStr">
        <is>
          <t>자본변동표</t>
        </is>
      </c>
      <c r="J218" s="32" t="inlineStr">
        <is>
          <t>-표준계정코드 미사용-</t>
        </is>
      </c>
      <c r="K218" s="32" t="inlineStr">
        <is>
          <t>유형자산평가</t>
        </is>
      </c>
      <c r="L218" s="32" t="inlineStr">
        <is>
          <t>자본 [member]|지배기업의 소유주에게 귀속되는 자본 [member]|기타자본구성요소 [member]</t>
        </is>
      </c>
      <c r="M218" s="32" t="inlineStr">
        <is>
          <t>제 49 기</t>
        </is>
      </c>
      <c r="N218" s="32" t="inlineStr">
        <is>
          <t>0.0</t>
        </is>
      </c>
      <c r="O218" s="32" t="inlineStr">
        <is>
          <t>0.0</t>
        </is>
      </c>
      <c r="P218" s="32" t="inlineStr">
        <is>
          <t>KRW</t>
        </is>
      </c>
      <c r="Q218" s="32" t="inlineStr">
        <is>
          <t>9</t>
        </is>
      </c>
    </row>
    <row r="219" ht="24" customHeight="1">
      <c r="A219" s="27" t="inlineStr">
        <is>
          <t>OpenDART_fnlttSinglAcntAll</t>
        </is>
      </c>
      <c r="B219" s="27" t="inlineStr">
        <is>
          <t>00118804</t>
        </is>
      </c>
      <c r="C219" s="27" t="inlineStr">
        <is>
          <t>동진쎄미켐</t>
        </is>
      </c>
      <c r="D219" s="27" t="inlineStr">
        <is>
          <t>dongjin_semichem</t>
        </is>
      </c>
      <c r="E219" s="27" t="inlineStr">
        <is>
          <t>005290</t>
        </is>
      </c>
      <c r="F219" s="27" t="inlineStr">
        <is>
          <t>2021</t>
        </is>
      </c>
      <c r="G219" s="27" t="inlineStr">
        <is>
          <t>CFS</t>
        </is>
      </c>
      <c r="H219" s="27" t="inlineStr">
        <is>
          <t>SCE</t>
        </is>
      </c>
      <c r="I219" s="27" t="inlineStr">
        <is>
          <t>자본변동표</t>
        </is>
      </c>
      <c r="J219" s="27" t="inlineStr">
        <is>
          <t>-표준계정코드 미사용-</t>
        </is>
      </c>
      <c r="K219" s="27" t="inlineStr">
        <is>
          <t>유형자산평가</t>
        </is>
      </c>
      <c r="L219" s="27" t="inlineStr">
        <is>
          <t>자본 [member]|지배기업의 소유주에게 귀속되는 자본 [member]|이익잉여금 [member]</t>
        </is>
      </c>
      <c r="M219" s="27" t="inlineStr">
        <is>
          <t>제 49 기</t>
        </is>
      </c>
      <c r="N219" s="27" t="inlineStr">
        <is>
          <t>0.0</t>
        </is>
      </c>
      <c r="O219" s="27" t="inlineStr">
        <is>
          <t>0.0</t>
        </is>
      </c>
      <c r="P219" s="27" t="inlineStr">
        <is>
          <t>KRW</t>
        </is>
      </c>
      <c r="Q219" s="27" t="inlineStr">
        <is>
          <t>9</t>
        </is>
      </c>
    </row>
    <row r="220" ht="24" customHeight="1">
      <c r="A220" s="32" t="inlineStr">
        <is>
          <t>OpenDART_fnlttSinglAcntAll</t>
        </is>
      </c>
      <c r="B220" s="32" t="inlineStr">
        <is>
          <t>00118804</t>
        </is>
      </c>
      <c r="C220" s="32" t="inlineStr">
        <is>
          <t>동진쎄미켐</t>
        </is>
      </c>
      <c r="D220" s="32" t="inlineStr">
        <is>
          <t>dongjin_semichem</t>
        </is>
      </c>
      <c r="E220" s="32" t="inlineStr">
        <is>
          <t>005290</t>
        </is>
      </c>
      <c r="F220" s="32" t="inlineStr">
        <is>
          <t>2021</t>
        </is>
      </c>
      <c r="G220" s="32" t="inlineStr">
        <is>
          <t>CFS</t>
        </is>
      </c>
      <c r="H220" s="32" t="inlineStr">
        <is>
          <t>SCE</t>
        </is>
      </c>
      <c r="I220" s="32" t="inlineStr">
        <is>
          <t>자본변동표</t>
        </is>
      </c>
      <c r="J220" s="32" t="inlineStr">
        <is>
          <t>-표준계정코드 미사용-</t>
        </is>
      </c>
      <c r="K220" s="32" t="inlineStr">
        <is>
          <t>유형자산평가</t>
        </is>
      </c>
      <c r="L220" s="32" t="inlineStr">
        <is>
          <t>자본 [member]|지배기업의 소유주에게 귀속되는 자본 [member]|자본금 [member]</t>
        </is>
      </c>
      <c r="M220" s="32" t="inlineStr">
        <is>
          <t>제 49 기</t>
        </is>
      </c>
      <c r="N220" s="32" t="inlineStr">
        <is>
          <t>0.0</t>
        </is>
      </c>
      <c r="O220" s="32" t="inlineStr">
        <is>
          <t>0.0</t>
        </is>
      </c>
      <c r="P220" s="32" t="inlineStr">
        <is>
          <t>KRW</t>
        </is>
      </c>
      <c r="Q220" s="32" t="inlineStr">
        <is>
          <t>9</t>
        </is>
      </c>
    </row>
    <row r="221" ht="24" customHeight="1">
      <c r="A221" s="27" t="inlineStr">
        <is>
          <t>OpenDART_fnlttSinglAcntAll</t>
        </is>
      </c>
      <c r="B221" s="27" t="inlineStr">
        <is>
          <t>00118804</t>
        </is>
      </c>
      <c r="C221" s="27" t="inlineStr">
        <is>
          <t>동진쎄미켐</t>
        </is>
      </c>
      <c r="D221" s="27" t="inlineStr">
        <is>
          <t>dongjin_semichem</t>
        </is>
      </c>
      <c r="E221" s="27" t="inlineStr">
        <is>
          <t>005290</t>
        </is>
      </c>
      <c r="F221" s="27" t="inlineStr">
        <is>
          <t>2021</t>
        </is>
      </c>
      <c r="G221" s="27" t="inlineStr">
        <is>
          <t>CFS</t>
        </is>
      </c>
      <c r="H221" s="27" t="inlineStr">
        <is>
          <t>SCE</t>
        </is>
      </c>
      <c r="I221" s="27" t="inlineStr">
        <is>
          <t>자본변동표</t>
        </is>
      </c>
      <c r="J221" s="27" t="inlineStr">
        <is>
          <t>-표준계정코드 미사용-</t>
        </is>
      </c>
      <c r="K221" s="27" t="inlineStr">
        <is>
          <t>종속기업주식취득</t>
        </is>
      </c>
      <c r="L221" s="27" t="inlineStr">
        <is>
          <t>연결재무제표 [member]</t>
        </is>
      </c>
      <c r="M221" s="27" t="inlineStr">
        <is>
          <t>제 49 기</t>
        </is>
      </c>
      <c r="N221" s="27" t="inlineStr">
        <is>
          <t>-1782308990.0</t>
        </is>
      </c>
      <c r="O221" s="27" t="inlineStr">
        <is>
          <t>3078363.0</t>
        </is>
      </c>
      <c r="P221" s="27" t="inlineStr">
        <is>
          <t>KRW</t>
        </is>
      </c>
      <c r="Q221" s="27" t="inlineStr">
        <is>
          <t>10</t>
        </is>
      </c>
    </row>
    <row r="222" ht="24" customHeight="1">
      <c r="A222" s="32" t="inlineStr">
        <is>
          <t>OpenDART_fnlttSinglAcntAll</t>
        </is>
      </c>
      <c r="B222" s="32" t="inlineStr">
        <is>
          <t>00118804</t>
        </is>
      </c>
      <c r="C222" s="32" t="inlineStr">
        <is>
          <t>동진쎄미켐</t>
        </is>
      </c>
      <c r="D222" s="32" t="inlineStr">
        <is>
          <t>dongjin_semichem</t>
        </is>
      </c>
      <c r="E222" s="32" t="inlineStr">
        <is>
          <t>005290</t>
        </is>
      </c>
      <c r="F222" s="32" t="inlineStr">
        <is>
          <t>2021</t>
        </is>
      </c>
      <c r="G222" s="32" t="inlineStr">
        <is>
          <t>CFS</t>
        </is>
      </c>
      <c r="H222" s="32" t="inlineStr">
        <is>
          <t>SCE</t>
        </is>
      </c>
      <c r="I222" s="32" t="inlineStr">
        <is>
          <t>자본변동표</t>
        </is>
      </c>
      <c r="J222" s="32" t="inlineStr">
        <is>
          <t>-표준계정코드 미사용-</t>
        </is>
      </c>
      <c r="K222" s="32" t="inlineStr">
        <is>
          <t>종속기업주식취득</t>
        </is>
      </c>
      <c r="L222" s="32" t="inlineStr">
        <is>
          <t>자본 [member]|비지배지분 [member]</t>
        </is>
      </c>
      <c r="M222" s="32" t="inlineStr">
        <is>
          <t>제 49 기</t>
        </is>
      </c>
      <c r="N222" s="32" t="inlineStr">
        <is>
          <t>-2461346239.0</t>
        </is>
      </c>
      <c r="O222" s="32" t="inlineStr">
        <is>
          <t>1241999.0</t>
        </is>
      </c>
      <c r="P222" s="32" t="inlineStr">
        <is>
          <t>KRW</t>
        </is>
      </c>
      <c r="Q222" s="32" t="inlineStr">
        <is>
          <t>10</t>
        </is>
      </c>
    </row>
    <row r="223" ht="24" customHeight="1">
      <c r="A223" s="27" t="inlineStr">
        <is>
          <t>OpenDART_fnlttSinglAcntAll</t>
        </is>
      </c>
      <c r="B223" s="27" t="inlineStr">
        <is>
          <t>00118804</t>
        </is>
      </c>
      <c r="C223" s="27" t="inlineStr">
        <is>
          <t>동진쎄미켐</t>
        </is>
      </c>
      <c r="D223" s="27" t="inlineStr">
        <is>
          <t>dongjin_semichem</t>
        </is>
      </c>
      <c r="E223" s="27" t="inlineStr">
        <is>
          <t>005290</t>
        </is>
      </c>
      <c r="F223" s="27" t="inlineStr">
        <is>
          <t>2021</t>
        </is>
      </c>
      <c r="G223" s="27" t="inlineStr">
        <is>
          <t>CFS</t>
        </is>
      </c>
      <c r="H223" s="27" t="inlineStr">
        <is>
          <t>SCE</t>
        </is>
      </c>
      <c r="I223" s="27" t="inlineStr">
        <is>
          <t>자본변동표</t>
        </is>
      </c>
      <c r="J223" s="27" t="inlineStr">
        <is>
          <t>-표준계정코드 미사용-</t>
        </is>
      </c>
      <c r="K223" s="27" t="inlineStr">
        <is>
          <t>종속기업주식취득</t>
        </is>
      </c>
      <c r="L223" s="27" t="inlineStr">
        <is>
          <t>자본 [member]|지배기업의 소유주에게 귀속되는 자본 [member]</t>
        </is>
      </c>
      <c r="M223" s="27" t="inlineStr">
        <is>
          <t>제 49 기</t>
        </is>
      </c>
      <c r="N223" s="27" t="inlineStr">
        <is>
          <t>679037249.0</t>
        </is>
      </c>
      <c r="O223" s="27" t="inlineStr">
        <is>
          <t>1836364.0</t>
        </is>
      </c>
      <c r="P223" s="27" t="inlineStr">
        <is>
          <t>KRW</t>
        </is>
      </c>
      <c r="Q223" s="27" t="inlineStr">
        <is>
          <t>10</t>
        </is>
      </c>
    </row>
    <row r="224" ht="24" customHeight="1">
      <c r="A224" s="32" t="inlineStr">
        <is>
          <t>OpenDART_fnlttSinglAcntAll</t>
        </is>
      </c>
      <c r="B224" s="32" t="inlineStr">
        <is>
          <t>00118804</t>
        </is>
      </c>
      <c r="C224" s="32" t="inlineStr">
        <is>
          <t>동진쎄미켐</t>
        </is>
      </c>
      <c r="D224" s="32" t="inlineStr">
        <is>
          <t>dongjin_semichem</t>
        </is>
      </c>
      <c r="E224" s="32" t="inlineStr">
        <is>
          <t>005290</t>
        </is>
      </c>
      <c r="F224" s="32" t="inlineStr">
        <is>
          <t>2021</t>
        </is>
      </c>
      <c r="G224" s="32" t="inlineStr">
        <is>
          <t>CFS</t>
        </is>
      </c>
      <c r="H224" s="32" t="inlineStr">
        <is>
          <t>SCE</t>
        </is>
      </c>
      <c r="I224" s="32" t="inlineStr">
        <is>
          <t>자본변동표</t>
        </is>
      </c>
      <c r="J224" s="32" t="inlineStr">
        <is>
          <t>-표준계정코드 미사용-</t>
        </is>
      </c>
      <c r="K224" s="32" t="inlineStr">
        <is>
          <t>종속기업주식취득</t>
        </is>
      </c>
      <c r="L224" s="32" t="inlineStr">
        <is>
          <t>자본 [member]|지배기업의 소유주에게 귀속되는 자본 [member]|기타불입자본</t>
        </is>
      </c>
      <c r="M224" s="32" t="inlineStr">
        <is>
          <t>제 49 기</t>
        </is>
      </c>
      <c r="N224" s="32" t="inlineStr">
        <is>
          <t>679037249.0</t>
        </is>
      </c>
      <c r="O224" s="32" t="inlineStr">
        <is>
          <t>1836364.0</t>
        </is>
      </c>
      <c r="P224" s="32" t="inlineStr">
        <is>
          <t>KRW</t>
        </is>
      </c>
      <c r="Q224" s="32" t="inlineStr">
        <is>
          <t>10</t>
        </is>
      </c>
    </row>
    <row r="225" ht="24" customHeight="1">
      <c r="A225" s="27" t="inlineStr">
        <is>
          <t>OpenDART_fnlttSinglAcntAll</t>
        </is>
      </c>
      <c r="B225" s="27" t="inlineStr">
        <is>
          <t>00118804</t>
        </is>
      </c>
      <c r="C225" s="27" t="inlineStr">
        <is>
          <t>동진쎄미켐</t>
        </is>
      </c>
      <c r="D225" s="27" t="inlineStr">
        <is>
          <t>dongjin_semichem</t>
        </is>
      </c>
      <c r="E225" s="27" t="inlineStr">
        <is>
          <t>005290</t>
        </is>
      </c>
      <c r="F225" s="27" t="inlineStr">
        <is>
          <t>2021</t>
        </is>
      </c>
      <c r="G225" s="27" t="inlineStr">
        <is>
          <t>CFS</t>
        </is>
      </c>
      <c r="H225" s="27" t="inlineStr">
        <is>
          <t>SCE</t>
        </is>
      </c>
      <c r="I225" s="27" t="inlineStr">
        <is>
          <t>자본변동표</t>
        </is>
      </c>
      <c r="J225" s="27" t="inlineStr">
        <is>
          <t>-표준계정코드 미사용-</t>
        </is>
      </c>
      <c r="K225" s="27" t="inlineStr">
        <is>
          <t>종속기업주식취득</t>
        </is>
      </c>
      <c r="L225" s="27" t="inlineStr">
        <is>
          <t>자본 [member]|지배기업의 소유주에게 귀속되는 자본 [member]|기타자본구성요소 [member]</t>
        </is>
      </c>
      <c r="M225" s="27" t="inlineStr">
        <is>
          <t>제 49 기</t>
        </is>
      </c>
      <c r="N225" s="27" t="inlineStr">
        <is>
          <t>0.0</t>
        </is>
      </c>
      <c r="O225" s="27" t="inlineStr">
        <is>
          <t>0.0</t>
        </is>
      </c>
      <c r="P225" s="27" t="inlineStr">
        <is>
          <t>KRW</t>
        </is>
      </c>
      <c r="Q225" s="27" t="inlineStr">
        <is>
          <t>10</t>
        </is>
      </c>
    </row>
    <row r="226" ht="24" customHeight="1">
      <c r="A226" s="32" t="inlineStr">
        <is>
          <t>OpenDART_fnlttSinglAcntAll</t>
        </is>
      </c>
      <c r="B226" s="32" t="inlineStr">
        <is>
          <t>00118804</t>
        </is>
      </c>
      <c r="C226" s="32" t="inlineStr">
        <is>
          <t>동진쎄미켐</t>
        </is>
      </c>
      <c r="D226" s="32" t="inlineStr">
        <is>
          <t>dongjin_semichem</t>
        </is>
      </c>
      <c r="E226" s="32" t="inlineStr">
        <is>
          <t>005290</t>
        </is>
      </c>
      <c r="F226" s="32" t="inlineStr">
        <is>
          <t>2021</t>
        </is>
      </c>
      <c r="G226" s="32" t="inlineStr">
        <is>
          <t>CFS</t>
        </is>
      </c>
      <c r="H226" s="32" t="inlineStr">
        <is>
          <t>SCE</t>
        </is>
      </c>
      <c r="I226" s="32" t="inlineStr">
        <is>
          <t>자본변동표</t>
        </is>
      </c>
      <c r="J226" s="32" t="inlineStr">
        <is>
          <t>-표준계정코드 미사용-</t>
        </is>
      </c>
      <c r="K226" s="32" t="inlineStr">
        <is>
          <t>종속기업주식취득</t>
        </is>
      </c>
      <c r="L226" s="32" t="inlineStr">
        <is>
          <t>자본 [member]|지배기업의 소유주에게 귀속되는 자본 [member]|이익잉여금 [member]</t>
        </is>
      </c>
      <c r="M226" s="32" t="inlineStr">
        <is>
          <t>제 49 기</t>
        </is>
      </c>
      <c r="N226" s="32" t="inlineStr">
        <is>
          <t>0.0</t>
        </is>
      </c>
      <c r="O226" s="32" t="inlineStr">
        <is>
          <t>0.0</t>
        </is>
      </c>
      <c r="P226" s="32" t="inlineStr">
        <is>
          <t>KRW</t>
        </is>
      </c>
      <c r="Q226" s="32" t="inlineStr">
        <is>
          <t>10</t>
        </is>
      </c>
    </row>
    <row r="227" ht="24" customHeight="1">
      <c r="A227" s="27" t="inlineStr">
        <is>
          <t>OpenDART_fnlttSinglAcntAll</t>
        </is>
      </c>
      <c r="B227" s="27" t="inlineStr">
        <is>
          <t>00118804</t>
        </is>
      </c>
      <c r="C227" s="27" t="inlineStr">
        <is>
          <t>동진쎄미켐</t>
        </is>
      </c>
      <c r="D227" s="27" t="inlineStr">
        <is>
          <t>dongjin_semichem</t>
        </is>
      </c>
      <c r="E227" s="27" t="inlineStr">
        <is>
          <t>005290</t>
        </is>
      </c>
      <c r="F227" s="27" t="inlineStr">
        <is>
          <t>2021</t>
        </is>
      </c>
      <c r="G227" s="27" t="inlineStr">
        <is>
          <t>CFS</t>
        </is>
      </c>
      <c r="H227" s="27" t="inlineStr">
        <is>
          <t>SCE</t>
        </is>
      </c>
      <c r="I227" s="27" t="inlineStr">
        <is>
          <t>자본변동표</t>
        </is>
      </c>
      <c r="J227" s="27" t="inlineStr">
        <is>
          <t>-표준계정코드 미사용-</t>
        </is>
      </c>
      <c r="K227" s="27" t="inlineStr">
        <is>
          <t>종속기업주식취득</t>
        </is>
      </c>
      <c r="L227" s="27" t="inlineStr">
        <is>
          <t>자본 [member]|지배기업의 소유주에게 귀속되는 자본 [member]|자본금 [member]</t>
        </is>
      </c>
      <c r="M227" s="27" t="inlineStr">
        <is>
          <t>제 49 기</t>
        </is>
      </c>
      <c r="N227" s="27" t="inlineStr">
        <is>
          <t>0.0</t>
        </is>
      </c>
      <c r="O227" s="27" t="inlineStr">
        <is>
          <t>0.0</t>
        </is>
      </c>
      <c r="P227" s="27" t="inlineStr">
        <is>
          <t>KRW</t>
        </is>
      </c>
      <c r="Q227" s="27" t="inlineStr">
        <is>
          <t>10</t>
        </is>
      </c>
    </row>
    <row r="228" ht="24" customHeight="1">
      <c r="A228" s="32" t="inlineStr">
        <is>
          <t>OpenDART_fnlttSinglAcntAll</t>
        </is>
      </c>
      <c r="B228" s="32" t="inlineStr">
        <is>
          <t>00118804</t>
        </is>
      </c>
      <c r="C228" s="32" t="inlineStr">
        <is>
          <t>동진쎄미켐</t>
        </is>
      </c>
      <c r="D228" s="32" t="inlineStr">
        <is>
          <t>dongjin_semichem</t>
        </is>
      </c>
      <c r="E228" s="32" t="inlineStr">
        <is>
          <t>005290</t>
        </is>
      </c>
      <c r="F228" s="32" t="inlineStr">
        <is>
          <t>2021</t>
        </is>
      </c>
      <c r="G228" s="32" t="inlineStr">
        <is>
          <t>CFS</t>
        </is>
      </c>
      <c r="H228" s="32" t="inlineStr">
        <is>
          <t>SCE</t>
        </is>
      </c>
      <c r="I228" s="32" t="inlineStr">
        <is>
          <t>자본변동표</t>
        </is>
      </c>
      <c r="J228" s="32" t="inlineStr">
        <is>
          <t>ifrs-full_IssueOfEquity</t>
        </is>
      </c>
      <c r="K228" s="32" t="inlineStr">
        <is>
          <t>유상증자</t>
        </is>
      </c>
      <c r="L228" s="32" t="inlineStr">
        <is>
          <t>연결재무제표 [member]</t>
        </is>
      </c>
      <c r="M228" s="32" t="inlineStr">
        <is>
          <t>제 49 기</t>
        </is>
      </c>
      <c r="N228" s="32" t="inlineStr">
        <is>
          <t>6074200000.0</t>
        </is>
      </c>
      <c r="O228" s="32" t="inlineStr">
        <is>
          <t>211130247.0</t>
        </is>
      </c>
      <c r="P228" s="32" t="inlineStr">
        <is>
          <t>KRW</t>
        </is>
      </c>
      <c r="Q228" s="32" t="inlineStr">
        <is>
          <t>11</t>
        </is>
      </c>
    </row>
    <row r="229" ht="24" customHeight="1">
      <c r="A229" s="27" t="inlineStr">
        <is>
          <t>OpenDART_fnlttSinglAcntAll</t>
        </is>
      </c>
      <c r="B229" s="27" t="inlineStr">
        <is>
          <t>00118804</t>
        </is>
      </c>
      <c r="C229" s="27" t="inlineStr">
        <is>
          <t>동진쎄미켐</t>
        </is>
      </c>
      <c r="D229" s="27" t="inlineStr">
        <is>
          <t>dongjin_semichem</t>
        </is>
      </c>
      <c r="E229" s="27" t="inlineStr">
        <is>
          <t>005290</t>
        </is>
      </c>
      <c r="F229" s="27" t="inlineStr">
        <is>
          <t>2021</t>
        </is>
      </c>
      <c r="G229" s="27" t="inlineStr">
        <is>
          <t>CFS</t>
        </is>
      </c>
      <c r="H229" s="27" t="inlineStr">
        <is>
          <t>SCE</t>
        </is>
      </c>
      <c r="I229" s="27" t="inlineStr">
        <is>
          <t>자본변동표</t>
        </is>
      </c>
      <c r="J229" s="27" t="inlineStr">
        <is>
          <t>ifrs-full_IssueOfEquity</t>
        </is>
      </c>
      <c r="K229" s="27" t="inlineStr">
        <is>
          <t>유상증자</t>
        </is>
      </c>
      <c r="L229" s="27" t="inlineStr">
        <is>
          <t>자본 [member]|비지배지분 [member]</t>
        </is>
      </c>
      <c r="M229" s="27" t="inlineStr">
        <is>
          <t>제 49 기</t>
        </is>
      </c>
      <c r="N229" s="27" t="inlineStr">
        <is>
          <t>6074200000.0</t>
        </is>
      </c>
      <c r="O229" s="27" t="inlineStr">
        <is>
          <t>211130247.0</t>
        </is>
      </c>
      <c r="P229" s="27" t="inlineStr">
        <is>
          <t>KRW</t>
        </is>
      </c>
      <c r="Q229" s="27" t="inlineStr">
        <is>
          <t>11</t>
        </is>
      </c>
    </row>
    <row r="230" ht="24" customHeight="1">
      <c r="A230" s="32" t="inlineStr">
        <is>
          <t>OpenDART_fnlttSinglAcntAll</t>
        </is>
      </c>
      <c r="B230" s="32" t="inlineStr">
        <is>
          <t>00118804</t>
        </is>
      </c>
      <c r="C230" s="32" t="inlineStr">
        <is>
          <t>동진쎄미켐</t>
        </is>
      </c>
      <c r="D230" s="32" t="inlineStr">
        <is>
          <t>dongjin_semichem</t>
        </is>
      </c>
      <c r="E230" s="32" t="inlineStr">
        <is>
          <t>005290</t>
        </is>
      </c>
      <c r="F230" s="32" t="inlineStr">
        <is>
          <t>2021</t>
        </is>
      </c>
      <c r="G230" s="32" t="inlineStr">
        <is>
          <t>CFS</t>
        </is>
      </c>
      <c r="H230" s="32" t="inlineStr">
        <is>
          <t>SCE</t>
        </is>
      </c>
      <c r="I230" s="32" t="inlineStr">
        <is>
          <t>자본변동표</t>
        </is>
      </c>
      <c r="J230" s="32" t="inlineStr">
        <is>
          <t>ifrs-full_IssueOfEquity</t>
        </is>
      </c>
      <c r="K230" s="32" t="inlineStr">
        <is>
          <t>유상증자</t>
        </is>
      </c>
      <c r="L230" s="32" t="inlineStr">
        <is>
          <t>자본 [member]|지배기업의 소유주에게 귀속되는 자본 [member]</t>
        </is>
      </c>
      <c r="M230" s="32" t="inlineStr">
        <is>
          <t>제 49 기</t>
        </is>
      </c>
      <c r="N230" s="32" t="inlineStr">
        <is>
          <t>0.0</t>
        </is>
      </c>
      <c r="O230" s="32" t="inlineStr">
        <is>
          <t>0.0</t>
        </is>
      </c>
      <c r="P230" s="32" t="inlineStr">
        <is>
          <t>KRW</t>
        </is>
      </c>
      <c r="Q230" s="32" t="inlineStr">
        <is>
          <t>11</t>
        </is>
      </c>
    </row>
    <row r="231" ht="24" customHeight="1">
      <c r="A231" s="27" t="inlineStr">
        <is>
          <t>OpenDART_fnlttSinglAcntAll</t>
        </is>
      </c>
      <c r="B231" s="27" t="inlineStr">
        <is>
          <t>00118804</t>
        </is>
      </c>
      <c r="C231" s="27" t="inlineStr">
        <is>
          <t>동진쎄미켐</t>
        </is>
      </c>
      <c r="D231" s="27" t="inlineStr">
        <is>
          <t>dongjin_semichem</t>
        </is>
      </c>
      <c r="E231" s="27" t="inlineStr">
        <is>
          <t>005290</t>
        </is>
      </c>
      <c r="F231" s="27" t="inlineStr">
        <is>
          <t>2021</t>
        </is>
      </c>
      <c r="G231" s="27" t="inlineStr">
        <is>
          <t>CFS</t>
        </is>
      </c>
      <c r="H231" s="27" t="inlineStr">
        <is>
          <t>SCE</t>
        </is>
      </c>
      <c r="I231" s="27" t="inlineStr">
        <is>
          <t>자본변동표</t>
        </is>
      </c>
      <c r="J231" s="27" t="inlineStr">
        <is>
          <t>ifrs-full_IssueOfEquity</t>
        </is>
      </c>
      <c r="K231" s="27" t="inlineStr">
        <is>
          <t>유상증자</t>
        </is>
      </c>
      <c r="L231" s="27" t="inlineStr">
        <is>
          <t>자본 [member]|지배기업의 소유주에게 귀속되는 자본 [member]|기타불입자본</t>
        </is>
      </c>
      <c r="M231" s="27" t="inlineStr">
        <is>
          <t>제 49 기</t>
        </is>
      </c>
      <c r="N231" s="27" t="inlineStr">
        <is>
          <t>0.0</t>
        </is>
      </c>
      <c r="O231" s="27" t="inlineStr">
        <is>
          <t>0.0</t>
        </is>
      </c>
      <c r="P231" s="27" t="inlineStr">
        <is>
          <t>KRW</t>
        </is>
      </c>
      <c r="Q231" s="27" t="inlineStr">
        <is>
          <t>11</t>
        </is>
      </c>
    </row>
    <row r="232" ht="24" customHeight="1">
      <c r="A232" s="32" t="inlineStr">
        <is>
          <t>OpenDART_fnlttSinglAcntAll</t>
        </is>
      </c>
      <c r="B232" s="32" t="inlineStr">
        <is>
          <t>00118804</t>
        </is>
      </c>
      <c r="C232" s="32" t="inlineStr">
        <is>
          <t>동진쎄미켐</t>
        </is>
      </c>
      <c r="D232" s="32" t="inlineStr">
        <is>
          <t>dongjin_semichem</t>
        </is>
      </c>
      <c r="E232" s="32" t="inlineStr">
        <is>
          <t>005290</t>
        </is>
      </c>
      <c r="F232" s="32" t="inlineStr">
        <is>
          <t>2021</t>
        </is>
      </c>
      <c r="G232" s="32" t="inlineStr">
        <is>
          <t>CFS</t>
        </is>
      </c>
      <c r="H232" s="32" t="inlineStr">
        <is>
          <t>SCE</t>
        </is>
      </c>
      <c r="I232" s="32" t="inlineStr">
        <is>
          <t>자본변동표</t>
        </is>
      </c>
      <c r="J232" s="32" t="inlineStr">
        <is>
          <t>ifrs-full_IssueOfEquity</t>
        </is>
      </c>
      <c r="K232" s="32" t="inlineStr">
        <is>
          <t>유상증자</t>
        </is>
      </c>
      <c r="L232" s="32" t="inlineStr">
        <is>
          <t>자본 [member]|지배기업의 소유주에게 귀속되는 자본 [member]|기타자본구성요소 [member]</t>
        </is>
      </c>
      <c r="M232" s="32" t="inlineStr">
        <is>
          <t>제 49 기</t>
        </is>
      </c>
      <c r="N232" s="32" t="inlineStr">
        <is>
          <t>0.0</t>
        </is>
      </c>
      <c r="O232" s="32" t="inlineStr">
        <is>
          <t>0.0</t>
        </is>
      </c>
      <c r="P232" s="32" t="inlineStr">
        <is>
          <t>KRW</t>
        </is>
      </c>
      <c r="Q232" s="32" t="inlineStr">
        <is>
          <t>11</t>
        </is>
      </c>
    </row>
    <row r="233" ht="24" customHeight="1">
      <c r="A233" s="27" t="inlineStr">
        <is>
          <t>OpenDART_fnlttSinglAcntAll</t>
        </is>
      </c>
      <c r="B233" s="27" t="inlineStr">
        <is>
          <t>00118804</t>
        </is>
      </c>
      <c r="C233" s="27" t="inlineStr">
        <is>
          <t>동진쎄미켐</t>
        </is>
      </c>
      <c r="D233" s="27" t="inlineStr">
        <is>
          <t>dongjin_semichem</t>
        </is>
      </c>
      <c r="E233" s="27" t="inlineStr">
        <is>
          <t>005290</t>
        </is>
      </c>
      <c r="F233" s="27" t="inlineStr">
        <is>
          <t>2021</t>
        </is>
      </c>
      <c r="G233" s="27" t="inlineStr">
        <is>
          <t>CFS</t>
        </is>
      </c>
      <c r="H233" s="27" t="inlineStr">
        <is>
          <t>SCE</t>
        </is>
      </c>
      <c r="I233" s="27" t="inlineStr">
        <is>
          <t>자본변동표</t>
        </is>
      </c>
      <c r="J233" s="27" t="inlineStr">
        <is>
          <t>ifrs-full_IssueOfEquity</t>
        </is>
      </c>
      <c r="K233" s="27" t="inlineStr">
        <is>
          <t>유상증자</t>
        </is>
      </c>
      <c r="L233" s="27" t="inlineStr">
        <is>
          <t>자본 [member]|지배기업의 소유주에게 귀속되는 자본 [member]|이익잉여금 [member]</t>
        </is>
      </c>
      <c r="M233" s="27" t="inlineStr">
        <is>
          <t>제 49 기</t>
        </is>
      </c>
      <c r="N233" s="27" t="inlineStr">
        <is>
          <t>0.0</t>
        </is>
      </c>
      <c r="O233" s="27" t="inlineStr">
        <is>
          <t>0.0</t>
        </is>
      </c>
      <c r="P233" s="27" t="inlineStr">
        <is>
          <t>KRW</t>
        </is>
      </c>
      <c r="Q233" s="27" t="inlineStr">
        <is>
          <t>11</t>
        </is>
      </c>
    </row>
    <row r="234" ht="24" customHeight="1">
      <c r="A234" s="32" t="inlineStr">
        <is>
          <t>OpenDART_fnlttSinglAcntAll</t>
        </is>
      </c>
      <c r="B234" s="32" t="inlineStr">
        <is>
          <t>00118804</t>
        </is>
      </c>
      <c r="C234" s="32" t="inlineStr">
        <is>
          <t>동진쎄미켐</t>
        </is>
      </c>
      <c r="D234" s="32" t="inlineStr">
        <is>
          <t>dongjin_semichem</t>
        </is>
      </c>
      <c r="E234" s="32" t="inlineStr">
        <is>
          <t>005290</t>
        </is>
      </c>
      <c r="F234" s="32" t="inlineStr">
        <is>
          <t>2021</t>
        </is>
      </c>
      <c r="G234" s="32" t="inlineStr">
        <is>
          <t>CFS</t>
        </is>
      </c>
      <c r="H234" s="32" t="inlineStr">
        <is>
          <t>SCE</t>
        </is>
      </c>
      <c r="I234" s="32" t="inlineStr">
        <is>
          <t>자본변동표</t>
        </is>
      </c>
      <c r="J234" s="32" t="inlineStr">
        <is>
          <t>ifrs-full_IssueOfEquity</t>
        </is>
      </c>
      <c r="K234" s="32" t="inlineStr">
        <is>
          <t>유상증자</t>
        </is>
      </c>
      <c r="L234" s="32" t="inlineStr">
        <is>
          <t>자본 [member]|지배기업의 소유주에게 귀속되는 자본 [member]|자본금 [member]</t>
        </is>
      </c>
      <c r="M234" s="32" t="inlineStr">
        <is>
          <t>제 49 기</t>
        </is>
      </c>
      <c r="N234" s="32" t="inlineStr">
        <is>
          <t>0.0</t>
        </is>
      </c>
      <c r="O234" s="32" t="inlineStr">
        <is>
          <t>0.0</t>
        </is>
      </c>
      <c r="P234" s="32" t="inlineStr">
        <is>
          <t>KRW</t>
        </is>
      </c>
      <c r="Q234" s="32" t="inlineStr">
        <is>
          <t>11</t>
        </is>
      </c>
    </row>
    <row r="235" ht="24" customHeight="1">
      <c r="A235" s="27" t="inlineStr">
        <is>
          <t>OpenDART_fnlttSinglAcntAll</t>
        </is>
      </c>
      <c r="B235" s="27" t="inlineStr">
        <is>
          <t>00118804</t>
        </is>
      </c>
      <c r="C235" s="27" t="inlineStr">
        <is>
          <t>동진쎄미켐</t>
        </is>
      </c>
      <c r="D235" s="27" t="inlineStr">
        <is>
          <t>dongjin_semichem</t>
        </is>
      </c>
      <c r="E235" s="27" t="inlineStr">
        <is>
          <t>005290</t>
        </is>
      </c>
      <c r="F235" s="27" t="inlineStr">
        <is>
          <t>2021</t>
        </is>
      </c>
      <c r="G235" s="27" t="inlineStr">
        <is>
          <t>CFS</t>
        </is>
      </c>
      <c r="H235" s="27" t="inlineStr">
        <is>
          <t>SCE</t>
        </is>
      </c>
      <c r="I235" s="27" t="inlineStr">
        <is>
          <t>자본변동표</t>
        </is>
      </c>
      <c r="J235" s="27" t="inlineStr">
        <is>
          <t>ifrs-full_Equity</t>
        </is>
      </c>
      <c r="K235" s="27" t="inlineStr">
        <is>
          <t>기말자본</t>
        </is>
      </c>
      <c r="L235" s="27" t="inlineStr">
        <is>
          <t>연결재무제표 [member]</t>
        </is>
      </c>
      <c r="M235" s="27" t="inlineStr">
        <is>
          <t>제 49 기</t>
        </is>
      </c>
      <c r="N235" s="27" t="inlineStr">
        <is>
          <t>561033499955.0</t>
        </is>
      </c>
      <c r="O235" s="27" t="inlineStr">
        <is>
          <t>438008274772.0</t>
        </is>
      </c>
      <c r="P235" s="27" t="inlineStr">
        <is>
          <t>KRW</t>
        </is>
      </c>
      <c r="Q235" s="27" t="inlineStr">
        <is>
          <t>12</t>
        </is>
      </c>
    </row>
    <row r="236" ht="24" customHeight="1">
      <c r="A236" s="32" t="inlineStr">
        <is>
          <t>OpenDART_fnlttSinglAcntAll</t>
        </is>
      </c>
      <c r="B236" s="32" t="inlineStr">
        <is>
          <t>00118804</t>
        </is>
      </c>
      <c r="C236" s="32" t="inlineStr">
        <is>
          <t>동진쎄미켐</t>
        </is>
      </c>
      <c r="D236" s="32" t="inlineStr">
        <is>
          <t>dongjin_semichem</t>
        </is>
      </c>
      <c r="E236" s="32" t="inlineStr">
        <is>
          <t>005290</t>
        </is>
      </c>
      <c r="F236" s="32" t="inlineStr">
        <is>
          <t>2021</t>
        </is>
      </c>
      <c r="G236" s="32" t="inlineStr">
        <is>
          <t>CFS</t>
        </is>
      </c>
      <c r="H236" s="32" t="inlineStr">
        <is>
          <t>SCE</t>
        </is>
      </c>
      <c r="I236" s="32" t="inlineStr">
        <is>
          <t>자본변동표</t>
        </is>
      </c>
      <c r="J236" s="32" t="inlineStr">
        <is>
          <t>ifrs-full_Equity</t>
        </is>
      </c>
      <c r="K236" s="32" t="inlineStr">
        <is>
          <t>기말자본</t>
        </is>
      </c>
      <c r="L236" s="32" t="inlineStr">
        <is>
          <t>자본 [member]|비지배지분 [member]</t>
        </is>
      </c>
      <c r="M236" s="32" t="inlineStr">
        <is>
          <t>제 49 기</t>
        </is>
      </c>
      <c r="N236" s="32" t="inlineStr">
        <is>
          <t>7585003685.0</t>
        </is>
      </c>
      <c r="O236" s="32" t="inlineStr">
        <is>
          <t>4239962016.0</t>
        </is>
      </c>
      <c r="P236" s="32" t="inlineStr">
        <is>
          <t>KRW</t>
        </is>
      </c>
      <c r="Q236" s="32" t="inlineStr">
        <is>
          <t>12</t>
        </is>
      </c>
    </row>
    <row r="237" ht="24" customHeight="1">
      <c r="A237" s="27" t="inlineStr">
        <is>
          <t>OpenDART_fnlttSinglAcntAll</t>
        </is>
      </c>
      <c r="B237" s="27" t="inlineStr">
        <is>
          <t>00118804</t>
        </is>
      </c>
      <c r="C237" s="27" t="inlineStr">
        <is>
          <t>동진쎄미켐</t>
        </is>
      </c>
      <c r="D237" s="27" t="inlineStr">
        <is>
          <t>dongjin_semichem</t>
        </is>
      </c>
      <c r="E237" s="27" t="inlineStr">
        <is>
          <t>005290</t>
        </is>
      </c>
      <c r="F237" s="27" t="inlineStr">
        <is>
          <t>2021</t>
        </is>
      </c>
      <c r="G237" s="27" t="inlineStr">
        <is>
          <t>CFS</t>
        </is>
      </c>
      <c r="H237" s="27" t="inlineStr">
        <is>
          <t>SCE</t>
        </is>
      </c>
      <c r="I237" s="27" t="inlineStr">
        <is>
          <t>자본변동표</t>
        </is>
      </c>
      <c r="J237" s="27" t="inlineStr">
        <is>
          <t>ifrs-full_Equity</t>
        </is>
      </c>
      <c r="K237" s="27" t="inlineStr">
        <is>
          <t>기말자본</t>
        </is>
      </c>
      <c r="L237" s="27" t="inlineStr">
        <is>
          <t>자본 [member]|지배기업의 소유주에게 귀속되는 자본 [member]</t>
        </is>
      </c>
      <c r="M237" s="27" t="inlineStr">
        <is>
          <t>제 49 기</t>
        </is>
      </c>
      <c r="N237" s="27" t="inlineStr">
        <is>
          <t>553448496270.0</t>
        </is>
      </c>
      <c r="O237" s="27" t="inlineStr">
        <is>
          <t>433768312756.0</t>
        </is>
      </c>
      <c r="P237" s="27" t="inlineStr">
        <is>
          <t>KRW</t>
        </is>
      </c>
      <c r="Q237" s="27" t="inlineStr">
        <is>
          <t>12</t>
        </is>
      </c>
    </row>
    <row r="238" ht="24" customHeight="1">
      <c r="A238" s="32" t="inlineStr">
        <is>
          <t>OpenDART_fnlttSinglAcntAll</t>
        </is>
      </c>
      <c r="B238" s="32" t="inlineStr">
        <is>
          <t>00118804</t>
        </is>
      </c>
      <c r="C238" s="32" t="inlineStr">
        <is>
          <t>동진쎄미켐</t>
        </is>
      </c>
      <c r="D238" s="32" t="inlineStr">
        <is>
          <t>dongjin_semichem</t>
        </is>
      </c>
      <c r="E238" s="32" t="inlineStr">
        <is>
          <t>005290</t>
        </is>
      </c>
      <c r="F238" s="32" t="inlineStr">
        <is>
          <t>2021</t>
        </is>
      </c>
      <c r="G238" s="32" t="inlineStr">
        <is>
          <t>CFS</t>
        </is>
      </c>
      <c r="H238" s="32" t="inlineStr">
        <is>
          <t>SCE</t>
        </is>
      </c>
      <c r="I238" s="32" t="inlineStr">
        <is>
          <t>자본변동표</t>
        </is>
      </c>
      <c r="J238" s="32" t="inlineStr">
        <is>
          <t>ifrs-full_Equity</t>
        </is>
      </c>
      <c r="K238" s="32" t="inlineStr">
        <is>
          <t>기말자본</t>
        </is>
      </c>
      <c r="L238" s="32" t="inlineStr">
        <is>
          <t>자본 [member]|지배기업의 소유주에게 귀속되는 자본 [member]|기타불입자본</t>
        </is>
      </c>
      <c r="M238" s="32" t="inlineStr">
        <is>
          <t>제 49 기</t>
        </is>
      </c>
      <c r="N238" s="32" t="inlineStr">
        <is>
          <t>122997090161.0</t>
        </is>
      </c>
      <c r="O238" s="32" t="inlineStr">
        <is>
          <t>122318052912.0</t>
        </is>
      </c>
      <c r="P238" s="32" t="inlineStr">
        <is>
          <t>KRW</t>
        </is>
      </c>
      <c r="Q238" s="32" t="inlineStr">
        <is>
          <t>12</t>
        </is>
      </c>
    </row>
    <row r="239" ht="24" customHeight="1">
      <c r="A239" s="27" t="inlineStr">
        <is>
          <t>OpenDART_fnlttSinglAcntAll</t>
        </is>
      </c>
      <c r="B239" s="27" t="inlineStr">
        <is>
          <t>00118804</t>
        </is>
      </c>
      <c r="C239" s="27" t="inlineStr">
        <is>
          <t>동진쎄미켐</t>
        </is>
      </c>
      <c r="D239" s="27" t="inlineStr">
        <is>
          <t>dongjin_semichem</t>
        </is>
      </c>
      <c r="E239" s="27" t="inlineStr">
        <is>
          <t>005290</t>
        </is>
      </c>
      <c r="F239" s="27" t="inlineStr">
        <is>
          <t>2021</t>
        </is>
      </c>
      <c r="G239" s="27" t="inlineStr">
        <is>
          <t>CFS</t>
        </is>
      </c>
      <c r="H239" s="27" t="inlineStr">
        <is>
          <t>SCE</t>
        </is>
      </c>
      <c r="I239" s="27" t="inlineStr">
        <is>
          <t>자본변동표</t>
        </is>
      </c>
      <c r="J239" s="27" t="inlineStr">
        <is>
          <t>ifrs-full_Equity</t>
        </is>
      </c>
      <c r="K239" s="27" t="inlineStr">
        <is>
          <t>기말자본</t>
        </is>
      </c>
      <c r="L239" s="27" t="inlineStr">
        <is>
          <t>자본 [member]|지배기업의 소유주에게 귀속되는 자본 [member]|기타자본구성요소 [member]</t>
        </is>
      </c>
      <c r="M239" s="27" t="inlineStr">
        <is>
          <t>제 49 기</t>
        </is>
      </c>
      <c r="N239" s="27" t="inlineStr">
        <is>
          <t>36880548974.0</t>
        </is>
      </c>
      <c r="O239" s="27" t="inlineStr">
        <is>
          <t>13313790086.0</t>
        </is>
      </c>
      <c r="P239" s="27" t="inlineStr">
        <is>
          <t>KRW</t>
        </is>
      </c>
      <c r="Q239" s="27" t="inlineStr">
        <is>
          <t>12</t>
        </is>
      </c>
    </row>
    <row r="240" ht="24" customHeight="1">
      <c r="A240" s="32" t="inlineStr">
        <is>
          <t>OpenDART_fnlttSinglAcntAll</t>
        </is>
      </c>
      <c r="B240" s="32" t="inlineStr">
        <is>
          <t>00118804</t>
        </is>
      </c>
      <c r="C240" s="32" t="inlineStr">
        <is>
          <t>동진쎄미켐</t>
        </is>
      </c>
      <c r="D240" s="32" t="inlineStr">
        <is>
          <t>dongjin_semichem</t>
        </is>
      </c>
      <c r="E240" s="32" t="inlineStr">
        <is>
          <t>005290</t>
        </is>
      </c>
      <c r="F240" s="32" t="inlineStr">
        <is>
          <t>2021</t>
        </is>
      </c>
      <c r="G240" s="32" t="inlineStr">
        <is>
          <t>CFS</t>
        </is>
      </c>
      <c r="H240" s="32" t="inlineStr">
        <is>
          <t>SCE</t>
        </is>
      </c>
      <c r="I240" s="32" t="inlineStr">
        <is>
          <t>자본변동표</t>
        </is>
      </c>
      <c r="J240" s="32" t="inlineStr">
        <is>
          <t>ifrs-full_Equity</t>
        </is>
      </c>
      <c r="K240" s="32" t="inlineStr">
        <is>
          <t>기말자본</t>
        </is>
      </c>
      <c r="L240" s="32" t="inlineStr">
        <is>
          <t>자본 [member]|지배기업의 소유주에게 귀속되는 자본 [member]|이익잉여금 [member]</t>
        </is>
      </c>
      <c r="M240" s="32" t="inlineStr">
        <is>
          <t>제 49 기</t>
        </is>
      </c>
      <c r="N240" s="32" t="inlineStr">
        <is>
          <t>367863610135.0</t>
        </is>
      </c>
      <c r="O240" s="32" t="inlineStr">
        <is>
          <t>272429222758.0</t>
        </is>
      </c>
      <c r="P240" s="32" t="inlineStr">
        <is>
          <t>KRW</t>
        </is>
      </c>
      <c r="Q240" s="32" t="inlineStr">
        <is>
          <t>12</t>
        </is>
      </c>
    </row>
    <row r="241" ht="24" customHeight="1">
      <c r="A241" s="27" t="inlineStr">
        <is>
          <t>OpenDART_fnlttSinglAcntAll</t>
        </is>
      </c>
      <c r="B241" s="27" t="inlineStr">
        <is>
          <t>00118804</t>
        </is>
      </c>
      <c r="C241" s="27" t="inlineStr">
        <is>
          <t>동진쎄미켐</t>
        </is>
      </c>
      <c r="D241" s="27" t="inlineStr">
        <is>
          <t>dongjin_semichem</t>
        </is>
      </c>
      <c r="E241" s="27" t="inlineStr">
        <is>
          <t>005290</t>
        </is>
      </c>
      <c r="F241" s="27" t="inlineStr">
        <is>
          <t>2021</t>
        </is>
      </c>
      <c r="G241" s="27" t="inlineStr">
        <is>
          <t>CFS</t>
        </is>
      </c>
      <c r="H241" s="27" t="inlineStr">
        <is>
          <t>SCE</t>
        </is>
      </c>
      <c r="I241" s="27" t="inlineStr">
        <is>
          <t>자본변동표</t>
        </is>
      </c>
      <c r="J241" s="27" t="inlineStr">
        <is>
          <t>ifrs-full_Equity</t>
        </is>
      </c>
      <c r="K241" s="27" t="inlineStr">
        <is>
          <t>기말자본</t>
        </is>
      </c>
      <c r="L241" s="27" t="inlineStr">
        <is>
          <t>자본 [member]|지배기업의 소유주에게 귀속되는 자본 [member]|자본금 [member]</t>
        </is>
      </c>
      <c r="M241" s="27" t="inlineStr">
        <is>
          <t>제 49 기</t>
        </is>
      </c>
      <c r="N241" s="27" t="inlineStr">
        <is>
          <t>25707247000.0</t>
        </is>
      </c>
      <c r="O241" s="27" t="inlineStr">
        <is>
          <t>25707247000.0</t>
        </is>
      </c>
      <c r="P241" s="27" t="inlineStr">
        <is>
          <t>KRW</t>
        </is>
      </c>
      <c r="Q241" s="27" t="inlineStr">
        <is>
          <t>12</t>
        </is>
      </c>
    </row>
    <row r="242" ht="24" customHeight="1">
      <c r="A242" s="32" t="inlineStr">
        <is>
          <t>OpenDART_fnlttSinglAcntAll</t>
        </is>
      </c>
      <c r="B242" s="32" t="inlineStr">
        <is>
          <t>00118804</t>
        </is>
      </c>
      <c r="C242" s="32" t="inlineStr">
        <is>
          <t>동진쎄미켐</t>
        </is>
      </c>
      <c r="D242" s="32" t="inlineStr">
        <is>
          <t>dongjin_semichem</t>
        </is>
      </c>
      <c r="E242" s="32" t="inlineStr">
        <is>
          <t>005290</t>
        </is>
      </c>
      <c r="F242" s="32" t="inlineStr">
        <is>
          <t>2022</t>
        </is>
      </c>
      <c r="G242" s="32" t="inlineStr">
        <is>
          <t>CFS</t>
        </is>
      </c>
      <c r="H242" s="32" t="inlineStr">
        <is>
          <t>BS</t>
        </is>
      </c>
      <c r="I242" s="32" t="inlineStr">
        <is>
          <t>재무상태표</t>
        </is>
      </c>
      <c r="J242" s="32" t="inlineStr">
        <is>
          <t>ifrs-full_CurrentAssets</t>
        </is>
      </c>
      <c r="K242" s="32" t="inlineStr">
        <is>
          <t>유동자산</t>
        </is>
      </c>
      <c r="L242" s="32" t="inlineStr">
        <is>
          <t>-</t>
        </is>
      </c>
      <c r="M242" s="32" t="inlineStr">
        <is>
          <t>제 50 기</t>
        </is>
      </c>
      <c r="N242" s="32" t="inlineStr">
        <is>
          <t>826408327642.0</t>
        </is>
      </c>
      <c r="O242" s="32" t="inlineStr">
        <is>
          <t>690201851352.0</t>
        </is>
      </c>
      <c r="P242" s="32" t="inlineStr">
        <is>
          <t>KRW</t>
        </is>
      </c>
      <c r="Q242" s="32" t="inlineStr">
        <is>
          <t>1</t>
        </is>
      </c>
    </row>
    <row r="243" ht="24" customHeight="1">
      <c r="A243" s="27" t="inlineStr">
        <is>
          <t>OpenDART_fnlttSinglAcntAll</t>
        </is>
      </c>
      <c r="B243" s="27" t="inlineStr">
        <is>
          <t>00118804</t>
        </is>
      </c>
      <c r="C243" s="27" t="inlineStr">
        <is>
          <t>동진쎄미켐</t>
        </is>
      </c>
      <c r="D243" s="27" t="inlineStr">
        <is>
          <t>dongjin_semichem</t>
        </is>
      </c>
      <c r="E243" s="27" t="inlineStr">
        <is>
          <t>005290</t>
        </is>
      </c>
      <c r="F243" s="27" t="inlineStr">
        <is>
          <t>2022</t>
        </is>
      </c>
      <c r="G243" s="27" t="inlineStr">
        <is>
          <t>CFS</t>
        </is>
      </c>
      <c r="H243" s="27" t="inlineStr">
        <is>
          <t>BS</t>
        </is>
      </c>
      <c r="I243" s="27" t="inlineStr">
        <is>
          <t>재무상태표</t>
        </is>
      </c>
      <c r="J243" s="27" t="inlineStr">
        <is>
          <t>ifrs-full_CashAndCashEquivalents</t>
        </is>
      </c>
      <c r="K243" s="27" t="inlineStr">
        <is>
          <t>현금및현금성자산</t>
        </is>
      </c>
      <c r="L243" s="27" t="inlineStr">
        <is>
          <t>-</t>
        </is>
      </c>
      <c r="M243" s="27" t="inlineStr">
        <is>
          <t>제 50 기</t>
        </is>
      </c>
      <c r="N243" s="27" t="inlineStr">
        <is>
          <t>280458844748.0</t>
        </is>
      </c>
      <c r="O243" s="27" t="inlineStr">
        <is>
          <t>231211989608.0</t>
        </is>
      </c>
      <c r="P243" s="27" t="inlineStr">
        <is>
          <t>KRW</t>
        </is>
      </c>
      <c r="Q243" s="27" t="inlineStr">
        <is>
          <t>2</t>
        </is>
      </c>
    </row>
    <row r="244" ht="24" customHeight="1">
      <c r="A244" s="32" t="inlineStr">
        <is>
          <t>OpenDART_fnlttSinglAcntAll</t>
        </is>
      </c>
      <c r="B244" s="32" t="inlineStr">
        <is>
          <t>00118804</t>
        </is>
      </c>
      <c r="C244" s="32" t="inlineStr">
        <is>
          <t>동진쎄미켐</t>
        </is>
      </c>
      <c r="D244" s="32" t="inlineStr">
        <is>
          <t>dongjin_semichem</t>
        </is>
      </c>
      <c r="E244" s="32" t="inlineStr">
        <is>
          <t>005290</t>
        </is>
      </c>
      <c r="F244" s="32" t="inlineStr">
        <is>
          <t>2022</t>
        </is>
      </c>
      <c r="G244" s="32" t="inlineStr">
        <is>
          <t>CFS</t>
        </is>
      </c>
      <c r="H244" s="32" t="inlineStr">
        <is>
          <t>BS</t>
        </is>
      </c>
      <c r="I244" s="32" t="inlineStr">
        <is>
          <t>재무상태표</t>
        </is>
      </c>
      <c r="J244" s="32" t="inlineStr">
        <is>
          <t>dart_ShortTermDepositsNotClassifiedAsCashEquivalents</t>
        </is>
      </c>
      <c r="K244" s="32" t="inlineStr">
        <is>
          <t>단기금융자산</t>
        </is>
      </c>
      <c r="L244" s="32" t="inlineStr">
        <is>
          <t>-</t>
        </is>
      </c>
      <c r="M244" s="32" t="inlineStr">
        <is>
          <t>제 50 기</t>
        </is>
      </c>
      <c r="N244" s="32" t="inlineStr">
        <is>
          <t>109388390000.0</t>
        </is>
      </c>
      <c r="O244" s="32" t="inlineStr">
        <is>
          <t>55405862500.0</t>
        </is>
      </c>
      <c r="P244" s="32" t="inlineStr">
        <is>
          <t>KRW</t>
        </is>
      </c>
      <c r="Q244" s="32" t="inlineStr">
        <is>
          <t>3</t>
        </is>
      </c>
    </row>
    <row r="245" ht="24" customHeight="1">
      <c r="A245" s="27" t="inlineStr">
        <is>
          <t>OpenDART_fnlttSinglAcntAll</t>
        </is>
      </c>
      <c r="B245" s="27" t="inlineStr">
        <is>
          <t>00118804</t>
        </is>
      </c>
      <c r="C245" s="27" t="inlineStr">
        <is>
          <t>동진쎄미켐</t>
        </is>
      </c>
      <c r="D245" s="27" t="inlineStr">
        <is>
          <t>dongjin_semichem</t>
        </is>
      </c>
      <c r="E245" s="27" t="inlineStr">
        <is>
          <t>005290</t>
        </is>
      </c>
      <c r="F245" s="27" t="inlineStr">
        <is>
          <t>2022</t>
        </is>
      </c>
      <c r="G245" s="27" t="inlineStr">
        <is>
          <t>CFS</t>
        </is>
      </c>
      <c r="H245" s="27" t="inlineStr">
        <is>
          <t>BS</t>
        </is>
      </c>
      <c r="I245" s="27" t="inlineStr">
        <is>
          <t>재무상태표</t>
        </is>
      </c>
      <c r="J245" s="27" t="inlineStr">
        <is>
          <t>ifrs-full_CurrentTaxAssets</t>
        </is>
      </c>
      <c r="K245" s="27" t="inlineStr">
        <is>
          <t>당기법인세자산</t>
        </is>
      </c>
      <c r="L245" s="27" t="inlineStr">
        <is>
          <t>-</t>
        </is>
      </c>
      <c r="M245" s="27" t="inlineStr">
        <is>
          <t>제 50 기</t>
        </is>
      </c>
      <c r="N245" s="27" t="inlineStr">
        <is>
          <t>110454854.0</t>
        </is>
      </c>
      <c r="O245" s="27" t="inlineStr">
        <is>
          <t>64935621.0</t>
        </is>
      </c>
      <c r="P245" s="27" t="inlineStr">
        <is>
          <t>KRW</t>
        </is>
      </c>
      <c r="Q245" s="27" t="inlineStr">
        <is>
          <t>4</t>
        </is>
      </c>
    </row>
    <row r="246" ht="24" customHeight="1">
      <c r="A246" s="32" t="inlineStr">
        <is>
          <t>OpenDART_fnlttSinglAcntAll</t>
        </is>
      </c>
      <c r="B246" s="32" t="inlineStr">
        <is>
          <t>00118804</t>
        </is>
      </c>
      <c r="C246" s="32" t="inlineStr">
        <is>
          <t>동진쎄미켐</t>
        </is>
      </c>
      <c r="D246" s="32" t="inlineStr">
        <is>
          <t>dongjin_semichem</t>
        </is>
      </c>
      <c r="E246" s="32" t="inlineStr">
        <is>
          <t>005290</t>
        </is>
      </c>
      <c r="F246" s="32" t="inlineStr">
        <is>
          <t>2022</t>
        </is>
      </c>
      <c r="G246" s="32" t="inlineStr">
        <is>
          <t>CFS</t>
        </is>
      </c>
      <c r="H246" s="32" t="inlineStr">
        <is>
          <t>BS</t>
        </is>
      </c>
      <c r="I246" s="32" t="inlineStr">
        <is>
          <t>재무상태표</t>
        </is>
      </c>
      <c r="J246" s="32" t="inlineStr">
        <is>
          <t>ifrs-full_TradeAndOtherCurrentReceivables</t>
        </is>
      </c>
      <c r="K246" s="32" t="inlineStr">
        <is>
          <t>매출채권 및 기타채권</t>
        </is>
      </c>
      <c r="L246" s="32" t="inlineStr">
        <is>
          <t>-</t>
        </is>
      </c>
      <c r="M246" s="32" t="inlineStr">
        <is>
          <t>제 50 기</t>
        </is>
      </c>
      <c r="N246" s="32" t="inlineStr">
        <is>
          <t>212322985491.0</t>
        </is>
      </c>
      <c r="O246" s="32" t="inlineStr">
        <is>
          <t>220126400147.0</t>
        </is>
      </c>
      <c r="P246" s="32" t="inlineStr">
        <is>
          <t>KRW</t>
        </is>
      </c>
      <c r="Q246" s="32" t="inlineStr">
        <is>
          <t>5</t>
        </is>
      </c>
    </row>
    <row r="247" ht="24" customHeight="1">
      <c r="A247" s="27" t="inlineStr">
        <is>
          <t>OpenDART_fnlttSinglAcntAll</t>
        </is>
      </c>
      <c r="B247" s="27" t="inlineStr">
        <is>
          <t>00118804</t>
        </is>
      </c>
      <c r="C247" s="27" t="inlineStr">
        <is>
          <t>동진쎄미켐</t>
        </is>
      </c>
      <c r="D247" s="27" t="inlineStr">
        <is>
          <t>dongjin_semichem</t>
        </is>
      </c>
      <c r="E247" s="27" t="inlineStr">
        <is>
          <t>005290</t>
        </is>
      </c>
      <c r="F247" s="27" t="inlineStr">
        <is>
          <t>2022</t>
        </is>
      </c>
      <c r="G247" s="27" t="inlineStr">
        <is>
          <t>CFS</t>
        </is>
      </c>
      <c r="H247" s="27" t="inlineStr">
        <is>
          <t>BS</t>
        </is>
      </c>
      <c r="I247" s="27" t="inlineStr">
        <is>
          <t>재무상태표</t>
        </is>
      </c>
      <c r="J247" s="27" t="inlineStr">
        <is>
          <t>ifrs-full_Inventories</t>
        </is>
      </c>
      <c r="K247" s="27" t="inlineStr">
        <is>
          <t>재고자산</t>
        </is>
      </c>
      <c r="L247" s="27" t="inlineStr">
        <is>
          <t>-</t>
        </is>
      </c>
      <c r="M247" s="27" t="inlineStr">
        <is>
          <t>제 50 기</t>
        </is>
      </c>
      <c r="N247" s="27" t="inlineStr">
        <is>
          <t>205293875457.0</t>
        </is>
      </c>
      <c r="O247" s="27" t="inlineStr">
        <is>
          <t>158457404722.0</t>
        </is>
      </c>
      <c r="P247" s="27" t="inlineStr">
        <is>
          <t>KRW</t>
        </is>
      </c>
      <c r="Q247" s="27" t="inlineStr">
        <is>
          <t>6</t>
        </is>
      </c>
    </row>
    <row r="248" ht="24" customHeight="1">
      <c r="A248" s="32" t="inlineStr">
        <is>
          <t>OpenDART_fnlttSinglAcntAll</t>
        </is>
      </c>
      <c r="B248" s="32" t="inlineStr">
        <is>
          <t>00118804</t>
        </is>
      </c>
      <c r="C248" s="32" t="inlineStr">
        <is>
          <t>동진쎄미켐</t>
        </is>
      </c>
      <c r="D248" s="32" t="inlineStr">
        <is>
          <t>dongjin_semichem</t>
        </is>
      </c>
      <c r="E248" s="32" t="inlineStr">
        <is>
          <t>005290</t>
        </is>
      </c>
      <c r="F248" s="32" t="inlineStr">
        <is>
          <t>2022</t>
        </is>
      </c>
      <c r="G248" s="32" t="inlineStr">
        <is>
          <t>CFS</t>
        </is>
      </c>
      <c r="H248" s="32" t="inlineStr">
        <is>
          <t>BS</t>
        </is>
      </c>
      <c r="I248" s="32" t="inlineStr">
        <is>
          <t>재무상태표</t>
        </is>
      </c>
      <c r="J248" s="32" t="inlineStr">
        <is>
          <t>-표준계정코드 미사용-</t>
        </is>
      </c>
      <c r="K248" s="32" t="inlineStr">
        <is>
          <t>매각예정유동자산</t>
        </is>
      </c>
      <c r="L248" s="32" t="inlineStr">
        <is>
          <t>-</t>
        </is>
      </c>
      <c r="M248" s="32" t="inlineStr">
        <is>
          <t>제 50 기</t>
        </is>
      </c>
      <c r="N248" s="32" t="inlineStr">
        <is>
          <t>0.0</t>
        </is>
      </c>
      <c r="O248" s="32" t="inlineStr">
        <is>
          <t>0.0</t>
        </is>
      </c>
      <c r="P248" s="32" t="inlineStr">
        <is>
          <t>KRW</t>
        </is>
      </c>
      <c r="Q248" s="32" t="inlineStr">
        <is>
          <t>7</t>
        </is>
      </c>
    </row>
    <row r="249" ht="24" customHeight="1">
      <c r="A249" s="27" t="inlineStr">
        <is>
          <t>OpenDART_fnlttSinglAcntAll</t>
        </is>
      </c>
      <c r="B249" s="27" t="inlineStr">
        <is>
          <t>00118804</t>
        </is>
      </c>
      <c r="C249" s="27" t="inlineStr">
        <is>
          <t>동진쎄미켐</t>
        </is>
      </c>
      <c r="D249" s="27" t="inlineStr">
        <is>
          <t>dongjin_semichem</t>
        </is>
      </c>
      <c r="E249" s="27" t="inlineStr">
        <is>
          <t>005290</t>
        </is>
      </c>
      <c r="F249" s="27" t="inlineStr">
        <is>
          <t>2022</t>
        </is>
      </c>
      <c r="G249" s="27" t="inlineStr">
        <is>
          <t>CFS</t>
        </is>
      </c>
      <c r="H249" s="27" t="inlineStr">
        <is>
          <t>BS</t>
        </is>
      </c>
      <c r="I249" s="27" t="inlineStr">
        <is>
          <t>재무상태표</t>
        </is>
      </c>
      <c r="J249" s="27" t="inlineStr">
        <is>
          <t>dart_OtherCurrentAssets</t>
        </is>
      </c>
      <c r="K249" s="27" t="inlineStr">
        <is>
          <t>기타유동자산</t>
        </is>
      </c>
      <c r="L249" s="27" t="inlineStr">
        <is>
          <t>-</t>
        </is>
      </c>
      <c r="M249" s="27" t="inlineStr">
        <is>
          <t>제 50 기</t>
        </is>
      </c>
      <c r="N249" s="27" t="inlineStr">
        <is>
          <t>18833777092.0</t>
        </is>
      </c>
      <c r="O249" s="27" t="inlineStr">
        <is>
          <t>24935258754.0</t>
        </is>
      </c>
      <c r="P249" s="27" t="inlineStr">
        <is>
          <t>KRW</t>
        </is>
      </c>
      <c r="Q249" s="27" t="inlineStr">
        <is>
          <t>8</t>
        </is>
      </c>
    </row>
    <row r="250" ht="24" customHeight="1">
      <c r="A250" s="32" t="inlineStr">
        <is>
          <t>OpenDART_fnlttSinglAcntAll</t>
        </is>
      </c>
      <c r="B250" s="32" t="inlineStr">
        <is>
          <t>00118804</t>
        </is>
      </c>
      <c r="C250" s="32" t="inlineStr">
        <is>
          <t>동진쎄미켐</t>
        </is>
      </c>
      <c r="D250" s="32" t="inlineStr">
        <is>
          <t>dongjin_semichem</t>
        </is>
      </c>
      <c r="E250" s="32" t="inlineStr">
        <is>
          <t>005290</t>
        </is>
      </c>
      <c r="F250" s="32" t="inlineStr">
        <is>
          <t>2022</t>
        </is>
      </c>
      <c r="G250" s="32" t="inlineStr">
        <is>
          <t>CFS</t>
        </is>
      </c>
      <c r="H250" s="32" t="inlineStr">
        <is>
          <t>BS</t>
        </is>
      </c>
      <c r="I250" s="32" t="inlineStr">
        <is>
          <t>재무상태표</t>
        </is>
      </c>
      <c r="J250" s="32" t="inlineStr">
        <is>
          <t>ifrs-full_NoncurrentAssets</t>
        </is>
      </c>
      <c r="K250" s="32" t="inlineStr">
        <is>
          <t>비유동자산</t>
        </is>
      </c>
      <c r="L250" s="32" t="inlineStr">
        <is>
          <t>-</t>
        </is>
      </c>
      <c r="M250" s="32" t="inlineStr">
        <is>
          <t>제 50 기</t>
        </is>
      </c>
      <c r="N250" s="32" t="inlineStr">
        <is>
          <t>547895202456.0</t>
        </is>
      </c>
      <c r="O250" s="32" t="inlineStr">
        <is>
          <t>495987292376.0</t>
        </is>
      </c>
      <c r="P250" s="32" t="inlineStr">
        <is>
          <t>KRW</t>
        </is>
      </c>
      <c r="Q250" s="32" t="inlineStr">
        <is>
          <t>9</t>
        </is>
      </c>
    </row>
    <row r="251" ht="24" customHeight="1">
      <c r="A251" s="27" t="inlineStr">
        <is>
          <t>OpenDART_fnlttSinglAcntAll</t>
        </is>
      </c>
      <c r="B251" s="27" t="inlineStr">
        <is>
          <t>00118804</t>
        </is>
      </c>
      <c r="C251" s="27" t="inlineStr">
        <is>
          <t>동진쎄미켐</t>
        </is>
      </c>
      <c r="D251" s="27" t="inlineStr">
        <is>
          <t>dongjin_semichem</t>
        </is>
      </c>
      <c r="E251" s="27" t="inlineStr">
        <is>
          <t>005290</t>
        </is>
      </c>
      <c r="F251" s="27" t="inlineStr">
        <is>
          <t>2022</t>
        </is>
      </c>
      <c r="G251" s="27" t="inlineStr">
        <is>
          <t>CFS</t>
        </is>
      </c>
      <c r="H251" s="27" t="inlineStr">
        <is>
          <t>BS</t>
        </is>
      </c>
      <c r="I251" s="27" t="inlineStr">
        <is>
          <t>재무상태표</t>
        </is>
      </c>
      <c r="J251" s="27" t="inlineStr">
        <is>
          <t>dart_LongTermDepositsNotClassifiedAsCashEquivalents</t>
        </is>
      </c>
      <c r="K251" s="27" t="inlineStr">
        <is>
          <t>장기금융자산</t>
        </is>
      </c>
      <c r="L251" s="27" t="inlineStr">
        <is>
          <t>-</t>
        </is>
      </c>
      <c r="M251" s="27" t="inlineStr">
        <is>
          <t>제 50 기</t>
        </is>
      </c>
      <c r="N251" s="27" t="inlineStr">
        <is>
          <t>528000000.0</t>
        </is>
      </c>
      <c r="O251" s="27" t="inlineStr">
        <is>
          <t>528000000.0</t>
        </is>
      </c>
      <c r="P251" s="27" t="inlineStr">
        <is>
          <t>KRW</t>
        </is>
      </c>
      <c r="Q251" s="27" t="inlineStr">
        <is>
          <t>10</t>
        </is>
      </c>
    </row>
    <row r="252" ht="24" customHeight="1">
      <c r="A252" s="32" t="inlineStr">
        <is>
          <t>OpenDART_fnlttSinglAcntAll</t>
        </is>
      </c>
      <c r="B252" s="32" t="inlineStr">
        <is>
          <t>00118804</t>
        </is>
      </c>
      <c r="C252" s="32" t="inlineStr">
        <is>
          <t>동진쎄미켐</t>
        </is>
      </c>
      <c r="D252" s="32" t="inlineStr">
        <is>
          <t>dongjin_semichem</t>
        </is>
      </c>
      <c r="E252" s="32" t="inlineStr">
        <is>
          <t>005290</t>
        </is>
      </c>
      <c r="F252" s="32" t="inlineStr">
        <is>
          <t>2022</t>
        </is>
      </c>
      <c r="G252" s="32" t="inlineStr">
        <is>
          <t>CFS</t>
        </is>
      </c>
      <c r="H252" s="32" t="inlineStr">
        <is>
          <t>BS</t>
        </is>
      </c>
      <c r="I252" s="32" t="inlineStr">
        <is>
          <t>재무상태표</t>
        </is>
      </c>
      <c r="J252" s="32" t="inlineStr">
        <is>
          <t>ifrs-full_OtherNoncurrentFinancialAssets</t>
        </is>
      </c>
      <c r="K252" s="32" t="inlineStr">
        <is>
          <t>장기투자금융자산</t>
        </is>
      </c>
      <c r="L252" s="32" t="inlineStr">
        <is>
          <t>-</t>
        </is>
      </c>
      <c r="M252" s="32" t="inlineStr">
        <is>
          <t>제 50 기</t>
        </is>
      </c>
      <c r="N252" s="32" t="inlineStr">
        <is>
          <t>854890933.0</t>
        </is>
      </c>
      <c r="O252" s="32" t="inlineStr">
        <is>
          <t>854167921.0</t>
        </is>
      </c>
      <c r="P252" s="32" t="inlineStr">
        <is>
          <t>KRW</t>
        </is>
      </c>
      <c r="Q252" s="32" t="inlineStr">
        <is>
          <t>11</t>
        </is>
      </c>
    </row>
    <row r="253" ht="24" customHeight="1">
      <c r="A253" s="27" t="inlineStr">
        <is>
          <t>OpenDART_fnlttSinglAcntAll</t>
        </is>
      </c>
      <c r="B253" s="27" t="inlineStr">
        <is>
          <t>00118804</t>
        </is>
      </c>
      <c r="C253" s="27" t="inlineStr">
        <is>
          <t>동진쎄미켐</t>
        </is>
      </c>
      <c r="D253" s="27" t="inlineStr">
        <is>
          <t>dongjin_semichem</t>
        </is>
      </c>
      <c r="E253" s="27" t="inlineStr">
        <is>
          <t>005290</t>
        </is>
      </c>
      <c r="F253" s="27" t="inlineStr">
        <is>
          <t>2022</t>
        </is>
      </c>
      <c r="G253" s="27" t="inlineStr">
        <is>
          <t>CFS</t>
        </is>
      </c>
      <c r="H253" s="27" t="inlineStr">
        <is>
          <t>BS</t>
        </is>
      </c>
      <c r="I253" s="27" t="inlineStr">
        <is>
          <t>재무상태표</t>
        </is>
      </c>
      <c r="J253" s="27" t="inlineStr">
        <is>
          <t>ifrs-full_InvestmentsInSubsidiariesJointVenturesAndAssociates</t>
        </is>
      </c>
      <c r="K253" s="27" t="inlineStr">
        <is>
          <t>관계기업투자</t>
        </is>
      </c>
      <c r="L253" s="27" t="inlineStr">
        <is>
          <t>-</t>
        </is>
      </c>
      <c r="M253" s="27" t="inlineStr">
        <is>
          <t>제 50 기</t>
        </is>
      </c>
      <c r="N253" s="27" t="inlineStr">
        <is>
          <t>8207721402.0</t>
        </is>
      </c>
      <c r="O253" s="27" t="inlineStr">
        <is>
          <t>13179160712.0</t>
        </is>
      </c>
      <c r="P253" s="27" t="inlineStr">
        <is>
          <t>KRW</t>
        </is>
      </c>
      <c r="Q253" s="27" t="inlineStr">
        <is>
          <t>12</t>
        </is>
      </c>
    </row>
    <row r="254" ht="24" customHeight="1">
      <c r="A254" s="32" t="inlineStr">
        <is>
          <t>OpenDART_fnlttSinglAcntAll</t>
        </is>
      </c>
      <c r="B254" s="32" t="inlineStr">
        <is>
          <t>00118804</t>
        </is>
      </c>
      <c r="C254" s="32" t="inlineStr">
        <is>
          <t>동진쎄미켐</t>
        </is>
      </c>
      <c r="D254" s="32" t="inlineStr">
        <is>
          <t>dongjin_semichem</t>
        </is>
      </c>
      <c r="E254" s="32" t="inlineStr">
        <is>
          <t>005290</t>
        </is>
      </c>
      <c r="F254" s="32" t="inlineStr">
        <is>
          <t>2022</t>
        </is>
      </c>
      <c r="G254" s="32" t="inlineStr">
        <is>
          <t>CFS</t>
        </is>
      </c>
      <c r="H254" s="32" t="inlineStr">
        <is>
          <t>BS</t>
        </is>
      </c>
      <c r="I254" s="32" t="inlineStr">
        <is>
          <t>재무상태표</t>
        </is>
      </c>
      <c r="J254" s="32" t="inlineStr">
        <is>
          <t>-표준계정코드 미사용-</t>
        </is>
      </c>
      <c r="K254" s="32" t="inlineStr">
        <is>
          <t>장기파생금융자산</t>
        </is>
      </c>
      <c r="L254" s="32" t="inlineStr">
        <is>
          <t>-</t>
        </is>
      </c>
      <c r="M254" s="32" t="inlineStr">
        <is>
          <t>제 50 기</t>
        </is>
      </c>
      <c r="N254" s="32" t="inlineStr">
        <is>
          <t>0.0</t>
        </is>
      </c>
      <c r="O254" s="32" t="inlineStr">
        <is>
          <t>1609839.0</t>
        </is>
      </c>
      <c r="P254" s="32" t="inlineStr">
        <is>
          <t>KRW</t>
        </is>
      </c>
      <c r="Q254" s="32" t="inlineStr">
        <is>
          <t>13</t>
        </is>
      </c>
    </row>
    <row r="255" ht="24" customHeight="1">
      <c r="A255" s="27" t="inlineStr">
        <is>
          <t>OpenDART_fnlttSinglAcntAll</t>
        </is>
      </c>
      <c r="B255" s="27" t="inlineStr">
        <is>
          <t>00118804</t>
        </is>
      </c>
      <c r="C255" s="27" t="inlineStr">
        <is>
          <t>동진쎄미켐</t>
        </is>
      </c>
      <c r="D255" s="27" t="inlineStr">
        <is>
          <t>dongjin_semichem</t>
        </is>
      </c>
      <c r="E255" s="27" t="inlineStr">
        <is>
          <t>005290</t>
        </is>
      </c>
      <c r="F255" s="27" t="inlineStr">
        <is>
          <t>2022</t>
        </is>
      </c>
      <c r="G255" s="27" t="inlineStr">
        <is>
          <t>CFS</t>
        </is>
      </c>
      <c r="H255" s="27" t="inlineStr">
        <is>
          <t>BS</t>
        </is>
      </c>
      <c r="I255" s="27" t="inlineStr">
        <is>
          <t>재무상태표</t>
        </is>
      </c>
      <c r="J255" s="27" t="inlineStr">
        <is>
          <t>dart_LongTermTradeAndOtherNonCurrentReceivablesGross</t>
        </is>
      </c>
      <c r="K255" s="27" t="inlineStr">
        <is>
          <t>장기매출채권 및 기타채권</t>
        </is>
      </c>
      <c r="L255" s="27" t="inlineStr">
        <is>
          <t>-</t>
        </is>
      </c>
      <c r="M255" s="27" t="inlineStr">
        <is>
          <t>제 50 기</t>
        </is>
      </c>
      <c r="N255" s="27" t="inlineStr">
        <is>
          <t>4203281161.0</t>
        </is>
      </c>
      <c r="O255" s="27" t="inlineStr">
        <is>
          <t>3896675891.0</t>
        </is>
      </c>
      <c r="P255" s="27" t="inlineStr">
        <is>
          <t>KRW</t>
        </is>
      </c>
      <c r="Q255" s="27" t="inlineStr">
        <is>
          <t>14</t>
        </is>
      </c>
    </row>
    <row r="256" ht="24" customHeight="1">
      <c r="A256" s="32" t="inlineStr">
        <is>
          <t>OpenDART_fnlttSinglAcntAll</t>
        </is>
      </c>
      <c r="B256" s="32" t="inlineStr">
        <is>
          <t>00118804</t>
        </is>
      </c>
      <c r="C256" s="32" t="inlineStr">
        <is>
          <t>동진쎄미켐</t>
        </is>
      </c>
      <c r="D256" s="32" t="inlineStr">
        <is>
          <t>dongjin_semichem</t>
        </is>
      </c>
      <c r="E256" s="32" t="inlineStr">
        <is>
          <t>005290</t>
        </is>
      </c>
      <c r="F256" s="32" t="inlineStr">
        <is>
          <t>2022</t>
        </is>
      </c>
      <c r="G256" s="32" t="inlineStr">
        <is>
          <t>CFS</t>
        </is>
      </c>
      <c r="H256" s="32" t="inlineStr">
        <is>
          <t>BS</t>
        </is>
      </c>
      <c r="I256" s="32" t="inlineStr">
        <is>
          <t>재무상태표</t>
        </is>
      </c>
      <c r="J256" s="32" t="inlineStr">
        <is>
          <t>ifrs-full_PropertyPlantAndEquipment</t>
        </is>
      </c>
      <c r="K256" s="32" t="inlineStr">
        <is>
          <t>유형자산</t>
        </is>
      </c>
      <c r="L256" s="32" t="inlineStr">
        <is>
          <t>-</t>
        </is>
      </c>
      <c r="M256" s="32" t="inlineStr">
        <is>
          <t>제 50 기</t>
        </is>
      </c>
      <c r="N256" s="32" t="inlineStr">
        <is>
          <t>496314338721.0</t>
        </is>
      </c>
      <c r="O256" s="32" t="inlineStr">
        <is>
          <t>448396899393.0</t>
        </is>
      </c>
      <c r="P256" s="32" t="inlineStr">
        <is>
          <t>KRW</t>
        </is>
      </c>
      <c r="Q256" s="32" t="inlineStr">
        <is>
          <t>15</t>
        </is>
      </c>
    </row>
    <row r="257" ht="24" customHeight="1">
      <c r="A257" s="27" t="inlineStr">
        <is>
          <t>OpenDART_fnlttSinglAcntAll</t>
        </is>
      </c>
      <c r="B257" s="27" t="inlineStr">
        <is>
          <t>00118804</t>
        </is>
      </c>
      <c r="C257" s="27" t="inlineStr">
        <is>
          <t>동진쎄미켐</t>
        </is>
      </c>
      <c r="D257" s="27" t="inlineStr">
        <is>
          <t>dongjin_semichem</t>
        </is>
      </c>
      <c r="E257" s="27" t="inlineStr">
        <is>
          <t>005290</t>
        </is>
      </c>
      <c r="F257" s="27" t="inlineStr">
        <is>
          <t>2022</t>
        </is>
      </c>
      <c r="G257" s="27" t="inlineStr">
        <is>
          <t>CFS</t>
        </is>
      </c>
      <c r="H257" s="27" t="inlineStr">
        <is>
          <t>BS</t>
        </is>
      </c>
      <c r="I257" s="27" t="inlineStr">
        <is>
          <t>재무상태표</t>
        </is>
      </c>
      <c r="J257" s="27" t="inlineStr">
        <is>
          <t>ifrs-full_InvestmentProperty</t>
        </is>
      </c>
      <c r="K257" s="27" t="inlineStr">
        <is>
          <t>투자부동산</t>
        </is>
      </c>
      <c r="L257" s="27" t="inlineStr">
        <is>
          <t>-</t>
        </is>
      </c>
      <c r="M257" s="27" t="inlineStr">
        <is>
          <t>제 50 기</t>
        </is>
      </c>
      <c r="N257" s="27" t="inlineStr">
        <is>
          <t>11554528804.0</t>
        </is>
      </c>
      <c r="O257" s="27" t="inlineStr">
        <is>
          <t>5429023139.0</t>
        </is>
      </c>
      <c r="P257" s="27" t="inlineStr">
        <is>
          <t>KRW</t>
        </is>
      </c>
      <c r="Q257" s="27" t="inlineStr">
        <is>
          <t>16</t>
        </is>
      </c>
    </row>
    <row r="258" ht="24" customHeight="1">
      <c r="A258" s="32" t="inlineStr">
        <is>
          <t>OpenDART_fnlttSinglAcntAll</t>
        </is>
      </c>
      <c r="B258" s="32" t="inlineStr">
        <is>
          <t>00118804</t>
        </is>
      </c>
      <c r="C258" s="32" t="inlineStr">
        <is>
          <t>동진쎄미켐</t>
        </is>
      </c>
      <c r="D258" s="32" t="inlineStr">
        <is>
          <t>dongjin_semichem</t>
        </is>
      </c>
      <c r="E258" s="32" t="inlineStr">
        <is>
          <t>005290</t>
        </is>
      </c>
      <c r="F258" s="32" t="inlineStr">
        <is>
          <t>2022</t>
        </is>
      </c>
      <c r="G258" s="32" t="inlineStr">
        <is>
          <t>CFS</t>
        </is>
      </c>
      <c r="H258" s="32" t="inlineStr">
        <is>
          <t>BS</t>
        </is>
      </c>
      <c r="I258" s="32" t="inlineStr">
        <is>
          <t>재무상태표</t>
        </is>
      </c>
      <c r="J258" s="32" t="inlineStr">
        <is>
          <t>ifrs-full_IntangibleAssetsOtherThanGoodwill</t>
        </is>
      </c>
      <c r="K258" s="32" t="inlineStr">
        <is>
          <t>무형자산</t>
        </is>
      </c>
      <c r="L258" s="32" t="inlineStr">
        <is>
          <t>-</t>
        </is>
      </c>
      <c r="M258" s="32" t="inlineStr">
        <is>
          <t>제 50 기</t>
        </is>
      </c>
      <c r="N258" s="32" t="inlineStr">
        <is>
          <t>8420168558.0</t>
        </is>
      </c>
      <c r="O258" s="32" t="inlineStr">
        <is>
          <t>8405290656.0</t>
        </is>
      </c>
      <c r="P258" s="32" t="inlineStr">
        <is>
          <t>KRW</t>
        </is>
      </c>
      <c r="Q258" s="32" t="inlineStr">
        <is>
          <t>17</t>
        </is>
      </c>
    </row>
    <row r="259" ht="24" customHeight="1">
      <c r="A259" s="27" t="inlineStr">
        <is>
          <t>OpenDART_fnlttSinglAcntAll</t>
        </is>
      </c>
      <c r="B259" s="27" t="inlineStr">
        <is>
          <t>00118804</t>
        </is>
      </c>
      <c r="C259" s="27" t="inlineStr">
        <is>
          <t>동진쎄미켐</t>
        </is>
      </c>
      <c r="D259" s="27" t="inlineStr">
        <is>
          <t>dongjin_semichem</t>
        </is>
      </c>
      <c r="E259" s="27" t="inlineStr">
        <is>
          <t>005290</t>
        </is>
      </c>
      <c r="F259" s="27" t="inlineStr">
        <is>
          <t>2022</t>
        </is>
      </c>
      <c r="G259" s="27" t="inlineStr">
        <is>
          <t>CFS</t>
        </is>
      </c>
      <c r="H259" s="27" t="inlineStr">
        <is>
          <t>BS</t>
        </is>
      </c>
      <c r="I259" s="27" t="inlineStr">
        <is>
          <t>재무상태표</t>
        </is>
      </c>
      <c r="J259" s="27" t="inlineStr">
        <is>
          <t>ifrs-full_DeferredTaxAssets</t>
        </is>
      </c>
      <c r="K259" s="27" t="inlineStr">
        <is>
          <t>이연법인세자산</t>
        </is>
      </c>
      <c r="L259" s="27" t="inlineStr">
        <is>
          <t>-</t>
        </is>
      </c>
      <c r="M259" s="27" t="inlineStr">
        <is>
          <t>제 50 기</t>
        </is>
      </c>
      <c r="N259" s="27" t="inlineStr">
        <is>
          <t>17723678017.0</t>
        </is>
      </c>
      <c r="O259" s="27" t="inlineStr">
        <is>
          <t>15021717561.0</t>
        </is>
      </c>
      <c r="P259" s="27" t="inlineStr">
        <is>
          <t>KRW</t>
        </is>
      </c>
      <c r="Q259" s="27" t="inlineStr">
        <is>
          <t>18</t>
        </is>
      </c>
    </row>
    <row r="260" ht="24" customHeight="1">
      <c r="A260" s="32" t="inlineStr">
        <is>
          <t>OpenDART_fnlttSinglAcntAll</t>
        </is>
      </c>
      <c r="B260" s="32" t="inlineStr">
        <is>
          <t>00118804</t>
        </is>
      </c>
      <c r="C260" s="32" t="inlineStr">
        <is>
          <t>동진쎄미켐</t>
        </is>
      </c>
      <c r="D260" s="32" t="inlineStr">
        <is>
          <t>dongjin_semichem</t>
        </is>
      </c>
      <c r="E260" s="32" t="inlineStr">
        <is>
          <t>005290</t>
        </is>
      </c>
      <c r="F260" s="32" t="inlineStr">
        <is>
          <t>2022</t>
        </is>
      </c>
      <c r="G260" s="32" t="inlineStr">
        <is>
          <t>CFS</t>
        </is>
      </c>
      <c r="H260" s="32" t="inlineStr">
        <is>
          <t>BS</t>
        </is>
      </c>
      <c r="I260" s="32" t="inlineStr">
        <is>
          <t>재무상태표</t>
        </is>
      </c>
      <c r="J260" s="32" t="inlineStr">
        <is>
          <t>dart_OtherNonCurrentAssets</t>
        </is>
      </c>
      <c r="K260" s="32" t="inlineStr">
        <is>
          <t>기타비유동자산</t>
        </is>
      </c>
      <c r="L260" s="32" t="inlineStr">
        <is>
          <t>-</t>
        </is>
      </c>
      <c r="M260" s="32" t="inlineStr">
        <is>
          <t>제 50 기</t>
        </is>
      </c>
      <c r="N260" s="32" t="inlineStr">
        <is>
          <t>88594860.0</t>
        </is>
      </c>
      <c r="O260" s="32" t="inlineStr">
        <is>
          <t>274747264.0</t>
        </is>
      </c>
      <c r="P260" s="32" t="inlineStr">
        <is>
          <t>KRW</t>
        </is>
      </c>
      <c r="Q260" s="32" t="inlineStr">
        <is>
          <t>19</t>
        </is>
      </c>
    </row>
    <row r="261" ht="24" customHeight="1">
      <c r="A261" s="27" t="inlineStr">
        <is>
          <t>OpenDART_fnlttSinglAcntAll</t>
        </is>
      </c>
      <c r="B261" s="27" t="inlineStr">
        <is>
          <t>00118804</t>
        </is>
      </c>
      <c r="C261" s="27" t="inlineStr">
        <is>
          <t>동진쎄미켐</t>
        </is>
      </c>
      <c r="D261" s="27" t="inlineStr">
        <is>
          <t>dongjin_semichem</t>
        </is>
      </c>
      <c r="E261" s="27" t="inlineStr">
        <is>
          <t>005290</t>
        </is>
      </c>
      <c r="F261" s="27" t="inlineStr">
        <is>
          <t>2022</t>
        </is>
      </c>
      <c r="G261" s="27" t="inlineStr">
        <is>
          <t>CFS</t>
        </is>
      </c>
      <c r="H261" s="27" t="inlineStr">
        <is>
          <t>BS</t>
        </is>
      </c>
      <c r="I261" s="27" t="inlineStr">
        <is>
          <t>재무상태표</t>
        </is>
      </c>
      <c r="J261" s="27" t="inlineStr">
        <is>
          <t>ifrs-full_Assets</t>
        </is>
      </c>
      <c r="K261" s="27" t="inlineStr">
        <is>
          <t>자산총계</t>
        </is>
      </c>
      <c r="L261" s="27" t="inlineStr">
        <is>
          <t>-</t>
        </is>
      </c>
      <c r="M261" s="27" t="inlineStr">
        <is>
          <t>제 50 기</t>
        </is>
      </c>
      <c r="N261" s="27" t="inlineStr">
        <is>
          <t>1374303530098.0</t>
        </is>
      </c>
      <c r="O261" s="27" t="inlineStr">
        <is>
          <t>1186189143728.0</t>
        </is>
      </c>
      <c r="P261" s="27" t="inlineStr">
        <is>
          <t>KRW</t>
        </is>
      </c>
      <c r="Q261" s="27" t="inlineStr">
        <is>
          <t>20</t>
        </is>
      </c>
    </row>
    <row r="262" ht="24" customHeight="1">
      <c r="A262" s="32" t="inlineStr">
        <is>
          <t>OpenDART_fnlttSinglAcntAll</t>
        </is>
      </c>
      <c r="B262" s="32" t="inlineStr">
        <is>
          <t>00118804</t>
        </is>
      </c>
      <c r="C262" s="32" t="inlineStr">
        <is>
          <t>동진쎄미켐</t>
        </is>
      </c>
      <c r="D262" s="32" t="inlineStr">
        <is>
          <t>dongjin_semichem</t>
        </is>
      </c>
      <c r="E262" s="32" t="inlineStr">
        <is>
          <t>005290</t>
        </is>
      </c>
      <c r="F262" s="32" t="inlineStr">
        <is>
          <t>2022</t>
        </is>
      </c>
      <c r="G262" s="32" t="inlineStr">
        <is>
          <t>CFS</t>
        </is>
      </c>
      <c r="H262" s="32" t="inlineStr">
        <is>
          <t>BS</t>
        </is>
      </c>
      <c r="I262" s="32" t="inlineStr">
        <is>
          <t>재무상태표</t>
        </is>
      </c>
      <c r="J262" s="32" t="inlineStr">
        <is>
          <t>ifrs-full_CurrentLiabilities</t>
        </is>
      </c>
      <c r="K262" s="32" t="inlineStr">
        <is>
          <t>유동부채</t>
        </is>
      </c>
      <c r="L262" s="32" t="inlineStr">
        <is>
          <t>-</t>
        </is>
      </c>
      <c r="M262" s="32" t="inlineStr">
        <is>
          <t>제 50 기</t>
        </is>
      </c>
      <c r="N262" s="32" t="inlineStr">
        <is>
          <t>531371591554.0</t>
        </is>
      </c>
      <c r="O262" s="32" t="inlineStr">
        <is>
          <t>458726304524.0</t>
        </is>
      </c>
      <c r="P262" s="32" t="inlineStr">
        <is>
          <t>KRW</t>
        </is>
      </c>
      <c r="Q262" s="32" t="inlineStr">
        <is>
          <t>22</t>
        </is>
      </c>
    </row>
    <row r="263" ht="24" customHeight="1">
      <c r="A263" s="27" t="inlineStr">
        <is>
          <t>OpenDART_fnlttSinglAcntAll</t>
        </is>
      </c>
      <c r="B263" s="27" t="inlineStr">
        <is>
          <t>00118804</t>
        </is>
      </c>
      <c r="C263" s="27" t="inlineStr">
        <is>
          <t>동진쎄미켐</t>
        </is>
      </c>
      <c r="D263" s="27" t="inlineStr">
        <is>
          <t>dongjin_semichem</t>
        </is>
      </c>
      <c r="E263" s="27" t="inlineStr">
        <is>
          <t>005290</t>
        </is>
      </c>
      <c r="F263" s="27" t="inlineStr">
        <is>
          <t>2022</t>
        </is>
      </c>
      <c r="G263" s="27" t="inlineStr">
        <is>
          <t>CFS</t>
        </is>
      </c>
      <c r="H263" s="27" t="inlineStr">
        <is>
          <t>BS</t>
        </is>
      </c>
      <c r="I263" s="27" t="inlineStr">
        <is>
          <t>재무상태표</t>
        </is>
      </c>
      <c r="J263" s="27" t="inlineStr">
        <is>
          <t>ifrs-full_TradeAndOtherCurrentPayables</t>
        </is>
      </c>
      <c r="K263" s="27" t="inlineStr">
        <is>
          <t>매입채무 및 기타채무</t>
        </is>
      </c>
      <c r="L263" s="27" t="inlineStr">
        <is>
          <t>-</t>
        </is>
      </c>
      <c r="M263" s="27" t="inlineStr">
        <is>
          <t>제 50 기</t>
        </is>
      </c>
      <c r="N263" s="27" t="inlineStr">
        <is>
          <t>121543876483.0</t>
        </is>
      </c>
      <c r="O263" s="27" t="inlineStr">
        <is>
          <t>128941924469.0</t>
        </is>
      </c>
      <c r="P263" s="27" t="inlineStr">
        <is>
          <t>KRW</t>
        </is>
      </c>
      <c r="Q263" s="27" t="inlineStr">
        <is>
          <t>23</t>
        </is>
      </c>
    </row>
    <row r="264" ht="24" customHeight="1">
      <c r="A264" s="32" t="inlineStr">
        <is>
          <t>OpenDART_fnlttSinglAcntAll</t>
        </is>
      </c>
      <c r="B264" s="32" t="inlineStr">
        <is>
          <t>00118804</t>
        </is>
      </c>
      <c r="C264" s="32" t="inlineStr">
        <is>
          <t>동진쎄미켐</t>
        </is>
      </c>
      <c r="D264" s="32" t="inlineStr">
        <is>
          <t>dongjin_semichem</t>
        </is>
      </c>
      <c r="E264" s="32" t="inlineStr">
        <is>
          <t>005290</t>
        </is>
      </c>
      <c r="F264" s="32" t="inlineStr">
        <is>
          <t>2022</t>
        </is>
      </c>
      <c r="G264" s="32" t="inlineStr">
        <is>
          <t>CFS</t>
        </is>
      </c>
      <c r="H264" s="32" t="inlineStr">
        <is>
          <t>BS</t>
        </is>
      </c>
      <c r="I264" s="32" t="inlineStr">
        <is>
          <t>재무상태표</t>
        </is>
      </c>
      <c r="J264" s="32" t="inlineStr">
        <is>
          <t>ifrs-full_ShorttermBorrowings</t>
        </is>
      </c>
      <c r="K264" s="32" t="inlineStr">
        <is>
          <t>단기차입금</t>
        </is>
      </c>
      <c r="L264" s="32" t="inlineStr">
        <is>
          <t>-</t>
        </is>
      </c>
      <c r="M264" s="32" t="inlineStr">
        <is>
          <t>제 50 기</t>
        </is>
      </c>
      <c r="N264" s="32" t="inlineStr">
        <is>
          <t>336916905291.0</t>
        </is>
      </c>
      <c r="O264" s="32" t="inlineStr">
        <is>
          <t>285880903118.0</t>
        </is>
      </c>
      <c r="P264" s="32" t="inlineStr">
        <is>
          <t>KRW</t>
        </is>
      </c>
      <c r="Q264" s="32" t="inlineStr">
        <is>
          <t>24</t>
        </is>
      </c>
    </row>
    <row r="265" ht="24" customHeight="1">
      <c r="A265" s="27" t="inlineStr">
        <is>
          <t>OpenDART_fnlttSinglAcntAll</t>
        </is>
      </c>
      <c r="B265" s="27" t="inlineStr">
        <is>
          <t>00118804</t>
        </is>
      </c>
      <c r="C265" s="27" t="inlineStr">
        <is>
          <t>동진쎄미켐</t>
        </is>
      </c>
      <c r="D265" s="27" t="inlineStr">
        <is>
          <t>dongjin_semichem</t>
        </is>
      </c>
      <c r="E265" s="27" t="inlineStr">
        <is>
          <t>005290</t>
        </is>
      </c>
      <c r="F265" s="27" t="inlineStr">
        <is>
          <t>2022</t>
        </is>
      </c>
      <c r="G265" s="27" t="inlineStr">
        <is>
          <t>CFS</t>
        </is>
      </c>
      <c r="H265" s="27" t="inlineStr">
        <is>
          <t>BS</t>
        </is>
      </c>
      <c r="I265" s="27" t="inlineStr">
        <is>
          <t>재무상태표</t>
        </is>
      </c>
      <c r="J265" s="27" t="inlineStr">
        <is>
          <t>ifrs-full_CurrentTaxLiabilities</t>
        </is>
      </c>
      <c r="K265" s="27" t="inlineStr">
        <is>
          <t>당기법인세부채</t>
        </is>
      </c>
      <c r="L265" s="27" t="inlineStr">
        <is>
          <t>-</t>
        </is>
      </c>
      <c r="M265" s="27" t="inlineStr">
        <is>
          <t>제 50 기</t>
        </is>
      </c>
      <c r="N265" s="27" t="inlineStr">
        <is>
          <t>42407363079.0</t>
        </is>
      </c>
      <c r="O265" s="27" t="inlineStr">
        <is>
          <t>16007765131.0</t>
        </is>
      </c>
      <c r="P265" s="27" t="inlineStr">
        <is>
          <t>KRW</t>
        </is>
      </c>
      <c r="Q265" s="27" t="inlineStr">
        <is>
          <t>25</t>
        </is>
      </c>
    </row>
    <row r="266" ht="24" customHeight="1">
      <c r="A266" s="32" t="inlineStr">
        <is>
          <t>OpenDART_fnlttSinglAcntAll</t>
        </is>
      </c>
      <c r="B266" s="32" t="inlineStr">
        <is>
          <t>00118804</t>
        </is>
      </c>
      <c r="C266" s="32" t="inlineStr">
        <is>
          <t>동진쎄미켐</t>
        </is>
      </c>
      <c r="D266" s="32" t="inlineStr">
        <is>
          <t>dongjin_semichem</t>
        </is>
      </c>
      <c r="E266" s="32" t="inlineStr">
        <is>
          <t>005290</t>
        </is>
      </c>
      <c r="F266" s="32" t="inlineStr">
        <is>
          <t>2022</t>
        </is>
      </c>
      <c r="G266" s="32" t="inlineStr">
        <is>
          <t>CFS</t>
        </is>
      </c>
      <c r="H266" s="32" t="inlineStr">
        <is>
          <t>BS</t>
        </is>
      </c>
      <c r="I266" s="32" t="inlineStr">
        <is>
          <t>재무상태표</t>
        </is>
      </c>
      <c r="J266" s="32" t="inlineStr">
        <is>
          <t>-표준계정코드 미사용-</t>
        </is>
      </c>
      <c r="K266" s="32" t="inlineStr">
        <is>
          <t>단기리스부채</t>
        </is>
      </c>
      <c r="L266" s="32" t="inlineStr">
        <is>
          <t>-</t>
        </is>
      </c>
      <c r="M266" s="32" t="inlineStr">
        <is>
          <t>제 50 기</t>
        </is>
      </c>
      <c r="N266" s="32" t="inlineStr">
        <is>
          <t>7555765098.0</t>
        </is>
      </c>
      <c r="O266" s="32" t="inlineStr">
        <is>
          <t>5630671853.0</t>
        </is>
      </c>
      <c r="P266" s="32" t="inlineStr">
        <is>
          <t>KRW</t>
        </is>
      </c>
      <c r="Q266" s="32" t="inlineStr">
        <is>
          <t>26</t>
        </is>
      </c>
    </row>
    <row r="267" ht="24" customHeight="1">
      <c r="A267" s="27" t="inlineStr">
        <is>
          <t>OpenDART_fnlttSinglAcntAll</t>
        </is>
      </c>
      <c r="B267" s="27" t="inlineStr">
        <is>
          <t>00118804</t>
        </is>
      </c>
      <c r="C267" s="27" t="inlineStr">
        <is>
          <t>동진쎄미켐</t>
        </is>
      </c>
      <c r="D267" s="27" t="inlineStr">
        <is>
          <t>dongjin_semichem</t>
        </is>
      </c>
      <c r="E267" s="27" t="inlineStr">
        <is>
          <t>005290</t>
        </is>
      </c>
      <c r="F267" s="27" t="inlineStr">
        <is>
          <t>2022</t>
        </is>
      </c>
      <c r="G267" s="27" t="inlineStr">
        <is>
          <t>CFS</t>
        </is>
      </c>
      <c r="H267" s="27" t="inlineStr">
        <is>
          <t>BS</t>
        </is>
      </c>
      <c r="I267" s="27" t="inlineStr">
        <is>
          <t>재무상태표</t>
        </is>
      </c>
      <c r="J267" s="27" t="inlineStr">
        <is>
          <t>dart_OtherCurrentLiabilities</t>
        </is>
      </c>
      <c r="K267" s="27" t="inlineStr">
        <is>
          <t>기타유동부채</t>
        </is>
      </c>
      <c r="L267" s="27" t="inlineStr">
        <is>
          <t>-</t>
        </is>
      </c>
      <c r="M267" s="27" t="inlineStr">
        <is>
          <t>제 50 기</t>
        </is>
      </c>
      <c r="N267" s="27" t="inlineStr">
        <is>
          <t>22947681603.0</t>
        </is>
      </c>
      <c r="O267" s="27" t="inlineStr">
        <is>
          <t>22265039953.0</t>
        </is>
      </c>
      <c r="P267" s="27" t="inlineStr">
        <is>
          <t>KRW</t>
        </is>
      </c>
      <c r="Q267" s="27" t="inlineStr">
        <is>
          <t>27</t>
        </is>
      </c>
    </row>
    <row r="268" ht="24" customHeight="1">
      <c r="A268" s="32" t="inlineStr">
        <is>
          <t>OpenDART_fnlttSinglAcntAll</t>
        </is>
      </c>
      <c r="B268" s="32" t="inlineStr">
        <is>
          <t>00118804</t>
        </is>
      </c>
      <c r="C268" s="32" t="inlineStr">
        <is>
          <t>동진쎄미켐</t>
        </is>
      </c>
      <c r="D268" s="32" t="inlineStr">
        <is>
          <t>dongjin_semichem</t>
        </is>
      </c>
      <c r="E268" s="32" t="inlineStr">
        <is>
          <t>005290</t>
        </is>
      </c>
      <c r="F268" s="32" t="inlineStr">
        <is>
          <t>2022</t>
        </is>
      </c>
      <c r="G268" s="32" t="inlineStr">
        <is>
          <t>CFS</t>
        </is>
      </c>
      <c r="H268" s="32" t="inlineStr">
        <is>
          <t>BS</t>
        </is>
      </c>
      <c r="I268" s="32" t="inlineStr">
        <is>
          <t>재무상태표</t>
        </is>
      </c>
      <c r="J268" s="32" t="inlineStr">
        <is>
          <t>ifrs-full_NoncurrentLiabilities</t>
        </is>
      </c>
      <c r="K268" s="32" t="inlineStr">
        <is>
          <t>비유동부채</t>
        </is>
      </c>
      <c r="L268" s="32" t="inlineStr">
        <is>
          <t>-</t>
        </is>
      </c>
      <c r="M268" s="32" t="inlineStr">
        <is>
          <t>제 50 기</t>
        </is>
      </c>
      <c r="N268" s="32" t="inlineStr">
        <is>
          <t>142144574714.0</t>
        </is>
      </c>
      <c r="O268" s="32" t="inlineStr">
        <is>
          <t>166429339249.0</t>
        </is>
      </c>
      <c r="P268" s="32" t="inlineStr">
        <is>
          <t>KRW</t>
        </is>
      </c>
      <c r="Q268" s="32" t="inlineStr">
        <is>
          <t>28</t>
        </is>
      </c>
    </row>
    <row r="269" ht="24" customHeight="1">
      <c r="A269" s="27" t="inlineStr">
        <is>
          <t>OpenDART_fnlttSinglAcntAll</t>
        </is>
      </c>
      <c r="B269" s="27" t="inlineStr">
        <is>
          <t>00118804</t>
        </is>
      </c>
      <c r="C269" s="27" t="inlineStr">
        <is>
          <t>동진쎄미켐</t>
        </is>
      </c>
      <c r="D269" s="27" t="inlineStr">
        <is>
          <t>dongjin_semichem</t>
        </is>
      </c>
      <c r="E269" s="27" t="inlineStr">
        <is>
          <t>005290</t>
        </is>
      </c>
      <c r="F269" s="27" t="inlineStr">
        <is>
          <t>2022</t>
        </is>
      </c>
      <c r="G269" s="27" t="inlineStr">
        <is>
          <t>CFS</t>
        </is>
      </c>
      <c r="H269" s="27" t="inlineStr">
        <is>
          <t>BS</t>
        </is>
      </c>
      <c r="I269" s="27" t="inlineStr">
        <is>
          <t>재무상태표</t>
        </is>
      </c>
      <c r="J269" s="27" t="inlineStr">
        <is>
          <t>dart_LongTermTradeAndOtherNonCurrentPayables</t>
        </is>
      </c>
      <c r="K269" s="27" t="inlineStr">
        <is>
          <t>장기매입채무 및 기타채무</t>
        </is>
      </c>
      <c r="L269" s="27" t="inlineStr">
        <is>
          <t>-</t>
        </is>
      </c>
      <c r="M269" s="27" t="inlineStr">
        <is>
          <t>제 50 기</t>
        </is>
      </c>
      <c r="N269" s="27" t="inlineStr">
        <is>
          <t>2702531319.0</t>
        </is>
      </c>
      <c r="O269" s="27" t="inlineStr">
        <is>
          <t>383391670.0</t>
        </is>
      </c>
      <c r="P269" s="27" t="inlineStr">
        <is>
          <t>KRW</t>
        </is>
      </c>
      <c r="Q269" s="27" t="inlineStr">
        <is>
          <t>29</t>
        </is>
      </c>
    </row>
    <row r="270" ht="24" customHeight="1">
      <c r="A270" s="32" t="inlineStr">
        <is>
          <t>OpenDART_fnlttSinglAcntAll</t>
        </is>
      </c>
      <c r="B270" s="32" t="inlineStr">
        <is>
          <t>00118804</t>
        </is>
      </c>
      <c r="C270" s="32" t="inlineStr">
        <is>
          <t>동진쎄미켐</t>
        </is>
      </c>
      <c r="D270" s="32" t="inlineStr">
        <is>
          <t>dongjin_semichem</t>
        </is>
      </c>
      <c r="E270" s="32" t="inlineStr">
        <is>
          <t>005290</t>
        </is>
      </c>
      <c r="F270" s="32" t="inlineStr">
        <is>
          <t>2022</t>
        </is>
      </c>
      <c r="G270" s="32" t="inlineStr">
        <is>
          <t>CFS</t>
        </is>
      </c>
      <c r="H270" s="32" t="inlineStr">
        <is>
          <t>BS</t>
        </is>
      </c>
      <c r="I270" s="32" t="inlineStr">
        <is>
          <t>재무상태표</t>
        </is>
      </c>
      <c r="J270" s="32" t="inlineStr">
        <is>
          <t>dart_LongTermBorrowingsGross</t>
        </is>
      </c>
      <c r="K270" s="32" t="inlineStr">
        <is>
          <t>장기차입금</t>
        </is>
      </c>
      <c r="L270" s="32" t="inlineStr">
        <is>
          <t>-</t>
        </is>
      </c>
      <c r="M270" s="32" t="inlineStr">
        <is>
          <t>제 50 기</t>
        </is>
      </c>
      <c r="N270" s="32" t="inlineStr">
        <is>
          <t>112691007498.0</t>
        </is>
      </c>
      <c r="O270" s="32" t="inlineStr">
        <is>
          <t>138179785614.0</t>
        </is>
      </c>
      <c r="P270" s="32" t="inlineStr">
        <is>
          <t>KRW</t>
        </is>
      </c>
      <c r="Q270" s="32" t="inlineStr">
        <is>
          <t>30</t>
        </is>
      </c>
    </row>
    <row r="271" ht="24" customHeight="1">
      <c r="A271" s="27" t="inlineStr">
        <is>
          <t>OpenDART_fnlttSinglAcntAll</t>
        </is>
      </c>
      <c r="B271" s="27" t="inlineStr">
        <is>
          <t>00118804</t>
        </is>
      </c>
      <c r="C271" s="27" t="inlineStr">
        <is>
          <t>동진쎄미켐</t>
        </is>
      </c>
      <c r="D271" s="27" t="inlineStr">
        <is>
          <t>dongjin_semichem</t>
        </is>
      </c>
      <c r="E271" s="27" t="inlineStr">
        <is>
          <t>005290</t>
        </is>
      </c>
      <c r="F271" s="27" t="inlineStr">
        <is>
          <t>2022</t>
        </is>
      </c>
      <c r="G271" s="27" t="inlineStr">
        <is>
          <t>CFS</t>
        </is>
      </c>
      <c r="H271" s="27" t="inlineStr">
        <is>
          <t>BS</t>
        </is>
      </c>
      <c r="I271" s="27" t="inlineStr">
        <is>
          <t>재무상태표</t>
        </is>
      </c>
      <c r="J271" s="27" t="inlineStr">
        <is>
          <t>-표준계정코드 미사용-</t>
        </is>
      </c>
      <c r="K271" s="27" t="inlineStr">
        <is>
          <t>장기리스부채</t>
        </is>
      </c>
      <c r="L271" s="27" t="inlineStr">
        <is>
          <t>-</t>
        </is>
      </c>
      <c r="M271" s="27" t="inlineStr">
        <is>
          <t>제 50 기</t>
        </is>
      </c>
      <c r="N271" s="27" t="inlineStr">
        <is>
          <t>10368428047.0</t>
        </is>
      </c>
      <c r="O271" s="27" t="inlineStr">
        <is>
          <t>8955377169.0</t>
        </is>
      </c>
      <c r="P271" s="27" t="inlineStr">
        <is>
          <t>KRW</t>
        </is>
      </c>
      <c r="Q271" s="27" t="inlineStr">
        <is>
          <t>31</t>
        </is>
      </c>
    </row>
    <row r="272" ht="24" customHeight="1">
      <c r="A272" s="32" t="inlineStr">
        <is>
          <t>OpenDART_fnlttSinglAcntAll</t>
        </is>
      </c>
      <c r="B272" s="32" t="inlineStr">
        <is>
          <t>00118804</t>
        </is>
      </c>
      <c r="C272" s="32" t="inlineStr">
        <is>
          <t>동진쎄미켐</t>
        </is>
      </c>
      <c r="D272" s="32" t="inlineStr">
        <is>
          <t>dongjin_semichem</t>
        </is>
      </c>
      <c r="E272" s="32" t="inlineStr">
        <is>
          <t>005290</t>
        </is>
      </c>
      <c r="F272" s="32" t="inlineStr">
        <is>
          <t>2022</t>
        </is>
      </c>
      <c r="G272" s="32" t="inlineStr">
        <is>
          <t>CFS</t>
        </is>
      </c>
      <c r="H272" s="32" t="inlineStr">
        <is>
          <t>BS</t>
        </is>
      </c>
      <c r="I272" s="32" t="inlineStr">
        <is>
          <t>재무상태표</t>
        </is>
      </c>
      <c r="J272" s="32" t="inlineStr">
        <is>
          <t>dart_PostemploymentBenefitObligations</t>
        </is>
      </c>
      <c r="K272" s="32" t="inlineStr">
        <is>
          <t>순확정급여부채</t>
        </is>
      </c>
      <c r="L272" s="32" t="inlineStr">
        <is>
          <t>-</t>
        </is>
      </c>
      <c r="M272" s="32" t="inlineStr">
        <is>
          <t>제 50 기</t>
        </is>
      </c>
      <c r="N272" s="32" t="inlineStr">
        <is>
          <t>15320313855.0</t>
        </is>
      </c>
      <c r="O272" s="32" t="inlineStr">
        <is>
          <t>17984183235.0</t>
        </is>
      </c>
      <c r="P272" s="32" t="inlineStr">
        <is>
          <t>KRW</t>
        </is>
      </c>
      <c r="Q272" s="32" t="inlineStr">
        <is>
          <t>32</t>
        </is>
      </c>
    </row>
    <row r="273" ht="24" customHeight="1">
      <c r="A273" s="27" t="inlineStr">
        <is>
          <t>OpenDART_fnlttSinglAcntAll</t>
        </is>
      </c>
      <c r="B273" s="27" t="inlineStr">
        <is>
          <t>00118804</t>
        </is>
      </c>
      <c r="C273" s="27" t="inlineStr">
        <is>
          <t>동진쎄미켐</t>
        </is>
      </c>
      <c r="D273" s="27" t="inlineStr">
        <is>
          <t>dongjin_semichem</t>
        </is>
      </c>
      <c r="E273" s="27" t="inlineStr">
        <is>
          <t>005290</t>
        </is>
      </c>
      <c r="F273" s="27" t="inlineStr">
        <is>
          <t>2022</t>
        </is>
      </c>
      <c r="G273" s="27" t="inlineStr">
        <is>
          <t>CFS</t>
        </is>
      </c>
      <c r="H273" s="27" t="inlineStr">
        <is>
          <t>BS</t>
        </is>
      </c>
      <c r="I273" s="27" t="inlineStr">
        <is>
          <t>재무상태표</t>
        </is>
      </c>
      <c r="J273" s="27" t="inlineStr">
        <is>
          <t>ifrs-full_DeferredTaxLiabilities</t>
        </is>
      </c>
      <c r="K273" s="27" t="inlineStr">
        <is>
          <t>이연법인세부채</t>
        </is>
      </c>
      <c r="L273" s="27" t="inlineStr">
        <is>
          <t>-</t>
        </is>
      </c>
      <c r="M273" s="27" t="inlineStr">
        <is>
          <t>제 50 기</t>
        </is>
      </c>
      <c r="N273" s="27" t="inlineStr">
        <is>
          <t>750901.0</t>
        </is>
      </c>
      <c r="O273" s="27" t="inlineStr">
        <is>
          <t>0.0</t>
        </is>
      </c>
      <c r="P273" s="27" t="inlineStr">
        <is>
          <t>KRW</t>
        </is>
      </c>
      <c r="Q273" s="27" t="inlineStr">
        <is>
          <t>33</t>
        </is>
      </c>
    </row>
    <row r="274" ht="24" customHeight="1">
      <c r="A274" s="32" t="inlineStr">
        <is>
          <t>OpenDART_fnlttSinglAcntAll</t>
        </is>
      </c>
      <c r="B274" s="32" t="inlineStr">
        <is>
          <t>00118804</t>
        </is>
      </c>
      <c r="C274" s="32" t="inlineStr">
        <is>
          <t>동진쎄미켐</t>
        </is>
      </c>
      <c r="D274" s="32" t="inlineStr">
        <is>
          <t>dongjin_semichem</t>
        </is>
      </c>
      <c r="E274" s="32" t="inlineStr">
        <is>
          <t>005290</t>
        </is>
      </c>
      <c r="F274" s="32" t="inlineStr">
        <is>
          <t>2022</t>
        </is>
      </c>
      <c r="G274" s="32" t="inlineStr">
        <is>
          <t>CFS</t>
        </is>
      </c>
      <c r="H274" s="32" t="inlineStr">
        <is>
          <t>BS</t>
        </is>
      </c>
      <c r="I274" s="32" t="inlineStr">
        <is>
          <t>재무상태표</t>
        </is>
      </c>
      <c r="J274" s="32" t="inlineStr">
        <is>
          <t>dart_OtherNonCurrentLiabilities</t>
        </is>
      </c>
      <c r="K274" s="32" t="inlineStr">
        <is>
          <t>기타비유동부채</t>
        </is>
      </c>
      <c r="L274" s="32" t="inlineStr">
        <is>
          <t>-</t>
        </is>
      </c>
      <c r="M274" s="32" t="inlineStr">
        <is>
          <t>제 50 기</t>
        </is>
      </c>
      <c r="N274" s="32" t="inlineStr">
        <is>
          <t>1061543094.0</t>
        </is>
      </c>
      <c r="O274" s="32" t="inlineStr">
        <is>
          <t>926601561.0</t>
        </is>
      </c>
      <c r="P274" s="32" t="inlineStr">
        <is>
          <t>KRW</t>
        </is>
      </c>
      <c r="Q274" s="32" t="inlineStr">
        <is>
          <t>34</t>
        </is>
      </c>
    </row>
    <row r="275" ht="24" customHeight="1">
      <c r="A275" s="27" t="inlineStr">
        <is>
          <t>OpenDART_fnlttSinglAcntAll</t>
        </is>
      </c>
      <c r="B275" s="27" t="inlineStr">
        <is>
          <t>00118804</t>
        </is>
      </c>
      <c r="C275" s="27" t="inlineStr">
        <is>
          <t>동진쎄미켐</t>
        </is>
      </c>
      <c r="D275" s="27" t="inlineStr">
        <is>
          <t>dongjin_semichem</t>
        </is>
      </c>
      <c r="E275" s="27" t="inlineStr">
        <is>
          <t>005290</t>
        </is>
      </c>
      <c r="F275" s="27" t="inlineStr">
        <is>
          <t>2022</t>
        </is>
      </c>
      <c r="G275" s="27" t="inlineStr">
        <is>
          <t>CFS</t>
        </is>
      </c>
      <c r="H275" s="27" t="inlineStr">
        <is>
          <t>BS</t>
        </is>
      </c>
      <c r="I275" s="27" t="inlineStr">
        <is>
          <t>재무상태표</t>
        </is>
      </c>
      <c r="J275" s="27" t="inlineStr">
        <is>
          <t>ifrs-full_Liabilities</t>
        </is>
      </c>
      <c r="K275" s="27" t="inlineStr">
        <is>
          <t>부채총계</t>
        </is>
      </c>
      <c r="L275" s="27" t="inlineStr">
        <is>
          <t>-</t>
        </is>
      </c>
      <c r="M275" s="27" t="inlineStr">
        <is>
          <t>제 50 기</t>
        </is>
      </c>
      <c r="N275" s="27" t="inlineStr">
        <is>
          <t>673516166268.0</t>
        </is>
      </c>
      <c r="O275" s="27" t="inlineStr">
        <is>
          <t>625155643773.0</t>
        </is>
      </c>
      <c r="P275" s="27" t="inlineStr">
        <is>
          <t>KRW</t>
        </is>
      </c>
      <c r="Q275" s="27" t="inlineStr">
        <is>
          <t>35</t>
        </is>
      </c>
    </row>
    <row r="276" ht="24" customHeight="1">
      <c r="A276" s="32" t="inlineStr">
        <is>
          <t>OpenDART_fnlttSinglAcntAll</t>
        </is>
      </c>
      <c r="B276" s="32" t="inlineStr">
        <is>
          <t>00118804</t>
        </is>
      </c>
      <c r="C276" s="32" t="inlineStr">
        <is>
          <t>동진쎄미켐</t>
        </is>
      </c>
      <c r="D276" s="32" t="inlineStr">
        <is>
          <t>dongjin_semichem</t>
        </is>
      </c>
      <c r="E276" s="32" t="inlineStr">
        <is>
          <t>005290</t>
        </is>
      </c>
      <c r="F276" s="32" t="inlineStr">
        <is>
          <t>2022</t>
        </is>
      </c>
      <c r="G276" s="32" t="inlineStr">
        <is>
          <t>CFS</t>
        </is>
      </c>
      <c r="H276" s="32" t="inlineStr">
        <is>
          <t>BS</t>
        </is>
      </c>
      <c r="I276" s="32" t="inlineStr">
        <is>
          <t>재무상태표</t>
        </is>
      </c>
      <c r="J276" s="32" t="inlineStr">
        <is>
          <t>ifrs-full_EquityAttributableToOwnersOfParent</t>
        </is>
      </c>
      <c r="K276" s="32" t="inlineStr">
        <is>
          <t>지배기업의 소유주에게 귀속되는 자본</t>
        </is>
      </c>
      <c r="L276" s="32" t="inlineStr">
        <is>
          <t>-</t>
        </is>
      </c>
      <c r="M276" s="32" t="inlineStr">
        <is>
          <t>제 50 기</t>
        </is>
      </c>
      <c r="N276" s="32" t="inlineStr">
        <is>
          <t>696844920590.0</t>
        </is>
      </c>
      <c r="O276" s="32" t="inlineStr">
        <is>
          <t>553448496270.0</t>
        </is>
      </c>
      <c r="P276" s="32" t="inlineStr">
        <is>
          <t>KRW</t>
        </is>
      </c>
      <c r="Q276" s="32" t="inlineStr">
        <is>
          <t>37</t>
        </is>
      </c>
    </row>
    <row r="277" ht="24" customHeight="1">
      <c r="A277" s="27" t="inlineStr">
        <is>
          <t>OpenDART_fnlttSinglAcntAll</t>
        </is>
      </c>
      <c r="B277" s="27" t="inlineStr">
        <is>
          <t>00118804</t>
        </is>
      </c>
      <c r="C277" s="27" t="inlineStr">
        <is>
          <t>동진쎄미켐</t>
        </is>
      </c>
      <c r="D277" s="27" t="inlineStr">
        <is>
          <t>dongjin_semichem</t>
        </is>
      </c>
      <c r="E277" s="27" t="inlineStr">
        <is>
          <t>005290</t>
        </is>
      </c>
      <c r="F277" s="27" t="inlineStr">
        <is>
          <t>2022</t>
        </is>
      </c>
      <c r="G277" s="27" t="inlineStr">
        <is>
          <t>CFS</t>
        </is>
      </c>
      <c r="H277" s="27" t="inlineStr">
        <is>
          <t>BS</t>
        </is>
      </c>
      <c r="I277" s="27" t="inlineStr">
        <is>
          <t>재무상태표</t>
        </is>
      </c>
      <c r="J277" s="27" t="inlineStr">
        <is>
          <t>ifrs-full_IssuedCapital</t>
        </is>
      </c>
      <c r="K277" s="27" t="inlineStr">
        <is>
          <t>자본금</t>
        </is>
      </c>
      <c r="L277" s="27" t="inlineStr">
        <is>
          <t>-</t>
        </is>
      </c>
      <c r="M277" s="27" t="inlineStr">
        <is>
          <t>제 50 기</t>
        </is>
      </c>
      <c r="N277" s="27" t="inlineStr">
        <is>
          <t>25707247000.0</t>
        </is>
      </c>
      <c r="O277" s="27" t="inlineStr">
        <is>
          <t>25707247000.0</t>
        </is>
      </c>
      <c r="P277" s="27" t="inlineStr">
        <is>
          <t>KRW</t>
        </is>
      </c>
      <c r="Q277" s="27" t="inlineStr">
        <is>
          <t>38</t>
        </is>
      </c>
    </row>
    <row r="278" ht="24" customHeight="1">
      <c r="A278" s="32" t="inlineStr">
        <is>
          <t>OpenDART_fnlttSinglAcntAll</t>
        </is>
      </c>
      <c r="B278" s="32" t="inlineStr">
        <is>
          <t>00118804</t>
        </is>
      </c>
      <c r="C278" s="32" t="inlineStr">
        <is>
          <t>동진쎄미켐</t>
        </is>
      </c>
      <c r="D278" s="32" t="inlineStr">
        <is>
          <t>dongjin_semichem</t>
        </is>
      </c>
      <c r="E278" s="32" t="inlineStr">
        <is>
          <t>005290</t>
        </is>
      </c>
      <c r="F278" s="32" t="inlineStr">
        <is>
          <t>2022</t>
        </is>
      </c>
      <c r="G278" s="32" t="inlineStr">
        <is>
          <t>CFS</t>
        </is>
      </c>
      <c r="H278" s="32" t="inlineStr">
        <is>
          <t>BS</t>
        </is>
      </c>
      <c r="I278" s="32" t="inlineStr">
        <is>
          <t>재무상태표</t>
        </is>
      </c>
      <c r="J278" s="32" t="inlineStr">
        <is>
          <t>-표준계정코드 미사용-</t>
        </is>
      </c>
      <c r="K278" s="32" t="inlineStr">
        <is>
          <t>기타불입자본</t>
        </is>
      </c>
      <c r="L278" s="32" t="inlineStr">
        <is>
          <t>-</t>
        </is>
      </c>
      <c r="M278" s="32" t="inlineStr">
        <is>
          <t>제 50 기</t>
        </is>
      </c>
      <c r="N278" s="32" t="inlineStr">
        <is>
          <t>122997090161.0</t>
        </is>
      </c>
      <c r="O278" s="32" t="inlineStr">
        <is>
          <t>122997090161.0</t>
        </is>
      </c>
      <c r="P278" s="32" t="inlineStr">
        <is>
          <t>KRW</t>
        </is>
      </c>
      <c r="Q278" s="32" t="inlineStr">
        <is>
          <t>39</t>
        </is>
      </c>
    </row>
    <row r="279" ht="24" customHeight="1">
      <c r="A279" s="27" t="inlineStr">
        <is>
          <t>OpenDART_fnlttSinglAcntAll</t>
        </is>
      </c>
      <c r="B279" s="27" t="inlineStr">
        <is>
          <t>00118804</t>
        </is>
      </c>
      <c r="C279" s="27" t="inlineStr">
        <is>
          <t>동진쎄미켐</t>
        </is>
      </c>
      <c r="D279" s="27" t="inlineStr">
        <is>
          <t>dongjin_semichem</t>
        </is>
      </c>
      <c r="E279" s="27" t="inlineStr">
        <is>
          <t>005290</t>
        </is>
      </c>
      <c r="F279" s="27" t="inlineStr">
        <is>
          <t>2022</t>
        </is>
      </c>
      <c r="G279" s="27" t="inlineStr">
        <is>
          <t>CFS</t>
        </is>
      </c>
      <c r="H279" s="27" t="inlineStr">
        <is>
          <t>BS</t>
        </is>
      </c>
      <c r="I279" s="27" t="inlineStr">
        <is>
          <t>재무상태표</t>
        </is>
      </c>
      <c r="J279" s="27" t="inlineStr">
        <is>
          <t>dart_ElementsOfOtherStockholdersEquity</t>
        </is>
      </c>
      <c r="K279" s="27" t="inlineStr">
        <is>
          <t>기타자본구성요소</t>
        </is>
      </c>
      <c r="L279" s="27" t="inlineStr">
        <is>
          <t>-</t>
        </is>
      </c>
      <c r="M279" s="27" t="inlineStr">
        <is>
          <t>제 50 기</t>
        </is>
      </c>
      <c r="N279" s="27" t="inlineStr">
        <is>
          <t>27124759320.0</t>
        </is>
      </c>
      <c r="O279" s="27" t="inlineStr">
        <is>
          <t>36880548974.0</t>
        </is>
      </c>
      <c r="P279" s="27" t="inlineStr">
        <is>
          <t>KRW</t>
        </is>
      </c>
      <c r="Q279" s="27" t="inlineStr">
        <is>
          <t>40</t>
        </is>
      </c>
    </row>
    <row r="280" ht="24" customHeight="1">
      <c r="A280" s="32" t="inlineStr">
        <is>
          <t>OpenDART_fnlttSinglAcntAll</t>
        </is>
      </c>
      <c r="B280" s="32" t="inlineStr">
        <is>
          <t>00118804</t>
        </is>
      </c>
      <c r="C280" s="32" t="inlineStr">
        <is>
          <t>동진쎄미켐</t>
        </is>
      </c>
      <c r="D280" s="32" t="inlineStr">
        <is>
          <t>dongjin_semichem</t>
        </is>
      </c>
      <c r="E280" s="32" t="inlineStr">
        <is>
          <t>005290</t>
        </is>
      </c>
      <c r="F280" s="32" t="inlineStr">
        <is>
          <t>2022</t>
        </is>
      </c>
      <c r="G280" s="32" t="inlineStr">
        <is>
          <t>CFS</t>
        </is>
      </c>
      <c r="H280" s="32" t="inlineStr">
        <is>
          <t>BS</t>
        </is>
      </c>
      <c r="I280" s="32" t="inlineStr">
        <is>
          <t>재무상태표</t>
        </is>
      </c>
      <c r="J280" s="32" t="inlineStr">
        <is>
          <t>ifrs-full_RetainedEarnings</t>
        </is>
      </c>
      <c r="K280" s="32" t="inlineStr">
        <is>
          <t>이익잉여금</t>
        </is>
      </c>
      <c r="L280" s="32" t="inlineStr">
        <is>
          <t>-</t>
        </is>
      </c>
      <c r="M280" s="32" t="inlineStr">
        <is>
          <t>제 50 기</t>
        </is>
      </c>
      <c r="N280" s="32" t="inlineStr">
        <is>
          <t>521015824109.0</t>
        </is>
      </c>
      <c r="O280" s="32" t="inlineStr">
        <is>
          <t>367863610135.0</t>
        </is>
      </c>
      <c r="P280" s="32" t="inlineStr">
        <is>
          <t>KRW</t>
        </is>
      </c>
      <c r="Q280" s="32" t="inlineStr">
        <is>
          <t>41</t>
        </is>
      </c>
    </row>
    <row r="281" ht="24" customHeight="1">
      <c r="A281" s="27" t="inlineStr">
        <is>
          <t>OpenDART_fnlttSinglAcntAll</t>
        </is>
      </c>
      <c r="B281" s="27" t="inlineStr">
        <is>
          <t>00118804</t>
        </is>
      </c>
      <c r="C281" s="27" t="inlineStr">
        <is>
          <t>동진쎄미켐</t>
        </is>
      </c>
      <c r="D281" s="27" t="inlineStr">
        <is>
          <t>dongjin_semichem</t>
        </is>
      </c>
      <c r="E281" s="27" t="inlineStr">
        <is>
          <t>005290</t>
        </is>
      </c>
      <c r="F281" s="27" t="inlineStr">
        <is>
          <t>2022</t>
        </is>
      </c>
      <c r="G281" s="27" t="inlineStr">
        <is>
          <t>CFS</t>
        </is>
      </c>
      <c r="H281" s="27" t="inlineStr">
        <is>
          <t>BS</t>
        </is>
      </c>
      <c r="I281" s="27" t="inlineStr">
        <is>
          <t>재무상태표</t>
        </is>
      </c>
      <c r="J281" s="27" t="inlineStr">
        <is>
          <t>ifrs-full_NoncontrollingInterests</t>
        </is>
      </c>
      <c r="K281" s="27" t="inlineStr">
        <is>
          <t>비지배지분</t>
        </is>
      </c>
      <c r="L281" s="27" t="inlineStr">
        <is>
          <t>-</t>
        </is>
      </c>
      <c r="M281" s="27" t="inlineStr">
        <is>
          <t>제 50 기</t>
        </is>
      </c>
      <c r="N281" s="27" t="inlineStr">
        <is>
          <t>3942443240.0</t>
        </is>
      </c>
      <c r="O281" s="27" t="inlineStr">
        <is>
          <t>7585003685.0</t>
        </is>
      </c>
      <c r="P281" s="27" t="inlineStr">
        <is>
          <t>KRW</t>
        </is>
      </c>
      <c r="Q281" s="27" t="inlineStr">
        <is>
          <t>42</t>
        </is>
      </c>
    </row>
    <row r="282" ht="24" customHeight="1">
      <c r="A282" s="32" t="inlineStr">
        <is>
          <t>OpenDART_fnlttSinglAcntAll</t>
        </is>
      </c>
      <c r="B282" s="32" t="inlineStr">
        <is>
          <t>00118804</t>
        </is>
      </c>
      <c r="C282" s="32" t="inlineStr">
        <is>
          <t>동진쎄미켐</t>
        </is>
      </c>
      <c r="D282" s="32" t="inlineStr">
        <is>
          <t>dongjin_semichem</t>
        </is>
      </c>
      <c r="E282" s="32" t="inlineStr">
        <is>
          <t>005290</t>
        </is>
      </c>
      <c r="F282" s="32" t="inlineStr">
        <is>
          <t>2022</t>
        </is>
      </c>
      <c r="G282" s="32" t="inlineStr">
        <is>
          <t>CFS</t>
        </is>
      </c>
      <c r="H282" s="32" t="inlineStr">
        <is>
          <t>BS</t>
        </is>
      </c>
      <c r="I282" s="32" t="inlineStr">
        <is>
          <t>재무상태표</t>
        </is>
      </c>
      <c r="J282" s="32" t="inlineStr">
        <is>
          <t>ifrs-full_Equity</t>
        </is>
      </c>
      <c r="K282" s="32" t="inlineStr">
        <is>
          <t>자본총계</t>
        </is>
      </c>
      <c r="L282" s="32" t="inlineStr">
        <is>
          <t>-</t>
        </is>
      </c>
      <c r="M282" s="32" t="inlineStr">
        <is>
          <t>제 50 기</t>
        </is>
      </c>
      <c r="N282" s="32" t="inlineStr">
        <is>
          <t>700787363830.0</t>
        </is>
      </c>
      <c r="O282" s="32" t="inlineStr">
        <is>
          <t>561033499955.0</t>
        </is>
      </c>
      <c r="P282" s="32" t="inlineStr">
        <is>
          <t>KRW</t>
        </is>
      </c>
      <c r="Q282" s="32" t="inlineStr">
        <is>
          <t>43</t>
        </is>
      </c>
    </row>
    <row r="283" ht="24" customHeight="1">
      <c r="A283" s="27" t="inlineStr">
        <is>
          <t>OpenDART_fnlttSinglAcntAll</t>
        </is>
      </c>
      <c r="B283" s="27" t="inlineStr">
        <is>
          <t>00118804</t>
        </is>
      </c>
      <c r="C283" s="27" t="inlineStr">
        <is>
          <t>동진쎄미켐</t>
        </is>
      </c>
      <c r="D283" s="27" t="inlineStr">
        <is>
          <t>dongjin_semichem</t>
        </is>
      </c>
      <c r="E283" s="27" t="inlineStr">
        <is>
          <t>005290</t>
        </is>
      </c>
      <c r="F283" s="27" t="inlineStr">
        <is>
          <t>2022</t>
        </is>
      </c>
      <c r="G283" s="27" t="inlineStr">
        <is>
          <t>CFS</t>
        </is>
      </c>
      <c r="H283" s="27" t="inlineStr">
        <is>
          <t>BS</t>
        </is>
      </c>
      <c r="I283" s="27" t="inlineStr">
        <is>
          <t>재무상태표</t>
        </is>
      </c>
      <c r="J283" s="27" t="inlineStr">
        <is>
          <t>ifrs-full_EquityAndLiabilities</t>
        </is>
      </c>
      <c r="K283" s="27" t="inlineStr">
        <is>
          <t>자본과부채총계</t>
        </is>
      </c>
      <c r="L283" s="27" t="inlineStr">
        <is>
          <t>-</t>
        </is>
      </c>
      <c r="M283" s="27" t="inlineStr">
        <is>
          <t>제 50 기</t>
        </is>
      </c>
      <c r="N283" s="27" t="inlineStr">
        <is>
          <t>1374303530098.0</t>
        </is>
      </c>
      <c r="O283" s="27" t="inlineStr">
        <is>
          <t>1186189143728.0</t>
        </is>
      </c>
      <c r="P283" s="27" t="inlineStr">
        <is>
          <t>KRW</t>
        </is>
      </c>
      <c r="Q283" s="27" t="inlineStr">
        <is>
          <t>44</t>
        </is>
      </c>
    </row>
    <row r="284" ht="24" customHeight="1">
      <c r="A284" s="32" t="inlineStr">
        <is>
          <t>OpenDART_fnlttSinglAcntAll</t>
        </is>
      </c>
      <c r="B284" s="32" t="inlineStr">
        <is>
          <t>00118804</t>
        </is>
      </c>
      <c r="C284" s="32" t="inlineStr">
        <is>
          <t>동진쎄미켐</t>
        </is>
      </c>
      <c r="D284" s="32" t="inlineStr">
        <is>
          <t>dongjin_semichem</t>
        </is>
      </c>
      <c r="E284" s="32" t="inlineStr">
        <is>
          <t>005290</t>
        </is>
      </c>
      <c r="F284" s="32" t="inlineStr">
        <is>
          <t>2022</t>
        </is>
      </c>
      <c r="G284" s="32" t="inlineStr">
        <is>
          <t>CFS</t>
        </is>
      </c>
      <c r="H284" s="32" t="inlineStr">
        <is>
          <t>CIS</t>
        </is>
      </c>
      <c r="I284" s="32" t="inlineStr">
        <is>
          <t>포괄손익계산서</t>
        </is>
      </c>
      <c r="J284" s="32" t="inlineStr">
        <is>
          <t>ifrs-full_Revenue</t>
        </is>
      </c>
      <c r="K284" s="32" t="inlineStr">
        <is>
          <t>수익</t>
        </is>
      </c>
      <c r="L284" s="32" t="inlineStr">
        <is>
          <t>-</t>
        </is>
      </c>
      <c r="M284" s="32" t="inlineStr">
        <is>
          <t>제 50 기</t>
        </is>
      </c>
      <c r="N284" s="32" t="inlineStr">
        <is>
          <t>1457214808307.0</t>
        </is>
      </c>
      <c r="O284" s="32" t="inlineStr">
        <is>
          <t>1161284077161.0</t>
        </is>
      </c>
      <c r="P284" s="32" t="inlineStr">
        <is>
          <t>KRW</t>
        </is>
      </c>
      <c r="Q284" s="32" t="inlineStr">
        <is>
          <t>0</t>
        </is>
      </c>
    </row>
    <row r="285" ht="24" customHeight="1">
      <c r="A285" s="27" t="inlineStr">
        <is>
          <t>OpenDART_fnlttSinglAcntAll</t>
        </is>
      </c>
      <c r="B285" s="27" t="inlineStr">
        <is>
          <t>00118804</t>
        </is>
      </c>
      <c r="C285" s="27" t="inlineStr">
        <is>
          <t>동진쎄미켐</t>
        </is>
      </c>
      <c r="D285" s="27" t="inlineStr">
        <is>
          <t>dongjin_semichem</t>
        </is>
      </c>
      <c r="E285" s="27" t="inlineStr">
        <is>
          <t>005290</t>
        </is>
      </c>
      <c r="F285" s="27" t="inlineStr">
        <is>
          <t>2022</t>
        </is>
      </c>
      <c r="G285" s="27" t="inlineStr">
        <is>
          <t>CFS</t>
        </is>
      </c>
      <c r="H285" s="27" t="inlineStr">
        <is>
          <t>CIS</t>
        </is>
      </c>
      <c r="I285" s="27" t="inlineStr">
        <is>
          <t>포괄손익계산서</t>
        </is>
      </c>
      <c r="J285" s="27" t="inlineStr">
        <is>
          <t>ifrs-full_CostOfSales</t>
        </is>
      </c>
      <c r="K285" s="27" t="inlineStr">
        <is>
          <t>매출원가</t>
        </is>
      </c>
      <c r="L285" s="27" t="inlineStr">
        <is>
          <t>-</t>
        </is>
      </c>
      <c r="M285" s="27" t="inlineStr">
        <is>
          <t>제 50 기</t>
        </is>
      </c>
      <c r="N285" s="27" t="inlineStr">
        <is>
          <t>1120425476950.0</t>
        </is>
      </c>
      <c r="O285" s="27" t="inlineStr">
        <is>
          <t>921113882147.0</t>
        </is>
      </c>
      <c r="P285" s="27" t="inlineStr">
        <is>
          <t>KRW</t>
        </is>
      </c>
      <c r="Q285" s="27" t="inlineStr">
        <is>
          <t>1</t>
        </is>
      </c>
    </row>
    <row r="286" ht="24" customHeight="1">
      <c r="A286" s="32" t="inlineStr">
        <is>
          <t>OpenDART_fnlttSinglAcntAll</t>
        </is>
      </c>
      <c r="B286" s="32" t="inlineStr">
        <is>
          <t>00118804</t>
        </is>
      </c>
      <c r="C286" s="32" t="inlineStr">
        <is>
          <t>동진쎄미켐</t>
        </is>
      </c>
      <c r="D286" s="32" t="inlineStr">
        <is>
          <t>dongjin_semichem</t>
        </is>
      </c>
      <c r="E286" s="32" t="inlineStr">
        <is>
          <t>005290</t>
        </is>
      </c>
      <c r="F286" s="32" t="inlineStr">
        <is>
          <t>2022</t>
        </is>
      </c>
      <c r="G286" s="32" t="inlineStr">
        <is>
          <t>CFS</t>
        </is>
      </c>
      <c r="H286" s="32" t="inlineStr">
        <is>
          <t>CIS</t>
        </is>
      </c>
      <c r="I286" s="32" t="inlineStr">
        <is>
          <t>포괄손익계산서</t>
        </is>
      </c>
      <c r="J286" s="32" t="inlineStr">
        <is>
          <t>ifrs-full_GrossProfit</t>
        </is>
      </c>
      <c r="K286" s="32" t="inlineStr">
        <is>
          <t>매출총이익</t>
        </is>
      </c>
      <c r="L286" s="32" t="inlineStr">
        <is>
          <t>-</t>
        </is>
      </c>
      <c r="M286" s="32" t="inlineStr">
        <is>
          <t>제 50 기</t>
        </is>
      </c>
      <c r="N286" s="32" t="inlineStr">
        <is>
          <t>336789331357.0</t>
        </is>
      </c>
      <c r="O286" s="32" t="inlineStr">
        <is>
          <t>240170195014.0</t>
        </is>
      </c>
      <c r="P286" s="32" t="inlineStr">
        <is>
          <t>KRW</t>
        </is>
      </c>
      <c r="Q286" s="32" t="inlineStr">
        <is>
          <t>2</t>
        </is>
      </c>
    </row>
    <row r="287" ht="24" customHeight="1">
      <c r="A287" s="27" t="inlineStr">
        <is>
          <t>OpenDART_fnlttSinglAcntAll</t>
        </is>
      </c>
      <c r="B287" s="27" t="inlineStr">
        <is>
          <t>00118804</t>
        </is>
      </c>
      <c r="C287" s="27" t="inlineStr">
        <is>
          <t>동진쎄미켐</t>
        </is>
      </c>
      <c r="D287" s="27" t="inlineStr">
        <is>
          <t>dongjin_semichem</t>
        </is>
      </c>
      <c r="E287" s="27" t="inlineStr">
        <is>
          <t>005290</t>
        </is>
      </c>
      <c r="F287" s="27" t="inlineStr">
        <is>
          <t>2022</t>
        </is>
      </c>
      <c r="G287" s="27" t="inlineStr">
        <is>
          <t>CFS</t>
        </is>
      </c>
      <c r="H287" s="27" t="inlineStr">
        <is>
          <t>CIS</t>
        </is>
      </c>
      <c r="I287" s="27" t="inlineStr">
        <is>
          <t>포괄손익계산서</t>
        </is>
      </c>
      <c r="J287" s="27" t="inlineStr">
        <is>
          <t>dart_TotalSellingGeneralAdministrativeExpenses</t>
        </is>
      </c>
      <c r="K287" s="27" t="inlineStr">
        <is>
          <t>판매비와관리비</t>
        </is>
      </c>
      <c r="L287" s="27" t="inlineStr">
        <is>
          <t>-</t>
        </is>
      </c>
      <c r="M287" s="27" t="inlineStr">
        <is>
          <t>제 50 기</t>
        </is>
      </c>
      <c r="N287" s="27" t="inlineStr">
        <is>
          <t>120480628003.0</t>
        </is>
      </c>
      <c r="O287" s="27" t="inlineStr">
        <is>
          <t>108355261113.0</t>
        </is>
      </c>
      <c r="P287" s="27" t="inlineStr">
        <is>
          <t>KRW</t>
        </is>
      </c>
      <c r="Q287" s="27" t="inlineStr">
        <is>
          <t>3</t>
        </is>
      </c>
    </row>
    <row r="288" ht="24" customHeight="1">
      <c r="A288" s="32" t="inlineStr">
        <is>
          <t>OpenDART_fnlttSinglAcntAll</t>
        </is>
      </c>
      <c r="B288" s="32" t="inlineStr">
        <is>
          <t>00118804</t>
        </is>
      </c>
      <c r="C288" s="32" t="inlineStr">
        <is>
          <t>동진쎄미켐</t>
        </is>
      </c>
      <c r="D288" s="32" t="inlineStr">
        <is>
          <t>dongjin_semichem</t>
        </is>
      </c>
      <c r="E288" s="32" t="inlineStr">
        <is>
          <t>005290</t>
        </is>
      </c>
      <c r="F288" s="32" t="inlineStr">
        <is>
          <t>2022</t>
        </is>
      </c>
      <c r="G288" s="32" t="inlineStr">
        <is>
          <t>CFS</t>
        </is>
      </c>
      <c r="H288" s="32" t="inlineStr">
        <is>
          <t>CIS</t>
        </is>
      </c>
      <c r="I288" s="32" t="inlineStr">
        <is>
          <t>포괄손익계산서</t>
        </is>
      </c>
      <c r="J288" s="32" t="inlineStr">
        <is>
          <t>dart_FreightExpenses</t>
        </is>
      </c>
      <c r="K288" s="32" t="inlineStr">
        <is>
          <t>물류비</t>
        </is>
      </c>
      <c r="L288" s="32" t="inlineStr">
        <is>
          <t>-</t>
        </is>
      </c>
      <c r="M288" s="32" t="inlineStr">
        <is>
          <t>제 50 기</t>
        </is>
      </c>
      <c r="N288" s="32" t="inlineStr">
        <is>
          <t>33646900170.0</t>
        </is>
      </c>
      <c r="O288" s="32" t="inlineStr">
        <is>
          <t>26629495270.0</t>
        </is>
      </c>
      <c r="P288" s="32" t="inlineStr">
        <is>
          <t>KRW</t>
        </is>
      </c>
      <c r="Q288" s="32" t="inlineStr">
        <is>
          <t>4</t>
        </is>
      </c>
    </row>
    <row r="289" ht="24" customHeight="1">
      <c r="A289" s="27" t="inlineStr">
        <is>
          <t>OpenDART_fnlttSinglAcntAll</t>
        </is>
      </c>
      <c r="B289" s="27" t="inlineStr">
        <is>
          <t>00118804</t>
        </is>
      </c>
      <c r="C289" s="27" t="inlineStr">
        <is>
          <t>동진쎄미켐</t>
        </is>
      </c>
      <c r="D289" s="27" t="inlineStr">
        <is>
          <t>dongjin_semichem</t>
        </is>
      </c>
      <c r="E289" s="27" t="inlineStr">
        <is>
          <t>005290</t>
        </is>
      </c>
      <c r="F289" s="27" t="inlineStr">
        <is>
          <t>2022</t>
        </is>
      </c>
      <c r="G289" s="27" t="inlineStr">
        <is>
          <t>CFS</t>
        </is>
      </c>
      <c r="H289" s="27" t="inlineStr">
        <is>
          <t>CIS</t>
        </is>
      </c>
      <c r="I289" s="27" t="inlineStr">
        <is>
          <t>포괄손익계산서</t>
        </is>
      </c>
      <c r="J289" s="27" t="inlineStr">
        <is>
          <t>dart_MiscellaneousExpenses</t>
        </is>
      </c>
      <c r="K289" s="27" t="inlineStr">
        <is>
          <t>판매관리비</t>
        </is>
      </c>
      <c r="L289" s="27" t="inlineStr">
        <is>
          <t>-</t>
        </is>
      </c>
      <c r="M289" s="27" t="inlineStr">
        <is>
          <t>제 50 기</t>
        </is>
      </c>
      <c r="N289" s="27" t="inlineStr">
        <is>
          <t>70666789691.0</t>
        </is>
      </c>
      <c r="O289" s="27" t="inlineStr">
        <is>
          <t>64472143619.0</t>
        </is>
      </c>
      <c r="P289" s="27" t="inlineStr">
        <is>
          <t>KRW</t>
        </is>
      </c>
      <c r="Q289" s="27" t="inlineStr">
        <is>
          <t>5</t>
        </is>
      </c>
    </row>
    <row r="290" ht="24" customHeight="1">
      <c r="A290" s="32" t="inlineStr">
        <is>
          <t>OpenDART_fnlttSinglAcntAll</t>
        </is>
      </c>
      <c r="B290" s="32" t="inlineStr">
        <is>
          <t>00118804</t>
        </is>
      </c>
      <c r="C290" s="32" t="inlineStr">
        <is>
          <t>동진쎄미켐</t>
        </is>
      </c>
      <c r="D290" s="32" t="inlineStr">
        <is>
          <t>dongjin_semichem</t>
        </is>
      </c>
      <c r="E290" s="32" t="inlineStr">
        <is>
          <t>005290</t>
        </is>
      </c>
      <c r="F290" s="32" t="inlineStr">
        <is>
          <t>2022</t>
        </is>
      </c>
      <c r="G290" s="32" t="inlineStr">
        <is>
          <t>CFS</t>
        </is>
      </c>
      <c r="H290" s="32" t="inlineStr">
        <is>
          <t>CIS</t>
        </is>
      </c>
      <c r="I290" s="32" t="inlineStr">
        <is>
          <t>포괄손익계산서</t>
        </is>
      </c>
      <c r="J290" s="32" t="inlineStr">
        <is>
          <t>dart_ResearchExpense</t>
        </is>
      </c>
      <c r="K290" s="32" t="inlineStr">
        <is>
          <t>연구개발비</t>
        </is>
      </c>
      <c r="L290" s="32" t="inlineStr">
        <is>
          <t>-</t>
        </is>
      </c>
      <c r="M290" s="32" t="inlineStr">
        <is>
          <t>제 50 기</t>
        </is>
      </c>
      <c r="N290" s="32" t="inlineStr">
        <is>
          <t>16166938142.0</t>
        </is>
      </c>
      <c r="O290" s="32" t="inlineStr">
        <is>
          <t>17253622224.0</t>
        </is>
      </c>
      <c r="P290" s="32" t="inlineStr">
        <is>
          <t>KRW</t>
        </is>
      </c>
      <c r="Q290" s="32" t="inlineStr">
        <is>
          <t>6</t>
        </is>
      </c>
    </row>
    <row r="291" ht="24" customHeight="1">
      <c r="A291" s="27" t="inlineStr">
        <is>
          <t>OpenDART_fnlttSinglAcntAll</t>
        </is>
      </c>
      <c r="B291" s="27" t="inlineStr">
        <is>
          <t>00118804</t>
        </is>
      </c>
      <c r="C291" s="27" t="inlineStr">
        <is>
          <t>동진쎄미켐</t>
        </is>
      </c>
      <c r="D291" s="27" t="inlineStr">
        <is>
          <t>dongjin_semichem</t>
        </is>
      </c>
      <c r="E291" s="27" t="inlineStr">
        <is>
          <t>005290</t>
        </is>
      </c>
      <c r="F291" s="27" t="inlineStr">
        <is>
          <t>2022</t>
        </is>
      </c>
      <c r="G291" s="27" t="inlineStr">
        <is>
          <t>CFS</t>
        </is>
      </c>
      <c r="H291" s="27" t="inlineStr">
        <is>
          <t>CIS</t>
        </is>
      </c>
      <c r="I291" s="27" t="inlineStr">
        <is>
          <t>포괄손익계산서</t>
        </is>
      </c>
      <c r="J291" s="27" t="inlineStr">
        <is>
          <t>dart_OperatingIncomeLoss</t>
        </is>
      </c>
      <c r="K291" s="27" t="inlineStr">
        <is>
          <t>영업이익(손실)</t>
        </is>
      </c>
      <c r="L291" s="27" t="inlineStr">
        <is>
          <t>-</t>
        </is>
      </c>
      <c r="M291" s="27" t="inlineStr">
        <is>
          <t>제 50 기</t>
        </is>
      </c>
      <c r="N291" s="27" t="inlineStr">
        <is>
          <t>216308703354.0</t>
        </is>
      </c>
      <c r="O291" s="27" t="inlineStr">
        <is>
          <t>131814933901.0</t>
        </is>
      </c>
      <c r="P291" s="27" t="inlineStr">
        <is>
          <t>KRW</t>
        </is>
      </c>
      <c r="Q291" s="27" t="inlineStr">
        <is>
          <t>7</t>
        </is>
      </c>
    </row>
    <row r="292" ht="24" customHeight="1">
      <c r="A292" s="32" t="inlineStr">
        <is>
          <t>OpenDART_fnlttSinglAcntAll</t>
        </is>
      </c>
      <c r="B292" s="32" t="inlineStr">
        <is>
          <t>00118804</t>
        </is>
      </c>
      <c r="C292" s="32" t="inlineStr">
        <is>
          <t>동진쎄미켐</t>
        </is>
      </c>
      <c r="D292" s="32" t="inlineStr">
        <is>
          <t>dongjin_semichem</t>
        </is>
      </c>
      <c r="E292" s="32" t="inlineStr">
        <is>
          <t>005290</t>
        </is>
      </c>
      <c r="F292" s="32" t="inlineStr">
        <is>
          <t>2022</t>
        </is>
      </c>
      <c r="G292" s="32" t="inlineStr">
        <is>
          <t>CFS</t>
        </is>
      </c>
      <c r="H292" s="32" t="inlineStr">
        <is>
          <t>CIS</t>
        </is>
      </c>
      <c r="I292" s="32" t="inlineStr">
        <is>
          <t>포괄손익계산서</t>
        </is>
      </c>
      <c r="J292" s="32" t="inlineStr">
        <is>
          <t>ifrs-full_FinanceIncome</t>
        </is>
      </c>
      <c r="K292" s="32" t="inlineStr">
        <is>
          <t>금융수익</t>
        </is>
      </c>
      <c r="L292" s="32" t="inlineStr">
        <is>
          <t>-</t>
        </is>
      </c>
      <c r="M292" s="32" t="inlineStr">
        <is>
          <t>제 50 기</t>
        </is>
      </c>
      <c r="N292" s="32" t="inlineStr">
        <is>
          <t>3508830353.0</t>
        </is>
      </c>
      <c r="O292" s="32" t="inlineStr">
        <is>
          <t>1295684151.0</t>
        </is>
      </c>
      <c r="P292" s="32" t="inlineStr">
        <is>
          <t>KRW</t>
        </is>
      </c>
      <c r="Q292" s="32" t="inlineStr">
        <is>
          <t>8</t>
        </is>
      </c>
    </row>
    <row r="293" ht="24" customHeight="1">
      <c r="A293" s="27" t="inlineStr">
        <is>
          <t>OpenDART_fnlttSinglAcntAll</t>
        </is>
      </c>
      <c r="B293" s="27" t="inlineStr">
        <is>
          <t>00118804</t>
        </is>
      </c>
      <c r="C293" s="27" t="inlineStr">
        <is>
          <t>동진쎄미켐</t>
        </is>
      </c>
      <c r="D293" s="27" t="inlineStr">
        <is>
          <t>dongjin_semichem</t>
        </is>
      </c>
      <c r="E293" s="27" t="inlineStr">
        <is>
          <t>005290</t>
        </is>
      </c>
      <c r="F293" s="27" t="inlineStr">
        <is>
          <t>2022</t>
        </is>
      </c>
      <c r="G293" s="27" t="inlineStr">
        <is>
          <t>CFS</t>
        </is>
      </c>
      <c r="H293" s="27" t="inlineStr">
        <is>
          <t>CIS</t>
        </is>
      </c>
      <c r="I293" s="27" t="inlineStr">
        <is>
          <t>포괄손익계산서</t>
        </is>
      </c>
      <c r="J293" s="27" t="inlineStr">
        <is>
          <t>ifrs-full_FinanceCosts</t>
        </is>
      </c>
      <c r="K293" s="27" t="inlineStr">
        <is>
          <t>금융비용</t>
        </is>
      </c>
      <c r="L293" s="27" t="inlineStr">
        <is>
          <t>-</t>
        </is>
      </c>
      <c r="M293" s="27" t="inlineStr">
        <is>
          <t>제 50 기</t>
        </is>
      </c>
      <c r="N293" s="27" t="inlineStr">
        <is>
          <t>14783664788.0</t>
        </is>
      </c>
      <c r="O293" s="27" t="inlineStr">
        <is>
          <t>9927381308.0</t>
        </is>
      </c>
      <c r="P293" s="27" t="inlineStr">
        <is>
          <t>KRW</t>
        </is>
      </c>
      <c r="Q293" s="27" t="inlineStr">
        <is>
          <t>9</t>
        </is>
      </c>
    </row>
    <row r="294" ht="24" customHeight="1">
      <c r="A294" s="32" t="inlineStr">
        <is>
          <t>OpenDART_fnlttSinglAcntAll</t>
        </is>
      </c>
      <c r="B294" s="32" t="inlineStr">
        <is>
          <t>00118804</t>
        </is>
      </c>
      <c r="C294" s="32" t="inlineStr">
        <is>
          <t>동진쎄미켐</t>
        </is>
      </c>
      <c r="D294" s="32" t="inlineStr">
        <is>
          <t>dongjin_semichem</t>
        </is>
      </c>
      <c r="E294" s="32" t="inlineStr">
        <is>
          <t>005290</t>
        </is>
      </c>
      <c r="F294" s="32" t="inlineStr">
        <is>
          <t>2022</t>
        </is>
      </c>
      <c r="G294" s="32" t="inlineStr">
        <is>
          <t>CFS</t>
        </is>
      </c>
      <c r="H294" s="32" t="inlineStr">
        <is>
          <t>CIS</t>
        </is>
      </c>
      <c r="I294" s="32" t="inlineStr">
        <is>
          <t>포괄손익계산서</t>
        </is>
      </c>
      <c r="J294" s="32" t="inlineStr">
        <is>
          <t>-표준계정코드 미사용-</t>
        </is>
      </c>
      <c r="K294" s="32" t="inlineStr">
        <is>
          <t>지분법손실</t>
        </is>
      </c>
      <c r="L294" s="32" t="inlineStr">
        <is>
          <t>-</t>
        </is>
      </c>
      <c r="M294" s="32" t="inlineStr">
        <is>
          <t>제 50 기</t>
        </is>
      </c>
      <c r="N294" s="32" t="inlineStr">
        <is>
          <t>-3829704592.0</t>
        </is>
      </c>
      <c r="O294" s="32" t="inlineStr">
        <is>
          <t>-602467452.0</t>
        </is>
      </c>
      <c r="P294" s="32" t="inlineStr">
        <is>
          <t>KRW</t>
        </is>
      </c>
      <c r="Q294" s="32" t="inlineStr">
        <is>
          <t>10</t>
        </is>
      </c>
    </row>
    <row r="295" ht="24" customHeight="1">
      <c r="A295" s="27" t="inlineStr">
        <is>
          <t>OpenDART_fnlttSinglAcntAll</t>
        </is>
      </c>
      <c r="B295" s="27" t="inlineStr">
        <is>
          <t>00118804</t>
        </is>
      </c>
      <c r="C295" s="27" t="inlineStr">
        <is>
          <t>동진쎄미켐</t>
        </is>
      </c>
      <c r="D295" s="27" t="inlineStr">
        <is>
          <t>dongjin_semichem</t>
        </is>
      </c>
      <c r="E295" s="27" t="inlineStr">
        <is>
          <t>005290</t>
        </is>
      </c>
      <c r="F295" s="27" t="inlineStr">
        <is>
          <t>2022</t>
        </is>
      </c>
      <c r="G295" s="27" t="inlineStr">
        <is>
          <t>CFS</t>
        </is>
      </c>
      <c r="H295" s="27" t="inlineStr">
        <is>
          <t>CIS</t>
        </is>
      </c>
      <c r="I295" s="27" t="inlineStr">
        <is>
          <t>포괄손익계산서</t>
        </is>
      </c>
      <c r="J295" s="27" t="inlineStr">
        <is>
          <t>-표준계정코드 미사용-</t>
        </is>
      </c>
      <c r="K295" s="27" t="inlineStr">
        <is>
          <t>기타영업외손익</t>
        </is>
      </c>
      <c r="L295" s="27" t="inlineStr">
        <is>
          <t>-</t>
        </is>
      </c>
      <c r="M295" s="27" t="inlineStr">
        <is>
          <t>제 50 기</t>
        </is>
      </c>
      <c r="N295" s="27" t="inlineStr">
        <is>
          <t>9759797746.0</t>
        </is>
      </c>
      <c r="O295" s="27" t="inlineStr">
        <is>
          <t>13215622958.0</t>
        </is>
      </c>
      <c r="P295" s="27" t="inlineStr">
        <is>
          <t>KRW</t>
        </is>
      </c>
      <c r="Q295" s="27" t="inlineStr">
        <is>
          <t>11</t>
        </is>
      </c>
    </row>
    <row r="296" ht="24" customHeight="1">
      <c r="A296" s="32" t="inlineStr">
        <is>
          <t>OpenDART_fnlttSinglAcntAll</t>
        </is>
      </c>
      <c r="B296" s="32" t="inlineStr">
        <is>
          <t>00118804</t>
        </is>
      </c>
      <c r="C296" s="32" t="inlineStr">
        <is>
          <t>동진쎄미켐</t>
        </is>
      </c>
      <c r="D296" s="32" t="inlineStr">
        <is>
          <t>dongjin_semichem</t>
        </is>
      </c>
      <c r="E296" s="32" t="inlineStr">
        <is>
          <t>005290</t>
        </is>
      </c>
      <c r="F296" s="32" t="inlineStr">
        <is>
          <t>2022</t>
        </is>
      </c>
      <c r="G296" s="32" t="inlineStr">
        <is>
          <t>CFS</t>
        </is>
      </c>
      <c r="H296" s="32" t="inlineStr">
        <is>
          <t>CIS</t>
        </is>
      </c>
      <c r="I296" s="32" t="inlineStr">
        <is>
          <t>포괄손익계산서</t>
        </is>
      </c>
      <c r="J296" s="32" t="inlineStr">
        <is>
          <t>ifrs-full_ProfitLossBeforeTax</t>
        </is>
      </c>
      <c r="K296" s="32" t="inlineStr">
        <is>
          <t>법인세비용차감전순이익</t>
        </is>
      </c>
      <c r="L296" s="32" t="inlineStr">
        <is>
          <t>-</t>
        </is>
      </c>
      <c r="M296" s="32" t="inlineStr">
        <is>
          <t>제 50 기</t>
        </is>
      </c>
      <c r="N296" s="32" t="inlineStr">
        <is>
          <t>210963962073.0</t>
        </is>
      </c>
      <c r="O296" s="32" t="inlineStr">
        <is>
          <t>135796392250.0</t>
        </is>
      </c>
      <c r="P296" s="32" t="inlineStr">
        <is>
          <t>KRW</t>
        </is>
      </c>
      <c r="Q296" s="32" t="inlineStr">
        <is>
          <t>12</t>
        </is>
      </c>
    </row>
    <row r="297" ht="24" customHeight="1">
      <c r="A297" s="27" t="inlineStr">
        <is>
          <t>OpenDART_fnlttSinglAcntAll</t>
        </is>
      </c>
      <c r="B297" s="27" t="inlineStr">
        <is>
          <t>00118804</t>
        </is>
      </c>
      <c r="C297" s="27" t="inlineStr">
        <is>
          <t>동진쎄미켐</t>
        </is>
      </c>
      <c r="D297" s="27" t="inlineStr">
        <is>
          <t>dongjin_semichem</t>
        </is>
      </c>
      <c r="E297" s="27" t="inlineStr">
        <is>
          <t>005290</t>
        </is>
      </c>
      <c r="F297" s="27" t="inlineStr">
        <is>
          <t>2022</t>
        </is>
      </c>
      <c r="G297" s="27" t="inlineStr">
        <is>
          <t>CFS</t>
        </is>
      </c>
      <c r="H297" s="27" t="inlineStr">
        <is>
          <t>CIS</t>
        </is>
      </c>
      <c r="I297" s="27" t="inlineStr">
        <is>
          <t>포괄손익계산서</t>
        </is>
      </c>
      <c r="J297" s="27" t="inlineStr">
        <is>
          <t>ifrs-full_IncomeTaxExpenseContinuingOperations</t>
        </is>
      </c>
      <c r="K297" s="27" t="inlineStr">
        <is>
          <t>법인세비용</t>
        </is>
      </c>
      <c r="L297" s="27" t="inlineStr">
        <is>
          <t>-</t>
        </is>
      </c>
      <c r="M297" s="27" t="inlineStr">
        <is>
          <t>제 50 기</t>
        </is>
      </c>
      <c r="N297" s="27" t="inlineStr">
        <is>
          <t>-54768645893.0</t>
        </is>
      </c>
      <c r="O297" s="27" t="inlineStr">
        <is>
          <t>-32917167433.0</t>
        </is>
      </c>
      <c r="P297" s="27" t="inlineStr">
        <is>
          <t>KRW</t>
        </is>
      </c>
      <c r="Q297" s="27" t="inlineStr">
        <is>
          <t>13</t>
        </is>
      </c>
    </row>
    <row r="298" ht="24" customHeight="1">
      <c r="A298" s="32" t="inlineStr">
        <is>
          <t>OpenDART_fnlttSinglAcntAll</t>
        </is>
      </c>
      <c r="B298" s="32" t="inlineStr">
        <is>
          <t>00118804</t>
        </is>
      </c>
      <c r="C298" s="32" t="inlineStr">
        <is>
          <t>동진쎄미켐</t>
        </is>
      </c>
      <c r="D298" s="32" t="inlineStr">
        <is>
          <t>dongjin_semichem</t>
        </is>
      </c>
      <c r="E298" s="32" t="inlineStr">
        <is>
          <t>005290</t>
        </is>
      </c>
      <c r="F298" s="32" t="inlineStr">
        <is>
          <t>2022</t>
        </is>
      </c>
      <c r="G298" s="32" t="inlineStr">
        <is>
          <t>CFS</t>
        </is>
      </c>
      <c r="H298" s="32" t="inlineStr">
        <is>
          <t>CIS</t>
        </is>
      </c>
      <c r="I298" s="32" t="inlineStr">
        <is>
          <t>포괄손익계산서</t>
        </is>
      </c>
      <c r="J298" s="32" t="inlineStr">
        <is>
          <t>ifrs-full_ProfitLoss</t>
        </is>
      </c>
      <c r="K298" s="32" t="inlineStr">
        <is>
          <t>당기순이익</t>
        </is>
      </c>
      <c r="L298" s="32" t="inlineStr">
        <is>
          <t>-</t>
        </is>
      </c>
      <c r="M298" s="32" t="inlineStr">
        <is>
          <t>제 50 기</t>
        </is>
      </c>
      <c r="N298" s="32" t="inlineStr">
        <is>
          <t>156195316180.0</t>
        </is>
      </c>
      <c r="O298" s="32" t="inlineStr">
        <is>
          <t>102879224817.0</t>
        </is>
      </c>
      <c r="P298" s="32" t="inlineStr">
        <is>
          <t>KRW</t>
        </is>
      </c>
      <c r="Q298" s="32" t="inlineStr">
        <is>
          <t>14</t>
        </is>
      </c>
    </row>
    <row r="299" ht="24" customHeight="1">
      <c r="A299" s="27" t="inlineStr">
        <is>
          <t>OpenDART_fnlttSinglAcntAll</t>
        </is>
      </c>
      <c r="B299" s="27" t="inlineStr">
        <is>
          <t>00118804</t>
        </is>
      </c>
      <c r="C299" s="27" t="inlineStr">
        <is>
          <t>동진쎄미켐</t>
        </is>
      </c>
      <c r="D299" s="27" t="inlineStr">
        <is>
          <t>dongjin_semichem</t>
        </is>
      </c>
      <c r="E299" s="27" t="inlineStr">
        <is>
          <t>005290</t>
        </is>
      </c>
      <c r="F299" s="27" t="inlineStr">
        <is>
          <t>2022</t>
        </is>
      </c>
      <c r="G299" s="27" t="inlineStr">
        <is>
          <t>CFS</t>
        </is>
      </c>
      <c r="H299" s="27" t="inlineStr">
        <is>
          <t>CIS</t>
        </is>
      </c>
      <c r="I299" s="27" t="inlineStr">
        <is>
          <t>포괄손익계산서</t>
        </is>
      </c>
      <c r="J299" s="27" t="inlineStr">
        <is>
          <t>ifrs-full_OtherComprehensiveIncome</t>
        </is>
      </c>
      <c r="K299" s="27" t="inlineStr">
        <is>
          <t>법인세 반영 후 기타포괄손익</t>
        </is>
      </c>
      <c r="L299" s="27" t="inlineStr">
        <is>
          <t>-</t>
        </is>
      </c>
      <c r="M299" s="27" t="inlineStr">
        <is>
          <t>제 50 기</t>
        </is>
      </c>
      <c r="N299" s="27" t="inlineStr">
        <is>
          <t>-10717015486.0</t>
        </is>
      </c>
      <c r="O299" s="27" t="inlineStr">
        <is>
          <t>21039201218.0</t>
        </is>
      </c>
      <c r="P299" s="27" t="inlineStr">
        <is>
          <t>KRW</t>
        </is>
      </c>
      <c r="Q299" s="27" t="inlineStr">
        <is>
          <t>15</t>
        </is>
      </c>
    </row>
    <row r="300" ht="24" customHeight="1">
      <c r="A300" s="32" t="inlineStr">
        <is>
          <t>OpenDART_fnlttSinglAcntAll</t>
        </is>
      </c>
      <c r="B300" s="32" t="inlineStr">
        <is>
          <t>00118804</t>
        </is>
      </c>
      <c r="C300" s="32" t="inlineStr">
        <is>
          <t>동진쎄미켐</t>
        </is>
      </c>
      <c r="D300" s="32" t="inlineStr">
        <is>
          <t>dongjin_semichem</t>
        </is>
      </c>
      <c r="E300" s="32" t="inlineStr">
        <is>
          <t>005290</t>
        </is>
      </c>
      <c r="F300" s="32" t="inlineStr">
        <is>
          <t>2022</t>
        </is>
      </c>
      <c r="G300" s="32" t="inlineStr">
        <is>
          <t>CFS</t>
        </is>
      </c>
      <c r="H300" s="32" t="inlineStr">
        <is>
          <t>CIS</t>
        </is>
      </c>
      <c r="I300" s="32" t="inlineStr">
        <is>
          <t>포괄손익계산서</t>
        </is>
      </c>
      <c r="J300" s="32" t="inlineStr">
        <is>
          <t>-표준계정코드 미사용-</t>
        </is>
      </c>
      <c r="K300" s="32" t="inlineStr">
        <is>
          <t>후속기간에 당기손익으로 재분류되지 않는 포괄손익</t>
        </is>
      </c>
      <c r="L300" s="32" t="inlineStr">
        <is>
          <t>-</t>
        </is>
      </c>
      <c r="M300" s="32" t="inlineStr">
        <is>
          <t>제 50 기</t>
        </is>
      </c>
      <c r="N300" s="32" t="inlineStr">
        <is>
          <t>-671251600.0</t>
        </is>
      </c>
      <c r="O300" s="32" t="inlineStr">
        <is>
          <t>-2688655000.0</t>
        </is>
      </c>
      <c r="P300" s="32" t="inlineStr">
        <is>
          <t>KRW</t>
        </is>
      </c>
      <c r="Q300" s="32" t="inlineStr">
        <is>
          <t>16</t>
        </is>
      </c>
    </row>
    <row r="301" ht="24" customHeight="1">
      <c r="A301" s="27" t="inlineStr">
        <is>
          <t>OpenDART_fnlttSinglAcntAll</t>
        </is>
      </c>
      <c r="B301" s="27" t="inlineStr">
        <is>
          <t>00118804</t>
        </is>
      </c>
      <c r="C301" s="27" t="inlineStr">
        <is>
          <t>동진쎄미켐</t>
        </is>
      </c>
      <c r="D301" s="27" t="inlineStr">
        <is>
          <t>dongjin_semichem</t>
        </is>
      </c>
      <c r="E301" s="27" t="inlineStr">
        <is>
          <t>005290</t>
        </is>
      </c>
      <c r="F301" s="27" t="inlineStr">
        <is>
          <t>2022</t>
        </is>
      </c>
      <c r="G301" s="27" t="inlineStr">
        <is>
          <t>CFS</t>
        </is>
      </c>
      <c r="H301" s="27" t="inlineStr">
        <is>
          <t>CIS</t>
        </is>
      </c>
      <c r="I301" s="27" t="inlineStr">
        <is>
          <t>포괄손익계산서</t>
        </is>
      </c>
      <c r="J301" s="27" t="inlineStr">
        <is>
          <t>-표준계정코드 미사용-</t>
        </is>
      </c>
      <c r="K301" s="27" t="inlineStr">
        <is>
          <t>순확정급여부채 재측정요소</t>
        </is>
      </c>
      <c r="L301" s="27" t="inlineStr">
        <is>
          <t>-</t>
        </is>
      </c>
      <c r="M301" s="27" t="inlineStr">
        <is>
          <t>제 50 기</t>
        </is>
      </c>
      <c r="N301" s="27" t="inlineStr">
        <is>
          <t>-888028543.0</t>
        </is>
      </c>
      <c r="O301" s="27" t="inlineStr">
        <is>
          <t>-3546397547.0</t>
        </is>
      </c>
      <c r="P301" s="27" t="inlineStr">
        <is>
          <t>KRW</t>
        </is>
      </c>
      <c r="Q301" s="27" t="inlineStr">
        <is>
          <t>17</t>
        </is>
      </c>
    </row>
    <row r="302" ht="24" customHeight="1">
      <c r="A302" s="32" t="inlineStr">
        <is>
          <t>OpenDART_fnlttSinglAcntAll</t>
        </is>
      </c>
      <c r="B302" s="32" t="inlineStr">
        <is>
          <t>00118804</t>
        </is>
      </c>
      <c r="C302" s="32" t="inlineStr">
        <is>
          <t>동진쎄미켐</t>
        </is>
      </c>
      <c r="D302" s="32" t="inlineStr">
        <is>
          <t>dongjin_semichem</t>
        </is>
      </c>
      <c r="E302" s="32" t="inlineStr">
        <is>
          <t>005290</t>
        </is>
      </c>
      <c r="F302" s="32" t="inlineStr">
        <is>
          <t>2022</t>
        </is>
      </c>
      <c r="G302" s="32" t="inlineStr">
        <is>
          <t>CFS</t>
        </is>
      </c>
      <c r="H302" s="32" t="inlineStr">
        <is>
          <t>CIS</t>
        </is>
      </c>
      <c r="I302" s="32" t="inlineStr">
        <is>
          <t>포괄손익계산서</t>
        </is>
      </c>
      <c r="J302" s="32" t="inlineStr">
        <is>
          <t>-표준계정코드 미사용-</t>
        </is>
      </c>
      <c r="K302" s="32" t="inlineStr">
        <is>
          <t>법인세효과</t>
        </is>
      </c>
      <c r="L302" s="32" t="inlineStr">
        <is>
          <t>-</t>
        </is>
      </c>
      <c r="M302" s="32" t="inlineStr">
        <is>
          <t>제 50 기</t>
        </is>
      </c>
      <c r="N302" s="32" t="inlineStr">
        <is>
          <t>216776943.0</t>
        </is>
      </c>
      <c r="O302" s="32" t="inlineStr">
        <is>
          <t>857742547.0</t>
        </is>
      </c>
      <c r="P302" s="32" t="inlineStr">
        <is>
          <t>KRW</t>
        </is>
      </c>
      <c r="Q302" s="32" t="inlineStr">
        <is>
          <t>18</t>
        </is>
      </c>
    </row>
    <row r="303" ht="24" customHeight="1">
      <c r="A303" s="27" t="inlineStr">
        <is>
          <t>OpenDART_fnlttSinglAcntAll</t>
        </is>
      </c>
      <c r="B303" s="27" t="inlineStr">
        <is>
          <t>00118804</t>
        </is>
      </c>
      <c r="C303" s="27" t="inlineStr">
        <is>
          <t>동진쎄미켐</t>
        </is>
      </c>
      <c r="D303" s="27" t="inlineStr">
        <is>
          <t>dongjin_semichem</t>
        </is>
      </c>
      <c r="E303" s="27" t="inlineStr">
        <is>
          <t>005290</t>
        </is>
      </c>
      <c r="F303" s="27" t="inlineStr">
        <is>
          <t>2022</t>
        </is>
      </c>
      <c r="G303" s="27" t="inlineStr">
        <is>
          <t>CFS</t>
        </is>
      </c>
      <c r="H303" s="27" t="inlineStr">
        <is>
          <t>CIS</t>
        </is>
      </c>
      <c r="I303" s="27" t="inlineStr">
        <is>
          <t>포괄손익계산서</t>
        </is>
      </c>
      <c r="J303" s="27" t="inlineStr">
        <is>
          <t>dart_OtherComprehensiveIncomeThatWillBeReclassifiedToProfitOrLossNetOfTax</t>
        </is>
      </c>
      <c r="K303" s="27" t="inlineStr">
        <is>
          <t>후속기간에 당기손익으로 재분류되는 포괄손익</t>
        </is>
      </c>
      <c r="L303" s="27" t="inlineStr">
        <is>
          <t>-</t>
        </is>
      </c>
      <c r="M303" s="27" t="inlineStr">
        <is>
          <t>제 50 기</t>
        </is>
      </c>
      <c r="N303" s="27" t="inlineStr">
        <is>
          <t>-10045763886.0</t>
        </is>
      </c>
      <c r="O303" s="27" t="inlineStr">
        <is>
          <t>23727856218.0</t>
        </is>
      </c>
      <c r="P303" s="27" t="inlineStr">
        <is>
          <t>KRW</t>
        </is>
      </c>
      <c r="Q303" s="27" t="inlineStr">
        <is>
          <t>19</t>
        </is>
      </c>
    </row>
    <row r="304" ht="24" customHeight="1">
      <c r="A304" s="32" t="inlineStr">
        <is>
          <t>OpenDART_fnlttSinglAcntAll</t>
        </is>
      </c>
      <c r="B304" s="32" t="inlineStr">
        <is>
          <t>00118804</t>
        </is>
      </c>
      <c r="C304" s="32" t="inlineStr">
        <is>
          <t>동진쎄미켐</t>
        </is>
      </c>
      <c r="D304" s="32" t="inlineStr">
        <is>
          <t>dongjin_semichem</t>
        </is>
      </c>
      <c r="E304" s="32" t="inlineStr">
        <is>
          <t>005290</t>
        </is>
      </c>
      <c r="F304" s="32" t="inlineStr">
        <is>
          <t>2022</t>
        </is>
      </c>
      <c r="G304" s="32" t="inlineStr">
        <is>
          <t>CFS</t>
        </is>
      </c>
      <c r="H304" s="32" t="inlineStr">
        <is>
          <t>CIS</t>
        </is>
      </c>
      <c r="I304" s="32" t="inlineStr">
        <is>
          <t>포괄손익계산서</t>
        </is>
      </c>
      <c r="J304" s="32" t="inlineStr">
        <is>
          <t>-표준계정코드 미사용-</t>
        </is>
      </c>
      <c r="K304" s="32" t="inlineStr">
        <is>
          <t>지분법자본변동</t>
        </is>
      </c>
      <c r="L304" s="32" t="inlineStr">
        <is>
          <t>-</t>
        </is>
      </c>
      <c r="M304" s="32" t="inlineStr">
        <is>
          <t>제 50 기</t>
        </is>
      </c>
      <c r="N304" s="32" t="inlineStr">
        <is>
          <t>-118498035.0</t>
        </is>
      </c>
      <c r="O304" s="32" t="inlineStr">
        <is>
          <t>-85632687.0</t>
        </is>
      </c>
      <c r="P304" s="32" t="inlineStr">
        <is>
          <t>KRW</t>
        </is>
      </c>
      <c r="Q304" s="32" t="inlineStr">
        <is>
          <t>20</t>
        </is>
      </c>
    </row>
    <row r="305" ht="24" customHeight="1">
      <c r="A305" s="27" t="inlineStr">
        <is>
          <t>OpenDART_fnlttSinglAcntAll</t>
        </is>
      </c>
      <c r="B305" s="27" t="inlineStr">
        <is>
          <t>00118804</t>
        </is>
      </c>
      <c r="C305" s="27" t="inlineStr">
        <is>
          <t>동진쎄미켐</t>
        </is>
      </c>
      <c r="D305" s="27" t="inlineStr">
        <is>
          <t>dongjin_semichem</t>
        </is>
      </c>
      <c r="E305" s="27" t="inlineStr">
        <is>
          <t>005290</t>
        </is>
      </c>
      <c r="F305" s="27" t="inlineStr">
        <is>
          <t>2022</t>
        </is>
      </c>
      <c r="G305" s="27" t="inlineStr">
        <is>
          <t>CFS</t>
        </is>
      </c>
      <c r="H305" s="27" t="inlineStr">
        <is>
          <t>CIS</t>
        </is>
      </c>
      <c r="I305" s="27" t="inlineStr">
        <is>
          <t>포괄손익계산서</t>
        </is>
      </c>
      <c r="J305" s="27" t="inlineStr">
        <is>
          <t>-표준계정코드 미사용-</t>
        </is>
      </c>
      <c r="K305" s="27" t="inlineStr">
        <is>
          <t>해외사업환산손익</t>
        </is>
      </c>
      <c r="L305" s="27" t="inlineStr">
        <is>
          <t>-</t>
        </is>
      </c>
      <c r="M305" s="27" t="inlineStr">
        <is>
          <t>제 50 기</t>
        </is>
      </c>
      <c r="N305" s="27" t="inlineStr">
        <is>
          <t>-10176741854.0</t>
        </is>
      </c>
      <c r="O305" s="27" t="inlineStr">
        <is>
          <t>23814106190.0</t>
        </is>
      </c>
      <c r="P305" s="27" t="inlineStr">
        <is>
          <t>KRW</t>
        </is>
      </c>
      <c r="Q305" s="27" t="inlineStr">
        <is>
          <t>21</t>
        </is>
      </c>
    </row>
    <row r="306" ht="24" customHeight="1">
      <c r="A306" s="32" t="inlineStr">
        <is>
          <t>OpenDART_fnlttSinglAcntAll</t>
        </is>
      </c>
      <c r="B306" s="32" t="inlineStr">
        <is>
          <t>00118804</t>
        </is>
      </c>
      <c r="C306" s="32" t="inlineStr">
        <is>
          <t>동진쎄미켐</t>
        </is>
      </c>
      <c r="D306" s="32" t="inlineStr">
        <is>
          <t>dongjin_semichem</t>
        </is>
      </c>
      <c r="E306" s="32" t="inlineStr">
        <is>
          <t>005290</t>
        </is>
      </c>
      <c r="F306" s="32" t="inlineStr">
        <is>
          <t>2022</t>
        </is>
      </c>
      <c r="G306" s="32" t="inlineStr">
        <is>
          <t>CFS</t>
        </is>
      </c>
      <c r="H306" s="32" t="inlineStr">
        <is>
          <t>CIS</t>
        </is>
      </c>
      <c r="I306" s="32" t="inlineStr">
        <is>
          <t>포괄손익계산서</t>
        </is>
      </c>
      <c r="J306" s="32" t="inlineStr">
        <is>
          <t>-표준계정코드 미사용-</t>
        </is>
      </c>
      <c r="K306" s="32" t="inlineStr">
        <is>
          <t>법인세효과</t>
        </is>
      </c>
      <c r="L306" s="32" t="inlineStr">
        <is>
          <t>-</t>
        </is>
      </c>
      <c r="M306" s="32" t="inlineStr">
        <is>
          <t>제 50 기</t>
        </is>
      </c>
      <c r="N306" s="32" t="inlineStr">
        <is>
          <t>249476003.0</t>
        </is>
      </c>
      <c r="O306" s="32" t="inlineStr">
        <is>
          <t>-617285.0</t>
        </is>
      </c>
      <c r="P306" s="32" t="inlineStr">
        <is>
          <t>KRW</t>
        </is>
      </c>
      <c r="Q306" s="32" t="inlineStr">
        <is>
          <t>22</t>
        </is>
      </c>
    </row>
    <row r="307" ht="24" customHeight="1">
      <c r="A307" s="27" t="inlineStr">
        <is>
          <t>OpenDART_fnlttSinglAcntAll</t>
        </is>
      </c>
      <c r="B307" s="27" t="inlineStr">
        <is>
          <t>00118804</t>
        </is>
      </c>
      <c r="C307" s="27" t="inlineStr">
        <is>
          <t>동진쎄미켐</t>
        </is>
      </c>
      <c r="D307" s="27" t="inlineStr">
        <is>
          <t>dongjin_semichem</t>
        </is>
      </c>
      <c r="E307" s="27" t="inlineStr">
        <is>
          <t>005290</t>
        </is>
      </c>
      <c r="F307" s="27" t="inlineStr">
        <is>
          <t>2022</t>
        </is>
      </c>
      <c r="G307" s="27" t="inlineStr">
        <is>
          <t>CFS</t>
        </is>
      </c>
      <c r="H307" s="27" t="inlineStr">
        <is>
          <t>CIS</t>
        </is>
      </c>
      <c r="I307" s="27" t="inlineStr">
        <is>
          <t>포괄손익계산서</t>
        </is>
      </c>
      <c r="J307" s="27" t="inlineStr">
        <is>
          <t>ifrs-full_ComprehensiveIncome</t>
        </is>
      </c>
      <c r="K307" s="27" t="inlineStr">
        <is>
          <t>총포괄손익</t>
        </is>
      </c>
      <c r="L307" s="27" t="inlineStr">
        <is>
          <t>-</t>
        </is>
      </c>
      <c r="M307" s="27" t="inlineStr">
        <is>
          <t>제 50 기</t>
        </is>
      </c>
      <c r="N307" s="27" t="inlineStr">
        <is>
          <t>145478300694.0</t>
        </is>
      </c>
      <c r="O307" s="27" t="inlineStr">
        <is>
          <t>123918426035.0</t>
        </is>
      </c>
      <c r="P307" s="27" t="inlineStr">
        <is>
          <t>KRW</t>
        </is>
      </c>
      <c r="Q307" s="27" t="inlineStr">
        <is>
          <t>23</t>
        </is>
      </c>
    </row>
    <row r="308" ht="24" customHeight="1">
      <c r="A308" s="32" t="inlineStr">
        <is>
          <t>OpenDART_fnlttSinglAcntAll</t>
        </is>
      </c>
      <c r="B308" s="32" t="inlineStr">
        <is>
          <t>00118804</t>
        </is>
      </c>
      <c r="C308" s="32" t="inlineStr">
        <is>
          <t>동진쎄미켐</t>
        </is>
      </c>
      <c r="D308" s="32" t="inlineStr">
        <is>
          <t>dongjin_semichem</t>
        </is>
      </c>
      <c r="E308" s="32" t="inlineStr">
        <is>
          <t>005290</t>
        </is>
      </c>
      <c r="F308" s="32" t="inlineStr">
        <is>
          <t>2022</t>
        </is>
      </c>
      <c r="G308" s="32" t="inlineStr">
        <is>
          <t>CFS</t>
        </is>
      </c>
      <c r="H308" s="32" t="inlineStr">
        <is>
          <t>CIS</t>
        </is>
      </c>
      <c r="I308" s="32" t="inlineStr">
        <is>
          <t>포괄손익계산서</t>
        </is>
      </c>
      <c r="J308" s="32" t="inlineStr">
        <is>
          <t>ifrs-full_ProfitLossAttributableToOwnersOfParent</t>
        </is>
      </c>
      <c r="K308" s="32" t="inlineStr">
        <is>
          <t>지배기업 소유주지분</t>
        </is>
      </c>
      <c r="L308" s="32" t="inlineStr">
        <is>
          <t>-</t>
        </is>
      </c>
      <c r="M308" s="32" t="inlineStr">
        <is>
          <t>제 50 기</t>
        </is>
      </c>
      <c r="N308" s="32" t="inlineStr">
        <is>
          <t>159479059914.0</t>
        </is>
      </c>
      <c r="O308" s="32" t="inlineStr">
        <is>
          <t>103264491777.0</t>
        </is>
      </c>
      <c r="P308" s="32" t="inlineStr">
        <is>
          <t>KRW</t>
        </is>
      </c>
      <c r="Q308" s="32" t="inlineStr">
        <is>
          <t>25</t>
        </is>
      </c>
    </row>
    <row r="309" ht="24" customHeight="1">
      <c r="A309" s="27" t="inlineStr">
        <is>
          <t>OpenDART_fnlttSinglAcntAll</t>
        </is>
      </c>
      <c r="B309" s="27" t="inlineStr">
        <is>
          <t>00118804</t>
        </is>
      </c>
      <c r="C309" s="27" t="inlineStr">
        <is>
          <t>동진쎄미켐</t>
        </is>
      </c>
      <c r="D309" s="27" t="inlineStr">
        <is>
          <t>dongjin_semichem</t>
        </is>
      </c>
      <c r="E309" s="27" t="inlineStr">
        <is>
          <t>005290</t>
        </is>
      </c>
      <c r="F309" s="27" t="inlineStr">
        <is>
          <t>2022</t>
        </is>
      </c>
      <c r="G309" s="27" t="inlineStr">
        <is>
          <t>CFS</t>
        </is>
      </c>
      <c r="H309" s="27" t="inlineStr">
        <is>
          <t>CIS</t>
        </is>
      </c>
      <c r="I309" s="27" t="inlineStr">
        <is>
          <t>포괄손익계산서</t>
        </is>
      </c>
      <c r="J309" s="27" t="inlineStr">
        <is>
          <t>ifrs-full_ProfitLossAttributableToNoncontrollingInterests</t>
        </is>
      </c>
      <c r="K309" s="27" t="inlineStr">
        <is>
          <t>비지배지분</t>
        </is>
      </c>
      <c r="L309" s="27" t="inlineStr">
        <is>
          <t>-</t>
        </is>
      </c>
      <c r="M309" s="27" t="inlineStr">
        <is>
          <t>제 50 기</t>
        </is>
      </c>
      <c r="N309" s="27" t="inlineStr">
        <is>
          <t>-3283743734.0</t>
        </is>
      </c>
      <c r="O309" s="27" t="inlineStr">
        <is>
          <t>-385266960.0</t>
        </is>
      </c>
      <c r="P309" s="27" t="inlineStr">
        <is>
          <t>KRW</t>
        </is>
      </c>
      <c r="Q309" s="27" t="inlineStr">
        <is>
          <t>26</t>
        </is>
      </c>
    </row>
    <row r="310" ht="24" customHeight="1">
      <c r="A310" s="32" t="inlineStr">
        <is>
          <t>OpenDART_fnlttSinglAcntAll</t>
        </is>
      </c>
      <c r="B310" s="32" t="inlineStr">
        <is>
          <t>00118804</t>
        </is>
      </c>
      <c r="C310" s="32" t="inlineStr">
        <is>
          <t>동진쎄미켐</t>
        </is>
      </c>
      <c r="D310" s="32" t="inlineStr">
        <is>
          <t>dongjin_semichem</t>
        </is>
      </c>
      <c r="E310" s="32" t="inlineStr">
        <is>
          <t>005290</t>
        </is>
      </c>
      <c r="F310" s="32" t="inlineStr">
        <is>
          <t>2022</t>
        </is>
      </c>
      <c r="G310" s="32" t="inlineStr">
        <is>
          <t>CFS</t>
        </is>
      </c>
      <c r="H310" s="32" t="inlineStr">
        <is>
          <t>CIS</t>
        </is>
      </c>
      <c r="I310" s="32" t="inlineStr">
        <is>
          <t>포괄손익계산서</t>
        </is>
      </c>
      <c r="J310" s="32" t="inlineStr">
        <is>
          <t>ifrs-full_ComprehensiveIncomeAttributableToOwnersOfParent</t>
        </is>
      </c>
      <c r="K310" s="32" t="inlineStr">
        <is>
          <t>지배기업 소유주지분</t>
        </is>
      </c>
      <c r="L310" s="32" t="inlineStr">
        <is>
          <t>-</t>
        </is>
      </c>
      <c r="M310" s="32" t="inlineStr">
        <is>
          <t>제 50 기</t>
        </is>
      </c>
      <c r="N310" s="32" t="inlineStr">
        <is>
          <t>149052018660.0</t>
        </is>
      </c>
      <c r="O310" s="32" t="inlineStr">
        <is>
          <t>124142595665.0</t>
        </is>
      </c>
      <c r="P310" s="32" t="inlineStr">
        <is>
          <t>KRW</t>
        </is>
      </c>
      <c r="Q310" s="32" t="inlineStr">
        <is>
          <t>28</t>
        </is>
      </c>
    </row>
    <row r="311" ht="24" customHeight="1">
      <c r="A311" s="27" t="inlineStr">
        <is>
          <t>OpenDART_fnlttSinglAcntAll</t>
        </is>
      </c>
      <c r="B311" s="27" t="inlineStr">
        <is>
          <t>00118804</t>
        </is>
      </c>
      <c r="C311" s="27" t="inlineStr">
        <is>
          <t>동진쎄미켐</t>
        </is>
      </c>
      <c r="D311" s="27" t="inlineStr">
        <is>
          <t>dongjin_semichem</t>
        </is>
      </c>
      <c r="E311" s="27" t="inlineStr">
        <is>
          <t>005290</t>
        </is>
      </c>
      <c r="F311" s="27" t="inlineStr">
        <is>
          <t>2022</t>
        </is>
      </c>
      <c r="G311" s="27" t="inlineStr">
        <is>
          <t>CFS</t>
        </is>
      </c>
      <c r="H311" s="27" t="inlineStr">
        <is>
          <t>CIS</t>
        </is>
      </c>
      <c r="I311" s="27" t="inlineStr">
        <is>
          <t>포괄손익계산서</t>
        </is>
      </c>
      <c r="J311" s="27" t="inlineStr">
        <is>
          <t>ifrs-full_ComprehensiveIncomeAttributableToNoncontrollingInterests</t>
        </is>
      </c>
      <c r="K311" s="27" t="inlineStr">
        <is>
          <t>비지배지분</t>
        </is>
      </c>
      <c r="L311" s="27" t="inlineStr">
        <is>
          <t>-</t>
        </is>
      </c>
      <c r="M311" s="27" t="inlineStr">
        <is>
          <t>제 50 기</t>
        </is>
      </c>
      <c r="N311" s="27" t="inlineStr">
        <is>
          <t>-3573717966.0</t>
        </is>
      </c>
      <c r="O311" s="27" t="inlineStr">
        <is>
          <t>-224169630.0</t>
        </is>
      </c>
      <c r="P311" s="27" t="inlineStr">
        <is>
          <t>KRW</t>
        </is>
      </c>
      <c r="Q311" s="27" t="inlineStr">
        <is>
          <t>29</t>
        </is>
      </c>
    </row>
    <row r="312" ht="24" customHeight="1">
      <c r="A312" s="32" t="inlineStr">
        <is>
          <t>OpenDART_fnlttSinglAcntAll</t>
        </is>
      </c>
      <c r="B312" s="32" t="inlineStr">
        <is>
          <t>00118804</t>
        </is>
      </c>
      <c r="C312" s="32" t="inlineStr">
        <is>
          <t>동진쎄미켐</t>
        </is>
      </c>
      <c r="D312" s="32" t="inlineStr">
        <is>
          <t>dongjin_semichem</t>
        </is>
      </c>
      <c r="E312" s="32" t="inlineStr">
        <is>
          <t>005290</t>
        </is>
      </c>
      <c r="F312" s="32" t="inlineStr">
        <is>
          <t>2022</t>
        </is>
      </c>
      <c r="G312" s="32" t="inlineStr">
        <is>
          <t>CFS</t>
        </is>
      </c>
      <c r="H312" s="32" t="inlineStr">
        <is>
          <t>CIS</t>
        </is>
      </c>
      <c r="I312" s="32" t="inlineStr">
        <is>
          <t>포괄손익계산서</t>
        </is>
      </c>
      <c r="J312" s="32" t="inlineStr">
        <is>
          <t>ifrs-full_BasicEarningsLossPerShare</t>
        </is>
      </c>
      <c r="K312" s="32" t="inlineStr">
        <is>
          <t>기본주당이익(손실)</t>
        </is>
      </c>
      <c r="L312" s="32" t="inlineStr">
        <is>
          <t>-</t>
        </is>
      </c>
      <c r="M312" s="32" t="inlineStr">
        <is>
          <t>제 50 기</t>
        </is>
      </c>
      <c r="N312" s="32" t="inlineStr">
        <is>
          <t>3102.0</t>
        </is>
      </c>
      <c r="O312" s="32" t="inlineStr">
        <is>
          <t>2008.0</t>
        </is>
      </c>
      <c r="P312" s="32" t="inlineStr">
        <is>
          <t>KRW</t>
        </is>
      </c>
      <c r="Q312" s="32" t="inlineStr">
        <is>
          <t>31</t>
        </is>
      </c>
    </row>
    <row r="313" ht="24" customHeight="1">
      <c r="A313" s="27" t="inlineStr">
        <is>
          <t>OpenDART_fnlttSinglAcntAll</t>
        </is>
      </c>
      <c r="B313" s="27" t="inlineStr">
        <is>
          <t>00118804</t>
        </is>
      </c>
      <c r="C313" s="27" t="inlineStr">
        <is>
          <t>동진쎄미켐</t>
        </is>
      </c>
      <c r="D313" s="27" t="inlineStr">
        <is>
          <t>dongjin_semichem</t>
        </is>
      </c>
      <c r="E313" s="27" t="inlineStr">
        <is>
          <t>005290</t>
        </is>
      </c>
      <c r="F313" s="27" t="inlineStr">
        <is>
          <t>2022</t>
        </is>
      </c>
      <c r="G313" s="27" t="inlineStr">
        <is>
          <t>CFS</t>
        </is>
      </c>
      <c r="H313" s="27" t="inlineStr">
        <is>
          <t>CIS</t>
        </is>
      </c>
      <c r="I313" s="27" t="inlineStr">
        <is>
          <t>포괄손익계산서</t>
        </is>
      </c>
      <c r="J313" s="27" t="inlineStr">
        <is>
          <t>ifrs-full_DilutedEarningsLossPerShare</t>
        </is>
      </c>
      <c r="K313" s="27" t="inlineStr">
        <is>
          <t>희석주당이익(손실)</t>
        </is>
      </c>
      <c r="L313" s="27" t="inlineStr">
        <is>
          <t>-</t>
        </is>
      </c>
      <c r="M313" s="27" t="inlineStr">
        <is>
          <t>제 50 기</t>
        </is>
      </c>
      <c r="N313" s="27" t="inlineStr">
        <is>
          <t>3102.0</t>
        </is>
      </c>
      <c r="O313" s="27" t="inlineStr">
        <is>
          <t>2008.0</t>
        </is>
      </c>
      <c r="P313" s="27" t="inlineStr">
        <is>
          <t>KRW</t>
        </is>
      </c>
      <c r="Q313" s="27" t="inlineStr">
        <is>
          <t>32</t>
        </is>
      </c>
    </row>
    <row r="314" ht="24" customHeight="1">
      <c r="A314" s="32" t="inlineStr">
        <is>
          <t>OpenDART_fnlttSinglAcntAll</t>
        </is>
      </c>
      <c r="B314" s="32" t="inlineStr">
        <is>
          <t>00118804</t>
        </is>
      </c>
      <c r="C314" s="32" t="inlineStr">
        <is>
          <t>동진쎄미켐</t>
        </is>
      </c>
      <c r="D314" s="32" t="inlineStr">
        <is>
          <t>dongjin_semichem</t>
        </is>
      </c>
      <c r="E314" s="32" t="inlineStr">
        <is>
          <t>005290</t>
        </is>
      </c>
      <c r="F314" s="32" t="inlineStr">
        <is>
          <t>2022</t>
        </is>
      </c>
      <c r="G314" s="32" t="inlineStr">
        <is>
          <t>CFS</t>
        </is>
      </c>
      <c r="H314" s="32" t="inlineStr">
        <is>
          <t>CF</t>
        </is>
      </c>
      <c r="I314" s="32" t="inlineStr">
        <is>
          <t>현금흐름표</t>
        </is>
      </c>
      <c r="J314" s="32" t="inlineStr">
        <is>
          <t>ifrs-full_CashFlowsFromUsedInOperatingActivities</t>
        </is>
      </c>
      <c r="K314" s="32" t="inlineStr">
        <is>
          <t>영업활동현금흐름</t>
        </is>
      </c>
      <c r="L314" s="32" t="inlineStr">
        <is>
          <t>-</t>
        </is>
      </c>
      <c r="M314" s="32" t="inlineStr">
        <is>
          <t>제 50 기</t>
        </is>
      </c>
      <c r="N314" s="32" t="inlineStr">
        <is>
          <t>190056242655.0</t>
        </is>
      </c>
      <c r="O314" s="32" t="inlineStr">
        <is>
          <t>76098753709.0</t>
        </is>
      </c>
      <c r="P314" s="32" t="inlineStr">
        <is>
          <t>KRW</t>
        </is>
      </c>
      <c r="Q314" s="32" t="inlineStr">
        <is>
          <t>0</t>
        </is>
      </c>
    </row>
    <row r="315" ht="24" customHeight="1">
      <c r="A315" s="27" t="inlineStr">
        <is>
          <t>OpenDART_fnlttSinglAcntAll</t>
        </is>
      </c>
      <c r="B315" s="27" t="inlineStr">
        <is>
          <t>00118804</t>
        </is>
      </c>
      <c r="C315" s="27" t="inlineStr">
        <is>
          <t>동진쎄미켐</t>
        </is>
      </c>
      <c r="D315" s="27" t="inlineStr">
        <is>
          <t>dongjin_semichem</t>
        </is>
      </c>
      <c r="E315" s="27" t="inlineStr">
        <is>
          <t>005290</t>
        </is>
      </c>
      <c r="F315" s="27" t="inlineStr">
        <is>
          <t>2022</t>
        </is>
      </c>
      <c r="G315" s="27" t="inlineStr">
        <is>
          <t>CFS</t>
        </is>
      </c>
      <c r="H315" s="27" t="inlineStr">
        <is>
          <t>CF</t>
        </is>
      </c>
      <c r="I315" s="27" t="inlineStr">
        <is>
          <t>현금흐름표</t>
        </is>
      </c>
      <c r="J315" s="27" t="inlineStr">
        <is>
          <t>dart_ProfitLossForStatementOfCashFlows</t>
        </is>
      </c>
      <c r="K315" s="27" t="inlineStr">
        <is>
          <t>당기순이익</t>
        </is>
      </c>
      <c r="L315" s="27" t="inlineStr">
        <is>
          <t>-</t>
        </is>
      </c>
      <c r="M315" s="27" t="inlineStr">
        <is>
          <t>제 50 기</t>
        </is>
      </c>
      <c r="N315" s="27" t="inlineStr">
        <is>
          <t>156195316180.0</t>
        </is>
      </c>
      <c r="O315" s="27" t="inlineStr">
        <is>
          <t>102879224817.0</t>
        </is>
      </c>
      <c r="P315" s="27" t="inlineStr">
        <is>
          <t>KRW</t>
        </is>
      </c>
      <c r="Q315" s="27" t="inlineStr">
        <is>
          <t>1</t>
        </is>
      </c>
    </row>
    <row r="316" ht="24" customHeight="1">
      <c r="A316" s="32" t="inlineStr">
        <is>
          <t>OpenDART_fnlttSinglAcntAll</t>
        </is>
      </c>
      <c r="B316" s="32" t="inlineStr">
        <is>
          <t>00118804</t>
        </is>
      </c>
      <c r="C316" s="32" t="inlineStr">
        <is>
          <t>동진쎄미켐</t>
        </is>
      </c>
      <c r="D316" s="32" t="inlineStr">
        <is>
          <t>dongjin_semichem</t>
        </is>
      </c>
      <c r="E316" s="32" t="inlineStr">
        <is>
          <t>005290</t>
        </is>
      </c>
      <c r="F316" s="32" t="inlineStr">
        <is>
          <t>2022</t>
        </is>
      </c>
      <c r="G316" s="32" t="inlineStr">
        <is>
          <t>CFS</t>
        </is>
      </c>
      <c r="H316" s="32" t="inlineStr">
        <is>
          <t>CF</t>
        </is>
      </c>
      <c r="I316" s="32" t="inlineStr">
        <is>
          <t>현금흐름표</t>
        </is>
      </c>
      <c r="J316" s="32" t="inlineStr">
        <is>
          <t>ifrs-full_AdjustmentsForReconcileProfitLoss</t>
        </is>
      </c>
      <c r="K316" s="32" t="inlineStr">
        <is>
          <t>가감</t>
        </is>
      </c>
      <c r="L316" s="32" t="inlineStr">
        <is>
          <t>-</t>
        </is>
      </c>
      <c r="M316" s="32" t="inlineStr">
        <is>
          <t>제 50 기</t>
        </is>
      </c>
      <c r="N316" s="32" t="inlineStr">
        <is>
          <t>136278076314.0</t>
        </is>
      </c>
      <c r="O316" s="32" t="inlineStr">
        <is>
          <t>98705009885.0</t>
        </is>
      </c>
      <c r="P316" s="32" t="inlineStr">
        <is>
          <t>KRW</t>
        </is>
      </c>
      <c r="Q316" s="32" t="inlineStr">
        <is>
          <t>2</t>
        </is>
      </c>
    </row>
    <row r="317" ht="24" customHeight="1">
      <c r="A317" s="27" t="inlineStr">
        <is>
          <t>OpenDART_fnlttSinglAcntAll</t>
        </is>
      </c>
      <c r="B317" s="27" t="inlineStr">
        <is>
          <t>00118804</t>
        </is>
      </c>
      <c r="C317" s="27" t="inlineStr">
        <is>
          <t>동진쎄미켐</t>
        </is>
      </c>
      <c r="D317" s="27" t="inlineStr">
        <is>
          <t>dongjin_semichem</t>
        </is>
      </c>
      <c r="E317" s="27" t="inlineStr">
        <is>
          <t>005290</t>
        </is>
      </c>
      <c r="F317" s="27" t="inlineStr">
        <is>
          <t>2022</t>
        </is>
      </c>
      <c r="G317" s="27" t="inlineStr">
        <is>
          <t>CFS</t>
        </is>
      </c>
      <c r="H317" s="27" t="inlineStr">
        <is>
          <t>CF</t>
        </is>
      </c>
      <c r="I317" s="27" t="inlineStr">
        <is>
          <t>현금흐름표</t>
        </is>
      </c>
      <c r="J317" s="27" t="inlineStr">
        <is>
          <t>dart_AdjustmentsForProvisionForSeveranceIndemnities</t>
        </is>
      </c>
      <c r="K317" s="27" t="inlineStr">
        <is>
          <t>퇴직급여</t>
        </is>
      </c>
      <c r="L317" s="27" t="inlineStr">
        <is>
          <t>-</t>
        </is>
      </c>
      <c r="M317" s="27" t="inlineStr">
        <is>
          <t>제 50 기</t>
        </is>
      </c>
      <c r="N317" s="27" t="inlineStr">
        <is>
          <t>6738400750.0</t>
        </is>
      </c>
      <c r="O317" s="27" t="inlineStr">
        <is>
          <t>6072846604.0</t>
        </is>
      </c>
      <c r="P317" s="27" t="inlineStr">
        <is>
          <t>KRW</t>
        </is>
      </c>
      <c r="Q317" s="27" t="inlineStr">
        <is>
          <t>3</t>
        </is>
      </c>
    </row>
    <row r="318" ht="24" customHeight="1">
      <c r="A318" s="32" t="inlineStr">
        <is>
          <t>OpenDART_fnlttSinglAcntAll</t>
        </is>
      </c>
      <c r="B318" s="32" t="inlineStr">
        <is>
          <t>00118804</t>
        </is>
      </c>
      <c r="C318" s="32" t="inlineStr">
        <is>
          <t>동진쎄미켐</t>
        </is>
      </c>
      <c r="D318" s="32" t="inlineStr">
        <is>
          <t>dongjin_semichem</t>
        </is>
      </c>
      <c r="E318" s="32" t="inlineStr">
        <is>
          <t>005290</t>
        </is>
      </c>
      <c r="F318" s="32" t="inlineStr">
        <is>
          <t>2022</t>
        </is>
      </c>
      <c r="G318" s="32" t="inlineStr">
        <is>
          <t>CFS</t>
        </is>
      </c>
      <c r="H318" s="32" t="inlineStr">
        <is>
          <t>CF</t>
        </is>
      </c>
      <c r="I318" s="32" t="inlineStr">
        <is>
          <t>현금흐름표</t>
        </is>
      </c>
      <c r="J318" s="32" t="inlineStr">
        <is>
          <t>ifrs-full_AdjustmentsForIncomeTaxExpense</t>
        </is>
      </c>
      <c r="K318" s="32" t="inlineStr">
        <is>
          <t>법인세비용</t>
        </is>
      </c>
      <c r="L318" s="32" t="inlineStr">
        <is>
          <t>-</t>
        </is>
      </c>
      <c r="M318" s="32" t="inlineStr">
        <is>
          <t>제 50 기</t>
        </is>
      </c>
      <c r="N318" s="32" t="inlineStr">
        <is>
          <t>54768645893.0</t>
        </is>
      </c>
      <c r="O318" s="32" t="inlineStr">
        <is>
          <t>32917167433.0</t>
        </is>
      </c>
      <c r="P318" s="32" t="inlineStr">
        <is>
          <t>KRW</t>
        </is>
      </c>
      <c r="Q318" s="32" t="inlineStr">
        <is>
          <t>4</t>
        </is>
      </c>
    </row>
    <row r="319" ht="24" customHeight="1">
      <c r="A319" s="27" t="inlineStr">
        <is>
          <t>OpenDART_fnlttSinglAcntAll</t>
        </is>
      </c>
      <c r="B319" s="27" t="inlineStr">
        <is>
          <t>00118804</t>
        </is>
      </c>
      <c r="C319" s="27" t="inlineStr">
        <is>
          <t>동진쎄미켐</t>
        </is>
      </c>
      <c r="D319" s="27" t="inlineStr">
        <is>
          <t>dongjin_semichem</t>
        </is>
      </c>
      <c r="E319" s="27" t="inlineStr">
        <is>
          <t>005290</t>
        </is>
      </c>
      <c r="F319" s="27" t="inlineStr">
        <is>
          <t>2022</t>
        </is>
      </c>
      <c r="G319" s="27" t="inlineStr">
        <is>
          <t>CFS</t>
        </is>
      </c>
      <c r="H319" s="27" t="inlineStr">
        <is>
          <t>CF</t>
        </is>
      </c>
      <c r="I319" s="27" t="inlineStr">
        <is>
          <t>현금흐름표</t>
        </is>
      </c>
      <c r="J319" s="27" t="inlineStr">
        <is>
          <t>dart_AdjustmentsForDepreciationExpense</t>
        </is>
      </c>
      <c r="K319" s="27" t="inlineStr">
        <is>
          <t>감가상각비</t>
        </is>
      </c>
      <c r="L319" s="27" t="inlineStr">
        <is>
          <t>-</t>
        </is>
      </c>
      <c r="M319" s="27" t="inlineStr">
        <is>
          <t>제 50 기</t>
        </is>
      </c>
      <c r="N319" s="27" t="inlineStr">
        <is>
          <t>48162569784.0</t>
        </is>
      </c>
      <c r="O319" s="27" t="inlineStr">
        <is>
          <t>47289191301.0</t>
        </is>
      </c>
      <c r="P319" s="27" t="inlineStr">
        <is>
          <t>KRW</t>
        </is>
      </c>
      <c r="Q319" s="27" t="inlineStr">
        <is>
          <t>5</t>
        </is>
      </c>
    </row>
    <row r="320" ht="24" customHeight="1">
      <c r="A320" s="32" t="inlineStr">
        <is>
          <t>OpenDART_fnlttSinglAcntAll</t>
        </is>
      </c>
      <c r="B320" s="32" t="inlineStr">
        <is>
          <t>00118804</t>
        </is>
      </c>
      <c r="C320" s="32" t="inlineStr">
        <is>
          <t>동진쎄미켐</t>
        </is>
      </c>
      <c r="D320" s="32" t="inlineStr">
        <is>
          <t>dongjin_semichem</t>
        </is>
      </c>
      <c r="E320" s="32" t="inlineStr">
        <is>
          <t>005290</t>
        </is>
      </c>
      <c r="F320" s="32" t="inlineStr">
        <is>
          <t>2022</t>
        </is>
      </c>
      <c r="G320" s="32" t="inlineStr">
        <is>
          <t>CFS</t>
        </is>
      </c>
      <c r="H320" s="32" t="inlineStr">
        <is>
          <t>CF</t>
        </is>
      </c>
      <c r="I320" s="32" t="inlineStr">
        <is>
          <t>현금흐름표</t>
        </is>
      </c>
      <c r="J320" s="32" t="inlineStr">
        <is>
          <t>dart_AdjustmentsForLossesOnEvaluationOfInvestmentProperty</t>
        </is>
      </c>
      <c r="K320" s="32" t="inlineStr">
        <is>
          <t>투자부동산감가상각비</t>
        </is>
      </c>
      <c r="L320" s="32" t="inlineStr">
        <is>
          <t>-</t>
        </is>
      </c>
      <c r="M320" s="32" t="inlineStr">
        <is>
          <t>제 50 기</t>
        </is>
      </c>
      <c r="N320" s="32" t="inlineStr">
        <is>
          <t>171087706.0</t>
        </is>
      </c>
      <c r="O320" s="32" t="inlineStr">
        <is>
          <t>113656368.0</t>
        </is>
      </c>
      <c r="P320" s="32" t="inlineStr">
        <is>
          <t>KRW</t>
        </is>
      </c>
      <c r="Q320" s="32" t="inlineStr">
        <is>
          <t>6</t>
        </is>
      </c>
    </row>
    <row r="321" ht="24" customHeight="1">
      <c r="A321" s="27" t="inlineStr">
        <is>
          <t>OpenDART_fnlttSinglAcntAll</t>
        </is>
      </c>
      <c r="B321" s="27" t="inlineStr">
        <is>
          <t>00118804</t>
        </is>
      </c>
      <c r="C321" s="27" t="inlineStr">
        <is>
          <t>동진쎄미켐</t>
        </is>
      </c>
      <c r="D321" s="27" t="inlineStr">
        <is>
          <t>dongjin_semichem</t>
        </is>
      </c>
      <c r="E321" s="27" t="inlineStr">
        <is>
          <t>005290</t>
        </is>
      </c>
      <c r="F321" s="27" t="inlineStr">
        <is>
          <t>2022</t>
        </is>
      </c>
      <c r="G321" s="27" t="inlineStr">
        <is>
          <t>CFS</t>
        </is>
      </c>
      <c r="H321" s="27" t="inlineStr">
        <is>
          <t>CF</t>
        </is>
      </c>
      <c r="I321" s="27" t="inlineStr">
        <is>
          <t>현금흐름표</t>
        </is>
      </c>
      <c r="J321" s="27" t="inlineStr">
        <is>
          <t>dart_AdjustmentsForAmortisationExpense</t>
        </is>
      </c>
      <c r="K321" s="27" t="inlineStr">
        <is>
          <t>무형자산상각비</t>
        </is>
      </c>
      <c r="L321" s="27" t="inlineStr">
        <is>
          <t>-</t>
        </is>
      </c>
      <c r="M321" s="27" t="inlineStr">
        <is>
          <t>제 50 기</t>
        </is>
      </c>
      <c r="N321" s="27" t="inlineStr">
        <is>
          <t>1767535333.0</t>
        </is>
      </c>
      <c r="O321" s="27" t="inlineStr">
        <is>
          <t>1511010874.0</t>
        </is>
      </c>
      <c r="P321" s="27" t="inlineStr">
        <is>
          <t>KRW</t>
        </is>
      </c>
      <c r="Q321" s="27" t="inlineStr">
        <is>
          <t>7</t>
        </is>
      </c>
    </row>
    <row r="322" ht="24" customHeight="1">
      <c r="A322" s="32" t="inlineStr">
        <is>
          <t>OpenDART_fnlttSinglAcntAll</t>
        </is>
      </c>
      <c r="B322" s="32" t="inlineStr">
        <is>
          <t>00118804</t>
        </is>
      </c>
      <c r="C322" s="32" t="inlineStr">
        <is>
          <t>동진쎄미켐</t>
        </is>
      </c>
      <c r="D322" s="32" t="inlineStr">
        <is>
          <t>dongjin_semichem</t>
        </is>
      </c>
      <c r="E322" s="32" t="inlineStr">
        <is>
          <t>005290</t>
        </is>
      </c>
      <c r="F322" s="32" t="inlineStr">
        <is>
          <t>2022</t>
        </is>
      </c>
      <c r="G322" s="32" t="inlineStr">
        <is>
          <t>CFS</t>
        </is>
      </c>
      <c r="H322" s="32" t="inlineStr">
        <is>
          <t>CF</t>
        </is>
      </c>
      <c r="I322" s="32" t="inlineStr">
        <is>
          <t>현금흐름표</t>
        </is>
      </c>
      <c r="J322" s="32" t="inlineStr">
        <is>
          <t>ifrs-full_AdjustmentsForFinanceCosts</t>
        </is>
      </c>
      <c r="K322" s="32" t="inlineStr">
        <is>
          <t>금융비용</t>
        </is>
      </c>
      <c r="L322" s="32" t="inlineStr">
        <is>
          <t>-</t>
        </is>
      </c>
      <c r="M322" s="32" t="inlineStr">
        <is>
          <t>제 50 기</t>
        </is>
      </c>
      <c r="N322" s="32" t="inlineStr">
        <is>
          <t>14783664788.0</t>
        </is>
      </c>
      <c r="O322" s="32" t="inlineStr">
        <is>
          <t>9927381308.0</t>
        </is>
      </c>
      <c r="P322" s="32" t="inlineStr">
        <is>
          <t>KRW</t>
        </is>
      </c>
      <c r="Q322" s="32" t="inlineStr">
        <is>
          <t>8</t>
        </is>
      </c>
    </row>
    <row r="323" ht="24" customHeight="1">
      <c r="A323" s="27" t="inlineStr">
        <is>
          <t>OpenDART_fnlttSinglAcntAll</t>
        </is>
      </c>
      <c r="B323" s="27" t="inlineStr">
        <is>
          <t>00118804</t>
        </is>
      </c>
      <c r="C323" s="27" t="inlineStr">
        <is>
          <t>동진쎄미켐</t>
        </is>
      </c>
      <c r="D323" s="27" t="inlineStr">
        <is>
          <t>dongjin_semichem</t>
        </is>
      </c>
      <c r="E323" s="27" t="inlineStr">
        <is>
          <t>005290</t>
        </is>
      </c>
      <c r="F323" s="27" t="inlineStr">
        <is>
          <t>2022</t>
        </is>
      </c>
      <c r="G323" s="27" t="inlineStr">
        <is>
          <t>CFS</t>
        </is>
      </c>
      <c r="H323" s="27" t="inlineStr">
        <is>
          <t>CF</t>
        </is>
      </c>
      <c r="I323" s="27" t="inlineStr">
        <is>
          <t>현금흐름표</t>
        </is>
      </c>
      <c r="J323" s="27" t="inlineStr">
        <is>
          <t>dart_AdjustmentsForLossesOnForeignExchangeTranslations</t>
        </is>
      </c>
      <c r="K323" s="27" t="inlineStr">
        <is>
          <t>외화환산손실</t>
        </is>
      </c>
      <c r="L323" s="27" t="inlineStr">
        <is>
          <t>-</t>
        </is>
      </c>
      <c r="M323" s="27" t="inlineStr">
        <is>
          <t>제 50 기</t>
        </is>
      </c>
      <c r="N323" s="27" t="inlineStr">
        <is>
          <t>16441834355.0</t>
        </is>
      </c>
      <c r="O323" s="27" t="inlineStr">
        <is>
          <t>1421970701.0</t>
        </is>
      </c>
      <c r="P323" s="27" t="inlineStr">
        <is>
          <t>KRW</t>
        </is>
      </c>
      <c r="Q323" s="27" t="inlineStr">
        <is>
          <t>9</t>
        </is>
      </c>
    </row>
    <row r="324" ht="24" customHeight="1">
      <c r="A324" s="32" t="inlineStr">
        <is>
          <t>OpenDART_fnlttSinglAcntAll</t>
        </is>
      </c>
      <c r="B324" s="32" t="inlineStr">
        <is>
          <t>00118804</t>
        </is>
      </c>
      <c r="C324" s="32" t="inlineStr">
        <is>
          <t>동진쎄미켐</t>
        </is>
      </c>
      <c r="D324" s="32" t="inlineStr">
        <is>
          <t>dongjin_semichem</t>
        </is>
      </c>
      <c r="E324" s="32" t="inlineStr">
        <is>
          <t>005290</t>
        </is>
      </c>
      <c r="F324" s="32" t="inlineStr">
        <is>
          <t>2022</t>
        </is>
      </c>
      <c r="G324" s="32" t="inlineStr">
        <is>
          <t>CFS</t>
        </is>
      </c>
      <c r="H324" s="32" t="inlineStr">
        <is>
          <t>CF</t>
        </is>
      </c>
      <c r="I324" s="32" t="inlineStr">
        <is>
          <t>현금흐름표</t>
        </is>
      </c>
      <c r="J324" s="32" t="inlineStr">
        <is>
          <t>dart_AdjustmentsForBadDebtExpenses</t>
        </is>
      </c>
      <c r="K324" s="32" t="inlineStr">
        <is>
          <t>대손상각비</t>
        </is>
      </c>
      <c r="L324" s="32" t="inlineStr">
        <is>
          <t>-</t>
        </is>
      </c>
      <c r="M324" s="32" t="inlineStr">
        <is>
          <t>제 50 기</t>
        </is>
      </c>
      <c r="N324" s="32" t="inlineStr">
        <is>
          <t>584091576.0</t>
        </is>
      </c>
      <c r="O324" s="32" t="inlineStr">
        <is>
          <t>708981577.0</t>
        </is>
      </c>
      <c r="P324" s="32" t="inlineStr">
        <is>
          <t>KRW</t>
        </is>
      </c>
      <c r="Q324" s="32" t="inlineStr">
        <is>
          <t>10</t>
        </is>
      </c>
    </row>
    <row r="325" ht="24" customHeight="1">
      <c r="A325" s="27" t="inlineStr">
        <is>
          <t>OpenDART_fnlttSinglAcntAll</t>
        </is>
      </c>
      <c r="B325" s="27" t="inlineStr">
        <is>
          <t>00118804</t>
        </is>
      </c>
      <c r="C325" s="27" t="inlineStr">
        <is>
          <t>동진쎄미켐</t>
        </is>
      </c>
      <c r="D325" s="27" t="inlineStr">
        <is>
          <t>dongjin_semichem</t>
        </is>
      </c>
      <c r="E325" s="27" t="inlineStr">
        <is>
          <t>005290</t>
        </is>
      </c>
      <c r="F325" s="27" t="inlineStr">
        <is>
          <t>2022</t>
        </is>
      </c>
      <c r="G325" s="27" t="inlineStr">
        <is>
          <t>CFS</t>
        </is>
      </c>
      <c r="H325" s="27" t="inlineStr">
        <is>
          <t>CF</t>
        </is>
      </c>
      <c r="I325" s="27" t="inlineStr">
        <is>
          <t>현금흐름표</t>
        </is>
      </c>
      <c r="J325" s="27" t="inlineStr">
        <is>
          <t>dart_AdjustmentsForLossesOfAssociatesAndJointVenturesAccountedForUsingEquityMethod</t>
        </is>
      </c>
      <c r="K325" s="27" t="inlineStr">
        <is>
          <t>지분법손실</t>
        </is>
      </c>
      <c r="L325" s="27" t="inlineStr">
        <is>
          <t>-</t>
        </is>
      </c>
      <c r="M325" s="27" t="inlineStr">
        <is>
          <t>제 50 기</t>
        </is>
      </c>
      <c r="N325" s="27" t="inlineStr">
        <is>
          <t>3829704592.0</t>
        </is>
      </c>
      <c r="O325" s="27" t="inlineStr">
        <is>
          <t>602467452.0</t>
        </is>
      </c>
      <c r="P325" s="27" t="inlineStr">
        <is>
          <t>KRW</t>
        </is>
      </c>
      <c r="Q325" s="27" t="inlineStr">
        <is>
          <t>11</t>
        </is>
      </c>
    </row>
    <row r="326" ht="24" customHeight="1">
      <c r="A326" s="32" t="inlineStr">
        <is>
          <t>OpenDART_fnlttSinglAcntAll</t>
        </is>
      </c>
      <c r="B326" s="32" t="inlineStr">
        <is>
          <t>00118804</t>
        </is>
      </c>
      <c r="C326" s="32" t="inlineStr">
        <is>
          <t>동진쎄미켐</t>
        </is>
      </c>
      <c r="D326" s="32" t="inlineStr">
        <is>
          <t>dongjin_semichem</t>
        </is>
      </c>
      <c r="E326" s="32" t="inlineStr">
        <is>
          <t>005290</t>
        </is>
      </c>
      <c r="F326" s="32" t="inlineStr">
        <is>
          <t>2022</t>
        </is>
      </c>
      <c r="G326" s="32" t="inlineStr">
        <is>
          <t>CFS</t>
        </is>
      </c>
      <c r="H326" s="32" t="inlineStr">
        <is>
          <t>CF</t>
        </is>
      </c>
      <c r="I326" s="32" t="inlineStr">
        <is>
          <t>현금흐름표</t>
        </is>
      </c>
      <c r="J326" s="32" t="inlineStr">
        <is>
          <t>dart_AdjustmentsForOtherBadDebtExpenses</t>
        </is>
      </c>
      <c r="K326" s="32" t="inlineStr">
        <is>
          <t>기타의 대손상각비</t>
        </is>
      </c>
      <c r="L326" s="32" t="inlineStr">
        <is>
          <t>-</t>
        </is>
      </c>
      <c r="M326" s="32" t="inlineStr">
        <is>
          <t>제 50 기</t>
        </is>
      </c>
      <c r="N326" s="32" t="inlineStr">
        <is>
          <t>0.0</t>
        </is>
      </c>
      <c r="O326" s="32" t="inlineStr">
        <is>
          <t>1770828879.0</t>
        </is>
      </c>
      <c r="P326" s="32" t="inlineStr">
        <is>
          <t>KRW</t>
        </is>
      </c>
      <c r="Q326" s="32" t="inlineStr">
        <is>
          <t>12</t>
        </is>
      </c>
    </row>
    <row r="327" ht="24" customHeight="1">
      <c r="A327" s="27" t="inlineStr">
        <is>
          <t>OpenDART_fnlttSinglAcntAll</t>
        </is>
      </c>
      <c r="B327" s="27" t="inlineStr">
        <is>
          <t>00118804</t>
        </is>
      </c>
      <c r="C327" s="27" t="inlineStr">
        <is>
          <t>동진쎄미켐</t>
        </is>
      </c>
      <c r="D327" s="27" t="inlineStr">
        <is>
          <t>dongjin_semichem</t>
        </is>
      </c>
      <c r="E327" s="27" t="inlineStr">
        <is>
          <t>005290</t>
        </is>
      </c>
      <c r="F327" s="27" t="inlineStr">
        <is>
          <t>2022</t>
        </is>
      </c>
      <c r="G327" s="27" t="inlineStr">
        <is>
          <t>CFS</t>
        </is>
      </c>
      <c r="H327" s="27" t="inlineStr">
        <is>
          <t>CF</t>
        </is>
      </c>
      <c r="I327" s="27" t="inlineStr">
        <is>
          <t>현금흐름표</t>
        </is>
      </c>
      <c r="J327" s="27" t="inlineStr">
        <is>
          <t>dart_AdjustmentsForLossesOnDispositionOfPropertyPlantAndEquipment</t>
        </is>
      </c>
      <c r="K327" s="27" t="inlineStr">
        <is>
          <t>유형자산처분손실</t>
        </is>
      </c>
      <c r="L327" s="27" t="inlineStr">
        <is>
          <t>-</t>
        </is>
      </c>
      <c r="M327" s="27" t="inlineStr">
        <is>
          <t>제 50 기</t>
        </is>
      </c>
      <c r="N327" s="27" t="inlineStr">
        <is>
          <t>388321148.0</t>
        </is>
      </c>
      <c r="O327" s="27" t="inlineStr">
        <is>
          <t>202406451.0</t>
        </is>
      </c>
      <c r="P327" s="27" t="inlineStr">
        <is>
          <t>KRW</t>
        </is>
      </c>
      <c r="Q327" s="27" t="inlineStr">
        <is>
          <t>13</t>
        </is>
      </c>
    </row>
    <row r="328" ht="24" customHeight="1">
      <c r="A328" s="32" t="inlineStr">
        <is>
          <t>OpenDART_fnlttSinglAcntAll</t>
        </is>
      </c>
      <c r="B328" s="32" t="inlineStr">
        <is>
          <t>00118804</t>
        </is>
      </c>
      <c r="C328" s="32" t="inlineStr">
        <is>
          <t>동진쎄미켐</t>
        </is>
      </c>
      <c r="D328" s="32" t="inlineStr">
        <is>
          <t>dongjin_semichem</t>
        </is>
      </c>
      <c r="E328" s="32" t="inlineStr">
        <is>
          <t>005290</t>
        </is>
      </c>
      <c r="F328" s="32" t="inlineStr">
        <is>
          <t>2022</t>
        </is>
      </c>
      <c r="G328" s="32" t="inlineStr">
        <is>
          <t>CFS</t>
        </is>
      </c>
      <c r="H328" s="32" t="inlineStr">
        <is>
          <t>CF</t>
        </is>
      </c>
      <c r="I328" s="32" t="inlineStr">
        <is>
          <t>현금흐름표</t>
        </is>
      </c>
      <c r="J328" s="32" t="inlineStr">
        <is>
          <t>dart_AdjustmentsForLossesOnDisposalsOfIntangibleAssets</t>
        </is>
      </c>
      <c r="K328" s="32" t="inlineStr">
        <is>
          <t>무형자산처분손실</t>
        </is>
      </c>
      <c r="L328" s="32" t="inlineStr">
        <is>
          <t>-</t>
        </is>
      </c>
      <c r="M328" s="32" t="inlineStr">
        <is>
          <t>제 50 기</t>
        </is>
      </c>
      <c r="N328" s="32" t="inlineStr">
        <is>
          <t>228328078.0</t>
        </is>
      </c>
      <c r="O328" s="32" t="inlineStr">
        <is>
          <t>0.0</t>
        </is>
      </c>
      <c r="P328" s="32" t="inlineStr">
        <is>
          <t>KRW</t>
        </is>
      </c>
      <c r="Q328" s="32" t="inlineStr">
        <is>
          <t>14</t>
        </is>
      </c>
    </row>
    <row r="329" ht="24" customHeight="1">
      <c r="A329" s="27" t="inlineStr">
        <is>
          <t>OpenDART_fnlttSinglAcntAll</t>
        </is>
      </c>
      <c r="B329" s="27" t="inlineStr">
        <is>
          <t>00118804</t>
        </is>
      </c>
      <c r="C329" s="27" t="inlineStr">
        <is>
          <t>동진쎄미켐</t>
        </is>
      </c>
      <c r="D329" s="27" t="inlineStr">
        <is>
          <t>dongjin_semichem</t>
        </is>
      </c>
      <c r="E329" s="27" t="inlineStr">
        <is>
          <t>005290</t>
        </is>
      </c>
      <c r="F329" s="27" t="inlineStr">
        <is>
          <t>2022</t>
        </is>
      </c>
      <c r="G329" s="27" t="inlineStr">
        <is>
          <t>CFS</t>
        </is>
      </c>
      <c r="H329" s="27" t="inlineStr">
        <is>
          <t>CF</t>
        </is>
      </c>
      <c r="I329" s="27" t="inlineStr">
        <is>
          <t>현금흐름표</t>
        </is>
      </c>
      <c r="J329" s="27" t="inlineStr">
        <is>
          <t>-표준계정코드 미사용-</t>
        </is>
      </c>
      <c r="K329" s="27" t="inlineStr">
        <is>
          <t>투자금융자산평가손실</t>
        </is>
      </c>
      <c r="L329" s="27" t="inlineStr">
        <is>
          <t>-</t>
        </is>
      </c>
      <c r="M329" s="27" t="inlineStr">
        <is>
          <t>제 50 기</t>
        </is>
      </c>
      <c r="N329" s="27" t="inlineStr">
        <is>
          <t>446988.0</t>
        </is>
      </c>
      <c r="O329" s="27" t="inlineStr">
        <is>
          <t>95752889.0</t>
        </is>
      </c>
      <c r="P329" s="27" t="inlineStr">
        <is>
          <t>KRW</t>
        </is>
      </c>
      <c r="Q329" s="27" t="inlineStr">
        <is>
          <t>15</t>
        </is>
      </c>
    </row>
    <row r="330" ht="24" customHeight="1">
      <c r="A330" s="32" t="inlineStr">
        <is>
          <t>OpenDART_fnlttSinglAcntAll</t>
        </is>
      </c>
      <c r="B330" s="32" t="inlineStr">
        <is>
          <t>00118804</t>
        </is>
      </c>
      <c r="C330" s="32" t="inlineStr">
        <is>
          <t>동진쎄미켐</t>
        </is>
      </c>
      <c r="D330" s="32" t="inlineStr">
        <is>
          <t>dongjin_semichem</t>
        </is>
      </c>
      <c r="E330" s="32" t="inlineStr">
        <is>
          <t>005290</t>
        </is>
      </c>
      <c r="F330" s="32" t="inlineStr">
        <is>
          <t>2022</t>
        </is>
      </c>
      <c r="G330" s="32" t="inlineStr">
        <is>
          <t>CFS</t>
        </is>
      </c>
      <c r="H330" s="32" t="inlineStr">
        <is>
          <t>CF</t>
        </is>
      </c>
      <c r="I330" s="32" t="inlineStr">
        <is>
          <t>현금흐름표</t>
        </is>
      </c>
      <c r="J330" s="32" t="inlineStr">
        <is>
          <t>dart_AdjustmentsForImpairmentLossesOfPropertyPlantAndEquipment</t>
        </is>
      </c>
      <c r="K330" s="32" t="inlineStr">
        <is>
          <t>유형자산손상차손</t>
        </is>
      </c>
      <c r="L330" s="32" t="inlineStr">
        <is>
          <t>-</t>
        </is>
      </c>
      <c r="M330" s="32" t="inlineStr">
        <is>
          <t>제 50 기</t>
        </is>
      </c>
      <c r="N330" s="32" t="inlineStr">
        <is>
          <t>0.0</t>
        </is>
      </c>
      <c r="O330" s="32" t="inlineStr">
        <is>
          <t>1382860624.0</t>
        </is>
      </c>
      <c r="P330" s="32" t="inlineStr">
        <is>
          <t>KRW</t>
        </is>
      </c>
      <c r="Q330" s="32" t="inlineStr">
        <is>
          <t>16</t>
        </is>
      </c>
    </row>
    <row r="331" ht="24" customHeight="1">
      <c r="A331" s="27" t="inlineStr">
        <is>
          <t>OpenDART_fnlttSinglAcntAll</t>
        </is>
      </c>
      <c r="B331" s="27" t="inlineStr">
        <is>
          <t>00118804</t>
        </is>
      </c>
      <c r="C331" s="27" t="inlineStr">
        <is>
          <t>동진쎄미켐</t>
        </is>
      </c>
      <c r="D331" s="27" t="inlineStr">
        <is>
          <t>dongjin_semichem</t>
        </is>
      </c>
      <c r="E331" s="27" t="inlineStr">
        <is>
          <t>005290</t>
        </is>
      </c>
      <c r="F331" s="27" t="inlineStr">
        <is>
          <t>2022</t>
        </is>
      </c>
      <c r="G331" s="27" t="inlineStr">
        <is>
          <t>CFS</t>
        </is>
      </c>
      <c r="H331" s="27" t="inlineStr">
        <is>
          <t>CF</t>
        </is>
      </c>
      <c r="I331" s="27" t="inlineStr">
        <is>
          <t>현금흐름표</t>
        </is>
      </c>
      <c r="J331" s="27" t="inlineStr">
        <is>
          <t>dart_AdjustmentsForImpairmentLossesOfIntangibleAssets</t>
        </is>
      </c>
      <c r="K331" s="27" t="inlineStr">
        <is>
          <t>무형자산손상차손</t>
        </is>
      </c>
      <c r="L331" s="27" t="inlineStr">
        <is>
          <t>-</t>
        </is>
      </c>
      <c r="M331" s="27" t="inlineStr">
        <is>
          <t>제 50 기</t>
        </is>
      </c>
      <c r="N331" s="27" t="inlineStr">
        <is>
          <t>0.0</t>
        </is>
      </c>
      <c r="O331" s="27" t="inlineStr">
        <is>
          <t>63040159.0</t>
        </is>
      </c>
      <c r="P331" s="27" t="inlineStr">
        <is>
          <t>KRW</t>
        </is>
      </c>
      <c r="Q331" s="27" t="inlineStr">
        <is>
          <t>17</t>
        </is>
      </c>
    </row>
    <row r="332" ht="24" customHeight="1">
      <c r="A332" s="32" t="inlineStr">
        <is>
          <t>OpenDART_fnlttSinglAcntAll</t>
        </is>
      </c>
      <c r="B332" s="32" t="inlineStr">
        <is>
          <t>00118804</t>
        </is>
      </c>
      <c r="C332" s="32" t="inlineStr">
        <is>
          <t>동진쎄미켐</t>
        </is>
      </c>
      <c r="D332" s="32" t="inlineStr">
        <is>
          <t>dongjin_semichem</t>
        </is>
      </c>
      <c r="E332" s="32" t="inlineStr">
        <is>
          <t>005290</t>
        </is>
      </c>
      <c r="F332" s="32" t="inlineStr">
        <is>
          <t>2022</t>
        </is>
      </c>
      <c r="G332" s="32" t="inlineStr">
        <is>
          <t>CFS</t>
        </is>
      </c>
      <c r="H332" s="32" t="inlineStr">
        <is>
          <t>CF</t>
        </is>
      </c>
      <c r="I332" s="32" t="inlineStr">
        <is>
          <t>현금흐름표</t>
        </is>
      </c>
      <c r="J332" s="32" t="inlineStr">
        <is>
          <t>-표준계정코드 미사용-</t>
        </is>
      </c>
      <c r="K332" s="32" t="inlineStr">
        <is>
          <t>관계기업투자손상차손</t>
        </is>
      </c>
      <c r="L332" s="32" t="inlineStr">
        <is>
          <t>-</t>
        </is>
      </c>
      <c r="M332" s="32" t="inlineStr">
        <is>
          <t>제 50 기</t>
        </is>
      </c>
      <c r="N332" s="32" t="inlineStr">
        <is>
          <t>1023236683.0</t>
        </is>
      </c>
      <c r="O332" s="32" t="inlineStr">
        <is>
          <t>1748109114.0</t>
        </is>
      </c>
      <c r="P332" s="32" t="inlineStr">
        <is>
          <t>KRW</t>
        </is>
      </c>
      <c r="Q332" s="32" t="inlineStr">
        <is>
          <t>18</t>
        </is>
      </c>
    </row>
    <row r="333" ht="24" customHeight="1">
      <c r="A333" s="27" t="inlineStr">
        <is>
          <t>OpenDART_fnlttSinglAcntAll</t>
        </is>
      </c>
      <c r="B333" s="27" t="inlineStr">
        <is>
          <t>00118804</t>
        </is>
      </c>
      <c r="C333" s="27" t="inlineStr">
        <is>
          <t>동진쎄미켐</t>
        </is>
      </c>
      <c r="D333" s="27" t="inlineStr">
        <is>
          <t>dongjin_semichem</t>
        </is>
      </c>
      <c r="E333" s="27" t="inlineStr">
        <is>
          <t>005290</t>
        </is>
      </c>
      <c r="F333" s="27" t="inlineStr">
        <is>
          <t>2022</t>
        </is>
      </c>
      <c r="G333" s="27" t="inlineStr">
        <is>
          <t>CFS</t>
        </is>
      </c>
      <c r="H333" s="27" t="inlineStr">
        <is>
          <t>CF</t>
        </is>
      </c>
      <c r="I333" s="27" t="inlineStr">
        <is>
          <t>현금흐름표</t>
        </is>
      </c>
      <c r="J333" s="27" t="inlineStr">
        <is>
          <t>-표준계정코드 미사용-</t>
        </is>
      </c>
      <c r="K333" s="27" t="inlineStr">
        <is>
          <t>파생상품관련손실</t>
        </is>
      </c>
      <c r="L333" s="27" t="inlineStr">
        <is>
          <t>-</t>
        </is>
      </c>
      <c r="M333" s="27" t="inlineStr">
        <is>
          <t>제 50 기</t>
        </is>
      </c>
      <c r="N333" s="27" t="inlineStr">
        <is>
          <t>1609839.0</t>
        </is>
      </c>
      <c r="O333" s="27" t="inlineStr">
        <is>
          <t>13562706.0</t>
        </is>
      </c>
      <c r="P333" s="27" t="inlineStr">
        <is>
          <t>KRW</t>
        </is>
      </c>
      <c r="Q333" s="27" t="inlineStr">
        <is>
          <t>19</t>
        </is>
      </c>
    </row>
    <row r="334" ht="24" customHeight="1">
      <c r="A334" s="32" t="inlineStr">
        <is>
          <t>OpenDART_fnlttSinglAcntAll</t>
        </is>
      </c>
      <c r="B334" s="32" t="inlineStr">
        <is>
          <t>00118804</t>
        </is>
      </c>
      <c r="C334" s="32" t="inlineStr">
        <is>
          <t>동진쎄미켐</t>
        </is>
      </c>
      <c r="D334" s="32" t="inlineStr">
        <is>
          <t>dongjin_semichem</t>
        </is>
      </c>
      <c r="E334" s="32" t="inlineStr">
        <is>
          <t>005290</t>
        </is>
      </c>
      <c r="F334" s="32" t="inlineStr">
        <is>
          <t>2022</t>
        </is>
      </c>
      <c r="G334" s="32" t="inlineStr">
        <is>
          <t>CFS</t>
        </is>
      </c>
      <c r="H334" s="32" t="inlineStr">
        <is>
          <t>CF</t>
        </is>
      </c>
      <c r="I334" s="32" t="inlineStr">
        <is>
          <t>현금흐름표</t>
        </is>
      </c>
      <c r="J334" s="32" t="inlineStr">
        <is>
          <t>dart_AdjustmentsForOtherLossesWithoutCashFlowOut</t>
        </is>
      </c>
      <c r="K334" s="32" t="inlineStr">
        <is>
          <t>기타 현금의 유출 없는 비용등</t>
        </is>
      </c>
      <c r="L334" s="32" t="inlineStr">
        <is>
          <t>-</t>
        </is>
      </c>
      <c r="M334" s="32" t="inlineStr">
        <is>
          <t>제 50 기</t>
        </is>
      </c>
      <c r="N334" s="32" t="inlineStr">
        <is>
          <t>3482530831.0</t>
        </is>
      </c>
      <c r="O334" s="32" t="inlineStr">
        <is>
          <t>1128600623.0</t>
        </is>
      </c>
      <c r="P334" s="32" t="inlineStr">
        <is>
          <t>KRW</t>
        </is>
      </c>
      <c r="Q334" s="32" t="inlineStr">
        <is>
          <t>20</t>
        </is>
      </c>
    </row>
    <row r="335" ht="24" customHeight="1">
      <c r="A335" s="27" t="inlineStr">
        <is>
          <t>OpenDART_fnlttSinglAcntAll</t>
        </is>
      </c>
      <c r="B335" s="27" t="inlineStr">
        <is>
          <t>00118804</t>
        </is>
      </c>
      <c r="C335" s="27" t="inlineStr">
        <is>
          <t>동진쎄미켐</t>
        </is>
      </c>
      <c r="D335" s="27" t="inlineStr">
        <is>
          <t>dongjin_semichem</t>
        </is>
      </c>
      <c r="E335" s="27" t="inlineStr">
        <is>
          <t>005290</t>
        </is>
      </c>
      <c r="F335" s="27" t="inlineStr">
        <is>
          <t>2022</t>
        </is>
      </c>
      <c r="G335" s="27" t="inlineStr">
        <is>
          <t>CFS</t>
        </is>
      </c>
      <c r="H335" s="27" t="inlineStr">
        <is>
          <t>CF</t>
        </is>
      </c>
      <c r="I335" s="27" t="inlineStr">
        <is>
          <t>현금흐름표</t>
        </is>
      </c>
      <c r="J335" s="27" t="inlineStr">
        <is>
          <t>dart_AdjustmentsForInterestIncome</t>
        </is>
      </c>
      <c r="K335" s="27" t="inlineStr">
        <is>
          <t>금융수익</t>
        </is>
      </c>
      <c r="L335" s="27" t="inlineStr">
        <is>
          <t>-</t>
        </is>
      </c>
      <c r="M335" s="27" t="inlineStr">
        <is>
          <t>제 50 기</t>
        </is>
      </c>
      <c r="N335" s="27" t="inlineStr">
        <is>
          <t>3508830353.0</t>
        </is>
      </c>
      <c r="O335" s="27" t="inlineStr">
        <is>
          <t>1295684151.0</t>
        </is>
      </c>
      <c r="P335" s="27" t="inlineStr">
        <is>
          <t>KRW</t>
        </is>
      </c>
      <c r="Q335" s="27" t="inlineStr">
        <is>
          <t>21</t>
        </is>
      </c>
    </row>
    <row r="336" ht="24" customHeight="1">
      <c r="A336" s="32" t="inlineStr">
        <is>
          <t>OpenDART_fnlttSinglAcntAll</t>
        </is>
      </c>
      <c r="B336" s="32" t="inlineStr">
        <is>
          <t>00118804</t>
        </is>
      </c>
      <c r="C336" s="32" t="inlineStr">
        <is>
          <t>동진쎄미켐</t>
        </is>
      </c>
      <c r="D336" s="32" t="inlineStr">
        <is>
          <t>dongjin_semichem</t>
        </is>
      </c>
      <c r="E336" s="32" t="inlineStr">
        <is>
          <t>005290</t>
        </is>
      </c>
      <c r="F336" s="32" t="inlineStr">
        <is>
          <t>2022</t>
        </is>
      </c>
      <c r="G336" s="32" t="inlineStr">
        <is>
          <t>CFS</t>
        </is>
      </c>
      <c r="H336" s="32" t="inlineStr">
        <is>
          <t>CF</t>
        </is>
      </c>
      <c r="I336" s="32" t="inlineStr">
        <is>
          <t>현금흐름표</t>
        </is>
      </c>
      <c r="J336" s="32" t="inlineStr">
        <is>
          <t>dart_AdjustmentsForGainOnForeignExchangeTranslations</t>
        </is>
      </c>
      <c r="K336" s="32" t="inlineStr">
        <is>
          <t>외화환산이익</t>
        </is>
      </c>
      <c r="L336" s="32" t="inlineStr">
        <is>
          <t>-</t>
        </is>
      </c>
      <c r="M336" s="32" t="inlineStr">
        <is>
          <t>제 50 기</t>
        </is>
      </c>
      <c r="N336" s="32" t="inlineStr">
        <is>
          <t>11165039485.0</t>
        </is>
      </c>
      <c r="O336" s="32" t="inlineStr">
        <is>
          <t>4209195508.0</t>
        </is>
      </c>
      <c r="P336" s="32" t="inlineStr">
        <is>
          <t>KRW</t>
        </is>
      </c>
      <c r="Q336" s="32" t="inlineStr">
        <is>
          <t>22</t>
        </is>
      </c>
    </row>
    <row r="337" ht="24" customHeight="1">
      <c r="A337" s="27" t="inlineStr">
        <is>
          <t>OpenDART_fnlttSinglAcntAll</t>
        </is>
      </c>
      <c r="B337" s="27" t="inlineStr">
        <is>
          <t>00118804</t>
        </is>
      </c>
      <c r="C337" s="27" t="inlineStr">
        <is>
          <t>동진쎄미켐</t>
        </is>
      </c>
      <c r="D337" s="27" t="inlineStr">
        <is>
          <t>dongjin_semichem</t>
        </is>
      </c>
      <c r="E337" s="27" t="inlineStr">
        <is>
          <t>005290</t>
        </is>
      </c>
      <c r="F337" s="27" t="inlineStr">
        <is>
          <t>2022</t>
        </is>
      </c>
      <c r="G337" s="27" t="inlineStr">
        <is>
          <t>CFS</t>
        </is>
      </c>
      <c r="H337" s="27" t="inlineStr">
        <is>
          <t>CF</t>
        </is>
      </c>
      <c r="I337" s="27" t="inlineStr">
        <is>
          <t>현금흐름표</t>
        </is>
      </c>
      <c r="J337" s="27" t="inlineStr">
        <is>
          <t>dart_AdjustmentsForProfitsOfAssociatesAndJointVenturesAccountedForUsingEquityMethod</t>
        </is>
      </c>
      <c r="K337" s="27" t="inlineStr">
        <is>
          <t>지분법이익</t>
        </is>
      </c>
      <c r="L337" s="27" t="inlineStr">
        <is>
          <t>-</t>
        </is>
      </c>
      <c r="M337" s="27" t="inlineStr">
        <is>
          <t>제 50 기</t>
        </is>
      </c>
      <c r="N337" s="27" t="inlineStr">
        <is>
          <t>0.0</t>
        </is>
      </c>
      <c r="O337" s="27" t="inlineStr">
        <is>
          <t>0.0</t>
        </is>
      </c>
      <c r="P337" s="27" t="inlineStr">
        <is>
          <t>KRW</t>
        </is>
      </c>
      <c r="Q337" s="27" t="inlineStr">
        <is>
          <t>23</t>
        </is>
      </c>
    </row>
    <row r="338" ht="24" customHeight="1">
      <c r="A338" s="32" t="inlineStr">
        <is>
          <t>OpenDART_fnlttSinglAcntAll</t>
        </is>
      </c>
      <c r="B338" s="32" t="inlineStr">
        <is>
          <t>00118804</t>
        </is>
      </c>
      <c r="C338" s="32" t="inlineStr">
        <is>
          <t>동진쎄미켐</t>
        </is>
      </c>
      <c r="D338" s="32" t="inlineStr">
        <is>
          <t>dongjin_semichem</t>
        </is>
      </c>
      <c r="E338" s="32" t="inlineStr">
        <is>
          <t>005290</t>
        </is>
      </c>
      <c r="F338" s="32" t="inlineStr">
        <is>
          <t>2022</t>
        </is>
      </c>
      <c r="G338" s="32" t="inlineStr">
        <is>
          <t>CFS</t>
        </is>
      </c>
      <c r="H338" s="32" t="inlineStr">
        <is>
          <t>CF</t>
        </is>
      </c>
      <c r="I338" s="32" t="inlineStr">
        <is>
          <t>현금흐름표</t>
        </is>
      </c>
      <c r="J338" s="32" t="inlineStr">
        <is>
          <t>dart_AdjustmentsForReversalsOfBadDebtExpenses</t>
        </is>
      </c>
      <c r="K338" s="32" t="inlineStr">
        <is>
          <t>기타 대손충당금환입</t>
        </is>
      </c>
      <c r="L338" s="32" t="inlineStr">
        <is>
          <t>-</t>
        </is>
      </c>
      <c r="M338" s="32" t="inlineStr">
        <is>
          <t>제 50 기</t>
        </is>
      </c>
      <c r="N338" s="32" t="inlineStr">
        <is>
          <t>465902532.0</t>
        </is>
      </c>
      <c r="O338" s="32" t="inlineStr">
        <is>
          <t>0.0</t>
        </is>
      </c>
      <c r="P338" s="32" t="inlineStr">
        <is>
          <t>KRW</t>
        </is>
      </c>
      <c r="Q338" s="32" t="inlineStr">
        <is>
          <t>24</t>
        </is>
      </c>
    </row>
    <row r="339" ht="24" customHeight="1">
      <c r="A339" s="27" t="inlineStr">
        <is>
          <t>OpenDART_fnlttSinglAcntAll</t>
        </is>
      </c>
      <c r="B339" s="27" t="inlineStr">
        <is>
          <t>00118804</t>
        </is>
      </c>
      <c r="C339" s="27" t="inlineStr">
        <is>
          <t>동진쎄미켐</t>
        </is>
      </c>
      <c r="D339" s="27" t="inlineStr">
        <is>
          <t>dongjin_semichem</t>
        </is>
      </c>
      <c r="E339" s="27" t="inlineStr">
        <is>
          <t>005290</t>
        </is>
      </c>
      <c r="F339" s="27" t="inlineStr">
        <is>
          <t>2022</t>
        </is>
      </c>
      <c r="G339" s="27" t="inlineStr">
        <is>
          <t>CFS</t>
        </is>
      </c>
      <c r="H339" s="27" t="inlineStr">
        <is>
          <t>CF</t>
        </is>
      </c>
      <c r="I339" s="27" t="inlineStr">
        <is>
          <t>현금흐름표</t>
        </is>
      </c>
      <c r="J339" s="27" t="inlineStr">
        <is>
          <t>-표준계정코드 미사용-</t>
        </is>
      </c>
      <c r="K339" s="27" t="inlineStr">
        <is>
          <t>투자금융자산평가이익</t>
        </is>
      </c>
      <c r="L339" s="27" t="inlineStr">
        <is>
          <t>-</t>
        </is>
      </c>
      <c r="M339" s="27" t="inlineStr">
        <is>
          <t>제 50 기</t>
        </is>
      </c>
      <c r="N339" s="27" t="inlineStr">
        <is>
          <t>0.0</t>
        </is>
      </c>
      <c r="O339" s="27" t="inlineStr">
        <is>
          <t>0.0</t>
        </is>
      </c>
      <c r="P339" s="27" t="inlineStr">
        <is>
          <t>KRW</t>
        </is>
      </c>
      <c r="Q339" s="27" t="inlineStr">
        <is>
          <t>25</t>
        </is>
      </c>
    </row>
    <row r="340" ht="24" customHeight="1">
      <c r="A340" s="32" t="inlineStr">
        <is>
          <t>OpenDART_fnlttSinglAcntAll</t>
        </is>
      </c>
      <c r="B340" s="32" t="inlineStr">
        <is>
          <t>00118804</t>
        </is>
      </c>
      <c r="C340" s="32" t="inlineStr">
        <is>
          <t>동진쎄미켐</t>
        </is>
      </c>
      <c r="D340" s="32" t="inlineStr">
        <is>
          <t>dongjin_semichem</t>
        </is>
      </c>
      <c r="E340" s="32" t="inlineStr">
        <is>
          <t>005290</t>
        </is>
      </c>
      <c r="F340" s="32" t="inlineStr">
        <is>
          <t>2022</t>
        </is>
      </c>
      <c r="G340" s="32" t="inlineStr">
        <is>
          <t>CFS</t>
        </is>
      </c>
      <c r="H340" s="32" t="inlineStr">
        <is>
          <t>CF</t>
        </is>
      </c>
      <c r="I340" s="32" t="inlineStr">
        <is>
          <t>현금흐름표</t>
        </is>
      </c>
      <c r="J340" s="32" t="inlineStr">
        <is>
          <t>dart_AdjustmentsForGainOnDispositionOfTangibleAssets</t>
        </is>
      </c>
      <c r="K340" s="32" t="inlineStr">
        <is>
          <t>유형자산처분이익</t>
        </is>
      </c>
      <c r="L340" s="32" t="inlineStr">
        <is>
          <t>-</t>
        </is>
      </c>
      <c r="M340" s="32" t="inlineStr">
        <is>
          <t>제 50 기</t>
        </is>
      </c>
      <c r="N340" s="32" t="inlineStr">
        <is>
          <t>125722731.0</t>
        </is>
      </c>
      <c r="O340" s="32" t="inlineStr">
        <is>
          <t>258732189.0</t>
        </is>
      </c>
      <c r="P340" s="32" t="inlineStr">
        <is>
          <t>KRW</t>
        </is>
      </c>
      <c r="Q340" s="32" t="inlineStr">
        <is>
          <t>26</t>
        </is>
      </c>
    </row>
    <row r="341" ht="24" customHeight="1">
      <c r="A341" s="27" t="inlineStr">
        <is>
          <t>OpenDART_fnlttSinglAcntAll</t>
        </is>
      </c>
      <c r="B341" s="27" t="inlineStr">
        <is>
          <t>00118804</t>
        </is>
      </c>
      <c r="C341" s="27" t="inlineStr">
        <is>
          <t>동진쎄미켐</t>
        </is>
      </c>
      <c r="D341" s="27" t="inlineStr">
        <is>
          <t>dongjin_semichem</t>
        </is>
      </c>
      <c r="E341" s="27" t="inlineStr">
        <is>
          <t>005290</t>
        </is>
      </c>
      <c r="F341" s="27" t="inlineStr">
        <is>
          <t>2022</t>
        </is>
      </c>
      <c r="G341" s="27" t="inlineStr">
        <is>
          <t>CFS</t>
        </is>
      </c>
      <c r="H341" s="27" t="inlineStr">
        <is>
          <t>CF</t>
        </is>
      </c>
      <c r="I341" s="27" t="inlineStr">
        <is>
          <t>현금흐름표</t>
        </is>
      </c>
      <c r="J341" s="27" t="inlineStr">
        <is>
          <t>dart_AdjustmentsForGainsOnDisposalsOfInvestmentProperty</t>
        </is>
      </c>
      <c r="K341" s="27" t="inlineStr">
        <is>
          <t>투자부동산처분이익</t>
        </is>
      </c>
      <c r="L341" s="27" t="inlineStr">
        <is>
          <t>-</t>
        </is>
      </c>
      <c r="M341" s="27" t="inlineStr">
        <is>
          <t>제 50 기</t>
        </is>
      </c>
      <c r="N341" s="27" t="inlineStr">
        <is>
          <t>0.0</t>
        </is>
      </c>
      <c r="O341" s="27" t="inlineStr">
        <is>
          <t>0.0</t>
        </is>
      </c>
      <c r="P341" s="27" t="inlineStr">
        <is>
          <t>KRW</t>
        </is>
      </c>
      <c r="Q341" s="27" t="inlineStr">
        <is>
          <t>27</t>
        </is>
      </c>
    </row>
    <row r="342" ht="24" customHeight="1">
      <c r="A342" s="32" t="inlineStr">
        <is>
          <t>OpenDART_fnlttSinglAcntAll</t>
        </is>
      </c>
      <c r="B342" s="32" t="inlineStr">
        <is>
          <t>00118804</t>
        </is>
      </c>
      <c r="C342" s="32" t="inlineStr">
        <is>
          <t>동진쎄미켐</t>
        </is>
      </c>
      <c r="D342" s="32" t="inlineStr">
        <is>
          <t>dongjin_semichem</t>
        </is>
      </c>
      <c r="E342" s="32" t="inlineStr">
        <is>
          <t>005290</t>
        </is>
      </c>
      <c r="F342" s="32" t="inlineStr">
        <is>
          <t>2022</t>
        </is>
      </c>
      <c r="G342" s="32" t="inlineStr">
        <is>
          <t>CFS</t>
        </is>
      </c>
      <c r="H342" s="32" t="inlineStr">
        <is>
          <t>CF</t>
        </is>
      </c>
      <c r="I342" s="32" t="inlineStr">
        <is>
          <t>현금흐름표</t>
        </is>
      </c>
      <c r="J342" s="32" t="inlineStr">
        <is>
          <t>dart_AdjustmentsForReversalsOfImpairmentLossesOnIntangibleAssets</t>
        </is>
      </c>
      <c r="K342" s="32" t="inlineStr">
        <is>
          <t>무형자산손상차손환입</t>
        </is>
      </c>
      <c r="L342" s="32" t="inlineStr">
        <is>
          <t>-</t>
        </is>
      </c>
      <c r="M342" s="32" t="inlineStr">
        <is>
          <t>제 50 기</t>
        </is>
      </c>
      <c r="N342" s="32" t="inlineStr">
        <is>
          <t>222186685.0</t>
        </is>
      </c>
      <c r="O342" s="32" t="inlineStr">
        <is>
          <t>47248990.0</t>
        </is>
      </c>
      <c r="P342" s="32" t="inlineStr">
        <is>
          <t>KRW</t>
        </is>
      </c>
      <c r="Q342" s="32" t="inlineStr">
        <is>
          <t>28</t>
        </is>
      </c>
    </row>
    <row r="343" ht="24" customHeight="1">
      <c r="A343" s="27" t="inlineStr">
        <is>
          <t>OpenDART_fnlttSinglAcntAll</t>
        </is>
      </c>
      <c r="B343" s="27" t="inlineStr">
        <is>
          <t>00118804</t>
        </is>
      </c>
      <c r="C343" s="27" t="inlineStr">
        <is>
          <t>동진쎄미켐</t>
        </is>
      </c>
      <c r="D343" s="27" t="inlineStr">
        <is>
          <t>dongjin_semichem</t>
        </is>
      </c>
      <c r="E343" s="27" t="inlineStr">
        <is>
          <t>005290</t>
        </is>
      </c>
      <c r="F343" s="27" t="inlineStr">
        <is>
          <t>2022</t>
        </is>
      </c>
      <c r="G343" s="27" t="inlineStr">
        <is>
          <t>CFS</t>
        </is>
      </c>
      <c r="H343" s="27" t="inlineStr">
        <is>
          <t>CF</t>
        </is>
      </c>
      <c r="I343" s="27" t="inlineStr">
        <is>
          <t>현금흐름표</t>
        </is>
      </c>
      <c r="J343" s="27" t="inlineStr">
        <is>
          <t>dart_AdjustmentsForOtherGainsWithoutCashFlowIn</t>
        </is>
      </c>
      <c r="K343" s="27" t="inlineStr">
        <is>
          <t>기타 현금의 유입 없는 수익등</t>
        </is>
      </c>
      <c r="L343" s="27" t="inlineStr">
        <is>
          <t>-</t>
        </is>
      </c>
      <c r="M343" s="27" t="inlineStr">
        <is>
          <t>제 50 기</t>
        </is>
      </c>
      <c r="N343" s="27" t="inlineStr">
        <is>
          <t>606250244.0</t>
        </is>
      </c>
      <c r="O343" s="27" t="inlineStr">
        <is>
          <t>2453964340.0</t>
        </is>
      </c>
      <c r="P343" s="27" t="inlineStr">
        <is>
          <t>KRW</t>
        </is>
      </c>
      <c r="Q343" s="27" t="inlineStr">
        <is>
          <t>29</t>
        </is>
      </c>
    </row>
    <row r="344" ht="24" customHeight="1">
      <c r="A344" s="32" t="inlineStr">
        <is>
          <t>OpenDART_fnlttSinglAcntAll</t>
        </is>
      </c>
      <c r="B344" s="32" t="inlineStr">
        <is>
          <t>00118804</t>
        </is>
      </c>
      <c r="C344" s="32" t="inlineStr">
        <is>
          <t>동진쎄미켐</t>
        </is>
      </c>
      <c r="D344" s="32" t="inlineStr">
        <is>
          <t>dongjin_semichem</t>
        </is>
      </c>
      <c r="E344" s="32" t="inlineStr">
        <is>
          <t>005290</t>
        </is>
      </c>
      <c r="F344" s="32" t="inlineStr">
        <is>
          <t>2022</t>
        </is>
      </c>
      <c r="G344" s="32" t="inlineStr">
        <is>
          <t>CFS</t>
        </is>
      </c>
      <c r="H344" s="32" t="inlineStr">
        <is>
          <t>CF</t>
        </is>
      </c>
      <c r="I344" s="32" t="inlineStr">
        <is>
          <t>현금흐름표</t>
        </is>
      </c>
      <c r="J344" s="32" t="inlineStr">
        <is>
          <t>dart_AdjustmentsForAssetsLiabilitiesOfOperatingActivities</t>
        </is>
      </c>
      <c r="K344" s="32" t="inlineStr">
        <is>
          <t>자산ㆍ부채의증감</t>
        </is>
      </c>
      <c r="L344" s="32" t="inlineStr">
        <is>
          <t>-</t>
        </is>
      </c>
      <c r="M344" s="32" t="inlineStr">
        <is>
          <t>제 50 기</t>
        </is>
      </c>
      <c r="N344" s="32" t="inlineStr">
        <is>
          <t>-60732945030.0</t>
        </is>
      </c>
      <c r="O344" s="32" t="inlineStr">
        <is>
          <t>-82704706680.0</t>
        </is>
      </c>
      <c r="P344" s="32" t="inlineStr">
        <is>
          <t>KRW</t>
        </is>
      </c>
      <c r="Q344" s="32" t="inlineStr">
        <is>
          <t>30</t>
        </is>
      </c>
    </row>
    <row r="345" ht="24" customHeight="1">
      <c r="A345" s="27" t="inlineStr">
        <is>
          <t>OpenDART_fnlttSinglAcntAll</t>
        </is>
      </c>
      <c r="B345" s="27" t="inlineStr">
        <is>
          <t>00118804</t>
        </is>
      </c>
      <c r="C345" s="27" t="inlineStr">
        <is>
          <t>동진쎄미켐</t>
        </is>
      </c>
      <c r="D345" s="27" t="inlineStr">
        <is>
          <t>dongjin_semichem</t>
        </is>
      </c>
      <c r="E345" s="27" t="inlineStr">
        <is>
          <t>005290</t>
        </is>
      </c>
      <c r="F345" s="27" t="inlineStr">
        <is>
          <t>2022</t>
        </is>
      </c>
      <c r="G345" s="27" t="inlineStr">
        <is>
          <t>CFS</t>
        </is>
      </c>
      <c r="H345" s="27" t="inlineStr">
        <is>
          <t>CF</t>
        </is>
      </c>
      <c r="I345" s="27" t="inlineStr">
        <is>
          <t>현금흐름표</t>
        </is>
      </c>
      <c r="J345" s="27" t="inlineStr">
        <is>
          <t>ifrs-full_AdjustmentsForDecreaseIncreaseInTradeAccountReceivable</t>
        </is>
      </c>
      <c r="K345" s="27" t="inlineStr">
        <is>
          <t>매출채권의 감소(증가)</t>
        </is>
      </c>
      <c r="L345" s="27" t="inlineStr">
        <is>
          <t>-</t>
        </is>
      </c>
      <c r="M345" s="27" t="inlineStr">
        <is>
          <t>제 50 기</t>
        </is>
      </c>
      <c r="N345" s="27" t="inlineStr">
        <is>
          <t>4342610266.0</t>
        </is>
      </c>
      <c r="O345" s="27" t="inlineStr">
        <is>
          <t>-64097460880.0</t>
        </is>
      </c>
      <c r="P345" s="27" t="inlineStr">
        <is>
          <t>KRW</t>
        </is>
      </c>
      <c r="Q345" s="27" t="inlineStr">
        <is>
          <t>31</t>
        </is>
      </c>
    </row>
    <row r="346" ht="24" customHeight="1">
      <c r="A346" s="32" t="inlineStr">
        <is>
          <t>OpenDART_fnlttSinglAcntAll</t>
        </is>
      </c>
      <c r="B346" s="32" t="inlineStr">
        <is>
          <t>00118804</t>
        </is>
      </c>
      <c r="C346" s="32" t="inlineStr">
        <is>
          <t>동진쎄미켐</t>
        </is>
      </c>
      <c r="D346" s="32" t="inlineStr">
        <is>
          <t>dongjin_semichem</t>
        </is>
      </c>
      <c r="E346" s="32" t="inlineStr">
        <is>
          <t>005290</t>
        </is>
      </c>
      <c r="F346" s="32" t="inlineStr">
        <is>
          <t>2022</t>
        </is>
      </c>
      <c r="G346" s="32" t="inlineStr">
        <is>
          <t>CFS</t>
        </is>
      </c>
      <c r="H346" s="32" t="inlineStr">
        <is>
          <t>CF</t>
        </is>
      </c>
      <c r="I346" s="32" t="inlineStr">
        <is>
          <t>현금흐름표</t>
        </is>
      </c>
      <c r="J346" s="32" t="inlineStr">
        <is>
          <t>dart_AdjustmentsForDecreaseincreaseInTradeAndOtherCurrentReceivables</t>
        </is>
      </c>
      <c r="K346" s="32" t="inlineStr">
        <is>
          <t>기타유동금융채권의 감소(증가)</t>
        </is>
      </c>
      <c r="L346" s="32" t="inlineStr">
        <is>
          <t>-</t>
        </is>
      </c>
      <c r="M346" s="32" t="inlineStr">
        <is>
          <t>제 50 기</t>
        </is>
      </c>
      <c r="N346" s="32" t="inlineStr">
        <is>
          <t>-380823202.0</t>
        </is>
      </c>
      <c r="O346" s="32" t="inlineStr">
        <is>
          <t>2157573516.0</t>
        </is>
      </c>
      <c r="P346" s="32" t="inlineStr">
        <is>
          <t>KRW</t>
        </is>
      </c>
      <c r="Q346" s="32" t="inlineStr">
        <is>
          <t>32</t>
        </is>
      </c>
    </row>
    <row r="347" ht="24" customHeight="1">
      <c r="A347" s="27" t="inlineStr">
        <is>
          <t>OpenDART_fnlttSinglAcntAll</t>
        </is>
      </c>
      <c r="B347" s="27" t="inlineStr">
        <is>
          <t>00118804</t>
        </is>
      </c>
      <c r="C347" s="27" t="inlineStr">
        <is>
          <t>동진쎄미켐</t>
        </is>
      </c>
      <c r="D347" s="27" t="inlineStr">
        <is>
          <t>dongjin_semichem</t>
        </is>
      </c>
      <c r="E347" s="27" t="inlineStr">
        <is>
          <t>005290</t>
        </is>
      </c>
      <c r="F347" s="27" t="inlineStr">
        <is>
          <t>2022</t>
        </is>
      </c>
      <c r="G347" s="27" t="inlineStr">
        <is>
          <t>CFS</t>
        </is>
      </c>
      <c r="H347" s="27" t="inlineStr">
        <is>
          <t>CF</t>
        </is>
      </c>
      <c r="I347" s="27" t="inlineStr">
        <is>
          <t>현금흐름표</t>
        </is>
      </c>
      <c r="J347" s="27" t="inlineStr">
        <is>
          <t>dart_AdjustmentsForDecreaseIncreaseInOtherCurrentAssets</t>
        </is>
      </c>
      <c r="K347" s="27" t="inlineStr">
        <is>
          <t>기타유동자산의 감소(증가)</t>
        </is>
      </c>
      <c r="L347" s="27" t="inlineStr">
        <is>
          <t>-</t>
        </is>
      </c>
      <c r="M347" s="27" t="inlineStr">
        <is>
          <t>제 50 기</t>
        </is>
      </c>
      <c r="N347" s="27" t="inlineStr">
        <is>
          <t>5046963470.0</t>
        </is>
      </c>
      <c r="O347" s="27" t="inlineStr">
        <is>
          <t>-7281671872.0</t>
        </is>
      </c>
      <c r="P347" s="27" t="inlineStr">
        <is>
          <t>KRW</t>
        </is>
      </c>
      <c r="Q347" s="27" t="inlineStr">
        <is>
          <t>33</t>
        </is>
      </c>
    </row>
    <row r="348" ht="24" customHeight="1">
      <c r="A348" s="32" t="inlineStr">
        <is>
          <t>OpenDART_fnlttSinglAcntAll</t>
        </is>
      </c>
      <c r="B348" s="32" t="inlineStr">
        <is>
          <t>00118804</t>
        </is>
      </c>
      <c r="C348" s="32" t="inlineStr">
        <is>
          <t>동진쎄미켐</t>
        </is>
      </c>
      <c r="D348" s="32" t="inlineStr">
        <is>
          <t>dongjin_semichem</t>
        </is>
      </c>
      <c r="E348" s="32" t="inlineStr">
        <is>
          <t>005290</t>
        </is>
      </c>
      <c r="F348" s="32" t="inlineStr">
        <is>
          <t>2022</t>
        </is>
      </c>
      <c r="G348" s="32" t="inlineStr">
        <is>
          <t>CFS</t>
        </is>
      </c>
      <c r="H348" s="32" t="inlineStr">
        <is>
          <t>CF</t>
        </is>
      </c>
      <c r="I348" s="32" t="inlineStr">
        <is>
          <t>현금흐름표</t>
        </is>
      </c>
      <c r="J348" s="32" t="inlineStr">
        <is>
          <t>-표준계정코드 미사용-</t>
        </is>
      </c>
      <c r="K348" s="32" t="inlineStr">
        <is>
          <t>기타비유동자산의 증가</t>
        </is>
      </c>
      <c r="L348" s="32" t="inlineStr">
        <is>
          <t>-</t>
        </is>
      </c>
      <c r="M348" s="32" t="inlineStr">
        <is>
          <t>제 50 기</t>
        </is>
      </c>
      <c r="N348" s="32" t="inlineStr">
        <is>
          <t>-6448892.0</t>
        </is>
      </c>
      <c r="O348" s="32" t="inlineStr">
        <is>
          <t>-278815867.0</t>
        </is>
      </c>
      <c r="P348" s="32" t="inlineStr">
        <is>
          <t>KRW</t>
        </is>
      </c>
      <c r="Q348" s="32" t="inlineStr">
        <is>
          <t>34</t>
        </is>
      </c>
    </row>
    <row r="349" ht="24" customHeight="1">
      <c r="A349" s="27" t="inlineStr">
        <is>
          <t>OpenDART_fnlttSinglAcntAll</t>
        </is>
      </c>
      <c r="B349" s="27" t="inlineStr">
        <is>
          <t>00118804</t>
        </is>
      </c>
      <c r="C349" s="27" t="inlineStr">
        <is>
          <t>동진쎄미켐</t>
        </is>
      </c>
      <c r="D349" s="27" t="inlineStr">
        <is>
          <t>dongjin_semichem</t>
        </is>
      </c>
      <c r="E349" s="27" t="inlineStr">
        <is>
          <t>005290</t>
        </is>
      </c>
      <c r="F349" s="27" t="inlineStr">
        <is>
          <t>2022</t>
        </is>
      </c>
      <c r="G349" s="27" t="inlineStr">
        <is>
          <t>CFS</t>
        </is>
      </c>
      <c r="H349" s="27" t="inlineStr">
        <is>
          <t>CF</t>
        </is>
      </c>
      <c r="I349" s="27" t="inlineStr">
        <is>
          <t>현금흐름표</t>
        </is>
      </c>
      <c r="J349" s="27" t="inlineStr">
        <is>
          <t>-표준계정코드 미사용-</t>
        </is>
      </c>
      <c r="K349" s="27" t="inlineStr">
        <is>
          <t>기타비유동금융채권의 감소(증가)</t>
        </is>
      </c>
      <c r="L349" s="27" t="inlineStr">
        <is>
          <t>-</t>
        </is>
      </c>
      <c r="M349" s="27" t="inlineStr">
        <is>
          <t>제 50 기</t>
        </is>
      </c>
      <c r="N349" s="27" t="inlineStr">
        <is>
          <t>-214218945.0</t>
        </is>
      </c>
      <c r="O349" s="27" t="inlineStr">
        <is>
          <t>-766779746.0</t>
        </is>
      </c>
      <c r="P349" s="27" t="inlineStr">
        <is>
          <t>KRW</t>
        </is>
      </c>
      <c r="Q349" s="27" t="inlineStr">
        <is>
          <t>35</t>
        </is>
      </c>
    </row>
    <row r="350" ht="24" customHeight="1">
      <c r="A350" s="32" t="inlineStr">
        <is>
          <t>OpenDART_fnlttSinglAcntAll</t>
        </is>
      </c>
      <c r="B350" s="32" t="inlineStr">
        <is>
          <t>00118804</t>
        </is>
      </c>
      <c r="C350" s="32" t="inlineStr">
        <is>
          <t>동진쎄미켐</t>
        </is>
      </c>
      <c r="D350" s="32" t="inlineStr">
        <is>
          <t>dongjin_semichem</t>
        </is>
      </c>
      <c r="E350" s="32" t="inlineStr">
        <is>
          <t>005290</t>
        </is>
      </c>
      <c r="F350" s="32" t="inlineStr">
        <is>
          <t>2022</t>
        </is>
      </c>
      <c r="G350" s="32" t="inlineStr">
        <is>
          <t>CFS</t>
        </is>
      </c>
      <c r="H350" s="32" t="inlineStr">
        <is>
          <t>CF</t>
        </is>
      </c>
      <c r="I350" s="32" t="inlineStr">
        <is>
          <t>현금흐름표</t>
        </is>
      </c>
      <c r="J350" s="32" t="inlineStr">
        <is>
          <t>ifrs-full_AdjustmentsForDecreaseIncreaseInInventories</t>
        </is>
      </c>
      <c r="K350" s="32" t="inlineStr">
        <is>
          <t>재고자산의 감소(증가)</t>
        </is>
      </c>
      <c r="L350" s="32" t="inlineStr">
        <is>
          <t>-</t>
        </is>
      </c>
      <c r="M350" s="32" t="inlineStr">
        <is>
          <t>제 50 기</t>
        </is>
      </c>
      <c r="N350" s="32" t="inlineStr">
        <is>
          <t>-46888775608.0</t>
        </is>
      </c>
      <c r="O350" s="32" t="inlineStr">
        <is>
          <t>-53202602792.0</t>
        </is>
      </c>
      <c r="P350" s="32" t="inlineStr">
        <is>
          <t>KRW</t>
        </is>
      </c>
      <c r="Q350" s="32" t="inlineStr">
        <is>
          <t>36</t>
        </is>
      </c>
    </row>
    <row r="351" ht="24" customHeight="1">
      <c r="A351" s="27" t="inlineStr">
        <is>
          <t>OpenDART_fnlttSinglAcntAll</t>
        </is>
      </c>
      <c r="B351" s="27" t="inlineStr">
        <is>
          <t>00118804</t>
        </is>
      </c>
      <c r="C351" s="27" t="inlineStr">
        <is>
          <t>동진쎄미켐</t>
        </is>
      </c>
      <c r="D351" s="27" t="inlineStr">
        <is>
          <t>dongjin_semichem</t>
        </is>
      </c>
      <c r="E351" s="27" t="inlineStr">
        <is>
          <t>005290</t>
        </is>
      </c>
      <c r="F351" s="27" t="inlineStr">
        <is>
          <t>2022</t>
        </is>
      </c>
      <c r="G351" s="27" t="inlineStr">
        <is>
          <t>CFS</t>
        </is>
      </c>
      <c r="H351" s="27" t="inlineStr">
        <is>
          <t>CF</t>
        </is>
      </c>
      <c r="I351" s="27" t="inlineStr">
        <is>
          <t>현금흐름표</t>
        </is>
      </c>
      <c r="J351" s="27" t="inlineStr">
        <is>
          <t>ifrs-full_AdjustmentsForIncreaseDecreaseInTradeAccountPayable</t>
        </is>
      </c>
      <c r="K351" s="27" t="inlineStr">
        <is>
          <t>매입채무의 증가(감소)</t>
        </is>
      </c>
      <c r="L351" s="27" t="inlineStr">
        <is>
          <t>-</t>
        </is>
      </c>
      <c r="M351" s="27" t="inlineStr">
        <is>
          <t>제 50 기</t>
        </is>
      </c>
      <c r="N351" s="27" t="inlineStr">
        <is>
          <t>-13997807912.0</t>
        </is>
      </c>
      <c r="O351" s="27" t="inlineStr">
        <is>
          <t>45472191674.0</t>
        </is>
      </c>
      <c r="P351" s="27" t="inlineStr">
        <is>
          <t>KRW</t>
        </is>
      </c>
      <c r="Q351" s="27" t="inlineStr">
        <is>
          <t>37</t>
        </is>
      </c>
    </row>
    <row r="352" ht="24" customHeight="1">
      <c r="A352" s="32" t="inlineStr">
        <is>
          <t>OpenDART_fnlttSinglAcntAll</t>
        </is>
      </c>
      <c r="B352" s="32" t="inlineStr">
        <is>
          <t>00118804</t>
        </is>
      </c>
      <c r="C352" s="32" t="inlineStr">
        <is>
          <t>동진쎄미켐</t>
        </is>
      </c>
      <c r="D352" s="32" t="inlineStr">
        <is>
          <t>dongjin_semichem</t>
        </is>
      </c>
      <c r="E352" s="32" t="inlineStr">
        <is>
          <t>005290</t>
        </is>
      </c>
      <c r="F352" s="32" t="inlineStr">
        <is>
          <t>2022</t>
        </is>
      </c>
      <c r="G352" s="32" t="inlineStr">
        <is>
          <t>CFS</t>
        </is>
      </c>
      <c r="H352" s="32" t="inlineStr">
        <is>
          <t>CF</t>
        </is>
      </c>
      <c r="I352" s="32" t="inlineStr">
        <is>
          <t>현금흐름표</t>
        </is>
      </c>
      <c r="J352" s="32" t="inlineStr">
        <is>
          <t>dart_AdjustmentsForIncreasedecreaseInOtherCurrentFinancialLiabilities</t>
        </is>
      </c>
      <c r="K352" s="32" t="inlineStr">
        <is>
          <t>기타유동금융채무의 증가(감소)</t>
        </is>
      </c>
      <c r="L352" s="32" t="inlineStr">
        <is>
          <t>-</t>
        </is>
      </c>
      <c r="M352" s="32" t="inlineStr">
        <is>
          <t>제 50 기</t>
        </is>
      </c>
      <c r="N352" s="32" t="inlineStr">
        <is>
          <t>786780154.0</t>
        </is>
      </c>
      <c r="O352" s="32" t="inlineStr">
        <is>
          <t>-550438325.0</t>
        </is>
      </c>
      <c r="P352" s="32" t="inlineStr">
        <is>
          <t>KRW</t>
        </is>
      </c>
      <c r="Q352" s="32" t="inlineStr">
        <is>
          <t>38</t>
        </is>
      </c>
    </row>
    <row r="353" ht="24" customHeight="1">
      <c r="A353" s="27" t="inlineStr">
        <is>
          <t>OpenDART_fnlttSinglAcntAll</t>
        </is>
      </c>
      <c r="B353" s="27" t="inlineStr">
        <is>
          <t>00118804</t>
        </is>
      </c>
      <c r="C353" s="27" t="inlineStr">
        <is>
          <t>동진쎄미켐</t>
        </is>
      </c>
      <c r="D353" s="27" t="inlineStr">
        <is>
          <t>dongjin_semichem</t>
        </is>
      </c>
      <c r="E353" s="27" t="inlineStr">
        <is>
          <t>005290</t>
        </is>
      </c>
      <c r="F353" s="27" t="inlineStr">
        <is>
          <t>2022</t>
        </is>
      </c>
      <c r="G353" s="27" t="inlineStr">
        <is>
          <t>CFS</t>
        </is>
      </c>
      <c r="H353" s="27" t="inlineStr">
        <is>
          <t>CF</t>
        </is>
      </c>
      <c r="I353" s="27" t="inlineStr">
        <is>
          <t>현금흐름표</t>
        </is>
      </c>
      <c r="J353" s="27" t="inlineStr">
        <is>
          <t>dart_AdjustmentsForIncreaseDecreaseInOtherCurrentLiabilities</t>
        </is>
      </c>
      <c r="K353" s="27" t="inlineStr">
        <is>
          <t>기타유동부채의 증가(감소)</t>
        </is>
      </c>
      <c r="L353" s="27" t="inlineStr">
        <is>
          <t>-</t>
        </is>
      </c>
      <c r="M353" s="27" t="inlineStr">
        <is>
          <t>제 50 기</t>
        </is>
      </c>
      <c r="N353" s="27" t="inlineStr">
        <is>
          <t>4884440478.0</t>
        </is>
      </c>
      <c r="O353" s="27" t="inlineStr">
        <is>
          <t>6637762057.0</t>
        </is>
      </c>
      <c r="P353" s="27" t="inlineStr">
        <is>
          <t>KRW</t>
        </is>
      </c>
      <c r="Q353" s="27" t="inlineStr">
        <is>
          <t>39</t>
        </is>
      </c>
    </row>
    <row r="354" ht="24" customHeight="1">
      <c r="A354" s="32" t="inlineStr">
        <is>
          <t>OpenDART_fnlttSinglAcntAll</t>
        </is>
      </c>
      <c r="B354" s="32" t="inlineStr">
        <is>
          <t>00118804</t>
        </is>
      </c>
      <c r="C354" s="32" t="inlineStr">
        <is>
          <t>동진쎄미켐</t>
        </is>
      </c>
      <c r="D354" s="32" t="inlineStr">
        <is>
          <t>dongjin_semichem</t>
        </is>
      </c>
      <c r="E354" s="32" t="inlineStr">
        <is>
          <t>005290</t>
        </is>
      </c>
      <c r="F354" s="32" t="inlineStr">
        <is>
          <t>2022</t>
        </is>
      </c>
      <c r="G354" s="32" t="inlineStr">
        <is>
          <t>CFS</t>
        </is>
      </c>
      <c r="H354" s="32" t="inlineStr">
        <is>
          <t>CF</t>
        </is>
      </c>
      <c r="I354" s="32" t="inlineStr">
        <is>
          <t>현금흐름표</t>
        </is>
      </c>
      <c r="J354" s="32" t="inlineStr">
        <is>
          <t>dart_AdjustmentsForIncreasedecreaseInOtherNonCurrentFinancialLiabilities</t>
        </is>
      </c>
      <c r="K354" s="32" t="inlineStr">
        <is>
          <t>기타비유동금융채무의 증가(감소)</t>
        </is>
      </c>
      <c r="L354" s="32" t="inlineStr">
        <is>
          <t>-</t>
        </is>
      </c>
      <c r="M354" s="32" t="inlineStr">
        <is>
          <t>제 50 기</t>
        </is>
      </c>
      <c r="N354" s="32" t="inlineStr">
        <is>
          <t>111870047.0</t>
        </is>
      </c>
      <c r="O354" s="32" t="inlineStr">
        <is>
          <t>17303700.0</t>
        </is>
      </c>
      <c r="P354" s="32" t="inlineStr">
        <is>
          <t>KRW</t>
        </is>
      </c>
      <c r="Q354" s="32" t="inlineStr">
        <is>
          <t>40</t>
        </is>
      </c>
    </row>
    <row r="355" ht="24" customHeight="1">
      <c r="A355" s="27" t="inlineStr">
        <is>
          <t>OpenDART_fnlttSinglAcntAll</t>
        </is>
      </c>
      <c r="B355" s="27" t="inlineStr">
        <is>
          <t>00118804</t>
        </is>
      </c>
      <c r="C355" s="27" t="inlineStr">
        <is>
          <t>동진쎄미켐</t>
        </is>
      </c>
      <c r="D355" s="27" t="inlineStr">
        <is>
          <t>dongjin_semichem</t>
        </is>
      </c>
      <c r="E355" s="27" t="inlineStr">
        <is>
          <t>005290</t>
        </is>
      </c>
      <c r="F355" s="27" t="inlineStr">
        <is>
          <t>2022</t>
        </is>
      </c>
      <c r="G355" s="27" t="inlineStr">
        <is>
          <t>CFS</t>
        </is>
      </c>
      <c r="H355" s="27" t="inlineStr">
        <is>
          <t>CF</t>
        </is>
      </c>
      <c r="I355" s="27" t="inlineStr">
        <is>
          <t>현금흐름표</t>
        </is>
      </c>
      <c r="J355" s="27" t="inlineStr">
        <is>
          <t>dart_AdjustmentsForDecreaseincreaseInFairValueOfPlanAssets</t>
        </is>
      </c>
      <c r="K355" s="27" t="inlineStr">
        <is>
          <t>사외적립자산의 감소(증가)</t>
        </is>
      </c>
      <c r="L355" s="27" t="inlineStr">
        <is>
          <t>-</t>
        </is>
      </c>
      <c r="M355" s="27" t="inlineStr">
        <is>
          <t>제 50 기</t>
        </is>
      </c>
      <c r="N355" s="27" t="inlineStr">
        <is>
          <t>-6467209467.0</t>
        </is>
      </c>
      <c r="O355" s="27" t="inlineStr">
        <is>
          <t>-5048375441.0</t>
        </is>
      </c>
      <c r="P355" s="27" t="inlineStr">
        <is>
          <t>KRW</t>
        </is>
      </c>
      <c r="Q355" s="27" t="inlineStr">
        <is>
          <t>41</t>
        </is>
      </c>
    </row>
    <row r="356" ht="24" customHeight="1">
      <c r="A356" s="32" t="inlineStr">
        <is>
          <t>OpenDART_fnlttSinglAcntAll</t>
        </is>
      </c>
      <c r="B356" s="32" t="inlineStr">
        <is>
          <t>00118804</t>
        </is>
      </c>
      <c r="C356" s="32" t="inlineStr">
        <is>
          <t>동진쎄미켐</t>
        </is>
      </c>
      <c r="D356" s="32" t="inlineStr">
        <is>
          <t>dongjin_semichem</t>
        </is>
      </c>
      <c r="E356" s="32" t="inlineStr">
        <is>
          <t>005290</t>
        </is>
      </c>
      <c r="F356" s="32" t="inlineStr">
        <is>
          <t>2022</t>
        </is>
      </c>
      <c r="G356" s="32" t="inlineStr">
        <is>
          <t>CFS</t>
        </is>
      </c>
      <c r="H356" s="32" t="inlineStr">
        <is>
          <t>CF</t>
        </is>
      </c>
      <c r="I356" s="32" t="inlineStr">
        <is>
          <t>현금흐름표</t>
        </is>
      </c>
      <c r="J356" s="32" t="inlineStr">
        <is>
          <t>-표준계정코드 미사용-</t>
        </is>
      </c>
      <c r="K356" s="32" t="inlineStr">
        <is>
          <t>관계회사퇴직금의 전출</t>
        </is>
      </c>
      <c r="L356" s="32" t="inlineStr">
        <is>
          <t>-</t>
        </is>
      </c>
      <c r="M356" s="32" t="inlineStr">
        <is>
          <t>제 50 기</t>
        </is>
      </c>
      <c r="N356" s="32" t="inlineStr">
        <is>
          <t>0.0</t>
        </is>
      </c>
      <c r="O356" s="32" t="inlineStr">
        <is>
          <t>-81070206.0</t>
        </is>
      </c>
      <c r="P356" s="32" t="inlineStr">
        <is>
          <t>KRW</t>
        </is>
      </c>
      <c r="Q356" s="32" t="inlineStr">
        <is>
          <t>42</t>
        </is>
      </c>
    </row>
    <row r="357" ht="24" customHeight="1">
      <c r="A357" s="27" t="inlineStr">
        <is>
          <t>OpenDART_fnlttSinglAcntAll</t>
        </is>
      </c>
      <c r="B357" s="27" t="inlineStr">
        <is>
          <t>00118804</t>
        </is>
      </c>
      <c r="C357" s="27" t="inlineStr">
        <is>
          <t>동진쎄미켐</t>
        </is>
      </c>
      <c r="D357" s="27" t="inlineStr">
        <is>
          <t>dongjin_semichem</t>
        </is>
      </c>
      <c r="E357" s="27" t="inlineStr">
        <is>
          <t>005290</t>
        </is>
      </c>
      <c r="F357" s="27" t="inlineStr">
        <is>
          <t>2022</t>
        </is>
      </c>
      <c r="G357" s="27" t="inlineStr">
        <is>
          <t>CFS</t>
        </is>
      </c>
      <c r="H357" s="27" t="inlineStr">
        <is>
          <t>CF</t>
        </is>
      </c>
      <c r="I357" s="27" t="inlineStr">
        <is>
          <t>현금흐름표</t>
        </is>
      </c>
      <c r="J357" s="27" t="inlineStr">
        <is>
          <t>-표준계정코드 미사용-</t>
        </is>
      </c>
      <c r="K357" s="27" t="inlineStr">
        <is>
          <t>퇴직금 지급액</t>
        </is>
      </c>
      <c r="L357" s="27" t="inlineStr">
        <is>
          <t>-</t>
        </is>
      </c>
      <c r="M357" s="27" t="inlineStr">
        <is>
          <t>제 50 기</t>
        </is>
      </c>
      <c r="N357" s="27" t="inlineStr">
        <is>
          <t>-3825731906.0</t>
        </is>
      </c>
      <c r="O357" s="27" t="inlineStr">
        <is>
          <t>-5256396576.0</t>
        </is>
      </c>
      <c r="P357" s="27" t="inlineStr">
        <is>
          <t>KRW</t>
        </is>
      </c>
      <c r="Q357" s="27" t="inlineStr">
        <is>
          <t>43</t>
        </is>
      </c>
    </row>
    <row r="358" ht="24" customHeight="1">
      <c r="A358" s="32" t="inlineStr">
        <is>
          <t>OpenDART_fnlttSinglAcntAll</t>
        </is>
      </c>
      <c r="B358" s="32" t="inlineStr">
        <is>
          <t>00118804</t>
        </is>
      </c>
      <c r="C358" s="32" t="inlineStr">
        <is>
          <t>동진쎄미켐</t>
        </is>
      </c>
      <c r="D358" s="32" t="inlineStr">
        <is>
          <t>dongjin_semichem</t>
        </is>
      </c>
      <c r="E358" s="32" t="inlineStr">
        <is>
          <t>005290</t>
        </is>
      </c>
      <c r="F358" s="32" t="inlineStr">
        <is>
          <t>2022</t>
        </is>
      </c>
      <c r="G358" s="32" t="inlineStr">
        <is>
          <t>CFS</t>
        </is>
      </c>
      <c r="H358" s="32" t="inlineStr">
        <is>
          <t>CF</t>
        </is>
      </c>
      <c r="I358" s="32" t="inlineStr">
        <is>
          <t>현금흐름표</t>
        </is>
      </c>
      <c r="J358" s="32" t="inlineStr">
        <is>
          <t>-표준계정코드 미사용-</t>
        </is>
      </c>
      <c r="K358" s="32" t="inlineStr">
        <is>
          <t>기타 영업활동으로 인한 자산, 부채의 증감</t>
        </is>
      </c>
      <c r="L358" s="32" t="inlineStr">
        <is>
          <t>-</t>
        </is>
      </c>
      <c r="M358" s="32" t="inlineStr">
        <is>
          <t>제 50 기</t>
        </is>
      </c>
      <c r="N358" s="32" t="inlineStr">
        <is>
          <t>-4124593513.0</t>
        </is>
      </c>
      <c r="O358" s="32" t="inlineStr">
        <is>
          <t>-425925922.0</t>
        </is>
      </c>
      <c r="P358" s="32" t="inlineStr">
        <is>
          <t>KRW</t>
        </is>
      </c>
      <c r="Q358" s="32" t="inlineStr">
        <is>
          <t>44</t>
        </is>
      </c>
    </row>
    <row r="359" ht="24" customHeight="1">
      <c r="A359" s="27" t="inlineStr">
        <is>
          <t>OpenDART_fnlttSinglAcntAll</t>
        </is>
      </c>
      <c r="B359" s="27" t="inlineStr">
        <is>
          <t>00118804</t>
        </is>
      </c>
      <c r="C359" s="27" t="inlineStr">
        <is>
          <t>동진쎄미켐</t>
        </is>
      </c>
      <c r="D359" s="27" t="inlineStr">
        <is>
          <t>dongjin_semichem</t>
        </is>
      </c>
      <c r="E359" s="27" t="inlineStr">
        <is>
          <t>005290</t>
        </is>
      </c>
      <c r="F359" s="27" t="inlineStr">
        <is>
          <t>2022</t>
        </is>
      </c>
      <c r="G359" s="27" t="inlineStr">
        <is>
          <t>CFS</t>
        </is>
      </c>
      <c r="H359" s="27" t="inlineStr">
        <is>
          <t>CF</t>
        </is>
      </c>
      <c r="I359" s="27" t="inlineStr">
        <is>
          <t>현금흐름표</t>
        </is>
      </c>
      <c r="J359" s="27" t="inlineStr">
        <is>
          <t>ifrs-full_InterestReceivedClassifiedAsOperatingActivities</t>
        </is>
      </c>
      <c r="K359" s="27" t="inlineStr">
        <is>
          <t>이자수취</t>
        </is>
      </c>
      <c r="L359" s="27" t="inlineStr">
        <is>
          <t>-</t>
        </is>
      </c>
      <c r="M359" s="27" t="inlineStr">
        <is>
          <t>제 50 기</t>
        </is>
      </c>
      <c r="N359" s="27" t="inlineStr">
        <is>
          <t>2522291830.0</t>
        </is>
      </c>
      <c r="O359" s="27" t="inlineStr">
        <is>
          <t>1297324748.0</t>
        </is>
      </c>
      <c r="P359" s="27" t="inlineStr">
        <is>
          <t>KRW</t>
        </is>
      </c>
      <c r="Q359" s="27" t="inlineStr">
        <is>
          <t>45</t>
        </is>
      </c>
    </row>
    <row r="360" ht="24" customHeight="1">
      <c r="A360" s="32" t="inlineStr">
        <is>
          <t>OpenDART_fnlttSinglAcntAll</t>
        </is>
      </c>
      <c r="B360" s="32" t="inlineStr">
        <is>
          <t>00118804</t>
        </is>
      </c>
      <c r="C360" s="32" t="inlineStr">
        <is>
          <t>동진쎄미켐</t>
        </is>
      </c>
      <c r="D360" s="32" t="inlineStr">
        <is>
          <t>dongjin_semichem</t>
        </is>
      </c>
      <c r="E360" s="32" t="inlineStr">
        <is>
          <t>005290</t>
        </is>
      </c>
      <c r="F360" s="32" t="inlineStr">
        <is>
          <t>2022</t>
        </is>
      </c>
      <c r="G360" s="32" t="inlineStr">
        <is>
          <t>CFS</t>
        </is>
      </c>
      <c r="H360" s="32" t="inlineStr">
        <is>
          <t>CF</t>
        </is>
      </c>
      <c r="I360" s="32" t="inlineStr">
        <is>
          <t>현금흐름표</t>
        </is>
      </c>
      <c r="J360" s="32" t="inlineStr">
        <is>
          <t>ifrs-full_InterestPaidClassifiedAsOperatingActivities</t>
        </is>
      </c>
      <c r="K360" s="32" t="inlineStr">
        <is>
          <t>이자지급</t>
        </is>
      </c>
      <c r="L360" s="32" t="inlineStr">
        <is>
          <t>-</t>
        </is>
      </c>
      <c r="M360" s="32" t="inlineStr">
        <is>
          <t>제 50 기</t>
        </is>
      </c>
      <c r="N360" s="32" t="inlineStr">
        <is>
          <t>13318762184.0</t>
        </is>
      </c>
      <c r="O360" s="32" t="inlineStr">
        <is>
          <t>9631793782.0</t>
        </is>
      </c>
      <c r="P360" s="32" t="inlineStr">
        <is>
          <t>KRW</t>
        </is>
      </c>
      <c r="Q360" s="32" t="inlineStr">
        <is>
          <t>46</t>
        </is>
      </c>
    </row>
    <row r="361" ht="24" customHeight="1">
      <c r="A361" s="27" t="inlineStr">
        <is>
          <t>OpenDART_fnlttSinglAcntAll</t>
        </is>
      </c>
      <c r="B361" s="27" t="inlineStr">
        <is>
          <t>00118804</t>
        </is>
      </c>
      <c r="C361" s="27" t="inlineStr">
        <is>
          <t>동진쎄미켐</t>
        </is>
      </c>
      <c r="D361" s="27" t="inlineStr">
        <is>
          <t>dongjin_semichem</t>
        </is>
      </c>
      <c r="E361" s="27" t="inlineStr">
        <is>
          <t>005290</t>
        </is>
      </c>
      <c r="F361" s="27" t="inlineStr">
        <is>
          <t>2022</t>
        </is>
      </c>
      <c r="G361" s="27" t="inlineStr">
        <is>
          <t>CFS</t>
        </is>
      </c>
      <c r="H361" s="27" t="inlineStr">
        <is>
          <t>CF</t>
        </is>
      </c>
      <c r="I361" s="27" t="inlineStr">
        <is>
          <t>현금흐름표</t>
        </is>
      </c>
      <c r="J361" s="27" t="inlineStr">
        <is>
          <t>-표준계정코드 미사용-</t>
        </is>
      </c>
      <c r="K361" s="27" t="inlineStr">
        <is>
          <t>법인세의 환급</t>
        </is>
      </c>
      <c r="L361" s="27" t="inlineStr">
        <is>
          <t>-</t>
        </is>
      </c>
      <c r="M361" s="27" t="inlineStr">
        <is>
          <t>제 50 기</t>
        </is>
      </c>
      <c r="N361" s="27" t="inlineStr">
        <is>
          <t>83957890.0</t>
        </is>
      </c>
      <c r="O361" s="27" t="inlineStr">
        <is>
          <t>806665133.0</t>
        </is>
      </c>
      <c r="P361" s="27" t="inlineStr">
        <is>
          <t>KRW</t>
        </is>
      </c>
      <c r="Q361" s="27" t="inlineStr">
        <is>
          <t>47</t>
        </is>
      </c>
    </row>
    <row r="362" ht="24" customHeight="1">
      <c r="A362" s="32" t="inlineStr">
        <is>
          <t>OpenDART_fnlttSinglAcntAll</t>
        </is>
      </c>
      <c r="B362" s="32" t="inlineStr">
        <is>
          <t>00118804</t>
        </is>
      </c>
      <c r="C362" s="32" t="inlineStr">
        <is>
          <t>동진쎄미켐</t>
        </is>
      </c>
      <c r="D362" s="32" t="inlineStr">
        <is>
          <t>dongjin_semichem</t>
        </is>
      </c>
      <c r="E362" s="32" t="inlineStr">
        <is>
          <t>005290</t>
        </is>
      </c>
      <c r="F362" s="32" t="inlineStr">
        <is>
          <t>2022</t>
        </is>
      </c>
      <c r="G362" s="32" t="inlineStr">
        <is>
          <t>CFS</t>
        </is>
      </c>
      <c r="H362" s="32" t="inlineStr">
        <is>
          <t>CF</t>
        </is>
      </c>
      <c r="I362" s="32" t="inlineStr">
        <is>
          <t>현금흐름표</t>
        </is>
      </c>
      <c r="J362" s="32" t="inlineStr">
        <is>
          <t>ifrs-full_IncomeTaxesPaidRefundClassifiedAsOperatingActivities</t>
        </is>
      </c>
      <c r="K362" s="32" t="inlineStr">
        <is>
          <t>법인세의 납부</t>
        </is>
      </c>
      <c r="L362" s="32" t="inlineStr">
        <is>
          <t>-</t>
        </is>
      </c>
      <c r="M362" s="32" t="inlineStr">
        <is>
          <t>제 50 기</t>
        </is>
      </c>
      <c r="N362" s="32" t="inlineStr">
        <is>
          <t>30971692345.0</t>
        </is>
      </c>
      <c r="O362" s="32" t="inlineStr">
        <is>
          <t>35252970412.0</t>
        </is>
      </c>
      <c r="P362" s="32" t="inlineStr">
        <is>
          <t>KRW</t>
        </is>
      </c>
      <c r="Q362" s="32" t="inlineStr">
        <is>
          <t>48</t>
        </is>
      </c>
    </row>
    <row r="363" ht="24" customHeight="1">
      <c r="A363" s="27" t="inlineStr">
        <is>
          <t>OpenDART_fnlttSinglAcntAll</t>
        </is>
      </c>
      <c r="B363" s="27" t="inlineStr">
        <is>
          <t>00118804</t>
        </is>
      </c>
      <c r="C363" s="27" t="inlineStr">
        <is>
          <t>동진쎄미켐</t>
        </is>
      </c>
      <c r="D363" s="27" t="inlineStr">
        <is>
          <t>dongjin_semichem</t>
        </is>
      </c>
      <c r="E363" s="27" t="inlineStr">
        <is>
          <t>005290</t>
        </is>
      </c>
      <c r="F363" s="27" t="inlineStr">
        <is>
          <t>2022</t>
        </is>
      </c>
      <c r="G363" s="27" t="inlineStr">
        <is>
          <t>CFS</t>
        </is>
      </c>
      <c r="H363" s="27" t="inlineStr">
        <is>
          <t>CF</t>
        </is>
      </c>
      <c r="I363" s="27" t="inlineStr">
        <is>
          <t>현금흐름표</t>
        </is>
      </c>
      <c r="J363" s="27" t="inlineStr">
        <is>
          <t>ifrs-full_CashFlowsFromUsedInInvestingActivities</t>
        </is>
      </c>
      <c r="K363" s="27" t="inlineStr">
        <is>
          <t>투자활동현금흐름</t>
        </is>
      </c>
      <c r="L363" s="27" t="inlineStr">
        <is>
          <t>-</t>
        </is>
      </c>
      <c r="M363" s="27" t="inlineStr">
        <is>
          <t>제 50 기</t>
        </is>
      </c>
      <c r="N363" s="27" t="inlineStr">
        <is>
          <t>-147320572980.0</t>
        </is>
      </c>
      <c r="O363" s="27" t="inlineStr">
        <is>
          <t>-96276916853.0</t>
        </is>
      </c>
      <c r="P363" s="27" t="inlineStr">
        <is>
          <t>KRW</t>
        </is>
      </c>
      <c r="Q363" s="27" t="inlineStr">
        <is>
          <t>49</t>
        </is>
      </c>
    </row>
    <row r="364" ht="24" customHeight="1">
      <c r="A364" s="32" t="inlineStr">
        <is>
          <t>OpenDART_fnlttSinglAcntAll</t>
        </is>
      </c>
      <c r="B364" s="32" t="inlineStr">
        <is>
          <t>00118804</t>
        </is>
      </c>
      <c r="C364" s="32" t="inlineStr">
        <is>
          <t>동진쎄미켐</t>
        </is>
      </c>
      <c r="D364" s="32" t="inlineStr">
        <is>
          <t>dongjin_semichem</t>
        </is>
      </c>
      <c r="E364" s="32" t="inlineStr">
        <is>
          <t>005290</t>
        </is>
      </c>
      <c r="F364" s="32" t="inlineStr">
        <is>
          <t>2022</t>
        </is>
      </c>
      <c r="G364" s="32" t="inlineStr">
        <is>
          <t>CFS</t>
        </is>
      </c>
      <c r="H364" s="32" t="inlineStr">
        <is>
          <t>CF</t>
        </is>
      </c>
      <c r="I364" s="32" t="inlineStr">
        <is>
          <t>현금흐름표</t>
        </is>
      </c>
      <c r="J364" s="32" t="inlineStr">
        <is>
          <t>-표준계정코드 미사용-</t>
        </is>
      </c>
      <c r="K364" s="32" t="inlineStr">
        <is>
          <t>단기금융자산의 감소</t>
        </is>
      </c>
      <c r="L364" s="32" t="inlineStr">
        <is>
          <t>-</t>
        </is>
      </c>
      <c r="M364" s="32" t="inlineStr">
        <is>
          <t>제 50 기</t>
        </is>
      </c>
      <c r="N364" s="32" t="inlineStr">
        <is>
          <t>63393081300.0</t>
        </is>
      </c>
      <c r="O364" s="32" t="inlineStr">
        <is>
          <t>49038807835.0</t>
        </is>
      </c>
      <c r="P364" s="32" t="inlineStr">
        <is>
          <t>KRW</t>
        </is>
      </c>
      <c r="Q364" s="32" t="inlineStr">
        <is>
          <t>50</t>
        </is>
      </c>
    </row>
    <row r="365" ht="24" customHeight="1">
      <c r="A365" s="27" t="inlineStr">
        <is>
          <t>OpenDART_fnlttSinglAcntAll</t>
        </is>
      </c>
      <c r="B365" s="27" t="inlineStr">
        <is>
          <t>00118804</t>
        </is>
      </c>
      <c r="C365" s="27" t="inlineStr">
        <is>
          <t>동진쎄미켐</t>
        </is>
      </c>
      <c r="D365" s="27" t="inlineStr">
        <is>
          <t>dongjin_semichem</t>
        </is>
      </c>
      <c r="E365" s="27" t="inlineStr">
        <is>
          <t>005290</t>
        </is>
      </c>
      <c r="F365" s="27" t="inlineStr">
        <is>
          <t>2022</t>
        </is>
      </c>
      <c r="G365" s="27" t="inlineStr">
        <is>
          <t>CFS</t>
        </is>
      </c>
      <c r="H365" s="27" t="inlineStr">
        <is>
          <t>CF</t>
        </is>
      </c>
      <c r="I365" s="27" t="inlineStr">
        <is>
          <t>현금흐름표</t>
        </is>
      </c>
      <c r="J365" s="27" t="inlineStr">
        <is>
          <t>-표준계정코드 미사용-</t>
        </is>
      </c>
      <c r="K365" s="27" t="inlineStr">
        <is>
          <t>투자금융자산의 처분</t>
        </is>
      </c>
      <c r="L365" s="27" t="inlineStr">
        <is>
          <t>-</t>
        </is>
      </c>
      <c r="M365" s="27" t="inlineStr">
        <is>
          <t>제 50 기</t>
        </is>
      </c>
      <c r="N365" s="27" t="inlineStr">
        <is>
          <t>0.0</t>
        </is>
      </c>
      <c r="O365" s="27" t="inlineStr">
        <is>
          <t>0.0</t>
        </is>
      </c>
      <c r="P365" s="27" t="inlineStr">
        <is>
          <t>KRW</t>
        </is>
      </c>
      <c r="Q365" s="27" t="inlineStr">
        <is>
          <t>51</t>
        </is>
      </c>
    </row>
    <row r="366" ht="24" customHeight="1">
      <c r="A366" s="32" t="inlineStr">
        <is>
          <t>OpenDART_fnlttSinglAcntAll</t>
        </is>
      </c>
      <c r="B366" s="32" t="inlineStr">
        <is>
          <t>00118804</t>
        </is>
      </c>
      <c r="C366" s="32" t="inlineStr">
        <is>
          <t>동진쎄미켐</t>
        </is>
      </c>
      <c r="D366" s="32" t="inlineStr">
        <is>
          <t>dongjin_semichem</t>
        </is>
      </c>
      <c r="E366" s="32" t="inlineStr">
        <is>
          <t>005290</t>
        </is>
      </c>
      <c r="F366" s="32" t="inlineStr">
        <is>
          <t>2022</t>
        </is>
      </c>
      <c r="G366" s="32" t="inlineStr">
        <is>
          <t>CFS</t>
        </is>
      </c>
      <c r="H366" s="32" t="inlineStr">
        <is>
          <t>CF</t>
        </is>
      </c>
      <c r="I366" s="32" t="inlineStr">
        <is>
          <t>현금흐름표</t>
        </is>
      </c>
      <c r="J366" s="32" t="inlineStr">
        <is>
          <t>-표준계정코드 미사용-</t>
        </is>
      </c>
      <c r="K366" s="32" t="inlineStr">
        <is>
          <t>연결대상범위변동으로 인한 증가</t>
        </is>
      </c>
      <c r="L366" s="32" t="inlineStr">
        <is>
          <t>-</t>
        </is>
      </c>
      <c r="M366" s="32" t="inlineStr">
        <is>
          <t>제 50 기</t>
        </is>
      </c>
      <c r="N366" s="32" t="inlineStr">
        <is>
          <t>0.0</t>
        </is>
      </c>
      <c r="O366" s="32" t="inlineStr">
        <is>
          <t>0.0</t>
        </is>
      </c>
      <c r="P366" s="32" t="inlineStr">
        <is>
          <t>KRW</t>
        </is>
      </c>
      <c r="Q366" s="32" t="inlineStr">
        <is>
          <t>52</t>
        </is>
      </c>
    </row>
    <row r="367" ht="24" customHeight="1">
      <c r="A367" s="27" t="inlineStr">
        <is>
          <t>OpenDART_fnlttSinglAcntAll</t>
        </is>
      </c>
      <c r="B367" s="27" t="inlineStr">
        <is>
          <t>00118804</t>
        </is>
      </c>
      <c r="C367" s="27" t="inlineStr">
        <is>
          <t>동진쎄미켐</t>
        </is>
      </c>
      <c r="D367" s="27" t="inlineStr">
        <is>
          <t>dongjin_semichem</t>
        </is>
      </c>
      <c r="E367" s="27" t="inlineStr">
        <is>
          <t>005290</t>
        </is>
      </c>
      <c r="F367" s="27" t="inlineStr">
        <is>
          <t>2022</t>
        </is>
      </c>
      <c r="G367" s="27" t="inlineStr">
        <is>
          <t>CFS</t>
        </is>
      </c>
      <c r="H367" s="27" t="inlineStr">
        <is>
          <t>CF</t>
        </is>
      </c>
      <c r="I367" s="27" t="inlineStr">
        <is>
          <t>현금흐름표</t>
        </is>
      </c>
      <c r="J367" s="27" t="inlineStr">
        <is>
          <t>-표준계정코드 미사용-</t>
        </is>
      </c>
      <c r="K367" s="27" t="inlineStr">
        <is>
          <t>단기대여금의 회수</t>
        </is>
      </c>
      <c r="L367" s="27" t="inlineStr">
        <is>
          <t>-</t>
        </is>
      </c>
      <c r="M367" s="27" t="inlineStr">
        <is>
          <t>제 50 기</t>
        </is>
      </c>
      <c r="N367" s="27" t="inlineStr">
        <is>
          <t>316090500.0</t>
        </is>
      </c>
      <c r="O367" s="27" t="inlineStr">
        <is>
          <t>4714230000.0</t>
        </is>
      </c>
      <c r="P367" s="27" t="inlineStr">
        <is>
          <t>KRW</t>
        </is>
      </c>
      <c r="Q367" s="27" t="inlineStr">
        <is>
          <t>53</t>
        </is>
      </c>
    </row>
    <row r="368" ht="24" customHeight="1">
      <c r="A368" s="32" t="inlineStr">
        <is>
          <t>OpenDART_fnlttSinglAcntAll</t>
        </is>
      </c>
      <c r="B368" s="32" t="inlineStr">
        <is>
          <t>00118804</t>
        </is>
      </c>
      <c r="C368" s="32" t="inlineStr">
        <is>
          <t>동진쎄미켐</t>
        </is>
      </c>
      <c r="D368" s="32" t="inlineStr">
        <is>
          <t>dongjin_semichem</t>
        </is>
      </c>
      <c r="E368" s="32" t="inlineStr">
        <is>
          <t>005290</t>
        </is>
      </c>
      <c r="F368" s="32" t="inlineStr">
        <is>
          <t>2022</t>
        </is>
      </c>
      <c r="G368" s="32" t="inlineStr">
        <is>
          <t>CFS</t>
        </is>
      </c>
      <c r="H368" s="32" t="inlineStr">
        <is>
          <t>CF</t>
        </is>
      </c>
      <c r="I368" s="32" t="inlineStr">
        <is>
          <t>현금흐름표</t>
        </is>
      </c>
      <c r="J368" s="32" t="inlineStr">
        <is>
          <t>-표준계정코드 미사용-</t>
        </is>
      </c>
      <c r="K368" s="32" t="inlineStr">
        <is>
          <t>장기대여금의 회수</t>
        </is>
      </c>
      <c r="L368" s="32" t="inlineStr">
        <is>
          <t>-</t>
        </is>
      </c>
      <c r="M368" s="32" t="inlineStr">
        <is>
          <t>제 50 기</t>
        </is>
      </c>
      <c r="N368" s="32" t="inlineStr">
        <is>
          <t>42700000.0</t>
        </is>
      </c>
      <c r="O368" s="32" t="inlineStr">
        <is>
          <t>2017550000.0</t>
        </is>
      </c>
      <c r="P368" s="32" t="inlineStr">
        <is>
          <t>KRW</t>
        </is>
      </c>
      <c r="Q368" s="32" t="inlineStr">
        <is>
          <t>54</t>
        </is>
      </c>
    </row>
    <row r="369" ht="24" customHeight="1">
      <c r="A369" s="27" t="inlineStr">
        <is>
          <t>OpenDART_fnlttSinglAcntAll</t>
        </is>
      </c>
      <c r="B369" s="27" t="inlineStr">
        <is>
          <t>00118804</t>
        </is>
      </c>
      <c r="C369" s="27" t="inlineStr">
        <is>
          <t>동진쎄미켐</t>
        </is>
      </c>
      <c r="D369" s="27" t="inlineStr">
        <is>
          <t>dongjin_semichem</t>
        </is>
      </c>
      <c r="E369" s="27" t="inlineStr">
        <is>
          <t>005290</t>
        </is>
      </c>
      <c r="F369" s="27" t="inlineStr">
        <is>
          <t>2022</t>
        </is>
      </c>
      <c r="G369" s="27" t="inlineStr">
        <is>
          <t>CFS</t>
        </is>
      </c>
      <c r="H369" s="27" t="inlineStr">
        <is>
          <t>CF</t>
        </is>
      </c>
      <c r="I369" s="27" t="inlineStr">
        <is>
          <t>현금흐름표</t>
        </is>
      </c>
      <c r="J369" s="27" t="inlineStr">
        <is>
          <t>ifrs-full_ProceedsFromSalesOfPropertyPlantAndEquipmentClassifiedAsInvestingActivities</t>
        </is>
      </c>
      <c r="K369" s="27" t="inlineStr">
        <is>
          <t>유형자산의 처분</t>
        </is>
      </c>
      <c r="L369" s="27" t="inlineStr">
        <is>
          <t>-</t>
        </is>
      </c>
      <c r="M369" s="27" t="inlineStr">
        <is>
          <t>제 50 기</t>
        </is>
      </c>
      <c r="N369" s="27" t="inlineStr">
        <is>
          <t>177054884.0</t>
        </is>
      </c>
      <c r="O369" s="27" t="inlineStr">
        <is>
          <t>964269504.0</t>
        </is>
      </c>
      <c r="P369" s="27" t="inlineStr">
        <is>
          <t>KRW</t>
        </is>
      </c>
      <c r="Q369" s="27" t="inlineStr">
        <is>
          <t>55</t>
        </is>
      </c>
    </row>
    <row r="370" ht="24" customHeight="1">
      <c r="A370" s="32" t="inlineStr">
        <is>
          <t>OpenDART_fnlttSinglAcntAll</t>
        </is>
      </c>
      <c r="B370" s="32" t="inlineStr">
        <is>
          <t>00118804</t>
        </is>
      </c>
      <c r="C370" s="32" t="inlineStr">
        <is>
          <t>동진쎄미켐</t>
        </is>
      </c>
      <c r="D370" s="32" t="inlineStr">
        <is>
          <t>dongjin_semichem</t>
        </is>
      </c>
      <c r="E370" s="32" t="inlineStr">
        <is>
          <t>005290</t>
        </is>
      </c>
      <c r="F370" s="32" t="inlineStr">
        <is>
          <t>2022</t>
        </is>
      </c>
      <c r="G370" s="32" t="inlineStr">
        <is>
          <t>CFS</t>
        </is>
      </c>
      <c r="H370" s="32" t="inlineStr">
        <is>
          <t>CF</t>
        </is>
      </c>
      <c r="I370" s="32" t="inlineStr">
        <is>
          <t>현금흐름표</t>
        </is>
      </c>
      <c r="J370" s="32" t="inlineStr">
        <is>
          <t>dart_ProceedsFromSalesOfInvestmentProperty</t>
        </is>
      </c>
      <c r="K370" s="32" t="inlineStr">
        <is>
          <t>투자부동산의 처분</t>
        </is>
      </c>
      <c r="L370" s="32" t="inlineStr">
        <is>
          <t>-</t>
        </is>
      </c>
      <c r="M370" s="32" t="inlineStr">
        <is>
          <t>제 50 기</t>
        </is>
      </c>
      <c r="N370" s="32" t="inlineStr">
        <is>
          <t>0.0</t>
        </is>
      </c>
      <c r="O370" s="32" t="inlineStr">
        <is>
          <t>0.0</t>
        </is>
      </c>
      <c r="P370" s="32" t="inlineStr">
        <is>
          <t>KRW</t>
        </is>
      </c>
      <c r="Q370" s="32" t="inlineStr">
        <is>
          <t>56</t>
        </is>
      </c>
    </row>
    <row r="371" ht="24" customHeight="1">
      <c r="A371" s="27" t="inlineStr">
        <is>
          <t>OpenDART_fnlttSinglAcntAll</t>
        </is>
      </c>
      <c r="B371" s="27" t="inlineStr">
        <is>
          <t>00118804</t>
        </is>
      </c>
      <c r="C371" s="27" t="inlineStr">
        <is>
          <t>동진쎄미켐</t>
        </is>
      </c>
      <c r="D371" s="27" t="inlineStr">
        <is>
          <t>dongjin_semichem</t>
        </is>
      </c>
      <c r="E371" s="27" t="inlineStr">
        <is>
          <t>005290</t>
        </is>
      </c>
      <c r="F371" s="27" t="inlineStr">
        <is>
          <t>2022</t>
        </is>
      </c>
      <c r="G371" s="27" t="inlineStr">
        <is>
          <t>CFS</t>
        </is>
      </c>
      <c r="H371" s="27" t="inlineStr">
        <is>
          <t>CF</t>
        </is>
      </c>
      <c r="I371" s="27" t="inlineStr">
        <is>
          <t>현금흐름표</t>
        </is>
      </c>
      <c r="J371" s="27" t="inlineStr">
        <is>
          <t>ifrs-full_ProceedsFromSalesOfIntangibleAssetsClassifiedAsInvestingActivities</t>
        </is>
      </c>
      <c r="K371" s="27" t="inlineStr">
        <is>
          <t>무형자산의 처분</t>
        </is>
      </c>
      <c r="L371" s="27" t="inlineStr">
        <is>
          <t>-</t>
        </is>
      </c>
      <c r="M371" s="27" t="inlineStr">
        <is>
          <t>제 50 기</t>
        </is>
      </c>
      <c r="N371" s="27" t="inlineStr">
        <is>
          <t>93000000.0</t>
        </is>
      </c>
      <c r="O371" s="27" t="inlineStr">
        <is>
          <t>0.0</t>
        </is>
      </c>
      <c r="P371" s="27" t="inlineStr">
        <is>
          <t>KRW</t>
        </is>
      </c>
      <c r="Q371" s="27" t="inlineStr">
        <is>
          <t>57</t>
        </is>
      </c>
    </row>
    <row r="372" ht="24" customHeight="1">
      <c r="A372" s="32" t="inlineStr">
        <is>
          <t>OpenDART_fnlttSinglAcntAll</t>
        </is>
      </c>
      <c r="B372" s="32" t="inlineStr">
        <is>
          <t>00118804</t>
        </is>
      </c>
      <c r="C372" s="32" t="inlineStr">
        <is>
          <t>동진쎄미켐</t>
        </is>
      </c>
      <c r="D372" s="32" t="inlineStr">
        <is>
          <t>dongjin_semichem</t>
        </is>
      </c>
      <c r="E372" s="32" t="inlineStr">
        <is>
          <t>005290</t>
        </is>
      </c>
      <c r="F372" s="32" t="inlineStr">
        <is>
          <t>2022</t>
        </is>
      </c>
      <c r="G372" s="32" t="inlineStr">
        <is>
          <t>CFS</t>
        </is>
      </c>
      <c r="H372" s="32" t="inlineStr">
        <is>
          <t>CF</t>
        </is>
      </c>
      <c r="I372" s="32" t="inlineStr">
        <is>
          <t>현금흐름표</t>
        </is>
      </c>
      <c r="J372" s="32" t="inlineStr">
        <is>
          <t>-표준계정코드 미사용-</t>
        </is>
      </c>
      <c r="K372" s="32" t="inlineStr">
        <is>
          <t>국고보조금의 수령</t>
        </is>
      </c>
      <c r="L372" s="32" t="inlineStr">
        <is>
          <t>-</t>
        </is>
      </c>
      <c r="M372" s="32" t="inlineStr">
        <is>
          <t>제 50 기</t>
        </is>
      </c>
      <c r="N372" s="32" t="inlineStr">
        <is>
          <t>2627600799.0</t>
        </is>
      </c>
      <c r="O372" s="32" t="inlineStr">
        <is>
          <t>8541693974.0</t>
        </is>
      </c>
      <c r="P372" s="32" t="inlineStr">
        <is>
          <t>KRW</t>
        </is>
      </c>
      <c r="Q372" s="32" t="inlineStr">
        <is>
          <t>58</t>
        </is>
      </c>
    </row>
    <row r="373" ht="24" customHeight="1">
      <c r="A373" s="27" t="inlineStr">
        <is>
          <t>OpenDART_fnlttSinglAcntAll</t>
        </is>
      </c>
      <c r="B373" s="27" t="inlineStr">
        <is>
          <t>00118804</t>
        </is>
      </c>
      <c r="C373" s="27" t="inlineStr">
        <is>
          <t>동진쎄미켐</t>
        </is>
      </c>
      <c r="D373" s="27" t="inlineStr">
        <is>
          <t>dongjin_semichem</t>
        </is>
      </c>
      <c r="E373" s="27" t="inlineStr">
        <is>
          <t>005290</t>
        </is>
      </c>
      <c r="F373" s="27" t="inlineStr">
        <is>
          <t>2022</t>
        </is>
      </c>
      <c r="G373" s="27" t="inlineStr">
        <is>
          <t>CFS</t>
        </is>
      </c>
      <c r="H373" s="27" t="inlineStr">
        <is>
          <t>CF</t>
        </is>
      </c>
      <c r="I373" s="27" t="inlineStr">
        <is>
          <t>현금흐름표</t>
        </is>
      </c>
      <c r="J373" s="27" t="inlineStr">
        <is>
          <t>-표준계정코드 미사용-</t>
        </is>
      </c>
      <c r="K373" s="27" t="inlineStr">
        <is>
          <t>단기대여금의 대여</t>
        </is>
      </c>
      <c r="L373" s="27" t="inlineStr">
        <is>
          <t>-</t>
        </is>
      </c>
      <c r="M373" s="27" t="inlineStr">
        <is>
          <t>제 50 기</t>
        </is>
      </c>
      <c r="N373" s="27" t="inlineStr">
        <is>
          <t>0.0</t>
        </is>
      </c>
      <c r="O373" s="27" t="inlineStr">
        <is>
          <t>-1525898000.0</t>
        </is>
      </c>
      <c r="P373" s="27" t="inlineStr">
        <is>
          <t>KRW</t>
        </is>
      </c>
      <c r="Q373" s="27" t="inlineStr">
        <is>
          <t>59</t>
        </is>
      </c>
    </row>
    <row r="374" ht="24" customHeight="1">
      <c r="A374" s="32" t="inlineStr">
        <is>
          <t>OpenDART_fnlttSinglAcntAll</t>
        </is>
      </c>
      <c r="B374" s="32" t="inlineStr">
        <is>
          <t>00118804</t>
        </is>
      </c>
      <c r="C374" s="32" t="inlineStr">
        <is>
          <t>동진쎄미켐</t>
        </is>
      </c>
      <c r="D374" s="32" t="inlineStr">
        <is>
          <t>dongjin_semichem</t>
        </is>
      </c>
      <c r="E374" s="32" t="inlineStr">
        <is>
          <t>005290</t>
        </is>
      </c>
      <c r="F374" s="32" t="inlineStr">
        <is>
          <t>2022</t>
        </is>
      </c>
      <c r="G374" s="32" t="inlineStr">
        <is>
          <t>CFS</t>
        </is>
      </c>
      <c r="H374" s="32" t="inlineStr">
        <is>
          <t>CF</t>
        </is>
      </c>
      <c r="I374" s="32" t="inlineStr">
        <is>
          <t>현금흐름표</t>
        </is>
      </c>
      <c r="J374" s="32" t="inlineStr">
        <is>
          <t>-표준계정코드 미사용-</t>
        </is>
      </c>
      <c r="K374" s="32" t="inlineStr">
        <is>
          <t>장기대여금의 대여</t>
        </is>
      </c>
      <c r="L374" s="32" t="inlineStr">
        <is>
          <t>-</t>
        </is>
      </c>
      <c r="M374" s="32" t="inlineStr">
        <is>
          <t>제 50 기</t>
        </is>
      </c>
      <c r="N374" s="32" t="inlineStr">
        <is>
          <t>-150000000.0</t>
        </is>
      </c>
      <c r="O374" s="32" t="inlineStr">
        <is>
          <t>-1148409672.0</t>
        </is>
      </c>
      <c r="P374" s="32" t="inlineStr">
        <is>
          <t>KRW</t>
        </is>
      </c>
      <c r="Q374" s="32" t="inlineStr">
        <is>
          <t>60</t>
        </is>
      </c>
    </row>
    <row r="375" ht="24" customHeight="1">
      <c r="A375" s="27" t="inlineStr">
        <is>
          <t>OpenDART_fnlttSinglAcntAll</t>
        </is>
      </c>
      <c r="B375" s="27" t="inlineStr">
        <is>
          <t>00118804</t>
        </is>
      </c>
      <c r="C375" s="27" t="inlineStr">
        <is>
          <t>동진쎄미켐</t>
        </is>
      </c>
      <c r="D375" s="27" t="inlineStr">
        <is>
          <t>dongjin_semichem</t>
        </is>
      </c>
      <c r="E375" s="27" t="inlineStr">
        <is>
          <t>005290</t>
        </is>
      </c>
      <c r="F375" s="27" t="inlineStr">
        <is>
          <t>2022</t>
        </is>
      </c>
      <c r="G375" s="27" t="inlineStr">
        <is>
          <t>CFS</t>
        </is>
      </c>
      <c r="H375" s="27" t="inlineStr">
        <is>
          <t>CF</t>
        </is>
      </c>
      <c r="I375" s="27" t="inlineStr">
        <is>
          <t>현금흐름표</t>
        </is>
      </c>
      <c r="J375" s="27" t="inlineStr">
        <is>
          <t>dart_PurchaseOfShortTermFinancialInstruments</t>
        </is>
      </c>
      <c r="K375" s="27" t="inlineStr">
        <is>
          <t>단기금융자산의 취득</t>
        </is>
      </c>
      <c r="L375" s="27" t="inlineStr">
        <is>
          <t>-</t>
        </is>
      </c>
      <c r="M375" s="27" t="inlineStr">
        <is>
          <t>제 50 기</t>
        </is>
      </c>
      <c r="N375" s="27" t="inlineStr">
        <is>
          <t>119066928800.0</t>
        </is>
      </c>
      <c r="O375" s="27" t="inlineStr">
        <is>
          <t>54707016630.0</t>
        </is>
      </c>
      <c r="P375" s="27" t="inlineStr">
        <is>
          <t>KRW</t>
        </is>
      </c>
      <c r="Q375" s="27" t="inlineStr">
        <is>
          <t>61</t>
        </is>
      </c>
    </row>
    <row r="376" ht="24" customHeight="1">
      <c r="A376" s="32" t="inlineStr">
        <is>
          <t>OpenDART_fnlttSinglAcntAll</t>
        </is>
      </c>
      <c r="B376" s="32" t="inlineStr">
        <is>
          <t>00118804</t>
        </is>
      </c>
      <c r="C376" s="32" t="inlineStr">
        <is>
          <t>동진쎄미켐</t>
        </is>
      </c>
      <c r="D376" s="32" t="inlineStr">
        <is>
          <t>dongjin_semichem</t>
        </is>
      </c>
      <c r="E376" s="32" t="inlineStr">
        <is>
          <t>005290</t>
        </is>
      </c>
      <c r="F376" s="32" t="inlineStr">
        <is>
          <t>2022</t>
        </is>
      </c>
      <c r="G376" s="32" t="inlineStr">
        <is>
          <t>CFS</t>
        </is>
      </c>
      <c r="H376" s="32" t="inlineStr">
        <is>
          <t>CF</t>
        </is>
      </c>
      <c r="I376" s="32" t="inlineStr">
        <is>
          <t>현금흐름표</t>
        </is>
      </c>
      <c r="J376" s="32" t="inlineStr">
        <is>
          <t>-표준계정코드 미사용-</t>
        </is>
      </c>
      <c r="K376" s="32" t="inlineStr">
        <is>
          <t>장기금융자산의 취득</t>
        </is>
      </c>
      <c r="L376" s="32" t="inlineStr">
        <is>
          <t>-</t>
        </is>
      </c>
      <c r="M376" s="32" t="inlineStr">
        <is>
          <t>제 50 기</t>
        </is>
      </c>
      <c r="N376" s="32" t="inlineStr">
        <is>
          <t>0.0</t>
        </is>
      </c>
      <c r="O376" s="32" t="inlineStr">
        <is>
          <t>-360000000.0</t>
        </is>
      </c>
      <c r="P376" s="32" t="inlineStr">
        <is>
          <t>KRW</t>
        </is>
      </c>
      <c r="Q376" s="32" t="inlineStr">
        <is>
          <t>62</t>
        </is>
      </c>
    </row>
    <row r="377" ht="24" customHeight="1">
      <c r="A377" s="27" t="inlineStr">
        <is>
          <t>OpenDART_fnlttSinglAcntAll</t>
        </is>
      </c>
      <c r="B377" s="27" t="inlineStr">
        <is>
          <t>00118804</t>
        </is>
      </c>
      <c r="C377" s="27" t="inlineStr">
        <is>
          <t>동진쎄미켐</t>
        </is>
      </c>
      <c r="D377" s="27" t="inlineStr">
        <is>
          <t>dongjin_semichem</t>
        </is>
      </c>
      <c r="E377" s="27" t="inlineStr">
        <is>
          <t>005290</t>
        </is>
      </c>
      <c r="F377" s="27" t="inlineStr">
        <is>
          <t>2022</t>
        </is>
      </c>
      <c r="G377" s="27" t="inlineStr">
        <is>
          <t>CFS</t>
        </is>
      </c>
      <c r="H377" s="27" t="inlineStr">
        <is>
          <t>CF</t>
        </is>
      </c>
      <c r="I377" s="27" t="inlineStr">
        <is>
          <t>현금흐름표</t>
        </is>
      </c>
      <c r="J377" s="27" t="inlineStr">
        <is>
          <t>-표준계정코드 미사용-</t>
        </is>
      </c>
      <c r="K377" s="27" t="inlineStr">
        <is>
          <t>투자금융자산의 취득</t>
        </is>
      </c>
      <c r="L377" s="27" t="inlineStr">
        <is>
          <t>-</t>
        </is>
      </c>
      <c r="M377" s="27" t="inlineStr">
        <is>
          <t>제 50 기</t>
        </is>
      </c>
      <c r="N377" s="27" t="inlineStr">
        <is>
          <t>0.0</t>
        </is>
      </c>
      <c r="O377" s="27" t="inlineStr">
        <is>
          <t>0.0</t>
        </is>
      </c>
      <c r="P377" s="27" t="inlineStr">
        <is>
          <t>KRW</t>
        </is>
      </c>
      <c r="Q377" s="27" t="inlineStr">
        <is>
          <t>63</t>
        </is>
      </c>
    </row>
    <row r="378" ht="24" customHeight="1">
      <c r="A378" s="32" t="inlineStr">
        <is>
          <t>OpenDART_fnlttSinglAcntAll</t>
        </is>
      </c>
      <c r="B378" s="32" t="inlineStr">
        <is>
          <t>00118804</t>
        </is>
      </c>
      <c r="C378" s="32" t="inlineStr">
        <is>
          <t>동진쎄미켐</t>
        </is>
      </c>
      <c r="D378" s="32" t="inlineStr">
        <is>
          <t>dongjin_semichem</t>
        </is>
      </c>
      <c r="E378" s="32" t="inlineStr">
        <is>
          <t>005290</t>
        </is>
      </c>
      <c r="F378" s="32" t="inlineStr">
        <is>
          <t>2022</t>
        </is>
      </c>
      <c r="G378" s="32" t="inlineStr">
        <is>
          <t>CFS</t>
        </is>
      </c>
      <c r="H378" s="32" t="inlineStr">
        <is>
          <t>CF</t>
        </is>
      </c>
      <c r="I378" s="32" t="inlineStr">
        <is>
          <t>현금흐름표</t>
        </is>
      </c>
      <c r="J378" s="32" t="inlineStr">
        <is>
          <t>-표준계정코드 미사용-</t>
        </is>
      </c>
      <c r="K378" s="32" t="inlineStr">
        <is>
          <t>관계기업투자의 취득</t>
        </is>
      </c>
      <c r="L378" s="32" t="inlineStr">
        <is>
          <t>-</t>
        </is>
      </c>
      <c r="M378" s="32" t="inlineStr">
        <is>
          <t>제 50 기</t>
        </is>
      </c>
      <c r="N378" s="32" t="inlineStr">
        <is>
          <t>0.0</t>
        </is>
      </c>
      <c r="O378" s="32" t="inlineStr">
        <is>
          <t>-3984805023.0</t>
        </is>
      </c>
      <c r="P378" s="32" t="inlineStr">
        <is>
          <t>KRW</t>
        </is>
      </c>
      <c r="Q378" s="32" t="inlineStr">
        <is>
          <t>64</t>
        </is>
      </c>
    </row>
    <row r="379" ht="24" customHeight="1">
      <c r="A379" s="27" t="inlineStr">
        <is>
          <t>OpenDART_fnlttSinglAcntAll</t>
        </is>
      </c>
      <c r="B379" s="27" t="inlineStr">
        <is>
          <t>00118804</t>
        </is>
      </c>
      <c r="C379" s="27" t="inlineStr">
        <is>
          <t>동진쎄미켐</t>
        </is>
      </c>
      <c r="D379" s="27" t="inlineStr">
        <is>
          <t>dongjin_semichem</t>
        </is>
      </c>
      <c r="E379" s="27" t="inlineStr">
        <is>
          <t>005290</t>
        </is>
      </c>
      <c r="F379" s="27" t="inlineStr">
        <is>
          <t>2022</t>
        </is>
      </c>
      <c r="G379" s="27" t="inlineStr">
        <is>
          <t>CFS</t>
        </is>
      </c>
      <c r="H379" s="27" t="inlineStr">
        <is>
          <t>CF</t>
        </is>
      </c>
      <c r="I379" s="27" t="inlineStr">
        <is>
          <t>현금흐름표</t>
        </is>
      </c>
      <c r="J379" s="27" t="inlineStr">
        <is>
          <t>-표준계정코드 미사용-</t>
        </is>
      </c>
      <c r="K379" s="27" t="inlineStr">
        <is>
          <t>파생상품자산의 취득</t>
        </is>
      </c>
      <c r="L379" s="27" t="inlineStr">
        <is>
          <t>-</t>
        </is>
      </c>
      <c r="M379" s="27" t="inlineStr">
        <is>
          <t>제 50 기</t>
        </is>
      </c>
      <c r="N379" s="27" t="inlineStr">
        <is>
          <t>0.0</t>
        </is>
      </c>
      <c r="O379" s="27" t="inlineStr">
        <is>
          <t>-15172545.0</t>
        </is>
      </c>
      <c r="P379" s="27" t="inlineStr">
        <is>
          <t>KRW</t>
        </is>
      </c>
      <c r="Q379" s="27" t="inlineStr">
        <is>
          <t>65</t>
        </is>
      </c>
    </row>
    <row r="380" ht="24" customHeight="1">
      <c r="A380" s="32" t="inlineStr">
        <is>
          <t>OpenDART_fnlttSinglAcntAll</t>
        </is>
      </c>
      <c r="B380" s="32" t="inlineStr">
        <is>
          <t>00118804</t>
        </is>
      </c>
      <c r="C380" s="32" t="inlineStr">
        <is>
          <t>동진쎄미켐</t>
        </is>
      </c>
      <c r="D380" s="32" t="inlineStr">
        <is>
          <t>dongjin_semichem</t>
        </is>
      </c>
      <c r="E380" s="32" t="inlineStr">
        <is>
          <t>005290</t>
        </is>
      </c>
      <c r="F380" s="32" t="inlineStr">
        <is>
          <t>2022</t>
        </is>
      </c>
      <c r="G380" s="32" t="inlineStr">
        <is>
          <t>CFS</t>
        </is>
      </c>
      <c r="H380" s="32" t="inlineStr">
        <is>
          <t>CF</t>
        </is>
      </c>
      <c r="I380" s="32" t="inlineStr">
        <is>
          <t>현금흐름표</t>
        </is>
      </c>
      <c r="J380" s="32" t="inlineStr">
        <is>
          <t>ifrs-full_PurchaseOfPropertyPlantAndEquipmentClassifiedAsInvestingActivities</t>
        </is>
      </c>
      <c r="K380" s="32" t="inlineStr">
        <is>
          <t>유형자산의 취득</t>
        </is>
      </c>
      <c r="L380" s="32" t="inlineStr">
        <is>
          <t>-</t>
        </is>
      </c>
      <c r="M380" s="32" t="inlineStr">
        <is>
          <t>제 50 기</t>
        </is>
      </c>
      <c r="N380" s="32" t="inlineStr">
        <is>
          <t>92935559922.0</t>
        </is>
      </c>
      <c r="O380" s="32" t="inlineStr">
        <is>
          <t>98848468049.0</t>
        </is>
      </c>
      <c r="P380" s="32" t="inlineStr">
        <is>
          <t>KRW</t>
        </is>
      </c>
      <c r="Q380" s="32" t="inlineStr">
        <is>
          <t>66</t>
        </is>
      </c>
    </row>
    <row r="381" ht="24" customHeight="1">
      <c r="A381" s="27" t="inlineStr">
        <is>
          <t>OpenDART_fnlttSinglAcntAll</t>
        </is>
      </c>
      <c r="B381" s="27" t="inlineStr">
        <is>
          <t>00118804</t>
        </is>
      </c>
      <c r="C381" s="27" t="inlineStr">
        <is>
          <t>동진쎄미켐</t>
        </is>
      </c>
      <c r="D381" s="27" t="inlineStr">
        <is>
          <t>dongjin_semichem</t>
        </is>
      </c>
      <c r="E381" s="27" t="inlineStr">
        <is>
          <t>005290</t>
        </is>
      </c>
      <c r="F381" s="27" t="inlineStr">
        <is>
          <t>2022</t>
        </is>
      </c>
      <c r="G381" s="27" t="inlineStr">
        <is>
          <t>CFS</t>
        </is>
      </c>
      <c r="H381" s="27" t="inlineStr">
        <is>
          <t>CF</t>
        </is>
      </c>
      <c r="I381" s="27" t="inlineStr">
        <is>
          <t>현금흐름표</t>
        </is>
      </c>
      <c r="J381" s="27" t="inlineStr">
        <is>
          <t>ifrs-full_PurchaseOfIntangibleAssetsClassifiedAsInvestingActivities</t>
        </is>
      </c>
      <c r="K381" s="27" t="inlineStr">
        <is>
          <t>무형자산의 취득</t>
        </is>
      </c>
      <c r="L381" s="27" t="inlineStr">
        <is>
          <t>-</t>
        </is>
      </c>
      <c r="M381" s="27" t="inlineStr">
        <is>
          <t>제 50 기</t>
        </is>
      </c>
      <c r="N381" s="27" t="inlineStr">
        <is>
          <t>1817611741.0</t>
        </is>
      </c>
      <c r="O381" s="27" t="inlineStr">
        <is>
          <t>963698247.0</t>
        </is>
      </c>
      <c r="P381" s="27" t="inlineStr">
        <is>
          <t>KRW</t>
        </is>
      </c>
      <c r="Q381" s="27" t="inlineStr">
        <is>
          <t>67</t>
        </is>
      </c>
    </row>
    <row r="382" ht="24" customHeight="1">
      <c r="A382" s="32" t="inlineStr">
        <is>
          <t>OpenDART_fnlttSinglAcntAll</t>
        </is>
      </c>
      <c r="B382" s="32" t="inlineStr">
        <is>
          <t>00118804</t>
        </is>
      </c>
      <c r="C382" s="32" t="inlineStr">
        <is>
          <t>동진쎄미켐</t>
        </is>
      </c>
      <c r="D382" s="32" t="inlineStr">
        <is>
          <t>dongjin_semichem</t>
        </is>
      </c>
      <c r="E382" s="32" t="inlineStr">
        <is>
          <t>005290</t>
        </is>
      </c>
      <c r="F382" s="32" t="inlineStr">
        <is>
          <t>2022</t>
        </is>
      </c>
      <c r="G382" s="32" t="inlineStr">
        <is>
          <t>CFS</t>
        </is>
      </c>
      <c r="H382" s="32" t="inlineStr">
        <is>
          <t>CF</t>
        </is>
      </c>
      <c r="I382" s="32" t="inlineStr">
        <is>
          <t>현금흐름표</t>
        </is>
      </c>
      <c r="J382" s="32" t="inlineStr">
        <is>
          <t>ifrs-full_CashFlowsFromUsedInFinancingActivities</t>
        </is>
      </c>
      <c r="K382" s="32" t="inlineStr">
        <is>
          <t>재무활동현금흐름</t>
        </is>
      </c>
      <c r="L382" s="32" t="inlineStr">
        <is>
          <t>-</t>
        </is>
      </c>
      <c r="M382" s="32" t="inlineStr">
        <is>
          <t>제 50 기</t>
        </is>
      </c>
      <c r="N382" s="32" t="inlineStr">
        <is>
          <t>10248562076.0</t>
        </is>
      </c>
      <c r="O382" s="32" t="inlineStr">
        <is>
          <t>39134394743.0</t>
        </is>
      </c>
      <c r="P382" s="32" t="inlineStr">
        <is>
          <t>KRW</t>
        </is>
      </c>
      <c r="Q382" s="32" t="inlineStr">
        <is>
          <t>68</t>
        </is>
      </c>
    </row>
    <row r="383" ht="24" customHeight="1">
      <c r="A383" s="27" t="inlineStr">
        <is>
          <t>OpenDART_fnlttSinglAcntAll</t>
        </is>
      </c>
      <c r="B383" s="27" t="inlineStr">
        <is>
          <t>00118804</t>
        </is>
      </c>
      <c r="C383" s="27" t="inlineStr">
        <is>
          <t>동진쎄미켐</t>
        </is>
      </c>
      <c r="D383" s="27" t="inlineStr">
        <is>
          <t>dongjin_semichem</t>
        </is>
      </c>
      <c r="E383" s="27" t="inlineStr">
        <is>
          <t>005290</t>
        </is>
      </c>
      <c r="F383" s="27" t="inlineStr">
        <is>
          <t>2022</t>
        </is>
      </c>
      <c r="G383" s="27" t="inlineStr">
        <is>
          <t>CFS</t>
        </is>
      </c>
      <c r="H383" s="27" t="inlineStr">
        <is>
          <t>CF</t>
        </is>
      </c>
      <c r="I383" s="27" t="inlineStr">
        <is>
          <t>현금흐름표</t>
        </is>
      </c>
      <c r="J383" s="27" t="inlineStr">
        <is>
          <t>dart_ProceedsFromShortTermBorrowings</t>
        </is>
      </c>
      <c r="K383" s="27" t="inlineStr">
        <is>
          <t>단기차입금의 차입</t>
        </is>
      </c>
      <c r="L383" s="27" t="inlineStr">
        <is>
          <t>-</t>
        </is>
      </c>
      <c r="M383" s="27" t="inlineStr">
        <is>
          <t>제 50 기</t>
        </is>
      </c>
      <c r="N383" s="27" t="inlineStr">
        <is>
          <t>319109636204.0</t>
        </is>
      </c>
      <c r="O383" s="27" t="inlineStr">
        <is>
          <t>229553852953.0</t>
        </is>
      </c>
      <c r="P383" s="27" t="inlineStr">
        <is>
          <t>KRW</t>
        </is>
      </c>
      <c r="Q383" s="27" t="inlineStr">
        <is>
          <t>69</t>
        </is>
      </c>
    </row>
    <row r="384" ht="24" customHeight="1">
      <c r="A384" s="32" t="inlineStr">
        <is>
          <t>OpenDART_fnlttSinglAcntAll</t>
        </is>
      </c>
      <c r="B384" s="32" t="inlineStr">
        <is>
          <t>00118804</t>
        </is>
      </c>
      <c r="C384" s="32" t="inlineStr">
        <is>
          <t>동진쎄미켐</t>
        </is>
      </c>
      <c r="D384" s="32" t="inlineStr">
        <is>
          <t>dongjin_semichem</t>
        </is>
      </c>
      <c r="E384" s="32" t="inlineStr">
        <is>
          <t>005290</t>
        </is>
      </c>
      <c r="F384" s="32" t="inlineStr">
        <is>
          <t>2022</t>
        </is>
      </c>
      <c r="G384" s="32" t="inlineStr">
        <is>
          <t>CFS</t>
        </is>
      </c>
      <c r="H384" s="32" t="inlineStr">
        <is>
          <t>CF</t>
        </is>
      </c>
      <c r="I384" s="32" t="inlineStr">
        <is>
          <t>현금흐름표</t>
        </is>
      </c>
      <c r="J384" s="32" t="inlineStr">
        <is>
          <t>dart_ProceedsFromLongTermBorrowings</t>
        </is>
      </c>
      <c r="K384" s="32" t="inlineStr">
        <is>
          <t>장기차입금의 차입</t>
        </is>
      </c>
      <c r="L384" s="32" t="inlineStr">
        <is>
          <t>-</t>
        </is>
      </c>
      <c r="M384" s="32" t="inlineStr">
        <is>
          <t>제 50 기</t>
        </is>
      </c>
      <c r="N384" s="32" t="inlineStr">
        <is>
          <t>31884193738.0</t>
        </is>
      </c>
      <c r="O384" s="32" t="inlineStr">
        <is>
          <t>84337116602.0</t>
        </is>
      </c>
      <c r="P384" s="32" t="inlineStr">
        <is>
          <t>KRW</t>
        </is>
      </c>
      <c r="Q384" s="32" t="inlineStr">
        <is>
          <t>70</t>
        </is>
      </c>
    </row>
    <row r="385" ht="24" customHeight="1">
      <c r="A385" s="27" t="inlineStr">
        <is>
          <t>OpenDART_fnlttSinglAcntAll</t>
        </is>
      </c>
      <c r="B385" s="27" t="inlineStr">
        <is>
          <t>00118804</t>
        </is>
      </c>
      <c r="C385" s="27" t="inlineStr">
        <is>
          <t>동진쎄미켐</t>
        </is>
      </c>
      <c r="D385" s="27" t="inlineStr">
        <is>
          <t>dongjin_semichem</t>
        </is>
      </c>
      <c r="E385" s="27" t="inlineStr">
        <is>
          <t>005290</t>
        </is>
      </c>
      <c r="F385" s="27" t="inlineStr">
        <is>
          <t>2022</t>
        </is>
      </c>
      <c r="G385" s="27" t="inlineStr">
        <is>
          <t>CFS</t>
        </is>
      </c>
      <c r="H385" s="27" t="inlineStr">
        <is>
          <t>CF</t>
        </is>
      </c>
      <c r="I385" s="27" t="inlineStr">
        <is>
          <t>현금흐름표</t>
        </is>
      </c>
      <c r="J385" s="27" t="inlineStr">
        <is>
          <t>-표준계정코드 미사용-</t>
        </is>
      </c>
      <c r="K385" s="27" t="inlineStr">
        <is>
          <t>유상증자</t>
        </is>
      </c>
      <c r="L385" s="27" t="inlineStr">
        <is>
          <t>-</t>
        </is>
      </c>
      <c r="M385" s="27" t="inlineStr">
        <is>
          <t>제 50 기</t>
        </is>
      </c>
      <c r="N385" s="27" t="inlineStr">
        <is>
          <t>428910.0</t>
        </is>
      </c>
      <c r="O385" s="27" t="inlineStr">
        <is>
          <t>6074200000.0</t>
        </is>
      </c>
      <c r="P385" s="27" t="inlineStr">
        <is>
          <t>KRW</t>
        </is>
      </c>
      <c r="Q385" s="27" t="inlineStr">
        <is>
          <t>71</t>
        </is>
      </c>
    </row>
    <row r="386" ht="24" customHeight="1">
      <c r="A386" s="32" t="inlineStr">
        <is>
          <t>OpenDART_fnlttSinglAcntAll</t>
        </is>
      </c>
      <c r="B386" s="32" t="inlineStr">
        <is>
          <t>00118804</t>
        </is>
      </c>
      <c r="C386" s="32" t="inlineStr">
        <is>
          <t>동진쎄미켐</t>
        </is>
      </c>
      <c r="D386" s="32" t="inlineStr">
        <is>
          <t>dongjin_semichem</t>
        </is>
      </c>
      <c r="E386" s="32" t="inlineStr">
        <is>
          <t>005290</t>
        </is>
      </c>
      <c r="F386" s="32" t="inlineStr">
        <is>
          <t>2022</t>
        </is>
      </c>
      <c r="G386" s="32" t="inlineStr">
        <is>
          <t>CFS</t>
        </is>
      </c>
      <c r="H386" s="32" t="inlineStr">
        <is>
          <t>CF</t>
        </is>
      </c>
      <c r="I386" s="32" t="inlineStr">
        <is>
          <t>현금흐름표</t>
        </is>
      </c>
      <c r="J386" s="32" t="inlineStr">
        <is>
          <t>dart_RepaymentsOfShortTermBorrowings</t>
        </is>
      </c>
      <c r="K386" s="32" t="inlineStr">
        <is>
          <t>단기차입금의 상환</t>
        </is>
      </c>
      <c r="L386" s="32" t="inlineStr">
        <is>
          <t>-</t>
        </is>
      </c>
      <c r="M386" s="32" t="inlineStr">
        <is>
          <t>제 50 기</t>
        </is>
      </c>
      <c r="N386" s="32" t="inlineStr">
        <is>
          <t>306575701446.0</t>
        </is>
      </c>
      <c r="O386" s="32" t="inlineStr">
        <is>
          <t>248785845977.0</t>
        </is>
      </c>
      <c r="P386" s="32" t="inlineStr">
        <is>
          <t>KRW</t>
        </is>
      </c>
      <c r="Q386" s="32" t="inlineStr">
        <is>
          <t>72</t>
        </is>
      </c>
    </row>
    <row r="387" ht="24" customHeight="1">
      <c r="A387" s="27" t="inlineStr">
        <is>
          <t>OpenDART_fnlttSinglAcntAll</t>
        </is>
      </c>
      <c r="B387" s="27" t="inlineStr">
        <is>
          <t>00118804</t>
        </is>
      </c>
      <c r="C387" s="27" t="inlineStr">
        <is>
          <t>동진쎄미켐</t>
        </is>
      </c>
      <c r="D387" s="27" t="inlineStr">
        <is>
          <t>dongjin_semichem</t>
        </is>
      </c>
      <c r="E387" s="27" t="inlineStr">
        <is>
          <t>005290</t>
        </is>
      </c>
      <c r="F387" s="27" t="inlineStr">
        <is>
          <t>2022</t>
        </is>
      </c>
      <c r="G387" s="27" t="inlineStr">
        <is>
          <t>CFS</t>
        </is>
      </c>
      <c r="H387" s="27" t="inlineStr">
        <is>
          <t>CF</t>
        </is>
      </c>
      <c r="I387" s="27" t="inlineStr">
        <is>
          <t>현금흐름표</t>
        </is>
      </c>
      <c r="J387" s="27" t="inlineStr">
        <is>
          <t>dart_RepaymentsOfLongTermBorrowings</t>
        </is>
      </c>
      <c r="K387" s="27" t="inlineStr">
        <is>
          <t>장기차입금의 상환</t>
        </is>
      </c>
      <c r="L387" s="27" t="inlineStr">
        <is>
          <t>-</t>
        </is>
      </c>
      <c r="M387" s="27" t="inlineStr">
        <is>
          <t>제 50 기</t>
        </is>
      </c>
      <c r="N387" s="27" t="inlineStr">
        <is>
          <t>20085062322.0</t>
        </is>
      </c>
      <c r="O387" s="27" t="inlineStr">
        <is>
          <t>17609947635.0</t>
        </is>
      </c>
      <c r="P387" s="27" t="inlineStr">
        <is>
          <t>KRW</t>
        </is>
      </c>
      <c r="Q387" s="27" t="inlineStr">
        <is>
          <t>73</t>
        </is>
      </c>
    </row>
    <row r="388" ht="24" customHeight="1">
      <c r="A388" s="32" t="inlineStr">
        <is>
          <t>OpenDART_fnlttSinglAcntAll</t>
        </is>
      </c>
      <c r="B388" s="32" t="inlineStr">
        <is>
          <t>00118804</t>
        </is>
      </c>
      <c r="C388" s="32" t="inlineStr">
        <is>
          <t>동진쎄미켐</t>
        </is>
      </c>
      <c r="D388" s="32" t="inlineStr">
        <is>
          <t>dongjin_semichem</t>
        </is>
      </c>
      <c r="E388" s="32" t="inlineStr">
        <is>
          <t>005290</t>
        </is>
      </c>
      <c r="F388" s="32" t="inlineStr">
        <is>
          <t>2022</t>
        </is>
      </c>
      <c r="G388" s="32" t="inlineStr">
        <is>
          <t>CFS</t>
        </is>
      </c>
      <c r="H388" s="32" t="inlineStr">
        <is>
          <t>CF</t>
        </is>
      </c>
      <c r="I388" s="32" t="inlineStr">
        <is>
          <t>현금흐름표</t>
        </is>
      </c>
      <c r="J388" s="32" t="inlineStr">
        <is>
          <t>-표준계정코드 미사용-</t>
        </is>
      </c>
      <c r="K388" s="32" t="inlineStr">
        <is>
          <t>종속기업투자의 추가취득</t>
        </is>
      </c>
      <c r="L388" s="32" t="inlineStr">
        <is>
          <t>-</t>
        </is>
      </c>
      <c r="M388" s="32" t="inlineStr">
        <is>
          <t>제 50 기</t>
        </is>
      </c>
      <c r="N388" s="32" t="inlineStr">
        <is>
          <t>0.0</t>
        </is>
      </c>
      <c r="O388" s="32" t="inlineStr">
        <is>
          <t>-1782308990.0</t>
        </is>
      </c>
      <c r="P388" s="32" t="inlineStr">
        <is>
          <t>KRW</t>
        </is>
      </c>
      <c r="Q388" s="32" t="inlineStr">
        <is>
          <t>74</t>
        </is>
      </c>
    </row>
    <row r="389" ht="24" customHeight="1">
      <c r="A389" s="27" t="inlineStr">
        <is>
          <t>OpenDART_fnlttSinglAcntAll</t>
        </is>
      </c>
      <c r="B389" s="27" t="inlineStr">
        <is>
          <t>00118804</t>
        </is>
      </c>
      <c r="C389" s="27" t="inlineStr">
        <is>
          <t>동진쎄미켐</t>
        </is>
      </c>
      <c r="D389" s="27" t="inlineStr">
        <is>
          <t>dongjin_semichem</t>
        </is>
      </c>
      <c r="E389" s="27" t="inlineStr">
        <is>
          <t>005290</t>
        </is>
      </c>
      <c r="F389" s="27" t="inlineStr">
        <is>
          <t>2022</t>
        </is>
      </c>
      <c r="G389" s="27" t="inlineStr">
        <is>
          <t>CFS</t>
        </is>
      </c>
      <c r="H389" s="27" t="inlineStr">
        <is>
          <t>CF</t>
        </is>
      </c>
      <c r="I389" s="27" t="inlineStr">
        <is>
          <t>현금흐름표</t>
        </is>
      </c>
      <c r="J389" s="27" t="inlineStr">
        <is>
          <t>ifrs-full_PaymentsOfFinanceLeaseLiabilitiesClassifiedAsFinancingActivities</t>
        </is>
      </c>
      <c r="K389" s="27" t="inlineStr">
        <is>
          <t>리스부채의 감소</t>
        </is>
      </c>
      <c r="L389" s="27" t="inlineStr">
        <is>
          <t>-</t>
        </is>
      </c>
      <c r="M389" s="27" t="inlineStr">
        <is>
          <t>제 50 기</t>
        </is>
      </c>
      <c r="N389" s="27" t="inlineStr">
        <is>
          <t>8360067279.0</t>
        </is>
      </c>
      <c r="O389" s="27" t="inlineStr">
        <is>
          <t>7467580348.0</t>
        </is>
      </c>
      <c r="P389" s="27" t="inlineStr">
        <is>
          <t>KRW</t>
        </is>
      </c>
      <c r="Q389" s="27" t="inlineStr">
        <is>
          <t>75</t>
        </is>
      </c>
    </row>
    <row r="390" ht="24" customHeight="1">
      <c r="A390" s="32" t="inlineStr">
        <is>
          <t>OpenDART_fnlttSinglAcntAll</t>
        </is>
      </c>
      <c r="B390" s="32" t="inlineStr">
        <is>
          <t>00118804</t>
        </is>
      </c>
      <c r="C390" s="32" t="inlineStr">
        <is>
          <t>동진쎄미켐</t>
        </is>
      </c>
      <c r="D390" s="32" t="inlineStr">
        <is>
          <t>dongjin_semichem</t>
        </is>
      </c>
      <c r="E390" s="32" t="inlineStr">
        <is>
          <t>005290</t>
        </is>
      </c>
      <c r="F390" s="32" t="inlineStr">
        <is>
          <t>2022</t>
        </is>
      </c>
      <c r="G390" s="32" t="inlineStr">
        <is>
          <t>CFS</t>
        </is>
      </c>
      <c r="H390" s="32" t="inlineStr">
        <is>
          <t>CF</t>
        </is>
      </c>
      <c r="I390" s="32" t="inlineStr">
        <is>
          <t>현금흐름표</t>
        </is>
      </c>
      <c r="J390" s="32" t="inlineStr">
        <is>
          <t>-표준계정코드 미사용-</t>
        </is>
      </c>
      <c r="K390" s="32" t="inlineStr">
        <is>
          <t>배당금의 지급</t>
        </is>
      </c>
      <c r="L390" s="32" t="inlineStr">
        <is>
          <t>-</t>
        </is>
      </c>
      <c r="M390" s="32" t="inlineStr">
        <is>
          <t>제 50 기</t>
        </is>
      </c>
      <c r="N390" s="32" t="inlineStr">
        <is>
          <t>-5724865729.0</t>
        </is>
      </c>
      <c r="O390" s="32" t="inlineStr">
        <is>
          <t>-5185091862.0</t>
        </is>
      </c>
      <c r="P390" s="32" t="inlineStr">
        <is>
          <t>KRW</t>
        </is>
      </c>
      <c r="Q390" s="32" t="inlineStr">
        <is>
          <t>76</t>
        </is>
      </c>
    </row>
    <row r="391" ht="24" customHeight="1">
      <c r="A391" s="27" t="inlineStr">
        <is>
          <t>OpenDART_fnlttSinglAcntAll</t>
        </is>
      </c>
      <c r="B391" s="27" t="inlineStr">
        <is>
          <t>00118804</t>
        </is>
      </c>
      <c r="C391" s="27" t="inlineStr">
        <is>
          <t>동진쎄미켐</t>
        </is>
      </c>
      <c r="D391" s="27" t="inlineStr">
        <is>
          <t>dongjin_semichem</t>
        </is>
      </c>
      <c r="E391" s="27" t="inlineStr">
        <is>
          <t>005290</t>
        </is>
      </c>
      <c r="F391" s="27" t="inlineStr">
        <is>
          <t>2022</t>
        </is>
      </c>
      <c r="G391" s="27" t="inlineStr">
        <is>
          <t>CFS</t>
        </is>
      </c>
      <c r="H391" s="27" t="inlineStr">
        <is>
          <t>CF</t>
        </is>
      </c>
      <c r="I391" s="27" t="inlineStr">
        <is>
          <t>현금흐름표</t>
        </is>
      </c>
      <c r="J391" s="27" t="inlineStr">
        <is>
          <t>ifrs-full_EffectOfExchangeRateChangesOnCashAndCashEquivalents</t>
        </is>
      </c>
      <c r="K391" s="27" t="inlineStr">
        <is>
          <t>외화표시 현금 및 현금성 자산 등의 환율변동효과</t>
        </is>
      </c>
      <c r="L391" s="27" t="inlineStr">
        <is>
          <t>-</t>
        </is>
      </c>
      <c r="M391" s="27" t="inlineStr">
        <is>
          <t>제 50 기</t>
        </is>
      </c>
      <c r="N391" s="27" t="inlineStr">
        <is>
          <t>-3737376611.0</t>
        </is>
      </c>
      <c r="O391" s="27" t="inlineStr">
        <is>
          <t>10969218430.0</t>
        </is>
      </c>
      <c r="P391" s="27" t="inlineStr">
        <is>
          <t>KRW</t>
        </is>
      </c>
      <c r="Q391" s="27" t="inlineStr">
        <is>
          <t>77</t>
        </is>
      </c>
    </row>
    <row r="392" ht="24" customHeight="1">
      <c r="A392" s="32" t="inlineStr">
        <is>
          <t>OpenDART_fnlttSinglAcntAll</t>
        </is>
      </c>
      <c r="B392" s="32" t="inlineStr">
        <is>
          <t>00118804</t>
        </is>
      </c>
      <c r="C392" s="32" t="inlineStr">
        <is>
          <t>동진쎄미켐</t>
        </is>
      </c>
      <c r="D392" s="32" t="inlineStr">
        <is>
          <t>dongjin_semichem</t>
        </is>
      </c>
      <c r="E392" s="32" t="inlineStr">
        <is>
          <t>005290</t>
        </is>
      </c>
      <c r="F392" s="32" t="inlineStr">
        <is>
          <t>2022</t>
        </is>
      </c>
      <c r="G392" s="32" t="inlineStr">
        <is>
          <t>CFS</t>
        </is>
      </c>
      <c r="H392" s="32" t="inlineStr">
        <is>
          <t>CF</t>
        </is>
      </c>
      <c r="I392" s="32" t="inlineStr">
        <is>
          <t>현금흐름표</t>
        </is>
      </c>
      <c r="J392" s="32" t="inlineStr">
        <is>
          <t>ifrs-full_IncreaseDecreaseInCashAndCashEquivalents</t>
        </is>
      </c>
      <c r="K392" s="32" t="inlineStr">
        <is>
          <t>현금 및 현금성자산의 순증가(감소)</t>
        </is>
      </c>
      <c r="L392" s="32" t="inlineStr">
        <is>
          <t>-</t>
        </is>
      </c>
      <c r="M392" s="32" t="inlineStr">
        <is>
          <t>제 50 기</t>
        </is>
      </c>
      <c r="N392" s="32" t="inlineStr">
        <is>
          <t>49246855140.0</t>
        </is>
      </c>
      <c r="O392" s="32" t="inlineStr">
        <is>
          <t>29925450029.0</t>
        </is>
      </c>
      <c r="P392" s="32" t="inlineStr">
        <is>
          <t>KRW</t>
        </is>
      </c>
      <c r="Q392" s="32" t="inlineStr">
        <is>
          <t>78</t>
        </is>
      </c>
    </row>
    <row r="393" ht="24" customHeight="1">
      <c r="A393" s="27" t="inlineStr">
        <is>
          <t>OpenDART_fnlttSinglAcntAll</t>
        </is>
      </c>
      <c r="B393" s="27" t="inlineStr">
        <is>
          <t>00118804</t>
        </is>
      </c>
      <c r="C393" s="27" t="inlineStr">
        <is>
          <t>동진쎄미켐</t>
        </is>
      </c>
      <c r="D393" s="27" t="inlineStr">
        <is>
          <t>dongjin_semichem</t>
        </is>
      </c>
      <c r="E393" s="27" t="inlineStr">
        <is>
          <t>005290</t>
        </is>
      </c>
      <c r="F393" s="27" t="inlineStr">
        <is>
          <t>2022</t>
        </is>
      </c>
      <c r="G393" s="27" t="inlineStr">
        <is>
          <t>CFS</t>
        </is>
      </c>
      <c r="H393" s="27" t="inlineStr">
        <is>
          <t>CF</t>
        </is>
      </c>
      <c r="I393" s="27" t="inlineStr">
        <is>
          <t>현금흐름표</t>
        </is>
      </c>
      <c r="J393" s="27" t="inlineStr">
        <is>
          <t>dart_CashAndCashEquivalentsAtBeginningOfPeriodCf</t>
        </is>
      </c>
      <c r="K393" s="27" t="inlineStr">
        <is>
          <t>기초현금및현금성자산</t>
        </is>
      </c>
      <c r="L393" s="27" t="inlineStr">
        <is>
          <t>-</t>
        </is>
      </c>
      <c r="M393" s="27" t="inlineStr">
        <is>
          <t>제 50 기</t>
        </is>
      </c>
      <c r="N393" s="27" t="inlineStr">
        <is>
          <t>231211989608.0</t>
        </is>
      </c>
      <c r="O393" s="27" t="inlineStr">
        <is>
          <t>201286539579.0</t>
        </is>
      </c>
      <c r="P393" s="27" t="inlineStr">
        <is>
          <t>KRW</t>
        </is>
      </c>
      <c r="Q393" s="27" t="inlineStr">
        <is>
          <t>79</t>
        </is>
      </c>
    </row>
    <row r="394" ht="24" customHeight="1">
      <c r="A394" s="32" t="inlineStr">
        <is>
          <t>OpenDART_fnlttSinglAcntAll</t>
        </is>
      </c>
      <c r="B394" s="32" t="inlineStr">
        <is>
          <t>00118804</t>
        </is>
      </c>
      <c r="C394" s="32" t="inlineStr">
        <is>
          <t>동진쎄미켐</t>
        </is>
      </c>
      <c r="D394" s="32" t="inlineStr">
        <is>
          <t>dongjin_semichem</t>
        </is>
      </c>
      <c r="E394" s="32" t="inlineStr">
        <is>
          <t>005290</t>
        </is>
      </c>
      <c r="F394" s="32" t="inlineStr">
        <is>
          <t>2022</t>
        </is>
      </c>
      <c r="G394" s="32" t="inlineStr">
        <is>
          <t>CFS</t>
        </is>
      </c>
      <c r="H394" s="32" t="inlineStr">
        <is>
          <t>CF</t>
        </is>
      </c>
      <c r="I394" s="32" t="inlineStr">
        <is>
          <t>현금흐름표</t>
        </is>
      </c>
      <c r="J394" s="32" t="inlineStr">
        <is>
          <t>dart_CashAndCashEquivalentsAtEndOfPeriodCf</t>
        </is>
      </c>
      <c r="K394" s="32" t="inlineStr">
        <is>
          <t>기말현금및현금성자산</t>
        </is>
      </c>
      <c r="L394" s="32" t="inlineStr">
        <is>
          <t>-</t>
        </is>
      </c>
      <c r="M394" s="32" t="inlineStr">
        <is>
          <t>제 50 기</t>
        </is>
      </c>
      <c r="N394" s="32" t="inlineStr">
        <is>
          <t>280458844748.0</t>
        </is>
      </c>
      <c r="O394" s="32" t="inlineStr">
        <is>
          <t>231211989608.0</t>
        </is>
      </c>
      <c r="P394" s="32" t="inlineStr">
        <is>
          <t>KRW</t>
        </is>
      </c>
      <c r="Q394" s="32" t="inlineStr">
        <is>
          <t>80</t>
        </is>
      </c>
    </row>
    <row r="395" ht="24" customHeight="1">
      <c r="A395" s="27" t="inlineStr">
        <is>
          <t>OpenDART_fnlttSinglAcntAll</t>
        </is>
      </c>
      <c r="B395" s="27" t="inlineStr">
        <is>
          <t>00118804</t>
        </is>
      </c>
      <c r="C395" s="27" t="inlineStr">
        <is>
          <t>동진쎄미켐</t>
        </is>
      </c>
      <c r="D395" s="27" t="inlineStr">
        <is>
          <t>dongjin_semichem</t>
        </is>
      </c>
      <c r="E395" s="27" t="inlineStr">
        <is>
          <t>005290</t>
        </is>
      </c>
      <c r="F395" s="27" t="inlineStr">
        <is>
          <t>2022</t>
        </is>
      </c>
      <c r="G395" s="27" t="inlineStr">
        <is>
          <t>CFS</t>
        </is>
      </c>
      <c r="H395" s="27" t="inlineStr">
        <is>
          <t>SCE</t>
        </is>
      </c>
      <c r="I395" s="27" t="inlineStr">
        <is>
          <t>자본변동표</t>
        </is>
      </c>
      <c r="J395" s="27" t="inlineStr">
        <is>
          <t>dart_EquityAtBeginningOfPeriod</t>
        </is>
      </c>
      <c r="K395" s="27" t="inlineStr">
        <is>
          <t>기초자본</t>
        </is>
      </c>
      <c r="L395" s="27" t="inlineStr">
        <is>
          <t>연결재무제표 [member]</t>
        </is>
      </c>
      <c r="M395" s="27" t="inlineStr">
        <is>
          <t>제 50 기</t>
        </is>
      </c>
      <c r="N395" s="27" t="inlineStr">
        <is>
          <t>561033499955.0</t>
        </is>
      </c>
      <c r="O395" s="27" t="inlineStr">
        <is>
          <t>438008274772.0</t>
        </is>
      </c>
      <c r="P395" s="27" t="inlineStr">
        <is>
          <t>KRW</t>
        </is>
      </c>
      <c r="Q395" s="27" t="inlineStr">
        <is>
          <t>1</t>
        </is>
      </c>
    </row>
    <row r="396" ht="24" customHeight="1">
      <c r="A396" s="32" t="inlineStr">
        <is>
          <t>OpenDART_fnlttSinglAcntAll</t>
        </is>
      </c>
      <c r="B396" s="32" t="inlineStr">
        <is>
          <t>00118804</t>
        </is>
      </c>
      <c r="C396" s="32" t="inlineStr">
        <is>
          <t>동진쎄미켐</t>
        </is>
      </c>
      <c r="D396" s="32" t="inlineStr">
        <is>
          <t>dongjin_semichem</t>
        </is>
      </c>
      <c r="E396" s="32" t="inlineStr">
        <is>
          <t>005290</t>
        </is>
      </c>
      <c r="F396" s="32" t="inlineStr">
        <is>
          <t>2022</t>
        </is>
      </c>
      <c r="G396" s="32" t="inlineStr">
        <is>
          <t>CFS</t>
        </is>
      </c>
      <c r="H396" s="32" t="inlineStr">
        <is>
          <t>SCE</t>
        </is>
      </c>
      <c r="I396" s="32" t="inlineStr">
        <is>
          <t>자본변동표</t>
        </is>
      </c>
      <c r="J396" s="32" t="inlineStr">
        <is>
          <t>dart_EquityAtBeginningOfPeriod</t>
        </is>
      </c>
      <c r="K396" s="32" t="inlineStr">
        <is>
          <t>기초자본</t>
        </is>
      </c>
      <c r="L396" s="32" t="inlineStr">
        <is>
          <t>자본 [member]|비지배지분 [member]</t>
        </is>
      </c>
      <c r="M396" s="32" t="inlineStr">
        <is>
          <t>제 50 기</t>
        </is>
      </c>
      <c r="N396" s="32" t="inlineStr">
        <is>
          <t>7585003685.0</t>
        </is>
      </c>
      <c r="O396" s="32" t="inlineStr">
        <is>
          <t>4239962016.0</t>
        </is>
      </c>
      <c r="P396" s="32" t="inlineStr">
        <is>
          <t>KRW</t>
        </is>
      </c>
      <c r="Q396" s="32" t="inlineStr">
        <is>
          <t>1</t>
        </is>
      </c>
    </row>
    <row r="397" ht="24" customHeight="1">
      <c r="A397" s="27" t="inlineStr">
        <is>
          <t>OpenDART_fnlttSinglAcntAll</t>
        </is>
      </c>
      <c r="B397" s="27" t="inlineStr">
        <is>
          <t>00118804</t>
        </is>
      </c>
      <c r="C397" s="27" t="inlineStr">
        <is>
          <t>동진쎄미켐</t>
        </is>
      </c>
      <c r="D397" s="27" t="inlineStr">
        <is>
          <t>dongjin_semichem</t>
        </is>
      </c>
      <c r="E397" s="27" t="inlineStr">
        <is>
          <t>005290</t>
        </is>
      </c>
      <c r="F397" s="27" t="inlineStr">
        <is>
          <t>2022</t>
        </is>
      </c>
      <c r="G397" s="27" t="inlineStr">
        <is>
          <t>CFS</t>
        </is>
      </c>
      <c r="H397" s="27" t="inlineStr">
        <is>
          <t>SCE</t>
        </is>
      </c>
      <c r="I397" s="27" t="inlineStr">
        <is>
          <t>자본변동표</t>
        </is>
      </c>
      <c r="J397" s="27" t="inlineStr">
        <is>
          <t>dart_EquityAtBeginningOfPeriod</t>
        </is>
      </c>
      <c r="K397" s="27" t="inlineStr">
        <is>
          <t>기초자본</t>
        </is>
      </c>
      <c r="L397" s="27" t="inlineStr">
        <is>
          <t>자본 [member]|지배기업의 소유주에게 귀속되는 자본 [member]</t>
        </is>
      </c>
      <c r="M397" s="27" t="inlineStr">
        <is>
          <t>제 50 기</t>
        </is>
      </c>
      <c r="N397" s="27" t="inlineStr">
        <is>
          <t>553448496270.0</t>
        </is>
      </c>
      <c r="O397" s="27" t="inlineStr">
        <is>
          <t>433768312756.0</t>
        </is>
      </c>
      <c r="P397" s="27" t="inlineStr">
        <is>
          <t>KRW</t>
        </is>
      </c>
      <c r="Q397" s="27" t="inlineStr">
        <is>
          <t>1</t>
        </is>
      </c>
    </row>
    <row r="398" ht="24" customHeight="1">
      <c r="A398" s="32" t="inlineStr">
        <is>
          <t>OpenDART_fnlttSinglAcntAll</t>
        </is>
      </c>
      <c r="B398" s="32" t="inlineStr">
        <is>
          <t>00118804</t>
        </is>
      </c>
      <c r="C398" s="32" t="inlineStr">
        <is>
          <t>동진쎄미켐</t>
        </is>
      </c>
      <c r="D398" s="32" t="inlineStr">
        <is>
          <t>dongjin_semichem</t>
        </is>
      </c>
      <c r="E398" s="32" t="inlineStr">
        <is>
          <t>005290</t>
        </is>
      </c>
      <c r="F398" s="32" t="inlineStr">
        <is>
          <t>2022</t>
        </is>
      </c>
      <c r="G398" s="32" t="inlineStr">
        <is>
          <t>CFS</t>
        </is>
      </c>
      <c r="H398" s="32" t="inlineStr">
        <is>
          <t>SCE</t>
        </is>
      </c>
      <c r="I398" s="32" t="inlineStr">
        <is>
          <t>자본변동표</t>
        </is>
      </c>
      <c r="J398" s="32" t="inlineStr">
        <is>
          <t>dart_EquityAtBeginningOfPeriod</t>
        </is>
      </c>
      <c r="K398" s="32" t="inlineStr">
        <is>
          <t>기초자본</t>
        </is>
      </c>
      <c r="L398" s="32" t="inlineStr">
        <is>
          <t>자본 [member]|지배기업의 소유주에게 귀속되는 자본 [member]|기타불입자본</t>
        </is>
      </c>
      <c r="M398" s="32" t="inlineStr">
        <is>
          <t>제 50 기</t>
        </is>
      </c>
      <c r="N398" s="32" t="inlineStr">
        <is>
          <t>122997090161.0</t>
        </is>
      </c>
      <c r="O398" s="32" t="inlineStr">
        <is>
          <t>122318052912.0</t>
        </is>
      </c>
      <c r="P398" s="32" t="inlineStr">
        <is>
          <t>KRW</t>
        </is>
      </c>
      <c r="Q398" s="32" t="inlineStr">
        <is>
          <t>1</t>
        </is>
      </c>
    </row>
    <row r="399" ht="24" customHeight="1">
      <c r="A399" s="27" t="inlineStr">
        <is>
          <t>OpenDART_fnlttSinglAcntAll</t>
        </is>
      </c>
      <c r="B399" s="27" t="inlineStr">
        <is>
          <t>00118804</t>
        </is>
      </c>
      <c r="C399" s="27" t="inlineStr">
        <is>
          <t>동진쎄미켐</t>
        </is>
      </c>
      <c r="D399" s="27" t="inlineStr">
        <is>
          <t>dongjin_semichem</t>
        </is>
      </c>
      <c r="E399" s="27" t="inlineStr">
        <is>
          <t>005290</t>
        </is>
      </c>
      <c r="F399" s="27" t="inlineStr">
        <is>
          <t>2022</t>
        </is>
      </c>
      <c r="G399" s="27" t="inlineStr">
        <is>
          <t>CFS</t>
        </is>
      </c>
      <c r="H399" s="27" t="inlineStr">
        <is>
          <t>SCE</t>
        </is>
      </c>
      <c r="I399" s="27" t="inlineStr">
        <is>
          <t>자본변동표</t>
        </is>
      </c>
      <c r="J399" s="27" t="inlineStr">
        <is>
          <t>dart_EquityAtBeginningOfPeriod</t>
        </is>
      </c>
      <c r="K399" s="27" t="inlineStr">
        <is>
          <t>기초자본</t>
        </is>
      </c>
      <c r="L399" s="27" t="inlineStr">
        <is>
          <t>자본 [member]|지배기업의 소유주에게 귀속되는 자본 [member]|기타자본구성요소 [member]</t>
        </is>
      </c>
      <c r="M399" s="27" t="inlineStr">
        <is>
          <t>제 50 기</t>
        </is>
      </c>
      <c r="N399" s="27" t="inlineStr">
        <is>
          <t>36880548974.0</t>
        </is>
      </c>
      <c r="O399" s="27" t="inlineStr">
        <is>
          <t>13313790086.0</t>
        </is>
      </c>
      <c r="P399" s="27" t="inlineStr">
        <is>
          <t>KRW</t>
        </is>
      </c>
      <c r="Q399" s="27" t="inlineStr">
        <is>
          <t>1</t>
        </is>
      </c>
    </row>
    <row r="400" ht="24" customHeight="1">
      <c r="A400" s="32" t="inlineStr">
        <is>
          <t>OpenDART_fnlttSinglAcntAll</t>
        </is>
      </c>
      <c r="B400" s="32" t="inlineStr">
        <is>
          <t>00118804</t>
        </is>
      </c>
      <c r="C400" s="32" t="inlineStr">
        <is>
          <t>동진쎄미켐</t>
        </is>
      </c>
      <c r="D400" s="32" t="inlineStr">
        <is>
          <t>dongjin_semichem</t>
        </is>
      </c>
      <c r="E400" s="32" t="inlineStr">
        <is>
          <t>005290</t>
        </is>
      </c>
      <c r="F400" s="32" t="inlineStr">
        <is>
          <t>2022</t>
        </is>
      </c>
      <c r="G400" s="32" t="inlineStr">
        <is>
          <t>CFS</t>
        </is>
      </c>
      <c r="H400" s="32" t="inlineStr">
        <is>
          <t>SCE</t>
        </is>
      </c>
      <c r="I400" s="32" t="inlineStr">
        <is>
          <t>자본변동표</t>
        </is>
      </c>
      <c r="J400" s="32" t="inlineStr">
        <is>
          <t>dart_EquityAtBeginningOfPeriod</t>
        </is>
      </c>
      <c r="K400" s="32" t="inlineStr">
        <is>
          <t>기초자본</t>
        </is>
      </c>
      <c r="L400" s="32" t="inlineStr">
        <is>
          <t>자본 [member]|지배기업의 소유주에게 귀속되는 자본 [member]|이익잉여금 [member]</t>
        </is>
      </c>
      <c r="M400" s="32" t="inlineStr">
        <is>
          <t>제 50 기</t>
        </is>
      </c>
      <c r="N400" s="32" t="inlineStr">
        <is>
          <t>367863610135.0</t>
        </is>
      </c>
      <c r="O400" s="32" t="inlineStr">
        <is>
          <t>272429222758.0</t>
        </is>
      </c>
      <c r="P400" s="32" t="inlineStr">
        <is>
          <t>KRW</t>
        </is>
      </c>
      <c r="Q400" s="32" t="inlineStr">
        <is>
          <t>1</t>
        </is>
      </c>
    </row>
    <row r="401" ht="24" customHeight="1">
      <c r="A401" s="27" t="inlineStr">
        <is>
          <t>OpenDART_fnlttSinglAcntAll</t>
        </is>
      </c>
      <c r="B401" s="27" t="inlineStr">
        <is>
          <t>00118804</t>
        </is>
      </c>
      <c r="C401" s="27" t="inlineStr">
        <is>
          <t>동진쎄미켐</t>
        </is>
      </c>
      <c r="D401" s="27" t="inlineStr">
        <is>
          <t>dongjin_semichem</t>
        </is>
      </c>
      <c r="E401" s="27" t="inlineStr">
        <is>
          <t>005290</t>
        </is>
      </c>
      <c r="F401" s="27" t="inlineStr">
        <is>
          <t>2022</t>
        </is>
      </c>
      <c r="G401" s="27" t="inlineStr">
        <is>
          <t>CFS</t>
        </is>
      </c>
      <c r="H401" s="27" t="inlineStr">
        <is>
          <t>SCE</t>
        </is>
      </c>
      <c r="I401" s="27" t="inlineStr">
        <is>
          <t>자본변동표</t>
        </is>
      </c>
      <c r="J401" s="27" t="inlineStr">
        <is>
          <t>dart_EquityAtBeginningOfPeriod</t>
        </is>
      </c>
      <c r="K401" s="27" t="inlineStr">
        <is>
          <t>기초자본</t>
        </is>
      </c>
      <c r="L401" s="27" t="inlineStr">
        <is>
          <t>자본 [member]|지배기업의 소유주에게 귀속되는 자본 [member]|자본금 [member]</t>
        </is>
      </c>
      <c r="M401" s="27" t="inlineStr">
        <is>
          <t>제 50 기</t>
        </is>
      </c>
      <c r="N401" s="27" t="inlineStr">
        <is>
          <t>25707247000.0</t>
        </is>
      </c>
      <c r="O401" s="27" t="inlineStr">
        <is>
          <t>25707247000.0</t>
        </is>
      </c>
      <c r="P401" s="27" t="inlineStr">
        <is>
          <t>KRW</t>
        </is>
      </c>
      <c r="Q401" s="27" t="inlineStr">
        <is>
          <t>1</t>
        </is>
      </c>
    </row>
    <row r="402" ht="24" customHeight="1">
      <c r="A402" s="32" t="inlineStr">
        <is>
          <t>OpenDART_fnlttSinglAcntAll</t>
        </is>
      </c>
      <c r="B402" s="32" t="inlineStr">
        <is>
          <t>00118804</t>
        </is>
      </c>
      <c r="C402" s="32" t="inlineStr">
        <is>
          <t>동진쎄미켐</t>
        </is>
      </c>
      <c r="D402" s="32" t="inlineStr">
        <is>
          <t>dongjin_semichem</t>
        </is>
      </c>
      <c r="E402" s="32" t="inlineStr">
        <is>
          <t>005290</t>
        </is>
      </c>
      <c r="F402" s="32" t="inlineStr">
        <is>
          <t>2022</t>
        </is>
      </c>
      <c r="G402" s="32" t="inlineStr">
        <is>
          <t>CFS</t>
        </is>
      </c>
      <c r="H402" s="32" t="inlineStr">
        <is>
          <t>SCE</t>
        </is>
      </c>
      <c r="I402" s="32" t="inlineStr">
        <is>
          <t>자본변동표</t>
        </is>
      </c>
      <c r="J402" s="32" t="inlineStr">
        <is>
          <t>ifrs-full_DividendsPaid</t>
        </is>
      </c>
      <c r="K402" s="32" t="inlineStr">
        <is>
          <t>배당금</t>
        </is>
      </c>
      <c r="L402" s="32" t="inlineStr">
        <is>
          <t>자본 [member]|지배기업의 소유주에게 귀속되는 자본 [member]|이익잉여금 [member]</t>
        </is>
      </c>
      <c r="M402" s="32" t="inlineStr">
        <is>
          <t>제 50 기</t>
        </is>
      </c>
      <c r="N402" s="32" t="inlineStr">
        <is>
          <t>5655594340.0</t>
        </is>
      </c>
      <c r="O402" s="32" t="inlineStr">
        <is>
          <t>5141449400.0</t>
        </is>
      </c>
      <c r="P402" s="32" t="inlineStr">
        <is>
          <t>KRW</t>
        </is>
      </c>
      <c r="Q402" s="32" t="inlineStr">
        <is>
          <t>2</t>
        </is>
      </c>
    </row>
    <row r="403" ht="24" customHeight="1">
      <c r="A403" s="27" t="inlineStr">
        <is>
          <t>OpenDART_fnlttSinglAcntAll</t>
        </is>
      </c>
      <c r="B403" s="27" t="inlineStr">
        <is>
          <t>00118804</t>
        </is>
      </c>
      <c r="C403" s="27" t="inlineStr">
        <is>
          <t>동진쎄미켐</t>
        </is>
      </c>
      <c r="D403" s="27" t="inlineStr">
        <is>
          <t>dongjin_semichem</t>
        </is>
      </c>
      <c r="E403" s="27" t="inlineStr">
        <is>
          <t>005290</t>
        </is>
      </c>
      <c r="F403" s="27" t="inlineStr">
        <is>
          <t>2022</t>
        </is>
      </c>
      <c r="G403" s="27" t="inlineStr">
        <is>
          <t>CFS</t>
        </is>
      </c>
      <c r="H403" s="27" t="inlineStr">
        <is>
          <t>SCE</t>
        </is>
      </c>
      <c r="I403" s="27" t="inlineStr">
        <is>
          <t>자본변동표</t>
        </is>
      </c>
      <c r="J403" s="27" t="inlineStr">
        <is>
          <t>ifrs-full_DividendsPaid</t>
        </is>
      </c>
      <c r="K403" s="27" t="inlineStr">
        <is>
          <t>배당금</t>
        </is>
      </c>
      <c r="L403" s="27" t="inlineStr">
        <is>
          <t>자본 [member]|지배기업의 소유주에게 귀속되는 자본 [member]</t>
        </is>
      </c>
      <c r="M403" s="27" t="inlineStr">
        <is>
          <t>제 50 기</t>
        </is>
      </c>
      <c r="N403" s="27" t="inlineStr">
        <is>
          <t>5655594340.0</t>
        </is>
      </c>
      <c r="O403" s="27" t="inlineStr">
        <is>
          <t>5141449400.0</t>
        </is>
      </c>
      <c r="P403" s="27" t="inlineStr">
        <is>
          <t>KRW</t>
        </is>
      </c>
      <c r="Q403" s="27" t="inlineStr">
        <is>
          <t>2</t>
        </is>
      </c>
    </row>
    <row r="404" ht="24" customHeight="1">
      <c r="A404" s="32" t="inlineStr">
        <is>
          <t>OpenDART_fnlttSinglAcntAll</t>
        </is>
      </c>
      <c r="B404" s="32" t="inlineStr">
        <is>
          <t>00118804</t>
        </is>
      </c>
      <c r="C404" s="32" t="inlineStr">
        <is>
          <t>동진쎄미켐</t>
        </is>
      </c>
      <c r="D404" s="32" t="inlineStr">
        <is>
          <t>dongjin_semichem</t>
        </is>
      </c>
      <c r="E404" s="32" t="inlineStr">
        <is>
          <t>005290</t>
        </is>
      </c>
      <c r="F404" s="32" t="inlineStr">
        <is>
          <t>2022</t>
        </is>
      </c>
      <c r="G404" s="32" t="inlineStr">
        <is>
          <t>CFS</t>
        </is>
      </c>
      <c r="H404" s="32" t="inlineStr">
        <is>
          <t>SCE</t>
        </is>
      </c>
      <c r="I404" s="32" t="inlineStr">
        <is>
          <t>자본변동표</t>
        </is>
      </c>
      <c r="J404" s="32" t="inlineStr">
        <is>
          <t>ifrs-full_DividendsPaid</t>
        </is>
      </c>
      <c r="K404" s="32" t="inlineStr">
        <is>
          <t>배당금</t>
        </is>
      </c>
      <c r="L404" s="32" t="inlineStr">
        <is>
          <t>자본 [member]|비지배지분 [member]</t>
        </is>
      </c>
      <c r="M404" s="32" t="inlineStr">
        <is>
          <t>제 50 기</t>
        </is>
      </c>
      <c r="N404" s="32" t="inlineStr">
        <is>
          <t>69271389.0</t>
        </is>
      </c>
      <c r="O404" s="32" t="inlineStr">
        <is>
          <t>43642462.0</t>
        </is>
      </c>
      <c r="P404" s="32" t="inlineStr">
        <is>
          <t>KRW</t>
        </is>
      </c>
      <c r="Q404" s="32" t="inlineStr">
        <is>
          <t>2</t>
        </is>
      </c>
    </row>
    <row r="405" ht="24" customHeight="1">
      <c r="A405" s="27" t="inlineStr">
        <is>
          <t>OpenDART_fnlttSinglAcntAll</t>
        </is>
      </c>
      <c r="B405" s="27" t="inlineStr">
        <is>
          <t>00118804</t>
        </is>
      </c>
      <c r="C405" s="27" t="inlineStr">
        <is>
          <t>동진쎄미켐</t>
        </is>
      </c>
      <c r="D405" s="27" t="inlineStr">
        <is>
          <t>dongjin_semichem</t>
        </is>
      </c>
      <c r="E405" s="27" t="inlineStr">
        <is>
          <t>005290</t>
        </is>
      </c>
      <c r="F405" s="27" t="inlineStr">
        <is>
          <t>2022</t>
        </is>
      </c>
      <c r="G405" s="27" t="inlineStr">
        <is>
          <t>CFS</t>
        </is>
      </c>
      <c r="H405" s="27" t="inlineStr">
        <is>
          <t>SCE</t>
        </is>
      </c>
      <c r="I405" s="27" t="inlineStr">
        <is>
          <t>자본변동표</t>
        </is>
      </c>
      <c r="J405" s="27" t="inlineStr">
        <is>
          <t>ifrs-full_DividendsPaid</t>
        </is>
      </c>
      <c r="K405" s="27" t="inlineStr">
        <is>
          <t>배당금</t>
        </is>
      </c>
      <c r="L405" s="27" t="inlineStr">
        <is>
          <t>연결재무제표 [member]</t>
        </is>
      </c>
      <c r="M405" s="27" t="inlineStr">
        <is>
          <t>제 50 기</t>
        </is>
      </c>
      <c r="N405" s="27" t="inlineStr">
        <is>
          <t>5724865729.0</t>
        </is>
      </c>
      <c r="O405" s="27" t="inlineStr">
        <is>
          <t>5185091862.0</t>
        </is>
      </c>
      <c r="P405" s="27" t="inlineStr">
        <is>
          <t>KRW</t>
        </is>
      </c>
      <c r="Q405" s="27" t="inlineStr">
        <is>
          <t>2</t>
        </is>
      </c>
    </row>
    <row r="406" ht="24" customHeight="1">
      <c r="A406" s="32" t="inlineStr">
        <is>
          <t>OpenDART_fnlttSinglAcntAll</t>
        </is>
      </c>
      <c r="B406" s="32" t="inlineStr">
        <is>
          <t>00118804</t>
        </is>
      </c>
      <c r="C406" s="32" t="inlineStr">
        <is>
          <t>동진쎄미켐</t>
        </is>
      </c>
      <c r="D406" s="32" t="inlineStr">
        <is>
          <t>dongjin_semichem</t>
        </is>
      </c>
      <c r="E406" s="32" t="inlineStr">
        <is>
          <t>005290</t>
        </is>
      </c>
      <c r="F406" s="32" t="inlineStr">
        <is>
          <t>2022</t>
        </is>
      </c>
      <c r="G406" s="32" t="inlineStr">
        <is>
          <t>CFS</t>
        </is>
      </c>
      <c r="H406" s="32" t="inlineStr">
        <is>
          <t>SCE</t>
        </is>
      </c>
      <c r="I406" s="32" t="inlineStr">
        <is>
          <t>자본변동표</t>
        </is>
      </c>
      <c r="J406" s="32" t="inlineStr">
        <is>
          <t>ifrs-full_ProfitLoss</t>
        </is>
      </c>
      <c r="K406" s="32" t="inlineStr">
        <is>
          <t>당기순이익</t>
        </is>
      </c>
      <c r="L406" s="32" t="inlineStr">
        <is>
          <t>자본 [member]|지배기업의 소유주에게 귀속되는 자본 [member]</t>
        </is>
      </c>
      <c r="M406" s="32" t="inlineStr">
        <is>
          <t>제 50 기</t>
        </is>
      </c>
      <c r="N406" s="32" t="inlineStr">
        <is>
          <t>159479059914.0</t>
        </is>
      </c>
      <c r="O406" s="32" t="inlineStr">
        <is>
          <t>103264491777.0</t>
        </is>
      </c>
      <c r="P406" s="32" t="inlineStr">
        <is>
          <t>KRW</t>
        </is>
      </c>
      <c r="Q406" s="32" t="inlineStr">
        <is>
          <t>3</t>
        </is>
      </c>
    </row>
    <row r="407" ht="24" customHeight="1">
      <c r="A407" s="27" t="inlineStr">
        <is>
          <t>OpenDART_fnlttSinglAcntAll</t>
        </is>
      </c>
      <c r="B407" s="27" t="inlineStr">
        <is>
          <t>00118804</t>
        </is>
      </c>
      <c r="C407" s="27" t="inlineStr">
        <is>
          <t>동진쎄미켐</t>
        </is>
      </c>
      <c r="D407" s="27" t="inlineStr">
        <is>
          <t>dongjin_semichem</t>
        </is>
      </c>
      <c r="E407" s="27" t="inlineStr">
        <is>
          <t>005290</t>
        </is>
      </c>
      <c r="F407" s="27" t="inlineStr">
        <is>
          <t>2022</t>
        </is>
      </c>
      <c r="G407" s="27" t="inlineStr">
        <is>
          <t>CFS</t>
        </is>
      </c>
      <c r="H407" s="27" t="inlineStr">
        <is>
          <t>SCE</t>
        </is>
      </c>
      <c r="I407" s="27" t="inlineStr">
        <is>
          <t>자본변동표</t>
        </is>
      </c>
      <c r="J407" s="27" t="inlineStr">
        <is>
          <t>ifrs-full_ProfitLoss</t>
        </is>
      </c>
      <c r="K407" s="27" t="inlineStr">
        <is>
          <t>당기순이익</t>
        </is>
      </c>
      <c r="L407" s="27" t="inlineStr">
        <is>
          <t>자본 [member]|지배기업의 소유주에게 귀속되는 자본 [member]|이익잉여금 [member]</t>
        </is>
      </c>
      <c r="M407" s="27" t="inlineStr">
        <is>
          <t>제 50 기</t>
        </is>
      </c>
      <c r="N407" s="27" t="inlineStr">
        <is>
          <t>159479059914.0</t>
        </is>
      </c>
      <c r="O407" s="27" t="inlineStr">
        <is>
          <t>103264491777.0</t>
        </is>
      </c>
      <c r="P407" s="27" t="inlineStr">
        <is>
          <t>KRW</t>
        </is>
      </c>
      <c r="Q407" s="27" t="inlineStr">
        <is>
          <t>3</t>
        </is>
      </c>
    </row>
    <row r="408" ht="24" customHeight="1">
      <c r="A408" s="32" t="inlineStr">
        <is>
          <t>OpenDART_fnlttSinglAcntAll</t>
        </is>
      </c>
      <c r="B408" s="32" t="inlineStr">
        <is>
          <t>00118804</t>
        </is>
      </c>
      <c r="C408" s="32" t="inlineStr">
        <is>
          <t>동진쎄미켐</t>
        </is>
      </c>
      <c r="D408" s="32" t="inlineStr">
        <is>
          <t>dongjin_semichem</t>
        </is>
      </c>
      <c r="E408" s="32" t="inlineStr">
        <is>
          <t>005290</t>
        </is>
      </c>
      <c r="F408" s="32" t="inlineStr">
        <is>
          <t>2022</t>
        </is>
      </c>
      <c r="G408" s="32" t="inlineStr">
        <is>
          <t>CFS</t>
        </is>
      </c>
      <c r="H408" s="32" t="inlineStr">
        <is>
          <t>SCE</t>
        </is>
      </c>
      <c r="I408" s="32" t="inlineStr">
        <is>
          <t>자본변동표</t>
        </is>
      </c>
      <c r="J408" s="32" t="inlineStr">
        <is>
          <t>ifrs-full_ProfitLoss</t>
        </is>
      </c>
      <c r="K408" s="32" t="inlineStr">
        <is>
          <t>당기순이익</t>
        </is>
      </c>
      <c r="L408" s="32" t="inlineStr">
        <is>
          <t>자본 [member]|비지배지분 [member]</t>
        </is>
      </c>
      <c r="M408" s="32" t="inlineStr">
        <is>
          <t>제 50 기</t>
        </is>
      </c>
      <c r="N408" s="32" t="inlineStr">
        <is>
          <t>-3283743734.0</t>
        </is>
      </c>
      <c r="O408" s="32" t="inlineStr">
        <is>
          <t>-385266960.0</t>
        </is>
      </c>
      <c r="P408" s="32" t="inlineStr">
        <is>
          <t>KRW</t>
        </is>
      </c>
      <c r="Q408" s="32" t="inlineStr">
        <is>
          <t>3</t>
        </is>
      </c>
    </row>
    <row r="409" ht="24" customHeight="1">
      <c r="A409" s="27" t="inlineStr">
        <is>
          <t>OpenDART_fnlttSinglAcntAll</t>
        </is>
      </c>
      <c r="B409" s="27" t="inlineStr">
        <is>
          <t>00118804</t>
        </is>
      </c>
      <c r="C409" s="27" t="inlineStr">
        <is>
          <t>동진쎄미켐</t>
        </is>
      </c>
      <c r="D409" s="27" t="inlineStr">
        <is>
          <t>dongjin_semichem</t>
        </is>
      </c>
      <c r="E409" s="27" t="inlineStr">
        <is>
          <t>005290</t>
        </is>
      </c>
      <c r="F409" s="27" t="inlineStr">
        <is>
          <t>2022</t>
        </is>
      </c>
      <c r="G409" s="27" t="inlineStr">
        <is>
          <t>CFS</t>
        </is>
      </c>
      <c r="H409" s="27" t="inlineStr">
        <is>
          <t>SCE</t>
        </is>
      </c>
      <c r="I409" s="27" t="inlineStr">
        <is>
          <t>자본변동표</t>
        </is>
      </c>
      <c r="J409" s="27" t="inlineStr">
        <is>
          <t>ifrs-full_ProfitLoss</t>
        </is>
      </c>
      <c r="K409" s="27" t="inlineStr">
        <is>
          <t>당기순이익</t>
        </is>
      </c>
      <c r="L409" s="27" t="inlineStr">
        <is>
          <t>연결재무제표 [member]</t>
        </is>
      </c>
      <c r="M409" s="27" t="inlineStr">
        <is>
          <t>제 50 기</t>
        </is>
      </c>
      <c r="N409" s="27" t="inlineStr">
        <is>
          <t>156195316180.0</t>
        </is>
      </c>
      <c r="O409" s="27" t="inlineStr">
        <is>
          <t>102879224817.0</t>
        </is>
      </c>
      <c r="P409" s="27" t="inlineStr">
        <is>
          <t>KRW</t>
        </is>
      </c>
      <c r="Q409" s="27" t="inlineStr">
        <is>
          <t>3</t>
        </is>
      </c>
    </row>
    <row r="410" ht="24" customHeight="1">
      <c r="A410" s="32" t="inlineStr">
        <is>
          <t>OpenDART_fnlttSinglAcntAll</t>
        </is>
      </c>
      <c r="B410" s="32" t="inlineStr">
        <is>
          <t>00118804</t>
        </is>
      </c>
      <c r="C410" s="32" t="inlineStr">
        <is>
          <t>동진쎄미켐</t>
        </is>
      </c>
      <c r="D410" s="32" t="inlineStr">
        <is>
          <t>dongjin_semichem</t>
        </is>
      </c>
      <c r="E410" s="32" t="inlineStr">
        <is>
          <t>005290</t>
        </is>
      </c>
      <c r="F410" s="32" t="inlineStr">
        <is>
          <t>2022</t>
        </is>
      </c>
      <c r="G410" s="32" t="inlineStr">
        <is>
          <t>CFS</t>
        </is>
      </c>
      <c r="H410" s="32" t="inlineStr">
        <is>
          <t>SCE</t>
        </is>
      </c>
      <c r="I410" s="32" t="inlineStr">
        <is>
          <t>자본변동표</t>
        </is>
      </c>
      <c r="J410" s="32" t="inlineStr">
        <is>
          <t>-표준계정코드 미사용-</t>
        </is>
      </c>
      <c r="K410" s="32" t="inlineStr">
        <is>
          <t>순확정급여부채 재측정요소</t>
        </is>
      </c>
      <c r="L410" s="32" t="inlineStr">
        <is>
          <t>자본 [member]|지배기업의 소유주에게 귀속되는 자본 [member]</t>
        </is>
      </c>
      <c r="M410" s="32" t="inlineStr">
        <is>
          <t>제 50 기</t>
        </is>
      </c>
      <c r="N410" s="32" t="inlineStr">
        <is>
          <t>-671251600.0</t>
        </is>
      </c>
      <c r="O410" s="32" t="inlineStr">
        <is>
          <t>-2688655000.0</t>
        </is>
      </c>
      <c r="P410" s="32" t="inlineStr">
        <is>
          <t>KRW</t>
        </is>
      </c>
      <c r="Q410" s="32" t="inlineStr">
        <is>
          <t>4</t>
        </is>
      </c>
    </row>
    <row r="411" ht="24" customHeight="1">
      <c r="A411" s="27" t="inlineStr">
        <is>
          <t>OpenDART_fnlttSinglAcntAll</t>
        </is>
      </c>
      <c r="B411" s="27" t="inlineStr">
        <is>
          <t>00118804</t>
        </is>
      </c>
      <c r="C411" s="27" t="inlineStr">
        <is>
          <t>동진쎄미켐</t>
        </is>
      </c>
      <c r="D411" s="27" t="inlineStr">
        <is>
          <t>dongjin_semichem</t>
        </is>
      </c>
      <c r="E411" s="27" t="inlineStr">
        <is>
          <t>005290</t>
        </is>
      </c>
      <c r="F411" s="27" t="inlineStr">
        <is>
          <t>2022</t>
        </is>
      </c>
      <c r="G411" s="27" t="inlineStr">
        <is>
          <t>CFS</t>
        </is>
      </c>
      <c r="H411" s="27" t="inlineStr">
        <is>
          <t>SCE</t>
        </is>
      </c>
      <c r="I411" s="27" t="inlineStr">
        <is>
          <t>자본변동표</t>
        </is>
      </c>
      <c r="J411" s="27" t="inlineStr">
        <is>
          <t>-표준계정코드 미사용-</t>
        </is>
      </c>
      <c r="K411" s="27" t="inlineStr">
        <is>
          <t>순확정급여부채 재측정요소</t>
        </is>
      </c>
      <c r="L411" s="27" t="inlineStr">
        <is>
          <t>자본 [member]|비지배지분 [member]</t>
        </is>
      </c>
      <c r="M411" s="27" t="inlineStr">
        <is>
          <t>제 50 기</t>
        </is>
      </c>
      <c r="N411" s="27" t="inlineStr">
        <is>
          <t>해당 없음</t>
        </is>
      </c>
      <c r="O411" s="27" t="inlineStr">
        <is>
          <t>해당 없음</t>
        </is>
      </c>
      <c r="P411" s="27" t="inlineStr">
        <is>
          <t>KRW</t>
        </is>
      </c>
      <c r="Q411" s="27" t="inlineStr">
        <is>
          <t>4</t>
        </is>
      </c>
    </row>
    <row r="412" ht="24" customHeight="1">
      <c r="A412" s="32" t="inlineStr">
        <is>
          <t>OpenDART_fnlttSinglAcntAll</t>
        </is>
      </c>
      <c r="B412" s="32" t="inlineStr">
        <is>
          <t>00118804</t>
        </is>
      </c>
      <c r="C412" s="32" t="inlineStr">
        <is>
          <t>동진쎄미켐</t>
        </is>
      </c>
      <c r="D412" s="32" t="inlineStr">
        <is>
          <t>dongjin_semichem</t>
        </is>
      </c>
      <c r="E412" s="32" t="inlineStr">
        <is>
          <t>005290</t>
        </is>
      </c>
      <c r="F412" s="32" t="inlineStr">
        <is>
          <t>2022</t>
        </is>
      </c>
      <c r="G412" s="32" t="inlineStr">
        <is>
          <t>CFS</t>
        </is>
      </c>
      <c r="H412" s="32" t="inlineStr">
        <is>
          <t>SCE</t>
        </is>
      </c>
      <c r="I412" s="32" t="inlineStr">
        <is>
          <t>자본변동표</t>
        </is>
      </c>
      <c r="J412" s="32" t="inlineStr">
        <is>
          <t>-표준계정코드 미사용-</t>
        </is>
      </c>
      <c r="K412" s="32" t="inlineStr">
        <is>
          <t>순확정급여부채 재측정요소</t>
        </is>
      </c>
      <c r="L412" s="32" t="inlineStr">
        <is>
          <t>자본 [member]|지배기업의 소유주에게 귀속되는 자본 [member]|이익잉여금 [member]</t>
        </is>
      </c>
      <c r="M412" s="32" t="inlineStr">
        <is>
          <t>제 50 기</t>
        </is>
      </c>
      <c r="N412" s="32" t="inlineStr">
        <is>
          <t>-671251600.0</t>
        </is>
      </c>
      <c r="O412" s="32" t="inlineStr">
        <is>
          <t>-2688655000.0</t>
        </is>
      </c>
      <c r="P412" s="32" t="inlineStr">
        <is>
          <t>KRW</t>
        </is>
      </c>
      <c r="Q412" s="32" t="inlineStr">
        <is>
          <t>4</t>
        </is>
      </c>
    </row>
    <row r="413" ht="24" customHeight="1">
      <c r="A413" s="27" t="inlineStr">
        <is>
          <t>OpenDART_fnlttSinglAcntAll</t>
        </is>
      </c>
      <c r="B413" s="27" t="inlineStr">
        <is>
          <t>00118804</t>
        </is>
      </c>
      <c r="C413" s="27" t="inlineStr">
        <is>
          <t>동진쎄미켐</t>
        </is>
      </c>
      <c r="D413" s="27" t="inlineStr">
        <is>
          <t>dongjin_semichem</t>
        </is>
      </c>
      <c r="E413" s="27" t="inlineStr">
        <is>
          <t>005290</t>
        </is>
      </c>
      <c r="F413" s="27" t="inlineStr">
        <is>
          <t>2022</t>
        </is>
      </c>
      <c r="G413" s="27" t="inlineStr">
        <is>
          <t>CFS</t>
        </is>
      </c>
      <c r="H413" s="27" t="inlineStr">
        <is>
          <t>SCE</t>
        </is>
      </c>
      <c r="I413" s="27" t="inlineStr">
        <is>
          <t>자본변동표</t>
        </is>
      </c>
      <c r="J413" s="27" t="inlineStr">
        <is>
          <t>-표준계정코드 미사용-</t>
        </is>
      </c>
      <c r="K413" s="27" t="inlineStr">
        <is>
          <t>순확정급여부채 재측정요소</t>
        </is>
      </c>
      <c r="L413" s="27" t="inlineStr">
        <is>
          <t>연결재무제표 [member]</t>
        </is>
      </c>
      <c r="M413" s="27" t="inlineStr">
        <is>
          <t>제 50 기</t>
        </is>
      </c>
      <c r="N413" s="27" t="inlineStr">
        <is>
          <t>-671251600.0</t>
        </is>
      </c>
      <c r="O413" s="27" t="inlineStr">
        <is>
          <t>-2688655000.0</t>
        </is>
      </c>
      <c r="P413" s="27" t="inlineStr">
        <is>
          <t>KRW</t>
        </is>
      </c>
      <c r="Q413" s="27" t="inlineStr">
        <is>
          <t>4</t>
        </is>
      </c>
    </row>
    <row r="414" ht="24" customHeight="1">
      <c r="A414" s="32" t="inlineStr">
        <is>
          <t>OpenDART_fnlttSinglAcntAll</t>
        </is>
      </c>
      <c r="B414" s="32" t="inlineStr">
        <is>
          <t>00118804</t>
        </is>
      </c>
      <c r="C414" s="32" t="inlineStr">
        <is>
          <t>동진쎄미켐</t>
        </is>
      </c>
      <c r="D414" s="32" t="inlineStr">
        <is>
          <t>dongjin_semichem</t>
        </is>
      </c>
      <c r="E414" s="32" t="inlineStr">
        <is>
          <t>005290</t>
        </is>
      </c>
      <c r="F414" s="32" t="inlineStr">
        <is>
          <t>2022</t>
        </is>
      </c>
      <c r="G414" s="32" t="inlineStr">
        <is>
          <t>CFS</t>
        </is>
      </c>
      <c r="H414" s="32" t="inlineStr">
        <is>
          <t>SCE</t>
        </is>
      </c>
      <c r="I414" s="32" t="inlineStr">
        <is>
          <t>자본변동표</t>
        </is>
      </c>
      <c r="J414" s="32" t="inlineStr">
        <is>
          <t>-표준계정코드 미사용-</t>
        </is>
      </c>
      <c r="K414" s="32" t="inlineStr">
        <is>
          <t>관계기업 기타포괄손익에 대한 지분</t>
        </is>
      </c>
      <c r="L414" s="32" t="inlineStr">
        <is>
          <t>연결재무제표 [member]</t>
        </is>
      </c>
      <c r="M414" s="32" t="inlineStr">
        <is>
          <t>제 50 기</t>
        </is>
      </c>
      <c r="N414" s="32" t="inlineStr">
        <is>
          <t>-118472528.0</t>
        </is>
      </c>
      <c r="O414" s="32" t="inlineStr">
        <is>
          <t>-86249972.0</t>
        </is>
      </c>
      <c r="P414" s="32" t="inlineStr">
        <is>
          <t>KRW</t>
        </is>
      </c>
      <c r="Q414" s="32" t="inlineStr">
        <is>
          <t>5</t>
        </is>
      </c>
    </row>
    <row r="415" ht="24" customHeight="1">
      <c r="A415" s="27" t="inlineStr">
        <is>
          <t>OpenDART_fnlttSinglAcntAll</t>
        </is>
      </c>
      <c r="B415" s="27" t="inlineStr">
        <is>
          <t>00118804</t>
        </is>
      </c>
      <c r="C415" s="27" t="inlineStr">
        <is>
          <t>동진쎄미켐</t>
        </is>
      </c>
      <c r="D415" s="27" t="inlineStr">
        <is>
          <t>dongjin_semichem</t>
        </is>
      </c>
      <c r="E415" s="27" t="inlineStr">
        <is>
          <t>005290</t>
        </is>
      </c>
      <c r="F415" s="27" t="inlineStr">
        <is>
          <t>2022</t>
        </is>
      </c>
      <c r="G415" s="27" t="inlineStr">
        <is>
          <t>CFS</t>
        </is>
      </c>
      <c r="H415" s="27" t="inlineStr">
        <is>
          <t>SCE</t>
        </is>
      </c>
      <c r="I415" s="27" t="inlineStr">
        <is>
          <t>자본변동표</t>
        </is>
      </c>
      <c r="J415" s="27" t="inlineStr">
        <is>
          <t>-표준계정코드 미사용-</t>
        </is>
      </c>
      <c r="K415" s="27" t="inlineStr">
        <is>
          <t>관계기업 기타포괄손익에 대한 지분</t>
        </is>
      </c>
      <c r="L415" s="27" t="inlineStr">
        <is>
          <t>자본 [member]|지배기업의 소유주에게 귀속되는 자본 [member]</t>
        </is>
      </c>
      <c r="M415" s="27" t="inlineStr">
        <is>
          <t>제 50 기</t>
        </is>
      </c>
      <c r="N415" s="27" t="inlineStr">
        <is>
          <t>-118472528.0</t>
        </is>
      </c>
      <c r="O415" s="27" t="inlineStr">
        <is>
          <t>-86249972.0</t>
        </is>
      </c>
      <c r="P415" s="27" t="inlineStr">
        <is>
          <t>KRW</t>
        </is>
      </c>
      <c r="Q415" s="27" t="inlineStr">
        <is>
          <t>5</t>
        </is>
      </c>
    </row>
    <row r="416" ht="24" customHeight="1">
      <c r="A416" s="32" t="inlineStr">
        <is>
          <t>OpenDART_fnlttSinglAcntAll</t>
        </is>
      </c>
      <c r="B416" s="32" t="inlineStr">
        <is>
          <t>00118804</t>
        </is>
      </c>
      <c r="C416" s="32" t="inlineStr">
        <is>
          <t>동진쎄미켐</t>
        </is>
      </c>
      <c r="D416" s="32" t="inlineStr">
        <is>
          <t>dongjin_semichem</t>
        </is>
      </c>
      <c r="E416" s="32" t="inlineStr">
        <is>
          <t>005290</t>
        </is>
      </c>
      <c r="F416" s="32" t="inlineStr">
        <is>
          <t>2022</t>
        </is>
      </c>
      <c r="G416" s="32" t="inlineStr">
        <is>
          <t>CFS</t>
        </is>
      </c>
      <c r="H416" s="32" t="inlineStr">
        <is>
          <t>SCE</t>
        </is>
      </c>
      <c r="I416" s="32" t="inlineStr">
        <is>
          <t>자본변동표</t>
        </is>
      </c>
      <c r="J416" s="32" t="inlineStr">
        <is>
          <t>-표준계정코드 미사용-</t>
        </is>
      </c>
      <c r="K416" s="32" t="inlineStr">
        <is>
          <t>관계기업 기타포괄손익에 대한 지분</t>
        </is>
      </c>
      <c r="L416" s="32" t="inlineStr">
        <is>
          <t>자본 [member]|지배기업의 소유주에게 귀속되는 자본 [member]|기타자본구성요소 [member]</t>
        </is>
      </c>
      <c r="M416" s="32" t="inlineStr">
        <is>
          <t>제 50 기</t>
        </is>
      </c>
      <c r="N416" s="32" t="inlineStr">
        <is>
          <t>-118472528.0</t>
        </is>
      </c>
      <c r="O416" s="32" t="inlineStr">
        <is>
          <t>-86249972.0</t>
        </is>
      </c>
      <c r="P416" s="32" t="inlineStr">
        <is>
          <t>KRW</t>
        </is>
      </c>
      <c r="Q416" s="32" t="inlineStr">
        <is>
          <t>5</t>
        </is>
      </c>
    </row>
    <row r="417" ht="24" customHeight="1">
      <c r="A417" s="27" t="inlineStr">
        <is>
          <t>OpenDART_fnlttSinglAcntAll</t>
        </is>
      </c>
      <c r="B417" s="27" t="inlineStr">
        <is>
          <t>00118804</t>
        </is>
      </c>
      <c r="C417" s="27" t="inlineStr">
        <is>
          <t>동진쎄미켐</t>
        </is>
      </c>
      <c r="D417" s="27" t="inlineStr">
        <is>
          <t>dongjin_semichem</t>
        </is>
      </c>
      <c r="E417" s="27" t="inlineStr">
        <is>
          <t>005290</t>
        </is>
      </c>
      <c r="F417" s="27" t="inlineStr">
        <is>
          <t>2022</t>
        </is>
      </c>
      <c r="G417" s="27" t="inlineStr">
        <is>
          <t>CFS</t>
        </is>
      </c>
      <c r="H417" s="27" t="inlineStr">
        <is>
          <t>SCE</t>
        </is>
      </c>
      <c r="I417" s="27" t="inlineStr">
        <is>
          <t>자본변동표</t>
        </is>
      </c>
      <c r="J417" s="27" t="inlineStr">
        <is>
          <t>-표준계정코드 미사용-</t>
        </is>
      </c>
      <c r="K417" s="27" t="inlineStr">
        <is>
          <t>해외사업장환산 외환차이</t>
        </is>
      </c>
      <c r="L417" s="27" t="inlineStr">
        <is>
          <t>자본 [member]|지배기업의 소유주에게 귀속되는 자본 [member]|기타자본구성요소 [member]</t>
        </is>
      </c>
      <c r="M417" s="27" t="inlineStr">
        <is>
          <t>제 50 기</t>
        </is>
      </c>
      <c r="N417" s="27" t="inlineStr">
        <is>
          <t>-9886767622.0</t>
        </is>
      </c>
      <c r="O417" s="27" t="inlineStr">
        <is>
          <t>23653008860.0</t>
        </is>
      </c>
      <c r="P417" s="27" t="inlineStr">
        <is>
          <t>KRW</t>
        </is>
      </c>
      <c r="Q417" s="27" t="inlineStr">
        <is>
          <t>6</t>
        </is>
      </c>
    </row>
    <row r="418" ht="24" customHeight="1">
      <c r="A418" s="32" t="inlineStr">
        <is>
          <t>OpenDART_fnlttSinglAcntAll</t>
        </is>
      </c>
      <c r="B418" s="32" t="inlineStr">
        <is>
          <t>00118804</t>
        </is>
      </c>
      <c r="C418" s="32" t="inlineStr">
        <is>
          <t>동진쎄미켐</t>
        </is>
      </c>
      <c r="D418" s="32" t="inlineStr">
        <is>
          <t>dongjin_semichem</t>
        </is>
      </c>
      <c r="E418" s="32" t="inlineStr">
        <is>
          <t>005290</t>
        </is>
      </c>
      <c r="F418" s="32" t="inlineStr">
        <is>
          <t>2022</t>
        </is>
      </c>
      <c r="G418" s="32" t="inlineStr">
        <is>
          <t>CFS</t>
        </is>
      </c>
      <c r="H418" s="32" t="inlineStr">
        <is>
          <t>SCE</t>
        </is>
      </c>
      <c r="I418" s="32" t="inlineStr">
        <is>
          <t>자본변동표</t>
        </is>
      </c>
      <c r="J418" s="32" t="inlineStr">
        <is>
          <t>-표준계정코드 미사용-</t>
        </is>
      </c>
      <c r="K418" s="32" t="inlineStr">
        <is>
          <t>해외사업장환산 외환차이</t>
        </is>
      </c>
      <c r="L418" s="32" t="inlineStr">
        <is>
          <t>자본 [member]|비지배지분 [member]</t>
        </is>
      </c>
      <c r="M418" s="32" t="inlineStr">
        <is>
          <t>제 50 기</t>
        </is>
      </c>
      <c r="N418" s="32" t="inlineStr">
        <is>
          <t>-289974232.0</t>
        </is>
      </c>
      <c r="O418" s="32" t="inlineStr">
        <is>
          <t>161097330.0</t>
        </is>
      </c>
      <c r="P418" s="32" t="inlineStr">
        <is>
          <t>KRW</t>
        </is>
      </c>
      <c r="Q418" s="32" t="inlineStr">
        <is>
          <t>6</t>
        </is>
      </c>
    </row>
    <row r="419" ht="24" customHeight="1">
      <c r="A419" s="27" t="inlineStr">
        <is>
          <t>OpenDART_fnlttSinglAcntAll</t>
        </is>
      </c>
      <c r="B419" s="27" t="inlineStr">
        <is>
          <t>00118804</t>
        </is>
      </c>
      <c r="C419" s="27" t="inlineStr">
        <is>
          <t>동진쎄미켐</t>
        </is>
      </c>
      <c r="D419" s="27" t="inlineStr">
        <is>
          <t>dongjin_semichem</t>
        </is>
      </c>
      <c r="E419" s="27" t="inlineStr">
        <is>
          <t>005290</t>
        </is>
      </c>
      <c r="F419" s="27" t="inlineStr">
        <is>
          <t>2022</t>
        </is>
      </c>
      <c r="G419" s="27" t="inlineStr">
        <is>
          <t>CFS</t>
        </is>
      </c>
      <c r="H419" s="27" t="inlineStr">
        <is>
          <t>SCE</t>
        </is>
      </c>
      <c r="I419" s="27" t="inlineStr">
        <is>
          <t>자본변동표</t>
        </is>
      </c>
      <c r="J419" s="27" t="inlineStr">
        <is>
          <t>-표준계정코드 미사용-</t>
        </is>
      </c>
      <c r="K419" s="27" t="inlineStr">
        <is>
          <t>해외사업장환산 외환차이</t>
        </is>
      </c>
      <c r="L419" s="27" t="inlineStr">
        <is>
          <t>자본 [member]|지배기업의 소유주에게 귀속되는 자본 [member]</t>
        </is>
      </c>
      <c r="M419" s="27" t="inlineStr">
        <is>
          <t>제 50 기</t>
        </is>
      </c>
      <c r="N419" s="27" t="inlineStr">
        <is>
          <t>-9886767622.0</t>
        </is>
      </c>
      <c r="O419" s="27" t="inlineStr">
        <is>
          <t>23653008860.0</t>
        </is>
      </c>
      <c r="P419" s="27" t="inlineStr">
        <is>
          <t>KRW</t>
        </is>
      </c>
      <c r="Q419" s="27" t="inlineStr">
        <is>
          <t>6</t>
        </is>
      </c>
    </row>
    <row r="420" ht="24" customHeight="1">
      <c r="A420" s="32" t="inlineStr">
        <is>
          <t>OpenDART_fnlttSinglAcntAll</t>
        </is>
      </c>
      <c r="B420" s="32" t="inlineStr">
        <is>
          <t>00118804</t>
        </is>
      </c>
      <c r="C420" s="32" t="inlineStr">
        <is>
          <t>동진쎄미켐</t>
        </is>
      </c>
      <c r="D420" s="32" t="inlineStr">
        <is>
          <t>dongjin_semichem</t>
        </is>
      </c>
      <c r="E420" s="32" t="inlineStr">
        <is>
          <t>005290</t>
        </is>
      </c>
      <c r="F420" s="32" t="inlineStr">
        <is>
          <t>2022</t>
        </is>
      </c>
      <c r="G420" s="32" t="inlineStr">
        <is>
          <t>CFS</t>
        </is>
      </c>
      <c r="H420" s="32" t="inlineStr">
        <is>
          <t>SCE</t>
        </is>
      </c>
      <c r="I420" s="32" t="inlineStr">
        <is>
          <t>자본변동표</t>
        </is>
      </c>
      <c r="J420" s="32" t="inlineStr">
        <is>
          <t>-표준계정코드 미사용-</t>
        </is>
      </c>
      <c r="K420" s="32" t="inlineStr">
        <is>
          <t>해외사업장환산 외환차이</t>
        </is>
      </c>
      <c r="L420" s="32" t="inlineStr">
        <is>
          <t>연결재무제표 [member]</t>
        </is>
      </c>
      <c r="M420" s="32" t="inlineStr">
        <is>
          <t>제 50 기</t>
        </is>
      </c>
      <c r="N420" s="32" t="inlineStr">
        <is>
          <t>-10176741854.0</t>
        </is>
      </c>
      <c r="O420" s="32" t="inlineStr">
        <is>
          <t>23814106190.0</t>
        </is>
      </c>
      <c r="P420" s="32" t="inlineStr">
        <is>
          <t>KRW</t>
        </is>
      </c>
      <c r="Q420" s="32" t="inlineStr">
        <is>
          <t>6</t>
        </is>
      </c>
    </row>
    <row r="421" ht="24" customHeight="1">
      <c r="A421" s="27" t="inlineStr">
        <is>
          <t>OpenDART_fnlttSinglAcntAll</t>
        </is>
      </c>
      <c r="B421" s="27" t="inlineStr">
        <is>
          <t>00118804</t>
        </is>
      </c>
      <c r="C421" s="27" t="inlineStr">
        <is>
          <t>동진쎄미켐</t>
        </is>
      </c>
      <c r="D421" s="27" t="inlineStr">
        <is>
          <t>dongjin_semichem</t>
        </is>
      </c>
      <c r="E421" s="27" t="inlineStr">
        <is>
          <t>005290</t>
        </is>
      </c>
      <c r="F421" s="27" t="inlineStr">
        <is>
          <t>2022</t>
        </is>
      </c>
      <c r="G421" s="27" t="inlineStr">
        <is>
          <t>CFS</t>
        </is>
      </c>
      <c r="H421" s="27" t="inlineStr">
        <is>
          <t>SCE</t>
        </is>
      </c>
      <c r="I421" s="27" t="inlineStr">
        <is>
          <t>자본변동표</t>
        </is>
      </c>
      <c r="J421" s="27" t="inlineStr">
        <is>
          <t>-표준계정코드 미사용-</t>
        </is>
      </c>
      <c r="K421" s="27" t="inlineStr">
        <is>
          <t>유형자산평가</t>
        </is>
      </c>
      <c r="L421" s="27" t="inlineStr">
        <is>
          <t>연결재무제표 [member]</t>
        </is>
      </c>
      <c r="M421" s="27" t="inlineStr">
        <is>
          <t>제 50 기</t>
        </is>
      </c>
      <c r="N421" s="27" t="inlineStr">
        <is>
          <t>249450496.0</t>
        </is>
      </c>
      <c r="O421" s="27" t="inlineStr">
        <is>
          <t>해당 없음</t>
        </is>
      </c>
      <c r="P421" s="27" t="inlineStr">
        <is>
          <t>KRW</t>
        </is>
      </c>
      <c r="Q421" s="27" t="inlineStr">
        <is>
          <t>7</t>
        </is>
      </c>
    </row>
    <row r="422" ht="24" customHeight="1">
      <c r="A422" s="32" t="inlineStr">
        <is>
          <t>OpenDART_fnlttSinglAcntAll</t>
        </is>
      </c>
      <c r="B422" s="32" t="inlineStr">
        <is>
          <t>00118804</t>
        </is>
      </c>
      <c r="C422" s="32" t="inlineStr">
        <is>
          <t>동진쎄미켐</t>
        </is>
      </c>
      <c r="D422" s="32" t="inlineStr">
        <is>
          <t>dongjin_semichem</t>
        </is>
      </c>
      <c r="E422" s="32" t="inlineStr">
        <is>
          <t>005290</t>
        </is>
      </c>
      <c r="F422" s="32" t="inlineStr">
        <is>
          <t>2022</t>
        </is>
      </c>
      <c r="G422" s="32" t="inlineStr">
        <is>
          <t>CFS</t>
        </is>
      </c>
      <c r="H422" s="32" t="inlineStr">
        <is>
          <t>SCE</t>
        </is>
      </c>
      <c r="I422" s="32" t="inlineStr">
        <is>
          <t>자본변동표</t>
        </is>
      </c>
      <c r="J422" s="32" t="inlineStr">
        <is>
          <t>-표준계정코드 미사용-</t>
        </is>
      </c>
      <c r="K422" s="32" t="inlineStr">
        <is>
          <t>유형자산평가</t>
        </is>
      </c>
      <c r="L422" s="32" t="inlineStr">
        <is>
          <t>자본 [member]|지배기업의 소유주에게 귀속되는 자본 [member]</t>
        </is>
      </c>
      <c r="M422" s="32" t="inlineStr">
        <is>
          <t>제 50 기</t>
        </is>
      </c>
      <c r="N422" s="32" t="inlineStr">
        <is>
          <t>249450496.0</t>
        </is>
      </c>
      <c r="O422" s="32" t="inlineStr">
        <is>
          <t>해당 없음</t>
        </is>
      </c>
      <c r="P422" s="32" t="inlineStr">
        <is>
          <t>KRW</t>
        </is>
      </c>
      <c r="Q422" s="32" t="inlineStr">
        <is>
          <t>7</t>
        </is>
      </c>
    </row>
    <row r="423" ht="24" customHeight="1">
      <c r="A423" s="27" t="inlineStr">
        <is>
          <t>OpenDART_fnlttSinglAcntAll</t>
        </is>
      </c>
      <c r="B423" s="27" t="inlineStr">
        <is>
          <t>00118804</t>
        </is>
      </c>
      <c r="C423" s="27" t="inlineStr">
        <is>
          <t>동진쎄미켐</t>
        </is>
      </c>
      <c r="D423" s="27" t="inlineStr">
        <is>
          <t>dongjin_semichem</t>
        </is>
      </c>
      <c r="E423" s="27" t="inlineStr">
        <is>
          <t>005290</t>
        </is>
      </c>
      <c r="F423" s="27" t="inlineStr">
        <is>
          <t>2022</t>
        </is>
      </c>
      <c r="G423" s="27" t="inlineStr">
        <is>
          <t>CFS</t>
        </is>
      </c>
      <c r="H423" s="27" t="inlineStr">
        <is>
          <t>SCE</t>
        </is>
      </c>
      <c r="I423" s="27" t="inlineStr">
        <is>
          <t>자본변동표</t>
        </is>
      </c>
      <c r="J423" s="27" t="inlineStr">
        <is>
          <t>-표준계정코드 미사용-</t>
        </is>
      </c>
      <c r="K423" s="27" t="inlineStr">
        <is>
          <t>유형자산평가</t>
        </is>
      </c>
      <c r="L423" s="27" t="inlineStr">
        <is>
          <t>자본 [member]|지배기업의 소유주에게 귀속되는 자본 [member]|기타자본구성요소 [member]</t>
        </is>
      </c>
      <c r="M423" s="27" t="inlineStr">
        <is>
          <t>제 50 기</t>
        </is>
      </c>
      <c r="N423" s="27" t="inlineStr">
        <is>
          <t>249450496.0</t>
        </is>
      </c>
      <c r="O423" s="27" t="inlineStr">
        <is>
          <t>해당 없음</t>
        </is>
      </c>
      <c r="P423" s="27" t="inlineStr">
        <is>
          <t>KRW</t>
        </is>
      </c>
      <c r="Q423" s="27" t="inlineStr">
        <is>
          <t>7</t>
        </is>
      </c>
    </row>
    <row r="424" ht="24" customHeight="1">
      <c r="A424" s="32" t="inlineStr">
        <is>
          <t>OpenDART_fnlttSinglAcntAll</t>
        </is>
      </c>
      <c r="B424" s="32" t="inlineStr">
        <is>
          <t>00118804</t>
        </is>
      </c>
      <c r="C424" s="32" t="inlineStr">
        <is>
          <t>동진쎄미켐</t>
        </is>
      </c>
      <c r="D424" s="32" t="inlineStr">
        <is>
          <t>dongjin_semichem</t>
        </is>
      </c>
      <c r="E424" s="32" t="inlineStr">
        <is>
          <t>005290</t>
        </is>
      </c>
      <c r="F424" s="32" t="inlineStr">
        <is>
          <t>2022</t>
        </is>
      </c>
      <c r="G424" s="32" t="inlineStr">
        <is>
          <t>CFS</t>
        </is>
      </c>
      <c r="H424" s="32" t="inlineStr">
        <is>
          <t>SCE</t>
        </is>
      </c>
      <c r="I424" s="32" t="inlineStr">
        <is>
          <t>자본변동표</t>
        </is>
      </c>
      <c r="J424" s="32" t="inlineStr">
        <is>
          <t>-표준계정코드 미사용-</t>
        </is>
      </c>
      <c r="K424" s="32" t="inlineStr">
        <is>
          <t>종속기업주식취득</t>
        </is>
      </c>
      <c r="L424" s="32" t="inlineStr">
        <is>
          <t>연결재무제표 [member]</t>
        </is>
      </c>
      <c r="M424" s="32" t="inlineStr">
        <is>
          <t>제 50 기</t>
        </is>
      </c>
      <c r="N424" s="32" t="inlineStr">
        <is>
          <t>해당 없음</t>
        </is>
      </c>
      <c r="O424" s="32" t="inlineStr">
        <is>
          <t>-1782308990.0</t>
        </is>
      </c>
      <c r="P424" s="32" t="inlineStr">
        <is>
          <t>KRW</t>
        </is>
      </c>
      <c r="Q424" s="32" t="inlineStr">
        <is>
          <t>8</t>
        </is>
      </c>
    </row>
    <row r="425" ht="24" customHeight="1">
      <c r="A425" s="27" t="inlineStr">
        <is>
          <t>OpenDART_fnlttSinglAcntAll</t>
        </is>
      </c>
      <c r="B425" s="27" t="inlineStr">
        <is>
          <t>00118804</t>
        </is>
      </c>
      <c r="C425" s="27" t="inlineStr">
        <is>
          <t>동진쎄미켐</t>
        </is>
      </c>
      <c r="D425" s="27" t="inlineStr">
        <is>
          <t>dongjin_semichem</t>
        </is>
      </c>
      <c r="E425" s="27" t="inlineStr">
        <is>
          <t>005290</t>
        </is>
      </c>
      <c r="F425" s="27" t="inlineStr">
        <is>
          <t>2022</t>
        </is>
      </c>
      <c r="G425" s="27" t="inlineStr">
        <is>
          <t>CFS</t>
        </is>
      </c>
      <c r="H425" s="27" t="inlineStr">
        <is>
          <t>SCE</t>
        </is>
      </c>
      <c r="I425" s="27" t="inlineStr">
        <is>
          <t>자본변동표</t>
        </is>
      </c>
      <c r="J425" s="27" t="inlineStr">
        <is>
          <t>-표준계정코드 미사용-</t>
        </is>
      </c>
      <c r="K425" s="27" t="inlineStr">
        <is>
          <t>종속기업주식취득</t>
        </is>
      </c>
      <c r="L425" s="27" t="inlineStr">
        <is>
          <t>자본 [member]|지배기업의 소유주에게 귀속되는 자본 [member]</t>
        </is>
      </c>
      <c r="M425" s="27" t="inlineStr">
        <is>
          <t>제 50 기</t>
        </is>
      </c>
      <c r="N425" s="27" t="inlineStr">
        <is>
          <t>해당 없음</t>
        </is>
      </c>
      <c r="O425" s="27" t="inlineStr">
        <is>
          <t>679037249.0</t>
        </is>
      </c>
      <c r="P425" s="27" t="inlineStr">
        <is>
          <t>KRW</t>
        </is>
      </c>
      <c r="Q425" s="27" t="inlineStr">
        <is>
          <t>8</t>
        </is>
      </c>
    </row>
    <row r="426" ht="24" customHeight="1">
      <c r="A426" s="32" t="inlineStr">
        <is>
          <t>OpenDART_fnlttSinglAcntAll</t>
        </is>
      </c>
      <c r="B426" s="32" t="inlineStr">
        <is>
          <t>00118804</t>
        </is>
      </c>
      <c r="C426" s="32" t="inlineStr">
        <is>
          <t>동진쎄미켐</t>
        </is>
      </c>
      <c r="D426" s="32" t="inlineStr">
        <is>
          <t>dongjin_semichem</t>
        </is>
      </c>
      <c r="E426" s="32" t="inlineStr">
        <is>
          <t>005290</t>
        </is>
      </c>
      <c r="F426" s="32" t="inlineStr">
        <is>
          <t>2022</t>
        </is>
      </c>
      <c r="G426" s="32" t="inlineStr">
        <is>
          <t>CFS</t>
        </is>
      </c>
      <c r="H426" s="32" t="inlineStr">
        <is>
          <t>SCE</t>
        </is>
      </c>
      <c r="I426" s="32" t="inlineStr">
        <is>
          <t>자본변동표</t>
        </is>
      </c>
      <c r="J426" s="32" t="inlineStr">
        <is>
          <t>-표준계정코드 미사용-</t>
        </is>
      </c>
      <c r="K426" s="32" t="inlineStr">
        <is>
          <t>종속기업주식취득</t>
        </is>
      </c>
      <c r="L426" s="32" t="inlineStr">
        <is>
          <t>자본 [member]|비지배지분 [member]</t>
        </is>
      </c>
      <c r="M426" s="32" t="inlineStr">
        <is>
          <t>제 50 기</t>
        </is>
      </c>
      <c r="N426" s="32" t="inlineStr">
        <is>
          <t>해당 없음</t>
        </is>
      </c>
      <c r="O426" s="32" t="inlineStr">
        <is>
          <t>-2461346239.0</t>
        </is>
      </c>
      <c r="P426" s="32" t="inlineStr">
        <is>
          <t>KRW</t>
        </is>
      </c>
      <c r="Q426" s="32" t="inlineStr">
        <is>
          <t>8</t>
        </is>
      </c>
    </row>
    <row r="427" ht="24" customHeight="1">
      <c r="A427" s="27" t="inlineStr">
        <is>
          <t>OpenDART_fnlttSinglAcntAll</t>
        </is>
      </c>
      <c r="B427" s="27" t="inlineStr">
        <is>
          <t>00118804</t>
        </is>
      </c>
      <c r="C427" s="27" t="inlineStr">
        <is>
          <t>동진쎄미켐</t>
        </is>
      </c>
      <c r="D427" s="27" t="inlineStr">
        <is>
          <t>dongjin_semichem</t>
        </is>
      </c>
      <c r="E427" s="27" t="inlineStr">
        <is>
          <t>005290</t>
        </is>
      </c>
      <c r="F427" s="27" t="inlineStr">
        <is>
          <t>2022</t>
        </is>
      </c>
      <c r="G427" s="27" t="inlineStr">
        <is>
          <t>CFS</t>
        </is>
      </c>
      <c r="H427" s="27" t="inlineStr">
        <is>
          <t>SCE</t>
        </is>
      </c>
      <c r="I427" s="27" t="inlineStr">
        <is>
          <t>자본변동표</t>
        </is>
      </c>
      <c r="J427" s="27" t="inlineStr">
        <is>
          <t>-표준계정코드 미사용-</t>
        </is>
      </c>
      <c r="K427" s="27" t="inlineStr">
        <is>
          <t>종속기업주식취득</t>
        </is>
      </c>
      <c r="L427" s="27" t="inlineStr">
        <is>
          <t>자본 [member]|지배기업의 소유주에게 귀속되는 자본 [member]|기타불입자본</t>
        </is>
      </c>
      <c r="M427" s="27" t="inlineStr">
        <is>
          <t>제 50 기</t>
        </is>
      </c>
      <c r="N427" s="27" t="inlineStr">
        <is>
          <t>해당 없음</t>
        </is>
      </c>
      <c r="O427" s="27" t="inlineStr">
        <is>
          <t>679037249.0</t>
        </is>
      </c>
      <c r="P427" s="27" t="inlineStr">
        <is>
          <t>KRW</t>
        </is>
      </c>
      <c r="Q427" s="27" t="inlineStr">
        <is>
          <t>8</t>
        </is>
      </c>
    </row>
    <row r="428" ht="24" customHeight="1">
      <c r="A428" s="32" t="inlineStr">
        <is>
          <t>OpenDART_fnlttSinglAcntAll</t>
        </is>
      </c>
      <c r="B428" s="32" t="inlineStr">
        <is>
          <t>00118804</t>
        </is>
      </c>
      <c r="C428" s="32" t="inlineStr">
        <is>
          <t>동진쎄미켐</t>
        </is>
      </c>
      <c r="D428" s="32" t="inlineStr">
        <is>
          <t>dongjin_semichem</t>
        </is>
      </c>
      <c r="E428" s="32" t="inlineStr">
        <is>
          <t>005290</t>
        </is>
      </c>
      <c r="F428" s="32" t="inlineStr">
        <is>
          <t>2022</t>
        </is>
      </c>
      <c r="G428" s="32" t="inlineStr">
        <is>
          <t>CFS</t>
        </is>
      </c>
      <c r="H428" s="32" t="inlineStr">
        <is>
          <t>SCE</t>
        </is>
      </c>
      <c r="I428" s="32" t="inlineStr">
        <is>
          <t>자본변동표</t>
        </is>
      </c>
      <c r="J428" s="32" t="inlineStr">
        <is>
          <t>ifrs-full_IssueOfEquity</t>
        </is>
      </c>
      <c r="K428" s="32" t="inlineStr">
        <is>
          <t>유상증자</t>
        </is>
      </c>
      <c r="L428" s="32" t="inlineStr">
        <is>
          <t>자본 [member]|비지배지분 [member]</t>
        </is>
      </c>
      <c r="M428" s="32" t="inlineStr">
        <is>
          <t>제 50 기</t>
        </is>
      </c>
      <c r="N428" s="32" t="inlineStr">
        <is>
          <t>428910.0</t>
        </is>
      </c>
      <c r="O428" s="32" t="inlineStr">
        <is>
          <t>6074200000.0</t>
        </is>
      </c>
      <c r="P428" s="32" t="inlineStr">
        <is>
          <t>KRW</t>
        </is>
      </c>
      <c r="Q428" s="32" t="inlineStr">
        <is>
          <t>9</t>
        </is>
      </c>
    </row>
    <row r="429" ht="24" customHeight="1">
      <c r="A429" s="27" t="inlineStr">
        <is>
          <t>OpenDART_fnlttSinglAcntAll</t>
        </is>
      </c>
      <c r="B429" s="27" t="inlineStr">
        <is>
          <t>00118804</t>
        </is>
      </c>
      <c r="C429" s="27" t="inlineStr">
        <is>
          <t>동진쎄미켐</t>
        </is>
      </c>
      <c r="D429" s="27" t="inlineStr">
        <is>
          <t>dongjin_semichem</t>
        </is>
      </c>
      <c r="E429" s="27" t="inlineStr">
        <is>
          <t>005290</t>
        </is>
      </c>
      <c r="F429" s="27" t="inlineStr">
        <is>
          <t>2022</t>
        </is>
      </c>
      <c r="G429" s="27" t="inlineStr">
        <is>
          <t>CFS</t>
        </is>
      </c>
      <c r="H429" s="27" t="inlineStr">
        <is>
          <t>SCE</t>
        </is>
      </c>
      <c r="I429" s="27" t="inlineStr">
        <is>
          <t>자본변동표</t>
        </is>
      </c>
      <c r="J429" s="27" t="inlineStr">
        <is>
          <t>ifrs-full_IssueOfEquity</t>
        </is>
      </c>
      <c r="K429" s="27" t="inlineStr">
        <is>
          <t>유상증자</t>
        </is>
      </c>
      <c r="L429" s="27" t="inlineStr">
        <is>
          <t>연결재무제표 [member]</t>
        </is>
      </c>
      <c r="M429" s="27" t="inlineStr">
        <is>
          <t>제 50 기</t>
        </is>
      </c>
      <c r="N429" s="27" t="inlineStr">
        <is>
          <t>428910.0</t>
        </is>
      </c>
      <c r="O429" s="27" t="inlineStr">
        <is>
          <t>6074200000.0</t>
        </is>
      </c>
      <c r="P429" s="27" t="inlineStr">
        <is>
          <t>KRW</t>
        </is>
      </c>
      <c r="Q429" s="27" t="inlineStr">
        <is>
          <t>9</t>
        </is>
      </c>
    </row>
    <row r="430" ht="24" customHeight="1">
      <c r="A430" s="32" t="inlineStr">
        <is>
          <t>OpenDART_fnlttSinglAcntAll</t>
        </is>
      </c>
      <c r="B430" s="32" t="inlineStr">
        <is>
          <t>00118804</t>
        </is>
      </c>
      <c r="C430" s="32" t="inlineStr">
        <is>
          <t>동진쎄미켐</t>
        </is>
      </c>
      <c r="D430" s="32" t="inlineStr">
        <is>
          <t>dongjin_semichem</t>
        </is>
      </c>
      <c r="E430" s="32" t="inlineStr">
        <is>
          <t>005290</t>
        </is>
      </c>
      <c r="F430" s="32" t="inlineStr">
        <is>
          <t>2022</t>
        </is>
      </c>
      <c r="G430" s="32" t="inlineStr">
        <is>
          <t>CFS</t>
        </is>
      </c>
      <c r="H430" s="32" t="inlineStr">
        <is>
          <t>SCE</t>
        </is>
      </c>
      <c r="I430" s="32" t="inlineStr">
        <is>
          <t>자본변동표</t>
        </is>
      </c>
      <c r="J430" s="32" t="inlineStr">
        <is>
          <t>ifrs-full_Equity</t>
        </is>
      </c>
      <c r="K430" s="32" t="inlineStr">
        <is>
          <t>기말자본</t>
        </is>
      </c>
      <c r="L430" s="32" t="inlineStr">
        <is>
          <t>자본 [member]|지배기업의 소유주에게 귀속되는 자본 [member]|자본금 [member]</t>
        </is>
      </c>
      <c r="M430" s="32" t="inlineStr">
        <is>
          <t>제 50 기</t>
        </is>
      </c>
      <c r="N430" s="32" t="inlineStr">
        <is>
          <t>25707247000.0</t>
        </is>
      </c>
      <c r="O430" s="32" t="inlineStr">
        <is>
          <t>25707247000.0</t>
        </is>
      </c>
      <c r="P430" s="32" t="inlineStr">
        <is>
          <t>KRW</t>
        </is>
      </c>
      <c r="Q430" s="32" t="inlineStr">
        <is>
          <t>10</t>
        </is>
      </c>
    </row>
    <row r="431" ht="24" customHeight="1">
      <c r="A431" s="27" t="inlineStr">
        <is>
          <t>OpenDART_fnlttSinglAcntAll</t>
        </is>
      </c>
      <c r="B431" s="27" t="inlineStr">
        <is>
          <t>00118804</t>
        </is>
      </c>
      <c r="C431" s="27" t="inlineStr">
        <is>
          <t>동진쎄미켐</t>
        </is>
      </c>
      <c r="D431" s="27" t="inlineStr">
        <is>
          <t>dongjin_semichem</t>
        </is>
      </c>
      <c r="E431" s="27" t="inlineStr">
        <is>
          <t>005290</t>
        </is>
      </c>
      <c r="F431" s="27" t="inlineStr">
        <is>
          <t>2022</t>
        </is>
      </c>
      <c r="G431" s="27" t="inlineStr">
        <is>
          <t>CFS</t>
        </is>
      </c>
      <c r="H431" s="27" t="inlineStr">
        <is>
          <t>SCE</t>
        </is>
      </c>
      <c r="I431" s="27" t="inlineStr">
        <is>
          <t>자본변동표</t>
        </is>
      </c>
      <c r="J431" s="27" t="inlineStr">
        <is>
          <t>ifrs-full_Equity</t>
        </is>
      </c>
      <c r="K431" s="27" t="inlineStr">
        <is>
          <t>기말자본</t>
        </is>
      </c>
      <c r="L431" s="27" t="inlineStr">
        <is>
          <t>자본 [member]|지배기업의 소유주에게 귀속되는 자본 [member]|기타불입자본</t>
        </is>
      </c>
      <c r="M431" s="27" t="inlineStr">
        <is>
          <t>제 50 기</t>
        </is>
      </c>
      <c r="N431" s="27" t="inlineStr">
        <is>
          <t>122997090161.0</t>
        </is>
      </c>
      <c r="O431" s="27" t="inlineStr">
        <is>
          <t>122997090161.0</t>
        </is>
      </c>
      <c r="P431" s="27" t="inlineStr">
        <is>
          <t>KRW</t>
        </is>
      </c>
      <c r="Q431" s="27" t="inlineStr">
        <is>
          <t>10</t>
        </is>
      </c>
    </row>
    <row r="432" ht="24" customHeight="1">
      <c r="A432" s="32" t="inlineStr">
        <is>
          <t>OpenDART_fnlttSinglAcntAll</t>
        </is>
      </c>
      <c r="B432" s="32" t="inlineStr">
        <is>
          <t>00118804</t>
        </is>
      </c>
      <c r="C432" s="32" t="inlineStr">
        <is>
          <t>동진쎄미켐</t>
        </is>
      </c>
      <c r="D432" s="32" t="inlineStr">
        <is>
          <t>dongjin_semichem</t>
        </is>
      </c>
      <c r="E432" s="32" t="inlineStr">
        <is>
          <t>005290</t>
        </is>
      </c>
      <c r="F432" s="32" t="inlineStr">
        <is>
          <t>2022</t>
        </is>
      </c>
      <c r="G432" s="32" t="inlineStr">
        <is>
          <t>CFS</t>
        </is>
      </c>
      <c r="H432" s="32" t="inlineStr">
        <is>
          <t>SCE</t>
        </is>
      </c>
      <c r="I432" s="32" t="inlineStr">
        <is>
          <t>자본변동표</t>
        </is>
      </c>
      <c r="J432" s="32" t="inlineStr">
        <is>
          <t>ifrs-full_Equity</t>
        </is>
      </c>
      <c r="K432" s="32" t="inlineStr">
        <is>
          <t>기말자본</t>
        </is>
      </c>
      <c r="L432" s="32" t="inlineStr">
        <is>
          <t>자본 [member]|지배기업의 소유주에게 귀속되는 자본 [member]</t>
        </is>
      </c>
      <c r="M432" s="32" t="inlineStr">
        <is>
          <t>제 50 기</t>
        </is>
      </c>
      <c r="N432" s="32" t="inlineStr">
        <is>
          <t>696844920590.0</t>
        </is>
      </c>
      <c r="O432" s="32" t="inlineStr">
        <is>
          <t>553448496270.0</t>
        </is>
      </c>
      <c r="P432" s="32" t="inlineStr">
        <is>
          <t>KRW</t>
        </is>
      </c>
      <c r="Q432" s="32" t="inlineStr">
        <is>
          <t>10</t>
        </is>
      </c>
    </row>
    <row r="433" ht="24" customHeight="1">
      <c r="A433" s="27" t="inlineStr">
        <is>
          <t>OpenDART_fnlttSinglAcntAll</t>
        </is>
      </c>
      <c r="B433" s="27" t="inlineStr">
        <is>
          <t>00118804</t>
        </is>
      </c>
      <c r="C433" s="27" t="inlineStr">
        <is>
          <t>동진쎄미켐</t>
        </is>
      </c>
      <c r="D433" s="27" t="inlineStr">
        <is>
          <t>dongjin_semichem</t>
        </is>
      </c>
      <c r="E433" s="27" t="inlineStr">
        <is>
          <t>005290</t>
        </is>
      </c>
      <c r="F433" s="27" t="inlineStr">
        <is>
          <t>2022</t>
        </is>
      </c>
      <c r="G433" s="27" t="inlineStr">
        <is>
          <t>CFS</t>
        </is>
      </c>
      <c r="H433" s="27" t="inlineStr">
        <is>
          <t>SCE</t>
        </is>
      </c>
      <c r="I433" s="27" t="inlineStr">
        <is>
          <t>자본변동표</t>
        </is>
      </c>
      <c r="J433" s="27" t="inlineStr">
        <is>
          <t>ifrs-full_Equity</t>
        </is>
      </c>
      <c r="K433" s="27" t="inlineStr">
        <is>
          <t>기말자본</t>
        </is>
      </c>
      <c r="L433" s="27" t="inlineStr">
        <is>
          <t>자본 [member]|비지배지분 [member]</t>
        </is>
      </c>
      <c r="M433" s="27" t="inlineStr">
        <is>
          <t>제 50 기</t>
        </is>
      </c>
      <c r="N433" s="27" t="inlineStr">
        <is>
          <t>3942443240.0</t>
        </is>
      </c>
      <c r="O433" s="27" t="inlineStr">
        <is>
          <t>7585003685.0</t>
        </is>
      </c>
      <c r="P433" s="27" t="inlineStr">
        <is>
          <t>KRW</t>
        </is>
      </c>
      <c r="Q433" s="27" t="inlineStr">
        <is>
          <t>10</t>
        </is>
      </c>
    </row>
    <row r="434" ht="24" customHeight="1">
      <c r="A434" s="32" t="inlineStr">
        <is>
          <t>OpenDART_fnlttSinglAcntAll</t>
        </is>
      </c>
      <c r="B434" s="32" t="inlineStr">
        <is>
          <t>00118804</t>
        </is>
      </c>
      <c r="C434" s="32" t="inlineStr">
        <is>
          <t>동진쎄미켐</t>
        </is>
      </c>
      <c r="D434" s="32" t="inlineStr">
        <is>
          <t>dongjin_semichem</t>
        </is>
      </c>
      <c r="E434" s="32" t="inlineStr">
        <is>
          <t>005290</t>
        </is>
      </c>
      <c r="F434" s="32" t="inlineStr">
        <is>
          <t>2022</t>
        </is>
      </c>
      <c r="G434" s="32" t="inlineStr">
        <is>
          <t>CFS</t>
        </is>
      </c>
      <c r="H434" s="32" t="inlineStr">
        <is>
          <t>SCE</t>
        </is>
      </c>
      <c r="I434" s="32" t="inlineStr">
        <is>
          <t>자본변동표</t>
        </is>
      </c>
      <c r="J434" s="32" t="inlineStr">
        <is>
          <t>ifrs-full_Equity</t>
        </is>
      </c>
      <c r="K434" s="32" t="inlineStr">
        <is>
          <t>기말자본</t>
        </is>
      </c>
      <c r="L434" s="32" t="inlineStr">
        <is>
          <t>연결재무제표 [member]</t>
        </is>
      </c>
      <c r="M434" s="32" t="inlineStr">
        <is>
          <t>제 50 기</t>
        </is>
      </c>
      <c r="N434" s="32" t="inlineStr">
        <is>
          <t>700787363830.0</t>
        </is>
      </c>
      <c r="O434" s="32" t="inlineStr">
        <is>
          <t>561033499955.0</t>
        </is>
      </c>
      <c r="P434" s="32" t="inlineStr">
        <is>
          <t>KRW</t>
        </is>
      </c>
      <c r="Q434" s="32" t="inlineStr">
        <is>
          <t>10</t>
        </is>
      </c>
    </row>
    <row r="435" ht="24" customHeight="1">
      <c r="A435" s="27" t="inlineStr">
        <is>
          <t>OpenDART_fnlttSinglAcntAll</t>
        </is>
      </c>
      <c r="B435" s="27" t="inlineStr">
        <is>
          <t>00118804</t>
        </is>
      </c>
      <c r="C435" s="27" t="inlineStr">
        <is>
          <t>동진쎄미켐</t>
        </is>
      </c>
      <c r="D435" s="27" t="inlineStr">
        <is>
          <t>dongjin_semichem</t>
        </is>
      </c>
      <c r="E435" s="27" t="inlineStr">
        <is>
          <t>005290</t>
        </is>
      </c>
      <c r="F435" s="27" t="inlineStr">
        <is>
          <t>2022</t>
        </is>
      </c>
      <c r="G435" s="27" t="inlineStr">
        <is>
          <t>CFS</t>
        </is>
      </c>
      <c r="H435" s="27" t="inlineStr">
        <is>
          <t>SCE</t>
        </is>
      </c>
      <c r="I435" s="27" t="inlineStr">
        <is>
          <t>자본변동표</t>
        </is>
      </c>
      <c r="J435" s="27" t="inlineStr">
        <is>
          <t>ifrs-full_Equity</t>
        </is>
      </c>
      <c r="K435" s="27" t="inlineStr">
        <is>
          <t>기말자본</t>
        </is>
      </c>
      <c r="L435" s="27" t="inlineStr">
        <is>
          <t>자본 [member]|지배기업의 소유주에게 귀속되는 자본 [member]|이익잉여금 [member]</t>
        </is>
      </c>
      <c r="M435" s="27" t="inlineStr">
        <is>
          <t>제 50 기</t>
        </is>
      </c>
      <c r="N435" s="27" t="inlineStr">
        <is>
          <t>521015824109.0</t>
        </is>
      </c>
      <c r="O435" s="27" t="inlineStr">
        <is>
          <t>367863610135.0</t>
        </is>
      </c>
      <c r="P435" s="27" t="inlineStr">
        <is>
          <t>KRW</t>
        </is>
      </c>
      <c r="Q435" s="27" t="inlineStr">
        <is>
          <t>10</t>
        </is>
      </c>
    </row>
    <row r="436" ht="24" customHeight="1">
      <c r="A436" s="32" t="inlineStr">
        <is>
          <t>OpenDART_fnlttSinglAcntAll</t>
        </is>
      </c>
      <c r="B436" s="32" t="inlineStr">
        <is>
          <t>00118804</t>
        </is>
      </c>
      <c r="C436" s="32" t="inlineStr">
        <is>
          <t>동진쎄미켐</t>
        </is>
      </c>
      <c r="D436" s="32" t="inlineStr">
        <is>
          <t>dongjin_semichem</t>
        </is>
      </c>
      <c r="E436" s="32" t="inlineStr">
        <is>
          <t>005290</t>
        </is>
      </c>
      <c r="F436" s="32" t="inlineStr">
        <is>
          <t>2022</t>
        </is>
      </c>
      <c r="G436" s="32" t="inlineStr">
        <is>
          <t>CFS</t>
        </is>
      </c>
      <c r="H436" s="32" t="inlineStr">
        <is>
          <t>SCE</t>
        </is>
      </c>
      <c r="I436" s="32" t="inlineStr">
        <is>
          <t>자본변동표</t>
        </is>
      </c>
      <c r="J436" s="32" t="inlineStr">
        <is>
          <t>ifrs-full_Equity</t>
        </is>
      </c>
      <c r="K436" s="32" t="inlineStr">
        <is>
          <t>기말자본</t>
        </is>
      </c>
      <c r="L436" s="32" t="inlineStr">
        <is>
          <t>자본 [member]|지배기업의 소유주에게 귀속되는 자본 [member]|기타자본구성요소 [member]</t>
        </is>
      </c>
      <c r="M436" s="32" t="inlineStr">
        <is>
          <t>제 50 기</t>
        </is>
      </c>
      <c r="N436" s="32" t="inlineStr">
        <is>
          <t>27124759320.0</t>
        </is>
      </c>
      <c r="O436" s="32" t="inlineStr">
        <is>
          <t>36880548974.0</t>
        </is>
      </c>
      <c r="P436" s="32" t="inlineStr">
        <is>
          <t>KRW</t>
        </is>
      </c>
      <c r="Q436" s="32" t="inlineStr">
        <is>
          <t>10</t>
        </is>
      </c>
    </row>
    <row r="437" ht="24" customHeight="1">
      <c r="A437" s="27" t="inlineStr">
        <is>
          <t>OpenDART_fnlttSinglAcntAll</t>
        </is>
      </c>
      <c r="B437" s="27" t="inlineStr">
        <is>
          <t>00118804</t>
        </is>
      </c>
      <c r="C437" s="27" t="inlineStr">
        <is>
          <t>동진쎄미켐</t>
        </is>
      </c>
      <c r="D437" s="27" t="inlineStr">
        <is>
          <t>dongjin_semichem</t>
        </is>
      </c>
      <c r="E437" s="27" t="inlineStr">
        <is>
          <t>005290</t>
        </is>
      </c>
      <c r="F437" s="27" t="inlineStr">
        <is>
          <t>2023</t>
        </is>
      </c>
      <c r="G437" s="27" t="inlineStr">
        <is>
          <t>CFS</t>
        </is>
      </c>
      <c r="H437" s="27" t="inlineStr">
        <is>
          <t>BS</t>
        </is>
      </c>
      <c r="I437" s="27" t="inlineStr">
        <is>
          <t>재무상태표</t>
        </is>
      </c>
      <c r="J437" s="27" t="inlineStr">
        <is>
          <t>ifrs-full_Assets</t>
        </is>
      </c>
      <c r="K437" s="27" t="inlineStr">
        <is>
          <t>자산총계</t>
        </is>
      </c>
      <c r="L437" s="27" t="inlineStr">
        <is>
          <t>-</t>
        </is>
      </c>
      <c r="M437" s="27" t="inlineStr">
        <is>
          <t>제 51 기</t>
        </is>
      </c>
      <c r="N437" s="27" t="inlineStr">
        <is>
          <t>1606588027004.0</t>
        </is>
      </c>
      <c r="O437" s="27" t="inlineStr">
        <is>
          <t>1374303530098.0</t>
        </is>
      </c>
      <c r="P437" s="27" t="inlineStr">
        <is>
          <t>KRW</t>
        </is>
      </c>
      <c r="Q437" s="27" t="inlineStr">
        <is>
          <t>7</t>
        </is>
      </c>
    </row>
    <row r="438" ht="24" customHeight="1">
      <c r="A438" s="32" t="inlineStr">
        <is>
          <t>OpenDART_fnlttSinglAcntAll</t>
        </is>
      </c>
      <c r="B438" s="32" t="inlineStr">
        <is>
          <t>00118804</t>
        </is>
      </c>
      <c r="C438" s="32" t="inlineStr">
        <is>
          <t>동진쎄미켐</t>
        </is>
      </c>
      <c r="D438" s="32" t="inlineStr">
        <is>
          <t>dongjin_semichem</t>
        </is>
      </c>
      <c r="E438" s="32" t="inlineStr">
        <is>
          <t>005290</t>
        </is>
      </c>
      <c r="F438" s="32" t="inlineStr">
        <is>
          <t>2023</t>
        </is>
      </c>
      <c r="G438" s="32" t="inlineStr">
        <is>
          <t>CFS</t>
        </is>
      </c>
      <c r="H438" s="32" t="inlineStr">
        <is>
          <t>BS</t>
        </is>
      </c>
      <c r="I438" s="32" t="inlineStr">
        <is>
          <t>재무상태표</t>
        </is>
      </c>
      <c r="J438" s="32" t="inlineStr">
        <is>
          <t>ifrs-full_CurrentAssets</t>
        </is>
      </c>
      <c r="K438" s="32" t="inlineStr">
        <is>
          <t>유동자산</t>
        </is>
      </c>
      <c r="L438" s="32" t="inlineStr">
        <is>
          <t>-</t>
        </is>
      </c>
      <c r="M438" s="32" t="inlineStr">
        <is>
          <t>제 51 기</t>
        </is>
      </c>
      <c r="N438" s="32" t="inlineStr">
        <is>
          <t>818373234035.0</t>
        </is>
      </c>
      <c r="O438" s="32" t="inlineStr">
        <is>
          <t>826408327642.0</t>
        </is>
      </c>
      <c r="P438" s="32" t="inlineStr">
        <is>
          <t>KRW</t>
        </is>
      </c>
      <c r="Q438" s="32" t="inlineStr">
        <is>
          <t>8</t>
        </is>
      </c>
    </row>
    <row r="439" ht="24" customHeight="1">
      <c r="A439" s="27" t="inlineStr">
        <is>
          <t>OpenDART_fnlttSinglAcntAll</t>
        </is>
      </c>
      <c r="B439" s="27" t="inlineStr">
        <is>
          <t>00118804</t>
        </is>
      </c>
      <c r="C439" s="27" t="inlineStr">
        <is>
          <t>동진쎄미켐</t>
        </is>
      </c>
      <c r="D439" s="27" t="inlineStr">
        <is>
          <t>dongjin_semichem</t>
        </is>
      </c>
      <c r="E439" s="27" t="inlineStr">
        <is>
          <t>005290</t>
        </is>
      </c>
      <c r="F439" s="27" t="inlineStr">
        <is>
          <t>2023</t>
        </is>
      </c>
      <c r="G439" s="27" t="inlineStr">
        <is>
          <t>CFS</t>
        </is>
      </c>
      <c r="H439" s="27" t="inlineStr">
        <is>
          <t>BS</t>
        </is>
      </c>
      <c r="I439" s="27" t="inlineStr">
        <is>
          <t>재무상태표</t>
        </is>
      </c>
      <c r="J439" s="27" t="inlineStr">
        <is>
          <t>ifrs-full_CashAndCashEquivalents</t>
        </is>
      </c>
      <c r="K439" s="27" t="inlineStr">
        <is>
          <t>현금및현금성자산</t>
        </is>
      </c>
      <c r="L439" s="27" t="inlineStr">
        <is>
          <t>-</t>
        </is>
      </c>
      <c r="M439" s="27" t="inlineStr">
        <is>
          <t>제 51 기</t>
        </is>
      </c>
      <c r="N439" s="27" t="inlineStr">
        <is>
          <t>272560514431.0</t>
        </is>
      </c>
      <c r="O439" s="27" t="inlineStr">
        <is>
          <t>280458844748.0</t>
        </is>
      </c>
      <c r="P439" s="27" t="inlineStr">
        <is>
          <t>KRW</t>
        </is>
      </c>
      <c r="Q439" s="27" t="inlineStr">
        <is>
          <t>9</t>
        </is>
      </c>
    </row>
    <row r="440" ht="24" customHeight="1">
      <c r="A440" s="32" t="inlineStr">
        <is>
          <t>OpenDART_fnlttSinglAcntAll</t>
        </is>
      </c>
      <c r="B440" s="32" t="inlineStr">
        <is>
          <t>00118804</t>
        </is>
      </c>
      <c r="C440" s="32" t="inlineStr">
        <is>
          <t>동진쎄미켐</t>
        </is>
      </c>
      <c r="D440" s="32" t="inlineStr">
        <is>
          <t>dongjin_semichem</t>
        </is>
      </c>
      <c r="E440" s="32" t="inlineStr">
        <is>
          <t>005290</t>
        </is>
      </c>
      <c r="F440" s="32" t="inlineStr">
        <is>
          <t>2023</t>
        </is>
      </c>
      <c r="G440" s="32" t="inlineStr">
        <is>
          <t>CFS</t>
        </is>
      </c>
      <c r="H440" s="32" t="inlineStr">
        <is>
          <t>BS</t>
        </is>
      </c>
      <c r="I440" s="32" t="inlineStr">
        <is>
          <t>재무상태표</t>
        </is>
      </c>
      <c r="J440" s="32" t="inlineStr">
        <is>
          <t>ifrs-full_CurrentTaxAssets</t>
        </is>
      </c>
      <c r="K440" s="32" t="inlineStr">
        <is>
          <t>당기법인세자산</t>
        </is>
      </c>
      <c r="L440" s="32" t="inlineStr">
        <is>
          <t>-</t>
        </is>
      </c>
      <c r="M440" s="32" t="inlineStr">
        <is>
          <t>제 51 기</t>
        </is>
      </c>
      <c r="N440" s="32" t="inlineStr">
        <is>
          <t>87234887.0</t>
        </is>
      </c>
      <c r="O440" s="32" t="inlineStr">
        <is>
          <t>110454854.0</t>
        </is>
      </c>
      <c r="P440" s="32" t="inlineStr">
        <is>
          <t>KRW</t>
        </is>
      </c>
      <c r="Q440" s="32" t="inlineStr">
        <is>
          <t>10</t>
        </is>
      </c>
    </row>
    <row r="441" ht="24" customHeight="1">
      <c r="A441" s="27" t="inlineStr">
        <is>
          <t>OpenDART_fnlttSinglAcntAll</t>
        </is>
      </c>
      <c r="B441" s="27" t="inlineStr">
        <is>
          <t>00118804</t>
        </is>
      </c>
      <c r="C441" s="27" t="inlineStr">
        <is>
          <t>동진쎄미켐</t>
        </is>
      </c>
      <c r="D441" s="27" t="inlineStr">
        <is>
          <t>dongjin_semichem</t>
        </is>
      </c>
      <c r="E441" s="27" t="inlineStr">
        <is>
          <t>005290</t>
        </is>
      </c>
      <c r="F441" s="27" t="inlineStr">
        <is>
          <t>2023</t>
        </is>
      </c>
      <c r="G441" s="27" t="inlineStr">
        <is>
          <t>CFS</t>
        </is>
      </c>
      <c r="H441" s="27" t="inlineStr">
        <is>
          <t>BS</t>
        </is>
      </c>
      <c r="I441" s="27" t="inlineStr">
        <is>
          <t>재무상태표</t>
        </is>
      </c>
      <c r="J441" s="27" t="inlineStr">
        <is>
          <t>ifrs-full_Inventories</t>
        </is>
      </c>
      <c r="K441" s="27" t="inlineStr">
        <is>
          <t>재고자산</t>
        </is>
      </c>
      <c r="L441" s="27" t="inlineStr">
        <is>
          <t>-</t>
        </is>
      </c>
      <c r="M441" s="27" t="inlineStr">
        <is>
          <t>제 51 기</t>
        </is>
      </c>
      <c r="N441" s="27" t="inlineStr">
        <is>
          <t>213726792709.0</t>
        </is>
      </c>
      <c r="O441" s="27" t="inlineStr">
        <is>
          <t>205293875457.0</t>
        </is>
      </c>
      <c r="P441" s="27" t="inlineStr">
        <is>
          <t>KRW</t>
        </is>
      </c>
      <c r="Q441" s="27" t="inlineStr">
        <is>
          <t>11</t>
        </is>
      </c>
    </row>
    <row r="442" ht="24" customHeight="1">
      <c r="A442" s="32" t="inlineStr">
        <is>
          <t>OpenDART_fnlttSinglAcntAll</t>
        </is>
      </c>
      <c r="B442" s="32" t="inlineStr">
        <is>
          <t>00118804</t>
        </is>
      </c>
      <c r="C442" s="32" t="inlineStr">
        <is>
          <t>동진쎄미켐</t>
        </is>
      </c>
      <c r="D442" s="32" t="inlineStr">
        <is>
          <t>dongjin_semichem</t>
        </is>
      </c>
      <c r="E442" s="32" t="inlineStr">
        <is>
          <t>005290</t>
        </is>
      </c>
      <c r="F442" s="32" t="inlineStr">
        <is>
          <t>2023</t>
        </is>
      </c>
      <c r="G442" s="32" t="inlineStr">
        <is>
          <t>CFS</t>
        </is>
      </c>
      <c r="H442" s="32" t="inlineStr">
        <is>
          <t>BS</t>
        </is>
      </c>
      <c r="I442" s="32" t="inlineStr">
        <is>
          <t>재무상태표</t>
        </is>
      </c>
      <c r="J442" s="32" t="inlineStr">
        <is>
          <t>ifrs-full_OtherCurrentAssets</t>
        </is>
      </c>
      <c r="K442" s="32" t="inlineStr">
        <is>
          <t>기타유동자산</t>
        </is>
      </c>
      <c r="L442" s="32" t="inlineStr">
        <is>
          <t>-</t>
        </is>
      </c>
      <c r="M442" s="32" t="inlineStr">
        <is>
          <t>제 51 기</t>
        </is>
      </c>
      <c r="N442" s="32" t="inlineStr">
        <is>
          <t>25238785419.0</t>
        </is>
      </c>
      <c r="O442" s="32" t="inlineStr">
        <is>
          <t>18833777092.0</t>
        </is>
      </c>
      <c r="P442" s="32" t="inlineStr">
        <is>
          <t>KRW</t>
        </is>
      </c>
      <c r="Q442" s="32" t="inlineStr">
        <is>
          <t>12</t>
        </is>
      </c>
    </row>
    <row r="443" ht="24" customHeight="1">
      <c r="A443" s="27" t="inlineStr">
        <is>
          <t>OpenDART_fnlttSinglAcntAll</t>
        </is>
      </c>
      <c r="B443" s="27" t="inlineStr">
        <is>
          <t>00118804</t>
        </is>
      </c>
      <c r="C443" s="27" t="inlineStr">
        <is>
          <t>동진쎄미켐</t>
        </is>
      </c>
      <c r="D443" s="27" t="inlineStr">
        <is>
          <t>dongjin_semichem</t>
        </is>
      </c>
      <c r="E443" s="27" t="inlineStr">
        <is>
          <t>005290</t>
        </is>
      </c>
      <c r="F443" s="27" t="inlineStr">
        <is>
          <t>2023</t>
        </is>
      </c>
      <c r="G443" s="27" t="inlineStr">
        <is>
          <t>CFS</t>
        </is>
      </c>
      <c r="H443" s="27" t="inlineStr">
        <is>
          <t>BS</t>
        </is>
      </c>
      <c r="I443" s="27" t="inlineStr">
        <is>
          <t>재무상태표</t>
        </is>
      </c>
      <c r="J443" s="27" t="inlineStr">
        <is>
          <t>ifrs-full_ShorttermDepositsNotClassifiedAsCashEquivalents</t>
        </is>
      </c>
      <c r="K443" s="27" t="inlineStr">
        <is>
          <t>단기금융자산</t>
        </is>
      </c>
      <c r="L443" s="27" t="inlineStr">
        <is>
          <t>-</t>
        </is>
      </c>
      <c r="M443" s="27" t="inlineStr">
        <is>
          <t>제 51 기</t>
        </is>
      </c>
      <c r="N443" s="27" t="inlineStr">
        <is>
          <t>89813810936.0</t>
        </is>
      </c>
      <c r="O443" s="27" t="inlineStr">
        <is>
          <t>109388390000.0</t>
        </is>
      </c>
      <c r="P443" s="27" t="inlineStr">
        <is>
          <t>KRW</t>
        </is>
      </c>
      <c r="Q443" s="27" t="inlineStr">
        <is>
          <t>13</t>
        </is>
      </c>
    </row>
    <row r="444" ht="24" customHeight="1">
      <c r="A444" s="32" t="inlineStr">
        <is>
          <t>OpenDART_fnlttSinglAcntAll</t>
        </is>
      </c>
      <c r="B444" s="32" t="inlineStr">
        <is>
          <t>00118804</t>
        </is>
      </c>
      <c r="C444" s="32" t="inlineStr">
        <is>
          <t>동진쎄미켐</t>
        </is>
      </c>
      <c r="D444" s="32" t="inlineStr">
        <is>
          <t>dongjin_semichem</t>
        </is>
      </c>
      <c r="E444" s="32" t="inlineStr">
        <is>
          <t>005290</t>
        </is>
      </c>
      <c r="F444" s="32" t="inlineStr">
        <is>
          <t>2023</t>
        </is>
      </c>
      <c r="G444" s="32" t="inlineStr">
        <is>
          <t>CFS</t>
        </is>
      </c>
      <c r="H444" s="32" t="inlineStr">
        <is>
          <t>BS</t>
        </is>
      </c>
      <c r="I444" s="32" t="inlineStr">
        <is>
          <t>재무상태표</t>
        </is>
      </c>
      <c r="J444" s="32" t="inlineStr">
        <is>
          <t>ifrs-full_TradeAndOtherCurrentReceivables</t>
        </is>
      </c>
      <c r="K444" s="32" t="inlineStr">
        <is>
          <t>매출채권 및 기타채권</t>
        </is>
      </c>
      <c r="L444" s="32" t="inlineStr">
        <is>
          <t>-</t>
        </is>
      </c>
      <c r="M444" s="32" t="inlineStr">
        <is>
          <t>제 51 기</t>
        </is>
      </c>
      <c r="N444" s="32" t="inlineStr">
        <is>
          <t>216946095653.0</t>
        </is>
      </c>
      <c r="O444" s="32" t="inlineStr">
        <is>
          <t>212322985491.0</t>
        </is>
      </c>
      <c r="P444" s="32" t="inlineStr">
        <is>
          <t>KRW</t>
        </is>
      </c>
      <c r="Q444" s="32" t="inlineStr">
        <is>
          <t>14</t>
        </is>
      </c>
    </row>
    <row r="445" ht="24" customHeight="1">
      <c r="A445" s="27" t="inlineStr">
        <is>
          <t>OpenDART_fnlttSinglAcntAll</t>
        </is>
      </c>
      <c r="B445" s="27" t="inlineStr">
        <is>
          <t>00118804</t>
        </is>
      </c>
      <c r="C445" s="27" t="inlineStr">
        <is>
          <t>동진쎄미켐</t>
        </is>
      </c>
      <c r="D445" s="27" t="inlineStr">
        <is>
          <t>dongjin_semichem</t>
        </is>
      </c>
      <c r="E445" s="27" t="inlineStr">
        <is>
          <t>005290</t>
        </is>
      </c>
      <c r="F445" s="27" t="inlineStr">
        <is>
          <t>2023</t>
        </is>
      </c>
      <c r="G445" s="27" t="inlineStr">
        <is>
          <t>CFS</t>
        </is>
      </c>
      <c r="H445" s="27" t="inlineStr">
        <is>
          <t>BS</t>
        </is>
      </c>
      <c r="I445" s="27" t="inlineStr">
        <is>
          <t>재무상태표</t>
        </is>
      </c>
      <c r="J445" s="27" t="inlineStr">
        <is>
          <t>ifrs-full_NoncurrentAssets</t>
        </is>
      </c>
      <c r="K445" s="27" t="inlineStr">
        <is>
          <t>비유동자산</t>
        </is>
      </c>
      <c r="L445" s="27" t="inlineStr">
        <is>
          <t>-</t>
        </is>
      </c>
      <c r="M445" s="27" t="inlineStr">
        <is>
          <t>제 51 기</t>
        </is>
      </c>
      <c r="N445" s="27" t="inlineStr">
        <is>
          <t>788214792969.0</t>
        </is>
      </c>
      <c r="O445" s="27" t="inlineStr">
        <is>
          <t>547895202456.0</t>
        </is>
      </c>
      <c r="P445" s="27" t="inlineStr">
        <is>
          <t>KRW</t>
        </is>
      </c>
      <c r="Q445" s="27" t="inlineStr">
        <is>
          <t>15</t>
        </is>
      </c>
    </row>
    <row r="446" ht="24" customHeight="1">
      <c r="A446" s="32" t="inlineStr">
        <is>
          <t>OpenDART_fnlttSinglAcntAll</t>
        </is>
      </c>
      <c r="B446" s="32" t="inlineStr">
        <is>
          <t>00118804</t>
        </is>
      </c>
      <c r="C446" s="32" t="inlineStr">
        <is>
          <t>동진쎄미켐</t>
        </is>
      </c>
      <c r="D446" s="32" t="inlineStr">
        <is>
          <t>dongjin_semichem</t>
        </is>
      </c>
      <c r="E446" s="32" t="inlineStr">
        <is>
          <t>005290</t>
        </is>
      </c>
      <c r="F446" s="32" t="inlineStr">
        <is>
          <t>2023</t>
        </is>
      </c>
      <c r="G446" s="32" t="inlineStr">
        <is>
          <t>CFS</t>
        </is>
      </c>
      <c r="H446" s="32" t="inlineStr">
        <is>
          <t>BS</t>
        </is>
      </c>
      <c r="I446" s="32" t="inlineStr">
        <is>
          <t>재무상태표</t>
        </is>
      </c>
      <c r="J446" s="32" t="inlineStr">
        <is>
          <t>dart_LongTermDepositsNotClassifiedAsCashEquivalents</t>
        </is>
      </c>
      <c r="K446" s="32" t="inlineStr">
        <is>
          <t>장기금융자산</t>
        </is>
      </c>
      <c r="L446" s="32" t="inlineStr">
        <is>
          <t>-</t>
        </is>
      </c>
      <c r="M446" s="32" t="inlineStr">
        <is>
          <t>제 51 기</t>
        </is>
      </c>
      <c r="N446" s="32" t="inlineStr">
        <is>
          <t>528000000.0</t>
        </is>
      </c>
      <c r="O446" s="32" t="inlineStr">
        <is>
          <t>528000000.0</t>
        </is>
      </c>
      <c r="P446" s="32" t="inlineStr">
        <is>
          <t>KRW</t>
        </is>
      </c>
      <c r="Q446" s="32" t="inlineStr">
        <is>
          <t>16</t>
        </is>
      </c>
    </row>
    <row r="447" ht="24" customHeight="1">
      <c r="A447" s="27" t="inlineStr">
        <is>
          <t>OpenDART_fnlttSinglAcntAll</t>
        </is>
      </c>
      <c r="B447" s="27" t="inlineStr">
        <is>
          <t>00118804</t>
        </is>
      </c>
      <c r="C447" s="27" t="inlineStr">
        <is>
          <t>동진쎄미켐</t>
        </is>
      </c>
      <c r="D447" s="27" t="inlineStr">
        <is>
          <t>dongjin_semichem</t>
        </is>
      </c>
      <c r="E447" s="27" t="inlineStr">
        <is>
          <t>005290</t>
        </is>
      </c>
      <c r="F447" s="27" t="inlineStr">
        <is>
          <t>2023</t>
        </is>
      </c>
      <c r="G447" s="27" t="inlineStr">
        <is>
          <t>CFS</t>
        </is>
      </c>
      <c r="H447" s="27" t="inlineStr">
        <is>
          <t>BS</t>
        </is>
      </c>
      <c r="I447" s="27" t="inlineStr">
        <is>
          <t>재무상태표</t>
        </is>
      </c>
      <c r="J447" s="27" t="inlineStr">
        <is>
          <t>dart_LongTermTradeAndOtherNonCurrentReceivablesGross</t>
        </is>
      </c>
      <c r="K447" s="27" t="inlineStr">
        <is>
          <t>장기매출채권 및 기타채권</t>
        </is>
      </c>
      <c r="L447" s="27" t="inlineStr">
        <is>
          <t>-</t>
        </is>
      </c>
      <c r="M447" s="27" t="inlineStr">
        <is>
          <t>제 51 기</t>
        </is>
      </c>
      <c r="N447" s="27" t="inlineStr">
        <is>
          <t>5375826197.0</t>
        </is>
      </c>
      <c r="O447" s="27" t="inlineStr">
        <is>
          <t>4203281161.0</t>
        </is>
      </c>
      <c r="P447" s="27" t="inlineStr">
        <is>
          <t>KRW</t>
        </is>
      </c>
      <c r="Q447" s="27" t="inlineStr">
        <is>
          <t>17</t>
        </is>
      </c>
    </row>
    <row r="448" ht="24" customHeight="1">
      <c r="A448" s="32" t="inlineStr">
        <is>
          <t>OpenDART_fnlttSinglAcntAll</t>
        </is>
      </c>
      <c r="B448" s="32" t="inlineStr">
        <is>
          <t>00118804</t>
        </is>
      </c>
      <c r="C448" s="32" t="inlineStr">
        <is>
          <t>동진쎄미켐</t>
        </is>
      </c>
      <c r="D448" s="32" t="inlineStr">
        <is>
          <t>dongjin_semichem</t>
        </is>
      </c>
      <c r="E448" s="32" t="inlineStr">
        <is>
          <t>005290</t>
        </is>
      </c>
      <c r="F448" s="32" t="inlineStr">
        <is>
          <t>2023</t>
        </is>
      </c>
      <c r="G448" s="32" t="inlineStr">
        <is>
          <t>CFS</t>
        </is>
      </c>
      <c r="H448" s="32" t="inlineStr">
        <is>
          <t>BS</t>
        </is>
      </c>
      <c r="I448" s="32" t="inlineStr">
        <is>
          <t>재무상태표</t>
        </is>
      </c>
      <c r="J448" s="32" t="inlineStr">
        <is>
          <t>-표준계정코드 미사용-</t>
        </is>
      </c>
      <c r="K448" s="32" t="inlineStr">
        <is>
          <t>장기파생금융자산</t>
        </is>
      </c>
      <c r="L448" s="32" t="inlineStr">
        <is>
          <t>-</t>
        </is>
      </c>
      <c r="M448" s="32" t="inlineStr">
        <is>
          <t>제 51 기</t>
        </is>
      </c>
      <c r="N448" s="32" t="inlineStr">
        <is>
          <t>0.0</t>
        </is>
      </c>
      <c r="O448" s="32" t="inlineStr">
        <is>
          <t>0.0</t>
        </is>
      </c>
      <c r="P448" s="32" t="inlineStr">
        <is>
          <t>KRW</t>
        </is>
      </c>
      <c r="Q448" s="32" t="inlineStr">
        <is>
          <t>18</t>
        </is>
      </c>
    </row>
    <row r="449" ht="24" customHeight="1">
      <c r="A449" s="27" t="inlineStr">
        <is>
          <t>OpenDART_fnlttSinglAcntAll</t>
        </is>
      </c>
      <c r="B449" s="27" t="inlineStr">
        <is>
          <t>00118804</t>
        </is>
      </c>
      <c r="C449" s="27" t="inlineStr">
        <is>
          <t>동진쎄미켐</t>
        </is>
      </c>
      <c r="D449" s="27" t="inlineStr">
        <is>
          <t>dongjin_semichem</t>
        </is>
      </c>
      <c r="E449" s="27" t="inlineStr">
        <is>
          <t>005290</t>
        </is>
      </c>
      <c r="F449" s="27" t="inlineStr">
        <is>
          <t>2023</t>
        </is>
      </c>
      <c r="G449" s="27" t="inlineStr">
        <is>
          <t>CFS</t>
        </is>
      </c>
      <c r="H449" s="27" t="inlineStr">
        <is>
          <t>BS</t>
        </is>
      </c>
      <c r="I449" s="27" t="inlineStr">
        <is>
          <t>재무상태표</t>
        </is>
      </c>
      <c r="J449" s="27" t="inlineStr">
        <is>
          <t>ifrs-full_DeferredTaxAssets</t>
        </is>
      </c>
      <c r="K449" s="27" t="inlineStr">
        <is>
          <t>이연법인세자산</t>
        </is>
      </c>
      <c r="L449" s="27" t="inlineStr">
        <is>
          <t>-</t>
        </is>
      </c>
      <c r="M449" s="27" t="inlineStr">
        <is>
          <t>제 51 기</t>
        </is>
      </c>
      <c r="N449" s="27" t="inlineStr">
        <is>
          <t>12713787793.0</t>
        </is>
      </c>
      <c r="O449" s="27" t="inlineStr">
        <is>
          <t>17723678017.0</t>
        </is>
      </c>
      <c r="P449" s="27" t="inlineStr">
        <is>
          <t>KRW</t>
        </is>
      </c>
      <c r="Q449" s="27" t="inlineStr">
        <is>
          <t>19</t>
        </is>
      </c>
    </row>
    <row r="450" ht="24" customHeight="1">
      <c r="A450" s="32" t="inlineStr">
        <is>
          <t>OpenDART_fnlttSinglAcntAll</t>
        </is>
      </c>
      <c r="B450" s="32" t="inlineStr">
        <is>
          <t>00118804</t>
        </is>
      </c>
      <c r="C450" s="32" t="inlineStr">
        <is>
          <t>동진쎄미켐</t>
        </is>
      </c>
      <c r="D450" s="32" t="inlineStr">
        <is>
          <t>dongjin_semichem</t>
        </is>
      </c>
      <c r="E450" s="32" t="inlineStr">
        <is>
          <t>005290</t>
        </is>
      </c>
      <c r="F450" s="32" t="inlineStr">
        <is>
          <t>2023</t>
        </is>
      </c>
      <c r="G450" s="32" t="inlineStr">
        <is>
          <t>CFS</t>
        </is>
      </c>
      <c r="H450" s="32" t="inlineStr">
        <is>
          <t>BS</t>
        </is>
      </c>
      <c r="I450" s="32" t="inlineStr">
        <is>
          <t>재무상태표</t>
        </is>
      </c>
      <c r="J450" s="32" t="inlineStr">
        <is>
          <t>ifrs-full_IntangibleAssetsOtherThanGoodwill</t>
        </is>
      </c>
      <c r="K450" s="32" t="inlineStr">
        <is>
          <t>무형자산</t>
        </is>
      </c>
      <c r="L450" s="32" t="inlineStr">
        <is>
          <t>-</t>
        </is>
      </c>
      <c r="M450" s="32" t="inlineStr">
        <is>
          <t>제 51 기</t>
        </is>
      </c>
      <c r="N450" s="32" t="inlineStr">
        <is>
          <t>7752283704.0</t>
        </is>
      </c>
      <c r="O450" s="32" t="inlineStr">
        <is>
          <t>8420168558.0</t>
        </is>
      </c>
      <c r="P450" s="32" t="inlineStr">
        <is>
          <t>KRW</t>
        </is>
      </c>
      <c r="Q450" s="32" t="inlineStr">
        <is>
          <t>20</t>
        </is>
      </c>
    </row>
    <row r="451" ht="24" customHeight="1">
      <c r="A451" s="27" t="inlineStr">
        <is>
          <t>OpenDART_fnlttSinglAcntAll</t>
        </is>
      </c>
      <c r="B451" s="27" t="inlineStr">
        <is>
          <t>00118804</t>
        </is>
      </c>
      <c r="C451" s="27" t="inlineStr">
        <is>
          <t>동진쎄미켐</t>
        </is>
      </c>
      <c r="D451" s="27" t="inlineStr">
        <is>
          <t>dongjin_semichem</t>
        </is>
      </c>
      <c r="E451" s="27" t="inlineStr">
        <is>
          <t>005290</t>
        </is>
      </c>
      <c r="F451" s="27" t="inlineStr">
        <is>
          <t>2023</t>
        </is>
      </c>
      <c r="G451" s="27" t="inlineStr">
        <is>
          <t>CFS</t>
        </is>
      </c>
      <c r="H451" s="27" t="inlineStr">
        <is>
          <t>BS</t>
        </is>
      </c>
      <c r="I451" s="27" t="inlineStr">
        <is>
          <t>재무상태표</t>
        </is>
      </c>
      <c r="J451" s="27" t="inlineStr">
        <is>
          <t>ifrs-full_InvestmentProperty</t>
        </is>
      </c>
      <c r="K451" s="27" t="inlineStr">
        <is>
          <t>투자부동산</t>
        </is>
      </c>
      <c r="L451" s="27" t="inlineStr">
        <is>
          <t>-</t>
        </is>
      </c>
      <c r="M451" s="27" t="inlineStr">
        <is>
          <t>제 51 기</t>
        </is>
      </c>
      <c r="N451" s="27" t="inlineStr">
        <is>
          <t>11377721099.0</t>
        </is>
      </c>
      <c r="O451" s="27" t="inlineStr">
        <is>
          <t>11554528804.0</t>
        </is>
      </c>
      <c r="P451" s="27" t="inlineStr">
        <is>
          <t>KRW</t>
        </is>
      </c>
      <c r="Q451" s="27" t="inlineStr">
        <is>
          <t>21</t>
        </is>
      </c>
    </row>
    <row r="452" ht="24" customHeight="1">
      <c r="A452" s="32" t="inlineStr">
        <is>
          <t>OpenDART_fnlttSinglAcntAll</t>
        </is>
      </c>
      <c r="B452" s="32" t="inlineStr">
        <is>
          <t>00118804</t>
        </is>
      </c>
      <c r="C452" s="32" t="inlineStr">
        <is>
          <t>동진쎄미켐</t>
        </is>
      </c>
      <c r="D452" s="32" t="inlineStr">
        <is>
          <t>dongjin_semichem</t>
        </is>
      </c>
      <c r="E452" s="32" t="inlineStr">
        <is>
          <t>005290</t>
        </is>
      </c>
      <c r="F452" s="32" t="inlineStr">
        <is>
          <t>2023</t>
        </is>
      </c>
      <c r="G452" s="32" t="inlineStr">
        <is>
          <t>CFS</t>
        </is>
      </c>
      <c r="H452" s="32" t="inlineStr">
        <is>
          <t>BS</t>
        </is>
      </c>
      <c r="I452" s="32" t="inlineStr">
        <is>
          <t>재무상태표</t>
        </is>
      </c>
      <c r="J452" s="32" t="inlineStr">
        <is>
          <t>ifrs-full_InvestmentsInSubsidiariesJointVenturesAndAssociates</t>
        </is>
      </c>
      <c r="K452" s="32" t="inlineStr">
        <is>
          <t>관계기업투자</t>
        </is>
      </c>
      <c r="L452" s="32" t="inlineStr">
        <is>
          <t>-</t>
        </is>
      </c>
      <c r="M452" s="32" t="inlineStr">
        <is>
          <t>제 51 기</t>
        </is>
      </c>
      <c r="N452" s="32" t="inlineStr">
        <is>
          <t>7495973562.0</t>
        </is>
      </c>
      <c r="O452" s="32" t="inlineStr">
        <is>
          <t>8207721402.0</t>
        </is>
      </c>
      <c r="P452" s="32" t="inlineStr">
        <is>
          <t>KRW</t>
        </is>
      </c>
      <c r="Q452" s="32" t="inlineStr">
        <is>
          <t>22</t>
        </is>
      </c>
    </row>
    <row r="453" ht="24" customHeight="1">
      <c r="A453" s="27" t="inlineStr">
        <is>
          <t>OpenDART_fnlttSinglAcntAll</t>
        </is>
      </c>
      <c r="B453" s="27" t="inlineStr">
        <is>
          <t>00118804</t>
        </is>
      </c>
      <c r="C453" s="27" t="inlineStr">
        <is>
          <t>동진쎄미켐</t>
        </is>
      </c>
      <c r="D453" s="27" t="inlineStr">
        <is>
          <t>dongjin_semichem</t>
        </is>
      </c>
      <c r="E453" s="27" t="inlineStr">
        <is>
          <t>005290</t>
        </is>
      </c>
      <c r="F453" s="27" t="inlineStr">
        <is>
          <t>2023</t>
        </is>
      </c>
      <c r="G453" s="27" t="inlineStr">
        <is>
          <t>CFS</t>
        </is>
      </c>
      <c r="H453" s="27" t="inlineStr">
        <is>
          <t>BS</t>
        </is>
      </c>
      <c r="I453" s="27" t="inlineStr">
        <is>
          <t>재무상태표</t>
        </is>
      </c>
      <c r="J453" s="27" t="inlineStr">
        <is>
          <t>ifrs-full_OtherNoncurrentAssets</t>
        </is>
      </c>
      <c r="K453" s="27" t="inlineStr">
        <is>
          <t>기타비유동자산</t>
        </is>
      </c>
      <c r="L453" s="27" t="inlineStr">
        <is>
          <t>-</t>
        </is>
      </c>
      <c r="M453" s="27" t="inlineStr">
        <is>
          <t>제 51 기</t>
        </is>
      </c>
      <c r="N453" s="27" t="inlineStr">
        <is>
          <t>628438973.0</t>
        </is>
      </c>
      <c r="O453" s="27" t="inlineStr">
        <is>
          <t>88594860.0</t>
        </is>
      </c>
      <c r="P453" s="27" t="inlineStr">
        <is>
          <t>KRW</t>
        </is>
      </c>
      <c r="Q453" s="27" t="inlineStr">
        <is>
          <t>23</t>
        </is>
      </c>
    </row>
    <row r="454" ht="24" customHeight="1">
      <c r="A454" s="32" t="inlineStr">
        <is>
          <t>OpenDART_fnlttSinglAcntAll</t>
        </is>
      </c>
      <c r="B454" s="32" t="inlineStr">
        <is>
          <t>00118804</t>
        </is>
      </c>
      <c r="C454" s="32" t="inlineStr">
        <is>
          <t>동진쎄미켐</t>
        </is>
      </c>
      <c r="D454" s="32" t="inlineStr">
        <is>
          <t>dongjin_semichem</t>
        </is>
      </c>
      <c r="E454" s="32" t="inlineStr">
        <is>
          <t>005290</t>
        </is>
      </c>
      <c r="F454" s="32" t="inlineStr">
        <is>
          <t>2023</t>
        </is>
      </c>
      <c r="G454" s="32" t="inlineStr">
        <is>
          <t>CFS</t>
        </is>
      </c>
      <c r="H454" s="32" t="inlineStr">
        <is>
          <t>BS</t>
        </is>
      </c>
      <c r="I454" s="32" t="inlineStr">
        <is>
          <t>재무상태표</t>
        </is>
      </c>
      <c r="J454" s="32" t="inlineStr">
        <is>
          <t>ifrs-full_OtherNoncurrentFinancialAssets</t>
        </is>
      </c>
      <c r="K454" s="32" t="inlineStr">
        <is>
          <t>장기투자금융자산</t>
        </is>
      </c>
      <c r="L454" s="32" t="inlineStr">
        <is>
          <t>-</t>
        </is>
      </c>
      <c r="M454" s="32" t="inlineStr">
        <is>
          <t>제 51 기</t>
        </is>
      </c>
      <c r="N454" s="32" t="inlineStr">
        <is>
          <t>715032437.0</t>
        </is>
      </c>
      <c r="O454" s="32" t="inlineStr">
        <is>
          <t>854890933.0</t>
        </is>
      </c>
      <c r="P454" s="32" t="inlineStr">
        <is>
          <t>KRW</t>
        </is>
      </c>
      <c r="Q454" s="32" t="inlineStr">
        <is>
          <t>24</t>
        </is>
      </c>
    </row>
    <row r="455" ht="24" customHeight="1">
      <c r="A455" s="27" t="inlineStr">
        <is>
          <t>OpenDART_fnlttSinglAcntAll</t>
        </is>
      </c>
      <c r="B455" s="27" t="inlineStr">
        <is>
          <t>00118804</t>
        </is>
      </c>
      <c r="C455" s="27" t="inlineStr">
        <is>
          <t>동진쎄미켐</t>
        </is>
      </c>
      <c r="D455" s="27" t="inlineStr">
        <is>
          <t>dongjin_semichem</t>
        </is>
      </c>
      <c r="E455" s="27" t="inlineStr">
        <is>
          <t>005290</t>
        </is>
      </c>
      <c r="F455" s="27" t="inlineStr">
        <is>
          <t>2023</t>
        </is>
      </c>
      <c r="G455" s="27" t="inlineStr">
        <is>
          <t>CFS</t>
        </is>
      </c>
      <c r="H455" s="27" t="inlineStr">
        <is>
          <t>BS</t>
        </is>
      </c>
      <c r="I455" s="27" t="inlineStr">
        <is>
          <t>재무상태표</t>
        </is>
      </c>
      <c r="J455" s="27" t="inlineStr">
        <is>
          <t>ifrs-full_PropertyPlantAndEquipment</t>
        </is>
      </c>
      <c r="K455" s="27" t="inlineStr">
        <is>
          <t>유형자산</t>
        </is>
      </c>
      <c r="L455" s="27" t="inlineStr">
        <is>
          <t>-</t>
        </is>
      </c>
      <c r="M455" s="27" t="inlineStr">
        <is>
          <t>제 51 기</t>
        </is>
      </c>
      <c r="N455" s="27" t="inlineStr">
        <is>
          <t>741627729204.0</t>
        </is>
      </c>
      <c r="O455" s="27" t="inlineStr">
        <is>
          <t>496314338721.0</t>
        </is>
      </c>
      <c r="P455" s="27" t="inlineStr">
        <is>
          <t>KRW</t>
        </is>
      </c>
      <c r="Q455" s="27" t="inlineStr">
        <is>
          <t>25</t>
        </is>
      </c>
    </row>
    <row r="456" ht="24" customHeight="1">
      <c r="A456" s="32" t="inlineStr">
        <is>
          <t>OpenDART_fnlttSinglAcntAll</t>
        </is>
      </c>
      <c r="B456" s="32" t="inlineStr">
        <is>
          <t>00118804</t>
        </is>
      </c>
      <c r="C456" s="32" t="inlineStr">
        <is>
          <t>동진쎄미켐</t>
        </is>
      </c>
      <c r="D456" s="32" t="inlineStr">
        <is>
          <t>dongjin_semichem</t>
        </is>
      </c>
      <c r="E456" s="32" t="inlineStr">
        <is>
          <t>005290</t>
        </is>
      </c>
      <c r="F456" s="32" t="inlineStr">
        <is>
          <t>2023</t>
        </is>
      </c>
      <c r="G456" s="32" t="inlineStr">
        <is>
          <t>CFS</t>
        </is>
      </c>
      <c r="H456" s="32" t="inlineStr">
        <is>
          <t>BS</t>
        </is>
      </c>
      <c r="I456" s="32" t="inlineStr">
        <is>
          <t>재무상태표</t>
        </is>
      </c>
      <c r="J456" s="32" t="inlineStr">
        <is>
          <t>ifrs-full_Equity</t>
        </is>
      </c>
      <c r="K456" s="32" t="inlineStr">
        <is>
          <t>자본총계</t>
        </is>
      </c>
      <c r="L456" s="32" t="inlineStr">
        <is>
          <t>-</t>
        </is>
      </c>
      <c r="M456" s="32" t="inlineStr">
        <is>
          <t>제 51 기</t>
        </is>
      </c>
      <c r="N456" s="32" t="inlineStr">
        <is>
          <t>835481646771.0</t>
        </is>
      </c>
      <c r="O456" s="32" t="inlineStr">
        <is>
          <t>700787363830.0</t>
        </is>
      </c>
      <c r="P456" s="32" t="inlineStr">
        <is>
          <t>KRW</t>
        </is>
      </c>
      <c r="Q456" s="32" t="inlineStr">
        <is>
          <t>27</t>
        </is>
      </c>
    </row>
    <row r="457" ht="24" customHeight="1">
      <c r="A457" s="27" t="inlineStr">
        <is>
          <t>OpenDART_fnlttSinglAcntAll</t>
        </is>
      </c>
      <c r="B457" s="27" t="inlineStr">
        <is>
          <t>00118804</t>
        </is>
      </c>
      <c r="C457" s="27" t="inlineStr">
        <is>
          <t>동진쎄미켐</t>
        </is>
      </c>
      <c r="D457" s="27" t="inlineStr">
        <is>
          <t>dongjin_semichem</t>
        </is>
      </c>
      <c r="E457" s="27" t="inlineStr">
        <is>
          <t>005290</t>
        </is>
      </c>
      <c r="F457" s="27" t="inlineStr">
        <is>
          <t>2023</t>
        </is>
      </c>
      <c r="G457" s="27" t="inlineStr">
        <is>
          <t>CFS</t>
        </is>
      </c>
      <c r="H457" s="27" t="inlineStr">
        <is>
          <t>BS</t>
        </is>
      </c>
      <c r="I457" s="27" t="inlineStr">
        <is>
          <t>재무상태표</t>
        </is>
      </c>
      <c r="J457" s="27" t="inlineStr">
        <is>
          <t>ifrs-full_EquityAttributableToOwnersOfParent</t>
        </is>
      </c>
      <c r="K457" s="27" t="inlineStr">
        <is>
          <t>지배기업의 소유주에게 귀속되는 자본</t>
        </is>
      </c>
      <c r="L457" s="27" t="inlineStr">
        <is>
          <t>-</t>
        </is>
      </c>
      <c r="M457" s="27" t="inlineStr">
        <is>
          <t>제 51 기</t>
        </is>
      </c>
      <c r="N457" s="27" t="inlineStr">
        <is>
          <t>805052351215.0</t>
        </is>
      </c>
      <c r="O457" s="27" t="inlineStr">
        <is>
          <t>696844920590.0</t>
        </is>
      </c>
      <c r="P457" s="27" t="inlineStr">
        <is>
          <t>KRW</t>
        </is>
      </c>
      <c r="Q457" s="27" t="inlineStr">
        <is>
          <t>28</t>
        </is>
      </c>
    </row>
    <row r="458" ht="24" customHeight="1">
      <c r="A458" s="32" t="inlineStr">
        <is>
          <t>OpenDART_fnlttSinglAcntAll</t>
        </is>
      </c>
      <c r="B458" s="32" t="inlineStr">
        <is>
          <t>00118804</t>
        </is>
      </c>
      <c r="C458" s="32" t="inlineStr">
        <is>
          <t>동진쎄미켐</t>
        </is>
      </c>
      <c r="D458" s="32" t="inlineStr">
        <is>
          <t>dongjin_semichem</t>
        </is>
      </c>
      <c r="E458" s="32" t="inlineStr">
        <is>
          <t>005290</t>
        </is>
      </c>
      <c r="F458" s="32" t="inlineStr">
        <is>
          <t>2023</t>
        </is>
      </c>
      <c r="G458" s="32" t="inlineStr">
        <is>
          <t>CFS</t>
        </is>
      </c>
      <c r="H458" s="32" t="inlineStr">
        <is>
          <t>BS</t>
        </is>
      </c>
      <c r="I458" s="32" t="inlineStr">
        <is>
          <t>재무상태표</t>
        </is>
      </c>
      <c r="J458" s="32" t="inlineStr">
        <is>
          <t>dart_ElementsOfOtherStockholdersEquity</t>
        </is>
      </c>
      <c r="K458" s="32" t="inlineStr">
        <is>
          <t>기타자본구성요소</t>
        </is>
      </c>
      <c r="L458" s="32" t="inlineStr">
        <is>
          <t>-</t>
        </is>
      </c>
      <c r="M458" s="32" t="inlineStr">
        <is>
          <t>제 51 기</t>
        </is>
      </c>
      <c r="N458" s="32" t="inlineStr">
        <is>
          <t>28552227339.0</t>
        </is>
      </c>
      <c r="O458" s="32" t="inlineStr">
        <is>
          <t>27124759320.0</t>
        </is>
      </c>
      <c r="P458" s="32" t="inlineStr">
        <is>
          <t>KRW</t>
        </is>
      </c>
      <c r="Q458" s="32" t="inlineStr">
        <is>
          <t>29</t>
        </is>
      </c>
    </row>
    <row r="459" ht="24" customHeight="1">
      <c r="A459" s="27" t="inlineStr">
        <is>
          <t>OpenDART_fnlttSinglAcntAll</t>
        </is>
      </c>
      <c r="B459" s="27" t="inlineStr">
        <is>
          <t>00118804</t>
        </is>
      </c>
      <c r="C459" s="27" t="inlineStr">
        <is>
          <t>동진쎄미켐</t>
        </is>
      </c>
      <c r="D459" s="27" t="inlineStr">
        <is>
          <t>dongjin_semichem</t>
        </is>
      </c>
      <c r="E459" s="27" t="inlineStr">
        <is>
          <t>005290</t>
        </is>
      </c>
      <c r="F459" s="27" t="inlineStr">
        <is>
          <t>2023</t>
        </is>
      </c>
      <c r="G459" s="27" t="inlineStr">
        <is>
          <t>CFS</t>
        </is>
      </c>
      <c r="H459" s="27" t="inlineStr">
        <is>
          <t>BS</t>
        </is>
      </c>
      <c r="I459" s="27" t="inlineStr">
        <is>
          <t>재무상태표</t>
        </is>
      </c>
      <c r="J459" s="27" t="inlineStr">
        <is>
          <t>-표준계정코드 미사용-</t>
        </is>
      </c>
      <c r="K459" s="27" t="inlineStr">
        <is>
          <t>기타불입자본</t>
        </is>
      </c>
      <c r="L459" s="27" t="inlineStr">
        <is>
          <t>-</t>
        </is>
      </c>
      <c r="M459" s="27" t="inlineStr">
        <is>
          <t>제 51 기</t>
        </is>
      </c>
      <c r="N459" s="27" t="inlineStr">
        <is>
          <t>121800415653.0</t>
        </is>
      </c>
      <c r="O459" s="27" t="inlineStr">
        <is>
          <t>122997090161.0</t>
        </is>
      </c>
      <c r="P459" s="27" t="inlineStr">
        <is>
          <t>KRW</t>
        </is>
      </c>
      <c r="Q459" s="27" t="inlineStr">
        <is>
          <t>30</t>
        </is>
      </c>
    </row>
    <row r="460" ht="24" customHeight="1">
      <c r="A460" s="32" t="inlineStr">
        <is>
          <t>OpenDART_fnlttSinglAcntAll</t>
        </is>
      </c>
      <c r="B460" s="32" t="inlineStr">
        <is>
          <t>00118804</t>
        </is>
      </c>
      <c r="C460" s="32" t="inlineStr">
        <is>
          <t>동진쎄미켐</t>
        </is>
      </c>
      <c r="D460" s="32" t="inlineStr">
        <is>
          <t>dongjin_semichem</t>
        </is>
      </c>
      <c r="E460" s="32" t="inlineStr">
        <is>
          <t>005290</t>
        </is>
      </c>
      <c r="F460" s="32" t="inlineStr">
        <is>
          <t>2023</t>
        </is>
      </c>
      <c r="G460" s="32" t="inlineStr">
        <is>
          <t>CFS</t>
        </is>
      </c>
      <c r="H460" s="32" t="inlineStr">
        <is>
          <t>BS</t>
        </is>
      </c>
      <c r="I460" s="32" t="inlineStr">
        <is>
          <t>재무상태표</t>
        </is>
      </c>
      <c r="J460" s="32" t="inlineStr">
        <is>
          <t>ifrs-full_IssuedCapital</t>
        </is>
      </c>
      <c r="K460" s="32" t="inlineStr">
        <is>
          <t>자본금</t>
        </is>
      </c>
      <c r="L460" s="32" t="inlineStr">
        <is>
          <t>-</t>
        </is>
      </c>
      <c r="M460" s="32" t="inlineStr">
        <is>
          <t>제 51 기</t>
        </is>
      </c>
      <c r="N460" s="32" t="inlineStr">
        <is>
          <t>25707247000.0</t>
        </is>
      </c>
      <c r="O460" s="32" t="inlineStr">
        <is>
          <t>25707247000.0</t>
        </is>
      </c>
      <c r="P460" s="32" t="inlineStr">
        <is>
          <t>KRW</t>
        </is>
      </c>
      <c r="Q460" s="32" t="inlineStr">
        <is>
          <t>31</t>
        </is>
      </c>
    </row>
    <row r="461" ht="24" customHeight="1">
      <c r="A461" s="27" t="inlineStr">
        <is>
          <t>OpenDART_fnlttSinglAcntAll</t>
        </is>
      </c>
      <c r="B461" s="27" t="inlineStr">
        <is>
          <t>00118804</t>
        </is>
      </c>
      <c r="C461" s="27" t="inlineStr">
        <is>
          <t>동진쎄미켐</t>
        </is>
      </c>
      <c r="D461" s="27" t="inlineStr">
        <is>
          <t>dongjin_semichem</t>
        </is>
      </c>
      <c r="E461" s="27" t="inlineStr">
        <is>
          <t>005290</t>
        </is>
      </c>
      <c r="F461" s="27" t="inlineStr">
        <is>
          <t>2023</t>
        </is>
      </c>
      <c r="G461" s="27" t="inlineStr">
        <is>
          <t>CFS</t>
        </is>
      </c>
      <c r="H461" s="27" t="inlineStr">
        <is>
          <t>BS</t>
        </is>
      </c>
      <c r="I461" s="27" t="inlineStr">
        <is>
          <t>재무상태표</t>
        </is>
      </c>
      <c r="J461" s="27" t="inlineStr">
        <is>
          <t>ifrs-full_RetainedEarnings</t>
        </is>
      </c>
      <c r="K461" s="27" t="inlineStr">
        <is>
          <t>이익잉여금</t>
        </is>
      </c>
      <c r="L461" s="27" t="inlineStr">
        <is>
          <t>-</t>
        </is>
      </c>
      <c r="M461" s="27" t="inlineStr">
        <is>
          <t>제 51 기</t>
        </is>
      </c>
      <c r="N461" s="27" t="inlineStr">
        <is>
          <t>628992461223.0</t>
        </is>
      </c>
      <c r="O461" s="27" t="inlineStr">
        <is>
          <t>521015824109.0</t>
        </is>
      </c>
      <c r="P461" s="27" t="inlineStr">
        <is>
          <t>KRW</t>
        </is>
      </c>
      <c r="Q461" s="27" t="inlineStr">
        <is>
          <t>32</t>
        </is>
      </c>
    </row>
    <row r="462" ht="24" customHeight="1">
      <c r="A462" s="32" t="inlineStr">
        <is>
          <t>OpenDART_fnlttSinglAcntAll</t>
        </is>
      </c>
      <c r="B462" s="32" t="inlineStr">
        <is>
          <t>00118804</t>
        </is>
      </c>
      <c r="C462" s="32" t="inlineStr">
        <is>
          <t>동진쎄미켐</t>
        </is>
      </c>
      <c r="D462" s="32" t="inlineStr">
        <is>
          <t>dongjin_semichem</t>
        </is>
      </c>
      <c r="E462" s="32" t="inlineStr">
        <is>
          <t>005290</t>
        </is>
      </c>
      <c r="F462" s="32" t="inlineStr">
        <is>
          <t>2023</t>
        </is>
      </c>
      <c r="G462" s="32" t="inlineStr">
        <is>
          <t>CFS</t>
        </is>
      </c>
      <c r="H462" s="32" t="inlineStr">
        <is>
          <t>BS</t>
        </is>
      </c>
      <c r="I462" s="32" t="inlineStr">
        <is>
          <t>재무상태표</t>
        </is>
      </c>
      <c r="J462" s="32" t="inlineStr">
        <is>
          <t>ifrs-full_NoncontrollingInterests</t>
        </is>
      </c>
      <c r="K462" s="32" t="inlineStr">
        <is>
          <t>비지배지분</t>
        </is>
      </c>
      <c r="L462" s="32" t="inlineStr">
        <is>
          <t>-</t>
        </is>
      </c>
      <c r="M462" s="32" t="inlineStr">
        <is>
          <t>제 51 기</t>
        </is>
      </c>
      <c r="N462" s="32" t="inlineStr">
        <is>
          <t>30429295556.0</t>
        </is>
      </c>
      <c r="O462" s="32" t="inlineStr">
        <is>
          <t>3942443240.0</t>
        </is>
      </c>
      <c r="P462" s="32" t="inlineStr">
        <is>
          <t>KRW</t>
        </is>
      </c>
      <c r="Q462" s="32" t="inlineStr">
        <is>
          <t>33</t>
        </is>
      </c>
    </row>
    <row r="463" ht="24" customHeight="1">
      <c r="A463" s="27" t="inlineStr">
        <is>
          <t>OpenDART_fnlttSinglAcntAll</t>
        </is>
      </c>
      <c r="B463" s="27" t="inlineStr">
        <is>
          <t>00118804</t>
        </is>
      </c>
      <c r="C463" s="27" t="inlineStr">
        <is>
          <t>동진쎄미켐</t>
        </is>
      </c>
      <c r="D463" s="27" t="inlineStr">
        <is>
          <t>dongjin_semichem</t>
        </is>
      </c>
      <c r="E463" s="27" t="inlineStr">
        <is>
          <t>005290</t>
        </is>
      </c>
      <c r="F463" s="27" t="inlineStr">
        <is>
          <t>2023</t>
        </is>
      </c>
      <c r="G463" s="27" t="inlineStr">
        <is>
          <t>CFS</t>
        </is>
      </c>
      <c r="H463" s="27" t="inlineStr">
        <is>
          <t>BS</t>
        </is>
      </c>
      <c r="I463" s="27" t="inlineStr">
        <is>
          <t>재무상태표</t>
        </is>
      </c>
      <c r="J463" s="27" t="inlineStr">
        <is>
          <t>ifrs-full_EquityAndLiabilities</t>
        </is>
      </c>
      <c r="K463" s="27" t="inlineStr">
        <is>
          <t>자본과부채총계</t>
        </is>
      </c>
      <c r="L463" s="27" t="inlineStr">
        <is>
          <t>-</t>
        </is>
      </c>
      <c r="M463" s="27" t="inlineStr">
        <is>
          <t>제 51 기</t>
        </is>
      </c>
      <c r="N463" s="27" t="inlineStr">
        <is>
          <t>1606588027004.0</t>
        </is>
      </c>
      <c r="O463" s="27" t="inlineStr">
        <is>
          <t>1374303530098.0</t>
        </is>
      </c>
      <c r="P463" s="27" t="inlineStr">
        <is>
          <t>KRW</t>
        </is>
      </c>
      <c r="Q463" s="27" t="inlineStr">
        <is>
          <t>34</t>
        </is>
      </c>
    </row>
    <row r="464" ht="24" customHeight="1">
      <c r="A464" s="32" t="inlineStr">
        <is>
          <t>OpenDART_fnlttSinglAcntAll</t>
        </is>
      </c>
      <c r="B464" s="32" t="inlineStr">
        <is>
          <t>00118804</t>
        </is>
      </c>
      <c r="C464" s="32" t="inlineStr">
        <is>
          <t>동진쎄미켐</t>
        </is>
      </c>
      <c r="D464" s="32" t="inlineStr">
        <is>
          <t>dongjin_semichem</t>
        </is>
      </c>
      <c r="E464" s="32" t="inlineStr">
        <is>
          <t>005290</t>
        </is>
      </c>
      <c r="F464" s="32" t="inlineStr">
        <is>
          <t>2023</t>
        </is>
      </c>
      <c r="G464" s="32" t="inlineStr">
        <is>
          <t>CFS</t>
        </is>
      </c>
      <c r="H464" s="32" t="inlineStr">
        <is>
          <t>BS</t>
        </is>
      </c>
      <c r="I464" s="32" t="inlineStr">
        <is>
          <t>재무상태표</t>
        </is>
      </c>
      <c r="J464" s="32" t="inlineStr">
        <is>
          <t>ifrs-full_CurrentLiabilities</t>
        </is>
      </c>
      <c r="K464" s="32" t="inlineStr">
        <is>
          <t>유동부채</t>
        </is>
      </c>
      <c r="L464" s="32" t="inlineStr">
        <is>
          <t>-</t>
        </is>
      </c>
      <c r="M464" s="32" t="inlineStr">
        <is>
          <t>제 51 기</t>
        </is>
      </c>
      <c r="N464" s="32" t="inlineStr">
        <is>
          <t>496221734476.0</t>
        </is>
      </c>
      <c r="O464" s="32" t="inlineStr">
        <is>
          <t>531371591554.0</t>
        </is>
      </c>
      <c r="P464" s="32" t="inlineStr">
        <is>
          <t>KRW</t>
        </is>
      </c>
      <c r="Q464" s="32" t="inlineStr">
        <is>
          <t>36</t>
        </is>
      </c>
    </row>
    <row r="465" ht="24" customHeight="1">
      <c r="A465" s="27" t="inlineStr">
        <is>
          <t>OpenDART_fnlttSinglAcntAll</t>
        </is>
      </c>
      <c r="B465" s="27" t="inlineStr">
        <is>
          <t>00118804</t>
        </is>
      </c>
      <c r="C465" s="27" t="inlineStr">
        <is>
          <t>동진쎄미켐</t>
        </is>
      </c>
      <c r="D465" s="27" t="inlineStr">
        <is>
          <t>dongjin_semichem</t>
        </is>
      </c>
      <c r="E465" s="27" t="inlineStr">
        <is>
          <t>005290</t>
        </is>
      </c>
      <c r="F465" s="27" t="inlineStr">
        <is>
          <t>2023</t>
        </is>
      </c>
      <c r="G465" s="27" t="inlineStr">
        <is>
          <t>CFS</t>
        </is>
      </c>
      <c r="H465" s="27" t="inlineStr">
        <is>
          <t>BS</t>
        </is>
      </c>
      <c r="I465" s="27" t="inlineStr">
        <is>
          <t>재무상태표</t>
        </is>
      </c>
      <c r="J465" s="27" t="inlineStr">
        <is>
          <t>-표준계정코드 미사용-</t>
        </is>
      </c>
      <c r="K465" s="27" t="inlineStr">
        <is>
          <t>단기리스부채</t>
        </is>
      </c>
      <c r="L465" s="27" t="inlineStr">
        <is>
          <t>-</t>
        </is>
      </c>
      <c r="M465" s="27" t="inlineStr">
        <is>
          <t>제 51 기</t>
        </is>
      </c>
      <c r="N465" s="27" t="inlineStr">
        <is>
          <t>6836194589.0</t>
        </is>
      </c>
      <c r="O465" s="27" t="inlineStr">
        <is>
          <t>7555765098.0</t>
        </is>
      </c>
      <c r="P465" s="27" t="inlineStr">
        <is>
          <t>KRW</t>
        </is>
      </c>
      <c r="Q465" s="27" t="inlineStr">
        <is>
          <t>37</t>
        </is>
      </c>
    </row>
    <row r="466" ht="24" customHeight="1">
      <c r="A466" s="32" t="inlineStr">
        <is>
          <t>OpenDART_fnlttSinglAcntAll</t>
        </is>
      </c>
      <c r="B466" s="32" t="inlineStr">
        <is>
          <t>00118804</t>
        </is>
      </c>
      <c r="C466" s="32" t="inlineStr">
        <is>
          <t>동진쎄미켐</t>
        </is>
      </c>
      <c r="D466" s="32" t="inlineStr">
        <is>
          <t>dongjin_semichem</t>
        </is>
      </c>
      <c r="E466" s="32" t="inlineStr">
        <is>
          <t>005290</t>
        </is>
      </c>
      <c r="F466" s="32" t="inlineStr">
        <is>
          <t>2023</t>
        </is>
      </c>
      <c r="G466" s="32" t="inlineStr">
        <is>
          <t>CFS</t>
        </is>
      </c>
      <c r="H466" s="32" t="inlineStr">
        <is>
          <t>BS</t>
        </is>
      </c>
      <c r="I466" s="32" t="inlineStr">
        <is>
          <t>재무상태표</t>
        </is>
      </c>
      <c r="J466" s="32" t="inlineStr">
        <is>
          <t>ifrs-full_CurrentTaxLiabilities</t>
        </is>
      </c>
      <c r="K466" s="32" t="inlineStr">
        <is>
          <t>당기법인세부채</t>
        </is>
      </c>
      <c r="L466" s="32" t="inlineStr">
        <is>
          <t>-</t>
        </is>
      </c>
      <c r="M466" s="32" t="inlineStr">
        <is>
          <t>제 51 기</t>
        </is>
      </c>
      <c r="N466" s="32" t="inlineStr">
        <is>
          <t>4032154945.0</t>
        </is>
      </c>
      <c r="O466" s="32" t="inlineStr">
        <is>
          <t>42407363079.0</t>
        </is>
      </c>
      <c r="P466" s="32" t="inlineStr">
        <is>
          <t>KRW</t>
        </is>
      </c>
      <c r="Q466" s="32" t="inlineStr">
        <is>
          <t>38</t>
        </is>
      </c>
    </row>
    <row r="467" ht="24" customHeight="1">
      <c r="A467" s="27" t="inlineStr">
        <is>
          <t>OpenDART_fnlttSinglAcntAll</t>
        </is>
      </c>
      <c r="B467" s="27" t="inlineStr">
        <is>
          <t>00118804</t>
        </is>
      </c>
      <c r="C467" s="27" t="inlineStr">
        <is>
          <t>동진쎄미켐</t>
        </is>
      </c>
      <c r="D467" s="27" t="inlineStr">
        <is>
          <t>dongjin_semichem</t>
        </is>
      </c>
      <c r="E467" s="27" t="inlineStr">
        <is>
          <t>005290</t>
        </is>
      </c>
      <c r="F467" s="27" t="inlineStr">
        <is>
          <t>2023</t>
        </is>
      </c>
      <c r="G467" s="27" t="inlineStr">
        <is>
          <t>CFS</t>
        </is>
      </c>
      <c r="H467" s="27" t="inlineStr">
        <is>
          <t>BS</t>
        </is>
      </c>
      <c r="I467" s="27" t="inlineStr">
        <is>
          <t>재무상태표</t>
        </is>
      </c>
      <c r="J467" s="27" t="inlineStr">
        <is>
          <t>ifrs-full_OtherCurrentLiabilities</t>
        </is>
      </c>
      <c r="K467" s="27" t="inlineStr">
        <is>
          <t>기타 유동부채</t>
        </is>
      </c>
      <c r="L467" s="27" t="inlineStr">
        <is>
          <t>-</t>
        </is>
      </c>
      <c r="M467" s="27" t="inlineStr">
        <is>
          <t>제 51 기</t>
        </is>
      </c>
      <c r="N467" s="27" t="inlineStr">
        <is>
          <t>21031068889.0</t>
        </is>
      </c>
      <c r="O467" s="27" t="inlineStr">
        <is>
          <t>22947681603.0</t>
        </is>
      </c>
      <c r="P467" s="27" t="inlineStr">
        <is>
          <t>KRW</t>
        </is>
      </c>
      <c r="Q467" s="27" t="inlineStr">
        <is>
          <t>39</t>
        </is>
      </c>
    </row>
    <row r="468" ht="24" customHeight="1">
      <c r="A468" s="32" t="inlineStr">
        <is>
          <t>OpenDART_fnlttSinglAcntAll</t>
        </is>
      </c>
      <c r="B468" s="32" t="inlineStr">
        <is>
          <t>00118804</t>
        </is>
      </c>
      <c r="C468" s="32" t="inlineStr">
        <is>
          <t>동진쎄미켐</t>
        </is>
      </c>
      <c r="D468" s="32" t="inlineStr">
        <is>
          <t>dongjin_semichem</t>
        </is>
      </c>
      <c r="E468" s="32" t="inlineStr">
        <is>
          <t>005290</t>
        </is>
      </c>
      <c r="F468" s="32" t="inlineStr">
        <is>
          <t>2023</t>
        </is>
      </c>
      <c r="G468" s="32" t="inlineStr">
        <is>
          <t>CFS</t>
        </is>
      </c>
      <c r="H468" s="32" t="inlineStr">
        <is>
          <t>BS</t>
        </is>
      </c>
      <c r="I468" s="32" t="inlineStr">
        <is>
          <t>재무상태표</t>
        </is>
      </c>
      <c r="J468" s="32" t="inlineStr">
        <is>
          <t>ifrs-full_ShorttermBorrowings</t>
        </is>
      </c>
      <c r="K468" s="32" t="inlineStr">
        <is>
          <t>단기차입금</t>
        </is>
      </c>
      <c r="L468" s="32" t="inlineStr">
        <is>
          <t>-</t>
        </is>
      </c>
      <c r="M468" s="32" t="inlineStr">
        <is>
          <t>제 51 기</t>
        </is>
      </c>
      <c r="N468" s="32" t="inlineStr">
        <is>
          <t>350143500568.0</t>
        </is>
      </c>
      <c r="O468" s="32" t="inlineStr">
        <is>
          <t>336916905291.0</t>
        </is>
      </c>
      <c r="P468" s="32" t="inlineStr">
        <is>
          <t>KRW</t>
        </is>
      </c>
      <c r="Q468" s="32" t="inlineStr">
        <is>
          <t>40</t>
        </is>
      </c>
    </row>
    <row r="469" ht="24" customHeight="1">
      <c r="A469" s="27" t="inlineStr">
        <is>
          <t>OpenDART_fnlttSinglAcntAll</t>
        </is>
      </c>
      <c r="B469" s="27" t="inlineStr">
        <is>
          <t>00118804</t>
        </is>
      </c>
      <c r="C469" s="27" t="inlineStr">
        <is>
          <t>동진쎄미켐</t>
        </is>
      </c>
      <c r="D469" s="27" t="inlineStr">
        <is>
          <t>dongjin_semichem</t>
        </is>
      </c>
      <c r="E469" s="27" t="inlineStr">
        <is>
          <t>005290</t>
        </is>
      </c>
      <c r="F469" s="27" t="inlineStr">
        <is>
          <t>2023</t>
        </is>
      </c>
      <c r="G469" s="27" t="inlineStr">
        <is>
          <t>CFS</t>
        </is>
      </c>
      <c r="H469" s="27" t="inlineStr">
        <is>
          <t>BS</t>
        </is>
      </c>
      <c r="I469" s="27" t="inlineStr">
        <is>
          <t>재무상태표</t>
        </is>
      </c>
      <c r="J469" s="27" t="inlineStr">
        <is>
          <t>ifrs-full_TradeAndOtherCurrentPayables</t>
        </is>
      </c>
      <c r="K469" s="27" t="inlineStr">
        <is>
          <t>매입채무 및 기타채무</t>
        </is>
      </c>
      <c r="L469" s="27" t="inlineStr">
        <is>
          <t>-</t>
        </is>
      </c>
      <c r="M469" s="27" t="inlineStr">
        <is>
          <t>제 51 기</t>
        </is>
      </c>
      <c r="N469" s="27" t="inlineStr">
        <is>
          <t>114178815485.0</t>
        </is>
      </c>
      <c r="O469" s="27" t="inlineStr">
        <is>
          <t>121543876483.0</t>
        </is>
      </c>
      <c r="P469" s="27" t="inlineStr">
        <is>
          <t>KRW</t>
        </is>
      </c>
      <c r="Q469" s="27" t="inlineStr">
        <is>
          <t>41</t>
        </is>
      </c>
    </row>
    <row r="470" ht="24" customHeight="1">
      <c r="A470" s="32" t="inlineStr">
        <is>
          <t>OpenDART_fnlttSinglAcntAll</t>
        </is>
      </c>
      <c r="B470" s="32" t="inlineStr">
        <is>
          <t>00118804</t>
        </is>
      </c>
      <c r="C470" s="32" t="inlineStr">
        <is>
          <t>동진쎄미켐</t>
        </is>
      </c>
      <c r="D470" s="32" t="inlineStr">
        <is>
          <t>dongjin_semichem</t>
        </is>
      </c>
      <c r="E470" s="32" t="inlineStr">
        <is>
          <t>005290</t>
        </is>
      </c>
      <c r="F470" s="32" t="inlineStr">
        <is>
          <t>2023</t>
        </is>
      </c>
      <c r="G470" s="32" t="inlineStr">
        <is>
          <t>CFS</t>
        </is>
      </c>
      <c r="H470" s="32" t="inlineStr">
        <is>
          <t>BS</t>
        </is>
      </c>
      <c r="I470" s="32" t="inlineStr">
        <is>
          <t>재무상태표</t>
        </is>
      </c>
      <c r="J470" s="32" t="inlineStr">
        <is>
          <t>ifrs-full_Liabilities</t>
        </is>
      </c>
      <c r="K470" s="32" t="inlineStr">
        <is>
          <t>부채총계</t>
        </is>
      </c>
      <c r="L470" s="32" t="inlineStr">
        <is>
          <t>-</t>
        </is>
      </c>
      <c r="M470" s="32" t="inlineStr">
        <is>
          <t>제 51 기</t>
        </is>
      </c>
      <c r="N470" s="32" t="inlineStr">
        <is>
          <t>771106380233.0</t>
        </is>
      </c>
      <c r="O470" s="32" t="inlineStr">
        <is>
          <t>673516166268.0</t>
        </is>
      </c>
      <c r="P470" s="32" t="inlineStr">
        <is>
          <t>KRW</t>
        </is>
      </c>
      <c r="Q470" s="32" t="inlineStr">
        <is>
          <t>42</t>
        </is>
      </c>
    </row>
    <row r="471" ht="24" customHeight="1">
      <c r="A471" s="27" t="inlineStr">
        <is>
          <t>OpenDART_fnlttSinglAcntAll</t>
        </is>
      </c>
      <c r="B471" s="27" t="inlineStr">
        <is>
          <t>00118804</t>
        </is>
      </c>
      <c r="C471" s="27" t="inlineStr">
        <is>
          <t>동진쎄미켐</t>
        </is>
      </c>
      <c r="D471" s="27" t="inlineStr">
        <is>
          <t>dongjin_semichem</t>
        </is>
      </c>
      <c r="E471" s="27" t="inlineStr">
        <is>
          <t>005290</t>
        </is>
      </c>
      <c r="F471" s="27" t="inlineStr">
        <is>
          <t>2023</t>
        </is>
      </c>
      <c r="G471" s="27" t="inlineStr">
        <is>
          <t>CFS</t>
        </is>
      </c>
      <c r="H471" s="27" t="inlineStr">
        <is>
          <t>BS</t>
        </is>
      </c>
      <c r="I471" s="27" t="inlineStr">
        <is>
          <t>재무상태표</t>
        </is>
      </c>
      <c r="J471" s="27" t="inlineStr">
        <is>
          <t>ifrs-full_NoncurrentLiabilities</t>
        </is>
      </c>
      <c r="K471" s="27" t="inlineStr">
        <is>
          <t>비유동부채</t>
        </is>
      </c>
      <c r="L471" s="27" t="inlineStr">
        <is>
          <t>-</t>
        </is>
      </c>
      <c r="M471" s="27" t="inlineStr">
        <is>
          <t>제 51 기</t>
        </is>
      </c>
      <c r="N471" s="27" t="inlineStr">
        <is>
          <t>274884645757.0</t>
        </is>
      </c>
      <c r="O471" s="27" t="inlineStr">
        <is>
          <t>142144574714.0</t>
        </is>
      </c>
      <c r="P471" s="27" t="inlineStr">
        <is>
          <t>KRW</t>
        </is>
      </c>
      <c r="Q471" s="27" t="inlineStr">
        <is>
          <t>43</t>
        </is>
      </c>
    </row>
    <row r="472" ht="24" customHeight="1">
      <c r="A472" s="32" t="inlineStr">
        <is>
          <t>OpenDART_fnlttSinglAcntAll</t>
        </is>
      </c>
      <c r="B472" s="32" t="inlineStr">
        <is>
          <t>00118804</t>
        </is>
      </c>
      <c r="C472" s="32" t="inlineStr">
        <is>
          <t>동진쎄미켐</t>
        </is>
      </c>
      <c r="D472" s="32" t="inlineStr">
        <is>
          <t>dongjin_semichem</t>
        </is>
      </c>
      <c r="E472" s="32" t="inlineStr">
        <is>
          <t>005290</t>
        </is>
      </c>
      <c r="F472" s="32" t="inlineStr">
        <is>
          <t>2023</t>
        </is>
      </c>
      <c r="G472" s="32" t="inlineStr">
        <is>
          <t>CFS</t>
        </is>
      </c>
      <c r="H472" s="32" t="inlineStr">
        <is>
          <t>BS</t>
        </is>
      </c>
      <c r="I472" s="32" t="inlineStr">
        <is>
          <t>재무상태표</t>
        </is>
      </c>
      <c r="J472" s="32" t="inlineStr">
        <is>
          <t>dart_LongTermBorrowingsGross</t>
        </is>
      </c>
      <c r="K472" s="32" t="inlineStr">
        <is>
          <t>장기차입금</t>
        </is>
      </c>
      <c r="L472" s="32" t="inlineStr">
        <is>
          <t>-</t>
        </is>
      </c>
      <c r="M472" s="32" t="inlineStr">
        <is>
          <t>제 51 기</t>
        </is>
      </c>
      <c r="N472" s="32" t="inlineStr">
        <is>
          <t>234570880150.0</t>
        </is>
      </c>
      <c r="O472" s="32" t="inlineStr">
        <is>
          <t>112691007498.0</t>
        </is>
      </c>
      <c r="P472" s="32" t="inlineStr">
        <is>
          <t>KRW</t>
        </is>
      </c>
      <c r="Q472" s="32" t="inlineStr">
        <is>
          <t>44</t>
        </is>
      </c>
    </row>
    <row r="473" ht="24" customHeight="1">
      <c r="A473" s="27" t="inlineStr">
        <is>
          <t>OpenDART_fnlttSinglAcntAll</t>
        </is>
      </c>
      <c r="B473" s="27" t="inlineStr">
        <is>
          <t>00118804</t>
        </is>
      </c>
      <c r="C473" s="27" t="inlineStr">
        <is>
          <t>동진쎄미켐</t>
        </is>
      </c>
      <c r="D473" s="27" t="inlineStr">
        <is>
          <t>dongjin_semichem</t>
        </is>
      </c>
      <c r="E473" s="27" t="inlineStr">
        <is>
          <t>005290</t>
        </is>
      </c>
      <c r="F473" s="27" t="inlineStr">
        <is>
          <t>2023</t>
        </is>
      </c>
      <c r="G473" s="27" t="inlineStr">
        <is>
          <t>CFS</t>
        </is>
      </c>
      <c r="H473" s="27" t="inlineStr">
        <is>
          <t>BS</t>
        </is>
      </c>
      <c r="I473" s="27" t="inlineStr">
        <is>
          <t>재무상태표</t>
        </is>
      </c>
      <c r="J473" s="27" t="inlineStr">
        <is>
          <t>dart_LongTermTradeAndOtherNonCurrentPayables</t>
        </is>
      </c>
      <c r="K473" s="27" t="inlineStr">
        <is>
          <t>장기매입채무 및 기타채무</t>
        </is>
      </c>
      <c r="L473" s="27" t="inlineStr">
        <is>
          <t>-</t>
        </is>
      </c>
      <c r="M473" s="27" t="inlineStr">
        <is>
          <t>제 51 기</t>
        </is>
      </c>
      <c r="N473" s="27" t="inlineStr">
        <is>
          <t>2503207741.0</t>
        </is>
      </c>
      <c r="O473" s="27" t="inlineStr">
        <is>
          <t>2702531319.0</t>
        </is>
      </c>
      <c r="P473" s="27" t="inlineStr">
        <is>
          <t>KRW</t>
        </is>
      </c>
      <c r="Q473" s="27" t="inlineStr">
        <is>
          <t>45</t>
        </is>
      </c>
    </row>
    <row r="474" ht="24" customHeight="1">
      <c r="A474" s="32" t="inlineStr">
        <is>
          <t>OpenDART_fnlttSinglAcntAll</t>
        </is>
      </c>
      <c r="B474" s="32" t="inlineStr">
        <is>
          <t>00118804</t>
        </is>
      </c>
      <c r="C474" s="32" t="inlineStr">
        <is>
          <t>동진쎄미켐</t>
        </is>
      </c>
      <c r="D474" s="32" t="inlineStr">
        <is>
          <t>dongjin_semichem</t>
        </is>
      </c>
      <c r="E474" s="32" t="inlineStr">
        <is>
          <t>005290</t>
        </is>
      </c>
      <c r="F474" s="32" t="inlineStr">
        <is>
          <t>2023</t>
        </is>
      </c>
      <c r="G474" s="32" t="inlineStr">
        <is>
          <t>CFS</t>
        </is>
      </c>
      <c r="H474" s="32" t="inlineStr">
        <is>
          <t>BS</t>
        </is>
      </c>
      <c r="I474" s="32" t="inlineStr">
        <is>
          <t>재무상태표</t>
        </is>
      </c>
      <c r="J474" s="32" t="inlineStr">
        <is>
          <t>dart_PostemploymentBenefitObligations</t>
        </is>
      </c>
      <c r="K474" s="32" t="inlineStr">
        <is>
          <t>순확정급여부채</t>
        </is>
      </c>
      <c r="L474" s="32" t="inlineStr">
        <is>
          <t>-</t>
        </is>
      </c>
      <c r="M474" s="32" t="inlineStr">
        <is>
          <t>제 51 기</t>
        </is>
      </c>
      <c r="N474" s="32" t="inlineStr">
        <is>
          <t>25047177741.0</t>
        </is>
      </c>
      <c r="O474" s="32" t="inlineStr">
        <is>
          <t>15320313855.0</t>
        </is>
      </c>
      <c r="P474" s="32" t="inlineStr">
        <is>
          <t>KRW</t>
        </is>
      </c>
      <c r="Q474" s="32" t="inlineStr">
        <is>
          <t>46</t>
        </is>
      </c>
    </row>
    <row r="475" ht="24" customHeight="1">
      <c r="A475" s="27" t="inlineStr">
        <is>
          <t>OpenDART_fnlttSinglAcntAll</t>
        </is>
      </c>
      <c r="B475" s="27" t="inlineStr">
        <is>
          <t>00118804</t>
        </is>
      </c>
      <c r="C475" s="27" t="inlineStr">
        <is>
          <t>동진쎄미켐</t>
        </is>
      </c>
      <c r="D475" s="27" t="inlineStr">
        <is>
          <t>dongjin_semichem</t>
        </is>
      </c>
      <c r="E475" s="27" t="inlineStr">
        <is>
          <t>005290</t>
        </is>
      </c>
      <c r="F475" s="27" t="inlineStr">
        <is>
          <t>2023</t>
        </is>
      </c>
      <c r="G475" s="27" t="inlineStr">
        <is>
          <t>CFS</t>
        </is>
      </c>
      <c r="H475" s="27" t="inlineStr">
        <is>
          <t>BS</t>
        </is>
      </c>
      <c r="I475" s="27" t="inlineStr">
        <is>
          <t>재무상태표</t>
        </is>
      </c>
      <c r="J475" s="27" t="inlineStr">
        <is>
          <t>-표준계정코드 미사용-</t>
        </is>
      </c>
      <c r="K475" s="27" t="inlineStr">
        <is>
          <t>장기리스부채</t>
        </is>
      </c>
      <c r="L475" s="27" t="inlineStr">
        <is>
          <t>-</t>
        </is>
      </c>
      <c r="M475" s="27" t="inlineStr">
        <is>
          <t>제 51 기</t>
        </is>
      </c>
      <c r="N475" s="27" t="inlineStr">
        <is>
          <t>10901597974.0</t>
        </is>
      </c>
      <c r="O475" s="27" t="inlineStr">
        <is>
          <t>10368428047.0</t>
        </is>
      </c>
      <c r="P475" s="27" t="inlineStr">
        <is>
          <t>KRW</t>
        </is>
      </c>
      <c r="Q475" s="27" t="inlineStr">
        <is>
          <t>47</t>
        </is>
      </c>
    </row>
    <row r="476" ht="24" customHeight="1">
      <c r="A476" s="32" t="inlineStr">
        <is>
          <t>OpenDART_fnlttSinglAcntAll</t>
        </is>
      </c>
      <c r="B476" s="32" t="inlineStr">
        <is>
          <t>00118804</t>
        </is>
      </c>
      <c r="C476" s="32" t="inlineStr">
        <is>
          <t>동진쎄미켐</t>
        </is>
      </c>
      <c r="D476" s="32" t="inlineStr">
        <is>
          <t>dongjin_semichem</t>
        </is>
      </c>
      <c r="E476" s="32" t="inlineStr">
        <is>
          <t>005290</t>
        </is>
      </c>
      <c r="F476" s="32" t="inlineStr">
        <is>
          <t>2023</t>
        </is>
      </c>
      <c r="G476" s="32" t="inlineStr">
        <is>
          <t>CFS</t>
        </is>
      </c>
      <c r="H476" s="32" t="inlineStr">
        <is>
          <t>BS</t>
        </is>
      </c>
      <c r="I476" s="32" t="inlineStr">
        <is>
          <t>재무상태표</t>
        </is>
      </c>
      <c r="J476" s="32" t="inlineStr">
        <is>
          <t>ifrs-full_DeferredTaxLiabilities</t>
        </is>
      </c>
      <c r="K476" s="32" t="inlineStr">
        <is>
          <t>이연법인세부채</t>
        </is>
      </c>
      <c r="L476" s="32" t="inlineStr">
        <is>
          <t>-</t>
        </is>
      </c>
      <c r="M476" s="32" t="inlineStr">
        <is>
          <t>제 51 기</t>
        </is>
      </c>
      <c r="N476" s="32" t="inlineStr">
        <is>
          <t>0.0</t>
        </is>
      </c>
      <c r="O476" s="32" t="inlineStr">
        <is>
          <t>750901.0</t>
        </is>
      </c>
      <c r="P476" s="32" t="inlineStr">
        <is>
          <t>KRW</t>
        </is>
      </c>
      <c r="Q476" s="32" t="inlineStr">
        <is>
          <t>48</t>
        </is>
      </c>
    </row>
    <row r="477" ht="24" customHeight="1">
      <c r="A477" s="27" t="inlineStr">
        <is>
          <t>OpenDART_fnlttSinglAcntAll</t>
        </is>
      </c>
      <c r="B477" s="27" t="inlineStr">
        <is>
          <t>00118804</t>
        </is>
      </c>
      <c r="C477" s="27" t="inlineStr">
        <is>
          <t>동진쎄미켐</t>
        </is>
      </c>
      <c r="D477" s="27" t="inlineStr">
        <is>
          <t>dongjin_semichem</t>
        </is>
      </c>
      <c r="E477" s="27" t="inlineStr">
        <is>
          <t>005290</t>
        </is>
      </c>
      <c r="F477" s="27" t="inlineStr">
        <is>
          <t>2023</t>
        </is>
      </c>
      <c r="G477" s="27" t="inlineStr">
        <is>
          <t>CFS</t>
        </is>
      </c>
      <c r="H477" s="27" t="inlineStr">
        <is>
          <t>BS</t>
        </is>
      </c>
      <c r="I477" s="27" t="inlineStr">
        <is>
          <t>재무상태표</t>
        </is>
      </c>
      <c r="J477" s="27" t="inlineStr">
        <is>
          <t>ifrs-full_OtherNoncurrentLiabilities</t>
        </is>
      </c>
      <c r="K477" s="27" t="inlineStr">
        <is>
          <t>기타 비유동 부채</t>
        </is>
      </c>
      <c r="L477" s="27" t="inlineStr">
        <is>
          <t>-</t>
        </is>
      </c>
      <c r="M477" s="27" t="inlineStr">
        <is>
          <t>제 51 기</t>
        </is>
      </c>
      <c r="N477" s="27" t="inlineStr">
        <is>
          <t>1861782151.0</t>
        </is>
      </c>
      <c r="O477" s="27" t="inlineStr">
        <is>
          <t>1061543094.0</t>
        </is>
      </c>
      <c r="P477" s="27" t="inlineStr">
        <is>
          <t>KRW</t>
        </is>
      </c>
      <c r="Q477" s="27" t="inlineStr">
        <is>
          <t>49</t>
        </is>
      </c>
    </row>
    <row r="478" ht="24" customHeight="1">
      <c r="A478" s="32" t="inlineStr">
        <is>
          <t>OpenDART_fnlttSinglAcntAll</t>
        </is>
      </c>
      <c r="B478" s="32" t="inlineStr">
        <is>
          <t>00118804</t>
        </is>
      </c>
      <c r="C478" s="32" t="inlineStr">
        <is>
          <t>동진쎄미켐</t>
        </is>
      </c>
      <c r="D478" s="32" t="inlineStr">
        <is>
          <t>dongjin_semichem</t>
        </is>
      </c>
      <c r="E478" s="32" t="inlineStr">
        <is>
          <t>005290</t>
        </is>
      </c>
      <c r="F478" s="32" t="inlineStr">
        <is>
          <t>2023</t>
        </is>
      </c>
      <c r="G478" s="32" t="inlineStr">
        <is>
          <t>CFS</t>
        </is>
      </c>
      <c r="H478" s="32" t="inlineStr">
        <is>
          <t>CIS</t>
        </is>
      </c>
      <c r="I478" s="32" t="inlineStr">
        <is>
          <t>포괄손익계산서</t>
        </is>
      </c>
      <c r="J478" s="32" t="inlineStr">
        <is>
          <t>dart_OperatingIncomeLoss</t>
        </is>
      </c>
      <c r="K478" s="32" t="inlineStr">
        <is>
          <t>영업이익(손실)</t>
        </is>
      </c>
      <c r="L478" s="32" t="inlineStr">
        <is>
          <t>-</t>
        </is>
      </c>
      <c r="M478" s="32" t="inlineStr">
        <is>
          <t>제 51 기</t>
        </is>
      </c>
      <c r="N478" s="32" t="inlineStr">
        <is>
          <t>176174316058.0</t>
        </is>
      </c>
      <c r="O478" s="32" t="inlineStr">
        <is>
          <t>216308703354.0</t>
        </is>
      </c>
      <c r="P478" s="32" t="inlineStr">
        <is>
          <t>KRW</t>
        </is>
      </c>
      <c r="Q478" s="32" t="inlineStr">
        <is>
          <t>6</t>
        </is>
      </c>
    </row>
    <row r="479" ht="24" customHeight="1">
      <c r="A479" s="27" t="inlineStr">
        <is>
          <t>OpenDART_fnlttSinglAcntAll</t>
        </is>
      </c>
      <c r="B479" s="27" t="inlineStr">
        <is>
          <t>00118804</t>
        </is>
      </c>
      <c r="C479" s="27" t="inlineStr">
        <is>
          <t>동진쎄미켐</t>
        </is>
      </c>
      <c r="D479" s="27" t="inlineStr">
        <is>
          <t>dongjin_semichem</t>
        </is>
      </c>
      <c r="E479" s="27" t="inlineStr">
        <is>
          <t>005290</t>
        </is>
      </c>
      <c r="F479" s="27" t="inlineStr">
        <is>
          <t>2023</t>
        </is>
      </c>
      <c r="G479" s="27" t="inlineStr">
        <is>
          <t>CFS</t>
        </is>
      </c>
      <c r="H479" s="27" t="inlineStr">
        <is>
          <t>CIS</t>
        </is>
      </c>
      <c r="I479" s="27" t="inlineStr">
        <is>
          <t>포괄손익계산서</t>
        </is>
      </c>
      <c r="J479" s="27" t="inlineStr">
        <is>
          <t>dart_TotalSellingGeneralAdministrativeExpenses</t>
        </is>
      </c>
      <c r="K479" s="27" t="inlineStr">
        <is>
          <t>판매비와관리비</t>
        </is>
      </c>
      <c r="L479" s="27" t="inlineStr">
        <is>
          <t>-</t>
        </is>
      </c>
      <c r="M479" s="27" t="inlineStr">
        <is>
          <t>제 51 기</t>
        </is>
      </c>
      <c r="N479" s="27" t="inlineStr">
        <is>
          <t>123917821269.0</t>
        </is>
      </c>
      <c r="O479" s="27" t="inlineStr">
        <is>
          <t>120480628003.0</t>
        </is>
      </c>
      <c r="P479" s="27" t="inlineStr">
        <is>
          <t>KRW</t>
        </is>
      </c>
      <c r="Q479" s="27" t="inlineStr">
        <is>
          <t>7</t>
        </is>
      </c>
    </row>
    <row r="480" ht="24" customHeight="1">
      <c r="A480" s="32" t="inlineStr">
        <is>
          <t>OpenDART_fnlttSinglAcntAll</t>
        </is>
      </c>
      <c r="B480" s="32" t="inlineStr">
        <is>
          <t>00118804</t>
        </is>
      </c>
      <c r="C480" s="32" t="inlineStr">
        <is>
          <t>동진쎄미켐</t>
        </is>
      </c>
      <c r="D480" s="32" t="inlineStr">
        <is>
          <t>dongjin_semichem</t>
        </is>
      </c>
      <c r="E480" s="32" t="inlineStr">
        <is>
          <t>005290</t>
        </is>
      </c>
      <c r="F480" s="32" t="inlineStr">
        <is>
          <t>2023</t>
        </is>
      </c>
      <c r="G480" s="32" t="inlineStr">
        <is>
          <t>CFS</t>
        </is>
      </c>
      <c r="H480" s="32" t="inlineStr">
        <is>
          <t>CIS</t>
        </is>
      </c>
      <c r="I480" s="32" t="inlineStr">
        <is>
          <t>포괄손익계산서</t>
        </is>
      </c>
      <c r="J480" s="32" t="inlineStr">
        <is>
          <t>dart_FreightExpensesSellingGeneralAdministrativeExpenses</t>
        </is>
      </c>
      <c r="K480" s="32" t="inlineStr">
        <is>
          <t>물류비</t>
        </is>
      </c>
      <c r="L480" s="32" t="inlineStr">
        <is>
          <t>-</t>
        </is>
      </c>
      <c r="M480" s="32" t="inlineStr">
        <is>
          <t>제 51 기</t>
        </is>
      </c>
      <c r="N480" s="32" t="inlineStr">
        <is>
          <t>26384427104.0</t>
        </is>
      </c>
      <c r="O480" s="32" t="inlineStr">
        <is>
          <t>33646900170.0</t>
        </is>
      </c>
      <c r="P480" s="32" t="inlineStr">
        <is>
          <t>KRW</t>
        </is>
      </c>
      <c r="Q480" s="32" t="inlineStr">
        <is>
          <t>8</t>
        </is>
      </c>
    </row>
    <row r="481" ht="24" customHeight="1">
      <c r="A481" s="27" t="inlineStr">
        <is>
          <t>OpenDART_fnlttSinglAcntAll</t>
        </is>
      </c>
      <c r="B481" s="27" t="inlineStr">
        <is>
          <t>00118804</t>
        </is>
      </c>
      <c r="C481" s="27" t="inlineStr">
        <is>
          <t>동진쎄미켐</t>
        </is>
      </c>
      <c r="D481" s="27" t="inlineStr">
        <is>
          <t>dongjin_semichem</t>
        </is>
      </c>
      <c r="E481" s="27" t="inlineStr">
        <is>
          <t>005290</t>
        </is>
      </c>
      <c r="F481" s="27" t="inlineStr">
        <is>
          <t>2023</t>
        </is>
      </c>
      <c r="G481" s="27" t="inlineStr">
        <is>
          <t>CFS</t>
        </is>
      </c>
      <c r="H481" s="27" t="inlineStr">
        <is>
          <t>CIS</t>
        </is>
      </c>
      <c r="I481" s="27" t="inlineStr">
        <is>
          <t>포괄손익계산서</t>
        </is>
      </c>
      <c r="J481" s="27" t="inlineStr">
        <is>
          <t>dart_MiscellaneousExpenses</t>
        </is>
      </c>
      <c r="K481" s="27" t="inlineStr">
        <is>
          <t>판매관리비</t>
        </is>
      </c>
      <c r="L481" s="27" t="inlineStr">
        <is>
          <t>-</t>
        </is>
      </c>
      <c r="M481" s="27" t="inlineStr">
        <is>
          <t>제 51 기</t>
        </is>
      </c>
      <c r="N481" s="27" t="inlineStr">
        <is>
          <t>79100409658.0</t>
        </is>
      </c>
      <c r="O481" s="27" t="inlineStr">
        <is>
          <t>70666789691.0</t>
        </is>
      </c>
      <c r="P481" s="27" t="inlineStr">
        <is>
          <t>KRW</t>
        </is>
      </c>
      <c r="Q481" s="27" t="inlineStr">
        <is>
          <t>9</t>
        </is>
      </c>
    </row>
    <row r="482" ht="24" customHeight="1">
      <c r="A482" s="32" t="inlineStr">
        <is>
          <t>OpenDART_fnlttSinglAcntAll</t>
        </is>
      </c>
      <c r="B482" s="32" t="inlineStr">
        <is>
          <t>00118804</t>
        </is>
      </c>
      <c r="C482" s="32" t="inlineStr">
        <is>
          <t>동진쎄미켐</t>
        </is>
      </c>
      <c r="D482" s="32" t="inlineStr">
        <is>
          <t>dongjin_semichem</t>
        </is>
      </c>
      <c r="E482" s="32" t="inlineStr">
        <is>
          <t>005290</t>
        </is>
      </c>
      <c r="F482" s="32" t="inlineStr">
        <is>
          <t>2023</t>
        </is>
      </c>
      <c r="G482" s="32" t="inlineStr">
        <is>
          <t>CFS</t>
        </is>
      </c>
      <c r="H482" s="32" t="inlineStr">
        <is>
          <t>CIS</t>
        </is>
      </c>
      <c r="I482" s="32" t="inlineStr">
        <is>
          <t>포괄손익계산서</t>
        </is>
      </c>
      <c r="J482" s="32" t="inlineStr">
        <is>
          <t>dart_OrdinaryDevelopmentExpenseSellingGeneralAdministrativeExpenses</t>
        </is>
      </c>
      <c r="K482" s="32" t="inlineStr">
        <is>
          <t>연구개발비</t>
        </is>
      </c>
      <c r="L482" s="32" t="inlineStr">
        <is>
          <t>-</t>
        </is>
      </c>
      <c r="M482" s="32" t="inlineStr">
        <is>
          <t>제 51 기</t>
        </is>
      </c>
      <c r="N482" s="32" t="inlineStr">
        <is>
          <t>18432984507.0</t>
        </is>
      </c>
      <c r="O482" s="32" t="inlineStr">
        <is>
          <t>16166938142.0</t>
        </is>
      </c>
      <c r="P482" s="32" t="inlineStr">
        <is>
          <t>KRW</t>
        </is>
      </c>
      <c r="Q482" s="32" t="inlineStr">
        <is>
          <t>10</t>
        </is>
      </c>
    </row>
    <row r="483" ht="24" customHeight="1">
      <c r="A483" s="27" t="inlineStr">
        <is>
          <t>OpenDART_fnlttSinglAcntAll</t>
        </is>
      </c>
      <c r="B483" s="27" t="inlineStr">
        <is>
          <t>00118804</t>
        </is>
      </c>
      <c r="C483" s="27" t="inlineStr">
        <is>
          <t>동진쎄미켐</t>
        </is>
      </c>
      <c r="D483" s="27" t="inlineStr">
        <is>
          <t>dongjin_semichem</t>
        </is>
      </c>
      <c r="E483" s="27" t="inlineStr">
        <is>
          <t>005290</t>
        </is>
      </c>
      <c r="F483" s="27" t="inlineStr">
        <is>
          <t>2023</t>
        </is>
      </c>
      <c r="G483" s="27" t="inlineStr">
        <is>
          <t>CFS</t>
        </is>
      </c>
      <c r="H483" s="27" t="inlineStr">
        <is>
          <t>CIS</t>
        </is>
      </c>
      <c r="I483" s="27" t="inlineStr">
        <is>
          <t>포괄손익계산서</t>
        </is>
      </c>
      <c r="J483" s="27" t="inlineStr">
        <is>
          <t>-표준계정코드 미사용-</t>
        </is>
      </c>
      <c r="K483" s="27" t="inlineStr">
        <is>
          <t>기타영업외손익</t>
        </is>
      </c>
      <c r="L483" s="27" t="inlineStr">
        <is>
          <t>-</t>
        </is>
      </c>
      <c r="M483" s="27" t="inlineStr">
        <is>
          <t>제 51 기</t>
        </is>
      </c>
      <c r="N483" s="27" t="inlineStr">
        <is>
          <t>2405483775.0</t>
        </is>
      </c>
      <c r="O483" s="27" t="inlineStr">
        <is>
          <t>9759797746.0</t>
        </is>
      </c>
      <c r="P483" s="27" t="inlineStr">
        <is>
          <t>KRW</t>
        </is>
      </c>
      <c r="Q483" s="27" t="inlineStr">
        <is>
          <t>11</t>
        </is>
      </c>
    </row>
    <row r="484" ht="24" customHeight="1">
      <c r="A484" s="32" t="inlineStr">
        <is>
          <t>OpenDART_fnlttSinglAcntAll</t>
        </is>
      </c>
      <c r="B484" s="32" t="inlineStr">
        <is>
          <t>00118804</t>
        </is>
      </c>
      <c r="C484" s="32" t="inlineStr">
        <is>
          <t>동진쎄미켐</t>
        </is>
      </c>
      <c r="D484" s="32" t="inlineStr">
        <is>
          <t>dongjin_semichem</t>
        </is>
      </c>
      <c r="E484" s="32" t="inlineStr">
        <is>
          <t>005290</t>
        </is>
      </c>
      <c r="F484" s="32" t="inlineStr">
        <is>
          <t>2023</t>
        </is>
      </c>
      <c r="G484" s="32" t="inlineStr">
        <is>
          <t>CFS</t>
        </is>
      </c>
      <c r="H484" s="32" t="inlineStr">
        <is>
          <t>CIS</t>
        </is>
      </c>
      <c r="I484" s="32" t="inlineStr">
        <is>
          <t>포괄손익계산서</t>
        </is>
      </c>
      <c r="J484" s="32" t="inlineStr">
        <is>
          <t>-표준계정코드 미사용-</t>
        </is>
      </c>
      <c r="K484" s="32" t="inlineStr">
        <is>
          <t>지분법손익</t>
        </is>
      </c>
      <c r="L484" s="32" t="inlineStr">
        <is>
          <t>-</t>
        </is>
      </c>
      <c r="M484" s="32" t="inlineStr">
        <is>
          <t>제 51 기</t>
        </is>
      </c>
      <c r="N484" s="32" t="inlineStr">
        <is>
          <t>-753690466.0</t>
        </is>
      </c>
      <c r="O484" s="32" t="inlineStr">
        <is>
          <t>-3829704592.0</t>
        </is>
      </c>
      <c r="P484" s="32" t="inlineStr">
        <is>
          <t>KRW</t>
        </is>
      </c>
      <c r="Q484" s="32" t="inlineStr">
        <is>
          <t>12</t>
        </is>
      </c>
    </row>
    <row r="485" ht="24" customHeight="1">
      <c r="A485" s="27" t="inlineStr">
        <is>
          <t>OpenDART_fnlttSinglAcntAll</t>
        </is>
      </c>
      <c r="B485" s="27" t="inlineStr">
        <is>
          <t>00118804</t>
        </is>
      </c>
      <c r="C485" s="27" t="inlineStr">
        <is>
          <t>동진쎄미켐</t>
        </is>
      </c>
      <c r="D485" s="27" t="inlineStr">
        <is>
          <t>dongjin_semichem</t>
        </is>
      </c>
      <c r="E485" s="27" t="inlineStr">
        <is>
          <t>005290</t>
        </is>
      </c>
      <c r="F485" s="27" t="inlineStr">
        <is>
          <t>2023</t>
        </is>
      </c>
      <c r="G485" s="27" t="inlineStr">
        <is>
          <t>CFS</t>
        </is>
      </c>
      <c r="H485" s="27" t="inlineStr">
        <is>
          <t>CIS</t>
        </is>
      </c>
      <c r="I485" s="27" t="inlineStr">
        <is>
          <t>포괄손익계산서</t>
        </is>
      </c>
      <c r="J485" s="27" t="inlineStr">
        <is>
          <t>ifrs-full_ComprehensiveIncome</t>
        </is>
      </c>
      <c r="K485" s="27" t="inlineStr">
        <is>
          <t>총포괄손익</t>
        </is>
      </c>
      <c r="L485" s="27" t="inlineStr">
        <is>
          <t>-</t>
        </is>
      </c>
      <c r="M485" s="27" t="inlineStr">
        <is>
          <t>제 51 기</t>
        </is>
      </c>
      <c r="N485" s="27" t="inlineStr">
        <is>
          <t>112433867419.0</t>
        </is>
      </c>
      <c r="O485" s="27" t="inlineStr">
        <is>
          <t>145478300694.0</t>
        </is>
      </c>
      <c r="P485" s="27" t="inlineStr">
        <is>
          <t>KRW</t>
        </is>
      </c>
      <c r="Q485" s="27" t="inlineStr">
        <is>
          <t>13</t>
        </is>
      </c>
    </row>
    <row r="486" ht="24" customHeight="1">
      <c r="A486" s="32" t="inlineStr">
        <is>
          <t>OpenDART_fnlttSinglAcntAll</t>
        </is>
      </c>
      <c r="B486" s="32" t="inlineStr">
        <is>
          <t>00118804</t>
        </is>
      </c>
      <c r="C486" s="32" t="inlineStr">
        <is>
          <t>동진쎄미켐</t>
        </is>
      </c>
      <c r="D486" s="32" t="inlineStr">
        <is>
          <t>dongjin_semichem</t>
        </is>
      </c>
      <c r="E486" s="32" t="inlineStr">
        <is>
          <t>005290</t>
        </is>
      </c>
      <c r="F486" s="32" t="inlineStr">
        <is>
          <t>2023</t>
        </is>
      </c>
      <c r="G486" s="32" t="inlineStr">
        <is>
          <t>CFS</t>
        </is>
      </c>
      <c r="H486" s="32" t="inlineStr">
        <is>
          <t>CIS</t>
        </is>
      </c>
      <c r="I486" s="32" t="inlineStr">
        <is>
          <t>포괄손익계산서</t>
        </is>
      </c>
      <c r="J486" s="32" t="inlineStr">
        <is>
          <t>ifrs-full_ComprehensiveIncomeAttributableToNoncontrollingInterests</t>
        </is>
      </c>
      <c r="K486" s="32" t="inlineStr">
        <is>
          <t>비지배지분</t>
        </is>
      </c>
      <c r="L486" s="32" t="inlineStr">
        <is>
          <t>-</t>
        </is>
      </c>
      <c r="M486" s="32" t="inlineStr">
        <is>
          <t>제 51 기</t>
        </is>
      </c>
      <c r="N486" s="32" t="inlineStr">
        <is>
          <t>-3654121934.0</t>
        </is>
      </c>
      <c r="O486" s="32" t="inlineStr">
        <is>
          <t>-3573717966.0</t>
        </is>
      </c>
      <c r="P486" s="32" t="inlineStr">
        <is>
          <t>KRW</t>
        </is>
      </c>
      <c r="Q486" s="32" t="inlineStr">
        <is>
          <t>15</t>
        </is>
      </c>
    </row>
    <row r="487" ht="24" customHeight="1">
      <c r="A487" s="27" t="inlineStr">
        <is>
          <t>OpenDART_fnlttSinglAcntAll</t>
        </is>
      </c>
      <c r="B487" s="27" t="inlineStr">
        <is>
          <t>00118804</t>
        </is>
      </c>
      <c r="C487" s="27" t="inlineStr">
        <is>
          <t>동진쎄미켐</t>
        </is>
      </c>
      <c r="D487" s="27" t="inlineStr">
        <is>
          <t>dongjin_semichem</t>
        </is>
      </c>
      <c r="E487" s="27" t="inlineStr">
        <is>
          <t>005290</t>
        </is>
      </c>
      <c r="F487" s="27" t="inlineStr">
        <is>
          <t>2023</t>
        </is>
      </c>
      <c r="G487" s="27" t="inlineStr">
        <is>
          <t>CFS</t>
        </is>
      </c>
      <c r="H487" s="27" t="inlineStr">
        <is>
          <t>CIS</t>
        </is>
      </c>
      <c r="I487" s="27" t="inlineStr">
        <is>
          <t>포괄손익계산서</t>
        </is>
      </c>
      <c r="J487" s="27" t="inlineStr">
        <is>
          <t>ifrs-full_ComprehensiveIncomeAttributableToOwnersOfParent</t>
        </is>
      </c>
      <c r="K487" s="27" t="inlineStr">
        <is>
          <t>지배기업 소유주지분</t>
        </is>
      </c>
      <c r="L487" s="27" t="inlineStr">
        <is>
          <t>-</t>
        </is>
      </c>
      <c r="M487" s="27" t="inlineStr">
        <is>
          <t>제 51 기</t>
        </is>
      </c>
      <c r="N487" s="27" t="inlineStr">
        <is>
          <t>116087989353.0</t>
        </is>
      </c>
      <c r="O487" s="27" t="inlineStr">
        <is>
          <t>149052018660.0</t>
        </is>
      </c>
      <c r="P487" s="27" t="inlineStr">
        <is>
          <t>KRW</t>
        </is>
      </c>
      <c r="Q487" s="27" t="inlineStr">
        <is>
          <t>16</t>
        </is>
      </c>
    </row>
    <row r="488" ht="24" customHeight="1">
      <c r="A488" s="32" t="inlineStr">
        <is>
          <t>OpenDART_fnlttSinglAcntAll</t>
        </is>
      </c>
      <c r="B488" s="32" t="inlineStr">
        <is>
          <t>00118804</t>
        </is>
      </c>
      <c r="C488" s="32" t="inlineStr">
        <is>
          <t>동진쎄미켐</t>
        </is>
      </c>
      <c r="D488" s="32" t="inlineStr">
        <is>
          <t>dongjin_semichem</t>
        </is>
      </c>
      <c r="E488" s="32" t="inlineStr">
        <is>
          <t>005290</t>
        </is>
      </c>
      <c r="F488" s="32" t="inlineStr">
        <is>
          <t>2023</t>
        </is>
      </c>
      <c r="G488" s="32" t="inlineStr">
        <is>
          <t>CFS</t>
        </is>
      </c>
      <c r="H488" s="32" t="inlineStr">
        <is>
          <t>CIS</t>
        </is>
      </c>
      <c r="I488" s="32" t="inlineStr">
        <is>
          <t>포괄손익계산서</t>
        </is>
      </c>
      <c r="J488" s="32" t="inlineStr">
        <is>
          <t>ifrs-full_CostOfSales</t>
        </is>
      </c>
      <c r="K488" s="32" t="inlineStr">
        <is>
          <t>매출원가</t>
        </is>
      </c>
      <c r="L488" s="32" t="inlineStr">
        <is>
          <t>-</t>
        </is>
      </c>
      <c r="M488" s="32" t="inlineStr">
        <is>
          <t>제 51 기</t>
        </is>
      </c>
      <c r="N488" s="32" t="inlineStr">
        <is>
          <t>1009832300663.0</t>
        </is>
      </c>
      <c r="O488" s="32" t="inlineStr">
        <is>
          <t>1120425476950.0</t>
        </is>
      </c>
      <c r="P488" s="32" t="inlineStr">
        <is>
          <t>KRW</t>
        </is>
      </c>
      <c r="Q488" s="32" t="inlineStr">
        <is>
          <t>17</t>
        </is>
      </c>
    </row>
    <row r="489" ht="24" customHeight="1">
      <c r="A489" s="27" t="inlineStr">
        <is>
          <t>OpenDART_fnlttSinglAcntAll</t>
        </is>
      </c>
      <c r="B489" s="27" t="inlineStr">
        <is>
          <t>00118804</t>
        </is>
      </c>
      <c r="C489" s="27" t="inlineStr">
        <is>
          <t>동진쎄미켐</t>
        </is>
      </c>
      <c r="D489" s="27" t="inlineStr">
        <is>
          <t>dongjin_semichem</t>
        </is>
      </c>
      <c r="E489" s="27" t="inlineStr">
        <is>
          <t>005290</t>
        </is>
      </c>
      <c r="F489" s="27" t="inlineStr">
        <is>
          <t>2023</t>
        </is>
      </c>
      <c r="G489" s="27" t="inlineStr">
        <is>
          <t>CFS</t>
        </is>
      </c>
      <c r="H489" s="27" t="inlineStr">
        <is>
          <t>CIS</t>
        </is>
      </c>
      <c r="I489" s="27" t="inlineStr">
        <is>
          <t>포괄손익계산서</t>
        </is>
      </c>
      <c r="J489" s="27" t="inlineStr">
        <is>
          <t>ifrs-full_BasicEarningsLossPerShare</t>
        </is>
      </c>
      <c r="K489" s="27" t="inlineStr">
        <is>
          <t>기본주당이익(손실)</t>
        </is>
      </c>
      <c r="L489" s="27" t="inlineStr">
        <is>
          <t>-</t>
        </is>
      </c>
      <c r="M489" s="27" t="inlineStr">
        <is>
          <t>제 51 기</t>
        </is>
      </c>
      <c r="N489" s="27" t="inlineStr">
        <is>
          <t>2476.0</t>
        </is>
      </c>
      <c r="O489" s="27" t="inlineStr">
        <is>
          <t>3102.0</t>
        </is>
      </c>
      <c r="P489" s="27" t="inlineStr">
        <is>
          <t>KRW</t>
        </is>
      </c>
      <c r="Q489" s="27" t="inlineStr">
        <is>
          <t>19</t>
        </is>
      </c>
    </row>
    <row r="490" ht="24" customHeight="1">
      <c r="A490" s="32" t="inlineStr">
        <is>
          <t>OpenDART_fnlttSinglAcntAll</t>
        </is>
      </c>
      <c r="B490" s="32" t="inlineStr">
        <is>
          <t>00118804</t>
        </is>
      </c>
      <c r="C490" s="32" t="inlineStr">
        <is>
          <t>동진쎄미켐</t>
        </is>
      </c>
      <c r="D490" s="32" t="inlineStr">
        <is>
          <t>dongjin_semichem</t>
        </is>
      </c>
      <c r="E490" s="32" t="inlineStr">
        <is>
          <t>005290</t>
        </is>
      </c>
      <c r="F490" s="32" t="inlineStr">
        <is>
          <t>2023</t>
        </is>
      </c>
      <c r="G490" s="32" t="inlineStr">
        <is>
          <t>CFS</t>
        </is>
      </c>
      <c r="H490" s="32" t="inlineStr">
        <is>
          <t>CIS</t>
        </is>
      </c>
      <c r="I490" s="32" t="inlineStr">
        <is>
          <t>포괄손익계산서</t>
        </is>
      </c>
      <c r="J490" s="32" t="inlineStr">
        <is>
          <t>ifrs-full_DilutedEarningsLossPerShare</t>
        </is>
      </c>
      <c r="K490" s="32" t="inlineStr">
        <is>
          <t>희석주당이익(손실)</t>
        </is>
      </c>
      <c r="L490" s="32" t="inlineStr">
        <is>
          <t>-</t>
        </is>
      </c>
      <c r="M490" s="32" t="inlineStr">
        <is>
          <t>제 51 기</t>
        </is>
      </c>
      <c r="N490" s="32" t="inlineStr">
        <is>
          <t>2476.0</t>
        </is>
      </c>
      <c r="O490" s="32" t="inlineStr">
        <is>
          <t>3102.0</t>
        </is>
      </c>
      <c r="P490" s="32" t="inlineStr">
        <is>
          <t>KRW</t>
        </is>
      </c>
      <c r="Q490" s="32" t="inlineStr">
        <is>
          <t>20</t>
        </is>
      </c>
    </row>
    <row r="491" ht="24" customHeight="1">
      <c r="A491" s="27" t="inlineStr">
        <is>
          <t>OpenDART_fnlttSinglAcntAll</t>
        </is>
      </c>
      <c r="B491" s="27" t="inlineStr">
        <is>
          <t>00118804</t>
        </is>
      </c>
      <c r="C491" s="27" t="inlineStr">
        <is>
          <t>동진쎄미켐</t>
        </is>
      </c>
      <c r="D491" s="27" t="inlineStr">
        <is>
          <t>dongjin_semichem</t>
        </is>
      </c>
      <c r="E491" s="27" t="inlineStr">
        <is>
          <t>005290</t>
        </is>
      </c>
      <c r="F491" s="27" t="inlineStr">
        <is>
          <t>2023</t>
        </is>
      </c>
      <c r="G491" s="27" t="inlineStr">
        <is>
          <t>CFS</t>
        </is>
      </c>
      <c r="H491" s="27" t="inlineStr">
        <is>
          <t>CIS</t>
        </is>
      </c>
      <c r="I491" s="27" t="inlineStr">
        <is>
          <t>포괄손익계산서</t>
        </is>
      </c>
      <c r="J491" s="27" t="inlineStr">
        <is>
          <t>ifrs-full_FinanceCosts</t>
        </is>
      </c>
      <c r="K491" s="27" t="inlineStr">
        <is>
          <t>금융비용</t>
        </is>
      </c>
      <c r="L491" s="27" t="inlineStr">
        <is>
          <t>-</t>
        </is>
      </c>
      <c r="M491" s="27" t="inlineStr">
        <is>
          <t>제 51 기</t>
        </is>
      </c>
      <c r="N491" s="27" t="inlineStr">
        <is>
          <t>24884627846.0</t>
        </is>
      </c>
      <c r="O491" s="27" t="inlineStr">
        <is>
          <t>14783664788.0</t>
        </is>
      </c>
      <c r="P491" s="27" t="inlineStr">
        <is>
          <t>KRW</t>
        </is>
      </c>
      <c r="Q491" s="27" t="inlineStr">
        <is>
          <t>21</t>
        </is>
      </c>
    </row>
    <row r="492" ht="24" customHeight="1">
      <c r="A492" s="32" t="inlineStr">
        <is>
          <t>OpenDART_fnlttSinglAcntAll</t>
        </is>
      </c>
      <c r="B492" s="32" t="inlineStr">
        <is>
          <t>00118804</t>
        </is>
      </c>
      <c r="C492" s="32" t="inlineStr">
        <is>
          <t>동진쎄미켐</t>
        </is>
      </c>
      <c r="D492" s="32" t="inlineStr">
        <is>
          <t>dongjin_semichem</t>
        </is>
      </c>
      <c r="E492" s="32" t="inlineStr">
        <is>
          <t>005290</t>
        </is>
      </c>
      <c r="F492" s="32" t="inlineStr">
        <is>
          <t>2023</t>
        </is>
      </c>
      <c r="G492" s="32" t="inlineStr">
        <is>
          <t>CFS</t>
        </is>
      </c>
      <c r="H492" s="32" t="inlineStr">
        <is>
          <t>CIS</t>
        </is>
      </c>
      <c r="I492" s="32" t="inlineStr">
        <is>
          <t>포괄손익계산서</t>
        </is>
      </c>
      <c r="J492" s="32" t="inlineStr">
        <is>
          <t>ifrs-full_FinanceIncome</t>
        </is>
      </c>
      <c r="K492" s="32" t="inlineStr">
        <is>
          <t>금융수익</t>
        </is>
      </c>
      <c r="L492" s="32" t="inlineStr">
        <is>
          <t>-</t>
        </is>
      </c>
      <c r="M492" s="32" t="inlineStr">
        <is>
          <t>제 51 기</t>
        </is>
      </c>
      <c r="N492" s="32" t="inlineStr">
        <is>
          <t>10001622643.0</t>
        </is>
      </c>
      <c r="O492" s="32" t="inlineStr">
        <is>
          <t>3508830353.0</t>
        </is>
      </c>
      <c r="P492" s="32" t="inlineStr">
        <is>
          <t>KRW</t>
        </is>
      </c>
      <c r="Q492" s="32" t="inlineStr">
        <is>
          <t>22</t>
        </is>
      </c>
    </row>
    <row r="493" ht="24" customHeight="1">
      <c r="A493" s="27" t="inlineStr">
        <is>
          <t>OpenDART_fnlttSinglAcntAll</t>
        </is>
      </c>
      <c r="B493" s="27" t="inlineStr">
        <is>
          <t>00118804</t>
        </is>
      </c>
      <c r="C493" s="27" t="inlineStr">
        <is>
          <t>동진쎄미켐</t>
        </is>
      </c>
      <c r="D493" s="27" t="inlineStr">
        <is>
          <t>dongjin_semichem</t>
        </is>
      </c>
      <c r="E493" s="27" t="inlineStr">
        <is>
          <t>005290</t>
        </is>
      </c>
      <c r="F493" s="27" t="inlineStr">
        <is>
          <t>2023</t>
        </is>
      </c>
      <c r="G493" s="27" t="inlineStr">
        <is>
          <t>CFS</t>
        </is>
      </c>
      <c r="H493" s="27" t="inlineStr">
        <is>
          <t>CIS</t>
        </is>
      </c>
      <c r="I493" s="27" t="inlineStr">
        <is>
          <t>포괄손익계산서</t>
        </is>
      </c>
      <c r="J493" s="27" t="inlineStr">
        <is>
          <t>ifrs-full_GrossProfit</t>
        </is>
      </c>
      <c r="K493" s="27" t="inlineStr">
        <is>
          <t>매출총이익</t>
        </is>
      </c>
      <c r="L493" s="27" t="inlineStr">
        <is>
          <t>-</t>
        </is>
      </c>
      <c r="M493" s="27" t="inlineStr">
        <is>
          <t>제 51 기</t>
        </is>
      </c>
      <c r="N493" s="27" t="inlineStr">
        <is>
          <t>300092137327.0</t>
        </is>
      </c>
      <c r="O493" s="27" t="inlineStr">
        <is>
          <t>336789331357.0</t>
        </is>
      </c>
      <c r="P493" s="27" t="inlineStr">
        <is>
          <t>KRW</t>
        </is>
      </c>
      <c r="Q493" s="27" t="inlineStr">
        <is>
          <t>23</t>
        </is>
      </c>
    </row>
    <row r="494" ht="24" customHeight="1">
      <c r="A494" s="32" t="inlineStr">
        <is>
          <t>OpenDART_fnlttSinglAcntAll</t>
        </is>
      </c>
      <c r="B494" s="32" t="inlineStr">
        <is>
          <t>00118804</t>
        </is>
      </c>
      <c r="C494" s="32" t="inlineStr">
        <is>
          <t>동진쎄미켐</t>
        </is>
      </c>
      <c r="D494" s="32" t="inlineStr">
        <is>
          <t>dongjin_semichem</t>
        </is>
      </c>
      <c r="E494" s="32" t="inlineStr">
        <is>
          <t>005290</t>
        </is>
      </c>
      <c r="F494" s="32" t="inlineStr">
        <is>
          <t>2023</t>
        </is>
      </c>
      <c r="G494" s="32" t="inlineStr">
        <is>
          <t>CFS</t>
        </is>
      </c>
      <c r="H494" s="32" t="inlineStr">
        <is>
          <t>CIS</t>
        </is>
      </c>
      <c r="I494" s="32" t="inlineStr">
        <is>
          <t>포괄손익계산서</t>
        </is>
      </c>
      <c r="J494" s="32" t="inlineStr">
        <is>
          <t>ifrs-full_IncomeTaxExpenseContinuingOperations</t>
        </is>
      </c>
      <c r="K494" s="32" t="inlineStr">
        <is>
          <t>법인세비용</t>
        </is>
      </c>
      <c r="L494" s="32" t="inlineStr">
        <is>
          <t>-</t>
        </is>
      </c>
      <c r="M494" s="32" t="inlineStr">
        <is>
          <t>제 51 기</t>
        </is>
      </c>
      <c r="N494" s="32" t="inlineStr">
        <is>
          <t>39408743578.0</t>
        </is>
      </c>
      <c r="O494" s="32" t="inlineStr">
        <is>
          <t>54768645893.0</t>
        </is>
      </c>
      <c r="P494" s="32" t="inlineStr">
        <is>
          <t>KRW</t>
        </is>
      </c>
      <c r="Q494" s="32" t="inlineStr">
        <is>
          <t>24</t>
        </is>
      </c>
    </row>
    <row r="495" ht="24" customHeight="1">
      <c r="A495" s="27" t="inlineStr">
        <is>
          <t>OpenDART_fnlttSinglAcntAll</t>
        </is>
      </c>
      <c r="B495" s="27" t="inlineStr">
        <is>
          <t>00118804</t>
        </is>
      </c>
      <c r="C495" s="27" t="inlineStr">
        <is>
          <t>동진쎄미켐</t>
        </is>
      </c>
      <c r="D495" s="27" t="inlineStr">
        <is>
          <t>dongjin_semichem</t>
        </is>
      </c>
      <c r="E495" s="27" t="inlineStr">
        <is>
          <t>005290</t>
        </is>
      </c>
      <c r="F495" s="27" t="inlineStr">
        <is>
          <t>2023</t>
        </is>
      </c>
      <c r="G495" s="27" t="inlineStr">
        <is>
          <t>CFS</t>
        </is>
      </c>
      <c r="H495" s="27" t="inlineStr">
        <is>
          <t>CIS</t>
        </is>
      </c>
      <c r="I495" s="27" t="inlineStr">
        <is>
          <t>포괄손익계산서</t>
        </is>
      </c>
      <c r="J495" s="27" t="inlineStr">
        <is>
          <t>ifrs-full_OtherComprehensiveIncome</t>
        </is>
      </c>
      <c r="K495" s="27" t="inlineStr">
        <is>
          <t>법인세 반영 후 기타포괄손익</t>
        </is>
      </c>
      <c r="L495" s="27" t="inlineStr">
        <is>
          <t>-</t>
        </is>
      </c>
      <c r="M495" s="27" t="inlineStr">
        <is>
          <t>제 51 기</t>
        </is>
      </c>
      <c r="N495" s="27" t="inlineStr">
        <is>
          <t>-11100493167.0</t>
        </is>
      </c>
      <c r="O495" s="27" t="inlineStr">
        <is>
          <t>-10717015486.0</t>
        </is>
      </c>
      <c r="P495" s="27" t="inlineStr">
        <is>
          <t>KRW</t>
        </is>
      </c>
      <c r="Q495" s="27" t="inlineStr">
        <is>
          <t>25</t>
        </is>
      </c>
    </row>
    <row r="496" ht="24" customHeight="1">
      <c r="A496" s="32" t="inlineStr">
        <is>
          <t>OpenDART_fnlttSinglAcntAll</t>
        </is>
      </c>
      <c r="B496" s="32" t="inlineStr">
        <is>
          <t>00118804</t>
        </is>
      </c>
      <c r="C496" s="32" t="inlineStr">
        <is>
          <t>동진쎄미켐</t>
        </is>
      </c>
      <c r="D496" s="32" t="inlineStr">
        <is>
          <t>dongjin_semichem</t>
        </is>
      </c>
      <c r="E496" s="32" t="inlineStr">
        <is>
          <t>005290</t>
        </is>
      </c>
      <c r="F496" s="32" t="inlineStr">
        <is>
          <t>2023</t>
        </is>
      </c>
      <c r="G496" s="32" t="inlineStr">
        <is>
          <t>CFS</t>
        </is>
      </c>
      <c r="H496" s="32" t="inlineStr">
        <is>
          <t>CIS</t>
        </is>
      </c>
      <c r="I496" s="32" t="inlineStr">
        <is>
          <t>포괄손익계산서</t>
        </is>
      </c>
      <c r="J496" s="32" t="inlineStr">
        <is>
          <t>ifrs-full_OtherComprehensiveIncomeThatWillBeReclassifiedToProfitOrLossNetOfTax</t>
        </is>
      </c>
      <c r="K496" s="32" t="inlineStr">
        <is>
          <t>후속기간에 당기손익으로 재분류되는 포괄손익</t>
        </is>
      </c>
      <c r="L496" s="32" t="inlineStr">
        <is>
          <t>-</t>
        </is>
      </c>
      <c r="M496" s="32" t="inlineStr">
        <is>
          <t>제 51 기</t>
        </is>
      </c>
      <c r="N496" s="32" t="inlineStr">
        <is>
          <t>1553836304.0</t>
        </is>
      </c>
      <c r="O496" s="32" t="inlineStr">
        <is>
          <t>-10045763886.0</t>
        </is>
      </c>
      <c r="P496" s="32" t="inlineStr">
        <is>
          <t>KRW</t>
        </is>
      </c>
      <c r="Q496" s="32" t="inlineStr">
        <is>
          <t>26</t>
        </is>
      </c>
    </row>
    <row r="497" ht="24" customHeight="1">
      <c r="A497" s="27" t="inlineStr">
        <is>
          <t>OpenDART_fnlttSinglAcntAll</t>
        </is>
      </c>
      <c r="B497" s="27" t="inlineStr">
        <is>
          <t>00118804</t>
        </is>
      </c>
      <c r="C497" s="27" t="inlineStr">
        <is>
          <t>동진쎄미켐</t>
        </is>
      </c>
      <c r="D497" s="27" t="inlineStr">
        <is>
          <t>dongjin_semichem</t>
        </is>
      </c>
      <c r="E497" s="27" t="inlineStr">
        <is>
          <t>005290</t>
        </is>
      </c>
      <c r="F497" s="27" t="inlineStr">
        <is>
          <t>2023</t>
        </is>
      </c>
      <c r="G497" s="27" t="inlineStr">
        <is>
          <t>CFS</t>
        </is>
      </c>
      <c r="H497" s="27" t="inlineStr">
        <is>
          <t>CIS</t>
        </is>
      </c>
      <c r="I497" s="27" t="inlineStr">
        <is>
          <t>포괄손익계산서</t>
        </is>
      </c>
      <c r="J497" s="27" t="inlineStr">
        <is>
          <t>-표준계정코드 미사용-</t>
        </is>
      </c>
      <c r="K497" s="27" t="inlineStr">
        <is>
          <t>지분법자본변동</t>
        </is>
      </c>
      <c r="L497" s="27" t="inlineStr">
        <is>
          <t>-</t>
        </is>
      </c>
      <c r="M497" s="27" t="inlineStr">
        <is>
          <t>제 51 기</t>
        </is>
      </c>
      <c r="N497" s="27" t="inlineStr">
        <is>
          <t>44323127.0</t>
        </is>
      </c>
      <c r="O497" s="27" t="inlineStr">
        <is>
          <t>-118498035.0</t>
        </is>
      </c>
      <c r="P497" s="27" t="inlineStr">
        <is>
          <t>KRW</t>
        </is>
      </c>
      <c r="Q497" s="27" t="inlineStr">
        <is>
          <t>27</t>
        </is>
      </c>
    </row>
    <row r="498" ht="24" customHeight="1">
      <c r="A498" s="32" t="inlineStr">
        <is>
          <t>OpenDART_fnlttSinglAcntAll</t>
        </is>
      </c>
      <c r="B498" s="32" t="inlineStr">
        <is>
          <t>00118804</t>
        </is>
      </c>
      <c r="C498" s="32" t="inlineStr">
        <is>
          <t>동진쎄미켐</t>
        </is>
      </c>
      <c r="D498" s="32" t="inlineStr">
        <is>
          <t>dongjin_semichem</t>
        </is>
      </c>
      <c r="E498" s="32" t="inlineStr">
        <is>
          <t>005290</t>
        </is>
      </c>
      <c r="F498" s="32" t="inlineStr">
        <is>
          <t>2023</t>
        </is>
      </c>
      <c r="G498" s="32" t="inlineStr">
        <is>
          <t>CFS</t>
        </is>
      </c>
      <c r="H498" s="32" t="inlineStr">
        <is>
          <t>CIS</t>
        </is>
      </c>
      <c r="I498" s="32" t="inlineStr">
        <is>
          <t>포괄손익계산서</t>
        </is>
      </c>
      <c r="J498" s="32" t="inlineStr">
        <is>
          <t>-표준계정코드 미사용-</t>
        </is>
      </c>
      <c r="K498" s="32" t="inlineStr">
        <is>
          <t>해외사업환산손익</t>
        </is>
      </c>
      <c r="L498" s="32" t="inlineStr">
        <is>
          <t>-</t>
        </is>
      </c>
      <c r="M498" s="32" t="inlineStr">
        <is>
          <t>제 51 기</t>
        </is>
      </c>
      <c r="N498" s="32" t="inlineStr">
        <is>
          <t>1483976350.0</t>
        </is>
      </c>
      <c r="O498" s="32" t="inlineStr">
        <is>
          <t>-10176741854.0</t>
        </is>
      </c>
      <c r="P498" s="32" t="inlineStr">
        <is>
          <t>KRW</t>
        </is>
      </c>
      <c r="Q498" s="32" t="inlineStr">
        <is>
          <t>28</t>
        </is>
      </c>
    </row>
    <row r="499" ht="24" customHeight="1">
      <c r="A499" s="27" t="inlineStr">
        <is>
          <t>OpenDART_fnlttSinglAcntAll</t>
        </is>
      </c>
      <c r="B499" s="27" t="inlineStr">
        <is>
          <t>00118804</t>
        </is>
      </c>
      <c r="C499" s="27" t="inlineStr">
        <is>
          <t>동진쎄미켐</t>
        </is>
      </c>
      <c r="D499" s="27" t="inlineStr">
        <is>
          <t>dongjin_semichem</t>
        </is>
      </c>
      <c r="E499" s="27" t="inlineStr">
        <is>
          <t>005290</t>
        </is>
      </c>
      <c r="F499" s="27" t="inlineStr">
        <is>
          <t>2023</t>
        </is>
      </c>
      <c r="G499" s="27" t="inlineStr">
        <is>
          <t>CFS</t>
        </is>
      </c>
      <c r="H499" s="27" t="inlineStr">
        <is>
          <t>CIS</t>
        </is>
      </c>
      <c r="I499" s="27" t="inlineStr">
        <is>
          <t>포괄손익계산서</t>
        </is>
      </c>
      <c r="J499" s="27" t="inlineStr">
        <is>
          <t>-표준계정코드 미사용-</t>
        </is>
      </c>
      <c r="K499" s="27" t="inlineStr">
        <is>
          <t>법인세효과</t>
        </is>
      </c>
      <c r="L499" s="27" t="inlineStr">
        <is>
          <t>-</t>
        </is>
      </c>
      <c r="M499" s="27" t="inlineStr">
        <is>
          <t>제 51 기</t>
        </is>
      </c>
      <c r="N499" s="27" t="inlineStr">
        <is>
          <t>25536827.0</t>
        </is>
      </c>
      <c r="O499" s="27" t="inlineStr">
        <is>
          <t>249476003.0</t>
        </is>
      </c>
      <c r="P499" s="27" t="inlineStr">
        <is>
          <t>KRW</t>
        </is>
      </c>
      <c r="Q499" s="27" t="inlineStr">
        <is>
          <t>29</t>
        </is>
      </c>
    </row>
    <row r="500" ht="24" customHeight="1">
      <c r="A500" s="32" t="inlineStr">
        <is>
          <t>OpenDART_fnlttSinglAcntAll</t>
        </is>
      </c>
      <c r="B500" s="32" t="inlineStr">
        <is>
          <t>00118804</t>
        </is>
      </c>
      <c r="C500" s="32" t="inlineStr">
        <is>
          <t>동진쎄미켐</t>
        </is>
      </c>
      <c r="D500" s="32" t="inlineStr">
        <is>
          <t>dongjin_semichem</t>
        </is>
      </c>
      <c r="E500" s="32" t="inlineStr">
        <is>
          <t>005290</t>
        </is>
      </c>
      <c r="F500" s="32" t="inlineStr">
        <is>
          <t>2023</t>
        </is>
      </c>
      <c r="G500" s="32" t="inlineStr">
        <is>
          <t>CFS</t>
        </is>
      </c>
      <c r="H500" s="32" t="inlineStr">
        <is>
          <t>CIS</t>
        </is>
      </c>
      <c r="I500" s="32" t="inlineStr">
        <is>
          <t>포괄손익계산서</t>
        </is>
      </c>
      <c r="J500" s="32" t="inlineStr">
        <is>
          <t>ifrs-full_OtherComprehensiveIncomeThatWillNotBeReclassifiedToProfitOrLossNetOfTax</t>
        </is>
      </c>
      <c r="K500" s="32" t="inlineStr">
        <is>
          <t>후속기간에 당기손익으로 재분류되지 않는 포괄손익</t>
        </is>
      </c>
      <c r="L500" s="32" t="inlineStr">
        <is>
          <t>-</t>
        </is>
      </c>
      <c r="M500" s="32" t="inlineStr">
        <is>
          <t>제 51 기</t>
        </is>
      </c>
      <c r="N500" s="32" t="inlineStr">
        <is>
          <t>-12654329471.0</t>
        </is>
      </c>
      <c r="O500" s="32" t="inlineStr">
        <is>
          <t>-671251600.0</t>
        </is>
      </c>
      <c r="P500" s="32" t="inlineStr">
        <is>
          <t>KRW</t>
        </is>
      </c>
      <c r="Q500" s="32" t="inlineStr">
        <is>
          <t>30</t>
        </is>
      </c>
    </row>
    <row r="501" ht="24" customHeight="1">
      <c r="A501" s="27" t="inlineStr">
        <is>
          <t>OpenDART_fnlttSinglAcntAll</t>
        </is>
      </c>
      <c r="B501" s="27" t="inlineStr">
        <is>
          <t>00118804</t>
        </is>
      </c>
      <c r="C501" s="27" t="inlineStr">
        <is>
          <t>동진쎄미켐</t>
        </is>
      </c>
      <c r="D501" s="27" t="inlineStr">
        <is>
          <t>dongjin_semichem</t>
        </is>
      </c>
      <c r="E501" s="27" t="inlineStr">
        <is>
          <t>005290</t>
        </is>
      </c>
      <c r="F501" s="27" t="inlineStr">
        <is>
          <t>2023</t>
        </is>
      </c>
      <c r="G501" s="27" t="inlineStr">
        <is>
          <t>CFS</t>
        </is>
      </c>
      <c r="H501" s="27" t="inlineStr">
        <is>
          <t>CIS</t>
        </is>
      </c>
      <c r="I501" s="27" t="inlineStr">
        <is>
          <t>포괄손익계산서</t>
        </is>
      </c>
      <c r="J501" s="27" t="inlineStr">
        <is>
          <t>-표준계정코드 미사용-</t>
        </is>
      </c>
      <c r="K501" s="27" t="inlineStr">
        <is>
          <t>법인세효과</t>
        </is>
      </c>
      <c r="L501" s="27" t="inlineStr">
        <is>
          <t>-</t>
        </is>
      </c>
      <c r="M501" s="27" t="inlineStr">
        <is>
          <t>제 51 기</t>
        </is>
      </c>
      <c r="N501" s="27" t="inlineStr">
        <is>
          <t>3501193783.0</t>
        </is>
      </c>
      <c r="O501" s="27" t="inlineStr">
        <is>
          <t>216776943.0</t>
        </is>
      </c>
      <c r="P501" s="27" t="inlineStr">
        <is>
          <t>KRW</t>
        </is>
      </c>
      <c r="Q501" s="27" t="inlineStr">
        <is>
          <t>31</t>
        </is>
      </c>
    </row>
    <row r="502" ht="24" customHeight="1">
      <c r="A502" s="32" t="inlineStr">
        <is>
          <t>OpenDART_fnlttSinglAcntAll</t>
        </is>
      </c>
      <c r="B502" s="32" t="inlineStr">
        <is>
          <t>00118804</t>
        </is>
      </c>
      <c r="C502" s="32" t="inlineStr">
        <is>
          <t>동진쎄미켐</t>
        </is>
      </c>
      <c r="D502" s="32" t="inlineStr">
        <is>
          <t>dongjin_semichem</t>
        </is>
      </c>
      <c r="E502" s="32" t="inlineStr">
        <is>
          <t>005290</t>
        </is>
      </c>
      <c r="F502" s="32" t="inlineStr">
        <is>
          <t>2023</t>
        </is>
      </c>
      <c r="G502" s="32" t="inlineStr">
        <is>
          <t>CFS</t>
        </is>
      </c>
      <c r="H502" s="32" t="inlineStr">
        <is>
          <t>CIS</t>
        </is>
      </c>
      <c r="I502" s="32" t="inlineStr">
        <is>
          <t>포괄손익계산서</t>
        </is>
      </c>
      <c r="J502" s="32" t="inlineStr">
        <is>
          <t>-표준계정코드 미사용-</t>
        </is>
      </c>
      <c r="K502" s="32" t="inlineStr">
        <is>
          <t>순확정급여부채 재측정요소</t>
        </is>
      </c>
      <c r="L502" s="32" t="inlineStr">
        <is>
          <t>-</t>
        </is>
      </c>
      <c r="M502" s="32" t="inlineStr">
        <is>
          <t>제 51 기</t>
        </is>
      </c>
      <c r="N502" s="32" t="inlineStr">
        <is>
          <t>-16155523254.0</t>
        </is>
      </c>
      <c r="O502" s="32" t="inlineStr">
        <is>
          <t>-888028543.0</t>
        </is>
      </c>
      <c r="P502" s="32" t="inlineStr">
        <is>
          <t>KRW</t>
        </is>
      </c>
      <c r="Q502" s="32" t="inlineStr">
        <is>
          <t>32</t>
        </is>
      </c>
    </row>
    <row r="503" ht="24" customHeight="1">
      <c r="A503" s="27" t="inlineStr">
        <is>
          <t>OpenDART_fnlttSinglAcntAll</t>
        </is>
      </c>
      <c r="B503" s="27" t="inlineStr">
        <is>
          <t>00118804</t>
        </is>
      </c>
      <c r="C503" s="27" t="inlineStr">
        <is>
          <t>동진쎄미켐</t>
        </is>
      </c>
      <c r="D503" s="27" t="inlineStr">
        <is>
          <t>dongjin_semichem</t>
        </is>
      </c>
      <c r="E503" s="27" t="inlineStr">
        <is>
          <t>005290</t>
        </is>
      </c>
      <c r="F503" s="27" t="inlineStr">
        <is>
          <t>2023</t>
        </is>
      </c>
      <c r="G503" s="27" t="inlineStr">
        <is>
          <t>CFS</t>
        </is>
      </c>
      <c r="H503" s="27" t="inlineStr">
        <is>
          <t>CIS</t>
        </is>
      </c>
      <c r="I503" s="27" t="inlineStr">
        <is>
          <t>포괄손익계산서</t>
        </is>
      </c>
      <c r="J503" s="27" t="inlineStr">
        <is>
          <t>ifrs-full_ProfitLoss</t>
        </is>
      </c>
      <c r="K503" s="27" t="inlineStr">
        <is>
          <t>당기순이익</t>
        </is>
      </c>
      <c r="L503" s="27" t="inlineStr">
        <is>
          <t>-</t>
        </is>
      </c>
      <c r="M503" s="27" t="inlineStr">
        <is>
          <t>제 51 기</t>
        </is>
      </c>
      <c r="N503" s="27" t="inlineStr">
        <is>
          <t>123534360586.0</t>
        </is>
      </c>
      <c r="O503" s="27" t="inlineStr">
        <is>
          <t>156195316180.0</t>
        </is>
      </c>
      <c r="P503" s="27" t="inlineStr">
        <is>
          <t>KRW</t>
        </is>
      </c>
      <c r="Q503" s="27" t="inlineStr">
        <is>
          <t>33</t>
        </is>
      </c>
    </row>
    <row r="504" ht="24" customHeight="1">
      <c r="A504" s="32" t="inlineStr">
        <is>
          <t>OpenDART_fnlttSinglAcntAll</t>
        </is>
      </c>
      <c r="B504" s="32" t="inlineStr">
        <is>
          <t>00118804</t>
        </is>
      </c>
      <c r="C504" s="32" t="inlineStr">
        <is>
          <t>동진쎄미켐</t>
        </is>
      </c>
      <c r="D504" s="32" t="inlineStr">
        <is>
          <t>dongjin_semichem</t>
        </is>
      </c>
      <c r="E504" s="32" t="inlineStr">
        <is>
          <t>005290</t>
        </is>
      </c>
      <c r="F504" s="32" t="inlineStr">
        <is>
          <t>2023</t>
        </is>
      </c>
      <c r="G504" s="32" t="inlineStr">
        <is>
          <t>CFS</t>
        </is>
      </c>
      <c r="H504" s="32" t="inlineStr">
        <is>
          <t>CIS</t>
        </is>
      </c>
      <c r="I504" s="32" t="inlineStr">
        <is>
          <t>포괄손익계산서</t>
        </is>
      </c>
      <c r="J504" s="32" t="inlineStr">
        <is>
          <t>ifrs-full_ProfitLossAttributableToNoncontrollingInterests</t>
        </is>
      </c>
      <c r="K504" s="32" t="inlineStr">
        <is>
          <t>비지배지분</t>
        </is>
      </c>
      <c r="L504" s="32" t="inlineStr">
        <is>
          <t>-</t>
        </is>
      </c>
      <c r="M504" s="32" t="inlineStr">
        <is>
          <t>제 51 기</t>
        </is>
      </c>
      <c r="N504" s="32" t="inlineStr">
        <is>
          <t>-3780490219.0</t>
        </is>
      </c>
      <c r="O504" s="32" t="inlineStr">
        <is>
          <t>-3283743734.0</t>
        </is>
      </c>
      <c r="P504" s="32" t="inlineStr">
        <is>
          <t>KRW</t>
        </is>
      </c>
      <c r="Q504" s="32" t="inlineStr">
        <is>
          <t>35</t>
        </is>
      </c>
    </row>
    <row r="505" ht="24" customHeight="1">
      <c r="A505" s="27" t="inlineStr">
        <is>
          <t>OpenDART_fnlttSinglAcntAll</t>
        </is>
      </c>
      <c r="B505" s="27" t="inlineStr">
        <is>
          <t>00118804</t>
        </is>
      </c>
      <c r="C505" s="27" t="inlineStr">
        <is>
          <t>동진쎄미켐</t>
        </is>
      </c>
      <c r="D505" s="27" t="inlineStr">
        <is>
          <t>dongjin_semichem</t>
        </is>
      </c>
      <c r="E505" s="27" t="inlineStr">
        <is>
          <t>005290</t>
        </is>
      </c>
      <c r="F505" s="27" t="inlineStr">
        <is>
          <t>2023</t>
        </is>
      </c>
      <c r="G505" s="27" t="inlineStr">
        <is>
          <t>CFS</t>
        </is>
      </c>
      <c r="H505" s="27" t="inlineStr">
        <is>
          <t>CIS</t>
        </is>
      </c>
      <c r="I505" s="27" t="inlineStr">
        <is>
          <t>포괄손익계산서</t>
        </is>
      </c>
      <c r="J505" s="27" t="inlineStr">
        <is>
          <t>ifrs-full_ProfitLossAttributableToOwnersOfParent</t>
        </is>
      </c>
      <c r="K505" s="27" t="inlineStr">
        <is>
          <t>지배기업 소유주지분</t>
        </is>
      </c>
      <c r="L505" s="27" t="inlineStr">
        <is>
          <t>-</t>
        </is>
      </c>
      <c r="M505" s="27" t="inlineStr">
        <is>
          <t>제 51 기</t>
        </is>
      </c>
      <c r="N505" s="27" t="inlineStr">
        <is>
          <t>127314850805.0</t>
        </is>
      </c>
      <c r="O505" s="27" t="inlineStr">
        <is>
          <t>159479059914.0</t>
        </is>
      </c>
      <c r="P505" s="27" t="inlineStr">
        <is>
          <t>KRW</t>
        </is>
      </c>
      <c r="Q505" s="27" t="inlineStr">
        <is>
          <t>36</t>
        </is>
      </c>
    </row>
    <row r="506" ht="24" customHeight="1">
      <c r="A506" s="32" t="inlineStr">
        <is>
          <t>OpenDART_fnlttSinglAcntAll</t>
        </is>
      </c>
      <c r="B506" s="32" t="inlineStr">
        <is>
          <t>00118804</t>
        </is>
      </c>
      <c r="C506" s="32" t="inlineStr">
        <is>
          <t>동진쎄미켐</t>
        </is>
      </c>
      <c r="D506" s="32" t="inlineStr">
        <is>
          <t>dongjin_semichem</t>
        </is>
      </c>
      <c r="E506" s="32" t="inlineStr">
        <is>
          <t>005290</t>
        </is>
      </c>
      <c r="F506" s="32" t="inlineStr">
        <is>
          <t>2023</t>
        </is>
      </c>
      <c r="G506" s="32" t="inlineStr">
        <is>
          <t>CFS</t>
        </is>
      </c>
      <c r="H506" s="32" t="inlineStr">
        <is>
          <t>CIS</t>
        </is>
      </c>
      <c r="I506" s="32" t="inlineStr">
        <is>
          <t>포괄손익계산서</t>
        </is>
      </c>
      <c r="J506" s="32" t="inlineStr">
        <is>
          <t>ifrs-full_ProfitLossBeforeTax</t>
        </is>
      </c>
      <c r="K506" s="32" t="inlineStr">
        <is>
          <t>법인세비용차감전순이익</t>
        </is>
      </c>
      <c r="L506" s="32" t="inlineStr">
        <is>
          <t>-</t>
        </is>
      </c>
      <c r="M506" s="32" t="inlineStr">
        <is>
          <t>제 51 기</t>
        </is>
      </c>
      <c r="N506" s="32" t="inlineStr">
        <is>
          <t>162943104164.0</t>
        </is>
      </c>
      <c r="O506" s="32" t="inlineStr">
        <is>
          <t>210963962073.0</t>
        </is>
      </c>
      <c r="P506" s="32" t="inlineStr">
        <is>
          <t>KRW</t>
        </is>
      </c>
      <c r="Q506" s="32" t="inlineStr">
        <is>
          <t>37</t>
        </is>
      </c>
    </row>
    <row r="507" ht="24" customHeight="1">
      <c r="A507" s="27" t="inlineStr">
        <is>
          <t>OpenDART_fnlttSinglAcntAll</t>
        </is>
      </c>
      <c r="B507" s="27" t="inlineStr">
        <is>
          <t>00118804</t>
        </is>
      </c>
      <c r="C507" s="27" t="inlineStr">
        <is>
          <t>동진쎄미켐</t>
        </is>
      </c>
      <c r="D507" s="27" t="inlineStr">
        <is>
          <t>dongjin_semichem</t>
        </is>
      </c>
      <c r="E507" s="27" t="inlineStr">
        <is>
          <t>005290</t>
        </is>
      </c>
      <c r="F507" s="27" t="inlineStr">
        <is>
          <t>2023</t>
        </is>
      </c>
      <c r="G507" s="27" t="inlineStr">
        <is>
          <t>CFS</t>
        </is>
      </c>
      <c r="H507" s="27" t="inlineStr">
        <is>
          <t>CIS</t>
        </is>
      </c>
      <c r="I507" s="27" t="inlineStr">
        <is>
          <t>포괄손익계산서</t>
        </is>
      </c>
      <c r="J507" s="27" t="inlineStr">
        <is>
          <t>ifrs-full_Revenue</t>
        </is>
      </c>
      <c r="K507" s="27" t="inlineStr">
        <is>
          <t>수익</t>
        </is>
      </c>
      <c r="L507" s="27" t="inlineStr">
        <is>
          <t>-</t>
        </is>
      </c>
      <c r="M507" s="27" t="inlineStr">
        <is>
          <t>제 51 기</t>
        </is>
      </c>
      <c r="N507" s="27" t="inlineStr">
        <is>
          <t>1309924437990.0</t>
        </is>
      </c>
      <c r="O507" s="27" t="inlineStr">
        <is>
          <t>1457214808307.0</t>
        </is>
      </c>
      <c r="P507" s="27" t="inlineStr">
        <is>
          <t>KRW</t>
        </is>
      </c>
      <c r="Q507" s="27" t="inlineStr">
        <is>
          <t>38</t>
        </is>
      </c>
    </row>
    <row r="508" ht="24" customHeight="1">
      <c r="A508" s="32" t="inlineStr">
        <is>
          <t>OpenDART_fnlttSinglAcntAll</t>
        </is>
      </c>
      <c r="B508" s="32" t="inlineStr">
        <is>
          <t>00118804</t>
        </is>
      </c>
      <c r="C508" s="32" t="inlineStr">
        <is>
          <t>동진쎄미켐</t>
        </is>
      </c>
      <c r="D508" s="32" t="inlineStr">
        <is>
          <t>dongjin_semichem</t>
        </is>
      </c>
      <c r="E508" s="32" t="inlineStr">
        <is>
          <t>005290</t>
        </is>
      </c>
      <c r="F508" s="32" t="inlineStr">
        <is>
          <t>2023</t>
        </is>
      </c>
      <c r="G508" s="32" t="inlineStr">
        <is>
          <t>CFS</t>
        </is>
      </c>
      <c r="H508" s="32" t="inlineStr">
        <is>
          <t>CF</t>
        </is>
      </c>
      <c r="I508" s="32" t="inlineStr">
        <is>
          <t>현금흐름표</t>
        </is>
      </c>
      <c r="J508" s="32" t="inlineStr">
        <is>
          <t>dart_CashAndCashEquivalentsAtBeginningOfPeriodCf</t>
        </is>
      </c>
      <c r="K508" s="32" t="inlineStr">
        <is>
          <t>기초현금및현금성자산</t>
        </is>
      </c>
      <c r="L508" s="32" t="inlineStr">
        <is>
          <t>-</t>
        </is>
      </c>
      <c r="M508" s="32" t="inlineStr">
        <is>
          <t>제 51 기</t>
        </is>
      </c>
      <c r="N508" s="32" t="inlineStr">
        <is>
          <t>280458844748.0</t>
        </is>
      </c>
      <c r="O508" s="32" t="inlineStr">
        <is>
          <t>231211989608.0</t>
        </is>
      </c>
      <c r="P508" s="32" t="inlineStr">
        <is>
          <t>KRW</t>
        </is>
      </c>
      <c r="Q508" s="32" t="inlineStr">
        <is>
          <t>2</t>
        </is>
      </c>
    </row>
    <row r="509" ht="24" customHeight="1">
      <c r="A509" s="27" t="inlineStr">
        <is>
          <t>OpenDART_fnlttSinglAcntAll</t>
        </is>
      </c>
      <c r="B509" s="27" t="inlineStr">
        <is>
          <t>00118804</t>
        </is>
      </c>
      <c r="C509" s="27" t="inlineStr">
        <is>
          <t>동진쎄미켐</t>
        </is>
      </c>
      <c r="D509" s="27" t="inlineStr">
        <is>
          <t>dongjin_semichem</t>
        </is>
      </c>
      <c r="E509" s="27" t="inlineStr">
        <is>
          <t>005290</t>
        </is>
      </c>
      <c r="F509" s="27" t="inlineStr">
        <is>
          <t>2023</t>
        </is>
      </c>
      <c r="G509" s="27" t="inlineStr">
        <is>
          <t>CFS</t>
        </is>
      </c>
      <c r="H509" s="27" t="inlineStr">
        <is>
          <t>CF</t>
        </is>
      </c>
      <c r="I509" s="27" t="inlineStr">
        <is>
          <t>현금흐름표</t>
        </is>
      </c>
      <c r="J509" s="27" t="inlineStr">
        <is>
          <t>dart_CashAndCashEquivalentsAtEndOfPeriodCf</t>
        </is>
      </c>
      <c r="K509" s="27" t="inlineStr">
        <is>
          <t>기말현금및현금성자산</t>
        </is>
      </c>
      <c r="L509" s="27" t="inlineStr">
        <is>
          <t>-</t>
        </is>
      </c>
      <c r="M509" s="27" t="inlineStr">
        <is>
          <t>제 51 기</t>
        </is>
      </c>
      <c r="N509" s="27" t="inlineStr">
        <is>
          <t>272560514431.0</t>
        </is>
      </c>
      <c r="O509" s="27" t="inlineStr">
        <is>
          <t>280458844748.0</t>
        </is>
      </c>
      <c r="P509" s="27" t="inlineStr">
        <is>
          <t>KRW</t>
        </is>
      </c>
      <c r="Q509" s="27" t="inlineStr">
        <is>
          <t>3</t>
        </is>
      </c>
    </row>
    <row r="510" ht="24" customHeight="1">
      <c r="A510" s="32" t="inlineStr">
        <is>
          <t>OpenDART_fnlttSinglAcntAll</t>
        </is>
      </c>
      <c r="B510" s="32" t="inlineStr">
        <is>
          <t>00118804</t>
        </is>
      </c>
      <c r="C510" s="32" t="inlineStr">
        <is>
          <t>동진쎄미켐</t>
        </is>
      </c>
      <c r="D510" s="32" t="inlineStr">
        <is>
          <t>dongjin_semichem</t>
        </is>
      </c>
      <c r="E510" s="32" t="inlineStr">
        <is>
          <t>005290</t>
        </is>
      </c>
      <c r="F510" s="32" t="inlineStr">
        <is>
          <t>2023</t>
        </is>
      </c>
      <c r="G510" s="32" t="inlineStr">
        <is>
          <t>CFS</t>
        </is>
      </c>
      <c r="H510" s="32" t="inlineStr">
        <is>
          <t>CF</t>
        </is>
      </c>
      <c r="I510" s="32" t="inlineStr">
        <is>
          <t>현금흐름표</t>
        </is>
      </c>
      <c r="J510" s="32" t="inlineStr">
        <is>
          <t>ifrs-full_CashFlowsFromUsedInFinancingActivities</t>
        </is>
      </c>
      <c r="K510" s="32" t="inlineStr">
        <is>
          <t>재무활동현금흐름</t>
        </is>
      </c>
      <c r="L510" s="32" t="inlineStr">
        <is>
          <t>-</t>
        </is>
      </c>
      <c r="M510" s="32" t="inlineStr">
        <is>
          <t>제 51 기</t>
        </is>
      </c>
      <c r="N510" s="32" t="inlineStr">
        <is>
          <t>136915539516.0</t>
        </is>
      </c>
      <c r="O510" s="32" t="inlineStr">
        <is>
          <t>10248562076.0</t>
        </is>
      </c>
      <c r="P510" s="32" t="inlineStr">
        <is>
          <t>KRW</t>
        </is>
      </c>
      <c r="Q510" s="32" t="inlineStr">
        <is>
          <t>8</t>
        </is>
      </c>
    </row>
    <row r="511" ht="24" customHeight="1">
      <c r="A511" s="27" t="inlineStr">
        <is>
          <t>OpenDART_fnlttSinglAcntAll</t>
        </is>
      </c>
      <c r="B511" s="27" t="inlineStr">
        <is>
          <t>00118804</t>
        </is>
      </c>
      <c r="C511" s="27" t="inlineStr">
        <is>
          <t>동진쎄미켐</t>
        </is>
      </c>
      <c r="D511" s="27" t="inlineStr">
        <is>
          <t>dongjin_semichem</t>
        </is>
      </c>
      <c r="E511" s="27" t="inlineStr">
        <is>
          <t>005290</t>
        </is>
      </c>
      <c r="F511" s="27" t="inlineStr">
        <is>
          <t>2023</t>
        </is>
      </c>
      <c r="G511" s="27" t="inlineStr">
        <is>
          <t>CFS</t>
        </is>
      </c>
      <c r="H511" s="27" t="inlineStr">
        <is>
          <t>CF</t>
        </is>
      </c>
      <c r="I511" s="27" t="inlineStr">
        <is>
          <t>현금흐름표</t>
        </is>
      </c>
      <c r="J511" s="27" t="inlineStr">
        <is>
          <t>dart_PaymentsOfFinanceLeaseLiabilitiesClassifiedAsFinancingActivities</t>
        </is>
      </c>
      <c r="K511" s="27" t="inlineStr">
        <is>
          <t>리스부채의 감소</t>
        </is>
      </c>
      <c r="L511" s="27" t="inlineStr">
        <is>
          <t>-</t>
        </is>
      </c>
      <c r="M511" s="27" t="inlineStr">
        <is>
          <t>제 51 기</t>
        </is>
      </c>
      <c r="N511" s="27" t="inlineStr">
        <is>
          <t>9080076442.0</t>
        </is>
      </c>
      <c r="O511" s="27" t="inlineStr">
        <is>
          <t>8360067279.0</t>
        </is>
      </c>
      <c r="P511" s="27" t="inlineStr">
        <is>
          <t>KRW</t>
        </is>
      </c>
      <c r="Q511" s="27" t="inlineStr">
        <is>
          <t>9</t>
        </is>
      </c>
    </row>
    <row r="512" ht="24" customHeight="1">
      <c r="A512" s="32" t="inlineStr">
        <is>
          <t>OpenDART_fnlttSinglAcntAll</t>
        </is>
      </c>
      <c r="B512" s="32" t="inlineStr">
        <is>
          <t>00118804</t>
        </is>
      </c>
      <c r="C512" s="32" t="inlineStr">
        <is>
          <t>동진쎄미켐</t>
        </is>
      </c>
      <c r="D512" s="32" t="inlineStr">
        <is>
          <t>dongjin_semichem</t>
        </is>
      </c>
      <c r="E512" s="32" t="inlineStr">
        <is>
          <t>005290</t>
        </is>
      </c>
      <c r="F512" s="32" t="inlineStr">
        <is>
          <t>2023</t>
        </is>
      </c>
      <c r="G512" s="32" t="inlineStr">
        <is>
          <t>CFS</t>
        </is>
      </c>
      <c r="H512" s="32" t="inlineStr">
        <is>
          <t>CF</t>
        </is>
      </c>
      <c r="I512" s="32" t="inlineStr">
        <is>
          <t>현금흐름표</t>
        </is>
      </c>
      <c r="J512" s="32" t="inlineStr">
        <is>
          <t>dart_ProceedsFromLongTermBorrowings</t>
        </is>
      </c>
      <c r="K512" s="32" t="inlineStr">
        <is>
          <t>장기차입금의 차입</t>
        </is>
      </c>
      <c r="L512" s="32" t="inlineStr">
        <is>
          <t>-</t>
        </is>
      </c>
      <c r="M512" s="32" t="inlineStr">
        <is>
          <t>제 51 기</t>
        </is>
      </c>
      <c r="N512" s="32" t="inlineStr">
        <is>
          <t>134328093378.0</t>
        </is>
      </c>
      <c r="O512" s="32" t="inlineStr">
        <is>
          <t>31884193738.0</t>
        </is>
      </c>
      <c r="P512" s="32" t="inlineStr">
        <is>
          <t>KRW</t>
        </is>
      </c>
      <c r="Q512" s="32" t="inlineStr">
        <is>
          <t>10</t>
        </is>
      </c>
    </row>
    <row r="513" ht="24" customHeight="1">
      <c r="A513" s="27" t="inlineStr">
        <is>
          <t>OpenDART_fnlttSinglAcntAll</t>
        </is>
      </c>
      <c r="B513" s="27" t="inlineStr">
        <is>
          <t>00118804</t>
        </is>
      </c>
      <c r="C513" s="27" t="inlineStr">
        <is>
          <t>동진쎄미켐</t>
        </is>
      </c>
      <c r="D513" s="27" t="inlineStr">
        <is>
          <t>dongjin_semichem</t>
        </is>
      </c>
      <c r="E513" s="27" t="inlineStr">
        <is>
          <t>005290</t>
        </is>
      </c>
      <c r="F513" s="27" t="inlineStr">
        <is>
          <t>2023</t>
        </is>
      </c>
      <c r="G513" s="27" t="inlineStr">
        <is>
          <t>CFS</t>
        </is>
      </c>
      <c r="H513" s="27" t="inlineStr">
        <is>
          <t>CF</t>
        </is>
      </c>
      <c r="I513" s="27" t="inlineStr">
        <is>
          <t>현금흐름표</t>
        </is>
      </c>
      <c r="J513" s="27" t="inlineStr">
        <is>
          <t>dart_ProceedsFromShortTermBorrowings</t>
        </is>
      </c>
      <c r="K513" s="27" t="inlineStr">
        <is>
          <t>단기차입금의 차입</t>
        </is>
      </c>
      <c r="L513" s="27" t="inlineStr">
        <is>
          <t>-</t>
        </is>
      </c>
      <c r="M513" s="27" t="inlineStr">
        <is>
          <t>제 51 기</t>
        </is>
      </c>
      <c r="N513" s="27" t="inlineStr">
        <is>
          <t>368410825863.0</t>
        </is>
      </c>
      <c r="O513" s="27" t="inlineStr">
        <is>
          <t>319109636204.0</t>
        </is>
      </c>
      <c r="P513" s="27" t="inlineStr">
        <is>
          <t>KRW</t>
        </is>
      </c>
      <c r="Q513" s="27" t="inlineStr">
        <is>
          <t>11</t>
        </is>
      </c>
    </row>
    <row r="514" ht="24" customHeight="1">
      <c r="A514" s="32" t="inlineStr">
        <is>
          <t>OpenDART_fnlttSinglAcntAll</t>
        </is>
      </c>
      <c r="B514" s="32" t="inlineStr">
        <is>
          <t>00118804</t>
        </is>
      </c>
      <c r="C514" s="32" t="inlineStr">
        <is>
          <t>동진쎄미켐</t>
        </is>
      </c>
      <c r="D514" s="32" t="inlineStr">
        <is>
          <t>dongjin_semichem</t>
        </is>
      </c>
      <c r="E514" s="32" t="inlineStr">
        <is>
          <t>005290</t>
        </is>
      </c>
      <c r="F514" s="32" t="inlineStr">
        <is>
          <t>2023</t>
        </is>
      </c>
      <c r="G514" s="32" t="inlineStr">
        <is>
          <t>CFS</t>
        </is>
      </c>
      <c r="H514" s="32" t="inlineStr">
        <is>
          <t>CF</t>
        </is>
      </c>
      <c r="I514" s="32" t="inlineStr">
        <is>
          <t>현금흐름표</t>
        </is>
      </c>
      <c r="J514" s="32" t="inlineStr">
        <is>
          <t>dart_RepaymentsOfLongTermBorrowings</t>
        </is>
      </c>
      <c r="K514" s="32" t="inlineStr">
        <is>
          <t>장기차입금의 상환</t>
        </is>
      </c>
      <c r="L514" s="32" t="inlineStr">
        <is>
          <t>-</t>
        </is>
      </c>
      <c r="M514" s="32" t="inlineStr">
        <is>
          <t>제 51 기</t>
        </is>
      </c>
      <c r="N514" s="32" t="inlineStr">
        <is>
          <t>29382730252.0</t>
        </is>
      </c>
      <c r="O514" s="32" t="inlineStr">
        <is>
          <t>20085062322.0</t>
        </is>
      </c>
      <c r="P514" s="32" t="inlineStr">
        <is>
          <t>KRW</t>
        </is>
      </c>
      <c r="Q514" s="32" t="inlineStr">
        <is>
          <t>12</t>
        </is>
      </c>
    </row>
    <row r="515" ht="24" customHeight="1">
      <c r="A515" s="27" t="inlineStr">
        <is>
          <t>OpenDART_fnlttSinglAcntAll</t>
        </is>
      </c>
      <c r="B515" s="27" t="inlineStr">
        <is>
          <t>00118804</t>
        </is>
      </c>
      <c r="C515" s="27" t="inlineStr">
        <is>
          <t>동진쎄미켐</t>
        </is>
      </c>
      <c r="D515" s="27" t="inlineStr">
        <is>
          <t>dongjin_semichem</t>
        </is>
      </c>
      <c r="E515" s="27" t="inlineStr">
        <is>
          <t>005290</t>
        </is>
      </c>
      <c r="F515" s="27" t="inlineStr">
        <is>
          <t>2023</t>
        </is>
      </c>
      <c r="G515" s="27" t="inlineStr">
        <is>
          <t>CFS</t>
        </is>
      </c>
      <c r="H515" s="27" t="inlineStr">
        <is>
          <t>CF</t>
        </is>
      </c>
      <c r="I515" s="27" t="inlineStr">
        <is>
          <t>현금흐름표</t>
        </is>
      </c>
      <c r="J515" s="27" t="inlineStr">
        <is>
          <t>dart_RepaymentsOfShortTermBorrowings</t>
        </is>
      </c>
      <c r="K515" s="27" t="inlineStr">
        <is>
          <t>단기차입금의 상환</t>
        </is>
      </c>
      <c r="L515" s="27" t="inlineStr">
        <is>
          <t>-</t>
        </is>
      </c>
      <c r="M515" s="27" t="inlineStr">
        <is>
          <t>제 51 기</t>
        </is>
      </c>
      <c r="N515" s="27" t="inlineStr">
        <is>
          <t>339950488553.0</t>
        </is>
      </c>
      <c r="O515" s="27" t="inlineStr">
        <is>
          <t>306575701446.0</t>
        </is>
      </c>
      <c r="P515" s="27" t="inlineStr">
        <is>
          <t>KRW</t>
        </is>
      </c>
      <c r="Q515" s="27" t="inlineStr">
        <is>
          <t>13</t>
        </is>
      </c>
    </row>
    <row r="516" ht="24" customHeight="1">
      <c r="A516" s="32" t="inlineStr">
        <is>
          <t>OpenDART_fnlttSinglAcntAll</t>
        </is>
      </c>
      <c r="B516" s="32" t="inlineStr">
        <is>
          <t>00118804</t>
        </is>
      </c>
      <c r="C516" s="32" t="inlineStr">
        <is>
          <t>동진쎄미켐</t>
        </is>
      </c>
      <c r="D516" s="32" t="inlineStr">
        <is>
          <t>dongjin_semichem</t>
        </is>
      </c>
      <c r="E516" s="32" t="inlineStr">
        <is>
          <t>005290</t>
        </is>
      </c>
      <c r="F516" s="32" t="inlineStr">
        <is>
          <t>2023</t>
        </is>
      </c>
      <c r="G516" s="32" t="inlineStr">
        <is>
          <t>CFS</t>
        </is>
      </c>
      <c r="H516" s="32" t="inlineStr">
        <is>
          <t>CF</t>
        </is>
      </c>
      <c r="I516" s="32" t="inlineStr">
        <is>
          <t>현금흐름표</t>
        </is>
      </c>
      <c r="J516" s="32" t="inlineStr">
        <is>
          <t>-표준계정코드 미사용-</t>
        </is>
      </c>
      <c r="K516" s="32" t="inlineStr">
        <is>
          <t>종속기업투자의 추가취득</t>
        </is>
      </c>
      <c r="L516" s="32" t="inlineStr">
        <is>
          <t>-</t>
        </is>
      </c>
      <c r="M516" s="32" t="inlineStr">
        <is>
          <t>제 51 기</t>
        </is>
      </c>
      <c r="N516" s="32" t="inlineStr">
        <is>
          <t>0.0</t>
        </is>
      </c>
      <c r="O516" s="32" t="inlineStr">
        <is>
          <t>0.0</t>
        </is>
      </c>
      <c r="P516" s="32" t="inlineStr">
        <is>
          <t>KRW</t>
        </is>
      </c>
      <c r="Q516" s="32" t="inlineStr">
        <is>
          <t>14</t>
        </is>
      </c>
    </row>
    <row r="517" ht="24" customHeight="1">
      <c r="A517" s="27" t="inlineStr">
        <is>
          <t>OpenDART_fnlttSinglAcntAll</t>
        </is>
      </c>
      <c r="B517" s="27" t="inlineStr">
        <is>
          <t>00118804</t>
        </is>
      </c>
      <c r="C517" s="27" t="inlineStr">
        <is>
          <t>동진쎄미켐</t>
        </is>
      </c>
      <c r="D517" s="27" t="inlineStr">
        <is>
          <t>dongjin_semichem</t>
        </is>
      </c>
      <c r="E517" s="27" t="inlineStr">
        <is>
          <t>005290</t>
        </is>
      </c>
      <c r="F517" s="27" t="inlineStr">
        <is>
          <t>2023</t>
        </is>
      </c>
      <c r="G517" s="27" t="inlineStr">
        <is>
          <t>CFS</t>
        </is>
      </c>
      <c r="H517" s="27" t="inlineStr">
        <is>
          <t>CF</t>
        </is>
      </c>
      <c r="I517" s="27" t="inlineStr">
        <is>
          <t>현금흐름표</t>
        </is>
      </c>
      <c r="J517" s="27" t="inlineStr">
        <is>
          <t>ifrs-full_DividendsPaidClassifiedAsFinancingActivities</t>
        </is>
      </c>
      <c r="K517" s="27" t="inlineStr">
        <is>
          <t>배당금의 지급</t>
        </is>
      </c>
      <c r="L517" s="27" t="inlineStr">
        <is>
          <t>-</t>
        </is>
      </c>
      <c r="M517" s="27" t="inlineStr">
        <is>
          <t>제 51 기</t>
        </is>
      </c>
      <c r="N517" s="27" t="inlineStr">
        <is>
          <t>6751084478.0</t>
        </is>
      </c>
      <c r="O517" s="27" t="inlineStr">
        <is>
          <t>5724865729.0</t>
        </is>
      </c>
      <c r="P517" s="27" t="inlineStr">
        <is>
          <t>KRW</t>
        </is>
      </c>
      <c r="Q517" s="27" t="inlineStr">
        <is>
          <t>15</t>
        </is>
      </c>
    </row>
    <row r="518" ht="24" customHeight="1">
      <c r="A518" s="32" t="inlineStr">
        <is>
          <t>OpenDART_fnlttSinglAcntAll</t>
        </is>
      </c>
      <c r="B518" s="32" t="inlineStr">
        <is>
          <t>00118804</t>
        </is>
      </c>
      <c r="C518" s="32" t="inlineStr">
        <is>
          <t>동진쎄미켐</t>
        </is>
      </c>
      <c r="D518" s="32" t="inlineStr">
        <is>
          <t>dongjin_semichem</t>
        </is>
      </c>
      <c r="E518" s="32" t="inlineStr">
        <is>
          <t>005290</t>
        </is>
      </c>
      <c r="F518" s="32" t="inlineStr">
        <is>
          <t>2023</t>
        </is>
      </c>
      <c r="G518" s="32" t="inlineStr">
        <is>
          <t>CFS</t>
        </is>
      </c>
      <c r="H518" s="32" t="inlineStr">
        <is>
          <t>CF</t>
        </is>
      </c>
      <c r="I518" s="32" t="inlineStr">
        <is>
          <t>현금흐름표</t>
        </is>
      </c>
      <c r="J518" s="32" t="inlineStr">
        <is>
          <t>ifrs-full_ProceedsFromIssuingShares</t>
        </is>
      </c>
      <c r="K518" s="32" t="inlineStr">
        <is>
          <t>유상증자</t>
        </is>
      </c>
      <c r="L518" s="32" t="inlineStr">
        <is>
          <t>-</t>
        </is>
      </c>
      <c r="M518" s="32" t="inlineStr">
        <is>
          <t>제 51 기</t>
        </is>
      </c>
      <c r="N518" s="32" t="inlineStr">
        <is>
          <t>19341000000.0</t>
        </is>
      </c>
      <c r="O518" s="32" t="inlineStr">
        <is>
          <t>428910.0</t>
        </is>
      </c>
      <c r="P518" s="32" t="inlineStr">
        <is>
          <t>KRW</t>
        </is>
      </c>
      <c r="Q518" s="32" t="inlineStr">
        <is>
          <t>16</t>
        </is>
      </c>
    </row>
    <row r="519" ht="24" customHeight="1">
      <c r="A519" s="27" t="inlineStr">
        <is>
          <t>OpenDART_fnlttSinglAcntAll</t>
        </is>
      </c>
      <c r="B519" s="27" t="inlineStr">
        <is>
          <t>00118804</t>
        </is>
      </c>
      <c r="C519" s="27" t="inlineStr">
        <is>
          <t>동진쎄미켐</t>
        </is>
      </c>
      <c r="D519" s="27" t="inlineStr">
        <is>
          <t>dongjin_semichem</t>
        </is>
      </c>
      <c r="E519" s="27" t="inlineStr">
        <is>
          <t>005290</t>
        </is>
      </c>
      <c r="F519" s="27" t="inlineStr">
        <is>
          <t>2023</t>
        </is>
      </c>
      <c r="G519" s="27" t="inlineStr">
        <is>
          <t>CFS</t>
        </is>
      </c>
      <c r="H519" s="27" t="inlineStr">
        <is>
          <t>CF</t>
        </is>
      </c>
      <c r="I519" s="27" t="inlineStr">
        <is>
          <t>현금흐름표</t>
        </is>
      </c>
      <c r="J519" s="27" t="inlineStr">
        <is>
          <t>ifrs-full_CashFlowsFromUsedInInvestingActivities</t>
        </is>
      </c>
      <c r="K519" s="27" t="inlineStr">
        <is>
          <t>투자활동현금흐름</t>
        </is>
      </c>
      <c r="L519" s="27" t="inlineStr">
        <is>
          <t>-</t>
        </is>
      </c>
      <c r="M519" s="27" t="inlineStr">
        <is>
          <t>제 51 기</t>
        </is>
      </c>
      <c r="N519" s="27" t="inlineStr">
        <is>
          <t>-260654256749.0</t>
        </is>
      </c>
      <c r="O519" s="27" t="inlineStr">
        <is>
          <t>-147320572980.0</t>
        </is>
      </c>
      <c r="P519" s="27" t="inlineStr">
        <is>
          <t>KRW</t>
        </is>
      </c>
      <c r="Q519" s="27" t="inlineStr">
        <is>
          <t>17</t>
        </is>
      </c>
    </row>
    <row r="520" ht="24" customHeight="1">
      <c r="A520" s="32" t="inlineStr">
        <is>
          <t>OpenDART_fnlttSinglAcntAll</t>
        </is>
      </c>
      <c r="B520" s="32" t="inlineStr">
        <is>
          <t>00118804</t>
        </is>
      </c>
      <c r="C520" s="32" t="inlineStr">
        <is>
          <t>동진쎄미켐</t>
        </is>
      </c>
      <c r="D520" s="32" t="inlineStr">
        <is>
          <t>dongjin_semichem</t>
        </is>
      </c>
      <c r="E520" s="32" t="inlineStr">
        <is>
          <t>005290</t>
        </is>
      </c>
      <c r="F520" s="32" t="inlineStr">
        <is>
          <t>2023</t>
        </is>
      </c>
      <c r="G520" s="32" t="inlineStr">
        <is>
          <t>CFS</t>
        </is>
      </c>
      <c r="H520" s="32" t="inlineStr">
        <is>
          <t>CF</t>
        </is>
      </c>
      <c r="I520" s="32" t="inlineStr">
        <is>
          <t>현금흐름표</t>
        </is>
      </c>
      <c r="J520" s="32" t="inlineStr">
        <is>
          <t>dart_ProceedsFromSalesOfInvestmentsInAssociates</t>
        </is>
      </c>
      <c r="K520" s="32" t="inlineStr">
        <is>
          <t>관계기업투자의 처분</t>
        </is>
      </c>
      <c r="L520" s="32" t="inlineStr">
        <is>
          <t>-</t>
        </is>
      </c>
      <c r="M520" s="32" t="inlineStr">
        <is>
          <t>제 51 기</t>
        </is>
      </c>
      <c r="N520" s="32" t="inlineStr">
        <is>
          <t>53852970.0</t>
        </is>
      </c>
      <c r="O520" s="32" t="inlineStr">
        <is>
          <t>0.0</t>
        </is>
      </c>
      <c r="P520" s="32" t="inlineStr">
        <is>
          <t>KRW</t>
        </is>
      </c>
      <c r="Q520" s="32" t="inlineStr">
        <is>
          <t>18</t>
        </is>
      </c>
    </row>
    <row r="521" ht="24" customHeight="1">
      <c r="A521" s="27" t="inlineStr">
        <is>
          <t>OpenDART_fnlttSinglAcntAll</t>
        </is>
      </c>
      <c r="B521" s="27" t="inlineStr">
        <is>
          <t>00118804</t>
        </is>
      </c>
      <c r="C521" s="27" t="inlineStr">
        <is>
          <t>동진쎄미켐</t>
        </is>
      </c>
      <c r="D521" s="27" t="inlineStr">
        <is>
          <t>dongjin_semichem</t>
        </is>
      </c>
      <c r="E521" s="27" t="inlineStr">
        <is>
          <t>005290</t>
        </is>
      </c>
      <c r="F521" s="27" t="inlineStr">
        <is>
          <t>2023</t>
        </is>
      </c>
      <c r="G521" s="27" t="inlineStr">
        <is>
          <t>CFS</t>
        </is>
      </c>
      <c r="H521" s="27" t="inlineStr">
        <is>
          <t>CF</t>
        </is>
      </c>
      <c r="I521" s="27" t="inlineStr">
        <is>
          <t>현금흐름표</t>
        </is>
      </c>
      <c r="J521" s="27" t="inlineStr">
        <is>
          <t>dart_PurchaseOfInvestmentsInAssociates</t>
        </is>
      </c>
      <c r="K521" s="27" t="inlineStr">
        <is>
          <t>관계기업투자의 취득</t>
        </is>
      </c>
      <c r="L521" s="27" t="inlineStr">
        <is>
          <t>-</t>
        </is>
      </c>
      <c r="M521" s="27" t="inlineStr">
        <is>
          <t>제 51 기</t>
        </is>
      </c>
      <c r="N521" s="27" t="inlineStr">
        <is>
          <t>0.0</t>
        </is>
      </c>
      <c r="O521" s="27" t="inlineStr">
        <is>
          <t>0.0</t>
        </is>
      </c>
      <c r="P521" s="27" t="inlineStr">
        <is>
          <t>KRW</t>
        </is>
      </c>
      <c r="Q521" s="27" t="inlineStr">
        <is>
          <t>19</t>
        </is>
      </c>
    </row>
    <row r="522" ht="24" customHeight="1">
      <c r="A522" s="32" t="inlineStr">
        <is>
          <t>OpenDART_fnlttSinglAcntAll</t>
        </is>
      </c>
      <c r="B522" s="32" t="inlineStr">
        <is>
          <t>00118804</t>
        </is>
      </c>
      <c r="C522" s="32" t="inlineStr">
        <is>
          <t>동진쎄미켐</t>
        </is>
      </c>
      <c r="D522" s="32" t="inlineStr">
        <is>
          <t>dongjin_semichem</t>
        </is>
      </c>
      <c r="E522" s="32" t="inlineStr">
        <is>
          <t>005290</t>
        </is>
      </c>
      <c r="F522" s="32" t="inlineStr">
        <is>
          <t>2023</t>
        </is>
      </c>
      <c r="G522" s="32" t="inlineStr">
        <is>
          <t>CFS</t>
        </is>
      </c>
      <c r="H522" s="32" t="inlineStr">
        <is>
          <t>CF</t>
        </is>
      </c>
      <c r="I522" s="32" t="inlineStr">
        <is>
          <t>현금흐름표</t>
        </is>
      </c>
      <c r="J522" s="32" t="inlineStr">
        <is>
          <t>dart_PurchaseOfLongTermFinancialInstruments</t>
        </is>
      </c>
      <c r="K522" s="32" t="inlineStr">
        <is>
          <t>장기금융상품의 취득</t>
        </is>
      </c>
      <c r="L522" s="32" t="inlineStr">
        <is>
          <t>-</t>
        </is>
      </c>
      <c r="M522" s="32" t="inlineStr">
        <is>
          <t>제 51 기</t>
        </is>
      </c>
      <c r="N522" s="32" t="inlineStr">
        <is>
          <t>0.0</t>
        </is>
      </c>
      <c r="O522" s="32" t="inlineStr">
        <is>
          <t>0.0</t>
        </is>
      </c>
      <c r="P522" s="32" t="inlineStr">
        <is>
          <t>KRW</t>
        </is>
      </c>
      <c r="Q522" s="32" t="inlineStr">
        <is>
          <t>20</t>
        </is>
      </c>
    </row>
    <row r="523" ht="24" customHeight="1">
      <c r="A523" s="27" t="inlineStr">
        <is>
          <t>OpenDART_fnlttSinglAcntAll</t>
        </is>
      </c>
      <c r="B523" s="27" t="inlineStr">
        <is>
          <t>00118804</t>
        </is>
      </c>
      <c r="C523" s="27" t="inlineStr">
        <is>
          <t>동진쎄미켐</t>
        </is>
      </c>
      <c r="D523" s="27" t="inlineStr">
        <is>
          <t>dongjin_semichem</t>
        </is>
      </c>
      <c r="E523" s="27" t="inlineStr">
        <is>
          <t>005290</t>
        </is>
      </c>
      <c r="F523" s="27" t="inlineStr">
        <is>
          <t>2023</t>
        </is>
      </c>
      <c r="G523" s="27" t="inlineStr">
        <is>
          <t>CFS</t>
        </is>
      </c>
      <c r="H523" s="27" t="inlineStr">
        <is>
          <t>CF</t>
        </is>
      </c>
      <c r="I523" s="27" t="inlineStr">
        <is>
          <t>현금흐름표</t>
        </is>
      </c>
      <c r="J523" s="27" t="inlineStr">
        <is>
          <t>dart_PurchaseOfShortTermFinancialInstruments</t>
        </is>
      </c>
      <c r="K523" s="27" t="inlineStr">
        <is>
          <t>단기금융자산의 취득</t>
        </is>
      </c>
      <c r="L523" s="27" t="inlineStr">
        <is>
          <t>-</t>
        </is>
      </c>
      <c r="M523" s="27" t="inlineStr">
        <is>
          <t>제 51 기</t>
        </is>
      </c>
      <c r="N523" s="27" t="inlineStr">
        <is>
          <t>132649751980.0</t>
        </is>
      </c>
      <c r="O523" s="27" t="inlineStr">
        <is>
          <t>119066928800.0</t>
        </is>
      </c>
      <c r="P523" s="27" t="inlineStr">
        <is>
          <t>KRW</t>
        </is>
      </c>
      <c r="Q523" s="27" t="inlineStr">
        <is>
          <t>21</t>
        </is>
      </c>
    </row>
    <row r="524" ht="24" customHeight="1">
      <c r="A524" s="32" t="inlineStr">
        <is>
          <t>OpenDART_fnlttSinglAcntAll</t>
        </is>
      </c>
      <c r="B524" s="32" t="inlineStr">
        <is>
          <t>00118804</t>
        </is>
      </c>
      <c r="C524" s="32" t="inlineStr">
        <is>
          <t>동진쎄미켐</t>
        </is>
      </c>
      <c r="D524" s="32" t="inlineStr">
        <is>
          <t>dongjin_semichem</t>
        </is>
      </c>
      <c r="E524" s="32" t="inlineStr">
        <is>
          <t>005290</t>
        </is>
      </c>
      <c r="F524" s="32" t="inlineStr">
        <is>
          <t>2023</t>
        </is>
      </c>
      <c r="G524" s="32" t="inlineStr">
        <is>
          <t>CFS</t>
        </is>
      </c>
      <c r="H524" s="32" t="inlineStr">
        <is>
          <t>CF</t>
        </is>
      </c>
      <c r="I524" s="32" t="inlineStr">
        <is>
          <t>현금흐름표</t>
        </is>
      </c>
      <c r="J524" s="32" t="inlineStr">
        <is>
          <t>-표준계정코드 미사용-</t>
        </is>
      </c>
      <c r="K524" s="32" t="inlineStr">
        <is>
          <t>파생상품자산의 취득</t>
        </is>
      </c>
      <c r="L524" s="32" t="inlineStr">
        <is>
          <t>-</t>
        </is>
      </c>
      <c r="M524" s="32" t="inlineStr">
        <is>
          <t>제 51 기</t>
        </is>
      </c>
      <c r="N524" s="32" t="inlineStr">
        <is>
          <t>0.0</t>
        </is>
      </c>
      <c r="O524" s="32" t="inlineStr">
        <is>
          <t>0.0</t>
        </is>
      </c>
      <c r="P524" s="32" t="inlineStr">
        <is>
          <t>KRW</t>
        </is>
      </c>
      <c r="Q524" s="32" t="inlineStr">
        <is>
          <t>22</t>
        </is>
      </c>
    </row>
    <row r="525" ht="24" customHeight="1">
      <c r="A525" s="27" t="inlineStr">
        <is>
          <t>OpenDART_fnlttSinglAcntAll</t>
        </is>
      </c>
      <c r="B525" s="27" t="inlineStr">
        <is>
          <t>00118804</t>
        </is>
      </c>
      <c r="C525" s="27" t="inlineStr">
        <is>
          <t>동진쎄미켐</t>
        </is>
      </c>
      <c r="D525" s="27" t="inlineStr">
        <is>
          <t>dongjin_semichem</t>
        </is>
      </c>
      <c r="E525" s="27" t="inlineStr">
        <is>
          <t>005290</t>
        </is>
      </c>
      <c r="F525" s="27" t="inlineStr">
        <is>
          <t>2023</t>
        </is>
      </c>
      <c r="G525" s="27" t="inlineStr">
        <is>
          <t>CFS</t>
        </is>
      </c>
      <c r="H525" s="27" t="inlineStr">
        <is>
          <t>CF</t>
        </is>
      </c>
      <c r="I525" s="27" t="inlineStr">
        <is>
          <t>현금흐름표</t>
        </is>
      </c>
      <c r="J525" s="27" t="inlineStr">
        <is>
          <t>-표준계정코드 미사용-</t>
        </is>
      </c>
      <c r="K525" s="27" t="inlineStr">
        <is>
          <t>단기대여금의 회수</t>
        </is>
      </c>
      <c r="L525" s="27" t="inlineStr">
        <is>
          <t>-</t>
        </is>
      </c>
      <c r="M525" s="27" t="inlineStr">
        <is>
          <t>제 51 기</t>
        </is>
      </c>
      <c r="N525" s="27" t="inlineStr">
        <is>
          <t>0.0</t>
        </is>
      </c>
      <c r="O525" s="27" t="inlineStr">
        <is>
          <t>316090500.0</t>
        </is>
      </c>
      <c r="P525" s="27" t="inlineStr">
        <is>
          <t>KRW</t>
        </is>
      </c>
      <c r="Q525" s="27" t="inlineStr">
        <is>
          <t>23</t>
        </is>
      </c>
    </row>
    <row r="526" ht="24" customHeight="1">
      <c r="A526" s="32" t="inlineStr">
        <is>
          <t>OpenDART_fnlttSinglAcntAll</t>
        </is>
      </c>
      <c r="B526" s="32" t="inlineStr">
        <is>
          <t>00118804</t>
        </is>
      </c>
      <c r="C526" s="32" t="inlineStr">
        <is>
          <t>동진쎄미켐</t>
        </is>
      </c>
      <c r="D526" s="32" t="inlineStr">
        <is>
          <t>dongjin_semichem</t>
        </is>
      </c>
      <c r="E526" s="32" t="inlineStr">
        <is>
          <t>005290</t>
        </is>
      </c>
      <c r="F526" s="32" t="inlineStr">
        <is>
          <t>2023</t>
        </is>
      </c>
      <c r="G526" s="32" t="inlineStr">
        <is>
          <t>CFS</t>
        </is>
      </c>
      <c r="H526" s="32" t="inlineStr">
        <is>
          <t>CF</t>
        </is>
      </c>
      <c r="I526" s="32" t="inlineStr">
        <is>
          <t>현금흐름표</t>
        </is>
      </c>
      <c r="J526" s="32" t="inlineStr">
        <is>
          <t>-표준계정코드 미사용-</t>
        </is>
      </c>
      <c r="K526" s="32" t="inlineStr">
        <is>
          <t>단기대여금의 대여</t>
        </is>
      </c>
      <c r="L526" s="32" t="inlineStr">
        <is>
          <t>-</t>
        </is>
      </c>
      <c r="M526" s="32" t="inlineStr">
        <is>
          <t>제 51 기</t>
        </is>
      </c>
      <c r="N526" s="32" t="inlineStr">
        <is>
          <t>0.0</t>
        </is>
      </c>
      <c r="O526" s="32" t="inlineStr">
        <is>
          <t>0.0</t>
        </is>
      </c>
      <c r="P526" s="32" t="inlineStr">
        <is>
          <t>KRW</t>
        </is>
      </c>
      <c r="Q526" s="32" t="inlineStr">
        <is>
          <t>24</t>
        </is>
      </c>
    </row>
    <row r="527" ht="24" customHeight="1">
      <c r="A527" s="27" t="inlineStr">
        <is>
          <t>OpenDART_fnlttSinglAcntAll</t>
        </is>
      </c>
      <c r="B527" s="27" t="inlineStr">
        <is>
          <t>00118804</t>
        </is>
      </c>
      <c r="C527" s="27" t="inlineStr">
        <is>
          <t>동진쎄미켐</t>
        </is>
      </c>
      <c r="D527" s="27" t="inlineStr">
        <is>
          <t>dongjin_semichem</t>
        </is>
      </c>
      <c r="E527" s="27" t="inlineStr">
        <is>
          <t>005290</t>
        </is>
      </c>
      <c r="F527" s="27" t="inlineStr">
        <is>
          <t>2023</t>
        </is>
      </c>
      <c r="G527" s="27" t="inlineStr">
        <is>
          <t>CFS</t>
        </is>
      </c>
      <c r="H527" s="27" t="inlineStr">
        <is>
          <t>CF</t>
        </is>
      </c>
      <c r="I527" s="27" t="inlineStr">
        <is>
          <t>현금흐름표</t>
        </is>
      </c>
      <c r="J527" s="27" t="inlineStr">
        <is>
          <t>-표준계정코드 미사용-</t>
        </is>
      </c>
      <c r="K527" s="27" t="inlineStr">
        <is>
          <t>단기금융자산의 감소</t>
        </is>
      </c>
      <c r="L527" s="27" t="inlineStr">
        <is>
          <t>-</t>
        </is>
      </c>
      <c r="M527" s="27" t="inlineStr">
        <is>
          <t>제 51 기</t>
        </is>
      </c>
      <c r="N527" s="27" t="inlineStr">
        <is>
          <t>152849690000.0</t>
        </is>
      </c>
      <c r="O527" s="27" t="inlineStr">
        <is>
          <t>63393081300.0</t>
        </is>
      </c>
      <c r="P527" s="27" t="inlineStr">
        <is>
          <t>KRW</t>
        </is>
      </c>
      <c r="Q527" s="27" t="inlineStr">
        <is>
          <t>25</t>
        </is>
      </c>
    </row>
    <row r="528" ht="24" customHeight="1">
      <c r="A528" s="32" t="inlineStr">
        <is>
          <t>OpenDART_fnlttSinglAcntAll</t>
        </is>
      </c>
      <c r="B528" s="32" t="inlineStr">
        <is>
          <t>00118804</t>
        </is>
      </c>
      <c r="C528" s="32" t="inlineStr">
        <is>
          <t>동진쎄미켐</t>
        </is>
      </c>
      <c r="D528" s="32" t="inlineStr">
        <is>
          <t>dongjin_semichem</t>
        </is>
      </c>
      <c r="E528" s="32" t="inlineStr">
        <is>
          <t>005290</t>
        </is>
      </c>
      <c r="F528" s="32" t="inlineStr">
        <is>
          <t>2023</t>
        </is>
      </c>
      <c r="G528" s="32" t="inlineStr">
        <is>
          <t>CFS</t>
        </is>
      </c>
      <c r="H528" s="32" t="inlineStr">
        <is>
          <t>CF</t>
        </is>
      </c>
      <c r="I528" s="32" t="inlineStr">
        <is>
          <t>현금흐름표</t>
        </is>
      </c>
      <c r="J528" s="32" t="inlineStr">
        <is>
          <t>-표준계정코드 미사용-</t>
        </is>
      </c>
      <c r="K528" s="32" t="inlineStr">
        <is>
          <t>장기대여금의 대여</t>
        </is>
      </c>
      <c r="L528" s="32" t="inlineStr">
        <is>
          <t>-</t>
        </is>
      </c>
      <c r="M528" s="32" t="inlineStr">
        <is>
          <t>제 51 기</t>
        </is>
      </c>
      <c r="N528" s="32" t="inlineStr">
        <is>
          <t>0.0</t>
        </is>
      </c>
      <c r="O528" s="32" t="inlineStr">
        <is>
          <t>-150000000.0</t>
        </is>
      </c>
      <c r="P528" s="32" t="inlineStr">
        <is>
          <t>KRW</t>
        </is>
      </c>
      <c r="Q528" s="32" t="inlineStr">
        <is>
          <t>26</t>
        </is>
      </c>
    </row>
    <row r="529" ht="24" customHeight="1">
      <c r="A529" s="27" t="inlineStr">
        <is>
          <t>OpenDART_fnlttSinglAcntAll</t>
        </is>
      </c>
      <c r="B529" s="27" t="inlineStr">
        <is>
          <t>00118804</t>
        </is>
      </c>
      <c r="C529" s="27" t="inlineStr">
        <is>
          <t>동진쎄미켐</t>
        </is>
      </c>
      <c r="D529" s="27" t="inlineStr">
        <is>
          <t>dongjin_semichem</t>
        </is>
      </c>
      <c r="E529" s="27" t="inlineStr">
        <is>
          <t>005290</t>
        </is>
      </c>
      <c r="F529" s="27" t="inlineStr">
        <is>
          <t>2023</t>
        </is>
      </c>
      <c r="G529" s="27" t="inlineStr">
        <is>
          <t>CFS</t>
        </is>
      </c>
      <c r="H529" s="27" t="inlineStr">
        <is>
          <t>CF</t>
        </is>
      </c>
      <c r="I529" s="27" t="inlineStr">
        <is>
          <t>현금흐름표</t>
        </is>
      </c>
      <c r="J529" s="27" t="inlineStr">
        <is>
          <t>-표준계정코드 미사용-</t>
        </is>
      </c>
      <c r="K529" s="27" t="inlineStr">
        <is>
          <t>국고보조금의 수령</t>
        </is>
      </c>
      <c r="L529" s="27" t="inlineStr">
        <is>
          <t>-</t>
        </is>
      </c>
      <c r="M529" s="27" t="inlineStr">
        <is>
          <t>제 51 기</t>
        </is>
      </c>
      <c r="N529" s="27" t="inlineStr">
        <is>
          <t>2061678396.0</t>
        </is>
      </c>
      <c r="O529" s="27" t="inlineStr">
        <is>
          <t>2627600799.0</t>
        </is>
      </c>
      <c r="P529" s="27" t="inlineStr">
        <is>
          <t>KRW</t>
        </is>
      </c>
      <c r="Q529" s="27" t="inlineStr">
        <is>
          <t>27</t>
        </is>
      </c>
    </row>
    <row r="530" ht="24" customHeight="1">
      <c r="A530" s="32" t="inlineStr">
        <is>
          <t>OpenDART_fnlttSinglAcntAll</t>
        </is>
      </c>
      <c r="B530" s="32" t="inlineStr">
        <is>
          <t>00118804</t>
        </is>
      </c>
      <c r="C530" s="32" t="inlineStr">
        <is>
          <t>동진쎄미켐</t>
        </is>
      </c>
      <c r="D530" s="32" t="inlineStr">
        <is>
          <t>dongjin_semichem</t>
        </is>
      </c>
      <c r="E530" s="32" t="inlineStr">
        <is>
          <t>005290</t>
        </is>
      </c>
      <c r="F530" s="32" t="inlineStr">
        <is>
          <t>2023</t>
        </is>
      </c>
      <c r="G530" s="32" t="inlineStr">
        <is>
          <t>CFS</t>
        </is>
      </c>
      <c r="H530" s="32" t="inlineStr">
        <is>
          <t>CF</t>
        </is>
      </c>
      <c r="I530" s="32" t="inlineStr">
        <is>
          <t>현금흐름표</t>
        </is>
      </c>
      <c r="J530" s="32" t="inlineStr">
        <is>
          <t>-표준계정코드 미사용-</t>
        </is>
      </c>
      <c r="K530" s="32" t="inlineStr">
        <is>
          <t>장기대여금의 회수</t>
        </is>
      </c>
      <c r="L530" s="32" t="inlineStr">
        <is>
          <t>-</t>
        </is>
      </c>
      <c r="M530" s="32" t="inlineStr">
        <is>
          <t>제 51 기</t>
        </is>
      </c>
      <c r="N530" s="32" t="inlineStr">
        <is>
          <t>45000000.0</t>
        </is>
      </c>
      <c r="O530" s="32" t="inlineStr">
        <is>
          <t>42700000.0</t>
        </is>
      </c>
      <c r="P530" s="32" t="inlineStr">
        <is>
          <t>KRW</t>
        </is>
      </c>
      <c r="Q530" s="32" t="inlineStr">
        <is>
          <t>28</t>
        </is>
      </c>
    </row>
    <row r="531" ht="24" customHeight="1">
      <c r="A531" s="27" t="inlineStr">
        <is>
          <t>OpenDART_fnlttSinglAcntAll</t>
        </is>
      </c>
      <c r="B531" s="27" t="inlineStr">
        <is>
          <t>00118804</t>
        </is>
      </c>
      <c r="C531" s="27" t="inlineStr">
        <is>
          <t>동진쎄미켐</t>
        </is>
      </c>
      <c r="D531" s="27" t="inlineStr">
        <is>
          <t>dongjin_semichem</t>
        </is>
      </c>
      <c r="E531" s="27" t="inlineStr">
        <is>
          <t>005290</t>
        </is>
      </c>
      <c r="F531" s="27" t="inlineStr">
        <is>
          <t>2023</t>
        </is>
      </c>
      <c r="G531" s="27" t="inlineStr">
        <is>
          <t>CFS</t>
        </is>
      </c>
      <c r="H531" s="27" t="inlineStr">
        <is>
          <t>CF</t>
        </is>
      </c>
      <c r="I531" s="27" t="inlineStr">
        <is>
          <t>현금흐름표</t>
        </is>
      </c>
      <c r="J531" s="27" t="inlineStr">
        <is>
          <t>-표준계정코드 미사용-</t>
        </is>
      </c>
      <c r="K531" s="27" t="inlineStr">
        <is>
          <t>투자금융자산의 처분</t>
        </is>
      </c>
      <c r="L531" s="27" t="inlineStr">
        <is>
          <t>-</t>
        </is>
      </c>
      <c r="M531" s="27" t="inlineStr">
        <is>
          <t>제 51 기</t>
        </is>
      </c>
      <c r="N531" s="27" t="inlineStr">
        <is>
          <t>660000000.0</t>
        </is>
      </c>
      <c r="O531" s="27" t="inlineStr">
        <is>
          <t>0.0</t>
        </is>
      </c>
      <c r="P531" s="27" t="inlineStr">
        <is>
          <t>KRW</t>
        </is>
      </c>
      <c r="Q531" s="27" t="inlineStr">
        <is>
          <t>29</t>
        </is>
      </c>
    </row>
    <row r="532" ht="24" customHeight="1">
      <c r="A532" s="32" t="inlineStr">
        <is>
          <t>OpenDART_fnlttSinglAcntAll</t>
        </is>
      </c>
      <c r="B532" s="32" t="inlineStr">
        <is>
          <t>00118804</t>
        </is>
      </c>
      <c r="C532" s="32" t="inlineStr">
        <is>
          <t>동진쎄미켐</t>
        </is>
      </c>
      <c r="D532" s="32" t="inlineStr">
        <is>
          <t>dongjin_semichem</t>
        </is>
      </c>
      <c r="E532" s="32" t="inlineStr">
        <is>
          <t>005290</t>
        </is>
      </c>
      <c r="F532" s="32" t="inlineStr">
        <is>
          <t>2023</t>
        </is>
      </c>
      <c r="G532" s="32" t="inlineStr">
        <is>
          <t>CFS</t>
        </is>
      </c>
      <c r="H532" s="32" t="inlineStr">
        <is>
          <t>CF</t>
        </is>
      </c>
      <c r="I532" s="32" t="inlineStr">
        <is>
          <t>현금흐름표</t>
        </is>
      </c>
      <c r="J532" s="32" t="inlineStr">
        <is>
          <t>ifrs-full_ProceedsFromSalesOfIntangibleAssetsClassifiedAsInvestingActivities</t>
        </is>
      </c>
      <c r="K532" s="32" t="inlineStr">
        <is>
          <t>무형자산의 처분</t>
        </is>
      </c>
      <c r="L532" s="32" t="inlineStr">
        <is>
          <t>-</t>
        </is>
      </c>
      <c r="M532" s="32" t="inlineStr">
        <is>
          <t>제 51 기</t>
        </is>
      </c>
      <c r="N532" s="32" t="inlineStr">
        <is>
          <t>0.0</t>
        </is>
      </c>
      <c r="O532" s="32" t="inlineStr">
        <is>
          <t>93000000.0</t>
        </is>
      </c>
      <c r="P532" s="32" t="inlineStr">
        <is>
          <t>KRW</t>
        </is>
      </c>
      <c r="Q532" s="32" t="inlineStr">
        <is>
          <t>30</t>
        </is>
      </c>
    </row>
    <row r="533" ht="24" customHeight="1">
      <c r="A533" s="27" t="inlineStr">
        <is>
          <t>OpenDART_fnlttSinglAcntAll</t>
        </is>
      </c>
      <c r="B533" s="27" t="inlineStr">
        <is>
          <t>00118804</t>
        </is>
      </c>
      <c r="C533" s="27" t="inlineStr">
        <is>
          <t>동진쎄미켐</t>
        </is>
      </c>
      <c r="D533" s="27" t="inlineStr">
        <is>
          <t>dongjin_semichem</t>
        </is>
      </c>
      <c r="E533" s="27" t="inlineStr">
        <is>
          <t>005290</t>
        </is>
      </c>
      <c r="F533" s="27" t="inlineStr">
        <is>
          <t>2023</t>
        </is>
      </c>
      <c r="G533" s="27" t="inlineStr">
        <is>
          <t>CFS</t>
        </is>
      </c>
      <c r="H533" s="27" t="inlineStr">
        <is>
          <t>CF</t>
        </is>
      </c>
      <c r="I533" s="27" t="inlineStr">
        <is>
          <t>현금흐름표</t>
        </is>
      </c>
      <c r="J533" s="27" t="inlineStr">
        <is>
          <t>ifrs-full_ProceedsFromSalesOfPropertyPlantAndEquipmentClassifiedAsInvestingActivities</t>
        </is>
      </c>
      <c r="K533" s="27" t="inlineStr">
        <is>
          <t>유형자산의 처분</t>
        </is>
      </c>
      <c r="L533" s="27" t="inlineStr">
        <is>
          <t>-</t>
        </is>
      </c>
      <c r="M533" s="27" t="inlineStr">
        <is>
          <t>제 51 기</t>
        </is>
      </c>
      <c r="N533" s="27" t="inlineStr">
        <is>
          <t>287475564.0</t>
        </is>
      </c>
      <c r="O533" s="27" t="inlineStr">
        <is>
          <t>177054884.0</t>
        </is>
      </c>
      <c r="P533" s="27" t="inlineStr">
        <is>
          <t>KRW</t>
        </is>
      </c>
      <c r="Q533" s="27" t="inlineStr">
        <is>
          <t>31</t>
        </is>
      </c>
    </row>
    <row r="534" ht="24" customHeight="1">
      <c r="A534" s="32" t="inlineStr">
        <is>
          <t>OpenDART_fnlttSinglAcntAll</t>
        </is>
      </c>
      <c r="B534" s="32" t="inlineStr">
        <is>
          <t>00118804</t>
        </is>
      </c>
      <c r="C534" s="32" t="inlineStr">
        <is>
          <t>동진쎄미켐</t>
        </is>
      </c>
      <c r="D534" s="32" t="inlineStr">
        <is>
          <t>dongjin_semichem</t>
        </is>
      </c>
      <c r="E534" s="32" t="inlineStr">
        <is>
          <t>005290</t>
        </is>
      </c>
      <c r="F534" s="32" t="inlineStr">
        <is>
          <t>2023</t>
        </is>
      </c>
      <c r="G534" s="32" t="inlineStr">
        <is>
          <t>CFS</t>
        </is>
      </c>
      <c r="H534" s="32" t="inlineStr">
        <is>
          <t>CF</t>
        </is>
      </c>
      <c r="I534" s="32" t="inlineStr">
        <is>
          <t>현금흐름표</t>
        </is>
      </c>
      <c r="J534" s="32" t="inlineStr">
        <is>
          <t>ifrs-full_PurchaseOfIntangibleAssetsClassifiedAsInvestingActivities</t>
        </is>
      </c>
      <c r="K534" s="32" t="inlineStr">
        <is>
          <t>무형자산의 취득</t>
        </is>
      </c>
      <c r="L534" s="32" t="inlineStr">
        <is>
          <t>-</t>
        </is>
      </c>
      <c r="M534" s="32" t="inlineStr">
        <is>
          <t>제 51 기</t>
        </is>
      </c>
      <c r="N534" s="32" t="inlineStr">
        <is>
          <t>1128058465.0</t>
        </is>
      </c>
      <c r="O534" s="32" t="inlineStr">
        <is>
          <t>1817611741.0</t>
        </is>
      </c>
      <c r="P534" s="32" t="inlineStr">
        <is>
          <t>KRW</t>
        </is>
      </c>
      <c r="Q534" s="32" t="inlineStr">
        <is>
          <t>32</t>
        </is>
      </c>
    </row>
    <row r="535" ht="24" customHeight="1">
      <c r="A535" s="27" t="inlineStr">
        <is>
          <t>OpenDART_fnlttSinglAcntAll</t>
        </is>
      </c>
      <c r="B535" s="27" t="inlineStr">
        <is>
          <t>00118804</t>
        </is>
      </c>
      <c r="C535" s="27" t="inlineStr">
        <is>
          <t>동진쎄미켐</t>
        </is>
      </c>
      <c r="D535" s="27" t="inlineStr">
        <is>
          <t>dongjin_semichem</t>
        </is>
      </c>
      <c r="E535" s="27" t="inlineStr">
        <is>
          <t>005290</t>
        </is>
      </c>
      <c r="F535" s="27" t="inlineStr">
        <is>
          <t>2023</t>
        </is>
      </c>
      <c r="G535" s="27" t="inlineStr">
        <is>
          <t>CFS</t>
        </is>
      </c>
      <c r="H535" s="27" t="inlineStr">
        <is>
          <t>CF</t>
        </is>
      </c>
      <c r="I535" s="27" t="inlineStr">
        <is>
          <t>현금흐름표</t>
        </is>
      </c>
      <c r="J535" s="27" t="inlineStr">
        <is>
          <t>ifrs-full_PurchaseOfPropertyPlantAndEquipmentClassifiedAsInvestingActivities</t>
        </is>
      </c>
      <c r="K535" s="27" t="inlineStr">
        <is>
          <t>유형자산의 취득</t>
        </is>
      </c>
      <c r="L535" s="27" t="inlineStr">
        <is>
          <t>-</t>
        </is>
      </c>
      <c r="M535" s="27" t="inlineStr">
        <is>
          <t>제 51 기</t>
        </is>
      </c>
      <c r="N535" s="27" t="inlineStr">
        <is>
          <t>282834143234.0</t>
        </is>
      </c>
      <c r="O535" s="27" t="inlineStr">
        <is>
          <t>92935559922.0</t>
        </is>
      </c>
      <c r="P535" s="27" t="inlineStr">
        <is>
          <t>KRW</t>
        </is>
      </c>
      <c r="Q535" s="27" t="inlineStr">
        <is>
          <t>33</t>
        </is>
      </c>
    </row>
    <row r="536" ht="24" customHeight="1">
      <c r="A536" s="32" t="inlineStr">
        <is>
          <t>OpenDART_fnlttSinglAcntAll</t>
        </is>
      </c>
      <c r="B536" s="32" t="inlineStr">
        <is>
          <t>00118804</t>
        </is>
      </c>
      <c r="C536" s="32" t="inlineStr">
        <is>
          <t>동진쎄미켐</t>
        </is>
      </c>
      <c r="D536" s="32" t="inlineStr">
        <is>
          <t>dongjin_semichem</t>
        </is>
      </c>
      <c r="E536" s="32" t="inlineStr">
        <is>
          <t>005290</t>
        </is>
      </c>
      <c r="F536" s="32" t="inlineStr">
        <is>
          <t>2023</t>
        </is>
      </c>
      <c r="G536" s="32" t="inlineStr">
        <is>
          <t>CFS</t>
        </is>
      </c>
      <c r="H536" s="32" t="inlineStr">
        <is>
          <t>CF</t>
        </is>
      </c>
      <c r="I536" s="32" t="inlineStr">
        <is>
          <t>현금흐름표</t>
        </is>
      </c>
      <c r="J536" s="32" t="inlineStr">
        <is>
          <t>ifrs-full_CashFlowsFromUsedInOperatingActivities</t>
        </is>
      </c>
      <c r="K536" s="32" t="inlineStr">
        <is>
          <t>영업활동현금흐름</t>
        </is>
      </c>
      <c r="L536" s="32" t="inlineStr">
        <is>
          <t>-</t>
        </is>
      </c>
      <c r="M536" s="32" t="inlineStr">
        <is>
          <t>제 51 기</t>
        </is>
      </c>
      <c r="N536" s="32" t="inlineStr">
        <is>
          <t>114685604318.0</t>
        </is>
      </c>
      <c r="O536" s="32" t="inlineStr">
        <is>
          <t>190056242655.0</t>
        </is>
      </c>
      <c r="P536" s="32" t="inlineStr">
        <is>
          <t>KRW</t>
        </is>
      </c>
      <c r="Q536" s="32" t="inlineStr">
        <is>
          <t>34</t>
        </is>
      </c>
    </row>
    <row r="537" ht="24" customHeight="1">
      <c r="A537" s="27" t="inlineStr">
        <is>
          <t>OpenDART_fnlttSinglAcntAll</t>
        </is>
      </c>
      <c r="B537" s="27" t="inlineStr">
        <is>
          <t>00118804</t>
        </is>
      </c>
      <c r="C537" s="27" t="inlineStr">
        <is>
          <t>동진쎄미켐</t>
        </is>
      </c>
      <c r="D537" s="27" t="inlineStr">
        <is>
          <t>dongjin_semichem</t>
        </is>
      </c>
      <c r="E537" s="27" t="inlineStr">
        <is>
          <t>005290</t>
        </is>
      </c>
      <c r="F537" s="27" t="inlineStr">
        <is>
          <t>2023</t>
        </is>
      </c>
      <c r="G537" s="27" t="inlineStr">
        <is>
          <t>CFS</t>
        </is>
      </c>
      <c r="H537" s="27" t="inlineStr">
        <is>
          <t>CF</t>
        </is>
      </c>
      <c r="I537" s="27" t="inlineStr">
        <is>
          <t>현금흐름표</t>
        </is>
      </c>
      <c r="J537" s="27" t="inlineStr">
        <is>
          <t>dart_AdjustmentsForAssetsLiabilitiesOfOperatingActivities</t>
        </is>
      </c>
      <c r="K537" s="27" t="inlineStr">
        <is>
          <t>자산ㆍ부채의증감</t>
        </is>
      </c>
      <c r="L537" s="27" t="inlineStr">
        <is>
          <t>-</t>
        </is>
      </c>
      <c r="M537" s="27" t="inlineStr">
        <is>
          <t>제 51 기</t>
        </is>
      </c>
      <c r="N537" s="27" t="inlineStr">
        <is>
          <t>-43443885294.0</t>
        </is>
      </c>
      <c r="O537" s="27" t="inlineStr">
        <is>
          <t>-60732945030.0</t>
        </is>
      </c>
      <c r="P537" s="27" t="inlineStr">
        <is>
          <t>KRW</t>
        </is>
      </c>
      <c r="Q537" s="27" t="inlineStr">
        <is>
          <t>35</t>
        </is>
      </c>
    </row>
    <row r="538" ht="24" customHeight="1">
      <c r="A538" s="32" t="inlineStr">
        <is>
          <t>OpenDART_fnlttSinglAcntAll</t>
        </is>
      </c>
      <c r="B538" s="32" t="inlineStr">
        <is>
          <t>00118804</t>
        </is>
      </c>
      <c r="C538" s="32" t="inlineStr">
        <is>
          <t>동진쎄미켐</t>
        </is>
      </c>
      <c r="D538" s="32" t="inlineStr">
        <is>
          <t>dongjin_semichem</t>
        </is>
      </c>
      <c r="E538" s="32" t="inlineStr">
        <is>
          <t>005290</t>
        </is>
      </c>
      <c r="F538" s="32" t="inlineStr">
        <is>
          <t>2023</t>
        </is>
      </c>
      <c r="G538" s="32" t="inlineStr">
        <is>
          <t>CFS</t>
        </is>
      </c>
      <c r="H538" s="32" t="inlineStr">
        <is>
          <t>CF</t>
        </is>
      </c>
      <c r="I538" s="32" t="inlineStr">
        <is>
          <t>현금흐름표</t>
        </is>
      </c>
      <c r="J538" s="32" t="inlineStr">
        <is>
          <t>dart_AdjustmentsForDecreaseincreaseInFairValueOfPlanAssets</t>
        </is>
      </c>
      <c r="K538" s="32" t="inlineStr">
        <is>
          <t>사외적립자산의 감소(증가)</t>
        </is>
      </c>
      <c r="L538" s="32" t="inlineStr">
        <is>
          <t>-</t>
        </is>
      </c>
      <c r="M538" s="32" t="inlineStr">
        <is>
          <t>제 51 기</t>
        </is>
      </c>
      <c r="N538" s="32" t="inlineStr">
        <is>
          <t>-9783061808.0</t>
        </is>
      </c>
      <c r="O538" s="32" t="inlineStr">
        <is>
          <t>-6467209467.0</t>
        </is>
      </c>
      <c r="P538" s="32" t="inlineStr">
        <is>
          <t>KRW</t>
        </is>
      </c>
      <c r="Q538" s="32" t="inlineStr">
        <is>
          <t>36</t>
        </is>
      </c>
    </row>
    <row r="539" ht="24" customHeight="1">
      <c r="A539" s="27" t="inlineStr">
        <is>
          <t>OpenDART_fnlttSinglAcntAll</t>
        </is>
      </c>
      <c r="B539" s="27" t="inlineStr">
        <is>
          <t>00118804</t>
        </is>
      </c>
      <c r="C539" s="27" t="inlineStr">
        <is>
          <t>동진쎄미켐</t>
        </is>
      </c>
      <c r="D539" s="27" t="inlineStr">
        <is>
          <t>dongjin_semichem</t>
        </is>
      </c>
      <c r="E539" s="27" t="inlineStr">
        <is>
          <t>005290</t>
        </is>
      </c>
      <c r="F539" s="27" t="inlineStr">
        <is>
          <t>2023</t>
        </is>
      </c>
      <c r="G539" s="27" t="inlineStr">
        <is>
          <t>CFS</t>
        </is>
      </c>
      <c r="H539" s="27" t="inlineStr">
        <is>
          <t>CF</t>
        </is>
      </c>
      <c r="I539" s="27" t="inlineStr">
        <is>
          <t>현금흐름표</t>
        </is>
      </c>
      <c r="J539" s="27" t="inlineStr">
        <is>
          <t>dart_AdjustmentsForDecreaseincreaseInTradeAndOtherCurrentReceivables</t>
        </is>
      </c>
      <c r="K539" s="27" t="inlineStr">
        <is>
          <t>기타유동금융채권의 감소(증가)</t>
        </is>
      </c>
      <c r="L539" s="27" t="inlineStr">
        <is>
          <t>-</t>
        </is>
      </c>
      <c r="M539" s="27" t="inlineStr">
        <is>
          <t>제 51 기</t>
        </is>
      </c>
      <c r="N539" s="27" t="inlineStr">
        <is>
          <t>101134206.0</t>
        </is>
      </c>
      <c r="O539" s="27" t="inlineStr">
        <is>
          <t>-380823202.0</t>
        </is>
      </c>
      <c r="P539" s="27" t="inlineStr">
        <is>
          <t>KRW</t>
        </is>
      </c>
      <c r="Q539" s="27" t="inlineStr">
        <is>
          <t>37</t>
        </is>
      </c>
    </row>
    <row r="540" ht="24" customHeight="1">
      <c r="A540" s="32" t="inlineStr">
        <is>
          <t>OpenDART_fnlttSinglAcntAll</t>
        </is>
      </c>
      <c r="B540" s="32" t="inlineStr">
        <is>
          <t>00118804</t>
        </is>
      </c>
      <c r="C540" s="32" t="inlineStr">
        <is>
          <t>동진쎄미켐</t>
        </is>
      </c>
      <c r="D540" s="32" t="inlineStr">
        <is>
          <t>dongjin_semichem</t>
        </is>
      </c>
      <c r="E540" s="32" t="inlineStr">
        <is>
          <t>005290</t>
        </is>
      </c>
      <c r="F540" s="32" t="inlineStr">
        <is>
          <t>2023</t>
        </is>
      </c>
      <c r="G540" s="32" t="inlineStr">
        <is>
          <t>CFS</t>
        </is>
      </c>
      <c r="H540" s="32" t="inlineStr">
        <is>
          <t>CF</t>
        </is>
      </c>
      <c r="I540" s="32" t="inlineStr">
        <is>
          <t>현금흐름표</t>
        </is>
      </c>
      <c r="J540" s="32" t="inlineStr">
        <is>
          <t>dart_AdjustmentsForIncreasedecreaseInOtherCurrentFinancialLiabilities</t>
        </is>
      </c>
      <c r="K540" s="32" t="inlineStr">
        <is>
          <t>기타유동금융채무의 증가(감소)</t>
        </is>
      </c>
      <c r="L540" s="32" t="inlineStr">
        <is>
          <t>-</t>
        </is>
      </c>
      <c r="M540" s="32" t="inlineStr">
        <is>
          <t>제 51 기</t>
        </is>
      </c>
      <c r="N540" s="32" t="inlineStr">
        <is>
          <t>-8393955428.0</t>
        </is>
      </c>
      <c r="O540" s="32" t="inlineStr">
        <is>
          <t>786780154.0</t>
        </is>
      </c>
      <c r="P540" s="32" t="inlineStr">
        <is>
          <t>KRW</t>
        </is>
      </c>
      <c r="Q540" s="32" t="inlineStr">
        <is>
          <t>38</t>
        </is>
      </c>
    </row>
    <row r="541" ht="24" customHeight="1">
      <c r="A541" s="27" t="inlineStr">
        <is>
          <t>OpenDART_fnlttSinglAcntAll</t>
        </is>
      </c>
      <c r="B541" s="27" t="inlineStr">
        <is>
          <t>00118804</t>
        </is>
      </c>
      <c r="C541" s="27" t="inlineStr">
        <is>
          <t>동진쎄미켐</t>
        </is>
      </c>
      <c r="D541" s="27" t="inlineStr">
        <is>
          <t>dongjin_semichem</t>
        </is>
      </c>
      <c r="E541" s="27" t="inlineStr">
        <is>
          <t>005290</t>
        </is>
      </c>
      <c r="F541" s="27" t="inlineStr">
        <is>
          <t>2023</t>
        </is>
      </c>
      <c r="G541" s="27" t="inlineStr">
        <is>
          <t>CFS</t>
        </is>
      </c>
      <c r="H541" s="27" t="inlineStr">
        <is>
          <t>CF</t>
        </is>
      </c>
      <c r="I541" s="27" t="inlineStr">
        <is>
          <t>현금흐름표</t>
        </is>
      </c>
      <c r="J541" s="27" t="inlineStr">
        <is>
          <t>dart_AdjustmentsForIncreasedecreaseInOtherNonCurrentFinancialLiabilities</t>
        </is>
      </c>
      <c r="K541" s="27" t="inlineStr">
        <is>
          <t>기타비유동금융채무의 증가(감소)</t>
        </is>
      </c>
      <c r="L541" s="27" t="inlineStr">
        <is>
          <t>-</t>
        </is>
      </c>
      <c r="M541" s="27" t="inlineStr">
        <is>
          <t>제 51 기</t>
        </is>
      </c>
      <c r="N541" s="27" t="inlineStr">
        <is>
          <t>-56026500.0</t>
        </is>
      </c>
      <c r="O541" s="27" t="inlineStr">
        <is>
          <t>111870047.0</t>
        </is>
      </c>
      <c r="P541" s="27" t="inlineStr">
        <is>
          <t>KRW</t>
        </is>
      </c>
      <c r="Q541" s="27" t="inlineStr">
        <is>
          <t>39</t>
        </is>
      </c>
    </row>
    <row r="542" ht="24" customHeight="1">
      <c r="A542" s="32" t="inlineStr">
        <is>
          <t>OpenDART_fnlttSinglAcntAll</t>
        </is>
      </c>
      <c r="B542" s="32" t="inlineStr">
        <is>
          <t>00118804</t>
        </is>
      </c>
      <c r="C542" s="32" t="inlineStr">
        <is>
          <t>동진쎄미켐</t>
        </is>
      </c>
      <c r="D542" s="32" t="inlineStr">
        <is>
          <t>dongjin_semichem</t>
        </is>
      </c>
      <c r="E542" s="32" t="inlineStr">
        <is>
          <t>005290</t>
        </is>
      </c>
      <c r="F542" s="32" t="inlineStr">
        <is>
          <t>2023</t>
        </is>
      </c>
      <c r="G542" s="32" t="inlineStr">
        <is>
          <t>CFS</t>
        </is>
      </c>
      <c r="H542" s="32" t="inlineStr">
        <is>
          <t>CF</t>
        </is>
      </c>
      <c r="I542" s="32" t="inlineStr">
        <is>
          <t>현금흐름표</t>
        </is>
      </c>
      <c r="J542" s="32" t="inlineStr">
        <is>
          <t>-표준계정코드 미사용-</t>
        </is>
      </c>
      <c r="K542" s="32" t="inlineStr">
        <is>
          <t>관계회사퇴직금의 전출</t>
        </is>
      </c>
      <c r="L542" s="32" t="inlineStr">
        <is>
          <t>-</t>
        </is>
      </c>
      <c r="M542" s="32" t="inlineStr">
        <is>
          <t>제 51 기</t>
        </is>
      </c>
      <c r="N542" s="32" t="inlineStr">
        <is>
          <t>해당 없음</t>
        </is>
      </c>
      <c r="O542" s="32" t="inlineStr">
        <is>
          <t>0.0</t>
        </is>
      </c>
      <c r="P542" s="32" t="inlineStr">
        <is>
          <t>KRW</t>
        </is>
      </c>
      <c r="Q542" s="32" t="inlineStr">
        <is>
          <t>40</t>
        </is>
      </c>
    </row>
    <row r="543" ht="24" customHeight="1">
      <c r="A543" s="27" t="inlineStr">
        <is>
          <t>OpenDART_fnlttSinglAcntAll</t>
        </is>
      </c>
      <c r="B543" s="27" t="inlineStr">
        <is>
          <t>00118804</t>
        </is>
      </c>
      <c r="C543" s="27" t="inlineStr">
        <is>
          <t>동진쎄미켐</t>
        </is>
      </c>
      <c r="D543" s="27" t="inlineStr">
        <is>
          <t>dongjin_semichem</t>
        </is>
      </c>
      <c r="E543" s="27" t="inlineStr">
        <is>
          <t>005290</t>
        </is>
      </c>
      <c r="F543" s="27" t="inlineStr">
        <is>
          <t>2023</t>
        </is>
      </c>
      <c r="G543" s="27" t="inlineStr">
        <is>
          <t>CFS</t>
        </is>
      </c>
      <c r="H543" s="27" t="inlineStr">
        <is>
          <t>CF</t>
        </is>
      </c>
      <c r="I543" s="27" t="inlineStr">
        <is>
          <t>현금흐름표</t>
        </is>
      </c>
      <c r="J543" s="27" t="inlineStr">
        <is>
          <t>-표준계정코드 미사용-</t>
        </is>
      </c>
      <c r="K543" s="27" t="inlineStr">
        <is>
          <t>퇴직금 지급액</t>
        </is>
      </c>
      <c r="L543" s="27" t="inlineStr">
        <is>
          <t>-</t>
        </is>
      </c>
      <c r="M543" s="27" t="inlineStr">
        <is>
          <t>제 51 기</t>
        </is>
      </c>
      <c r="N543" s="27" t="inlineStr">
        <is>
          <t>-3856819991.0</t>
        </is>
      </c>
      <c r="O543" s="27" t="inlineStr">
        <is>
          <t>-3825731906.0</t>
        </is>
      </c>
      <c r="P543" s="27" t="inlineStr">
        <is>
          <t>KRW</t>
        </is>
      </c>
      <c r="Q543" s="27" t="inlineStr">
        <is>
          <t>41</t>
        </is>
      </c>
    </row>
    <row r="544" ht="24" customHeight="1">
      <c r="A544" s="32" t="inlineStr">
        <is>
          <t>OpenDART_fnlttSinglAcntAll</t>
        </is>
      </c>
      <c r="B544" s="32" t="inlineStr">
        <is>
          <t>00118804</t>
        </is>
      </c>
      <c r="C544" s="32" t="inlineStr">
        <is>
          <t>동진쎄미켐</t>
        </is>
      </c>
      <c r="D544" s="32" t="inlineStr">
        <is>
          <t>dongjin_semichem</t>
        </is>
      </c>
      <c r="E544" s="32" t="inlineStr">
        <is>
          <t>005290</t>
        </is>
      </c>
      <c r="F544" s="32" t="inlineStr">
        <is>
          <t>2023</t>
        </is>
      </c>
      <c r="G544" s="32" t="inlineStr">
        <is>
          <t>CFS</t>
        </is>
      </c>
      <c r="H544" s="32" t="inlineStr">
        <is>
          <t>CF</t>
        </is>
      </c>
      <c r="I544" s="32" t="inlineStr">
        <is>
          <t>현금흐름표</t>
        </is>
      </c>
      <c r="J544" s="32" t="inlineStr">
        <is>
          <t>-표준계정코드 미사용-</t>
        </is>
      </c>
      <c r="K544" s="32" t="inlineStr">
        <is>
          <t>기타비유동금융채권의 감소(증가)</t>
        </is>
      </c>
      <c r="L544" s="32" t="inlineStr">
        <is>
          <t>-</t>
        </is>
      </c>
      <c r="M544" s="32" t="inlineStr">
        <is>
          <t>제 51 기</t>
        </is>
      </c>
      <c r="N544" s="32" t="inlineStr">
        <is>
          <t>442593570.0</t>
        </is>
      </c>
      <c r="O544" s="32" t="inlineStr">
        <is>
          <t>-214218945.0</t>
        </is>
      </c>
      <c r="P544" s="32" t="inlineStr">
        <is>
          <t>KRW</t>
        </is>
      </c>
      <c r="Q544" s="32" t="inlineStr">
        <is>
          <t>42</t>
        </is>
      </c>
    </row>
    <row r="545" ht="24" customHeight="1">
      <c r="A545" s="27" t="inlineStr">
        <is>
          <t>OpenDART_fnlttSinglAcntAll</t>
        </is>
      </c>
      <c r="B545" s="27" t="inlineStr">
        <is>
          <t>00118804</t>
        </is>
      </c>
      <c r="C545" s="27" t="inlineStr">
        <is>
          <t>동진쎄미켐</t>
        </is>
      </c>
      <c r="D545" s="27" t="inlineStr">
        <is>
          <t>dongjin_semichem</t>
        </is>
      </c>
      <c r="E545" s="27" t="inlineStr">
        <is>
          <t>005290</t>
        </is>
      </c>
      <c r="F545" s="27" t="inlineStr">
        <is>
          <t>2023</t>
        </is>
      </c>
      <c r="G545" s="27" t="inlineStr">
        <is>
          <t>CFS</t>
        </is>
      </c>
      <c r="H545" s="27" t="inlineStr">
        <is>
          <t>CF</t>
        </is>
      </c>
      <c r="I545" s="27" t="inlineStr">
        <is>
          <t>현금흐름표</t>
        </is>
      </c>
      <c r="J545" s="27" t="inlineStr">
        <is>
          <t>-표준계정코드 미사용-</t>
        </is>
      </c>
      <c r="K545" s="27" t="inlineStr">
        <is>
          <t>기타비유동자산의 증가</t>
        </is>
      </c>
      <c r="L545" s="27" t="inlineStr">
        <is>
          <t>-</t>
        </is>
      </c>
      <c r="M545" s="27" t="inlineStr">
        <is>
          <t>제 51 기</t>
        </is>
      </c>
      <c r="N545" s="27" t="inlineStr">
        <is>
          <t>-720726769.0</t>
        </is>
      </c>
      <c r="O545" s="27" t="inlineStr">
        <is>
          <t>-6448892.0</t>
        </is>
      </c>
      <c r="P545" s="27" t="inlineStr">
        <is>
          <t>KRW</t>
        </is>
      </c>
      <c r="Q545" s="27" t="inlineStr">
        <is>
          <t>43</t>
        </is>
      </c>
    </row>
    <row r="546" ht="24" customHeight="1">
      <c r="A546" s="32" t="inlineStr">
        <is>
          <t>OpenDART_fnlttSinglAcntAll</t>
        </is>
      </c>
      <c r="B546" s="32" t="inlineStr">
        <is>
          <t>00118804</t>
        </is>
      </c>
      <c r="C546" s="32" t="inlineStr">
        <is>
          <t>동진쎄미켐</t>
        </is>
      </c>
      <c r="D546" s="32" t="inlineStr">
        <is>
          <t>dongjin_semichem</t>
        </is>
      </c>
      <c r="E546" s="32" t="inlineStr">
        <is>
          <t>005290</t>
        </is>
      </c>
      <c r="F546" s="32" t="inlineStr">
        <is>
          <t>2023</t>
        </is>
      </c>
      <c r="G546" s="32" t="inlineStr">
        <is>
          <t>CFS</t>
        </is>
      </c>
      <c r="H546" s="32" t="inlineStr">
        <is>
          <t>CF</t>
        </is>
      </c>
      <c r="I546" s="32" t="inlineStr">
        <is>
          <t>현금흐름표</t>
        </is>
      </c>
      <c r="J546" s="32" t="inlineStr">
        <is>
          <t>-표준계정코드 미사용-</t>
        </is>
      </c>
      <c r="K546" s="32" t="inlineStr">
        <is>
          <t>기타 영업활동으로 인한 자산ㆍ부채의 증감</t>
        </is>
      </c>
      <c r="L546" s="32" t="inlineStr">
        <is>
          <t>-</t>
        </is>
      </c>
      <c r="M546" s="32" t="inlineStr">
        <is>
          <t>제 51 기</t>
        </is>
      </c>
      <c r="N546" s="32" t="inlineStr">
        <is>
          <t>131120673.0</t>
        </is>
      </c>
      <c r="O546" s="32" t="inlineStr">
        <is>
          <t>-4124593513.0</t>
        </is>
      </c>
      <c r="P546" s="32" t="inlineStr">
        <is>
          <t>KRW</t>
        </is>
      </c>
      <c r="Q546" s="32" t="inlineStr">
        <is>
          <t>44</t>
        </is>
      </c>
    </row>
    <row r="547" ht="24" customHeight="1">
      <c r="A547" s="27" t="inlineStr">
        <is>
          <t>OpenDART_fnlttSinglAcntAll</t>
        </is>
      </c>
      <c r="B547" s="27" t="inlineStr">
        <is>
          <t>00118804</t>
        </is>
      </c>
      <c r="C547" s="27" t="inlineStr">
        <is>
          <t>동진쎄미켐</t>
        </is>
      </c>
      <c r="D547" s="27" t="inlineStr">
        <is>
          <t>dongjin_semichem</t>
        </is>
      </c>
      <c r="E547" s="27" t="inlineStr">
        <is>
          <t>005290</t>
        </is>
      </c>
      <c r="F547" s="27" t="inlineStr">
        <is>
          <t>2023</t>
        </is>
      </c>
      <c r="G547" s="27" t="inlineStr">
        <is>
          <t>CFS</t>
        </is>
      </c>
      <c r="H547" s="27" t="inlineStr">
        <is>
          <t>CF</t>
        </is>
      </c>
      <c r="I547" s="27" t="inlineStr">
        <is>
          <t>현금흐름표</t>
        </is>
      </c>
      <c r="J547" s="27" t="inlineStr">
        <is>
          <t>ifrs-full_AdjustmentsForDecreaseIncreaseInInventories</t>
        </is>
      </c>
      <c r="K547" s="27" t="inlineStr">
        <is>
          <t>재고자산의 감소(증가)</t>
        </is>
      </c>
      <c r="L547" s="27" t="inlineStr">
        <is>
          <t>-</t>
        </is>
      </c>
      <c r="M547" s="27" t="inlineStr">
        <is>
          <t>제 51 기</t>
        </is>
      </c>
      <c r="N547" s="27" t="inlineStr">
        <is>
          <t>-7317680047.0</t>
        </is>
      </c>
      <c r="O547" s="27" t="inlineStr">
        <is>
          <t>-46888775608.0</t>
        </is>
      </c>
      <c r="P547" s="27" t="inlineStr">
        <is>
          <t>KRW</t>
        </is>
      </c>
      <c r="Q547" s="27" t="inlineStr">
        <is>
          <t>45</t>
        </is>
      </c>
    </row>
    <row r="548" ht="24" customHeight="1">
      <c r="A548" s="32" t="inlineStr">
        <is>
          <t>OpenDART_fnlttSinglAcntAll</t>
        </is>
      </c>
      <c r="B548" s="32" t="inlineStr">
        <is>
          <t>00118804</t>
        </is>
      </c>
      <c r="C548" s="32" t="inlineStr">
        <is>
          <t>동진쎄미켐</t>
        </is>
      </c>
      <c r="D548" s="32" t="inlineStr">
        <is>
          <t>dongjin_semichem</t>
        </is>
      </c>
      <c r="E548" s="32" t="inlineStr">
        <is>
          <t>005290</t>
        </is>
      </c>
      <c r="F548" s="32" t="inlineStr">
        <is>
          <t>2023</t>
        </is>
      </c>
      <c r="G548" s="32" t="inlineStr">
        <is>
          <t>CFS</t>
        </is>
      </c>
      <c r="H548" s="32" t="inlineStr">
        <is>
          <t>CF</t>
        </is>
      </c>
      <c r="I548" s="32" t="inlineStr">
        <is>
          <t>현금흐름표</t>
        </is>
      </c>
      <c r="J548" s="32" t="inlineStr">
        <is>
          <t>ifrs-full_AdjustmentsForDecreaseIncreaseInOtherCurrentAssets</t>
        </is>
      </c>
      <c r="K548" s="32" t="inlineStr">
        <is>
          <t>기타유동자산의 감소(증가)</t>
        </is>
      </c>
      <c r="L548" s="32" t="inlineStr">
        <is>
          <t>-</t>
        </is>
      </c>
      <c r="M548" s="32" t="inlineStr">
        <is>
          <t>제 51 기</t>
        </is>
      </c>
      <c r="N548" s="32" t="inlineStr">
        <is>
          <t>-7241169553.0</t>
        </is>
      </c>
      <c r="O548" s="32" t="inlineStr">
        <is>
          <t>5046963470.0</t>
        </is>
      </c>
      <c r="P548" s="32" t="inlineStr">
        <is>
          <t>KRW</t>
        </is>
      </c>
      <c r="Q548" s="32" t="inlineStr">
        <is>
          <t>46</t>
        </is>
      </c>
    </row>
    <row r="549" ht="24" customHeight="1">
      <c r="A549" s="27" t="inlineStr">
        <is>
          <t>OpenDART_fnlttSinglAcntAll</t>
        </is>
      </c>
      <c r="B549" s="27" t="inlineStr">
        <is>
          <t>00118804</t>
        </is>
      </c>
      <c r="C549" s="27" t="inlineStr">
        <is>
          <t>동진쎄미켐</t>
        </is>
      </c>
      <c r="D549" s="27" t="inlineStr">
        <is>
          <t>dongjin_semichem</t>
        </is>
      </c>
      <c r="E549" s="27" t="inlineStr">
        <is>
          <t>005290</t>
        </is>
      </c>
      <c r="F549" s="27" t="inlineStr">
        <is>
          <t>2023</t>
        </is>
      </c>
      <c r="G549" s="27" t="inlineStr">
        <is>
          <t>CFS</t>
        </is>
      </c>
      <c r="H549" s="27" t="inlineStr">
        <is>
          <t>CF</t>
        </is>
      </c>
      <c r="I549" s="27" t="inlineStr">
        <is>
          <t>현금흐름표</t>
        </is>
      </c>
      <c r="J549" s="27" t="inlineStr">
        <is>
          <t>ifrs-full_AdjustmentsForDecreaseIncreaseInTradeAccountReceivable</t>
        </is>
      </c>
      <c r="K549" s="27" t="inlineStr">
        <is>
          <t>매출채권의 감소(증가)</t>
        </is>
      </c>
      <c r="L549" s="27" t="inlineStr">
        <is>
          <t>-</t>
        </is>
      </c>
      <c r="M549" s="27" t="inlineStr">
        <is>
          <t>제 51 기</t>
        </is>
      </c>
      <c r="N549" s="27" t="inlineStr">
        <is>
          <t>-164339165.0</t>
        </is>
      </c>
      <c r="O549" s="27" t="inlineStr">
        <is>
          <t>4342610266.0</t>
        </is>
      </c>
      <c r="P549" s="27" t="inlineStr">
        <is>
          <t>KRW</t>
        </is>
      </c>
      <c r="Q549" s="27" t="inlineStr">
        <is>
          <t>47</t>
        </is>
      </c>
    </row>
    <row r="550" ht="24" customHeight="1">
      <c r="A550" s="32" t="inlineStr">
        <is>
          <t>OpenDART_fnlttSinglAcntAll</t>
        </is>
      </c>
      <c r="B550" s="32" t="inlineStr">
        <is>
          <t>00118804</t>
        </is>
      </c>
      <c r="C550" s="32" t="inlineStr">
        <is>
          <t>동진쎄미켐</t>
        </is>
      </c>
      <c r="D550" s="32" t="inlineStr">
        <is>
          <t>dongjin_semichem</t>
        </is>
      </c>
      <c r="E550" s="32" t="inlineStr">
        <is>
          <t>005290</t>
        </is>
      </c>
      <c r="F550" s="32" t="inlineStr">
        <is>
          <t>2023</t>
        </is>
      </c>
      <c r="G550" s="32" t="inlineStr">
        <is>
          <t>CFS</t>
        </is>
      </c>
      <c r="H550" s="32" t="inlineStr">
        <is>
          <t>CF</t>
        </is>
      </c>
      <c r="I550" s="32" t="inlineStr">
        <is>
          <t>현금흐름표</t>
        </is>
      </c>
      <c r="J550" s="32" t="inlineStr">
        <is>
          <t>ifrs-full_AdjustmentsForIncreaseDecreaseInOtherCurrentLiabilities</t>
        </is>
      </c>
      <c r="K550" s="32" t="inlineStr">
        <is>
          <t>기타유동부채의 증가(감소)</t>
        </is>
      </c>
      <c r="L550" s="32" t="inlineStr">
        <is>
          <t>-</t>
        </is>
      </c>
      <c r="M550" s="32" t="inlineStr">
        <is>
          <t>제 51 기</t>
        </is>
      </c>
      <c r="N550" s="32" t="inlineStr">
        <is>
          <t>-1651462624.0</t>
        </is>
      </c>
      <c r="O550" s="32" t="inlineStr">
        <is>
          <t>4884440478.0</t>
        </is>
      </c>
      <c r="P550" s="32" t="inlineStr">
        <is>
          <t>KRW</t>
        </is>
      </c>
      <c r="Q550" s="32" t="inlineStr">
        <is>
          <t>48</t>
        </is>
      </c>
    </row>
    <row r="551" ht="24" customHeight="1">
      <c r="A551" s="27" t="inlineStr">
        <is>
          <t>OpenDART_fnlttSinglAcntAll</t>
        </is>
      </c>
      <c r="B551" s="27" t="inlineStr">
        <is>
          <t>00118804</t>
        </is>
      </c>
      <c r="C551" s="27" t="inlineStr">
        <is>
          <t>동진쎄미켐</t>
        </is>
      </c>
      <c r="D551" s="27" t="inlineStr">
        <is>
          <t>dongjin_semichem</t>
        </is>
      </c>
      <c r="E551" s="27" t="inlineStr">
        <is>
          <t>005290</t>
        </is>
      </c>
      <c r="F551" s="27" t="inlineStr">
        <is>
          <t>2023</t>
        </is>
      </c>
      <c r="G551" s="27" t="inlineStr">
        <is>
          <t>CFS</t>
        </is>
      </c>
      <c r="H551" s="27" t="inlineStr">
        <is>
          <t>CF</t>
        </is>
      </c>
      <c r="I551" s="27" t="inlineStr">
        <is>
          <t>현금흐름표</t>
        </is>
      </c>
      <c r="J551" s="27" t="inlineStr">
        <is>
          <t>ifrs-full_AdjustmentsForIncreaseDecreaseInTradeAccountPayable</t>
        </is>
      </c>
      <c r="K551" s="27" t="inlineStr">
        <is>
          <t>매입채무의 증가(감소)</t>
        </is>
      </c>
      <c r="L551" s="27" t="inlineStr">
        <is>
          <t>-</t>
        </is>
      </c>
      <c r="M551" s="27" t="inlineStr">
        <is>
          <t>제 51 기</t>
        </is>
      </c>
      <c r="N551" s="27" t="inlineStr">
        <is>
          <t>-4933491858.0</t>
        </is>
      </c>
      <c r="O551" s="27" t="inlineStr">
        <is>
          <t>-13997807912.0</t>
        </is>
      </c>
      <c r="P551" s="27" t="inlineStr">
        <is>
          <t>KRW</t>
        </is>
      </c>
      <c r="Q551" s="27" t="inlineStr">
        <is>
          <t>49</t>
        </is>
      </c>
    </row>
    <row r="552" ht="24" customHeight="1">
      <c r="A552" s="32" t="inlineStr">
        <is>
          <t>OpenDART_fnlttSinglAcntAll</t>
        </is>
      </c>
      <c r="B552" s="32" t="inlineStr">
        <is>
          <t>00118804</t>
        </is>
      </c>
      <c r="C552" s="32" t="inlineStr">
        <is>
          <t>동진쎄미켐</t>
        </is>
      </c>
      <c r="D552" s="32" t="inlineStr">
        <is>
          <t>dongjin_semichem</t>
        </is>
      </c>
      <c r="E552" s="32" t="inlineStr">
        <is>
          <t>005290</t>
        </is>
      </c>
      <c r="F552" s="32" t="inlineStr">
        <is>
          <t>2023</t>
        </is>
      </c>
      <c r="G552" s="32" t="inlineStr">
        <is>
          <t>CFS</t>
        </is>
      </c>
      <c r="H552" s="32" t="inlineStr">
        <is>
          <t>CF</t>
        </is>
      </c>
      <c r="I552" s="32" t="inlineStr">
        <is>
          <t>현금흐름표</t>
        </is>
      </c>
      <c r="J552" s="32" t="inlineStr">
        <is>
          <t>-표준계정코드 미사용-</t>
        </is>
      </c>
      <c r="K552" s="32" t="inlineStr">
        <is>
          <t>법인세의 납부</t>
        </is>
      </c>
      <c r="L552" s="32" t="inlineStr">
        <is>
          <t>-</t>
        </is>
      </c>
      <c r="M552" s="32" t="inlineStr">
        <is>
          <t>제 51 기</t>
        </is>
      </c>
      <c r="N552" s="32" t="inlineStr">
        <is>
          <t>-70307740741.0</t>
        </is>
      </c>
      <c r="O552" s="32" t="inlineStr">
        <is>
          <t>-30971692345.0</t>
        </is>
      </c>
      <c r="P552" s="32" t="inlineStr">
        <is>
          <t>KRW</t>
        </is>
      </c>
      <c r="Q552" s="32" t="inlineStr">
        <is>
          <t>50</t>
        </is>
      </c>
    </row>
    <row r="553" ht="24" customHeight="1">
      <c r="A553" s="27" t="inlineStr">
        <is>
          <t>OpenDART_fnlttSinglAcntAll</t>
        </is>
      </c>
      <c r="B553" s="27" t="inlineStr">
        <is>
          <t>00118804</t>
        </is>
      </c>
      <c r="C553" s="27" t="inlineStr">
        <is>
          <t>동진쎄미켐</t>
        </is>
      </c>
      <c r="D553" s="27" t="inlineStr">
        <is>
          <t>dongjin_semichem</t>
        </is>
      </c>
      <c r="E553" s="27" t="inlineStr">
        <is>
          <t>005290</t>
        </is>
      </c>
      <c r="F553" s="27" t="inlineStr">
        <is>
          <t>2023</t>
        </is>
      </c>
      <c r="G553" s="27" t="inlineStr">
        <is>
          <t>CFS</t>
        </is>
      </c>
      <c r="H553" s="27" t="inlineStr">
        <is>
          <t>CF</t>
        </is>
      </c>
      <c r="I553" s="27" t="inlineStr">
        <is>
          <t>현금흐름표</t>
        </is>
      </c>
      <c r="J553" s="27" t="inlineStr">
        <is>
          <t>ifrs-full_AdjustmentsForReconcileProfitLoss</t>
        </is>
      </c>
      <c r="K553" s="27" t="inlineStr">
        <is>
          <t>가감</t>
        </is>
      </c>
      <c r="L553" s="27" t="inlineStr">
        <is>
          <t>-</t>
        </is>
      </c>
      <c r="M553" s="27" t="inlineStr">
        <is>
          <t>제 51 기</t>
        </is>
      </c>
      <c r="N553" s="27" t="inlineStr">
        <is>
          <t>119244696668.0</t>
        </is>
      </c>
      <c r="O553" s="27" t="inlineStr">
        <is>
          <t>136278076314.0</t>
        </is>
      </c>
      <c r="P553" s="27" t="inlineStr">
        <is>
          <t>KRW</t>
        </is>
      </c>
      <c r="Q553" s="27" t="inlineStr">
        <is>
          <t>51</t>
        </is>
      </c>
    </row>
    <row r="554" ht="24" customHeight="1">
      <c r="A554" s="32" t="inlineStr">
        <is>
          <t>OpenDART_fnlttSinglAcntAll</t>
        </is>
      </c>
      <c r="B554" s="32" t="inlineStr">
        <is>
          <t>00118804</t>
        </is>
      </c>
      <c r="C554" s="32" t="inlineStr">
        <is>
          <t>동진쎄미켐</t>
        </is>
      </c>
      <c r="D554" s="32" t="inlineStr">
        <is>
          <t>dongjin_semichem</t>
        </is>
      </c>
      <c r="E554" s="32" t="inlineStr">
        <is>
          <t>005290</t>
        </is>
      </c>
      <c r="F554" s="32" t="inlineStr">
        <is>
          <t>2023</t>
        </is>
      </c>
      <c r="G554" s="32" t="inlineStr">
        <is>
          <t>CFS</t>
        </is>
      </c>
      <c r="H554" s="32" t="inlineStr">
        <is>
          <t>CF</t>
        </is>
      </c>
      <c r="I554" s="32" t="inlineStr">
        <is>
          <t>현금흐름표</t>
        </is>
      </c>
      <c r="J554" s="32" t="inlineStr">
        <is>
          <t>dart_AdjustmentsForGainOnDispositionOfTangibleAssets</t>
        </is>
      </c>
      <c r="K554" s="32" t="inlineStr">
        <is>
          <t>유형자산처분이익</t>
        </is>
      </c>
      <c r="L554" s="32" t="inlineStr">
        <is>
          <t>-</t>
        </is>
      </c>
      <c r="M554" s="32" t="inlineStr">
        <is>
          <t>제 51 기</t>
        </is>
      </c>
      <c r="N554" s="32" t="inlineStr">
        <is>
          <t>190788454.0</t>
        </is>
      </c>
      <c r="O554" s="32" t="inlineStr">
        <is>
          <t>125722731.0</t>
        </is>
      </c>
      <c r="P554" s="32" t="inlineStr">
        <is>
          <t>KRW</t>
        </is>
      </c>
      <c r="Q554" s="32" t="inlineStr">
        <is>
          <t>52</t>
        </is>
      </c>
    </row>
    <row r="555" ht="24" customHeight="1">
      <c r="A555" s="27" t="inlineStr">
        <is>
          <t>OpenDART_fnlttSinglAcntAll</t>
        </is>
      </c>
      <c r="B555" s="27" t="inlineStr">
        <is>
          <t>00118804</t>
        </is>
      </c>
      <c r="C555" s="27" t="inlineStr">
        <is>
          <t>동진쎄미켐</t>
        </is>
      </c>
      <c r="D555" s="27" t="inlineStr">
        <is>
          <t>dongjin_semichem</t>
        </is>
      </c>
      <c r="E555" s="27" t="inlineStr">
        <is>
          <t>005290</t>
        </is>
      </c>
      <c r="F555" s="27" t="inlineStr">
        <is>
          <t>2023</t>
        </is>
      </c>
      <c r="G555" s="27" t="inlineStr">
        <is>
          <t>CFS</t>
        </is>
      </c>
      <c r="H555" s="27" t="inlineStr">
        <is>
          <t>CF</t>
        </is>
      </c>
      <c r="I555" s="27" t="inlineStr">
        <is>
          <t>현금흐름표</t>
        </is>
      </c>
      <c r="J555" s="27" t="inlineStr">
        <is>
          <t>dart_AdjustmentsForGainOnForeignExchangeTranslations</t>
        </is>
      </c>
      <c r="K555" s="27" t="inlineStr">
        <is>
          <t>외화환산이익</t>
        </is>
      </c>
      <c r="L555" s="27" t="inlineStr">
        <is>
          <t>-</t>
        </is>
      </c>
      <c r="M555" s="27" t="inlineStr">
        <is>
          <t>제 51 기</t>
        </is>
      </c>
      <c r="N555" s="27" t="inlineStr">
        <is>
          <t>3653925718.0</t>
        </is>
      </c>
      <c r="O555" s="27" t="inlineStr">
        <is>
          <t>11165039485.0</t>
        </is>
      </c>
      <c r="P555" s="27" t="inlineStr">
        <is>
          <t>KRW</t>
        </is>
      </c>
      <c r="Q555" s="27" t="inlineStr">
        <is>
          <t>53</t>
        </is>
      </c>
    </row>
    <row r="556" ht="24" customHeight="1">
      <c r="A556" s="32" t="inlineStr">
        <is>
          <t>OpenDART_fnlttSinglAcntAll</t>
        </is>
      </c>
      <c r="B556" s="32" t="inlineStr">
        <is>
          <t>00118804</t>
        </is>
      </c>
      <c r="C556" s="32" t="inlineStr">
        <is>
          <t>동진쎄미켐</t>
        </is>
      </c>
      <c r="D556" s="32" t="inlineStr">
        <is>
          <t>dongjin_semichem</t>
        </is>
      </c>
      <c r="E556" s="32" t="inlineStr">
        <is>
          <t>005290</t>
        </is>
      </c>
      <c r="F556" s="32" t="inlineStr">
        <is>
          <t>2023</t>
        </is>
      </c>
      <c r="G556" s="32" t="inlineStr">
        <is>
          <t>CFS</t>
        </is>
      </c>
      <c r="H556" s="32" t="inlineStr">
        <is>
          <t>CF</t>
        </is>
      </c>
      <c r="I556" s="32" t="inlineStr">
        <is>
          <t>현금흐름표</t>
        </is>
      </c>
      <c r="J556" s="32" t="inlineStr">
        <is>
          <t>dart_AdjustmentsForGainsOnDisposalsOfInvestmentsInAssociates</t>
        </is>
      </c>
      <c r="K556" s="32" t="inlineStr">
        <is>
          <t>관계기업투자처분이익</t>
        </is>
      </c>
      <c r="L556" s="32" t="inlineStr">
        <is>
          <t>-</t>
        </is>
      </c>
      <c r="M556" s="32" t="inlineStr">
        <is>
          <t>제 51 기</t>
        </is>
      </c>
      <c r="N556" s="32" t="inlineStr">
        <is>
          <t>51472469.0</t>
        </is>
      </c>
      <c r="O556" s="32" t="inlineStr">
        <is>
          <t>0.0</t>
        </is>
      </c>
      <c r="P556" s="32" t="inlineStr">
        <is>
          <t>KRW</t>
        </is>
      </c>
      <c r="Q556" s="32" t="inlineStr">
        <is>
          <t>54</t>
        </is>
      </c>
    </row>
    <row r="557" ht="24" customHeight="1">
      <c r="A557" s="27" t="inlineStr">
        <is>
          <t>OpenDART_fnlttSinglAcntAll</t>
        </is>
      </c>
      <c r="B557" s="27" t="inlineStr">
        <is>
          <t>00118804</t>
        </is>
      </c>
      <c r="C557" s="27" t="inlineStr">
        <is>
          <t>동진쎄미켐</t>
        </is>
      </c>
      <c r="D557" s="27" t="inlineStr">
        <is>
          <t>dongjin_semichem</t>
        </is>
      </c>
      <c r="E557" s="27" t="inlineStr">
        <is>
          <t>005290</t>
        </is>
      </c>
      <c r="F557" s="27" t="inlineStr">
        <is>
          <t>2023</t>
        </is>
      </c>
      <c r="G557" s="27" t="inlineStr">
        <is>
          <t>CFS</t>
        </is>
      </c>
      <c r="H557" s="27" t="inlineStr">
        <is>
          <t>CF</t>
        </is>
      </c>
      <c r="I557" s="27" t="inlineStr">
        <is>
          <t>현금흐름표</t>
        </is>
      </c>
      <c r="J557" s="27" t="inlineStr">
        <is>
          <t>dart_AdjustmentsForGainsOnEvaluationOfFairValueFinancialAssets</t>
        </is>
      </c>
      <c r="K557" s="27" t="inlineStr">
        <is>
          <t>투자금융자산평가이익</t>
        </is>
      </c>
      <c r="L557" s="27" t="inlineStr">
        <is>
          <t>-</t>
        </is>
      </c>
      <c r="M557" s="27" t="inlineStr">
        <is>
          <t>제 51 기</t>
        </is>
      </c>
      <c r="N557" s="27" t="inlineStr">
        <is>
          <t>520141504.0</t>
        </is>
      </c>
      <c r="O557" s="27" t="inlineStr">
        <is>
          <t>0.0</t>
        </is>
      </c>
      <c r="P557" s="27" t="inlineStr">
        <is>
          <t>KRW</t>
        </is>
      </c>
      <c r="Q557" s="27" t="inlineStr">
        <is>
          <t>55</t>
        </is>
      </c>
    </row>
    <row r="558" ht="24" customHeight="1">
      <c r="A558" s="32" t="inlineStr">
        <is>
          <t>OpenDART_fnlttSinglAcntAll</t>
        </is>
      </c>
      <c r="B558" s="32" t="inlineStr">
        <is>
          <t>00118804</t>
        </is>
      </c>
      <c r="C558" s="32" t="inlineStr">
        <is>
          <t>동진쎄미켐</t>
        </is>
      </c>
      <c r="D558" s="32" t="inlineStr">
        <is>
          <t>dongjin_semichem</t>
        </is>
      </c>
      <c r="E558" s="32" t="inlineStr">
        <is>
          <t>005290</t>
        </is>
      </c>
      <c r="F558" s="32" t="inlineStr">
        <is>
          <t>2023</t>
        </is>
      </c>
      <c r="G558" s="32" t="inlineStr">
        <is>
          <t>CFS</t>
        </is>
      </c>
      <c r="H558" s="32" t="inlineStr">
        <is>
          <t>CF</t>
        </is>
      </c>
      <c r="I558" s="32" t="inlineStr">
        <is>
          <t>현금흐름표</t>
        </is>
      </c>
      <c r="J558" s="32" t="inlineStr">
        <is>
          <t>dart_AdjustmentsForImpairmentLossesOfIntangibleAssets</t>
        </is>
      </c>
      <c r="K558" s="32" t="inlineStr">
        <is>
          <t>무형자산손상차손</t>
        </is>
      </c>
      <c r="L558" s="32" t="inlineStr">
        <is>
          <t>-</t>
        </is>
      </c>
      <c r="M558" s="32" t="inlineStr">
        <is>
          <t>제 51 기</t>
        </is>
      </c>
      <c r="N558" s="32" t="inlineStr">
        <is>
          <t>19450085.0</t>
        </is>
      </c>
      <c r="O558" s="32" t="inlineStr">
        <is>
          <t>0.0</t>
        </is>
      </c>
      <c r="P558" s="32" t="inlineStr">
        <is>
          <t>KRW</t>
        </is>
      </c>
      <c r="Q558" s="32" t="inlineStr">
        <is>
          <t>56</t>
        </is>
      </c>
    </row>
    <row r="559" ht="24" customHeight="1">
      <c r="A559" s="27" t="inlineStr">
        <is>
          <t>OpenDART_fnlttSinglAcntAll</t>
        </is>
      </c>
      <c r="B559" s="27" t="inlineStr">
        <is>
          <t>00118804</t>
        </is>
      </c>
      <c r="C559" s="27" t="inlineStr">
        <is>
          <t>동진쎄미켐</t>
        </is>
      </c>
      <c r="D559" s="27" t="inlineStr">
        <is>
          <t>dongjin_semichem</t>
        </is>
      </c>
      <c r="E559" s="27" t="inlineStr">
        <is>
          <t>005290</t>
        </is>
      </c>
      <c r="F559" s="27" t="inlineStr">
        <is>
          <t>2023</t>
        </is>
      </c>
      <c r="G559" s="27" t="inlineStr">
        <is>
          <t>CFS</t>
        </is>
      </c>
      <c r="H559" s="27" t="inlineStr">
        <is>
          <t>CF</t>
        </is>
      </c>
      <c r="I559" s="27" t="inlineStr">
        <is>
          <t>현금흐름표</t>
        </is>
      </c>
      <c r="J559" s="27" t="inlineStr">
        <is>
          <t>dart_AdjustmentsForImpairmentLossesOfPropertyPlantAndEquipment</t>
        </is>
      </c>
      <c r="K559" s="27" t="inlineStr">
        <is>
          <t>유형자산손상차손</t>
        </is>
      </c>
      <c r="L559" s="27" t="inlineStr">
        <is>
          <t>-</t>
        </is>
      </c>
      <c r="M559" s="27" t="inlineStr">
        <is>
          <t>제 51 기</t>
        </is>
      </c>
      <c r="N559" s="27" t="inlineStr">
        <is>
          <t>0.0</t>
        </is>
      </c>
      <c r="O559" s="27" t="inlineStr">
        <is>
          <t>0.0</t>
        </is>
      </c>
      <c r="P559" s="27" t="inlineStr">
        <is>
          <t>KRW</t>
        </is>
      </c>
      <c r="Q559" s="27" t="inlineStr">
        <is>
          <t>57</t>
        </is>
      </c>
    </row>
    <row r="560" ht="24" customHeight="1">
      <c r="A560" s="32" t="inlineStr">
        <is>
          <t>OpenDART_fnlttSinglAcntAll</t>
        </is>
      </c>
      <c r="B560" s="32" t="inlineStr">
        <is>
          <t>00118804</t>
        </is>
      </c>
      <c r="C560" s="32" t="inlineStr">
        <is>
          <t>동진쎄미켐</t>
        </is>
      </c>
      <c r="D560" s="32" t="inlineStr">
        <is>
          <t>dongjin_semichem</t>
        </is>
      </c>
      <c r="E560" s="32" t="inlineStr">
        <is>
          <t>005290</t>
        </is>
      </c>
      <c r="F560" s="32" t="inlineStr">
        <is>
          <t>2023</t>
        </is>
      </c>
      <c r="G560" s="32" t="inlineStr">
        <is>
          <t>CFS</t>
        </is>
      </c>
      <c r="H560" s="32" t="inlineStr">
        <is>
          <t>CF</t>
        </is>
      </c>
      <c r="I560" s="32" t="inlineStr">
        <is>
          <t>현금흐름표</t>
        </is>
      </c>
      <c r="J560" s="32" t="inlineStr">
        <is>
          <t>dart_AdjustmentsForImpairmentLossesOnInvestmentsInAssociates</t>
        </is>
      </c>
      <c r="K560" s="32" t="inlineStr">
        <is>
          <t>관계기업투자손상차손</t>
        </is>
      </c>
      <c r="L560" s="32" t="inlineStr">
        <is>
          <t>-</t>
        </is>
      </c>
      <c r="M560" s="32" t="inlineStr">
        <is>
          <t>제 51 기</t>
        </is>
      </c>
      <c r="N560" s="32" t="inlineStr">
        <is>
          <t>0.0</t>
        </is>
      </c>
      <c r="O560" s="32" t="inlineStr">
        <is>
          <t>1023236683.0</t>
        </is>
      </c>
      <c r="P560" s="32" t="inlineStr">
        <is>
          <t>KRW</t>
        </is>
      </c>
      <c r="Q560" s="32" t="inlineStr">
        <is>
          <t>58</t>
        </is>
      </c>
    </row>
    <row r="561" ht="24" customHeight="1">
      <c r="A561" s="27" t="inlineStr">
        <is>
          <t>OpenDART_fnlttSinglAcntAll</t>
        </is>
      </c>
      <c r="B561" s="27" t="inlineStr">
        <is>
          <t>00118804</t>
        </is>
      </c>
      <c r="C561" s="27" t="inlineStr">
        <is>
          <t>동진쎄미켐</t>
        </is>
      </c>
      <c r="D561" s="27" t="inlineStr">
        <is>
          <t>dongjin_semichem</t>
        </is>
      </c>
      <c r="E561" s="27" t="inlineStr">
        <is>
          <t>005290</t>
        </is>
      </c>
      <c r="F561" s="27" t="inlineStr">
        <is>
          <t>2023</t>
        </is>
      </c>
      <c r="G561" s="27" t="inlineStr">
        <is>
          <t>CFS</t>
        </is>
      </c>
      <c r="H561" s="27" t="inlineStr">
        <is>
          <t>CF</t>
        </is>
      </c>
      <c r="I561" s="27" t="inlineStr">
        <is>
          <t>현금흐름표</t>
        </is>
      </c>
      <c r="J561" s="27" t="inlineStr">
        <is>
          <t>dart_AdjustmentsForLossesOfAssociatesAndJointVenturesAccountedForUsingEquityMethod</t>
        </is>
      </c>
      <c r="K561" s="27" t="inlineStr">
        <is>
          <t>지분법손실</t>
        </is>
      </c>
      <c r="L561" s="27" t="inlineStr">
        <is>
          <t>-</t>
        </is>
      </c>
      <c r="M561" s="27" t="inlineStr">
        <is>
          <t>제 51 기</t>
        </is>
      </c>
      <c r="N561" s="27" t="inlineStr">
        <is>
          <t>833675771.0</t>
        </is>
      </c>
      <c r="O561" s="27" t="inlineStr">
        <is>
          <t>3829704592.0</t>
        </is>
      </c>
      <c r="P561" s="27" t="inlineStr">
        <is>
          <t>KRW</t>
        </is>
      </c>
      <c r="Q561" s="27" t="inlineStr">
        <is>
          <t>59</t>
        </is>
      </c>
    </row>
    <row r="562" ht="24" customHeight="1">
      <c r="A562" s="32" t="inlineStr">
        <is>
          <t>OpenDART_fnlttSinglAcntAll</t>
        </is>
      </c>
      <c r="B562" s="32" t="inlineStr">
        <is>
          <t>00118804</t>
        </is>
      </c>
      <c r="C562" s="32" t="inlineStr">
        <is>
          <t>동진쎄미켐</t>
        </is>
      </c>
      <c r="D562" s="32" t="inlineStr">
        <is>
          <t>dongjin_semichem</t>
        </is>
      </c>
      <c r="E562" s="32" t="inlineStr">
        <is>
          <t>005290</t>
        </is>
      </c>
      <c r="F562" s="32" t="inlineStr">
        <is>
          <t>2023</t>
        </is>
      </c>
      <c r="G562" s="32" t="inlineStr">
        <is>
          <t>CFS</t>
        </is>
      </c>
      <c r="H562" s="32" t="inlineStr">
        <is>
          <t>CF</t>
        </is>
      </c>
      <c r="I562" s="32" t="inlineStr">
        <is>
          <t>현금흐름표</t>
        </is>
      </c>
      <c r="J562" s="32" t="inlineStr">
        <is>
          <t>dart_AdjustmentsForLossesOnDisposalsOfIntangibleAssets</t>
        </is>
      </c>
      <c r="K562" s="32" t="inlineStr">
        <is>
          <t>무형자산처분손실</t>
        </is>
      </c>
      <c r="L562" s="32" t="inlineStr">
        <is>
          <t>-</t>
        </is>
      </c>
      <c r="M562" s="32" t="inlineStr">
        <is>
          <t>제 51 기</t>
        </is>
      </c>
      <c r="N562" s="32" t="inlineStr">
        <is>
          <t>0.0</t>
        </is>
      </c>
      <c r="O562" s="32" t="inlineStr">
        <is>
          <t>228328078.0</t>
        </is>
      </c>
      <c r="P562" s="32" t="inlineStr">
        <is>
          <t>KRW</t>
        </is>
      </c>
      <c r="Q562" s="32" t="inlineStr">
        <is>
          <t>60</t>
        </is>
      </c>
    </row>
    <row r="563" ht="24" customHeight="1">
      <c r="A563" s="27" t="inlineStr">
        <is>
          <t>OpenDART_fnlttSinglAcntAll</t>
        </is>
      </c>
      <c r="B563" s="27" t="inlineStr">
        <is>
          <t>00118804</t>
        </is>
      </c>
      <c r="C563" s="27" t="inlineStr">
        <is>
          <t>동진쎄미켐</t>
        </is>
      </c>
      <c r="D563" s="27" t="inlineStr">
        <is>
          <t>dongjin_semichem</t>
        </is>
      </c>
      <c r="E563" s="27" t="inlineStr">
        <is>
          <t>005290</t>
        </is>
      </c>
      <c r="F563" s="27" t="inlineStr">
        <is>
          <t>2023</t>
        </is>
      </c>
      <c r="G563" s="27" t="inlineStr">
        <is>
          <t>CFS</t>
        </is>
      </c>
      <c r="H563" s="27" t="inlineStr">
        <is>
          <t>CF</t>
        </is>
      </c>
      <c r="I563" s="27" t="inlineStr">
        <is>
          <t>현금흐름표</t>
        </is>
      </c>
      <c r="J563" s="27" t="inlineStr">
        <is>
          <t>dart_AdjustmentsForLossesOnDispositionOfPropertyPlantAndEquipment</t>
        </is>
      </c>
      <c r="K563" s="27" t="inlineStr">
        <is>
          <t>유형자산처분손실</t>
        </is>
      </c>
      <c r="L563" s="27" t="inlineStr">
        <is>
          <t>-</t>
        </is>
      </c>
      <c r="M563" s="27" t="inlineStr">
        <is>
          <t>제 51 기</t>
        </is>
      </c>
      <c r="N563" s="27" t="inlineStr">
        <is>
          <t>2908043.0</t>
        </is>
      </c>
      <c r="O563" s="27" t="inlineStr">
        <is>
          <t>388321148.0</t>
        </is>
      </c>
      <c r="P563" s="27" t="inlineStr">
        <is>
          <t>KRW</t>
        </is>
      </c>
      <c r="Q563" s="27" t="inlineStr">
        <is>
          <t>61</t>
        </is>
      </c>
    </row>
    <row r="564" ht="24" customHeight="1">
      <c r="A564" s="32" t="inlineStr">
        <is>
          <t>OpenDART_fnlttSinglAcntAll</t>
        </is>
      </c>
      <c r="B564" s="32" t="inlineStr">
        <is>
          <t>00118804</t>
        </is>
      </c>
      <c r="C564" s="32" t="inlineStr">
        <is>
          <t>동진쎄미켐</t>
        </is>
      </c>
      <c r="D564" s="32" t="inlineStr">
        <is>
          <t>dongjin_semichem</t>
        </is>
      </c>
      <c r="E564" s="32" t="inlineStr">
        <is>
          <t>005290</t>
        </is>
      </c>
      <c r="F564" s="32" t="inlineStr">
        <is>
          <t>2023</t>
        </is>
      </c>
      <c r="G564" s="32" t="inlineStr">
        <is>
          <t>CFS</t>
        </is>
      </c>
      <c r="H564" s="32" t="inlineStr">
        <is>
          <t>CF</t>
        </is>
      </c>
      <c r="I564" s="32" t="inlineStr">
        <is>
          <t>현금흐름표</t>
        </is>
      </c>
      <c r="J564" s="32" t="inlineStr">
        <is>
          <t>dart_AdjustmentsForLossesOnEvaluationOfDerivativeFinancialAssets</t>
        </is>
      </c>
      <c r="K564" s="32" t="inlineStr">
        <is>
          <t>파생상품관련손실</t>
        </is>
      </c>
      <c r="L564" s="32" t="inlineStr">
        <is>
          <t>-</t>
        </is>
      </c>
      <c r="M564" s="32" t="inlineStr">
        <is>
          <t>제 51 기</t>
        </is>
      </c>
      <c r="N564" s="32" t="inlineStr">
        <is>
          <t>0.0</t>
        </is>
      </c>
      <c r="O564" s="32" t="inlineStr">
        <is>
          <t>1609839.0</t>
        </is>
      </c>
      <c r="P564" s="32" t="inlineStr">
        <is>
          <t>KRW</t>
        </is>
      </c>
      <c r="Q564" s="32" t="inlineStr">
        <is>
          <t>62</t>
        </is>
      </c>
    </row>
    <row r="565" ht="24" customHeight="1">
      <c r="A565" s="27" t="inlineStr">
        <is>
          <t>OpenDART_fnlttSinglAcntAll</t>
        </is>
      </c>
      <c r="B565" s="27" t="inlineStr">
        <is>
          <t>00118804</t>
        </is>
      </c>
      <c r="C565" s="27" t="inlineStr">
        <is>
          <t>동진쎄미켐</t>
        </is>
      </c>
      <c r="D565" s="27" t="inlineStr">
        <is>
          <t>dongjin_semichem</t>
        </is>
      </c>
      <c r="E565" s="27" t="inlineStr">
        <is>
          <t>005290</t>
        </is>
      </c>
      <c r="F565" s="27" t="inlineStr">
        <is>
          <t>2023</t>
        </is>
      </c>
      <c r="G565" s="27" t="inlineStr">
        <is>
          <t>CFS</t>
        </is>
      </c>
      <c r="H565" s="27" t="inlineStr">
        <is>
          <t>CF</t>
        </is>
      </c>
      <c r="I565" s="27" t="inlineStr">
        <is>
          <t>현금흐름표</t>
        </is>
      </c>
      <c r="J565" s="27" t="inlineStr">
        <is>
          <t>dart_AdjustmentsForLossesOnEvaluationOfInvestmentProperty</t>
        </is>
      </c>
      <c r="K565" s="27" t="inlineStr">
        <is>
          <t>투자부동산감가상각비</t>
        </is>
      </c>
      <c r="L565" s="27" t="inlineStr">
        <is>
          <t>-</t>
        </is>
      </c>
      <c r="M565" s="27" t="inlineStr">
        <is>
          <t>제 51 기</t>
        </is>
      </c>
      <c r="N565" s="27" t="inlineStr">
        <is>
          <t>287745350.0</t>
        </is>
      </c>
      <c r="O565" s="27" t="inlineStr">
        <is>
          <t>171087706.0</t>
        </is>
      </c>
      <c r="P565" s="27" t="inlineStr">
        <is>
          <t>KRW</t>
        </is>
      </c>
      <c r="Q565" s="27" t="inlineStr">
        <is>
          <t>63</t>
        </is>
      </c>
    </row>
    <row r="566" ht="24" customHeight="1">
      <c r="A566" s="32" t="inlineStr">
        <is>
          <t>OpenDART_fnlttSinglAcntAll</t>
        </is>
      </c>
      <c r="B566" s="32" t="inlineStr">
        <is>
          <t>00118804</t>
        </is>
      </c>
      <c r="C566" s="32" t="inlineStr">
        <is>
          <t>동진쎄미켐</t>
        </is>
      </c>
      <c r="D566" s="32" t="inlineStr">
        <is>
          <t>dongjin_semichem</t>
        </is>
      </c>
      <c r="E566" s="32" t="inlineStr">
        <is>
          <t>005290</t>
        </is>
      </c>
      <c r="F566" s="32" t="inlineStr">
        <is>
          <t>2023</t>
        </is>
      </c>
      <c r="G566" s="32" t="inlineStr">
        <is>
          <t>CFS</t>
        </is>
      </c>
      <c r="H566" s="32" t="inlineStr">
        <is>
          <t>CF</t>
        </is>
      </c>
      <c r="I566" s="32" t="inlineStr">
        <is>
          <t>현금흐름표</t>
        </is>
      </c>
      <c r="J566" s="32" t="inlineStr">
        <is>
          <t>dart_AdjustmentsForLossesOnForeignExchangeTranslations</t>
        </is>
      </c>
      <c r="K566" s="32" t="inlineStr">
        <is>
          <t>외화환산손실</t>
        </is>
      </c>
      <c r="L566" s="32" t="inlineStr">
        <is>
          <t>-</t>
        </is>
      </c>
      <c r="M566" s="32" t="inlineStr">
        <is>
          <t>제 51 기</t>
        </is>
      </c>
      <c r="N566" s="32" t="inlineStr">
        <is>
          <t>3098078453.0</t>
        </is>
      </c>
      <c r="O566" s="32" t="inlineStr">
        <is>
          <t>16441834355.0</t>
        </is>
      </c>
      <c r="P566" s="32" t="inlineStr">
        <is>
          <t>KRW</t>
        </is>
      </c>
      <c r="Q566" s="32" t="inlineStr">
        <is>
          <t>64</t>
        </is>
      </c>
    </row>
    <row r="567" ht="24" customHeight="1">
      <c r="A567" s="27" t="inlineStr">
        <is>
          <t>OpenDART_fnlttSinglAcntAll</t>
        </is>
      </c>
      <c r="B567" s="27" t="inlineStr">
        <is>
          <t>00118804</t>
        </is>
      </c>
      <c r="C567" s="27" t="inlineStr">
        <is>
          <t>동진쎄미켐</t>
        </is>
      </c>
      <c r="D567" s="27" t="inlineStr">
        <is>
          <t>dongjin_semichem</t>
        </is>
      </c>
      <c r="E567" s="27" t="inlineStr">
        <is>
          <t>005290</t>
        </is>
      </c>
      <c r="F567" s="27" t="inlineStr">
        <is>
          <t>2023</t>
        </is>
      </c>
      <c r="G567" s="27" t="inlineStr">
        <is>
          <t>CFS</t>
        </is>
      </c>
      <c r="H567" s="27" t="inlineStr">
        <is>
          <t>CF</t>
        </is>
      </c>
      <c r="I567" s="27" t="inlineStr">
        <is>
          <t>현금흐름표</t>
        </is>
      </c>
      <c r="J567" s="27" t="inlineStr">
        <is>
          <t>dart_AdjustmentsForOtherBadDebtExpenses</t>
        </is>
      </c>
      <c r="K567" s="27" t="inlineStr">
        <is>
          <t>기타의 대손상각비</t>
        </is>
      </c>
      <c r="L567" s="27" t="inlineStr">
        <is>
          <t>-</t>
        </is>
      </c>
      <c r="M567" s="27" t="inlineStr">
        <is>
          <t>제 51 기</t>
        </is>
      </c>
      <c r="N567" s="27" t="inlineStr">
        <is>
          <t>2764732.0</t>
        </is>
      </c>
      <c r="O567" s="27" t="inlineStr">
        <is>
          <t>0.0</t>
        </is>
      </c>
      <c r="P567" s="27" t="inlineStr">
        <is>
          <t>KRW</t>
        </is>
      </c>
      <c r="Q567" s="27" t="inlineStr">
        <is>
          <t>65</t>
        </is>
      </c>
    </row>
    <row r="568" ht="24" customHeight="1">
      <c r="A568" s="32" t="inlineStr">
        <is>
          <t>OpenDART_fnlttSinglAcntAll</t>
        </is>
      </c>
      <c r="B568" s="32" t="inlineStr">
        <is>
          <t>00118804</t>
        </is>
      </c>
      <c r="C568" s="32" t="inlineStr">
        <is>
          <t>동진쎄미켐</t>
        </is>
      </c>
      <c r="D568" s="32" t="inlineStr">
        <is>
          <t>dongjin_semichem</t>
        </is>
      </c>
      <c r="E568" s="32" t="inlineStr">
        <is>
          <t>005290</t>
        </is>
      </c>
      <c r="F568" s="32" t="inlineStr">
        <is>
          <t>2023</t>
        </is>
      </c>
      <c r="G568" s="32" t="inlineStr">
        <is>
          <t>CFS</t>
        </is>
      </c>
      <c r="H568" s="32" t="inlineStr">
        <is>
          <t>CF</t>
        </is>
      </c>
      <c r="I568" s="32" t="inlineStr">
        <is>
          <t>현금흐름표</t>
        </is>
      </c>
      <c r="J568" s="32" t="inlineStr">
        <is>
          <t>dart_AdjustmentsForOtherGainsWithoutCashFlowIn</t>
        </is>
      </c>
      <c r="K568" s="32" t="inlineStr">
        <is>
          <t>기타 현금의 유입 없는 수익등</t>
        </is>
      </c>
      <c r="L568" s="32" t="inlineStr">
        <is>
          <t>-</t>
        </is>
      </c>
      <c r="M568" s="32" t="inlineStr">
        <is>
          <t>제 51 기</t>
        </is>
      </c>
      <c r="N568" s="32" t="inlineStr">
        <is>
          <t>852237544.0</t>
        </is>
      </c>
      <c r="O568" s="32" t="inlineStr">
        <is>
          <t>606250244.0</t>
        </is>
      </c>
      <c r="P568" s="32" t="inlineStr">
        <is>
          <t>KRW</t>
        </is>
      </c>
      <c r="Q568" s="32" t="inlineStr">
        <is>
          <t>66</t>
        </is>
      </c>
    </row>
    <row r="569" ht="24" customHeight="1">
      <c r="A569" s="27" t="inlineStr">
        <is>
          <t>OpenDART_fnlttSinglAcntAll</t>
        </is>
      </c>
      <c r="B569" s="27" t="inlineStr">
        <is>
          <t>00118804</t>
        </is>
      </c>
      <c r="C569" s="27" t="inlineStr">
        <is>
          <t>동진쎄미켐</t>
        </is>
      </c>
      <c r="D569" s="27" t="inlineStr">
        <is>
          <t>dongjin_semichem</t>
        </is>
      </c>
      <c r="E569" s="27" t="inlineStr">
        <is>
          <t>005290</t>
        </is>
      </c>
      <c r="F569" s="27" t="inlineStr">
        <is>
          <t>2023</t>
        </is>
      </c>
      <c r="G569" s="27" t="inlineStr">
        <is>
          <t>CFS</t>
        </is>
      </c>
      <c r="H569" s="27" t="inlineStr">
        <is>
          <t>CF</t>
        </is>
      </c>
      <c r="I569" s="27" t="inlineStr">
        <is>
          <t>현금흐름표</t>
        </is>
      </c>
      <c r="J569" s="27" t="inlineStr">
        <is>
          <t>dart_AdjustmentsForOtherLossesWithoutCashFlowOut</t>
        </is>
      </c>
      <c r="K569" s="27" t="inlineStr">
        <is>
          <t>기타 현금의 유출 없는 비용등</t>
        </is>
      </c>
      <c r="L569" s="27" t="inlineStr">
        <is>
          <t>-</t>
        </is>
      </c>
      <c r="M569" s="27" t="inlineStr">
        <is>
          <t>제 51 기</t>
        </is>
      </c>
      <c r="N569" s="27" t="inlineStr">
        <is>
          <t>2709826261.0</t>
        </is>
      </c>
      <c r="O569" s="27" t="inlineStr">
        <is>
          <t>3482530831.0</t>
        </is>
      </c>
      <c r="P569" s="27" t="inlineStr">
        <is>
          <t>KRW</t>
        </is>
      </c>
      <c r="Q569" s="27" t="inlineStr">
        <is>
          <t>67</t>
        </is>
      </c>
    </row>
    <row r="570" ht="24" customHeight="1">
      <c r="A570" s="32" t="inlineStr">
        <is>
          <t>OpenDART_fnlttSinglAcntAll</t>
        </is>
      </c>
      <c r="B570" s="32" t="inlineStr">
        <is>
          <t>00118804</t>
        </is>
      </c>
      <c r="C570" s="32" t="inlineStr">
        <is>
          <t>동진쎄미켐</t>
        </is>
      </c>
      <c r="D570" s="32" t="inlineStr">
        <is>
          <t>dongjin_semichem</t>
        </is>
      </c>
      <c r="E570" s="32" t="inlineStr">
        <is>
          <t>005290</t>
        </is>
      </c>
      <c r="F570" s="32" t="inlineStr">
        <is>
          <t>2023</t>
        </is>
      </c>
      <c r="G570" s="32" t="inlineStr">
        <is>
          <t>CFS</t>
        </is>
      </c>
      <c r="H570" s="32" t="inlineStr">
        <is>
          <t>CF</t>
        </is>
      </c>
      <c r="I570" s="32" t="inlineStr">
        <is>
          <t>현금흐름표</t>
        </is>
      </c>
      <c r="J570" s="32" t="inlineStr">
        <is>
          <t>dart_AdjustmentsForProfitsOfAssociatesAndJointVenturesAccountedForUsingEquityMethod</t>
        </is>
      </c>
      <c r="K570" s="32" t="inlineStr">
        <is>
          <t>지분법이익</t>
        </is>
      </c>
      <c r="L570" s="32" t="inlineStr">
        <is>
          <t>-</t>
        </is>
      </c>
      <c r="M570" s="32" t="inlineStr">
        <is>
          <t>제 51 기</t>
        </is>
      </c>
      <c r="N570" s="32" t="inlineStr">
        <is>
          <t>79985305.0</t>
        </is>
      </c>
      <c r="O570" s="32" t="inlineStr">
        <is>
          <t>0.0</t>
        </is>
      </c>
      <c r="P570" s="32" t="inlineStr">
        <is>
          <t>KRW</t>
        </is>
      </c>
      <c r="Q570" s="32" t="inlineStr">
        <is>
          <t>68</t>
        </is>
      </c>
    </row>
    <row r="571" ht="24" customHeight="1">
      <c r="A571" s="27" t="inlineStr">
        <is>
          <t>OpenDART_fnlttSinglAcntAll</t>
        </is>
      </c>
      <c r="B571" s="27" t="inlineStr">
        <is>
          <t>00118804</t>
        </is>
      </c>
      <c r="C571" s="27" t="inlineStr">
        <is>
          <t>동진쎄미켐</t>
        </is>
      </c>
      <c r="D571" s="27" t="inlineStr">
        <is>
          <t>dongjin_semichem</t>
        </is>
      </c>
      <c r="E571" s="27" t="inlineStr">
        <is>
          <t>005290</t>
        </is>
      </c>
      <c r="F571" s="27" t="inlineStr">
        <is>
          <t>2023</t>
        </is>
      </c>
      <c r="G571" s="27" t="inlineStr">
        <is>
          <t>CFS</t>
        </is>
      </c>
      <c r="H571" s="27" t="inlineStr">
        <is>
          <t>CF</t>
        </is>
      </c>
      <c r="I571" s="27" t="inlineStr">
        <is>
          <t>현금흐름표</t>
        </is>
      </c>
      <c r="J571" s="27" t="inlineStr">
        <is>
          <t>dart_AdjustmentsForProvisionForSeveranceIndemnities</t>
        </is>
      </c>
      <c r="K571" s="27" t="inlineStr">
        <is>
          <t>퇴직급여</t>
        </is>
      </c>
      <c r="L571" s="27" t="inlineStr">
        <is>
          <t>-</t>
        </is>
      </c>
      <c r="M571" s="27" t="inlineStr">
        <is>
          <t>제 51 기</t>
        </is>
      </c>
      <c r="N571" s="27" t="inlineStr">
        <is>
          <t>7210335531.0</t>
        </is>
      </c>
      <c r="O571" s="27" t="inlineStr">
        <is>
          <t>6738400750.0</t>
        </is>
      </c>
      <c r="P571" s="27" t="inlineStr">
        <is>
          <t>KRW</t>
        </is>
      </c>
      <c r="Q571" s="27" t="inlineStr">
        <is>
          <t>69</t>
        </is>
      </c>
    </row>
    <row r="572" ht="24" customHeight="1">
      <c r="A572" s="32" t="inlineStr">
        <is>
          <t>OpenDART_fnlttSinglAcntAll</t>
        </is>
      </c>
      <c r="B572" s="32" t="inlineStr">
        <is>
          <t>00118804</t>
        </is>
      </c>
      <c r="C572" s="32" t="inlineStr">
        <is>
          <t>동진쎄미켐</t>
        </is>
      </c>
      <c r="D572" s="32" t="inlineStr">
        <is>
          <t>dongjin_semichem</t>
        </is>
      </c>
      <c r="E572" s="32" t="inlineStr">
        <is>
          <t>005290</t>
        </is>
      </c>
      <c r="F572" s="32" t="inlineStr">
        <is>
          <t>2023</t>
        </is>
      </c>
      <c r="G572" s="32" t="inlineStr">
        <is>
          <t>CFS</t>
        </is>
      </c>
      <c r="H572" s="32" t="inlineStr">
        <is>
          <t>CF</t>
        </is>
      </c>
      <c r="I572" s="32" t="inlineStr">
        <is>
          <t>현금흐름표</t>
        </is>
      </c>
      <c r="J572" s="32" t="inlineStr">
        <is>
          <t>dart_AdjustmentsForReversalAllowanceDoubtfulAccounts</t>
        </is>
      </c>
      <c r="K572" s="32" t="inlineStr">
        <is>
          <t>대손상각비(대손충당금환입)</t>
        </is>
      </c>
      <c r="L572" s="32" t="inlineStr">
        <is>
          <t>-</t>
        </is>
      </c>
      <c r="M572" s="32" t="inlineStr">
        <is>
          <t>제 51 기</t>
        </is>
      </c>
      <c r="N572" s="32" t="inlineStr">
        <is>
          <t>-907054793.0</t>
        </is>
      </c>
      <c r="O572" s="32" t="inlineStr">
        <is>
          <t>-584091576.0</t>
        </is>
      </c>
      <c r="P572" s="32" t="inlineStr">
        <is>
          <t>KRW</t>
        </is>
      </c>
      <c r="Q572" s="32" t="inlineStr">
        <is>
          <t>70</t>
        </is>
      </c>
    </row>
    <row r="573" ht="24" customHeight="1">
      <c r="A573" s="27" t="inlineStr">
        <is>
          <t>OpenDART_fnlttSinglAcntAll</t>
        </is>
      </c>
      <c r="B573" s="27" t="inlineStr">
        <is>
          <t>00118804</t>
        </is>
      </c>
      <c r="C573" s="27" t="inlineStr">
        <is>
          <t>동진쎄미켐</t>
        </is>
      </c>
      <c r="D573" s="27" t="inlineStr">
        <is>
          <t>dongjin_semichem</t>
        </is>
      </c>
      <c r="E573" s="27" t="inlineStr">
        <is>
          <t>005290</t>
        </is>
      </c>
      <c r="F573" s="27" t="inlineStr">
        <is>
          <t>2023</t>
        </is>
      </c>
      <c r="G573" s="27" t="inlineStr">
        <is>
          <t>CFS</t>
        </is>
      </c>
      <c r="H573" s="27" t="inlineStr">
        <is>
          <t>CF</t>
        </is>
      </c>
      <c r="I573" s="27" t="inlineStr">
        <is>
          <t>현금흐름표</t>
        </is>
      </c>
      <c r="J573" s="27" t="inlineStr">
        <is>
          <t>dart_AdjustmentsForReversalsOfBadDebtExpenses</t>
        </is>
      </c>
      <c r="K573" s="27" t="inlineStr">
        <is>
          <t>기타의 대손충당금환입</t>
        </is>
      </c>
      <c r="L573" s="27" t="inlineStr">
        <is>
          <t>-</t>
        </is>
      </c>
      <c r="M573" s="27" t="inlineStr">
        <is>
          <t>제 51 기</t>
        </is>
      </c>
      <c r="N573" s="27" t="inlineStr">
        <is>
          <t>0.0</t>
        </is>
      </c>
      <c r="O573" s="27" t="inlineStr">
        <is>
          <t>465902532.0</t>
        </is>
      </c>
      <c r="P573" s="27" t="inlineStr">
        <is>
          <t>KRW</t>
        </is>
      </c>
      <c r="Q573" s="27" t="inlineStr">
        <is>
          <t>71</t>
        </is>
      </c>
    </row>
    <row r="574" ht="24" customHeight="1">
      <c r="A574" s="32" t="inlineStr">
        <is>
          <t>OpenDART_fnlttSinglAcntAll</t>
        </is>
      </c>
      <c r="B574" s="32" t="inlineStr">
        <is>
          <t>00118804</t>
        </is>
      </c>
      <c r="C574" s="32" t="inlineStr">
        <is>
          <t>동진쎄미켐</t>
        </is>
      </c>
      <c r="D574" s="32" t="inlineStr">
        <is>
          <t>dongjin_semichem</t>
        </is>
      </c>
      <c r="E574" s="32" t="inlineStr">
        <is>
          <t>005290</t>
        </is>
      </c>
      <c r="F574" s="32" t="inlineStr">
        <is>
          <t>2023</t>
        </is>
      </c>
      <c r="G574" s="32" t="inlineStr">
        <is>
          <t>CFS</t>
        </is>
      </c>
      <c r="H574" s="32" t="inlineStr">
        <is>
          <t>CF</t>
        </is>
      </c>
      <c r="I574" s="32" t="inlineStr">
        <is>
          <t>현금흐름표</t>
        </is>
      </c>
      <c r="J574" s="32" t="inlineStr">
        <is>
          <t>dart_AdjustmentsForReversalsOfImpairmentLossesOnIntangibleAssets</t>
        </is>
      </c>
      <c r="K574" s="32" t="inlineStr">
        <is>
          <t>무형자산손상차손환입</t>
        </is>
      </c>
      <c r="L574" s="32" t="inlineStr">
        <is>
          <t>-</t>
        </is>
      </c>
      <c r="M574" s="32" t="inlineStr">
        <is>
          <t>제 51 기</t>
        </is>
      </c>
      <c r="N574" s="32" t="inlineStr">
        <is>
          <t>0.0</t>
        </is>
      </c>
      <c r="O574" s="32" t="inlineStr">
        <is>
          <t>222186685.0</t>
        </is>
      </c>
      <c r="P574" s="32" t="inlineStr">
        <is>
          <t>KRW</t>
        </is>
      </c>
      <c r="Q574" s="32" t="inlineStr">
        <is>
          <t>72</t>
        </is>
      </c>
    </row>
    <row r="575" ht="24" customHeight="1">
      <c r="A575" s="27" t="inlineStr">
        <is>
          <t>OpenDART_fnlttSinglAcntAll</t>
        </is>
      </c>
      <c r="B575" s="27" t="inlineStr">
        <is>
          <t>00118804</t>
        </is>
      </c>
      <c r="C575" s="27" t="inlineStr">
        <is>
          <t>동진쎄미켐</t>
        </is>
      </c>
      <c r="D575" s="27" t="inlineStr">
        <is>
          <t>dongjin_semichem</t>
        </is>
      </c>
      <c r="E575" s="27" t="inlineStr">
        <is>
          <t>005290</t>
        </is>
      </c>
      <c r="F575" s="27" t="inlineStr">
        <is>
          <t>2023</t>
        </is>
      </c>
      <c r="G575" s="27" t="inlineStr">
        <is>
          <t>CFS</t>
        </is>
      </c>
      <c r="H575" s="27" t="inlineStr">
        <is>
          <t>CF</t>
        </is>
      </c>
      <c r="I575" s="27" t="inlineStr">
        <is>
          <t>현금흐름표</t>
        </is>
      </c>
      <c r="J575" s="27" t="inlineStr">
        <is>
          <t>-표준계정코드 미사용-</t>
        </is>
      </c>
      <c r="K575" s="27" t="inlineStr">
        <is>
          <t>투자금융자산평가손실</t>
        </is>
      </c>
      <c r="L575" s="27" t="inlineStr">
        <is>
          <t>-</t>
        </is>
      </c>
      <c r="M575" s="27" t="inlineStr">
        <is>
          <t>제 51 기</t>
        </is>
      </c>
      <c r="N575" s="27" t="inlineStr">
        <is>
          <t>0.0</t>
        </is>
      </c>
      <c r="O575" s="27" t="inlineStr">
        <is>
          <t>446988.0</t>
        </is>
      </c>
      <c r="P575" s="27" t="inlineStr">
        <is>
          <t>KRW</t>
        </is>
      </c>
      <c r="Q575" s="27" t="inlineStr">
        <is>
          <t>73</t>
        </is>
      </c>
    </row>
    <row r="576" ht="24" customHeight="1">
      <c r="A576" s="32" t="inlineStr">
        <is>
          <t>OpenDART_fnlttSinglAcntAll</t>
        </is>
      </c>
      <c r="B576" s="32" t="inlineStr">
        <is>
          <t>00118804</t>
        </is>
      </c>
      <c r="C576" s="32" t="inlineStr">
        <is>
          <t>동진쎄미켐</t>
        </is>
      </c>
      <c r="D576" s="32" t="inlineStr">
        <is>
          <t>dongjin_semichem</t>
        </is>
      </c>
      <c r="E576" s="32" t="inlineStr">
        <is>
          <t>005290</t>
        </is>
      </c>
      <c r="F576" s="32" t="inlineStr">
        <is>
          <t>2023</t>
        </is>
      </c>
      <c r="G576" s="32" t="inlineStr">
        <is>
          <t>CFS</t>
        </is>
      </c>
      <c r="H576" s="32" t="inlineStr">
        <is>
          <t>CF</t>
        </is>
      </c>
      <c r="I576" s="32" t="inlineStr">
        <is>
          <t>현금흐름표</t>
        </is>
      </c>
      <c r="J576" s="32" t="inlineStr">
        <is>
          <t>ifrs-full_AdjustmentsForAmortisationExpense</t>
        </is>
      </c>
      <c r="K576" s="32" t="inlineStr">
        <is>
          <t>무형자산상각비</t>
        </is>
      </c>
      <c r="L576" s="32" t="inlineStr">
        <is>
          <t>-</t>
        </is>
      </c>
      <c r="M576" s="32" t="inlineStr">
        <is>
          <t>제 51 기</t>
        </is>
      </c>
      <c r="N576" s="32" t="inlineStr">
        <is>
          <t>1768505903.0</t>
        </is>
      </c>
      <c r="O576" s="32" t="inlineStr">
        <is>
          <t>1767535333.0</t>
        </is>
      </c>
      <c r="P576" s="32" t="inlineStr">
        <is>
          <t>KRW</t>
        </is>
      </c>
      <c r="Q576" s="32" t="inlineStr">
        <is>
          <t>74</t>
        </is>
      </c>
    </row>
    <row r="577" ht="24" customHeight="1">
      <c r="A577" s="27" t="inlineStr">
        <is>
          <t>OpenDART_fnlttSinglAcntAll</t>
        </is>
      </c>
      <c r="B577" s="27" t="inlineStr">
        <is>
          <t>00118804</t>
        </is>
      </c>
      <c r="C577" s="27" t="inlineStr">
        <is>
          <t>동진쎄미켐</t>
        </is>
      </c>
      <c r="D577" s="27" t="inlineStr">
        <is>
          <t>dongjin_semichem</t>
        </is>
      </c>
      <c r="E577" s="27" t="inlineStr">
        <is>
          <t>005290</t>
        </is>
      </c>
      <c r="F577" s="27" t="inlineStr">
        <is>
          <t>2023</t>
        </is>
      </c>
      <c r="G577" s="27" t="inlineStr">
        <is>
          <t>CFS</t>
        </is>
      </c>
      <c r="H577" s="27" t="inlineStr">
        <is>
          <t>CF</t>
        </is>
      </c>
      <c r="I577" s="27" t="inlineStr">
        <is>
          <t>현금흐름표</t>
        </is>
      </c>
      <c r="J577" s="27" t="inlineStr">
        <is>
          <t>ifrs-full_AdjustmentsForDepreciationExpense</t>
        </is>
      </c>
      <c r="K577" s="27" t="inlineStr">
        <is>
          <t>감가상각비</t>
        </is>
      </c>
      <c r="L577" s="27" t="inlineStr">
        <is>
          <t>-</t>
        </is>
      </c>
      <c r="M577" s="27" t="inlineStr">
        <is>
          <t>제 51 기</t>
        </is>
      </c>
      <c r="N577" s="27" t="inlineStr">
        <is>
          <t>53461153959.0</t>
        </is>
      </c>
      <c r="O577" s="27" t="inlineStr">
        <is>
          <t>48162569784.0</t>
        </is>
      </c>
      <c r="P577" s="27" t="inlineStr">
        <is>
          <t>KRW</t>
        </is>
      </c>
      <c r="Q577" s="27" t="inlineStr">
        <is>
          <t>75</t>
        </is>
      </c>
    </row>
    <row r="578" ht="24" customHeight="1">
      <c r="A578" s="32" t="inlineStr">
        <is>
          <t>OpenDART_fnlttSinglAcntAll</t>
        </is>
      </c>
      <c r="B578" s="32" t="inlineStr">
        <is>
          <t>00118804</t>
        </is>
      </c>
      <c r="C578" s="32" t="inlineStr">
        <is>
          <t>동진쎄미켐</t>
        </is>
      </c>
      <c r="D578" s="32" t="inlineStr">
        <is>
          <t>dongjin_semichem</t>
        </is>
      </c>
      <c r="E578" s="32" t="inlineStr">
        <is>
          <t>005290</t>
        </is>
      </c>
      <c r="F578" s="32" t="inlineStr">
        <is>
          <t>2023</t>
        </is>
      </c>
      <c r="G578" s="32" t="inlineStr">
        <is>
          <t>CFS</t>
        </is>
      </c>
      <c r="H578" s="32" t="inlineStr">
        <is>
          <t>CF</t>
        </is>
      </c>
      <c r="I578" s="32" t="inlineStr">
        <is>
          <t>현금흐름표</t>
        </is>
      </c>
      <c r="J578" s="32" t="inlineStr">
        <is>
          <t>ifrs-full_AdjustmentsForFinanceCosts</t>
        </is>
      </c>
      <c r="K578" s="32" t="inlineStr">
        <is>
          <t>금융비용</t>
        </is>
      </c>
      <c r="L578" s="32" t="inlineStr">
        <is>
          <t>-</t>
        </is>
      </c>
      <c r="M578" s="32" t="inlineStr">
        <is>
          <t>제 51 기</t>
        </is>
      </c>
      <c r="N578" s="32" t="inlineStr">
        <is>
          <t>24884627846.0</t>
        </is>
      </c>
      <c r="O578" s="32" t="inlineStr">
        <is>
          <t>14783664788.0</t>
        </is>
      </c>
      <c r="P578" s="32" t="inlineStr">
        <is>
          <t>KRW</t>
        </is>
      </c>
      <c r="Q578" s="32" t="inlineStr">
        <is>
          <t>76</t>
        </is>
      </c>
    </row>
    <row r="579" ht="24" customHeight="1">
      <c r="A579" s="27" t="inlineStr">
        <is>
          <t>OpenDART_fnlttSinglAcntAll</t>
        </is>
      </c>
      <c r="B579" s="27" t="inlineStr">
        <is>
          <t>00118804</t>
        </is>
      </c>
      <c r="C579" s="27" t="inlineStr">
        <is>
          <t>동진쎄미켐</t>
        </is>
      </c>
      <c r="D579" s="27" t="inlineStr">
        <is>
          <t>dongjin_semichem</t>
        </is>
      </c>
      <c r="E579" s="27" t="inlineStr">
        <is>
          <t>005290</t>
        </is>
      </c>
      <c r="F579" s="27" t="inlineStr">
        <is>
          <t>2023</t>
        </is>
      </c>
      <c r="G579" s="27" t="inlineStr">
        <is>
          <t>CFS</t>
        </is>
      </c>
      <c r="H579" s="27" t="inlineStr">
        <is>
          <t>CF</t>
        </is>
      </c>
      <c r="I579" s="27" t="inlineStr">
        <is>
          <t>현금흐름표</t>
        </is>
      </c>
      <c r="J579" s="27" t="inlineStr">
        <is>
          <t>ifrs-full_AdjustmentsForIncomeTaxExpense</t>
        </is>
      </c>
      <c r="K579" s="27" t="inlineStr">
        <is>
          <t>법인세비용</t>
        </is>
      </c>
      <c r="L579" s="27" t="inlineStr">
        <is>
          <t>-</t>
        </is>
      </c>
      <c r="M579" s="27" t="inlineStr">
        <is>
          <t>제 51 기</t>
        </is>
      </c>
      <c r="N579" s="27" t="inlineStr">
        <is>
          <t>39408743578.0</t>
        </is>
      </c>
      <c r="O579" s="27" t="inlineStr">
        <is>
          <t>54768645893.0</t>
        </is>
      </c>
      <c r="P579" s="27" t="inlineStr">
        <is>
          <t>KRW</t>
        </is>
      </c>
      <c r="Q579" s="27" t="inlineStr">
        <is>
          <t>77</t>
        </is>
      </c>
    </row>
    <row r="580" ht="24" customHeight="1">
      <c r="A580" s="32" t="inlineStr">
        <is>
          <t>OpenDART_fnlttSinglAcntAll</t>
        </is>
      </c>
      <c r="B580" s="32" t="inlineStr">
        <is>
          <t>00118804</t>
        </is>
      </c>
      <c r="C580" s="32" t="inlineStr">
        <is>
          <t>동진쎄미켐</t>
        </is>
      </c>
      <c r="D580" s="32" t="inlineStr">
        <is>
          <t>dongjin_semichem</t>
        </is>
      </c>
      <c r="E580" s="32" t="inlineStr">
        <is>
          <t>005290</t>
        </is>
      </c>
      <c r="F580" s="32" t="inlineStr">
        <is>
          <t>2023</t>
        </is>
      </c>
      <c r="G580" s="32" t="inlineStr">
        <is>
          <t>CFS</t>
        </is>
      </c>
      <c r="H580" s="32" t="inlineStr">
        <is>
          <t>CF</t>
        </is>
      </c>
      <c r="I580" s="32" t="inlineStr">
        <is>
          <t>현금흐름표</t>
        </is>
      </c>
      <c r="J580" s="32" t="inlineStr">
        <is>
          <t>ifrs-full_AdjustmentsForInterestIncome</t>
        </is>
      </c>
      <c r="K580" s="32" t="inlineStr">
        <is>
          <t>금융수익</t>
        </is>
      </c>
      <c r="L580" s="32" t="inlineStr">
        <is>
          <t>-</t>
        </is>
      </c>
      <c r="M580" s="32" t="inlineStr">
        <is>
          <t>제 51 기</t>
        </is>
      </c>
      <c r="N580" s="32" t="inlineStr">
        <is>
          <t>10001622643.0</t>
        </is>
      </c>
      <c r="O580" s="32" t="inlineStr">
        <is>
          <t>3508830353.0</t>
        </is>
      </c>
      <c r="P580" s="32" t="inlineStr">
        <is>
          <t>KRW</t>
        </is>
      </c>
      <c r="Q580" s="32" t="inlineStr">
        <is>
          <t>78</t>
        </is>
      </c>
    </row>
    <row r="581" ht="24" customHeight="1">
      <c r="A581" s="27" t="inlineStr">
        <is>
          <t>OpenDART_fnlttSinglAcntAll</t>
        </is>
      </c>
      <c r="B581" s="27" t="inlineStr">
        <is>
          <t>00118804</t>
        </is>
      </c>
      <c r="C581" s="27" t="inlineStr">
        <is>
          <t>동진쎄미켐</t>
        </is>
      </c>
      <c r="D581" s="27" t="inlineStr">
        <is>
          <t>dongjin_semichem</t>
        </is>
      </c>
      <c r="E581" s="27" t="inlineStr">
        <is>
          <t>005290</t>
        </is>
      </c>
      <c r="F581" s="27" t="inlineStr">
        <is>
          <t>2023</t>
        </is>
      </c>
      <c r="G581" s="27" t="inlineStr">
        <is>
          <t>CFS</t>
        </is>
      </c>
      <c r="H581" s="27" t="inlineStr">
        <is>
          <t>CF</t>
        </is>
      </c>
      <c r="I581" s="27" t="inlineStr">
        <is>
          <t>현금흐름표</t>
        </is>
      </c>
      <c r="J581" s="27" t="inlineStr">
        <is>
          <t>ifrs-full_IncomeTaxesPaidRefundClassifiedAsOperatingActivities</t>
        </is>
      </c>
      <c r="K581" s="27" t="inlineStr">
        <is>
          <t>법인세의 환급</t>
        </is>
      </c>
      <c r="L581" s="27" t="inlineStr">
        <is>
          <t>-</t>
        </is>
      </c>
      <c r="M581" s="27" t="inlineStr">
        <is>
          <t>제 51 기</t>
        </is>
      </c>
      <c r="N581" s="27" t="inlineStr">
        <is>
          <t>-1098083838.0</t>
        </is>
      </c>
      <c r="O581" s="27" t="inlineStr">
        <is>
          <t>-83957890.0</t>
        </is>
      </c>
      <c r="P581" s="27" t="inlineStr">
        <is>
          <t>KRW</t>
        </is>
      </c>
      <c r="Q581" s="27" t="inlineStr">
        <is>
          <t>79</t>
        </is>
      </c>
    </row>
    <row r="582" ht="24" customHeight="1">
      <c r="A582" s="32" t="inlineStr">
        <is>
          <t>OpenDART_fnlttSinglAcntAll</t>
        </is>
      </c>
      <c r="B582" s="32" t="inlineStr">
        <is>
          <t>00118804</t>
        </is>
      </c>
      <c r="C582" s="32" t="inlineStr">
        <is>
          <t>동진쎄미켐</t>
        </is>
      </c>
      <c r="D582" s="32" t="inlineStr">
        <is>
          <t>dongjin_semichem</t>
        </is>
      </c>
      <c r="E582" s="32" t="inlineStr">
        <is>
          <t>005290</t>
        </is>
      </c>
      <c r="F582" s="32" t="inlineStr">
        <is>
          <t>2023</t>
        </is>
      </c>
      <c r="G582" s="32" t="inlineStr">
        <is>
          <t>CFS</t>
        </is>
      </c>
      <c r="H582" s="32" t="inlineStr">
        <is>
          <t>CF</t>
        </is>
      </c>
      <c r="I582" s="32" t="inlineStr">
        <is>
          <t>현금흐름표</t>
        </is>
      </c>
      <c r="J582" s="32" t="inlineStr">
        <is>
          <t>ifrs-full_InterestPaidClassifiedAsOperatingActivities</t>
        </is>
      </c>
      <c r="K582" s="32" t="inlineStr">
        <is>
          <t>이자지급</t>
        </is>
      </c>
      <c r="L582" s="32" t="inlineStr">
        <is>
          <t>-</t>
        </is>
      </c>
      <c r="M582" s="32" t="inlineStr">
        <is>
          <t>제 51 기</t>
        </is>
      </c>
      <c r="N582" s="32" t="inlineStr">
        <is>
          <t>23869399073.0</t>
        </is>
      </c>
      <c r="O582" s="32" t="inlineStr">
        <is>
          <t>13318762184.0</t>
        </is>
      </c>
      <c r="P582" s="32" t="inlineStr">
        <is>
          <t>KRW</t>
        </is>
      </c>
      <c r="Q582" s="32" t="inlineStr">
        <is>
          <t>80</t>
        </is>
      </c>
    </row>
    <row r="583" ht="24" customHeight="1">
      <c r="A583" s="27" t="inlineStr">
        <is>
          <t>OpenDART_fnlttSinglAcntAll</t>
        </is>
      </c>
      <c r="B583" s="27" t="inlineStr">
        <is>
          <t>00118804</t>
        </is>
      </c>
      <c r="C583" s="27" t="inlineStr">
        <is>
          <t>동진쎄미켐</t>
        </is>
      </c>
      <c r="D583" s="27" t="inlineStr">
        <is>
          <t>dongjin_semichem</t>
        </is>
      </c>
      <c r="E583" s="27" t="inlineStr">
        <is>
          <t>005290</t>
        </is>
      </c>
      <c r="F583" s="27" t="inlineStr">
        <is>
          <t>2023</t>
        </is>
      </c>
      <c r="G583" s="27" t="inlineStr">
        <is>
          <t>CFS</t>
        </is>
      </c>
      <c r="H583" s="27" t="inlineStr">
        <is>
          <t>CF</t>
        </is>
      </c>
      <c r="I583" s="27" t="inlineStr">
        <is>
          <t>현금흐름표</t>
        </is>
      </c>
      <c r="J583" s="27" t="inlineStr">
        <is>
          <t>ifrs-full_InterestReceivedClassifiedAsOperatingActivities</t>
        </is>
      </c>
      <c r="K583" s="27" t="inlineStr">
        <is>
          <t>이자수취</t>
        </is>
      </c>
      <c r="L583" s="27" t="inlineStr">
        <is>
          <t>-</t>
        </is>
      </c>
      <c r="M583" s="27" t="inlineStr">
        <is>
          <t>제 51 기</t>
        </is>
      </c>
      <c r="N583" s="27" t="inlineStr">
        <is>
          <t>8429488334.0</t>
        </is>
      </c>
      <c r="O583" s="27" t="inlineStr">
        <is>
          <t>2522291830.0</t>
        </is>
      </c>
      <c r="P583" s="27" t="inlineStr">
        <is>
          <t>KRW</t>
        </is>
      </c>
      <c r="Q583" s="27" t="inlineStr">
        <is>
          <t>81</t>
        </is>
      </c>
    </row>
    <row r="584" ht="24" customHeight="1">
      <c r="A584" s="32" t="inlineStr">
        <is>
          <t>OpenDART_fnlttSinglAcntAll</t>
        </is>
      </c>
      <c r="B584" s="32" t="inlineStr">
        <is>
          <t>00118804</t>
        </is>
      </c>
      <c r="C584" s="32" t="inlineStr">
        <is>
          <t>동진쎄미켐</t>
        </is>
      </c>
      <c r="D584" s="32" t="inlineStr">
        <is>
          <t>dongjin_semichem</t>
        </is>
      </c>
      <c r="E584" s="32" t="inlineStr">
        <is>
          <t>005290</t>
        </is>
      </c>
      <c r="F584" s="32" t="inlineStr">
        <is>
          <t>2023</t>
        </is>
      </c>
      <c r="G584" s="32" t="inlineStr">
        <is>
          <t>CFS</t>
        </is>
      </c>
      <c r="H584" s="32" t="inlineStr">
        <is>
          <t>CF</t>
        </is>
      </c>
      <c r="I584" s="32" t="inlineStr">
        <is>
          <t>현금흐름표</t>
        </is>
      </c>
      <c r="J584" s="32" t="inlineStr">
        <is>
          <t>ifrs-full_ProfitLoss</t>
        </is>
      </c>
      <c r="K584" s="32" t="inlineStr">
        <is>
          <t>당기순이익</t>
        </is>
      </c>
      <c r="L584" s="32" t="inlineStr">
        <is>
          <t>-</t>
        </is>
      </c>
      <c r="M584" s="32" t="inlineStr">
        <is>
          <t>제 51 기</t>
        </is>
      </c>
      <c r="N584" s="32" t="inlineStr">
        <is>
          <t>123534360586.0</t>
        </is>
      </c>
      <c r="O584" s="32" t="inlineStr">
        <is>
          <t>156195316180.0</t>
        </is>
      </c>
      <c r="P584" s="32" t="inlineStr">
        <is>
          <t>KRW</t>
        </is>
      </c>
      <c r="Q584" s="32" t="inlineStr">
        <is>
          <t>82</t>
        </is>
      </c>
    </row>
    <row r="585" ht="24" customHeight="1">
      <c r="A585" s="27" t="inlineStr">
        <is>
          <t>OpenDART_fnlttSinglAcntAll</t>
        </is>
      </c>
      <c r="B585" s="27" t="inlineStr">
        <is>
          <t>00118804</t>
        </is>
      </c>
      <c r="C585" s="27" t="inlineStr">
        <is>
          <t>동진쎄미켐</t>
        </is>
      </c>
      <c r="D585" s="27" t="inlineStr">
        <is>
          <t>dongjin_semichem</t>
        </is>
      </c>
      <c r="E585" s="27" t="inlineStr">
        <is>
          <t>005290</t>
        </is>
      </c>
      <c r="F585" s="27" t="inlineStr">
        <is>
          <t>2023</t>
        </is>
      </c>
      <c r="G585" s="27" t="inlineStr">
        <is>
          <t>CFS</t>
        </is>
      </c>
      <c r="H585" s="27" t="inlineStr">
        <is>
          <t>CF</t>
        </is>
      </c>
      <c r="I585" s="27" t="inlineStr">
        <is>
          <t>현금흐름표</t>
        </is>
      </c>
      <c r="J585" s="27" t="inlineStr">
        <is>
          <t>ifrs-full_EffectOfExchangeRateChangesOnCashAndCashEquivalents</t>
        </is>
      </c>
      <c r="K585" s="27" t="inlineStr">
        <is>
          <t>외화표시 현금및현금성 자산 등의 환율변동효과</t>
        </is>
      </c>
      <c r="L585" s="27" t="inlineStr">
        <is>
          <t>-</t>
        </is>
      </c>
      <c r="M585" s="27" t="inlineStr">
        <is>
          <t>제 51 기</t>
        </is>
      </c>
      <c r="N585" s="27" t="inlineStr">
        <is>
          <t>1154782598.0</t>
        </is>
      </c>
      <c r="O585" s="27" t="inlineStr">
        <is>
          <t>-3737376611.0</t>
        </is>
      </c>
      <c r="P585" s="27" t="inlineStr">
        <is>
          <t>KRW</t>
        </is>
      </c>
      <c r="Q585" s="27" t="inlineStr">
        <is>
          <t>83</t>
        </is>
      </c>
    </row>
    <row r="586" ht="24" customHeight="1">
      <c r="A586" s="32" t="inlineStr">
        <is>
          <t>OpenDART_fnlttSinglAcntAll</t>
        </is>
      </c>
      <c r="B586" s="32" t="inlineStr">
        <is>
          <t>00118804</t>
        </is>
      </c>
      <c r="C586" s="32" t="inlineStr">
        <is>
          <t>동진쎄미켐</t>
        </is>
      </c>
      <c r="D586" s="32" t="inlineStr">
        <is>
          <t>dongjin_semichem</t>
        </is>
      </c>
      <c r="E586" s="32" t="inlineStr">
        <is>
          <t>005290</t>
        </is>
      </c>
      <c r="F586" s="32" t="inlineStr">
        <is>
          <t>2023</t>
        </is>
      </c>
      <c r="G586" s="32" t="inlineStr">
        <is>
          <t>CFS</t>
        </is>
      </c>
      <c r="H586" s="32" t="inlineStr">
        <is>
          <t>CF</t>
        </is>
      </c>
      <c r="I586" s="32" t="inlineStr">
        <is>
          <t>현금흐름표</t>
        </is>
      </c>
      <c r="J586" s="32" t="inlineStr">
        <is>
          <t>ifrs-full_IncreaseDecreaseInCashAndCashEquivalents</t>
        </is>
      </c>
      <c r="K586" s="32" t="inlineStr">
        <is>
          <t>현금 및 현금성자산의 순증가(감소)</t>
        </is>
      </c>
      <c r="L586" s="32" t="inlineStr">
        <is>
          <t>-</t>
        </is>
      </c>
      <c r="M586" s="32" t="inlineStr">
        <is>
          <t>제 51 기</t>
        </is>
      </c>
      <c r="N586" s="32" t="inlineStr">
        <is>
          <t>-7898330317.0</t>
        </is>
      </c>
      <c r="O586" s="32" t="inlineStr">
        <is>
          <t>49246855140.0</t>
        </is>
      </c>
      <c r="P586" s="32" t="inlineStr">
        <is>
          <t>KRW</t>
        </is>
      </c>
      <c r="Q586" s="32" t="inlineStr">
        <is>
          <t>84</t>
        </is>
      </c>
    </row>
    <row r="587" ht="24" customHeight="1">
      <c r="A587" s="27" t="inlineStr">
        <is>
          <t>OpenDART_fnlttSinglAcntAll</t>
        </is>
      </c>
      <c r="B587" s="27" t="inlineStr">
        <is>
          <t>00118804</t>
        </is>
      </c>
      <c r="C587" s="27" t="inlineStr">
        <is>
          <t>동진쎄미켐</t>
        </is>
      </c>
      <c r="D587" s="27" t="inlineStr">
        <is>
          <t>dongjin_semichem</t>
        </is>
      </c>
      <c r="E587" s="27" t="inlineStr">
        <is>
          <t>005290</t>
        </is>
      </c>
      <c r="F587" s="27" t="inlineStr">
        <is>
          <t>2023</t>
        </is>
      </c>
      <c r="G587" s="27" t="inlineStr">
        <is>
          <t>CFS</t>
        </is>
      </c>
      <c r="H587" s="27" t="inlineStr">
        <is>
          <t>SCE</t>
        </is>
      </c>
      <c r="I587" s="27" t="inlineStr">
        <is>
          <t>자본변동표</t>
        </is>
      </c>
      <c r="J587" s="27" t="inlineStr">
        <is>
          <t>dart_EquityAtBeginningOfPeriod</t>
        </is>
      </c>
      <c r="K587" s="27" t="inlineStr">
        <is>
          <t>기초자본</t>
        </is>
      </c>
      <c r="L587" s="27" t="inlineStr">
        <is>
          <t>자본 [구성요소]|지배기업의 소유주에게 귀속되는 지분 [구성요소]</t>
        </is>
      </c>
      <c r="M587" s="27" t="inlineStr">
        <is>
          <t>제 51 기</t>
        </is>
      </c>
      <c r="N587" s="27" t="inlineStr">
        <is>
          <t>696844920590.0</t>
        </is>
      </c>
      <c r="O587" s="27" t="inlineStr">
        <is>
          <t>553448496270.0</t>
        </is>
      </c>
      <c r="P587" s="27" t="inlineStr">
        <is>
          <t>KRW</t>
        </is>
      </c>
      <c r="Q587" s="27" t="inlineStr">
        <is>
          <t>3</t>
        </is>
      </c>
    </row>
    <row r="588" ht="24" customHeight="1">
      <c r="A588" s="32" t="inlineStr">
        <is>
          <t>OpenDART_fnlttSinglAcntAll</t>
        </is>
      </c>
      <c r="B588" s="32" t="inlineStr">
        <is>
          <t>00118804</t>
        </is>
      </c>
      <c r="C588" s="32" t="inlineStr">
        <is>
          <t>동진쎄미켐</t>
        </is>
      </c>
      <c r="D588" s="32" t="inlineStr">
        <is>
          <t>dongjin_semichem</t>
        </is>
      </c>
      <c r="E588" s="32" t="inlineStr">
        <is>
          <t>005290</t>
        </is>
      </c>
      <c r="F588" s="32" t="inlineStr">
        <is>
          <t>2023</t>
        </is>
      </c>
      <c r="G588" s="32" t="inlineStr">
        <is>
          <t>CFS</t>
        </is>
      </c>
      <c r="H588" s="32" t="inlineStr">
        <is>
          <t>SCE</t>
        </is>
      </c>
      <c r="I588" s="32" t="inlineStr">
        <is>
          <t>자본변동표</t>
        </is>
      </c>
      <c r="J588" s="32" t="inlineStr">
        <is>
          <t>dart_EquityAtBeginningOfPeriod</t>
        </is>
      </c>
      <c r="K588" s="32" t="inlineStr">
        <is>
          <t>기초자본</t>
        </is>
      </c>
      <c r="L588" s="32" t="inlineStr">
        <is>
          <t>자본 [구성요소]|비지배지분 [구성요소]</t>
        </is>
      </c>
      <c r="M588" s="32" t="inlineStr">
        <is>
          <t>제 51 기</t>
        </is>
      </c>
      <c r="N588" s="32" t="inlineStr">
        <is>
          <t>3942443240.0</t>
        </is>
      </c>
      <c r="O588" s="32" t="inlineStr">
        <is>
          <t>7585003685.0</t>
        </is>
      </c>
      <c r="P588" s="32" t="inlineStr">
        <is>
          <t>KRW</t>
        </is>
      </c>
      <c r="Q588" s="32" t="inlineStr">
        <is>
          <t>3</t>
        </is>
      </c>
    </row>
    <row r="589" ht="24" customHeight="1">
      <c r="A589" s="27" t="inlineStr">
        <is>
          <t>OpenDART_fnlttSinglAcntAll</t>
        </is>
      </c>
      <c r="B589" s="27" t="inlineStr">
        <is>
          <t>00118804</t>
        </is>
      </c>
      <c r="C589" s="27" t="inlineStr">
        <is>
          <t>동진쎄미켐</t>
        </is>
      </c>
      <c r="D589" s="27" t="inlineStr">
        <is>
          <t>dongjin_semichem</t>
        </is>
      </c>
      <c r="E589" s="27" t="inlineStr">
        <is>
          <t>005290</t>
        </is>
      </c>
      <c r="F589" s="27" t="inlineStr">
        <is>
          <t>2023</t>
        </is>
      </c>
      <c r="G589" s="27" t="inlineStr">
        <is>
          <t>CFS</t>
        </is>
      </c>
      <c r="H589" s="27" t="inlineStr">
        <is>
          <t>SCE</t>
        </is>
      </c>
      <c r="I589" s="27" t="inlineStr">
        <is>
          <t>자본변동표</t>
        </is>
      </c>
      <c r="J589" s="27" t="inlineStr">
        <is>
          <t>dart_EquityAtBeginningOfPeriod</t>
        </is>
      </c>
      <c r="K589" s="27" t="inlineStr">
        <is>
          <t>기초자본</t>
        </is>
      </c>
      <c r="L589" s="27" t="inlineStr">
        <is>
          <t>연결재무제표 [member]</t>
        </is>
      </c>
      <c r="M589" s="27" t="inlineStr">
        <is>
          <t>제 51 기</t>
        </is>
      </c>
      <c r="N589" s="27" t="inlineStr">
        <is>
          <t>700787363830.0</t>
        </is>
      </c>
      <c r="O589" s="27" t="inlineStr">
        <is>
          <t>561033499955.0</t>
        </is>
      </c>
      <c r="P589" s="27" t="inlineStr">
        <is>
          <t>KRW</t>
        </is>
      </c>
      <c r="Q589" s="27" t="inlineStr">
        <is>
          <t>3</t>
        </is>
      </c>
    </row>
    <row r="590" ht="24" customHeight="1">
      <c r="A590" s="32" t="inlineStr">
        <is>
          <t>OpenDART_fnlttSinglAcntAll</t>
        </is>
      </c>
      <c r="B590" s="32" t="inlineStr">
        <is>
          <t>00118804</t>
        </is>
      </c>
      <c r="C590" s="32" t="inlineStr">
        <is>
          <t>동진쎄미켐</t>
        </is>
      </c>
      <c r="D590" s="32" t="inlineStr">
        <is>
          <t>dongjin_semichem</t>
        </is>
      </c>
      <c r="E590" s="32" t="inlineStr">
        <is>
          <t>005290</t>
        </is>
      </c>
      <c r="F590" s="32" t="inlineStr">
        <is>
          <t>2023</t>
        </is>
      </c>
      <c r="G590" s="32" t="inlineStr">
        <is>
          <t>CFS</t>
        </is>
      </c>
      <c r="H590" s="32" t="inlineStr">
        <is>
          <t>SCE</t>
        </is>
      </c>
      <c r="I590" s="32" t="inlineStr">
        <is>
          <t>자본변동표</t>
        </is>
      </c>
      <c r="J590" s="32" t="inlineStr">
        <is>
          <t>dart_EquityAtBeginningOfPeriod</t>
        </is>
      </c>
      <c r="K590" s="32" t="inlineStr">
        <is>
          <t>기초자본</t>
        </is>
      </c>
      <c r="L590" s="32" t="inlineStr">
        <is>
          <t>자본 [구성요소]|지배기업의 소유주에게 귀속되는 지분 [구성요소]|기타자본구성요소 [구성요소]</t>
        </is>
      </c>
      <c r="M590" s="32" t="inlineStr">
        <is>
          <t>제 51 기</t>
        </is>
      </c>
      <c r="N590" s="32" t="inlineStr">
        <is>
          <t>27124759320.0</t>
        </is>
      </c>
      <c r="O590" s="32" t="inlineStr">
        <is>
          <t>36880548974.0</t>
        </is>
      </c>
      <c r="P590" s="32" t="inlineStr">
        <is>
          <t>KRW</t>
        </is>
      </c>
      <c r="Q590" s="32" t="inlineStr">
        <is>
          <t>3</t>
        </is>
      </c>
    </row>
    <row r="591" ht="24" customHeight="1">
      <c r="A591" s="27" t="inlineStr">
        <is>
          <t>OpenDART_fnlttSinglAcntAll</t>
        </is>
      </c>
      <c r="B591" s="27" t="inlineStr">
        <is>
          <t>00118804</t>
        </is>
      </c>
      <c r="C591" s="27" t="inlineStr">
        <is>
          <t>동진쎄미켐</t>
        </is>
      </c>
      <c r="D591" s="27" t="inlineStr">
        <is>
          <t>dongjin_semichem</t>
        </is>
      </c>
      <c r="E591" s="27" t="inlineStr">
        <is>
          <t>005290</t>
        </is>
      </c>
      <c r="F591" s="27" t="inlineStr">
        <is>
          <t>2023</t>
        </is>
      </c>
      <c r="G591" s="27" t="inlineStr">
        <is>
          <t>CFS</t>
        </is>
      </c>
      <c r="H591" s="27" t="inlineStr">
        <is>
          <t>SCE</t>
        </is>
      </c>
      <c r="I591" s="27" t="inlineStr">
        <is>
          <t>자본변동표</t>
        </is>
      </c>
      <c r="J591" s="27" t="inlineStr">
        <is>
          <t>dart_EquityAtBeginningOfPeriod</t>
        </is>
      </c>
      <c r="K591" s="27" t="inlineStr">
        <is>
          <t>기초자본</t>
        </is>
      </c>
      <c r="L591" s="27" t="inlineStr">
        <is>
          <t>자본 [구성요소]|지배기업의 소유주에게 귀속되는 지분 [구성요소]|이익잉여금 [구성요소]</t>
        </is>
      </c>
      <c r="M591" s="27" t="inlineStr">
        <is>
          <t>제 51 기</t>
        </is>
      </c>
      <c r="N591" s="27" t="inlineStr">
        <is>
          <t>521015824109.0</t>
        </is>
      </c>
      <c r="O591" s="27" t="inlineStr">
        <is>
          <t>367863610135.0</t>
        </is>
      </c>
      <c r="P591" s="27" t="inlineStr">
        <is>
          <t>KRW</t>
        </is>
      </c>
      <c r="Q591" s="27" t="inlineStr">
        <is>
          <t>3</t>
        </is>
      </c>
    </row>
    <row r="592" ht="24" customHeight="1">
      <c r="A592" s="32" t="inlineStr">
        <is>
          <t>OpenDART_fnlttSinglAcntAll</t>
        </is>
      </c>
      <c r="B592" s="32" t="inlineStr">
        <is>
          <t>00118804</t>
        </is>
      </c>
      <c r="C592" s="32" t="inlineStr">
        <is>
          <t>동진쎄미켐</t>
        </is>
      </c>
      <c r="D592" s="32" t="inlineStr">
        <is>
          <t>dongjin_semichem</t>
        </is>
      </c>
      <c r="E592" s="32" t="inlineStr">
        <is>
          <t>005290</t>
        </is>
      </c>
      <c r="F592" s="32" t="inlineStr">
        <is>
          <t>2023</t>
        </is>
      </c>
      <c r="G592" s="32" t="inlineStr">
        <is>
          <t>CFS</t>
        </is>
      </c>
      <c r="H592" s="32" t="inlineStr">
        <is>
          <t>SCE</t>
        </is>
      </c>
      <c r="I592" s="32" t="inlineStr">
        <is>
          <t>자본변동표</t>
        </is>
      </c>
      <c r="J592" s="32" t="inlineStr">
        <is>
          <t>dart_EquityAtBeginningOfPeriod</t>
        </is>
      </c>
      <c r="K592" s="32" t="inlineStr">
        <is>
          <t>기초자본</t>
        </is>
      </c>
      <c r="L592" s="32" t="inlineStr">
        <is>
          <t>자본 [구성요소]|지배기업의 소유주에게 귀속되는 지분 [구성요소]|자본금 [구성요소]</t>
        </is>
      </c>
      <c r="M592" s="32" t="inlineStr">
        <is>
          <t>제 51 기</t>
        </is>
      </c>
      <c r="N592" s="32" t="inlineStr">
        <is>
          <t>25707247000.0</t>
        </is>
      </c>
      <c r="O592" s="32" t="inlineStr">
        <is>
          <t>25707247000.0</t>
        </is>
      </c>
      <c r="P592" s="32" t="inlineStr">
        <is>
          <t>KRW</t>
        </is>
      </c>
      <c r="Q592" s="32" t="inlineStr">
        <is>
          <t>3</t>
        </is>
      </c>
    </row>
    <row r="593" ht="24" customHeight="1">
      <c r="A593" s="27" t="inlineStr">
        <is>
          <t>OpenDART_fnlttSinglAcntAll</t>
        </is>
      </c>
      <c r="B593" s="27" t="inlineStr">
        <is>
          <t>00118804</t>
        </is>
      </c>
      <c r="C593" s="27" t="inlineStr">
        <is>
          <t>동진쎄미켐</t>
        </is>
      </c>
      <c r="D593" s="27" t="inlineStr">
        <is>
          <t>dongjin_semichem</t>
        </is>
      </c>
      <c r="E593" s="27" t="inlineStr">
        <is>
          <t>005290</t>
        </is>
      </c>
      <c r="F593" s="27" t="inlineStr">
        <is>
          <t>2023</t>
        </is>
      </c>
      <c r="G593" s="27" t="inlineStr">
        <is>
          <t>CFS</t>
        </is>
      </c>
      <c r="H593" s="27" t="inlineStr">
        <is>
          <t>SCE</t>
        </is>
      </c>
      <c r="I593" s="27" t="inlineStr">
        <is>
          <t>자본변동표</t>
        </is>
      </c>
      <c r="J593" s="27" t="inlineStr">
        <is>
          <t>dart_EquityAtBeginningOfPeriod</t>
        </is>
      </c>
      <c r="K593" s="27" t="inlineStr">
        <is>
          <t>기초자본</t>
        </is>
      </c>
      <c r="L593" s="27" t="inlineStr">
        <is>
          <t>자본 [구성요소]|지배기업의 소유주에게 귀속되는 지분 [구성요소]|자본잉여금 [구성요소]</t>
        </is>
      </c>
      <c r="M593" s="27" t="inlineStr">
        <is>
          <t>제 51 기</t>
        </is>
      </c>
      <c r="N593" s="27" t="inlineStr">
        <is>
          <t>122997090161.0</t>
        </is>
      </c>
      <c r="O593" s="27" t="inlineStr">
        <is>
          <t>122997090161.0</t>
        </is>
      </c>
      <c r="P593" s="27" t="inlineStr">
        <is>
          <t>KRW</t>
        </is>
      </c>
      <c r="Q593" s="27" t="inlineStr">
        <is>
          <t>3</t>
        </is>
      </c>
    </row>
    <row r="594" ht="24" customHeight="1">
      <c r="A594" s="32" t="inlineStr">
        <is>
          <t>OpenDART_fnlttSinglAcntAll</t>
        </is>
      </c>
      <c r="B594" s="32" t="inlineStr">
        <is>
          <t>00118804</t>
        </is>
      </c>
      <c r="C594" s="32" t="inlineStr">
        <is>
          <t>동진쎄미켐</t>
        </is>
      </c>
      <c r="D594" s="32" t="inlineStr">
        <is>
          <t>dongjin_semichem</t>
        </is>
      </c>
      <c r="E594" s="32" t="inlineStr">
        <is>
          <t>005290</t>
        </is>
      </c>
      <c r="F594" s="32" t="inlineStr">
        <is>
          <t>2023</t>
        </is>
      </c>
      <c r="G594" s="32" t="inlineStr">
        <is>
          <t>CFS</t>
        </is>
      </c>
      <c r="H594" s="32" t="inlineStr">
        <is>
          <t>SCE</t>
        </is>
      </c>
      <c r="I594" s="32" t="inlineStr">
        <is>
          <t>자본변동표</t>
        </is>
      </c>
      <c r="J594" s="32" t="inlineStr">
        <is>
          <t>-표준계정코드 미사용-</t>
        </is>
      </c>
      <c r="K594" s="32" t="inlineStr">
        <is>
          <t>순확정급여부채 재측정요소</t>
        </is>
      </c>
      <c r="L594" s="32" t="inlineStr">
        <is>
          <t>연결재무제표 [member]</t>
        </is>
      </c>
      <c r="M594" s="32" t="inlineStr">
        <is>
          <t>제 51 기</t>
        </is>
      </c>
      <c r="N594" s="32" t="inlineStr">
        <is>
          <t>-12654329471.0</t>
        </is>
      </c>
      <c r="O594" s="32" t="inlineStr">
        <is>
          <t>-671251600.0</t>
        </is>
      </c>
      <c r="P594" s="32" t="inlineStr">
        <is>
          <t>KRW</t>
        </is>
      </c>
      <c r="Q594" s="32" t="inlineStr">
        <is>
          <t>4</t>
        </is>
      </c>
    </row>
    <row r="595" ht="24" customHeight="1">
      <c r="A595" s="27" t="inlineStr">
        <is>
          <t>OpenDART_fnlttSinglAcntAll</t>
        </is>
      </c>
      <c r="B595" s="27" t="inlineStr">
        <is>
          <t>00118804</t>
        </is>
      </c>
      <c r="C595" s="27" t="inlineStr">
        <is>
          <t>동진쎄미켐</t>
        </is>
      </c>
      <c r="D595" s="27" t="inlineStr">
        <is>
          <t>dongjin_semichem</t>
        </is>
      </c>
      <c r="E595" s="27" t="inlineStr">
        <is>
          <t>005290</t>
        </is>
      </c>
      <c r="F595" s="27" t="inlineStr">
        <is>
          <t>2023</t>
        </is>
      </c>
      <c r="G595" s="27" t="inlineStr">
        <is>
          <t>CFS</t>
        </is>
      </c>
      <c r="H595" s="27" t="inlineStr">
        <is>
          <t>SCE</t>
        </is>
      </c>
      <c r="I595" s="27" t="inlineStr">
        <is>
          <t>자본변동표</t>
        </is>
      </c>
      <c r="J595" s="27" t="inlineStr">
        <is>
          <t>-표준계정코드 미사용-</t>
        </is>
      </c>
      <c r="K595" s="27" t="inlineStr">
        <is>
          <t>순확정급여부채 재측정요소</t>
        </is>
      </c>
      <c r="L595" s="27" t="inlineStr">
        <is>
          <t>자본 [구성요소]|지배기업의 소유주에게 귀속되는 지분 [구성요소]</t>
        </is>
      </c>
      <c r="M595" s="27" t="inlineStr">
        <is>
          <t>제 51 기</t>
        </is>
      </c>
      <c r="N595" s="27" t="inlineStr">
        <is>
          <t>-12654329471.0</t>
        </is>
      </c>
      <c r="O595" s="27" t="inlineStr">
        <is>
          <t>-671251600.0</t>
        </is>
      </c>
      <c r="P595" s="27" t="inlineStr">
        <is>
          <t>KRW</t>
        </is>
      </c>
      <c r="Q595" s="27" t="inlineStr">
        <is>
          <t>4</t>
        </is>
      </c>
    </row>
    <row r="596" ht="24" customHeight="1">
      <c r="A596" s="32" t="inlineStr">
        <is>
          <t>OpenDART_fnlttSinglAcntAll</t>
        </is>
      </c>
      <c r="B596" s="32" t="inlineStr">
        <is>
          <t>00118804</t>
        </is>
      </c>
      <c r="C596" s="32" t="inlineStr">
        <is>
          <t>동진쎄미켐</t>
        </is>
      </c>
      <c r="D596" s="32" t="inlineStr">
        <is>
          <t>dongjin_semichem</t>
        </is>
      </c>
      <c r="E596" s="32" t="inlineStr">
        <is>
          <t>005290</t>
        </is>
      </c>
      <c r="F596" s="32" t="inlineStr">
        <is>
          <t>2023</t>
        </is>
      </c>
      <c r="G596" s="32" t="inlineStr">
        <is>
          <t>CFS</t>
        </is>
      </c>
      <c r="H596" s="32" t="inlineStr">
        <is>
          <t>SCE</t>
        </is>
      </c>
      <c r="I596" s="32" t="inlineStr">
        <is>
          <t>자본변동표</t>
        </is>
      </c>
      <c r="J596" s="32" t="inlineStr">
        <is>
          <t>-표준계정코드 미사용-</t>
        </is>
      </c>
      <c r="K596" s="32" t="inlineStr">
        <is>
          <t>순확정급여부채 재측정요소</t>
        </is>
      </c>
      <c r="L596" s="32" t="inlineStr">
        <is>
          <t>자본 [구성요소]|지배기업의 소유주에게 귀속되는 지분 [구성요소]|이익잉여금 [구성요소]</t>
        </is>
      </c>
      <c r="M596" s="32" t="inlineStr">
        <is>
          <t>제 51 기</t>
        </is>
      </c>
      <c r="N596" s="32" t="inlineStr">
        <is>
          <t>-12654329471.0</t>
        </is>
      </c>
      <c r="O596" s="32" t="inlineStr">
        <is>
          <t>-671251600.0</t>
        </is>
      </c>
      <c r="P596" s="32" t="inlineStr">
        <is>
          <t>KRW</t>
        </is>
      </c>
      <c r="Q596" s="32" t="inlineStr">
        <is>
          <t>4</t>
        </is>
      </c>
    </row>
    <row r="597" ht="24" customHeight="1">
      <c r="A597" s="27" t="inlineStr">
        <is>
          <t>OpenDART_fnlttSinglAcntAll</t>
        </is>
      </c>
      <c r="B597" s="27" t="inlineStr">
        <is>
          <t>00118804</t>
        </is>
      </c>
      <c r="C597" s="27" t="inlineStr">
        <is>
          <t>동진쎄미켐</t>
        </is>
      </c>
      <c r="D597" s="27" t="inlineStr">
        <is>
          <t>dongjin_semichem</t>
        </is>
      </c>
      <c r="E597" s="27" t="inlineStr">
        <is>
          <t>005290</t>
        </is>
      </c>
      <c r="F597" s="27" t="inlineStr">
        <is>
          <t>2023</t>
        </is>
      </c>
      <c r="G597" s="27" t="inlineStr">
        <is>
          <t>CFS</t>
        </is>
      </c>
      <c r="H597" s="27" t="inlineStr">
        <is>
          <t>SCE</t>
        </is>
      </c>
      <c r="I597" s="27" t="inlineStr">
        <is>
          <t>자본변동표</t>
        </is>
      </c>
      <c r="J597" s="27" t="inlineStr">
        <is>
          <t>-표준계정코드 미사용-</t>
        </is>
      </c>
      <c r="K597" s="27" t="inlineStr">
        <is>
          <t>종속기업주식취득</t>
        </is>
      </c>
      <c r="L597" s="27" t="inlineStr">
        <is>
          <t>연결재무제표 [member]</t>
        </is>
      </c>
      <c r="M597" s="27" t="inlineStr">
        <is>
          <t>제 51 기</t>
        </is>
      </c>
      <c r="N597" s="27" t="inlineStr">
        <is>
          <t>0.0</t>
        </is>
      </c>
      <c r="O597" s="27" t="inlineStr">
        <is>
          <t>0.0</t>
        </is>
      </c>
      <c r="P597" s="27" t="inlineStr">
        <is>
          <t>KRW</t>
        </is>
      </c>
      <c r="Q597" s="27" t="inlineStr">
        <is>
          <t>5</t>
        </is>
      </c>
    </row>
    <row r="598" ht="24" customHeight="1">
      <c r="A598" s="32" t="inlineStr">
        <is>
          <t>OpenDART_fnlttSinglAcntAll</t>
        </is>
      </c>
      <c r="B598" s="32" t="inlineStr">
        <is>
          <t>00118804</t>
        </is>
      </c>
      <c r="C598" s="32" t="inlineStr">
        <is>
          <t>동진쎄미켐</t>
        </is>
      </c>
      <c r="D598" s="32" t="inlineStr">
        <is>
          <t>dongjin_semichem</t>
        </is>
      </c>
      <c r="E598" s="32" t="inlineStr">
        <is>
          <t>005290</t>
        </is>
      </c>
      <c r="F598" s="32" t="inlineStr">
        <is>
          <t>2023</t>
        </is>
      </c>
      <c r="G598" s="32" t="inlineStr">
        <is>
          <t>CFS</t>
        </is>
      </c>
      <c r="H598" s="32" t="inlineStr">
        <is>
          <t>SCE</t>
        </is>
      </c>
      <c r="I598" s="32" t="inlineStr">
        <is>
          <t>자본변동표</t>
        </is>
      </c>
      <c r="J598" s="32" t="inlineStr">
        <is>
          <t>-표준계정코드 미사용-</t>
        </is>
      </c>
      <c r="K598" s="32" t="inlineStr">
        <is>
          <t>종속기업주식취득</t>
        </is>
      </c>
      <c r="L598" s="32" t="inlineStr">
        <is>
          <t>자본 [구성요소]|비지배지분 [구성요소]</t>
        </is>
      </c>
      <c r="M598" s="32" t="inlineStr">
        <is>
          <t>제 51 기</t>
        </is>
      </c>
      <c r="N598" s="32" t="inlineStr">
        <is>
          <t>1196674508.0</t>
        </is>
      </c>
      <c r="O598" s="32" t="inlineStr">
        <is>
          <t>0.0</t>
        </is>
      </c>
      <c r="P598" s="32" t="inlineStr">
        <is>
          <t>KRW</t>
        </is>
      </c>
      <c r="Q598" s="32" t="inlineStr">
        <is>
          <t>5</t>
        </is>
      </c>
    </row>
    <row r="599" ht="24" customHeight="1">
      <c r="A599" s="27" t="inlineStr">
        <is>
          <t>OpenDART_fnlttSinglAcntAll</t>
        </is>
      </c>
      <c r="B599" s="27" t="inlineStr">
        <is>
          <t>00118804</t>
        </is>
      </c>
      <c r="C599" s="27" t="inlineStr">
        <is>
          <t>동진쎄미켐</t>
        </is>
      </c>
      <c r="D599" s="27" t="inlineStr">
        <is>
          <t>dongjin_semichem</t>
        </is>
      </c>
      <c r="E599" s="27" t="inlineStr">
        <is>
          <t>005290</t>
        </is>
      </c>
      <c r="F599" s="27" t="inlineStr">
        <is>
          <t>2023</t>
        </is>
      </c>
      <c r="G599" s="27" t="inlineStr">
        <is>
          <t>CFS</t>
        </is>
      </c>
      <c r="H599" s="27" t="inlineStr">
        <is>
          <t>SCE</t>
        </is>
      </c>
      <c r="I599" s="27" t="inlineStr">
        <is>
          <t>자본변동표</t>
        </is>
      </c>
      <c r="J599" s="27" t="inlineStr">
        <is>
          <t>-표준계정코드 미사용-</t>
        </is>
      </c>
      <c r="K599" s="27" t="inlineStr">
        <is>
          <t>종속기업주식취득</t>
        </is>
      </c>
      <c r="L599" s="27" t="inlineStr">
        <is>
          <t>자본 [구성요소]|지배기업의 소유주에게 귀속되는 지분 [구성요소]</t>
        </is>
      </c>
      <c r="M599" s="27" t="inlineStr">
        <is>
          <t>제 51 기</t>
        </is>
      </c>
      <c r="N599" s="27" t="inlineStr">
        <is>
          <t>-1196674508.0</t>
        </is>
      </c>
      <c r="O599" s="27" t="inlineStr">
        <is>
          <t>0.0</t>
        </is>
      </c>
      <c r="P599" s="27" t="inlineStr">
        <is>
          <t>KRW</t>
        </is>
      </c>
      <c r="Q599" s="27" t="inlineStr">
        <is>
          <t>5</t>
        </is>
      </c>
    </row>
    <row r="600" ht="24" customHeight="1">
      <c r="A600" s="32" t="inlineStr">
        <is>
          <t>OpenDART_fnlttSinglAcntAll</t>
        </is>
      </c>
      <c r="B600" s="32" t="inlineStr">
        <is>
          <t>00118804</t>
        </is>
      </c>
      <c r="C600" s="32" t="inlineStr">
        <is>
          <t>동진쎄미켐</t>
        </is>
      </c>
      <c r="D600" s="32" t="inlineStr">
        <is>
          <t>dongjin_semichem</t>
        </is>
      </c>
      <c r="E600" s="32" t="inlineStr">
        <is>
          <t>005290</t>
        </is>
      </c>
      <c r="F600" s="32" t="inlineStr">
        <is>
          <t>2023</t>
        </is>
      </c>
      <c r="G600" s="32" t="inlineStr">
        <is>
          <t>CFS</t>
        </is>
      </c>
      <c r="H600" s="32" t="inlineStr">
        <is>
          <t>SCE</t>
        </is>
      </c>
      <c r="I600" s="32" t="inlineStr">
        <is>
          <t>자본변동표</t>
        </is>
      </c>
      <c r="J600" s="32" t="inlineStr">
        <is>
          <t>-표준계정코드 미사용-</t>
        </is>
      </c>
      <c r="K600" s="32" t="inlineStr">
        <is>
          <t>종속기업주식취득</t>
        </is>
      </c>
      <c r="L600" s="32" t="inlineStr">
        <is>
          <t>자본 [구성요소]|지배기업의 소유주에게 귀속되는 지분 [구성요소]|자본잉여금 [구성요소]</t>
        </is>
      </c>
      <c r="M600" s="32" t="inlineStr">
        <is>
          <t>제 51 기</t>
        </is>
      </c>
      <c r="N600" s="32" t="inlineStr">
        <is>
          <t>-1196674508.0</t>
        </is>
      </c>
      <c r="O600" s="32" t="inlineStr">
        <is>
          <t>해당 없음</t>
        </is>
      </c>
      <c r="P600" s="32" t="inlineStr">
        <is>
          <t>KRW</t>
        </is>
      </c>
      <c r="Q600" s="32" t="inlineStr">
        <is>
          <t>5</t>
        </is>
      </c>
    </row>
    <row r="601" ht="24" customHeight="1">
      <c r="A601" s="27" t="inlineStr">
        <is>
          <t>OpenDART_fnlttSinglAcntAll</t>
        </is>
      </c>
      <c r="B601" s="27" t="inlineStr">
        <is>
          <t>00118804</t>
        </is>
      </c>
      <c r="C601" s="27" t="inlineStr">
        <is>
          <t>동진쎄미켐</t>
        </is>
      </c>
      <c r="D601" s="27" t="inlineStr">
        <is>
          <t>dongjin_semichem</t>
        </is>
      </c>
      <c r="E601" s="27" t="inlineStr">
        <is>
          <t>005290</t>
        </is>
      </c>
      <c r="F601" s="27" t="inlineStr">
        <is>
          <t>2023</t>
        </is>
      </c>
      <c r="G601" s="27" t="inlineStr">
        <is>
          <t>CFS</t>
        </is>
      </c>
      <c r="H601" s="27" t="inlineStr">
        <is>
          <t>SCE</t>
        </is>
      </c>
      <c r="I601" s="27" t="inlineStr">
        <is>
          <t>자본변동표</t>
        </is>
      </c>
      <c r="J601" s="27" t="inlineStr">
        <is>
          <t>-표준계정코드 미사용-</t>
        </is>
      </c>
      <c r="K601" s="27" t="inlineStr">
        <is>
          <t>관계기업 기타포괄손익에 대한 지분</t>
        </is>
      </c>
      <c r="L601" s="27" t="inlineStr">
        <is>
          <t>연결재무제표 [member]</t>
        </is>
      </c>
      <c r="M601" s="27" t="inlineStr">
        <is>
          <t>제 51 기</t>
        </is>
      </c>
      <c r="N601" s="27" t="inlineStr">
        <is>
          <t>44914905.0</t>
        </is>
      </c>
      <c r="O601" s="27" t="inlineStr">
        <is>
          <t>-118472528.0</t>
        </is>
      </c>
      <c r="P601" s="27" t="inlineStr">
        <is>
          <t>KRW</t>
        </is>
      </c>
      <c r="Q601" s="27" t="inlineStr">
        <is>
          <t>6</t>
        </is>
      </c>
    </row>
    <row r="602" ht="24" customHeight="1">
      <c r="A602" s="32" t="inlineStr">
        <is>
          <t>OpenDART_fnlttSinglAcntAll</t>
        </is>
      </c>
      <c r="B602" s="32" t="inlineStr">
        <is>
          <t>00118804</t>
        </is>
      </c>
      <c r="C602" s="32" t="inlineStr">
        <is>
          <t>동진쎄미켐</t>
        </is>
      </c>
      <c r="D602" s="32" t="inlineStr">
        <is>
          <t>dongjin_semichem</t>
        </is>
      </c>
      <c r="E602" s="32" t="inlineStr">
        <is>
          <t>005290</t>
        </is>
      </c>
      <c r="F602" s="32" t="inlineStr">
        <is>
          <t>2023</t>
        </is>
      </c>
      <c r="G602" s="32" t="inlineStr">
        <is>
          <t>CFS</t>
        </is>
      </c>
      <c r="H602" s="32" t="inlineStr">
        <is>
          <t>SCE</t>
        </is>
      </c>
      <c r="I602" s="32" t="inlineStr">
        <is>
          <t>자본변동표</t>
        </is>
      </c>
      <c r="J602" s="32" t="inlineStr">
        <is>
          <t>-표준계정코드 미사용-</t>
        </is>
      </c>
      <c r="K602" s="32" t="inlineStr">
        <is>
          <t>관계기업 기타포괄손익에 대한 지분</t>
        </is>
      </c>
      <c r="L602" s="32" t="inlineStr">
        <is>
          <t>자본 [구성요소]|지배기업의 소유주에게 귀속되는 지분 [구성요소]</t>
        </is>
      </c>
      <c r="M602" s="32" t="inlineStr">
        <is>
          <t>제 51 기</t>
        </is>
      </c>
      <c r="N602" s="32" t="inlineStr">
        <is>
          <t>44914905.0</t>
        </is>
      </c>
      <c r="O602" s="32" t="inlineStr">
        <is>
          <t>-118472528.0</t>
        </is>
      </c>
      <c r="P602" s="32" t="inlineStr">
        <is>
          <t>KRW</t>
        </is>
      </c>
      <c r="Q602" s="32" t="inlineStr">
        <is>
          <t>6</t>
        </is>
      </c>
    </row>
    <row r="603" ht="24" customHeight="1">
      <c r="A603" s="27" t="inlineStr">
        <is>
          <t>OpenDART_fnlttSinglAcntAll</t>
        </is>
      </c>
      <c r="B603" s="27" t="inlineStr">
        <is>
          <t>00118804</t>
        </is>
      </c>
      <c r="C603" s="27" t="inlineStr">
        <is>
          <t>동진쎄미켐</t>
        </is>
      </c>
      <c r="D603" s="27" t="inlineStr">
        <is>
          <t>dongjin_semichem</t>
        </is>
      </c>
      <c r="E603" s="27" t="inlineStr">
        <is>
          <t>005290</t>
        </is>
      </c>
      <c r="F603" s="27" t="inlineStr">
        <is>
          <t>2023</t>
        </is>
      </c>
      <c r="G603" s="27" t="inlineStr">
        <is>
          <t>CFS</t>
        </is>
      </c>
      <c r="H603" s="27" t="inlineStr">
        <is>
          <t>SCE</t>
        </is>
      </c>
      <c r="I603" s="27" t="inlineStr">
        <is>
          <t>자본변동표</t>
        </is>
      </c>
      <c r="J603" s="27" t="inlineStr">
        <is>
          <t>-표준계정코드 미사용-</t>
        </is>
      </c>
      <c r="K603" s="27" t="inlineStr">
        <is>
          <t>관계기업 기타포괄손익에 대한 지분</t>
        </is>
      </c>
      <c r="L603" s="27" t="inlineStr">
        <is>
          <t>자본 [구성요소]|지배기업의 소유주에게 귀속되는 지분 [구성요소]|기타자본구성요소 [구성요소]</t>
        </is>
      </c>
      <c r="M603" s="27" t="inlineStr">
        <is>
          <t>제 51 기</t>
        </is>
      </c>
      <c r="N603" s="27" t="inlineStr">
        <is>
          <t>44914905.0</t>
        </is>
      </c>
      <c r="O603" s="27" t="inlineStr">
        <is>
          <t>-118472528.0</t>
        </is>
      </c>
      <c r="P603" s="27" t="inlineStr">
        <is>
          <t>KRW</t>
        </is>
      </c>
      <c r="Q603" s="27" t="inlineStr">
        <is>
          <t>6</t>
        </is>
      </c>
    </row>
    <row r="604" ht="24" customHeight="1">
      <c r="A604" s="32" t="inlineStr">
        <is>
          <t>OpenDART_fnlttSinglAcntAll</t>
        </is>
      </c>
      <c r="B604" s="32" t="inlineStr">
        <is>
          <t>00118804</t>
        </is>
      </c>
      <c r="C604" s="32" t="inlineStr">
        <is>
          <t>동진쎄미켐</t>
        </is>
      </c>
      <c r="D604" s="32" t="inlineStr">
        <is>
          <t>dongjin_semichem</t>
        </is>
      </c>
      <c r="E604" s="32" t="inlineStr">
        <is>
          <t>005290</t>
        </is>
      </c>
      <c r="F604" s="32" t="inlineStr">
        <is>
          <t>2023</t>
        </is>
      </c>
      <c r="G604" s="32" t="inlineStr">
        <is>
          <t>CFS</t>
        </is>
      </c>
      <c r="H604" s="32" t="inlineStr">
        <is>
          <t>SCE</t>
        </is>
      </c>
      <c r="I604" s="32" t="inlineStr">
        <is>
          <t>자본변동표</t>
        </is>
      </c>
      <c r="J604" s="32" t="inlineStr">
        <is>
          <t>-표준계정코드 미사용-</t>
        </is>
      </c>
      <c r="K604" s="32" t="inlineStr">
        <is>
          <t>해외사업장환산 외환차이</t>
        </is>
      </c>
      <c r="L604" s="32" t="inlineStr">
        <is>
          <t>자본 [구성요소]|지배기업의 소유주에게 귀속되는 지분 [구성요소]</t>
        </is>
      </c>
      <c r="M604" s="32" t="inlineStr">
        <is>
          <t>제 51 기</t>
        </is>
      </c>
      <c r="N604" s="32" t="inlineStr">
        <is>
          <t>1357608065.0</t>
        </is>
      </c>
      <c r="O604" s="32" t="inlineStr">
        <is>
          <t>-9886767622.0</t>
        </is>
      </c>
      <c r="P604" s="32" t="inlineStr">
        <is>
          <t>KRW</t>
        </is>
      </c>
      <c r="Q604" s="32" t="inlineStr">
        <is>
          <t>7</t>
        </is>
      </c>
    </row>
    <row r="605" ht="24" customHeight="1">
      <c r="A605" s="27" t="inlineStr">
        <is>
          <t>OpenDART_fnlttSinglAcntAll</t>
        </is>
      </c>
      <c r="B605" s="27" t="inlineStr">
        <is>
          <t>00118804</t>
        </is>
      </c>
      <c r="C605" s="27" t="inlineStr">
        <is>
          <t>동진쎄미켐</t>
        </is>
      </c>
      <c r="D605" s="27" t="inlineStr">
        <is>
          <t>dongjin_semichem</t>
        </is>
      </c>
      <c r="E605" s="27" t="inlineStr">
        <is>
          <t>005290</t>
        </is>
      </c>
      <c r="F605" s="27" t="inlineStr">
        <is>
          <t>2023</t>
        </is>
      </c>
      <c r="G605" s="27" t="inlineStr">
        <is>
          <t>CFS</t>
        </is>
      </c>
      <c r="H605" s="27" t="inlineStr">
        <is>
          <t>SCE</t>
        </is>
      </c>
      <c r="I605" s="27" t="inlineStr">
        <is>
          <t>자본변동표</t>
        </is>
      </c>
      <c r="J605" s="27" t="inlineStr">
        <is>
          <t>-표준계정코드 미사용-</t>
        </is>
      </c>
      <c r="K605" s="27" t="inlineStr">
        <is>
          <t>해외사업장환산 외환차이</t>
        </is>
      </c>
      <c r="L605" s="27" t="inlineStr">
        <is>
          <t>자본 [구성요소]|비지배지분 [구성요소]</t>
        </is>
      </c>
      <c r="M605" s="27" t="inlineStr">
        <is>
          <t>제 51 기</t>
        </is>
      </c>
      <c r="N605" s="27" t="inlineStr">
        <is>
          <t>126368285.0</t>
        </is>
      </c>
      <c r="O605" s="27" t="inlineStr">
        <is>
          <t>-289974232.0</t>
        </is>
      </c>
      <c r="P605" s="27" t="inlineStr">
        <is>
          <t>KRW</t>
        </is>
      </c>
      <c r="Q605" s="27" t="inlineStr">
        <is>
          <t>7</t>
        </is>
      </c>
    </row>
    <row r="606" ht="24" customHeight="1">
      <c r="A606" s="32" t="inlineStr">
        <is>
          <t>OpenDART_fnlttSinglAcntAll</t>
        </is>
      </c>
      <c r="B606" s="32" t="inlineStr">
        <is>
          <t>00118804</t>
        </is>
      </c>
      <c r="C606" s="32" t="inlineStr">
        <is>
          <t>동진쎄미켐</t>
        </is>
      </c>
      <c r="D606" s="32" t="inlineStr">
        <is>
          <t>dongjin_semichem</t>
        </is>
      </c>
      <c r="E606" s="32" t="inlineStr">
        <is>
          <t>005290</t>
        </is>
      </c>
      <c r="F606" s="32" t="inlineStr">
        <is>
          <t>2023</t>
        </is>
      </c>
      <c r="G606" s="32" t="inlineStr">
        <is>
          <t>CFS</t>
        </is>
      </c>
      <c r="H606" s="32" t="inlineStr">
        <is>
          <t>SCE</t>
        </is>
      </c>
      <c r="I606" s="32" t="inlineStr">
        <is>
          <t>자본변동표</t>
        </is>
      </c>
      <c r="J606" s="32" t="inlineStr">
        <is>
          <t>-표준계정코드 미사용-</t>
        </is>
      </c>
      <c r="K606" s="32" t="inlineStr">
        <is>
          <t>해외사업장환산 외환차이</t>
        </is>
      </c>
      <c r="L606" s="32" t="inlineStr">
        <is>
          <t>연결재무제표 [member]</t>
        </is>
      </c>
      <c r="M606" s="32" t="inlineStr">
        <is>
          <t>제 51 기</t>
        </is>
      </c>
      <c r="N606" s="32" t="inlineStr">
        <is>
          <t>1483976350.0</t>
        </is>
      </c>
      <c r="O606" s="32" t="inlineStr">
        <is>
          <t>-10176741854.0</t>
        </is>
      </c>
      <c r="P606" s="32" t="inlineStr">
        <is>
          <t>KRW</t>
        </is>
      </c>
      <c r="Q606" s="32" t="inlineStr">
        <is>
          <t>7</t>
        </is>
      </c>
    </row>
    <row r="607" ht="24" customHeight="1">
      <c r="A607" s="27" t="inlineStr">
        <is>
          <t>OpenDART_fnlttSinglAcntAll</t>
        </is>
      </c>
      <c r="B607" s="27" t="inlineStr">
        <is>
          <t>00118804</t>
        </is>
      </c>
      <c r="C607" s="27" t="inlineStr">
        <is>
          <t>동진쎄미켐</t>
        </is>
      </c>
      <c r="D607" s="27" t="inlineStr">
        <is>
          <t>dongjin_semichem</t>
        </is>
      </c>
      <c r="E607" s="27" t="inlineStr">
        <is>
          <t>005290</t>
        </is>
      </c>
      <c r="F607" s="27" t="inlineStr">
        <is>
          <t>2023</t>
        </is>
      </c>
      <c r="G607" s="27" t="inlineStr">
        <is>
          <t>CFS</t>
        </is>
      </c>
      <c r="H607" s="27" t="inlineStr">
        <is>
          <t>SCE</t>
        </is>
      </c>
      <c r="I607" s="27" t="inlineStr">
        <is>
          <t>자본변동표</t>
        </is>
      </c>
      <c r="J607" s="27" t="inlineStr">
        <is>
          <t>-표준계정코드 미사용-</t>
        </is>
      </c>
      <c r="K607" s="27" t="inlineStr">
        <is>
          <t>해외사업장환산 외환차이</t>
        </is>
      </c>
      <c r="L607" s="27" t="inlineStr">
        <is>
          <t>자본 [구성요소]|지배기업의 소유주에게 귀속되는 지분 [구성요소]|기타자본구성요소 [구성요소]</t>
        </is>
      </c>
      <c r="M607" s="27" t="inlineStr">
        <is>
          <t>제 51 기</t>
        </is>
      </c>
      <c r="N607" s="27" t="inlineStr">
        <is>
          <t>1357608065.0</t>
        </is>
      </c>
      <c r="O607" s="27" t="inlineStr">
        <is>
          <t>-9886767622.0</t>
        </is>
      </c>
      <c r="P607" s="27" t="inlineStr">
        <is>
          <t>KRW</t>
        </is>
      </c>
      <c r="Q607" s="27" t="inlineStr">
        <is>
          <t>7</t>
        </is>
      </c>
    </row>
    <row r="608" ht="24" customHeight="1">
      <c r="A608" s="32" t="inlineStr">
        <is>
          <t>OpenDART_fnlttSinglAcntAll</t>
        </is>
      </c>
      <c r="B608" s="32" t="inlineStr">
        <is>
          <t>00118804</t>
        </is>
      </c>
      <c r="C608" s="32" t="inlineStr">
        <is>
          <t>동진쎄미켐</t>
        </is>
      </c>
      <c r="D608" s="32" t="inlineStr">
        <is>
          <t>dongjin_semichem</t>
        </is>
      </c>
      <c r="E608" s="32" t="inlineStr">
        <is>
          <t>005290</t>
        </is>
      </c>
      <c r="F608" s="32" t="inlineStr">
        <is>
          <t>2023</t>
        </is>
      </c>
      <c r="G608" s="32" t="inlineStr">
        <is>
          <t>CFS</t>
        </is>
      </c>
      <c r="H608" s="32" t="inlineStr">
        <is>
          <t>SCE</t>
        </is>
      </c>
      <c r="I608" s="32" t="inlineStr">
        <is>
          <t>자본변동표</t>
        </is>
      </c>
      <c r="J608" s="32" t="inlineStr">
        <is>
          <t>-표준계정코드 미사용-</t>
        </is>
      </c>
      <c r="K608" s="32" t="inlineStr">
        <is>
          <t>유형자산평가</t>
        </is>
      </c>
      <c r="L608" s="32" t="inlineStr">
        <is>
          <t>자본 [구성요소]|비지배지분 [구성요소]</t>
        </is>
      </c>
      <c r="M608" s="32" t="inlineStr">
        <is>
          <t>제 51 기</t>
        </is>
      </c>
      <c r="N608" s="32" t="inlineStr">
        <is>
          <t>해당 없음</t>
        </is>
      </c>
      <c r="O608" s="32" t="inlineStr">
        <is>
          <t>해당 없음</t>
        </is>
      </c>
      <c r="P608" s="32" t="inlineStr">
        <is>
          <t>KRW</t>
        </is>
      </c>
      <c r="Q608" s="32" t="inlineStr">
        <is>
          <t>8</t>
        </is>
      </c>
    </row>
    <row r="609" ht="24" customHeight="1">
      <c r="A609" s="27" t="inlineStr">
        <is>
          <t>OpenDART_fnlttSinglAcntAll</t>
        </is>
      </c>
      <c r="B609" s="27" t="inlineStr">
        <is>
          <t>00118804</t>
        </is>
      </c>
      <c r="C609" s="27" t="inlineStr">
        <is>
          <t>동진쎄미켐</t>
        </is>
      </c>
      <c r="D609" s="27" t="inlineStr">
        <is>
          <t>dongjin_semichem</t>
        </is>
      </c>
      <c r="E609" s="27" t="inlineStr">
        <is>
          <t>005290</t>
        </is>
      </c>
      <c r="F609" s="27" t="inlineStr">
        <is>
          <t>2023</t>
        </is>
      </c>
      <c r="G609" s="27" t="inlineStr">
        <is>
          <t>CFS</t>
        </is>
      </c>
      <c r="H609" s="27" t="inlineStr">
        <is>
          <t>SCE</t>
        </is>
      </c>
      <c r="I609" s="27" t="inlineStr">
        <is>
          <t>자본변동표</t>
        </is>
      </c>
      <c r="J609" s="27" t="inlineStr">
        <is>
          <t>-표준계정코드 미사용-</t>
        </is>
      </c>
      <c r="K609" s="27" t="inlineStr">
        <is>
          <t>유형자산평가</t>
        </is>
      </c>
      <c r="L609" s="27" t="inlineStr">
        <is>
          <t>연결재무제표 [member]</t>
        </is>
      </c>
      <c r="M609" s="27" t="inlineStr">
        <is>
          <t>제 51 기</t>
        </is>
      </c>
      <c r="N609" s="27" t="inlineStr">
        <is>
          <t>24945049.0</t>
        </is>
      </c>
      <c r="O609" s="27" t="inlineStr">
        <is>
          <t>249450496.0</t>
        </is>
      </c>
      <c r="P609" s="27" t="inlineStr">
        <is>
          <t>KRW</t>
        </is>
      </c>
      <c r="Q609" s="27" t="inlineStr">
        <is>
          <t>8</t>
        </is>
      </c>
    </row>
    <row r="610" ht="24" customHeight="1">
      <c r="A610" s="32" t="inlineStr">
        <is>
          <t>OpenDART_fnlttSinglAcntAll</t>
        </is>
      </c>
      <c r="B610" s="32" t="inlineStr">
        <is>
          <t>00118804</t>
        </is>
      </c>
      <c r="C610" s="32" t="inlineStr">
        <is>
          <t>동진쎄미켐</t>
        </is>
      </c>
      <c r="D610" s="32" t="inlineStr">
        <is>
          <t>dongjin_semichem</t>
        </is>
      </c>
      <c r="E610" s="32" t="inlineStr">
        <is>
          <t>005290</t>
        </is>
      </c>
      <c r="F610" s="32" t="inlineStr">
        <is>
          <t>2023</t>
        </is>
      </c>
      <c r="G610" s="32" t="inlineStr">
        <is>
          <t>CFS</t>
        </is>
      </c>
      <c r="H610" s="32" t="inlineStr">
        <is>
          <t>SCE</t>
        </is>
      </c>
      <c r="I610" s="32" t="inlineStr">
        <is>
          <t>자본변동표</t>
        </is>
      </c>
      <c r="J610" s="32" t="inlineStr">
        <is>
          <t>-표준계정코드 미사용-</t>
        </is>
      </c>
      <c r="K610" s="32" t="inlineStr">
        <is>
          <t>유형자산평가</t>
        </is>
      </c>
      <c r="L610" s="32" t="inlineStr">
        <is>
          <t>자본 [구성요소]|지배기업의 소유주에게 귀속되는 지분 [구성요소]</t>
        </is>
      </c>
      <c r="M610" s="32" t="inlineStr">
        <is>
          <t>제 51 기</t>
        </is>
      </c>
      <c r="N610" s="32" t="inlineStr">
        <is>
          <t>24945049.0</t>
        </is>
      </c>
      <c r="O610" s="32" t="inlineStr">
        <is>
          <t>249450496.0</t>
        </is>
      </c>
      <c r="P610" s="32" t="inlineStr">
        <is>
          <t>KRW</t>
        </is>
      </c>
      <c r="Q610" s="32" t="inlineStr">
        <is>
          <t>8</t>
        </is>
      </c>
    </row>
    <row r="611" ht="24" customHeight="1">
      <c r="A611" s="27" t="inlineStr">
        <is>
          <t>OpenDART_fnlttSinglAcntAll</t>
        </is>
      </c>
      <c r="B611" s="27" t="inlineStr">
        <is>
          <t>00118804</t>
        </is>
      </c>
      <c r="C611" s="27" t="inlineStr">
        <is>
          <t>동진쎄미켐</t>
        </is>
      </c>
      <c r="D611" s="27" t="inlineStr">
        <is>
          <t>dongjin_semichem</t>
        </is>
      </c>
      <c r="E611" s="27" t="inlineStr">
        <is>
          <t>005290</t>
        </is>
      </c>
      <c r="F611" s="27" t="inlineStr">
        <is>
          <t>2023</t>
        </is>
      </c>
      <c r="G611" s="27" t="inlineStr">
        <is>
          <t>CFS</t>
        </is>
      </c>
      <c r="H611" s="27" t="inlineStr">
        <is>
          <t>SCE</t>
        </is>
      </c>
      <c r="I611" s="27" t="inlineStr">
        <is>
          <t>자본변동표</t>
        </is>
      </c>
      <c r="J611" s="27" t="inlineStr">
        <is>
          <t>-표준계정코드 미사용-</t>
        </is>
      </c>
      <c r="K611" s="27" t="inlineStr">
        <is>
          <t>유형자산평가</t>
        </is>
      </c>
      <c r="L611" s="27" t="inlineStr">
        <is>
          <t>자본 [구성요소]|지배기업의 소유주에게 귀속되는 지분 [구성요소]|기타자본구성요소 [구성요소]</t>
        </is>
      </c>
      <c r="M611" s="27" t="inlineStr">
        <is>
          <t>제 51 기</t>
        </is>
      </c>
      <c r="N611" s="27" t="inlineStr">
        <is>
          <t>24945049.0</t>
        </is>
      </c>
      <c r="O611" s="27" t="inlineStr">
        <is>
          <t>249450496.0</t>
        </is>
      </c>
      <c r="P611" s="27" t="inlineStr">
        <is>
          <t>KRW</t>
        </is>
      </c>
      <c r="Q611" s="27" t="inlineStr">
        <is>
          <t>8</t>
        </is>
      </c>
    </row>
    <row r="612" ht="24" customHeight="1">
      <c r="A612" s="32" t="inlineStr">
        <is>
          <t>OpenDART_fnlttSinglAcntAll</t>
        </is>
      </c>
      <c r="B612" s="32" t="inlineStr">
        <is>
          <t>00118804</t>
        </is>
      </c>
      <c r="C612" s="32" t="inlineStr">
        <is>
          <t>동진쎄미켐</t>
        </is>
      </c>
      <c r="D612" s="32" t="inlineStr">
        <is>
          <t>dongjin_semichem</t>
        </is>
      </c>
      <c r="E612" s="32" t="inlineStr">
        <is>
          <t>005290</t>
        </is>
      </c>
      <c r="F612" s="32" t="inlineStr">
        <is>
          <t>2023</t>
        </is>
      </c>
      <c r="G612" s="32" t="inlineStr">
        <is>
          <t>CFS</t>
        </is>
      </c>
      <c r="H612" s="32" t="inlineStr">
        <is>
          <t>SCE</t>
        </is>
      </c>
      <c r="I612" s="32" t="inlineStr">
        <is>
          <t>자본변동표</t>
        </is>
      </c>
      <c r="J612" s="32" t="inlineStr">
        <is>
          <t>ifrs-full_DividendsPaid</t>
        </is>
      </c>
      <c r="K612" s="32" t="inlineStr">
        <is>
          <t>배당금</t>
        </is>
      </c>
      <c r="L612" s="32" t="inlineStr">
        <is>
          <t>연결재무제표 [member]</t>
        </is>
      </c>
      <c r="M612" s="32" t="inlineStr">
        <is>
          <t>제 51 기</t>
        </is>
      </c>
      <c r="N612" s="32" t="inlineStr">
        <is>
          <t>-6751084478.0</t>
        </is>
      </c>
      <c r="O612" s="32" t="inlineStr">
        <is>
          <t>-5724865729.0</t>
        </is>
      </c>
      <c r="P612" s="32" t="inlineStr">
        <is>
          <t>KRW</t>
        </is>
      </c>
      <c r="Q612" s="32" t="inlineStr">
        <is>
          <t>9</t>
        </is>
      </c>
    </row>
    <row r="613" ht="24" customHeight="1">
      <c r="A613" s="27" t="inlineStr">
        <is>
          <t>OpenDART_fnlttSinglAcntAll</t>
        </is>
      </c>
      <c r="B613" s="27" t="inlineStr">
        <is>
          <t>00118804</t>
        </is>
      </c>
      <c r="C613" s="27" t="inlineStr">
        <is>
          <t>동진쎄미켐</t>
        </is>
      </c>
      <c r="D613" s="27" t="inlineStr">
        <is>
          <t>dongjin_semichem</t>
        </is>
      </c>
      <c r="E613" s="27" t="inlineStr">
        <is>
          <t>005290</t>
        </is>
      </c>
      <c r="F613" s="27" t="inlineStr">
        <is>
          <t>2023</t>
        </is>
      </c>
      <c r="G613" s="27" t="inlineStr">
        <is>
          <t>CFS</t>
        </is>
      </c>
      <c r="H613" s="27" t="inlineStr">
        <is>
          <t>SCE</t>
        </is>
      </c>
      <c r="I613" s="27" t="inlineStr">
        <is>
          <t>자본변동표</t>
        </is>
      </c>
      <c r="J613" s="27" t="inlineStr">
        <is>
          <t>ifrs-full_DividendsPaid</t>
        </is>
      </c>
      <c r="K613" s="27" t="inlineStr">
        <is>
          <t>배당금</t>
        </is>
      </c>
      <c r="L613" s="27" t="inlineStr">
        <is>
          <t>자본 [구성요소]|비지배지분 [구성요소]</t>
        </is>
      </c>
      <c r="M613" s="27" t="inlineStr">
        <is>
          <t>제 51 기</t>
        </is>
      </c>
      <c r="N613" s="27" t="inlineStr">
        <is>
          <t>-67200258.0</t>
        </is>
      </c>
      <c r="O613" s="27" t="inlineStr">
        <is>
          <t>-69271389.0</t>
        </is>
      </c>
      <c r="P613" s="27" t="inlineStr">
        <is>
          <t>KRW</t>
        </is>
      </c>
      <c r="Q613" s="27" t="inlineStr">
        <is>
          <t>9</t>
        </is>
      </c>
    </row>
    <row r="614" ht="24" customHeight="1">
      <c r="A614" s="32" t="inlineStr">
        <is>
          <t>OpenDART_fnlttSinglAcntAll</t>
        </is>
      </c>
      <c r="B614" s="32" t="inlineStr">
        <is>
          <t>00118804</t>
        </is>
      </c>
      <c r="C614" s="32" t="inlineStr">
        <is>
          <t>동진쎄미켐</t>
        </is>
      </c>
      <c r="D614" s="32" t="inlineStr">
        <is>
          <t>dongjin_semichem</t>
        </is>
      </c>
      <c r="E614" s="32" t="inlineStr">
        <is>
          <t>005290</t>
        </is>
      </c>
      <c r="F614" s="32" t="inlineStr">
        <is>
          <t>2023</t>
        </is>
      </c>
      <c r="G614" s="32" t="inlineStr">
        <is>
          <t>CFS</t>
        </is>
      </c>
      <c r="H614" s="32" t="inlineStr">
        <is>
          <t>SCE</t>
        </is>
      </c>
      <c r="I614" s="32" t="inlineStr">
        <is>
          <t>자본변동표</t>
        </is>
      </c>
      <c r="J614" s="32" t="inlineStr">
        <is>
          <t>ifrs-full_DividendsPaid</t>
        </is>
      </c>
      <c r="K614" s="32" t="inlineStr">
        <is>
          <t>배당금</t>
        </is>
      </c>
      <c r="L614" s="32" t="inlineStr">
        <is>
          <t>자본 [구성요소]|지배기업의 소유주에게 귀속되는 지분 [구성요소]</t>
        </is>
      </c>
      <c r="M614" s="32" t="inlineStr">
        <is>
          <t>제 51 기</t>
        </is>
      </c>
      <c r="N614" s="32" t="inlineStr">
        <is>
          <t>-6683884220.0</t>
        </is>
      </c>
      <c r="O614" s="32" t="inlineStr">
        <is>
          <t>-5655594340.0</t>
        </is>
      </c>
      <c r="P614" s="32" t="inlineStr">
        <is>
          <t>KRW</t>
        </is>
      </c>
      <c r="Q614" s="32" t="inlineStr">
        <is>
          <t>9</t>
        </is>
      </c>
    </row>
    <row r="615" ht="24" customHeight="1">
      <c r="A615" s="27" t="inlineStr">
        <is>
          <t>OpenDART_fnlttSinglAcntAll</t>
        </is>
      </c>
      <c r="B615" s="27" t="inlineStr">
        <is>
          <t>00118804</t>
        </is>
      </c>
      <c r="C615" s="27" t="inlineStr">
        <is>
          <t>동진쎄미켐</t>
        </is>
      </c>
      <c r="D615" s="27" t="inlineStr">
        <is>
          <t>dongjin_semichem</t>
        </is>
      </c>
      <c r="E615" s="27" t="inlineStr">
        <is>
          <t>005290</t>
        </is>
      </c>
      <c r="F615" s="27" t="inlineStr">
        <is>
          <t>2023</t>
        </is>
      </c>
      <c r="G615" s="27" t="inlineStr">
        <is>
          <t>CFS</t>
        </is>
      </c>
      <c r="H615" s="27" t="inlineStr">
        <is>
          <t>SCE</t>
        </is>
      </c>
      <c r="I615" s="27" t="inlineStr">
        <is>
          <t>자본변동표</t>
        </is>
      </c>
      <c r="J615" s="27" t="inlineStr">
        <is>
          <t>ifrs-full_DividendsPaid</t>
        </is>
      </c>
      <c r="K615" s="27" t="inlineStr">
        <is>
          <t>배당금</t>
        </is>
      </c>
      <c r="L615" s="27" t="inlineStr">
        <is>
          <t>자본 [구성요소]|지배기업의 소유주에게 귀속되는 지분 [구성요소]|이익잉여금 [구성요소]</t>
        </is>
      </c>
      <c r="M615" s="27" t="inlineStr">
        <is>
          <t>제 51 기</t>
        </is>
      </c>
      <c r="N615" s="27" t="inlineStr">
        <is>
          <t>-6683884220.0</t>
        </is>
      </c>
      <c r="O615" s="27" t="inlineStr">
        <is>
          <t>-5655594340.0</t>
        </is>
      </c>
      <c r="P615" s="27" t="inlineStr">
        <is>
          <t>KRW</t>
        </is>
      </c>
      <c r="Q615" s="27" t="inlineStr">
        <is>
          <t>9</t>
        </is>
      </c>
    </row>
    <row r="616" ht="24" customHeight="1">
      <c r="A616" s="32" t="inlineStr">
        <is>
          <t>OpenDART_fnlttSinglAcntAll</t>
        </is>
      </c>
      <c r="B616" s="32" t="inlineStr">
        <is>
          <t>00118804</t>
        </is>
      </c>
      <c r="C616" s="32" t="inlineStr">
        <is>
          <t>동진쎄미켐</t>
        </is>
      </c>
      <c r="D616" s="32" t="inlineStr">
        <is>
          <t>dongjin_semichem</t>
        </is>
      </c>
      <c r="E616" s="32" t="inlineStr">
        <is>
          <t>005290</t>
        </is>
      </c>
      <c r="F616" s="32" t="inlineStr">
        <is>
          <t>2023</t>
        </is>
      </c>
      <c r="G616" s="32" t="inlineStr">
        <is>
          <t>CFS</t>
        </is>
      </c>
      <c r="H616" s="32" t="inlineStr">
        <is>
          <t>SCE</t>
        </is>
      </c>
      <c r="I616" s="32" t="inlineStr">
        <is>
          <t>자본변동표</t>
        </is>
      </c>
      <c r="J616" s="32" t="inlineStr">
        <is>
          <t>ifrs-full_Equity</t>
        </is>
      </c>
      <c r="K616" s="32" t="inlineStr">
        <is>
          <t>자본총계</t>
        </is>
      </c>
      <c r="L616" s="32" t="inlineStr">
        <is>
          <t>자본 [구성요소]|비지배지분 [구성요소]</t>
        </is>
      </c>
      <c r="M616" s="32" t="inlineStr">
        <is>
          <t>제 51 기</t>
        </is>
      </c>
      <c r="N616" s="32" t="inlineStr">
        <is>
          <t>30429295556.0</t>
        </is>
      </c>
      <c r="O616" s="32" t="inlineStr">
        <is>
          <t>3942443240.0</t>
        </is>
      </c>
      <c r="P616" s="32" t="inlineStr">
        <is>
          <t>KRW</t>
        </is>
      </c>
      <c r="Q616" s="32" t="inlineStr">
        <is>
          <t>10</t>
        </is>
      </c>
    </row>
    <row r="617" ht="24" customHeight="1">
      <c r="A617" s="27" t="inlineStr">
        <is>
          <t>OpenDART_fnlttSinglAcntAll</t>
        </is>
      </c>
      <c r="B617" s="27" t="inlineStr">
        <is>
          <t>00118804</t>
        </is>
      </c>
      <c r="C617" s="27" t="inlineStr">
        <is>
          <t>동진쎄미켐</t>
        </is>
      </c>
      <c r="D617" s="27" t="inlineStr">
        <is>
          <t>dongjin_semichem</t>
        </is>
      </c>
      <c r="E617" s="27" t="inlineStr">
        <is>
          <t>005290</t>
        </is>
      </c>
      <c r="F617" s="27" t="inlineStr">
        <is>
          <t>2023</t>
        </is>
      </c>
      <c r="G617" s="27" t="inlineStr">
        <is>
          <t>CFS</t>
        </is>
      </c>
      <c r="H617" s="27" t="inlineStr">
        <is>
          <t>SCE</t>
        </is>
      </c>
      <c r="I617" s="27" t="inlineStr">
        <is>
          <t>자본변동표</t>
        </is>
      </c>
      <c r="J617" s="27" t="inlineStr">
        <is>
          <t>ifrs-full_Equity</t>
        </is>
      </c>
      <c r="K617" s="27" t="inlineStr">
        <is>
          <t>자본총계</t>
        </is>
      </c>
      <c r="L617" s="27" t="inlineStr">
        <is>
          <t>연결재무제표 [member]</t>
        </is>
      </c>
      <c r="M617" s="27" t="inlineStr">
        <is>
          <t>제 51 기</t>
        </is>
      </c>
      <c r="N617" s="27" t="inlineStr">
        <is>
          <t>835481646771.0</t>
        </is>
      </c>
      <c r="O617" s="27" t="inlineStr">
        <is>
          <t>700787363830.0</t>
        </is>
      </c>
      <c r="P617" s="27" t="inlineStr">
        <is>
          <t>KRW</t>
        </is>
      </c>
      <c r="Q617" s="27" t="inlineStr">
        <is>
          <t>10</t>
        </is>
      </c>
    </row>
    <row r="618" ht="24" customHeight="1">
      <c r="A618" s="32" t="inlineStr">
        <is>
          <t>OpenDART_fnlttSinglAcntAll</t>
        </is>
      </c>
      <c r="B618" s="32" t="inlineStr">
        <is>
          <t>00118804</t>
        </is>
      </c>
      <c r="C618" s="32" t="inlineStr">
        <is>
          <t>동진쎄미켐</t>
        </is>
      </c>
      <c r="D618" s="32" t="inlineStr">
        <is>
          <t>dongjin_semichem</t>
        </is>
      </c>
      <c r="E618" s="32" t="inlineStr">
        <is>
          <t>005290</t>
        </is>
      </c>
      <c r="F618" s="32" t="inlineStr">
        <is>
          <t>2023</t>
        </is>
      </c>
      <c r="G618" s="32" t="inlineStr">
        <is>
          <t>CFS</t>
        </is>
      </c>
      <c r="H618" s="32" t="inlineStr">
        <is>
          <t>SCE</t>
        </is>
      </c>
      <c r="I618" s="32" t="inlineStr">
        <is>
          <t>자본변동표</t>
        </is>
      </c>
      <c r="J618" s="32" t="inlineStr">
        <is>
          <t>ifrs-full_Equity</t>
        </is>
      </c>
      <c r="K618" s="32" t="inlineStr">
        <is>
          <t>자본총계</t>
        </is>
      </c>
      <c r="L618" s="32" t="inlineStr">
        <is>
          <t>자본 [구성요소]|지배기업의 소유주에게 귀속되는 지분 [구성요소]</t>
        </is>
      </c>
      <c r="M618" s="32" t="inlineStr">
        <is>
          <t>제 51 기</t>
        </is>
      </c>
      <c r="N618" s="32" t="inlineStr">
        <is>
          <t>805052351215.0</t>
        </is>
      </c>
      <c r="O618" s="32" t="inlineStr">
        <is>
          <t>696844920590.0</t>
        </is>
      </c>
      <c r="P618" s="32" t="inlineStr">
        <is>
          <t>KRW</t>
        </is>
      </c>
      <c r="Q618" s="32" t="inlineStr">
        <is>
          <t>10</t>
        </is>
      </c>
    </row>
    <row r="619" ht="24" customHeight="1">
      <c r="A619" s="27" t="inlineStr">
        <is>
          <t>OpenDART_fnlttSinglAcntAll</t>
        </is>
      </c>
      <c r="B619" s="27" t="inlineStr">
        <is>
          <t>00118804</t>
        </is>
      </c>
      <c r="C619" s="27" t="inlineStr">
        <is>
          <t>동진쎄미켐</t>
        </is>
      </c>
      <c r="D619" s="27" t="inlineStr">
        <is>
          <t>dongjin_semichem</t>
        </is>
      </c>
      <c r="E619" s="27" t="inlineStr">
        <is>
          <t>005290</t>
        </is>
      </c>
      <c r="F619" s="27" t="inlineStr">
        <is>
          <t>2023</t>
        </is>
      </c>
      <c r="G619" s="27" t="inlineStr">
        <is>
          <t>CFS</t>
        </is>
      </c>
      <c r="H619" s="27" t="inlineStr">
        <is>
          <t>SCE</t>
        </is>
      </c>
      <c r="I619" s="27" t="inlineStr">
        <is>
          <t>자본변동표</t>
        </is>
      </c>
      <c r="J619" s="27" t="inlineStr">
        <is>
          <t>ifrs-full_Equity</t>
        </is>
      </c>
      <c r="K619" s="27" t="inlineStr">
        <is>
          <t>자본총계</t>
        </is>
      </c>
      <c r="L619" s="27" t="inlineStr">
        <is>
          <t>자본 [구성요소]|지배기업의 소유주에게 귀속되는 지분 [구성요소]|자본잉여금 [구성요소]</t>
        </is>
      </c>
      <c r="M619" s="27" t="inlineStr">
        <is>
          <t>제 51 기</t>
        </is>
      </c>
      <c r="N619" s="27" t="inlineStr">
        <is>
          <t>121800415653.0</t>
        </is>
      </c>
      <c r="O619" s="27" t="inlineStr">
        <is>
          <t>122997090161.0</t>
        </is>
      </c>
      <c r="P619" s="27" t="inlineStr">
        <is>
          <t>KRW</t>
        </is>
      </c>
      <c r="Q619" s="27" t="inlineStr">
        <is>
          <t>10</t>
        </is>
      </c>
    </row>
    <row r="620" ht="24" customHeight="1">
      <c r="A620" s="32" t="inlineStr">
        <is>
          <t>OpenDART_fnlttSinglAcntAll</t>
        </is>
      </c>
      <c r="B620" s="32" t="inlineStr">
        <is>
          <t>00118804</t>
        </is>
      </c>
      <c r="C620" s="32" t="inlineStr">
        <is>
          <t>동진쎄미켐</t>
        </is>
      </c>
      <c r="D620" s="32" t="inlineStr">
        <is>
          <t>dongjin_semichem</t>
        </is>
      </c>
      <c r="E620" s="32" t="inlineStr">
        <is>
          <t>005290</t>
        </is>
      </c>
      <c r="F620" s="32" t="inlineStr">
        <is>
          <t>2023</t>
        </is>
      </c>
      <c r="G620" s="32" t="inlineStr">
        <is>
          <t>CFS</t>
        </is>
      </c>
      <c r="H620" s="32" t="inlineStr">
        <is>
          <t>SCE</t>
        </is>
      </c>
      <c r="I620" s="32" t="inlineStr">
        <is>
          <t>자본변동표</t>
        </is>
      </c>
      <c r="J620" s="32" t="inlineStr">
        <is>
          <t>ifrs-full_Equity</t>
        </is>
      </c>
      <c r="K620" s="32" t="inlineStr">
        <is>
          <t>자본총계</t>
        </is>
      </c>
      <c r="L620" s="32" t="inlineStr">
        <is>
          <t>자본 [구성요소]|지배기업의 소유주에게 귀속되는 지분 [구성요소]|자본금 [구성요소]</t>
        </is>
      </c>
      <c r="M620" s="32" t="inlineStr">
        <is>
          <t>제 51 기</t>
        </is>
      </c>
      <c r="N620" s="32" t="inlineStr">
        <is>
          <t>25707247000.0</t>
        </is>
      </c>
      <c r="O620" s="32" t="inlineStr">
        <is>
          <t>25707247000.0</t>
        </is>
      </c>
      <c r="P620" s="32" t="inlineStr">
        <is>
          <t>KRW</t>
        </is>
      </c>
      <c r="Q620" s="32" t="inlineStr">
        <is>
          <t>10</t>
        </is>
      </c>
    </row>
    <row r="621" ht="24" customHeight="1">
      <c r="A621" s="27" t="inlineStr">
        <is>
          <t>OpenDART_fnlttSinglAcntAll</t>
        </is>
      </c>
      <c r="B621" s="27" t="inlineStr">
        <is>
          <t>00118804</t>
        </is>
      </c>
      <c r="C621" s="27" t="inlineStr">
        <is>
          <t>동진쎄미켐</t>
        </is>
      </c>
      <c r="D621" s="27" t="inlineStr">
        <is>
          <t>dongjin_semichem</t>
        </is>
      </c>
      <c r="E621" s="27" t="inlineStr">
        <is>
          <t>005290</t>
        </is>
      </c>
      <c r="F621" s="27" t="inlineStr">
        <is>
          <t>2023</t>
        </is>
      </c>
      <c r="G621" s="27" t="inlineStr">
        <is>
          <t>CFS</t>
        </is>
      </c>
      <c r="H621" s="27" t="inlineStr">
        <is>
          <t>SCE</t>
        </is>
      </c>
      <c r="I621" s="27" t="inlineStr">
        <is>
          <t>자본변동표</t>
        </is>
      </c>
      <c r="J621" s="27" t="inlineStr">
        <is>
          <t>ifrs-full_Equity</t>
        </is>
      </c>
      <c r="K621" s="27" t="inlineStr">
        <is>
          <t>자본총계</t>
        </is>
      </c>
      <c r="L621" s="27" t="inlineStr">
        <is>
          <t>자본 [구성요소]|지배기업의 소유주에게 귀속되는 지분 [구성요소]|이익잉여금 [구성요소]</t>
        </is>
      </c>
      <c r="M621" s="27" t="inlineStr">
        <is>
          <t>제 51 기</t>
        </is>
      </c>
      <c r="N621" s="27" t="inlineStr">
        <is>
          <t>628992461223.0</t>
        </is>
      </c>
      <c r="O621" s="27" t="inlineStr">
        <is>
          <t>521015824109.0</t>
        </is>
      </c>
      <c r="P621" s="27" t="inlineStr">
        <is>
          <t>KRW</t>
        </is>
      </c>
      <c r="Q621" s="27" t="inlineStr">
        <is>
          <t>10</t>
        </is>
      </c>
    </row>
    <row r="622" ht="24" customHeight="1">
      <c r="A622" s="32" t="inlineStr">
        <is>
          <t>OpenDART_fnlttSinglAcntAll</t>
        </is>
      </c>
      <c r="B622" s="32" t="inlineStr">
        <is>
          <t>00118804</t>
        </is>
      </c>
      <c r="C622" s="32" t="inlineStr">
        <is>
          <t>동진쎄미켐</t>
        </is>
      </c>
      <c r="D622" s="32" t="inlineStr">
        <is>
          <t>dongjin_semichem</t>
        </is>
      </c>
      <c r="E622" s="32" t="inlineStr">
        <is>
          <t>005290</t>
        </is>
      </c>
      <c r="F622" s="32" t="inlineStr">
        <is>
          <t>2023</t>
        </is>
      </c>
      <c r="G622" s="32" t="inlineStr">
        <is>
          <t>CFS</t>
        </is>
      </c>
      <c r="H622" s="32" t="inlineStr">
        <is>
          <t>SCE</t>
        </is>
      </c>
      <c r="I622" s="32" t="inlineStr">
        <is>
          <t>자본변동표</t>
        </is>
      </c>
      <c r="J622" s="32" t="inlineStr">
        <is>
          <t>ifrs-full_Equity</t>
        </is>
      </c>
      <c r="K622" s="32" t="inlineStr">
        <is>
          <t>자본총계</t>
        </is>
      </c>
      <c r="L622" s="32" t="inlineStr">
        <is>
          <t>자본 [구성요소]|지배기업의 소유주에게 귀속되는 지분 [구성요소]|기타자본구성요소 [구성요소]</t>
        </is>
      </c>
      <c r="M622" s="32" t="inlineStr">
        <is>
          <t>제 51 기</t>
        </is>
      </c>
      <c r="N622" s="32" t="inlineStr">
        <is>
          <t>28552227339.0</t>
        </is>
      </c>
      <c r="O622" s="32" t="inlineStr">
        <is>
          <t>27124759320.0</t>
        </is>
      </c>
      <c r="P622" s="32" t="inlineStr">
        <is>
          <t>KRW</t>
        </is>
      </c>
      <c r="Q622" s="32" t="inlineStr">
        <is>
          <t>10</t>
        </is>
      </c>
    </row>
    <row r="623" ht="24" customHeight="1">
      <c r="A623" s="27" t="inlineStr">
        <is>
          <t>OpenDART_fnlttSinglAcntAll</t>
        </is>
      </c>
      <c r="B623" s="27" t="inlineStr">
        <is>
          <t>00118804</t>
        </is>
      </c>
      <c r="C623" s="27" t="inlineStr">
        <is>
          <t>동진쎄미켐</t>
        </is>
      </c>
      <c r="D623" s="27" t="inlineStr">
        <is>
          <t>dongjin_semichem</t>
        </is>
      </c>
      <c r="E623" s="27" t="inlineStr">
        <is>
          <t>005290</t>
        </is>
      </c>
      <c r="F623" s="27" t="inlineStr">
        <is>
          <t>2023</t>
        </is>
      </c>
      <c r="G623" s="27" t="inlineStr">
        <is>
          <t>CFS</t>
        </is>
      </c>
      <c r="H623" s="27" t="inlineStr">
        <is>
          <t>SCE</t>
        </is>
      </c>
      <c r="I623" s="27" t="inlineStr">
        <is>
          <t>자본변동표</t>
        </is>
      </c>
      <c r="J623" s="27" t="inlineStr">
        <is>
          <t>ifrs-full_IssueOfEquity</t>
        </is>
      </c>
      <c r="K623" s="27" t="inlineStr">
        <is>
          <t>유상증자</t>
        </is>
      </c>
      <c r="L623" s="27" t="inlineStr">
        <is>
          <t>연결재무제표 [member]</t>
        </is>
      </c>
      <c r="M623" s="27" t="inlineStr">
        <is>
          <t>제 51 기</t>
        </is>
      </c>
      <c r="N623" s="27" t="inlineStr">
        <is>
          <t>29011500000.0</t>
        </is>
      </c>
      <c r="O623" s="27" t="inlineStr">
        <is>
          <t>428910.0</t>
        </is>
      </c>
      <c r="P623" s="27" t="inlineStr">
        <is>
          <t>KRW</t>
        </is>
      </c>
      <c r="Q623" s="27" t="inlineStr">
        <is>
          <t>11</t>
        </is>
      </c>
    </row>
    <row r="624" ht="24" customHeight="1">
      <c r="A624" s="32" t="inlineStr">
        <is>
          <t>OpenDART_fnlttSinglAcntAll</t>
        </is>
      </c>
      <c r="B624" s="32" t="inlineStr">
        <is>
          <t>00118804</t>
        </is>
      </c>
      <c r="C624" s="32" t="inlineStr">
        <is>
          <t>동진쎄미켐</t>
        </is>
      </c>
      <c r="D624" s="32" t="inlineStr">
        <is>
          <t>dongjin_semichem</t>
        </is>
      </c>
      <c r="E624" s="32" t="inlineStr">
        <is>
          <t>005290</t>
        </is>
      </c>
      <c r="F624" s="32" t="inlineStr">
        <is>
          <t>2023</t>
        </is>
      </c>
      <c r="G624" s="32" t="inlineStr">
        <is>
          <t>CFS</t>
        </is>
      </c>
      <c r="H624" s="32" t="inlineStr">
        <is>
          <t>SCE</t>
        </is>
      </c>
      <c r="I624" s="32" t="inlineStr">
        <is>
          <t>자본변동표</t>
        </is>
      </c>
      <c r="J624" s="32" t="inlineStr">
        <is>
          <t>ifrs-full_IssueOfEquity</t>
        </is>
      </c>
      <c r="K624" s="32" t="inlineStr">
        <is>
          <t>유상증자</t>
        </is>
      </c>
      <c r="L624" s="32" t="inlineStr">
        <is>
          <t>자본 [구성요소]|비지배지분 [구성요소]</t>
        </is>
      </c>
      <c r="M624" s="32" t="inlineStr">
        <is>
          <t>제 51 기</t>
        </is>
      </c>
      <c r="N624" s="32" t="inlineStr">
        <is>
          <t>29011500000.0</t>
        </is>
      </c>
      <c r="O624" s="32" t="inlineStr">
        <is>
          <t>428910.0</t>
        </is>
      </c>
      <c r="P624" s="32" t="inlineStr">
        <is>
          <t>KRW</t>
        </is>
      </c>
      <c r="Q624" s="32" t="inlineStr">
        <is>
          <t>11</t>
        </is>
      </c>
    </row>
    <row r="625" ht="24" customHeight="1">
      <c r="A625" s="27" t="inlineStr">
        <is>
          <t>OpenDART_fnlttSinglAcntAll</t>
        </is>
      </c>
      <c r="B625" s="27" t="inlineStr">
        <is>
          <t>00118804</t>
        </is>
      </c>
      <c r="C625" s="27" t="inlineStr">
        <is>
          <t>동진쎄미켐</t>
        </is>
      </c>
      <c r="D625" s="27" t="inlineStr">
        <is>
          <t>dongjin_semichem</t>
        </is>
      </c>
      <c r="E625" s="27" t="inlineStr">
        <is>
          <t>005290</t>
        </is>
      </c>
      <c r="F625" s="27" t="inlineStr">
        <is>
          <t>2023</t>
        </is>
      </c>
      <c r="G625" s="27" t="inlineStr">
        <is>
          <t>CFS</t>
        </is>
      </c>
      <c r="H625" s="27" t="inlineStr">
        <is>
          <t>SCE</t>
        </is>
      </c>
      <c r="I625" s="27" t="inlineStr">
        <is>
          <t>자본변동표</t>
        </is>
      </c>
      <c r="J625" s="27" t="inlineStr">
        <is>
          <t>ifrs-full_ProfitLoss</t>
        </is>
      </c>
      <c r="K625" s="27" t="inlineStr">
        <is>
          <t>당기순이익</t>
        </is>
      </c>
      <c r="L625" s="27" t="inlineStr">
        <is>
          <t>자본 [구성요소]|지배기업의 소유주에게 귀속되는 지분 [구성요소]</t>
        </is>
      </c>
      <c r="M625" s="27" t="inlineStr">
        <is>
          <t>제 51 기</t>
        </is>
      </c>
      <c r="N625" s="27" t="inlineStr">
        <is>
          <t>127314850805.0</t>
        </is>
      </c>
      <c r="O625" s="27" t="inlineStr">
        <is>
          <t>159479059914.0</t>
        </is>
      </c>
      <c r="P625" s="27" t="inlineStr">
        <is>
          <t>KRW</t>
        </is>
      </c>
      <c r="Q625" s="27" t="inlineStr">
        <is>
          <t>12</t>
        </is>
      </c>
    </row>
    <row r="626" ht="24" customHeight="1">
      <c r="A626" s="32" t="inlineStr">
        <is>
          <t>OpenDART_fnlttSinglAcntAll</t>
        </is>
      </c>
      <c r="B626" s="32" t="inlineStr">
        <is>
          <t>00118804</t>
        </is>
      </c>
      <c r="C626" s="32" t="inlineStr">
        <is>
          <t>동진쎄미켐</t>
        </is>
      </c>
      <c r="D626" s="32" t="inlineStr">
        <is>
          <t>dongjin_semichem</t>
        </is>
      </c>
      <c r="E626" s="32" t="inlineStr">
        <is>
          <t>005290</t>
        </is>
      </c>
      <c r="F626" s="32" t="inlineStr">
        <is>
          <t>2023</t>
        </is>
      </c>
      <c r="G626" s="32" t="inlineStr">
        <is>
          <t>CFS</t>
        </is>
      </c>
      <c r="H626" s="32" t="inlineStr">
        <is>
          <t>SCE</t>
        </is>
      </c>
      <c r="I626" s="32" t="inlineStr">
        <is>
          <t>자본변동표</t>
        </is>
      </c>
      <c r="J626" s="32" t="inlineStr">
        <is>
          <t>ifrs-full_ProfitLoss</t>
        </is>
      </c>
      <c r="K626" s="32" t="inlineStr">
        <is>
          <t>당기순이익</t>
        </is>
      </c>
      <c r="L626" s="32" t="inlineStr">
        <is>
          <t>자본 [구성요소]|비지배지분 [구성요소]</t>
        </is>
      </c>
      <c r="M626" s="32" t="inlineStr">
        <is>
          <t>제 51 기</t>
        </is>
      </c>
      <c r="N626" s="32" t="inlineStr">
        <is>
          <t>-3780490219.0</t>
        </is>
      </c>
      <c r="O626" s="32" t="inlineStr">
        <is>
          <t>-3283743734.0</t>
        </is>
      </c>
      <c r="P626" s="32" t="inlineStr">
        <is>
          <t>KRW</t>
        </is>
      </c>
      <c r="Q626" s="32" t="inlineStr">
        <is>
          <t>12</t>
        </is>
      </c>
    </row>
    <row r="627" ht="24" customHeight="1">
      <c r="A627" s="27" t="inlineStr">
        <is>
          <t>OpenDART_fnlttSinglAcntAll</t>
        </is>
      </c>
      <c r="B627" s="27" t="inlineStr">
        <is>
          <t>00118804</t>
        </is>
      </c>
      <c r="C627" s="27" t="inlineStr">
        <is>
          <t>동진쎄미켐</t>
        </is>
      </c>
      <c r="D627" s="27" t="inlineStr">
        <is>
          <t>dongjin_semichem</t>
        </is>
      </c>
      <c r="E627" s="27" t="inlineStr">
        <is>
          <t>005290</t>
        </is>
      </c>
      <c r="F627" s="27" t="inlineStr">
        <is>
          <t>2023</t>
        </is>
      </c>
      <c r="G627" s="27" t="inlineStr">
        <is>
          <t>CFS</t>
        </is>
      </c>
      <c r="H627" s="27" t="inlineStr">
        <is>
          <t>SCE</t>
        </is>
      </c>
      <c r="I627" s="27" t="inlineStr">
        <is>
          <t>자본변동표</t>
        </is>
      </c>
      <c r="J627" s="27" t="inlineStr">
        <is>
          <t>ifrs-full_ProfitLoss</t>
        </is>
      </c>
      <c r="K627" s="27" t="inlineStr">
        <is>
          <t>당기순이익</t>
        </is>
      </c>
      <c r="L627" s="27" t="inlineStr">
        <is>
          <t>연결재무제표 [member]</t>
        </is>
      </c>
      <c r="M627" s="27" t="inlineStr">
        <is>
          <t>제 51 기</t>
        </is>
      </c>
      <c r="N627" s="27" t="inlineStr">
        <is>
          <t>123534360586.0</t>
        </is>
      </c>
      <c r="O627" s="27" t="inlineStr">
        <is>
          <t>156195316180.0</t>
        </is>
      </c>
      <c r="P627" s="27" t="inlineStr">
        <is>
          <t>KRW</t>
        </is>
      </c>
      <c r="Q627" s="27" t="inlineStr">
        <is>
          <t>12</t>
        </is>
      </c>
    </row>
    <row r="628" ht="24" customHeight="1">
      <c r="A628" s="32" t="inlineStr">
        <is>
          <t>OpenDART_fnlttSinglAcntAll</t>
        </is>
      </c>
      <c r="B628" s="32" t="inlineStr">
        <is>
          <t>00118804</t>
        </is>
      </c>
      <c r="C628" s="32" t="inlineStr">
        <is>
          <t>동진쎄미켐</t>
        </is>
      </c>
      <c r="D628" s="32" t="inlineStr">
        <is>
          <t>dongjin_semichem</t>
        </is>
      </c>
      <c r="E628" s="32" t="inlineStr">
        <is>
          <t>005290</t>
        </is>
      </c>
      <c r="F628" s="32" t="inlineStr">
        <is>
          <t>2023</t>
        </is>
      </c>
      <c r="G628" s="32" t="inlineStr">
        <is>
          <t>CFS</t>
        </is>
      </c>
      <c r="H628" s="32" t="inlineStr">
        <is>
          <t>SCE</t>
        </is>
      </c>
      <c r="I628" s="32" t="inlineStr">
        <is>
          <t>자본변동표</t>
        </is>
      </c>
      <c r="J628" s="32" t="inlineStr">
        <is>
          <t>ifrs-full_ProfitLoss</t>
        </is>
      </c>
      <c r="K628" s="32" t="inlineStr">
        <is>
          <t>당기순이익</t>
        </is>
      </c>
      <c r="L628" s="32" t="inlineStr">
        <is>
          <t>자본 [구성요소]|지배기업의 소유주에게 귀속되는 지분 [구성요소]|이익잉여금 [구성요소]</t>
        </is>
      </c>
      <c r="M628" s="32" t="inlineStr">
        <is>
          <t>제 51 기</t>
        </is>
      </c>
      <c r="N628" s="32" t="inlineStr">
        <is>
          <t>127314850805.0</t>
        </is>
      </c>
      <c r="O628" s="32" t="inlineStr">
        <is>
          <t>159479059914.0</t>
        </is>
      </c>
      <c r="P628" s="32" t="inlineStr">
        <is>
          <t>KRW</t>
        </is>
      </c>
      <c r="Q628" s="32" t="inlineStr">
        <is>
          <t>12</t>
        </is>
      </c>
    </row>
    <row r="629" ht="24" customHeight="1">
      <c r="A629" s="27" t="inlineStr">
        <is>
          <t>OpenDART_fnlttSinglAcntAll</t>
        </is>
      </c>
      <c r="B629" s="27" t="inlineStr">
        <is>
          <t>00118804</t>
        </is>
      </c>
      <c r="C629" s="27" t="inlineStr">
        <is>
          <t>동진쎄미켐</t>
        </is>
      </c>
      <c r="D629" s="27" t="inlineStr">
        <is>
          <t>dongjin_semichem</t>
        </is>
      </c>
      <c r="E629" s="27" t="inlineStr">
        <is>
          <t>005290</t>
        </is>
      </c>
      <c r="F629" s="27" t="inlineStr">
        <is>
          <t>2024</t>
        </is>
      </c>
      <c r="G629" s="27" t="inlineStr">
        <is>
          <t>CFS</t>
        </is>
      </c>
      <c r="H629" s="27" t="inlineStr">
        <is>
          <t>BS</t>
        </is>
      </c>
      <c r="I629" s="27" t="inlineStr">
        <is>
          <t>재무상태표</t>
        </is>
      </c>
      <c r="J629" s="27" t="inlineStr">
        <is>
          <t>ifrs-full_Assets</t>
        </is>
      </c>
      <c r="K629" s="27" t="inlineStr">
        <is>
          <t>자산총계</t>
        </is>
      </c>
      <c r="L629" s="27" t="inlineStr">
        <is>
          <t>-</t>
        </is>
      </c>
      <c r="M629" s="27" t="inlineStr">
        <is>
          <t>제 52 기</t>
        </is>
      </c>
      <c r="N629" s="27" t="inlineStr">
        <is>
          <t>2016989003189.0</t>
        </is>
      </c>
      <c r="O629" s="27" t="inlineStr">
        <is>
          <t>1606588027004.0</t>
        </is>
      </c>
      <c r="P629" s="27" t="inlineStr">
        <is>
          <t>KRW</t>
        </is>
      </c>
      <c r="Q629" s="27" t="inlineStr">
        <is>
          <t>7</t>
        </is>
      </c>
    </row>
    <row r="630" ht="24" customHeight="1">
      <c r="A630" s="32" t="inlineStr">
        <is>
          <t>OpenDART_fnlttSinglAcntAll</t>
        </is>
      </c>
      <c r="B630" s="32" t="inlineStr">
        <is>
          <t>00118804</t>
        </is>
      </c>
      <c r="C630" s="32" t="inlineStr">
        <is>
          <t>동진쎄미켐</t>
        </is>
      </c>
      <c r="D630" s="32" t="inlineStr">
        <is>
          <t>dongjin_semichem</t>
        </is>
      </c>
      <c r="E630" s="32" t="inlineStr">
        <is>
          <t>005290</t>
        </is>
      </c>
      <c r="F630" s="32" t="inlineStr">
        <is>
          <t>2024</t>
        </is>
      </c>
      <c r="G630" s="32" t="inlineStr">
        <is>
          <t>CFS</t>
        </is>
      </c>
      <c r="H630" s="32" t="inlineStr">
        <is>
          <t>BS</t>
        </is>
      </c>
      <c r="I630" s="32" t="inlineStr">
        <is>
          <t>재무상태표</t>
        </is>
      </c>
      <c r="J630" s="32" t="inlineStr">
        <is>
          <t>ifrs-full_CurrentAssets</t>
        </is>
      </c>
      <c r="K630" s="32" t="inlineStr">
        <is>
          <t>유동자산</t>
        </is>
      </c>
      <c r="L630" s="32" t="inlineStr">
        <is>
          <t>-</t>
        </is>
      </c>
      <c r="M630" s="32" t="inlineStr">
        <is>
          <t>제 52 기</t>
        </is>
      </c>
      <c r="N630" s="32" t="inlineStr">
        <is>
          <t>1082970678911.0</t>
        </is>
      </c>
      <c r="O630" s="32" t="inlineStr">
        <is>
          <t>818373234035.0</t>
        </is>
      </c>
      <c r="P630" s="32" t="inlineStr">
        <is>
          <t>KRW</t>
        </is>
      </c>
      <c r="Q630" s="32" t="inlineStr">
        <is>
          <t>8</t>
        </is>
      </c>
    </row>
    <row r="631" ht="24" customHeight="1">
      <c r="A631" s="27" t="inlineStr">
        <is>
          <t>OpenDART_fnlttSinglAcntAll</t>
        </is>
      </c>
      <c r="B631" s="27" t="inlineStr">
        <is>
          <t>00118804</t>
        </is>
      </c>
      <c r="C631" s="27" t="inlineStr">
        <is>
          <t>동진쎄미켐</t>
        </is>
      </c>
      <c r="D631" s="27" t="inlineStr">
        <is>
          <t>dongjin_semichem</t>
        </is>
      </c>
      <c r="E631" s="27" t="inlineStr">
        <is>
          <t>005290</t>
        </is>
      </c>
      <c r="F631" s="27" t="inlineStr">
        <is>
          <t>2024</t>
        </is>
      </c>
      <c r="G631" s="27" t="inlineStr">
        <is>
          <t>CFS</t>
        </is>
      </c>
      <c r="H631" s="27" t="inlineStr">
        <is>
          <t>BS</t>
        </is>
      </c>
      <c r="I631" s="27" t="inlineStr">
        <is>
          <t>재무상태표</t>
        </is>
      </c>
      <c r="J631" s="27" t="inlineStr">
        <is>
          <t>ifrs-full_CashAndCashEquivalents</t>
        </is>
      </c>
      <c r="K631" s="27" t="inlineStr">
        <is>
          <t>현금및현금성자산</t>
        </is>
      </c>
      <c r="L631" s="27" t="inlineStr">
        <is>
          <t>-</t>
        </is>
      </c>
      <c r="M631" s="27" t="inlineStr">
        <is>
          <t>제 52 기</t>
        </is>
      </c>
      <c r="N631" s="27" t="inlineStr">
        <is>
          <t>417387384045.0</t>
        </is>
      </c>
      <c r="O631" s="27" t="inlineStr">
        <is>
          <t>272560514431.0</t>
        </is>
      </c>
      <c r="P631" s="27" t="inlineStr">
        <is>
          <t>KRW</t>
        </is>
      </c>
      <c r="Q631" s="27" t="inlineStr">
        <is>
          <t>9</t>
        </is>
      </c>
    </row>
    <row r="632" ht="24" customHeight="1">
      <c r="A632" s="32" t="inlineStr">
        <is>
          <t>OpenDART_fnlttSinglAcntAll</t>
        </is>
      </c>
      <c r="B632" s="32" t="inlineStr">
        <is>
          <t>00118804</t>
        </is>
      </c>
      <c r="C632" s="32" t="inlineStr">
        <is>
          <t>동진쎄미켐</t>
        </is>
      </c>
      <c r="D632" s="32" t="inlineStr">
        <is>
          <t>dongjin_semichem</t>
        </is>
      </c>
      <c r="E632" s="32" t="inlineStr">
        <is>
          <t>005290</t>
        </is>
      </c>
      <c r="F632" s="32" t="inlineStr">
        <is>
          <t>2024</t>
        </is>
      </c>
      <c r="G632" s="32" t="inlineStr">
        <is>
          <t>CFS</t>
        </is>
      </c>
      <c r="H632" s="32" t="inlineStr">
        <is>
          <t>BS</t>
        </is>
      </c>
      <c r="I632" s="32" t="inlineStr">
        <is>
          <t>재무상태표</t>
        </is>
      </c>
      <c r="J632" s="32" t="inlineStr">
        <is>
          <t>ifrs-full_CurrentTaxAssets</t>
        </is>
      </c>
      <c r="K632" s="32" t="inlineStr">
        <is>
          <t>당기법인세자산</t>
        </is>
      </c>
      <c r="L632" s="32" t="inlineStr">
        <is>
          <t>-</t>
        </is>
      </c>
      <c r="M632" s="32" t="inlineStr">
        <is>
          <t>제 52 기</t>
        </is>
      </c>
      <c r="N632" s="32" t="inlineStr">
        <is>
          <t>143853845.0</t>
        </is>
      </c>
      <c r="O632" s="32" t="inlineStr">
        <is>
          <t>87234887.0</t>
        </is>
      </c>
      <c r="P632" s="32" t="inlineStr">
        <is>
          <t>KRW</t>
        </is>
      </c>
      <c r="Q632" s="32" t="inlineStr">
        <is>
          <t>10</t>
        </is>
      </c>
    </row>
    <row r="633" ht="24" customHeight="1">
      <c r="A633" s="27" t="inlineStr">
        <is>
          <t>OpenDART_fnlttSinglAcntAll</t>
        </is>
      </c>
      <c r="B633" s="27" t="inlineStr">
        <is>
          <t>00118804</t>
        </is>
      </c>
      <c r="C633" s="27" t="inlineStr">
        <is>
          <t>동진쎄미켐</t>
        </is>
      </c>
      <c r="D633" s="27" t="inlineStr">
        <is>
          <t>dongjin_semichem</t>
        </is>
      </c>
      <c r="E633" s="27" t="inlineStr">
        <is>
          <t>005290</t>
        </is>
      </c>
      <c r="F633" s="27" t="inlineStr">
        <is>
          <t>2024</t>
        </is>
      </c>
      <c r="G633" s="27" t="inlineStr">
        <is>
          <t>CFS</t>
        </is>
      </c>
      <c r="H633" s="27" t="inlineStr">
        <is>
          <t>BS</t>
        </is>
      </c>
      <c r="I633" s="27" t="inlineStr">
        <is>
          <t>재무상태표</t>
        </is>
      </c>
      <c r="J633" s="27" t="inlineStr">
        <is>
          <t>ifrs-full_Inventories</t>
        </is>
      </c>
      <c r="K633" s="27" t="inlineStr">
        <is>
          <t>재고자산</t>
        </is>
      </c>
      <c r="L633" s="27" t="inlineStr">
        <is>
          <t>-</t>
        </is>
      </c>
      <c r="M633" s="27" t="inlineStr">
        <is>
          <t>제 52 기</t>
        </is>
      </c>
      <c r="N633" s="27" t="inlineStr">
        <is>
          <t>230808121783.0</t>
        </is>
      </c>
      <c r="O633" s="27" t="inlineStr">
        <is>
          <t>213726792709.0</t>
        </is>
      </c>
      <c r="P633" s="27" t="inlineStr">
        <is>
          <t>KRW</t>
        </is>
      </c>
      <c r="Q633" s="27" t="inlineStr">
        <is>
          <t>11</t>
        </is>
      </c>
    </row>
    <row r="634" ht="24" customHeight="1">
      <c r="A634" s="32" t="inlineStr">
        <is>
          <t>OpenDART_fnlttSinglAcntAll</t>
        </is>
      </c>
      <c r="B634" s="32" t="inlineStr">
        <is>
          <t>00118804</t>
        </is>
      </c>
      <c r="C634" s="32" t="inlineStr">
        <is>
          <t>동진쎄미켐</t>
        </is>
      </c>
      <c r="D634" s="32" t="inlineStr">
        <is>
          <t>dongjin_semichem</t>
        </is>
      </c>
      <c r="E634" s="32" t="inlineStr">
        <is>
          <t>005290</t>
        </is>
      </c>
      <c r="F634" s="32" t="inlineStr">
        <is>
          <t>2024</t>
        </is>
      </c>
      <c r="G634" s="32" t="inlineStr">
        <is>
          <t>CFS</t>
        </is>
      </c>
      <c r="H634" s="32" t="inlineStr">
        <is>
          <t>BS</t>
        </is>
      </c>
      <c r="I634" s="32" t="inlineStr">
        <is>
          <t>재무상태표</t>
        </is>
      </c>
      <c r="J634" s="32" t="inlineStr">
        <is>
          <t>ifrs-full_OtherCurrentAssets</t>
        </is>
      </c>
      <c r="K634" s="32" t="inlineStr">
        <is>
          <t>기타유동자산</t>
        </is>
      </c>
      <c r="L634" s="32" t="inlineStr">
        <is>
          <t>-</t>
        </is>
      </c>
      <c r="M634" s="32" t="inlineStr">
        <is>
          <t>제 52 기</t>
        </is>
      </c>
      <c r="N634" s="32" t="inlineStr">
        <is>
          <t>28038475206.0</t>
        </is>
      </c>
      <c r="O634" s="32" t="inlineStr">
        <is>
          <t>25238785419.0</t>
        </is>
      </c>
      <c r="P634" s="32" t="inlineStr">
        <is>
          <t>KRW</t>
        </is>
      </c>
      <c r="Q634" s="32" t="inlineStr">
        <is>
          <t>12</t>
        </is>
      </c>
    </row>
    <row r="635" ht="24" customHeight="1">
      <c r="A635" s="27" t="inlineStr">
        <is>
          <t>OpenDART_fnlttSinglAcntAll</t>
        </is>
      </c>
      <c r="B635" s="27" t="inlineStr">
        <is>
          <t>00118804</t>
        </is>
      </c>
      <c r="C635" s="27" t="inlineStr">
        <is>
          <t>동진쎄미켐</t>
        </is>
      </c>
      <c r="D635" s="27" t="inlineStr">
        <is>
          <t>dongjin_semichem</t>
        </is>
      </c>
      <c r="E635" s="27" t="inlineStr">
        <is>
          <t>005290</t>
        </is>
      </c>
      <c r="F635" s="27" t="inlineStr">
        <is>
          <t>2024</t>
        </is>
      </c>
      <c r="G635" s="27" t="inlineStr">
        <is>
          <t>CFS</t>
        </is>
      </c>
      <c r="H635" s="27" t="inlineStr">
        <is>
          <t>BS</t>
        </is>
      </c>
      <c r="I635" s="27" t="inlineStr">
        <is>
          <t>재무상태표</t>
        </is>
      </c>
      <c r="J635" s="27" t="inlineStr">
        <is>
          <t>ifrs-full_ShorttermDepositsNotClassifiedAsCashEquivalents</t>
        </is>
      </c>
      <c r="K635" s="27" t="inlineStr">
        <is>
          <t>단기금융자산</t>
        </is>
      </c>
      <c r="L635" s="27" t="inlineStr">
        <is>
          <t>-</t>
        </is>
      </c>
      <c r="M635" s="27" t="inlineStr">
        <is>
          <t>제 52 기</t>
        </is>
      </c>
      <c r="N635" s="27" t="inlineStr">
        <is>
          <t>143198778536.0</t>
        </is>
      </c>
      <c r="O635" s="27" t="inlineStr">
        <is>
          <t>89813810936.0</t>
        </is>
      </c>
      <c r="P635" s="27" t="inlineStr">
        <is>
          <t>KRW</t>
        </is>
      </c>
      <c r="Q635" s="27" t="inlineStr">
        <is>
          <t>13</t>
        </is>
      </c>
    </row>
    <row r="636" ht="24" customHeight="1">
      <c r="A636" s="32" t="inlineStr">
        <is>
          <t>OpenDART_fnlttSinglAcntAll</t>
        </is>
      </c>
      <c r="B636" s="32" t="inlineStr">
        <is>
          <t>00118804</t>
        </is>
      </c>
      <c r="C636" s="32" t="inlineStr">
        <is>
          <t>동진쎄미켐</t>
        </is>
      </c>
      <c r="D636" s="32" t="inlineStr">
        <is>
          <t>dongjin_semichem</t>
        </is>
      </c>
      <c r="E636" s="32" t="inlineStr">
        <is>
          <t>005290</t>
        </is>
      </c>
      <c r="F636" s="32" t="inlineStr">
        <is>
          <t>2024</t>
        </is>
      </c>
      <c r="G636" s="32" t="inlineStr">
        <is>
          <t>CFS</t>
        </is>
      </c>
      <c r="H636" s="32" t="inlineStr">
        <is>
          <t>BS</t>
        </is>
      </c>
      <c r="I636" s="32" t="inlineStr">
        <is>
          <t>재무상태표</t>
        </is>
      </c>
      <c r="J636" s="32" t="inlineStr">
        <is>
          <t>ifrs-full_TradeAndOtherCurrentReceivables</t>
        </is>
      </c>
      <c r="K636" s="32" t="inlineStr">
        <is>
          <t>매출채권및기타채권</t>
        </is>
      </c>
      <c r="L636" s="32" t="inlineStr">
        <is>
          <t>-</t>
        </is>
      </c>
      <c r="M636" s="32" t="inlineStr">
        <is>
          <t>제 52 기</t>
        </is>
      </c>
      <c r="N636" s="32" t="inlineStr">
        <is>
          <t>263394065496.0</t>
        </is>
      </c>
      <c r="O636" s="32" t="inlineStr">
        <is>
          <t>216946095653.0</t>
        </is>
      </c>
      <c r="P636" s="32" t="inlineStr">
        <is>
          <t>KRW</t>
        </is>
      </c>
      <c r="Q636" s="32" t="inlineStr">
        <is>
          <t>14</t>
        </is>
      </c>
    </row>
    <row r="637" ht="24" customHeight="1">
      <c r="A637" s="27" t="inlineStr">
        <is>
          <t>OpenDART_fnlttSinglAcntAll</t>
        </is>
      </c>
      <c r="B637" s="27" t="inlineStr">
        <is>
          <t>00118804</t>
        </is>
      </c>
      <c r="C637" s="27" t="inlineStr">
        <is>
          <t>동진쎄미켐</t>
        </is>
      </c>
      <c r="D637" s="27" t="inlineStr">
        <is>
          <t>dongjin_semichem</t>
        </is>
      </c>
      <c r="E637" s="27" t="inlineStr">
        <is>
          <t>005290</t>
        </is>
      </c>
      <c r="F637" s="27" t="inlineStr">
        <is>
          <t>2024</t>
        </is>
      </c>
      <c r="G637" s="27" t="inlineStr">
        <is>
          <t>CFS</t>
        </is>
      </c>
      <c r="H637" s="27" t="inlineStr">
        <is>
          <t>BS</t>
        </is>
      </c>
      <c r="I637" s="27" t="inlineStr">
        <is>
          <t>재무상태표</t>
        </is>
      </c>
      <c r="J637" s="27" t="inlineStr">
        <is>
          <t>ifrs-full_NoncurrentAssets</t>
        </is>
      </c>
      <c r="K637" s="27" t="inlineStr">
        <is>
          <t>비유동자산</t>
        </is>
      </c>
      <c r="L637" s="27" t="inlineStr">
        <is>
          <t>-</t>
        </is>
      </c>
      <c r="M637" s="27" t="inlineStr">
        <is>
          <t>제 52 기</t>
        </is>
      </c>
      <c r="N637" s="27" t="inlineStr">
        <is>
          <t>934018324278.0</t>
        </is>
      </c>
      <c r="O637" s="27" t="inlineStr">
        <is>
          <t>788214792969.0</t>
        </is>
      </c>
      <c r="P637" s="27" t="inlineStr">
        <is>
          <t>KRW</t>
        </is>
      </c>
      <c r="Q637" s="27" t="inlineStr">
        <is>
          <t>15</t>
        </is>
      </c>
    </row>
    <row r="638" ht="24" customHeight="1">
      <c r="A638" s="32" t="inlineStr">
        <is>
          <t>OpenDART_fnlttSinglAcntAll</t>
        </is>
      </c>
      <c r="B638" s="32" t="inlineStr">
        <is>
          <t>00118804</t>
        </is>
      </c>
      <c r="C638" s="32" t="inlineStr">
        <is>
          <t>동진쎄미켐</t>
        </is>
      </c>
      <c r="D638" s="32" t="inlineStr">
        <is>
          <t>dongjin_semichem</t>
        </is>
      </c>
      <c r="E638" s="32" t="inlineStr">
        <is>
          <t>005290</t>
        </is>
      </c>
      <c r="F638" s="32" t="inlineStr">
        <is>
          <t>2024</t>
        </is>
      </c>
      <c r="G638" s="32" t="inlineStr">
        <is>
          <t>CFS</t>
        </is>
      </c>
      <c r="H638" s="32" t="inlineStr">
        <is>
          <t>BS</t>
        </is>
      </c>
      <c r="I638" s="32" t="inlineStr">
        <is>
          <t>재무상태표</t>
        </is>
      </c>
      <c r="J638" s="32" t="inlineStr">
        <is>
          <t>dart_LongTermDepositsNotClassifiedAsCashEquivalents</t>
        </is>
      </c>
      <c r="K638" s="32" t="inlineStr">
        <is>
          <t>장기금융자산</t>
        </is>
      </c>
      <c r="L638" s="32" t="inlineStr">
        <is>
          <t>-</t>
        </is>
      </c>
      <c r="M638" s="32" t="inlineStr">
        <is>
          <t>제 52 기</t>
        </is>
      </c>
      <c r="N638" s="32" t="inlineStr">
        <is>
          <t>168000000.0</t>
        </is>
      </c>
      <c r="O638" s="32" t="inlineStr">
        <is>
          <t>528000000.0</t>
        </is>
      </c>
      <c r="P638" s="32" t="inlineStr">
        <is>
          <t>KRW</t>
        </is>
      </c>
      <c r="Q638" s="32" t="inlineStr">
        <is>
          <t>16</t>
        </is>
      </c>
    </row>
    <row r="639" ht="24" customHeight="1">
      <c r="A639" s="27" t="inlineStr">
        <is>
          <t>OpenDART_fnlttSinglAcntAll</t>
        </is>
      </c>
      <c r="B639" s="27" t="inlineStr">
        <is>
          <t>00118804</t>
        </is>
      </c>
      <c r="C639" s="27" t="inlineStr">
        <is>
          <t>동진쎄미켐</t>
        </is>
      </c>
      <c r="D639" s="27" t="inlineStr">
        <is>
          <t>dongjin_semichem</t>
        </is>
      </c>
      <c r="E639" s="27" t="inlineStr">
        <is>
          <t>005290</t>
        </is>
      </c>
      <c r="F639" s="27" t="inlineStr">
        <is>
          <t>2024</t>
        </is>
      </c>
      <c r="G639" s="27" t="inlineStr">
        <is>
          <t>CFS</t>
        </is>
      </c>
      <c r="H639" s="27" t="inlineStr">
        <is>
          <t>BS</t>
        </is>
      </c>
      <c r="I639" s="27" t="inlineStr">
        <is>
          <t>재무상태표</t>
        </is>
      </c>
      <c r="J639" s="27" t="inlineStr">
        <is>
          <t>ifrs-full_DeferredTaxAssets</t>
        </is>
      </c>
      <c r="K639" s="27" t="inlineStr">
        <is>
          <t>이연법인세자산</t>
        </is>
      </c>
      <c r="L639" s="27" t="inlineStr">
        <is>
          <t>-</t>
        </is>
      </c>
      <c r="M639" s="27" t="inlineStr">
        <is>
          <t>제 52 기</t>
        </is>
      </c>
      <c r="N639" s="27" t="inlineStr">
        <is>
          <t>11617082220.0</t>
        </is>
      </c>
      <c r="O639" s="27" t="inlineStr">
        <is>
          <t>12713787793.0</t>
        </is>
      </c>
      <c r="P639" s="27" t="inlineStr">
        <is>
          <t>KRW</t>
        </is>
      </c>
      <c r="Q639" s="27" t="inlineStr">
        <is>
          <t>17</t>
        </is>
      </c>
    </row>
    <row r="640" ht="24" customHeight="1">
      <c r="A640" s="32" t="inlineStr">
        <is>
          <t>OpenDART_fnlttSinglAcntAll</t>
        </is>
      </c>
      <c r="B640" s="32" t="inlineStr">
        <is>
          <t>00118804</t>
        </is>
      </c>
      <c r="C640" s="32" t="inlineStr">
        <is>
          <t>동진쎄미켐</t>
        </is>
      </c>
      <c r="D640" s="32" t="inlineStr">
        <is>
          <t>dongjin_semichem</t>
        </is>
      </c>
      <c r="E640" s="32" t="inlineStr">
        <is>
          <t>005290</t>
        </is>
      </c>
      <c r="F640" s="32" t="inlineStr">
        <is>
          <t>2024</t>
        </is>
      </c>
      <c r="G640" s="32" t="inlineStr">
        <is>
          <t>CFS</t>
        </is>
      </c>
      <c r="H640" s="32" t="inlineStr">
        <is>
          <t>BS</t>
        </is>
      </c>
      <c r="I640" s="32" t="inlineStr">
        <is>
          <t>재무상태표</t>
        </is>
      </c>
      <c r="J640" s="32" t="inlineStr">
        <is>
          <t>ifrs-full_EquityInstrumentsHeld</t>
        </is>
      </c>
      <c r="K640" s="32" t="inlineStr">
        <is>
          <t>장기투자금융자산</t>
        </is>
      </c>
      <c r="L640" s="32" t="inlineStr">
        <is>
          <t>-</t>
        </is>
      </c>
      <c r="M640" s="32" t="inlineStr">
        <is>
          <t>제 52 기</t>
        </is>
      </c>
      <c r="N640" s="32" t="inlineStr">
        <is>
          <t>6901968437.0</t>
        </is>
      </c>
      <c r="O640" s="32" t="inlineStr">
        <is>
          <t>715032437.0</t>
        </is>
      </c>
      <c r="P640" s="32" t="inlineStr">
        <is>
          <t>KRW</t>
        </is>
      </c>
      <c r="Q640" s="32" t="inlineStr">
        <is>
          <t>18</t>
        </is>
      </c>
    </row>
    <row r="641" ht="24" customHeight="1">
      <c r="A641" s="27" t="inlineStr">
        <is>
          <t>OpenDART_fnlttSinglAcntAll</t>
        </is>
      </c>
      <c r="B641" s="27" t="inlineStr">
        <is>
          <t>00118804</t>
        </is>
      </c>
      <c r="C641" s="27" t="inlineStr">
        <is>
          <t>동진쎄미켐</t>
        </is>
      </c>
      <c r="D641" s="27" t="inlineStr">
        <is>
          <t>dongjin_semichem</t>
        </is>
      </c>
      <c r="E641" s="27" t="inlineStr">
        <is>
          <t>005290</t>
        </is>
      </c>
      <c r="F641" s="27" t="inlineStr">
        <is>
          <t>2024</t>
        </is>
      </c>
      <c r="G641" s="27" t="inlineStr">
        <is>
          <t>CFS</t>
        </is>
      </c>
      <c r="H641" s="27" t="inlineStr">
        <is>
          <t>BS</t>
        </is>
      </c>
      <c r="I641" s="27" t="inlineStr">
        <is>
          <t>재무상태표</t>
        </is>
      </c>
      <c r="J641" s="27" t="inlineStr">
        <is>
          <t>ifrs-full_IntangibleAssetsAndGoodwill</t>
        </is>
      </c>
      <c r="K641" s="27" t="inlineStr">
        <is>
          <t>무형자산</t>
        </is>
      </c>
      <c r="L641" s="27" t="inlineStr">
        <is>
          <t>-</t>
        </is>
      </c>
      <c r="M641" s="27" t="inlineStr">
        <is>
          <t>제 52 기</t>
        </is>
      </c>
      <c r="N641" s="27" t="inlineStr">
        <is>
          <t>10622678760.0</t>
        </is>
      </c>
      <c r="O641" s="27" t="inlineStr">
        <is>
          <t>7752283704.0</t>
        </is>
      </c>
      <c r="P641" s="27" t="inlineStr">
        <is>
          <t>KRW</t>
        </is>
      </c>
      <c r="Q641" s="27" t="inlineStr">
        <is>
          <t>19</t>
        </is>
      </c>
    </row>
    <row r="642" ht="24" customHeight="1">
      <c r="A642" s="32" t="inlineStr">
        <is>
          <t>OpenDART_fnlttSinglAcntAll</t>
        </is>
      </c>
      <c r="B642" s="32" t="inlineStr">
        <is>
          <t>00118804</t>
        </is>
      </c>
      <c r="C642" s="32" t="inlineStr">
        <is>
          <t>동진쎄미켐</t>
        </is>
      </c>
      <c r="D642" s="32" t="inlineStr">
        <is>
          <t>dongjin_semichem</t>
        </is>
      </c>
      <c r="E642" s="32" t="inlineStr">
        <is>
          <t>005290</t>
        </is>
      </c>
      <c r="F642" s="32" t="inlineStr">
        <is>
          <t>2024</t>
        </is>
      </c>
      <c r="G642" s="32" t="inlineStr">
        <is>
          <t>CFS</t>
        </is>
      </c>
      <c r="H642" s="32" t="inlineStr">
        <is>
          <t>BS</t>
        </is>
      </c>
      <c r="I642" s="32" t="inlineStr">
        <is>
          <t>재무상태표</t>
        </is>
      </c>
      <c r="J642" s="32" t="inlineStr">
        <is>
          <t>ifrs-full_InvestmentProperty</t>
        </is>
      </c>
      <c r="K642" s="32" t="inlineStr">
        <is>
          <t>투자부동산</t>
        </is>
      </c>
      <c r="L642" s="32" t="inlineStr">
        <is>
          <t>-</t>
        </is>
      </c>
      <c r="M642" s="32" t="inlineStr">
        <is>
          <t>제 52 기</t>
        </is>
      </c>
      <c r="N642" s="32" t="inlineStr">
        <is>
          <t>11614202225.0</t>
        </is>
      </c>
      <c r="O642" s="32" t="inlineStr">
        <is>
          <t>11377721099.0</t>
        </is>
      </c>
      <c r="P642" s="32" t="inlineStr">
        <is>
          <t>KRW</t>
        </is>
      </c>
      <c r="Q642" s="32" t="inlineStr">
        <is>
          <t>20</t>
        </is>
      </c>
    </row>
    <row r="643" ht="24" customHeight="1">
      <c r="A643" s="27" t="inlineStr">
        <is>
          <t>OpenDART_fnlttSinglAcntAll</t>
        </is>
      </c>
      <c r="B643" s="27" t="inlineStr">
        <is>
          <t>00118804</t>
        </is>
      </c>
      <c r="C643" s="27" t="inlineStr">
        <is>
          <t>동진쎄미켐</t>
        </is>
      </c>
      <c r="D643" s="27" t="inlineStr">
        <is>
          <t>dongjin_semichem</t>
        </is>
      </c>
      <c r="E643" s="27" t="inlineStr">
        <is>
          <t>005290</t>
        </is>
      </c>
      <c r="F643" s="27" t="inlineStr">
        <is>
          <t>2024</t>
        </is>
      </c>
      <c r="G643" s="27" t="inlineStr">
        <is>
          <t>CFS</t>
        </is>
      </c>
      <c r="H643" s="27" t="inlineStr">
        <is>
          <t>BS</t>
        </is>
      </c>
      <c r="I643" s="27" t="inlineStr">
        <is>
          <t>재무상태표</t>
        </is>
      </c>
      <c r="J643" s="27" t="inlineStr">
        <is>
          <t>ifrs-full_InvestmentsInAssociatesAccountedForUsingEquityMethod</t>
        </is>
      </c>
      <c r="K643" s="27" t="inlineStr">
        <is>
          <t>관계기업투자</t>
        </is>
      </c>
      <c r="L643" s="27" t="inlineStr">
        <is>
          <t>-</t>
        </is>
      </c>
      <c r="M643" s="27" t="inlineStr">
        <is>
          <t>제 52 기</t>
        </is>
      </c>
      <c r="N643" s="27" t="inlineStr">
        <is>
          <t>5560372565.0</t>
        </is>
      </c>
      <c r="O643" s="27" t="inlineStr">
        <is>
          <t>7495973562.0</t>
        </is>
      </c>
      <c r="P643" s="27" t="inlineStr">
        <is>
          <t>KRW</t>
        </is>
      </c>
      <c r="Q643" s="27" t="inlineStr">
        <is>
          <t>21</t>
        </is>
      </c>
    </row>
    <row r="644" ht="24" customHeight="1">
      <c r="A644" s="32" t="inlineStr">
        <is>
          <t>OpenDART_fnlttSinglAcntAll</t>
        </is>
      </c>
      <c r="B644" s="32" t="inlineStr">
        <is>
          <t>00118804</t>
        </is>
      </c>
      <c r="C644" s="32" t="inlineStr">
        <is>
          <t>동진쎄미켐</t>
        </is>
      </c>
      <c r="D644" s="32" t="inlineStr">
        <is>
          <t>dongjin_semichem</t>
        </is>
      </c>
      <c r="E644" s="32" t="inlineStr">
        <is>
          <t>005290</t>
        </is>
      </c>
      <c r="F644" s="32" t="inlineStr">
        <is>
          <t>2024</t>
        </is>
      </c>
      <c r="G644" s="32" t="inlineStr">
        <is>
          <t>CFS</t>
        </is>
      </c>
      <c r="H644" s="32" t="inlineStr">
        <is>
          <t>BS</t>
        </is>
      </c>
      <c r="I644" s="32" t="inlineStr">
        <is>
          <t>재무상태표</t>
        </is>
      </c>
      <c r="J644" s="32" t="inlineStr">
        <is>
          <t>ifrs-full_NoncurrentReceivables</t>
        </is>
      </c>
      <c r="K644" s="32" t="inlineStr">
        <is>
          <t>장기매출채권및기타채권</t>
        </is>
      </c>
      <c r="L644" s="32" t="inlineStr">
        <is>
          <t>-</t>
        </is>
      </c>
      <c r="M644" s="32" t="inlineStr">
        <is>
          <t>제 52 기</t>
        </is>
      </c>
      <c r="N644" s="32" t="inlineStr">
        <is>
          <t>7208474856.0</t>
        </is>
      </c>
      <c r="O644" s="32" t="inlineStr">
        <is>
          <t>5375826197.0</t>
        </is>
      </c>
      <c r="P644" s="32" t="inlineStr">
        <is>
          <t>KRW</t>
        </is>
      </c>
      <c r="Q644" s="32" t="inlineStr">
        <is>
          <t>22</t>
        </is>
      </c>
    </row>
    <row r="645" ht="24" customHeight="1">
      <c r="A645" s="27" t="inlineStr">
        <is>
          <t>OpenDART_fnlttSinglAcntAll</t>
        </is>
      </c>
      <c r="B645" s="27" t="inlineStr">
        <is>
          <t>00118804</t>
        </is>
      </c>
      <c r="C645" s="27" t="inlineStr">
        <is>
          <t>동진쎄미켐</t>
        </is>
      </c>
      <c r="D645" s="27" t="inlineStr">
        <is>
          <t>dongjin_semichem</t>
        </is>
      </c>
      <c r="E645" s="27" t="inlineStr">
        <is>
          <t>005290</t>
        </is>
      </c>
      <c r="F645" s="27" t="inlineStr">
        <is>
          <t>2024</t>
        </is>
      </c>
      <c r="G645" s="27" t="inlineStr">
        <is>
          <t>CFS</t>
        </is>
      </c>
      <c r="H645" s="27" t="inlineStr">
        <is>
          <t>BS</t>
        </is>
      </c>
      <c r="I645" s="27" t="inlineStr">
        <is>
          <t>재무상태표</t>
        </is>
      </c>
      <c r="J645" s="27" t="inlineStr">
        <is>
          <t>ifrs-full_OtherNoncurrentAssets</t>
        </is>
      </c>
      <c r="K645" s="27" t="inlineStr">
        <is>
          <t>기타비유동자산</t>
        </is>
      </c>
      <c r="L645" s="27" t="inlineStr">
        <is>
          <t>-</t>
        </is>
      </c>
      <c r="M645" s="27" t="inlineStr">
        <is>
          <t>제 52 기</t>
        </is>
      </c>
      <c r="N645" s="27" t="inlineStr">
        <is>
          <t>573640670.0</t>
        </is>
      </c>
      <c r="O645" s="27" t="inlineStr">
        <is>
          <t>628438973.0</t>
        </is>
      </c>
      <c r="P645" s="27" t="inlineStr">
        <is>
          <t>KRW</t>
        </is>
      </c>
      <c r="Q645" s="27" t="inlineStr">
        <is>
          <t>23</t>
        </is>
      </c>
    </row>
    <row r="646" ht="24" customHeight="1">
      <c r="A646" s="32" t="inlineStr">
        <is>
          <t>OpenDART_fnlttSinglAcntAll</t>
        </is>
      </c>
      <c r="B646" s="32" t="inlineStr">
        <is>
          <t>00118804</t>
        </is>
      </c>
      <c r="C646" s="32" t="inlineStr">
        <is>
          <t>동진쎄미켐</t>
        </is>
      </c>
      <c r="D646" s="32" t="inlineStr">
        <is>
          <t>dongjin_semichem</t>
        </is>
      </c>
      <c r="E646" s="32" t="inlineStr">
        <is>
          <t>005290</t>
        </is>
      </c>
      <c r="F646" s="32" t="inlineStr">
        <is>
          <t>2024</t>
        </is>
      </c>
      <c r="G646" s="32" t="inlineStr">
        <is>
          <t>CFS</t>
        </is>
      </c>
      <c r="H646" s="32" t="inlineStr">
        <is>
          <t>BS</t>
        </is>
      </c>
      <c r="I646" s="32" t="inlineStr">
        <is>
          <t>재무상태표</t>
        </is>
      </c>
      <c r="J646" s="32" t="inlineStr">
        <is>
          <t>ifrs-full_PropertyPlantAndEquipment</t>
        </is>
      </c>
      <c r="K646" s="32" t="inlineStr">
        <is>
          <t>유형자산</t>
        </is>
      </c>
      <c r="L646" s="32" t="inlineStr">
        <is>
          <t>-</t>
        </is>
      </c>
      <c r="M646" s="32" t="inlineStr">
        <is>
          <t>제 52 기</t>
        </is>
      </c>
      <c r="N646" s="32" t="inlineStr">
        <is>
          <t>879751904545.0</t>
        </is>
      </c>
      <c r="O646" s="32" t="inlineStr">
        <is>
          <t>741627729204.0</t>
        </is>
      </c>
      <c r="P646" s="32" t="inlineStr">
        <is>
          <t>KRW</t>
        </is>
      </c>
      <c r="Q646" s="32" t="inlineStr">
        <is>
          <t>24</t>
        </is>
      </c>
    </row>
    <row r="647" ht="24" customHeight="1">
      <c r="A647" s="27" t="inlineStr">
        <is>
          <t>OpenDART_fnlttSinglAcntAll</t>
        </is>
      </c>
      <c r="B647" s="27" t="inlineStr">
        <is>
          <t>00118804</t>
        </is>
      </c>
      <c r="C647" s="27" t="inlineStr">
        <is>
          <t>동진쎄미켐</t>
        </is>
      </c>
      <c r="D647" s="27" t="inlineStr">
        <is>
          <t>dongjin_semichem</t>
        </is>
      </c>
      <c r="E647" s="27" t="inlineStr">
        <is>
          <t>005290</t>
        </is>
      </c>
      <c r="F647" s="27" t="inlineStr">
        <is>
          <t>2024</t>
        </is>
      </c>
      <c r="G647" s="27" t="inlineStr">
        <is>
          <t>CFS</t>
        </is>
      </c>
      <c r="H647" s="27" t="inlineStr">
        <is>
          <t>BS</t>
        </is>
      </c>
      <c r="I647" s="27" t="inlineStr">
        <is>
          <t>재무상태표</t>
        </is>
      </c>
      <c r="J647" s="27" t="inlineStr">
        <is>
          <t>ifrs-full_Equity</t>
        </is>
      </c>
      <c r="K647" s="27" t="inlineStr">
        <is>
          <t>자본총계</t>
        </is>
      </c>
      <c r="L647" s="27" t="inlineStr">
        <is>
          <t>-</t>
        </is>
      </c>
      <c r="M647" s="27" t="inlineStr">
        <is>
          <t>제 52 기</t>
        </is>
      </c>
      <c r="N647" s="27" t="inlineStr">
        <is>
          <t>1020430600571.0</t>
        </is>
      </c>
      <c r="O647" s="27" t="inlineStr">
        <is>
          <t>835481646771.0</t>
        </is>
      </c>
      <c r="P647" s="27" t="inlineStr">
        <is>
          <t>KRW</t>
        </is>
      </c>
      <c r="Q647" s="27" t="inlineStr">
        <is>
          <t>26</t>
        </is>
      </c>
    </row>
    <row r="648" ht="24" customHeight="1">
      <c r="A648" s="32" t="inlineStr">
        <is>
          <t>OpenDART_fnlttSinglAcntAll</t>
        </is>
      </c>
      <c r="B648" s="32" t="inlineStr">
        <is>
          <t>00118804</t>
        </is>
      </c>
      <c r="C648" s="32" t="inlineStr">
        <is>
          <t>동진쎄미켐</t>
        </is>
      </c>
      <c r="D648" s="32" t="inlineStr">
        <is>
          <t>dongjin_semichem</t>
        </is>
      </c>
      <c r="E648" s="32" t="inlineStr">
        <is>
          <t>005290</t>
        </is>
      </c>
      <c r="F648" s="32" t="inlineStr">
        <is>
          <t>2024</t>
        </is>
      </c>
      <c r="G648" s="32" t="inlineStr">
        <is>
          <t>CFS</t>
        </is>
      </c>
      <c r="H648" s="32" t="inlineStr">
        <is>
          <t>BS</t>
        </is>
      </c>
      <c r="I648" s="32" t="inlineStr">
        <is>
          <t>재무상태표</t>
        </is>
      </c>
      <c r="J648" s="32" t="inlineStr">
        <is>
          <t>ifrs-full_EquityAttributableToOwnersOfParent</t>
        </is>
      </c>
      <c r="K648" s="32" t="inlineStr">
        <is>
          <t>지배기업의 소유주에게 귀속되는 자본</t>
        </is>
      </c>
      <c r="L648" s="32" t="inlineStr">
        <is>
          <t>-</t>
        </is>
      </c>
      <c r="M648" s="32" t="inlineStr">
        <is>
          <t>제 52 기</t>
        </is>
      </c>
      <c r="N648" s="32" t="inlineStr">
        <is>
          <t>997465968229.0</t>
        </is>
      </c>
      <c r="O648" s="32" t="inlineStr">
        <is>
          <t>805052351215.0</t>
        </is>
      </c>
      <c r="P648" s="32" t="inlineStr">
        <is>
          <t>KRW</t>
        </is>
      </c>
      <c r="Q648" s="32" t="inlineStr">
        <is>
          <t>27</t>
        </is>
      </c>
    </row>
    <row r="649" ht="24" customHeight="1">
      <c r="A649" s="27" t="inlineStr">
        <is>
          <t>OpenDART_fnlttSinglAcntAll</t>
        </is>
      </c>
      <c r="B649" s="27" t="inlineStr">
        <is>
          <t>00118804</t>
        </is>
      </c>
      <c r="C649" s="27" t="inlineStr">
        <is>
          <t>동진쎄미켐</t>
        </is>
      </c>
      <c r="D649" s="27" t="inlineStr">
        <is>
          <t>dongjin_semichem</t>
        </is>
      </c>
      <c r="E649" s="27" t="inlineStr">
        <is>
          <t>005290</t>
        </is>
      </c>
      <c r="F649" s="27" t="inlineStr">
        <is>
          <t>2024</t>
        </is>
      </c>
      <c r="G649" s="27" t="inlineStr">
        <is>
          <t>CFS</t>
        </is>
      </c>
      <c r="H649" s="27" t="inlineStr">
        <is>
          <t>BS</t>
        </is>
      </c>
      <c r="I649" s="27" t="inlineStr">
        <is>
          <t>재무상태표</t>
        </is>
      </c>
      <c r="J649" s="27" t="inlineStr">
        <is>
          <t>dart_ElementsOfOtherStockholdersEquity</t>
        </is>
      </c>
      <c r="K649" s="27" t="inlineStr">
        <is>
          <t>기타자본구성요소</t>
        </is>
      </c>
      <c r="L649" s="27" t="inlineStr">
        <is>
          <t>-</t>
        </is>
      </c>
      <c r="M649" s="27" t="inlineStr">
        <is>
          <t>제 52 기</t>
        </is>
      </c>
      <c r="N649" s="27" t="inlineStr">
        <is>
          <t>74207322839.0</t>
        </is>
      </c>
      <c r="O649" s="27" t="inlineStr">
        <is>
          <t>28552227339.0</t>
        </is>
      </c>
      <c r="P649" s="27" t="inlineStr">
        <is>
          <t>KRW</t>
        </is>
      </c>
      <c r="Q649" s="27" t="inlineStr">
        <is>
          <t>28</t>
        </is>
      </c>
    </row>
    <row r="650" ht="24" customHeight="1">
      <c r="A650" s="32" t="inlineStr">
        <is>
          <t>OpenDART_fnlttSinglAcntAll</t>
        </is>
      </c>
      <c r="B650" s="32" t="inlineStr">
        <is>
          <t>00118804</t>
        </is>
      </c>
      <c r="C650" s="32" t="inlineStr">
        <is>
          <t>동진쎄미켐</t>
        </is>
      </c>
      <c r="D650" s="32" t="inlineStr">
        <is>
          <t>dongjin_semichem</t>
        </is>
      </c>
      <c r="E650" s="32" t="inlineStr">
        <is>
          <t>005290</t>
        </is>
      </c>
      <c r="F650" s="32" t="inlineStr">
        <is>
          <t>2024</t>
        </is>
      </c>
      <c r="G650" s="32" t="inlineStr">
        <is>
          <t>CFS</t>
        </is>
      </c>
      <c r="H650" s="32" t="inlineStr">
        <is>
          <t>BS</t>
        </is>
      </c>
      <c r="I650" s="32" t="inlineStr">
        <is>
          <t>재무상태표</t>
        </is>
      </c>
      <c r="J650" s="32" t="inlineStr">
        <is>
          <t>ifrs-full_AdditionalPaidinCapital</t>
        </is>
      </c>
      <c r="K650" s="32" t="inlineStr">
        <is>
          <t>기타불입자본</t>
        </is>
      </c>
      <c r="L650" s="32" t="inlineStr">
        <is>
          <t>-</t>
        </is>
      </c>
      <c r="M650" s="32" t="inlineStr">
        <is>
          <t>제 52 기</t>
        </is>
      </c>
      <c r="N650" s="32" t="inlineStr">
        <is>
          <t>121997280919.0</t>
        </is>
      </c>
      <c r="O650" s="32" t="inlineStr">
        <is>
          <t>121800415653.0</t>
        </is>
      </c>
      <c r="P650" s="32" t="inlineStr">
        <is>
          <t>KRW</t>
        </is>
      </c>
      <c r="Q650" s="32" t="inlineStr">
        <is>
          <t>29</t>
        </is>
      </c>
    </row>
    <row r="651" ht="24" customHeight="1">
      <c r="A651" s="27" t="inlineStr">
        <is>
          <t>OpenDART_fnlttSinglAcntAll</t>
        </is>
      </c>
      <c r="B651" s="27" t="inlineStr">
        <is>
          <t>00118804</t>
        </is>
      </c>
      <c r="C651" s="27" t="inlineStr">
        <is>
          <t>동진쎄미켐</t>
        </is>
      </c>
      <c r="D651" s="27" t="inlineStr">
        <is>
          <t>dongjin_semichem</t>
        </is>
      </c>
      <c r="E651" s="27" t="inlineStr">
        <is>
          <t>005290</t>
        </is>
      </c>
      <c r="F651" s="27" t="inlineStr">
        <is>
          <t>2024</t>
        </is>
      </c>
      <c r="G651" s="27" t="inlineStr">
        <is>
          <t>CFS</t>
        </is>
      </c>
      <c r="H651" s="27" t="inlineStr">
        <is>
          <t>BS</t>
        </is>
      </c>
      <c r="I651" s="27" t="inlineStr">
        <is>
          <t>재무상태표</t>
        </is>
      </c>
      <c r="J651" s="27" t="inlineStr">
        <is>
          <t>ifrs-full_IssuedCapital</t>
        </is>
      </c>
      <c r="K651" s="27" t="inlineStr">
        <is>
          <t>자본금</t>
        </is>
      </c>
      <c r="L651" s="27" t="inlineStr">
        <is>
          <t>-</t>
        </is>
      </c>
      <c r="M651" s="27" t="inlineStr">
        <is>
          <t>제 52 기</t>
        </is>
      </c>
      <c r="N651" s="27" t="inlineStr">
        <is>
          <t>25707247000.0</t>
        </is>
      </c>
      <c r="O651" s="27" t="inlineStr">
        <is>
          <t>25707247000.0</t>
        </is>
      </c>
      <c r="P651" s="27" t="inlineStr">
        <is>
          <t>KRW</t>
        </is>
      </c>
      <c r="Q651" s="27" t="inlineStr">
        <is>
          <t>30</t>
        </is>
      </c>
    </row>
    <row r="652" ht="24" customHeight="1">
      <c r="A652" s="32" t="inlineStr">
        <is>
          <t>OpenDART_fnlttSinglAcntAll</t>
        </is>
      </c>
      <c r="B652" s="32" t="inlineStr">
        <is>
          <t>00118804</t>
        </is>
      </c>
      <c r="C652" s="32" t="inlineStr">
        <is>
          <t>동진쎄미켐</t>
        </is>
      </c>
      <c r="D652" s="32" t="inlineStr">
        <is>
          <t>dongjin_semichem</t>
        </is>
      </c>
      <c r="E652" s="32" t="inlineStr">
        <is>
          <t>005290</t>
        </is>
      </c>
      <c r="F652" s="32" t="inlineStr">
        <is>
          <t>2024</t>
        </is>
      </c>
      <c r="G652" s="32" t="inlineStr">
        <is>
          <t>CFS</t>
        </is>
      </c>
      <c r="H652" s="32" t="inlineStr">
        <is>
          <t>BS</t>
        </is>
      </c>
      <c r="I652" s="32" t="inlineStr">
        <is>
          <t>재무상태표</t>
        </is>
      </c>
      <c r="J652" s="32" t="inlineStr">
        <is>
          <t>ifrs-full_RetainedEarnings</t>
        </is>
      </c>
      <c r="K652" s="32" t="inlineStr">
        <is>
          <t>이익잉여금</t>
        </is>
      </c>
      <c r="L652" s="32" t="inlineStr">
        <is>
          <t>-</t>
        </is>
      </c>
      <c r="M652" s="32" t="inlineStr">
        <is>
          <t>제 52 기</t>
        </is>
      </c>
      <c r="N652" s="32" t="inlineStr">
        <is>
          <t>775554117471.0</t>
        </is>
      </c>
      <c r="O652" s="32" t="inlineStr">
        <is>
          <t>628992461223.0</t>
        </is>
      </c>
      <c r="P652" s="32" t="inlineStr">
        <is>
          <t>KRW</t>
        </is>
      </c>
      <c r="Q652" s="32" t="inlineStr">
        <is>
          <t>31</t>
        </is>
      </c>
    </row>
    <row r="653" ht="24" customHeight="1">
      <c r="A653" s="27" t="inlineStr">
        <is>
          <t>OpenDART_fnlttSinglAcntAll</t>
        </is>
      </c>
      <c r="B653" s="27" t="inlineStr">
        <is>
          <t>00118804</t>
        </is>
      </c>
      <c r="C653" s="27" t="inlineStr">
        <is>
          <t>동진쎄미켐</t>
        </is>
      </c>
      <c r="D653" s="27" t="inlineStr">
        <is>
          <t>dongjin_semichem</t>
        </is>
      </c>
      <c r="E653" s="27" t="inlineStr">
        <is>
          <t>005290</t>
        </is>
      </c>
      <c r="F653" s="27" t="inlineStr">
        <is>
          <t>2024</t>
        </is>
      </c>
      <c r="G653" s="27" t="inlineStr">
        <is>
          <t>CFS</t>
        </is>
      </c>
      <c r="H653" s="27" t="inlineStr">
        <is>
          <t>BS</t>
        </is>
      </c>
      <c r="I653" s="27" t="inlineStr">
        <is>
          <t>재무상태표</t>
        </is>
      </c>
      <c r="J653" s="27" t="inlineStr">
        <is>
          <t>ifrs-full_NoncontrollingInterests</t>
        </is>
      </c>
      <c r="K653" s="27" t="inlineStr">
        <is>
          <t>비지배지분</t>
        </is>
      </c>
      <c r="L653" s="27" t="inlineStr">
        <is>
          <t>-</t>
        </is>
      </c>
      <c r="M653" s="27" t="inlineStr">
        <is>
          <t>제 52 기</t>
        </is>
      </c>
      <c r="N653" s="27" t="inlineStr">
        <is>
          <t>22964632342.0</t>
        </is>
      </c>
      <c r="O653" s="27" t="inlineStr">
        <is>
          <t>30429295556.0</t>
        </is>
      </c>
      <c r="P653" s="27" t="inlineStr">
        <is>
          <t>KRW</t>
        </is>
      </c>
      <c r="Q653" s="27" t="inlineStr">
        <is>
          <t>32</t>
        </is>
      </c>
    </row>
    <row r="654" ht="24" customHeight="1">
      <c r="A654" s="32" t="inlineStr">
        <is>
          <t>OpenDART_fnlttSinglAcntAll</t>
        </is>
      </c>
      <c r="B654" s="32" t="inlineStr">
        <is>
          <t>00118804</t>
        </is>
      </c>
      <c r="C654" s="32" t="inlineStr">
        <is>
          <t>동진쎄미켐</t>
        </is>
      </c>
      <c r="D654" s="32" t="inlineStr">
        <is>
          <t>dongjin_semichem</t>
        </is>
      </c>
      <c r="E654" s="32" t="inlineStr">
        <is>
          <t>005290</t>
        </is>
      </c>
      <c r="F654" s="32" t="inlineStr">
        <is>
          <t>2024</t>
        </is>
      </c>
      <c r="G654" s="32" t="inlineStr">
        <is>
          <t>CFS</t>
        </is>
      </c>
      <c r="H654" s="32" t="inlineStr">
        <is>
          <t>BS</t>
        </is>
      </c>
      <c r="I654" s="32" t="inlineStr">
        <is>
          <t>재무상태표</t>
        </is>
      </c>
      <c r="J654" s="32" t="inlineStr">
        <is>
          <t>ifrs-full_EquityAndLiabilities</t>
        </is>
      </c>
      <c r="K654" s="32" t="inlineStr">
        <is>
          <t>부채와자본총계</t>
        </is>
      </c>
      <c r="L654" s="32" t="inlineStr">
        <is>
          <t>-</t>
        </is>
      </c>
      <c r="M654" s="32" t="inlineStr">
        <is>
          <t>제 52 기</t>
        </is>
      </c>
      <c r="N654" s="32" t="inlineStr">
        <is>
          <t>2016989003189.0</t>
        </is>
      </c>
      <c r="O654" s="32" t="inlineStr">
        <is>
          <t>1606588027004.0</t>
        </is>
      </c>
      <c r="P654" s="32" t="inlineStr">
        <is>
          <t>KRW</t>
        </is>
      </c>
      <c r="Q654" s="32" t="inlineStr">
        <is>
          <t>33</t>
        </is>
      </c>
    </row>
    <row r="655" ht="24" customHeight="1">
      <c r="A655" s="27" t="inlineStr">
        <is>
          <t>OpenDART_fnlttSinglAcntAll</t>
        </is>
      </c>
      <c r="B655" s="27" t="inlineStr">
        <is>
          <t>00118804</t>
        </is>
      </c>
      <c r="C655" s="27" t="inlineStr">
        <is>
          <t>동진쎄미켐</t>
        </is>
      </c>
      <c r="D655" s="27" t="inlineStr">
        <is>
          <t>dongjin_semichem</t>
        </is>
      </c>
      <c r="E655" s="27" t="inlineStr">
        <is>
          <t>005290</t>
        </is>
      </c>
      <c r="F655" s="27" t="inlineStr">
        <is>
          <t>2024</t>
        </is>
      </c>
      <c r="G655" s="27" t="inlineStr">
        <is>
          <t>CFS</t>
        </is>
      </c>
      <c r="H655" s="27" t="inlineStr">
        <is>
          <t>BS</t>
        </is>
      </c>
      <c r="I655" s="27" t="inlineStr">
        <is>
          <t>재무상태표</t>
        </is>
      </c>
      <c r="J655" s="27" t="inlineStr">
        <is>
          <t>ifrs-full_CurrentLiabilities</t>
        </is>
      </c>
      <c r="K655" s="27" t="inlineStr">
        <is>
          <t>유동부채</t>
        </is>
      </c>
      <c r="L655" s="27" t="inlineStr">
        <is>
          <t>-</t>
        </is>
      </c>
      <c r="M655" s="27" t="inlineStr">
        <is>
          <t>제 52 기</t>
        </is>
      </c>
      <c r="N655" s="27" t="inlineStr">
        <is>
          <t>722768727205.0</t>
        </is>
      </c>
      <c r="O655" s="27" t="inlineStr">
        <is>
          <t>496221734476.0</t>
        </is>
      </c>
      <c r="P655" s="27" t="inlineStr">
        <is>
          <t>KRW</t>
        </is>
      </c>
      <c r="Q655" s="27" t="inlineStr">
        <is>
          <t>35</t>
        </is>
      </c>
    </row>
    <row r="656" ht="24" customHeight="1">
      <c r="A656" s="32" t="inlineStr">
        <is>
          <t>OpenDART_fnlttSinglAcntAll</t>
        </is>
      </c>
      <c r="B656" s="32" t="inlineStr">
        <is>
          <t>00118804</t>
        </is>
      </c>
      <c r="C656" s="32" t="inlineStr">
        <is>
          <t>동진쎄미켐</t>
        </is>
      </c>
      <c r="D656" s="32" t="inlineStr">
        <is>
          <t>dongjin_semichem</t>
        </is>
      </c>
      <c r="E656" s="32" t="inlineStr">
        <is>
          <t>005290</t>
        </is>
      </c>
      <c r="F656" s="32" t="inlineStr">
        <is>
          <t>2024</t>
        </is>
      </c>
      <c r="G656" s="32" t="inlineStr">
        <is>
          <t>CFS</t>
        </is>
      </c>
      <c r="H656" s="32" t="inlineStr">
        <is>
          <t>BS</t>
        </is>
      </c>
      <c r="I656" s="32" t="inlineStr">
        <is>
          <t>재무상태표</t>
        </is>
      </c>
      <c r="J656" s="32" t="inlineStr">
        <is>
          <t>ifrs-full_CurrentBorrowingsAndCurrentPortionOfNoncurrentBorrowings</t>
        </is>
      </c>
      <c r="K656" s="32" t="inlineStr">
        <is>
          <t>단기차입금</t>
        </is>
      </c>
      <c r="L656" s="32" t="inlineStr">
        <is>
          <t>-</t>
        </is>
      </c>
      <c r="M656" s="32" t="inlineStr">
        <is>
          <t>제 52 기</t>
        </is>
      </c>
      <c r="N656" s="32" t="inlineStr">
        <is>
          <t>523457945423.0</t>
        </is>
      </c>
      <c r="O656" s="32" t="inlineStr">
        <is>
          <t>350143500568.0</t>
        </is>
      </c>
      <c r="P656" s="32" t="inlineStr">
        <is>
          <t>KRW</t>
        </is>
      </c>
      <c r="Q656" s="32" t="inlineStr">
        <is>
          <t>36</t>
        </is>
      </c>
    </row>
    <row r="657" ht="24" customHeight="1">
      <c r="A657" s="27" t="inlineStr">
        <is>
          <t>OpenDART_fnlttSinglAcntAll</t>
        </is>
      </c>
      <c r="B657" s="27" t="inlineStr">
        <is>
          <t>00118804</t>
        </is>
      </c>
      <c r="C657" s="27" t="inlineStr">
        <is>
          <t>동진쎄미켐</t>
        </is>
      </c>
      <c r="D657" s="27" t="inlineStr">
        <is>
          <t>dongjin_semichem</t>
        </is>
      </c>
      <c r="E657" s="27" t="inlineStr">
        <is>
          <t>005290</t>
        </is>
      </c>
      <c r="F657" s="27" t="inlineStr">
        <is>
          <t>2024</t>
        </is>
      </c>
      <c r="G657" s="27" t="inlineStr">
        <is>
          <t>CFS</t>
        </is>
      </c>
      <c r="H657" s="27" t="inlineStr">
        <is>
          <t>BS</t>
        </is>
      </c>
      <c r="I657" s="27" t="inlineStr">
        <is>
          <t>재무상태표</t>
        </is>
      </c>
      <c r="J657" s="27" t="inlineStr">
        <is>
          <t>ifrs-full_CurrentLeaseLiabilities</t>
        </is>
      </c>
      <c r="K657" s="27" t="inlineStr">
        <is>
          <t>단기리스부채</t>
        </is>
      </c>
      <c r="L657" s="27" t="inlineStr">
        <is>
          <t>-</t>
        </is>
      </c>
      <c r="M657" s="27" t="inlineStr">
        <is>
          <t>제 52 기</t>
        </is>
      </c>
      <c r="N657" s="27" t="inlineStr">
        <is>
          <t>9153015332.0</t>
        </is>
      </c>
      <c r="O657" s="27" t="inlineStr">
        <is>
          <t>6836194589.0</t>
        </is>
      </c>
      <c r="P657" s="27" t="inlineStr">
        <is>
          <t>KRW</t>
        </is>
      </c>
      <c r="Q657" s="27" t="inlineStr">
        <is>
          <t>37</t>
        </is>
      </c>
    </row>
    <row r="658" ht="24" customHeight="1">
      <c r="A658" s="32" t="inlineStr">
        <is>
          <t>OpenDART_fnlttSinglAcntAll</t>
        </is>
      </c>
      <c r="B658" s="32" t="inlineStr">
        <is>
          <t>00118804</t>
        </is>
      </c>
      <c r="C658" s="32" t="inlineStr">
        <is>
          <t>동진쎄미켐</t>
        </is>
      </c>
      <c r="D658" s="32" t="inlineStr">
        <is>
          <t>dongjin_semichem</t>
        </is>
      </c>
      <c r="E658" s="32" t="inlineStr">
        <is>
          <t>005290</t>
        </is>
      </c>
      <c r="F658" s="32" t="inlineStr">
        <is>
          <t>2024</t>
        </is>
      </c>
      <c r="G658" s="32" t="inlineStr">
        <is>
          <t>CFS</t>
        </is>
      </c>
      <c r="H658" s="32" t="inlineStr">
        <is>
          <t>BS</t>
        </is>
      </c>
      <c r="I658" s="32" t="inlineStr">
        <is>
          <t>재무상태표</t>
        </is>
      </c>
      <c r="J658" s="32" t="inlineStr">
        <is>
          <t>ifrs-full_CurrentTaxLiabilities</t>
        </is>
      </c>
      <c r="K658" s="32" t="inlineStr">
        <is>
          <t>당기법인세부채</t>
        </is>
      </c>
      <c r="L658" s="32" t="inlineStr">
        <is>
          <t>-</t>
        </is>
      </c>
      <c r="M658" s="32" t="inlineStr">
        <is>
          <t>제 52 기</t>
        </is>
      </c>
      <c r="N658" s="32" t="inlineStr">
        <is>
          <t>40388445656.0</t>
        </is>
      </c>
      <c r="O658" s="32" t="inlineStr">
        <is>
          <t>4032154945.0</t>
        </is>
      </c>
      <c r="P658" s="32" t="inlineStr">
        <is>
          <t>KRW</t>
        </is>
      </c>
      <c r="Q658" s="32" t="inlineStr">
        <is>
          <t>38</t>
        </is>
      </c>
    </row>
    <row r="659" ht="24" customHeight="1">
      <c r="A659" s="27" t="inlineStr">
        <is>
          <t>OpenDART_fnlttSinglAcntAll</t>
        </is>
      </c>
      <c r="B659" s="27" t="inlineStr">
        <is>
          <t>00118804</t>
        </is>
      </c>
      <c r="C659" s="27" t="inlineStr">
        <is>
          <t>동진쎄미켐</t>
        </is>
      </c>
      <c r="D659" s="27" t="inlineStr">
        <is>
          <t>dongjin_semichem</t>
        </is>
      </c>
      <c r="E659" s="27" t="inlineStr">
        <is>
          <t>005290</t>
        </is>
      </c>
      <c r="F659" s="27" t="inlineStr">
        <is>
          <t>2024</t>
        </is>
      </c>
      <c r="G659" s="27" t="inlineStr">
        <is>
          <t>CFS</t>
        </is>
      </c>
      <c r="H659" s="27" t="inlineStr">
        <is>
          <t>BS</t>
        </is>
      </c>
      <c r="I659" s="27" t="inlineStr">
        <is>
          <t>재무상태표</t>
        </is>
      </c>
      <c r="J659" s="27" t="inlineStr">
        <is>
          <t>ifrs-full_OtherCurrentLiabilities</t>
        </is>
      </c>
      <c r="K659" s="27" t="inlineStr">
        <is>
          <t>기타유동부채</t>
        </is>
      </c>
      <c r="L659" s="27" t="inlineStr">
        <is>
          <t>-</t>
        </is>
      </c>
      <c r="M659" s="27" t="inlineStr">
        <is>
          <t>제 52 기</t>
        </is>
      </c>
      <c r="N659" s="27" t="inlineStr">
        <is>
          <t>30499881598.0</t>
        </is>
      </c>
      <c r="O659" s="27" t="inlineStr">
        <is>
          <t>21031068889.0</t>
        </is>
      </c>
      <c r="P659" s="27" t="inlineStr">
        <is>
          <t>KRW</t>
        </is>
      </c>
      <c r="Q659" s="27" t="inlineStr">
        <is>
          <t>39</t>
        </is>
      </c>
    </row>
    <row r="660" ht="24" customHeight="1">
      <c r="A660" s="32" t="inlineStr">
        <is>
          <t>OpenDART_fnlttSinglAcntAll</t>
        </is>
      </c>
      <c r="B660" s="32" t="inlineStr">
        <is>
          <t>00118804</t>
        </is>
      </c>
      <c r="C660" s="32" t="inlineStr">
        <is>
          <t>동진쎄미켐</t>
        </is>
      </c>
      <c r="D660" s="32" t="inlineStr">
        <is>
          <t>dongjin_semichem</t>
        </is>
      </c>
      <c r="E660" s="32" t="inlineStr">
        <is>
          <t>005290</t>
        </is>
      </c>
      <c r="F660" s="32" t="inlineStr">
        <is>
          <t>2024</t>
        </is>
      </c>
      <c r="G660" s="32" t="inlineStr">
        <is>
          <t>CFS</t>
        </is>
      </c>
      <c r="H660" s="32" t="inlineStr">
        <is>
          <t>BS</t>
        </is>
      </c>
      <c r="I660" s="32" t="inlineStr">
        <is>
          <t>재무상태표</t>
        </is>
      </c>
      <c r="J660" s="32" t="inlineStr">
        <is>
          <t>ifrs-full_TradeAndOtherCurrentPayables</t>
        </is>
      </c>
      <c r="K660" s="32" t="inlineStr">
        <is>
          <t>매입채무및기타채무</t>
        </is>
      </c>
      <c r="L660" s="32" t="inlineStr">
        <is>
          <t>-</t>
        </is>
      </c>
      <c r="M660" s="32" t="inlineStr">
        <is>
          <t>제 52 기</t>
        </is>
      </c>
      <c r="N660" s="32" t="inlineStr">
        <is>
          <t>119269439196.0</t>
        </is>
      </c>
      <c r="O660" s="32" t="inlineStr">
        <is>
          <t>114178815485.0</t>
        </is>
      </c>
      <c r="P660" s="32" t="inlineStr">
        <is>
          <t>KRW</t>
        </is>
      </c>
      <c r="Q660" s="32" t="inlineStr">
        <is>
          <t>40</t>
        </is>
      </c>
    </row>
    <row r="661" ht="24" customHeight="1">
      <c r="A661" s="27" t="inlineStr">
        <is>
          <t>OpenDART_fnlttSinglAcntAll</t>
        </is>
      </c>
      <c r="B661" s="27" t="inlineStr">
        <is>
          <t>00118804</t>
        </is>
      </c>
      <c r="C661" s="27" t="inlineStr">
        <is>
          <t>동진쎄미켐</t>
        </is>
      </c>
      <c r="D661" s="27" t="inlineStr">
        <is>
          <t>dongjin_semichem</t>
        </is>
      </c>
      <c r="E661" s="27" t="inlineStr">
        <is>
          <t>005290</t>
        </is>
      </c>
      <c r="F661" s="27" t="inlineStr">
        <is>
          <t>2024</t>
        </is>
      </c>
      <c r="G661" s="27" t="inlineStr">
        <is>
          <t>CFS</t>
        </is>
      </c>
      <c r="H661" s="27" t="inlineStr">
        <is>
          <t>BS</t>
        </is>
      </c>
      <c r="I661" s="27" t="inlineStr">
        <is>
          <t>재무상태표</t>
        </is>
      </c>
      <c r="J661" s="27" t="inlineStr">
        <is>
          <t>ifrs-full_Liabilities</t>
        </is>
      </c>
      <c r="K661" s="27" t="inlineStr">
        <is>
          <t>부채총계</t>
        </is>
      </c>
      <c r="L661" s="27" t="inlineStr">
        <is>
          <t>-</t>
        </is>
      </c>
      <c r="M661" s="27" t="inlineStr">
        <is>
          <t>제 52 기</t>
        </is>
      </c>
      <c r="N661" s="27" t="inlineStr">
        <is>
          <t>996558402618.0</t>
        </is>
      </c>
      <c r="O661" s="27" t="inlineStr">
        <is>
          <t>771106380233.0</t>
        </is>
      </c>
      <c r="P661" s="27" t="inlineStr">
        <is>
          <t>KRW</t>
        </is>
      </c>
      <c r="Q661" s="27" t="inlineStr">
        <is>
          <t>41</t>
        </is>
      </c>
    </row>
    <row r="662" ht="24" customHeight="1">
      <c r="A662" s="32" t="inlineStr">
        <is>
          <t>OpenDART_fnlttSinglAcntAll</t>
        </is>
      </c>
      <c r="B662" s="32" t="inlineStr">
        <is>
          <t>00118804</t>
        </is>
      </c>
      <c r="C662" s="32" t="inlineStr">
        <is>
          <t>동진쎄미켐</t>
        </is>
      </c>
      <c r="D662" s="32" t="inlineStr">
        <is>
          <t>dongjin_semichem</t>
        </is>
      </c>
      <c r="E662" s="32" t="inlineStr">
        <is>
          <t>005290</t>
        </is>
      </c>
      <c r="F662" s="32" t="inlineStr">
        <is>
          <t>2024</t>
        </is>
      </c>
      <c r="G662" s="32" t="inlineStr">
        <is>
          <t>CFS</t>
        </is>
      </c>
      <c r="H662" s="32" t="inlineStr">
        <is>
          <t>BS</t>
        </is>
      </c>
      <c r="I662" s="32" t="inlineStr">
        <is>
          <t>재무상태표</t>
        </is>
      </c>
      <c r="J662" s="32" t="inlineStr">
        <is>
          <t>ifrs-full_NoncurrentLiabilities</t>
        </is>
      </c>
      <c r="K662" s="32" t="inlineStr">
        <is>
          <t>비유동부채</t>
        </is>
      </c>
      <c r="L662" s="32" t="inlineStr">
        <is>
          <t>-</t>
        </is>
      </c>
      <c r="M662" s="32" t="inlineStr">
        <is>
          <t>제 52 기</t>
        </is>
      </c>
      <c r="N662" s="32" t="inlineStr">
        <is>
          <t>273789675413.0</t>
        </is>
      </c>
      <c r="O662" s="32" t="inlineStr">
        <is>
          <t>274884645757.0</t>
        </is>
      </c>
      <c r="P662" s="32" t="inlineStr">
        <is>
          <t>KRW</t>
        </is>
      </c>
      <c r="Q662" s="32" t="inlineStr">
        <is>
          <t>42</t>
        </is>
      </c>
    </row>
    <row r="663" ht="24" customHeight="1">
      <c r="A663" s="27" t="inlineStr">
        <is>
          <t>OpenDART_fnlttSinglAcntAll</t>
        </is>
      </c>
      <c r="B663" s="27" t="inlineStr">
        <is>
          <t>00118804</t>
        </is>
      </c>
      <c r="C663" s="27" t="inlineStr">
        <is>
          <t>동진쎄미켐</t>
        </is>
      </c>
      <c r="D663" s="27" t="inlineStr">
        <is>
          <t>dongjin_semichem</t>
        </is>
      </c>
      <c r="E663" s="27" t="inlineStr">
        <is>
          <t>005290</t>
        </is>
      </c>
      <c r="F663" s="27" t="inlineStr">
        <is>
          <t>2024</t>
        </is>
      </c>
      <c r="G663" s="27" t="inlineStr">
        <is>
          <t>CFS</t>
        </is>
      </c>
      <c r="H663" s="27" t="inlineStr">
        <is>
          <t>BS</t>
        </is>
      </c>
      <c r="I663" s="27" t="inlineStr">
        <is>
          <t>재무상태표</t>
        </is>
      </c>
      <c r="J663" s="27" t="inlineStr">
        <is>
          <t>ifrs-full_DeferredTaxLiabilities</t>
        </is>
      </c>
      <c r="K663" s="27" t="inlineStr">
        <is>
          <t>이연법인세부채</t>
        </is>
      </c>
      <c r="L663" s="27" t="inlineStr">
        <is>
          <t>-</t>
        </is>
      </c>
      <c r="M663" s="27" t="inlineStr">
        <is>
          <t>제 52 기</t>
        </is>
      </c>
      <c r="N663" s="27" t="inlineStr">
        <is>
          <t>396172317.0</t>
        </is>
      </c>
      <c r="O663" s="27" t="inlineStr">
        <is>
          <t>0.0</t>
        </is>
      </c>
      <c r="P663" s="27" t="inlineStr">
        <is>
          <t>KRW</t>
        </is>
      </c>
      <c r="Q663" s="27" t="inlineStr">
        <is>
          <t>43</t>
        </is>
      </c>
    </row>
    <row r="664" ht="24" customHeight="1">
      <c r="A664" s="32" t="inlineStr">
        <is>
          <t>OpenDART_fnlttSinglAcntAll</t>
        </is>
      </c>
      <c r="B664" s="32" t="inlineStr">
        <is>
          <t>00118804</t>
        </is>
      </c>
      <c r="C664" s="32" t="inlineStr">
        <is>
          <t>동진쎄미켐</t>
        </is>
      </c>
      <c r="D664" s="32" t="inlineStr">
        <is>
          <t>dongjin_semichem</t>
        </is>
      </c>
      <c r="E664" s="32" t="inlineStr">
        <is>
          <t>005290</t>
        </is>
      </c>
      <c r="F664" s="32" t="inlineStr">
        <is>
          <t>2024</t>
        </is>
      </c>
      <c r="G664" s="32" t="inlineStr">
        <is>
          <t>CFS</t>
        </is>
      </c>
      <c r="H664" s="32" t="inlineStr">
        <is>
          <t>BS</t>
        </is>
      </c>
      <c r="I664" s="32" t="inlineStr">
        <is>
          <t>재무상태표</t>
        </is>
      </c>
      <c r="J664" s="32" t="inlineStr">
        <is>
          <t>ifrs-full_LongtermBorrowings</t>
        </is>
      </c>
      <c r="K664" s="32" t="inlineStr">
        <is>
          <t>장기차입금</t>
        </is>
      </c>
      <c r="L664" s="32" t="inlineStr">
        <is>
          <t>-</t>
        </is>
      </c>
      <c r="M664" s="32" t="inlineStr">
        <is>
          <t>제 52 기</t>
        </is>
      </c>
      <c r="N664" s="32" t="inlineStr">
        <is>
          <t>247369219949.0</t>
        </is>
      </c>
      <c r="O664" s="32" t="inlineStr">
        <is>
          <t>234570880150.0</t>
        </is>
      </c>
      <c r="P664" s="32" t="inlineStr">
        <is>
          <t>KRW</t>
        </is>
      </c>
      <c r="Q664" s="32" t="inlineStr">
        <is>
          <t>44</t>
        </is>
      </c>
    </row>
    <row r="665" ht="24" customHeight="1">
      <c r="A665" s="27" t="inlineStr">
        <is>
          <t>OpenDART_fnlttSinglAcntAll</t>
        </is>
      </c>
      <c r="B665" s="27" t="inlineStr">
        <is>
          <t>00118804</t>
        </is>
      </c>
      <c r="C665" s="27" t="inlineStr">
        <is>
          <t>동진쎄미켐</t>
        </is>
      </c>
      <c r="D665" s="27" t="inlineStr">
        <is>
          <t>dongjin_semichem</t>
        </is>
      </c>
      <c r="E665" s="27" t="inlineStr">
        <is>
          <t>005290</t>
        </is>
      </c>
      <c r="F665" s="27" t="inlineStr">
        <is>
          <t>2024</t>
        </is>
      </c>
      <c r="G665" s="27" t="inlineStr">
        <is>
          <t>CFS</t>
        </is>
      </c>
      <c r="H665" s="27" t="inlineStr">
        <is>
          <t>BS</t>
        </is>
      </c>
      <c r="I665" s="27" t="inlineStr">
        <is>
          <t>재무상태표</t>
        </is>
      </c>
      <c r="J665" s="27" t="inlineStr">
        <is>
          <t>ifrs-full_NoncurrentLeaseLiabilities</t>
        </is>
      </c>
      <c r="K665" s="27" t="inlineStr">
        <is>
          <t>장기리스부채</t>
        </is>
      </c>
      <c r="L665" s="27" t="inlineStr">
        <is>
          <t>-</t>
        </is>
      </c>
      <c r="M665" s="27" t="inlineStr">
        <is>
          <t>제 52 기</t>
        </is>
      </c>
      <c r="N665" s="27" t="inlineStr">
        <is>
          <t>12125841898.0</t>
        </is>
      </c>
      <c r="O665" s="27" t="inlineStr">
        <is>
          <t>10901597974.0</t>
        </is>
      </c>
      <c r="P665" s="27" t="inlineStr">
        <is>
          <t>KRW</t>
        </is>
      </c>
      <c r="Q665" s="27" t="inlineStr">
        <is>
          <t>45</t>
        </is>
      </c>
    </row>
    <row r="666" ht="24" customHeight="1">
      <c r="A666" s="32" t="inlineStr">
        <is>
          <t>OpenDART_fnlttSinglAcntAll</t>
        </is>
      </c>
      <c r="B666" s="32" t="inlineStr">
        <is>
          <t>00118804</t>
        </is>
      </c>
      <c r="C666" s="32" t="inlineStr">
        <is>
          <t>동진쎄미켐</t>
        </is>
      </c>
      <c r="D666" s="32" t="inlineStr">
        <is>
          <t>dongjin_semichem</t>
        </is>
      </c>
      <c r="E666" s="32" t="inlineStr">
        <is>
          <t>005290</t>
        </is>
      </c>
      <c r="F666" s="32" t="inlineStr">
        <is>
          <t>2024</t>
        </is>
      </c>
      <c r="G666" s="32" t="inlineStr">
        <is>
          <t>CFS</t>
        </is>
      </c>
      <c r="H666" s="32" t="inlineStr">
        <is>
          <t>BS</t>
        </is>
      </c>
      <c r="I666" s="32" t="inlineStr">
        <is>
          <t>재무상태표</t>
        </is>
      </c>
      <c r="J666" s="32" t="inlineStr">
        <is>
          <t>ifrs-full_NoncurrentPayables</t>
        </is>
      </c>
      <c r="K666" s="32" t="inlineStr">
        <is>
          <t>장기매입채무및기타채무</t>
        </is>
      </c>
      <c r="L666" s="32" t="inlineStr">
        <is>
          <t>-</t>
        </is>
      </c>
      <c r="M666" s="32" t="inlineStr">
        <is>
          <t>제 52 기</t>
        </is>
      </c>
      <c r="N666" s="32" t="inlineStr">
        <is>
          <t>873929641.0</t>
        </is>
      </c>
      <c r="O666" s="32" t="inlineStr">
        <is>
          <t>2503207741.0</t>
        </is>
      </c>
      <c r="P666" s="32" t="inlineStr">
        <is>
          <t>KRW</t>
        </is>
      </c>
      <c r="Q666" s="32" t="inlineStr">
        <is>
          <t>46</t>
        </is>
      </c>
    </row>
    <row r="667" ht="24" customHeight="1">
      <c r="A667" s="27" t="inlineStr">
        <is>
          <t>OpenDART_fnlttSinglAcntAll</t>
        </is>
      </c>
      <c r="B667" s="27" t="inlineStr">
        <is>
          <t>00118804</t>
        </is>
      </c>
      <c r="C667" s="27" t="inlineStr">
        <is>
          <t>동진쎄미켐</t>
        </is>
      </c>
      <c r="D667" s="27" t="inlineStr">
        <is>
          <t>dongjin_semichem</t>
        </is>
      </c>
      <c r="E667" s="27" t="inlineStr">
        <is>
          <t>005290</t>
        </is>
      </c>
      <c r="F667" s="27" t="inlineStr">
        <is>
          <t>2024</t>
        </is>
      </c>
      <c r="G667" s="27" t="inlineStr">
        <is>
          <t>CFS</t>
        </is>
      </c>
      <c r="H667" s="27" t="inlineStr">
        <is>
          <t>BS</t>
        </is>
      </c>
      <c r="I667" s="27" t="inlineStr">
        <is>
          <t>재무상태표</t>
        </is>
      </c>
      <c r="J667" s="27" t="inlineStr">
        <is>
          <t>ifrs-full_NoncurrentRecognisedLiabilitiesDefinedBenefitPlan</t>
        </is>
      </c>
      <c r="K667" s="27" t="inlineStr">
        <is>
          <t>순확정급여부채</t>
        </is>
      </c>
      <c r="L667" s="27" t="inlineStr">
        <is>
          <t>-</t>
        </is>
      </c>
      <c r="M667" s="27" t="inlineStr">
        <is>
          <t>제 52 기</t>
        </is>
      </c>
      <c r="N667" s="27" t="inlineStr">
        <is>
          <t>12095307516.0</t>
        </is>
      </c>
      <c r="O667" s="27" t="inlineStr">
        <is>
          <t>25047177741.0</t>
        </is>
      </c>
      <c r="P667" s="27" t="inlineStr">
        <is>
          <t>KRW</t>
        </is>
      </c>
      <c r="Q667" s="27" t="inlineStr">
        <is>
          <t>47</t>
        </is>
      </c>
    </row>
    <row r="668" ht="24" customHeight="1">
      <c r="A668" s="32" t="inlineStr">
        <is>
          <t>OpenDART_fnlttSinglAcntAll</t>
        </is>
      </c>
      <c r="B668" s="32" t="inlineStr">
        <is>
          <t>00118804</t>
        </is>
      </c>
      <c r="C668" s="32" t="inlineStr">
        <is>
          <t>동진쎄미켐</t>
        </is>
      </c>
      <c r="D668" s="32" t="inlineStr">
        <is>
          <t>dongjin_semichem</t>
        </is>
      </c>
      <c r="E668" s="32" t="inlineStr">
        <is>
          <t>005290</t>
        </is>
      </c>
      <c r="F668" s="32" t="inlineStr">
        <is>
          <t>2024</t>
        </is>
      </c>
      <c r="G668" s="32" t="inlineStr">
        <is>
          <t>CFS</t>
        </is>
      </c>
      <c r="H668" s="32" t="inlineStr">
        <is>
          <t>BS</t>
        </is>
      </c>
      <c r="I668" s="32" t="inlineStr">
        <is>
          <t>재무상태표</t>
        </is>
      </c>
      <c r="J668" s="32" t="inlineStr">
        <is>
          <t>ifrs-full_OtherNoncurrentLiabilities</t>
        </is>
      </c>
      <c r="K668" s="32" t="inlineStr">
        <is>
          <t>기타비유동부채</t>
        </is>
      </c>
      <c r="L668" s="32" t="inlineStr">
        <is>
          <t>-</t>
        </is>
      </c>
      <c r="M668" s="32" t="inlineStr">
        <is>
          <t>제 52 기</t>
        </is>
      </c>
      <c r="N668" s="32" t="inlineStr">
        <is>
          <t>929204092.0</t>
        </is>
      </c>
      <c r="O668" s="32" t="inlineStr">
        <is>
          <t>1861782151.0</t>
        </is>
      </c>
      <c r="P668" s="32" t="inlineStr">
        <is>
          <t>KRW</t>
        </is>
      </c>
      <c r="Q668" s="32" t="inlineStr">
        <is>
          <t>48</t>
        </is>
      </c>
    </row>
    <row r="669" ht="24" customHeight="1">
      <c r="A669" s="27" t="inlineStr">
        <is>
          <t>OpenDART_fnlttSinglAcntAll</t>
        </is>
      </c>
      <c r="B669" s="27" t="inlineStr">
        <is>
          <t>00118804</t>
        </is>
      </c>
      <c r="C669" s="27" t="inlineStr">
        <is>
          <t>동진쎄미켐</t>
        </is>
      </c>
      <c r="D669" s="27" t="inlineStr">
        <is>
          <t>dongjin_semichem</t>
        </is>
      </c>
      <c r="E669" s="27" t="inlineStr">
        <is>
          <t>005290</t>
        </is>
      </c>
      <c r="F669" s="27" t="inlineStr">
        <is>
          <t>2024</t>
        </is>
      </c>
      <c r="G669" s="27" t="inlineStr">
        <is>
          <t>CFS</t>
        </is>
      </c>
      <c r="H669" s="27" t="inlineStr">
        <is>
          <t>CIS</t>
        </is>
      </c>
      <c r="I669" s="27" t="inlineStr">
        <is>
          <t>포괄손익계산서</t>
        </is>
      </c>
      <c r="J669" s="27" t="inlineStr">
        <is>
          <t>dart_NonOperatingProfitLoss</t>
        </is>
      </c>
      <c r="K669" s="27" t="inlineStr">
        <is>
          <t>기타영업외손익</t>
        </is>
      </c>
      <c r="L669" s="27" t="inlineStr">
        <is>
          <t>-</t>
        </is>
      </c>
      <c r="M669" s="27" t="inlineStr">
        <is>
          <t>제 52 기</t>
        </is>
      </c>
      <c r="N669" s="27" t="inlineStr">
        <is>
          <t>9148783164.0</t>
        </is>
      </c>
      <c r="O669" s="27" t="inlineStr">
        <is>
          <t>2405483775.0</t>
        </is>
      </c>
      <c r="P669" s="27" t="inlineStr">
        <is>
          <t>KRW</t>
        </is>
      </c>
      <c r="Q669" s="27" t="inlineStr">
        <is>
          <t>6</t>
        </is>
      </c>
    </row>
    <row r="670" ht="24" customHeight="1">
      <c r="A670" s="32" t="inlineStr">
        <is>
          <t>OpenDART_fnlttSinglAcntAll</t>
        </is>
      </c>
      <c r="B670" s="32" t="inlineStr">
        <is>
          <t>00118804</t>
        </is>
      </c>
      <c r="C670" s="32" t="inlineStr">
        <is>
          <t>동진쎄미켐</t>
        </is>
      </c>
      <c r="D670" s="32" t="inlineStr">
        <is>
          <t>dongjin_semichem</t>
        </is>
      </c>
      <c r="E670" s="32" t="inlineStr">
        <is>
          <t>005290</t>
        </is>
      </c>
      <c r="F670" s="32" t="inlineStr">
        <is>
          <t>2024</t>
        </is>
      </c>
      <c r="G670" s="32" t="inlineStr">
        <is>
          <t>CFS</t>
        </is>
      </c>
      <c r="H670" s="32" t="inlineStr">
        <is>
          <t>CIS</t>
        </is>
      </c>
      <c r="I670" s="32" t="inlineStr">
        <is>
          <t>포괄손익계산서</t>
        </is>
      </c>
      <c r="J670" s="32" t="inlineStr">
        <is>
          <t>dart_OperatingIncomeLoss</t>
        </is>
      </c>
      <c r="K670" s="32" t="inlineStr">
        <is>
          <t>영업이익</t>
        </is>
      </c>
      <c r="L670" s="32" t="inlineStr">
        <is>
          <t>-</t>
        </is>
      </c>
      <c r="M670" s="32" t="inlineStr">
        <is>
          <t>제 52 기</t>
        </is>
      </c>
      <c r="N670" s="32" t="inlineStr">
        <is>
          <t>208225729660.0</t>
        </is>
      </c>
      <c r="O670" s="32" t="inlineStr">
        <is>
          <t>176174316058.0</t>
        </is>
      </c>
      <c r="P670" s="32" t="inlineStr">
        <is>
          <t>KRW</t>
        </is>
      </c>
      <c r="Q670" s="32" t="inlineStr">
        <is>
          <t>7</t>
        </is>
      </c>
    </row>
    <row r="671" ht="24" customHeight="1">
      <c r="A671" s="27" t="inlineStr">
        <is>
          <t>OpenDART_fnlttSinglAcntAll</t>
        </is>
      </c>
      <c r="B671" s="27" t="inlineStr">
        <is>
          <t>00118804</t>
        </is>
      </c>
      <c r="C671" s="27" t="inlineStr">
        <is>
          <t>동진쎄미켐</t>
        </is>
      </c>
      <c r="D671" s="27" t="inlineStr">
        <is>
          <t>dongjin_semichem</t>
        </is>
      </c>
      <c r="E671" s="27" t="inlineStr">
        <is>
          <t>005290</t>
        </is>
      </c>
      <c r="F671" s="27" t="inlineStr">
        <is>
          <t>2024</t>
        </is>
      </c>
      <c r="G671" s="27" t="inlineStr">
        <is>
          <t>CFS</t>
        </is>
      </c>
      <c r="H671" s="27" t="inlineStr">
        <is>
          <t>CIS</t>
        </is>
      </c>
      <c r="I671" s="27" t="inlineStr">
        <is>
          <t>포괄손익계산서</t>
        </is>
      </c>
      <c r="J671" s="27" t="inlineStr">
        <is>
          <t>dart_TotalSellingGeneralAdministrativeExpenses</t>
        </is>
      </c>
      <c r="K671" s="27" t="inlineStr">
        <is>
          <t>판매관리비</t>
        </is>
      </c>
      <c r="L671" s="27" t="inlineStr">
        <is>
          <t>-</t>
        </is>
      </c>
      <c r="M671" s="27" t="inlineStr">
        <is>
          <t>제 52 기</t>
        </is>
      </c>
      <c r="N671" s="27" t="inlineStr">
        <is>
          <t>106257818178.0</t>
        </is>
      </c>
      <c r="O671" s="27" t="inlineStr">
        <is>
          <t>79100409658.0</t>
        </is>
      </c>
      <c r="P671" s="27" t="inlineStr">
        <is>
          <t>KRW</t>
        </is>
      </c>
      <c r="Q671" s="27" t="inlineStr">
        <is>
          <t>8</t>
        </is>
      </c>
    </row>
    <row r="672" ht="24" customHeight="1">
      <c r="A672" s="32" t="inlineStr">
        <is>
          <t>OpenDART_fnlttSinglAcntAll</t>
        </is>
      </c>
      <c r="B672" s="32" t="inlineStr">
        <is>
          <t>00118804</t>
        </is>
      </c>
      <c r="C672" s="32" t="inlineStr">
        <is>
          <t>동진쎄미켐</t>
        </is>
      </c>
      <c r="D672" s="32" t="inlineStr">
        <is>
          <t>dongjin_semichem</t>
        </is>
      </c>
      <c r="E672" s="32" t="inlineStr">
        <is>
          <t>005290</t>
        </is>
      </c>
      <c r="F672" s="32" t="inlineStr">
        <is>
          <t>2024</t>
        </is>
      </c>
      <c r="G672" s="32" t="inlineStr">
        <is>
          <t>CFS</t>
        </is>
      </c>
      <c r="H672" s="32" t="inlineStr">
        <is>
          <t>CIS</t>
        </is>
      </c>
      <c r="I672" s="32" t="inlineStr">
        <is>
          <t>포괄손익계산서</t>
        </is>
      </c>
      <c r="J672" s="32" t="inlineStr">
        <is>
          <t>-표준계정코드 미사용-</t>
        </is>
      </c>
      <c r="K672" s="32" t="inlineStr">
        <is>
          <t>물류비</t>
        </is>
      </c>
      <c r="L672" s="32" t="inlineStr">
        <is>
          <t>-</t>
        </is>
      </c>
      <c r="M672" s="32" t="inlineStr">
        <is>
          <t>제 52 기</t>
        </is>
      </c>
      <c r="N672" s="32" t="inlineStr">
        <is>
          <t>26213579329.0</t>
        </is>
      </c>
      <c r="O672" s="32" t="inlineStr">
        <is>
          <t>26384427104.0</t>
        </is>
      </c>
      <c r="P672" s="32" t="inlineStr">
        <is>
          <t>KRW</t>
        </is>
      </c>
      <c r="Q672" s="32" t="inlineStr">
        <is>
          <t>9</t>
        </is>
      </c>
    </row>
    <row r="673" ht="24" customHeight="1">
      <c r="A673" s="27" t="inlineStr">
        <is>
          <t>OpenDART_fnlttSinglAcntAll</t>
        </is>
      </c>
      <c r="B673" s="27" t="inlineStr">
        <is>
          <t>00118804</t>
        </is>
      </c>
      <c r="C673" s="27" t="inlineStr">
        <is>
          <t>동진쎄미켐</t>
        </is>
      </c>
      <c r="D673" s="27" t="inlineStr">
        <is>
          <t>dongjin_semichem</t>
        </is>
      </c>
      <c r="E673" s="27" t="inlineStr">
        <is>
          <t>005290</t>
        </is>
      </c>
      <c r="F673" s="27" t="inlineStr">
        <is>
          <t>2024</t>
        </is>
      </c>
      <c r="G673" s="27" t="inlineStr">
        <is>
          <t>CFS</t>
        </is>
      </c>
      <c r="H673" s="27" t="inlineStr">
        <is>
          <t>CIS</t>
        </is>
      </c>
      <c r="I673" s="27" t="inlineStr">
        <is>
          <t>포괄손익계산서</t>
        </is>
      </c>
      <c r="J673" s="27" t="inlineStr">
        <is>
          <t>-표준계정코드 미사용-</t>
        </is>
      </c>
      <c r="K673" s="27" t="inlineStr">
        <is>
          <t>연구개발비</t>
        </is>
      </c>
      <c r="L673" s="27" t="inlineStr">
        <is>
          <t>-</t>
        </is>
      </c>
      <c r="M673" s="27" t="inlineStr">
        <is>
          <t>제 52 기</t>
        </is>
      </c>
      <c r="N673" s="27" t="inlineStr">
        <is>
          <t>23760330359.0</t>
        </is>
      </c>
      <c r="O673" s="27" t="inlineStr">
        <is>
          <t>18432984507.0</t>
        </is>
      </c>
      <c r="P673" s="27" t="inlineStr">
        <is>
          <t>KRW</t>
        </is>
      </c>
      <c r="Q673" s="27" t="inlineStr">
        <is>
          <t>10</t>
        </is>
      </c>
    </row>
    <row r="674" ht="24" customHeight="1">
      <c r="A674" s="32" t="inlineStr">
        <is>
          <t>OpenDART_fnlttSinglAcntAll</t>
        </is>
      </c>
      <c r="B674" s="32" t="inlineStr">
        <is>
          <t>00118804</t>
        </is>
      </c>
      <c r="C674" s="32" t="inlineStr">
        <is>
          <t>동진쎄미켐</t>
        </is>
      </c>
      <c r="D674" s="32" t="inlineStr">
        <is>
          <t>dongjin_semichem</t>
        </is>
      </c>
      <c r="E674" s="32" t="inlineStr">
        <is>
          <t>005290</t>
        </is>
      </c>
      <c r="F674" s="32" t="inlineStr">
        <is>
          <t>2024</t>
        </is>
      </c>
      <c r="G674" s="32" t="inlineStr">
        <is>
          <t>CFS</t>
        </is>
      </c>
      <c r="H674" s="32" t="inlineStr">
        <is>
          <t>CIS</t>
        </is>
      </c>
      <c r="I674" s="32" t="inlineStr">
        <is>
          <t>포괄손익계산서</t>
        </is>
      </c>
      <c r="J674" s="32" t="inlineStr">
        <is>
          <t>ifrs-full_ComprehensiveIncome</t>
        </is>
      </c>
      <c r="K674" s="32" t="inlineStr">
        <is>
          <t>총포괄손익</t>
        </is>
      </c>
      <c r="L674" s="32" t="inlineStr">
        <is>
          <t>-</t>
        </is>
      </c>
      <c r="M674" s="32" t="inlineStr">
        <is>
          <t>제 52 기</t>
        </is>
      </c>
      <c r="N674" s="32" t="inlineStr">
        <is>
          <t>191186914304.0</t>
        </is>
      </c>
      <c r="O674" s="32" t="inlineStr">
        <is>
          <t>112433867419.0</t>
        </is>
      </c>
      <c r="P674" s="32" t="inlineStr">
        <is>
          <t>KRW</t>
        </is>
      </c>
      <c r="Q674" s="32" t="inlineStr">
        <is>
          <t>11</t>
        </is>
      </c>
    </row>
    <row r="675" ht="24" customHeight="1">
      <c r="A675" s="27" t="inlineStr">
        <is>
          <t>OpenDART_fnlttSinglAcntAll</t>
        </is>
      </c>
      <c r="B675" s="27" t="inlineStr">
        <is>
          <t>00118804</t>
        </is>
      </c>
      <c r="C675" s="27" t="inlineStr">
        <is>
          <t>동진쎄미켐</t>
        </is>
      </c>
      <c r="D675" s="27" t="inlineStr">
        <is>
          <t>dongjin_semichem</t>
        </is>
      </c>
      <c r="E675" s="27" t="inlineStr">
        <is>
          <t>005290</t>
        </is>
      </c>
      <c r="F675" s="27" t="inlineStr">
        <is>
          <t>2024</t>
        </is>
      </c>
      <c r="G675" s="27" t="inlineStr">
        <is>
          <t>CFS</t>
        </is>
      </c>
      <c r="H675" s="27" t="inlineStr">
        <is>
          <t>CIS</t>
        </is>
      </c>
      <c r="I675" s="27" t="inlineStr">
        <is>
          <t>포괄손익계산서</t>
        </is>
      </c>
      <c r="J675" s="27" t="inlineStr">
        <is>
          <t>ifrs-full_ComprehensiveIncomeAttributableToNoncontrollingInterests</t>
        </is>
      </c>
      <c r="K675" s="27" t="inlineStr">
        <is>
          <t>비지배지분</t>
        </is>
      </c>
      <c r="L675" s="27" t="inlineStr">
        <is>
          <t>-</t>
        </is>
      </c>
      <c r="M675" s="27" t="inlineStr">
        <is>
          <t>제 52 기</t>
        </is>
      </c>
      <c r="N675" s="27" t="inlineStr">
        <is>
          <t>-7199576724.0</t>
        </is>
      </c>
      <c r="O675" s="27" t="inlineStr">
        <is>
          <t>-3654121934.0</t>
        </is>
      </c>
      <c r="P675" s="27" t="inlineStr">
        <is>
          <t>KRW</t>
        </is>
      </c>
      <c r="Q675" s="27" t="inlineStr">
        <is>
          <t>13</t>
        </is>
      </c>
    </row>
    <row r="676" ht="24" customHeight="1">
      <c r="A676" s="32" t="inlineStr">
        <is>
          <t>OpenDART_fnlttSinglAcntAll</t>
        </is>
      </c>
      <c r="B676" s="32" t="inlineStr">
        <is>
          <t>00118804</t>
        </is>
      </c>
      <c r="C676" s="32" t="inlineStr">
        <is>
          <t>동진쎄미켐</t>
        </is>
      </c>
      <c r="D676" s="32" t="inlineStr">
        <is>
          <t>dongjin_semichem</t>
        </is>
      </c>
      <c r="E676" s="32" t="inlineStr">
        <is>
          <t>005290</t>
        </is>
      </c>
      <c r="F676" s="32" t="inlineStr">
        <is>
          <t>2024</t>
        </is>
      </c>
      <c r="G676" s="32" t="inlineStr">
        <is>
          <t>CFS</t>
        </is>
      </c>
      <c r="H676" s="32" t="inlineStr">
        <is>
          <t>CIS</t>
        </is>
      </c>
      <c r="I676" s="32" t="inlineStr">
        <is>
          <t>포괄손익계산서</t>
        </is>
      </c>
      <c r="J676" s="32" t="inlineStr">
        <is>
          <t>ifrs-full_ComprehensiveIncomeAttributableToOwnersOfParent</t>
        </is>
      </c>
      <c r="K676" s="32" t="inlineStr">
        <is>
          <t>지배기업 소유주지분</t>
        </is>
      </c>
      <c r="L676" s="32" t="inlineStr">
        <is>
          <t>-</t>
        </is>
      </c>
      <c r="M676" s="32" t="inlineStr">
        <is>
          <t>제 52 기</t>
        </is>
      </c>
      <c r="N676" s="32" t="inlineStr">
        <is>
          <t>198386491028.0</t>
        </is>
      </c>
      <c r="O676" s="32" t="inlineStr">
        <is>
          <t>116087989353.0</t>
        </is>
      </c>
      <c r="P676" s="32" t="inlineStr">
        <is>
          <t>KRW</t>
        </is>
      </c>
      <c r="Q676" s="32" t="inlineStr">
        <is>
          <t>14</t>
        </is>
      </c>
    </row>
    <row r="677" ht="24" customHeight="1">
      <c r="A677" s="27" t="inlineStr">
        <is>
          <t>OpenDART_fnlttSinglAcntAll</t>
        </is>
      </c>
      <c r="B677" s="27" t="inlineStr">
        <is>
          <t>00118804</t>
        </is>
      </c>
      <c r="C677" s="27" t="inlineStr">
        <is>
          <t>동진쎄미켐</t>
        </is>
      </c>
      <c r="D677" s="27" t="inlineStr">
        <is>
          <t>dongjin_semichem</t>
        </is>
      </c>
      <c r="E677" s="27" t="inlineStr">
        <is>
          <t>005290</t>
        </is>
      </c>
      <c r="F677" s="27" t="inlineStr">
        <is>
          <t>2024</t>
        </is>
      </c>
      <c r="G677" s="27" t="inlineStr">
        <is>
          <t>CFS</t>
        </is>
      </c>
      <c r="H677" s="27" t="inlineStr">
        <is>
          <t>CIS</t>
        </is>
      </c>
      <c r="I677" s="27" t="inlineStr">
        <is>
          <t>포괄손익계산서</t>
        </is>
      </c>
      <c r="J677" s="27" t="inlineStr">
        <is>
          <t>ifrs-full_CostOfSales</t>
        </is>
      </c>
      <c r="K677" s="27" t="inlineStr">
        <is>
          <t>매출원가</t>
        </is>
      </c>
      <c r="L677" s="27" t="inlineStr">
        <is>
          <t>-</t>
        </is>
      </c>
      <c r="M677" s="27" t="inlineStr">
        <is>
          <t>제 52 기</t>
        </is>
      </c>
      <c r="N677" s="27" t="inlineStr">
        <is>
          <t>1043686718432.0</t>
        </is>
      </c>
      <c r="O677" s="27" t="inlineStr">
        <is>
          <t>1009832300663.0</t>
        </is>
      </c>
      <c r="P677" s="27" t="inlineStr">
        <is>
          <t>KRW</t>
        </is>
      </c>
      <c r="Q677" s="27" t="inlineStr">
        <is>
          <t>15</t>
        </is>
      </c>
    </row>
    <row r="678" ht="24" customHeight="1">
      <c r="A678" s="32" t="inlineStr">
        <is>
          <t>OpenDART_fnlttSinglAcntAll</t>
        </is>
      </c>
      <c r="B678" s="32" t="inlineStr">
        <is>
          <t>00118804</t>
        </is>
      </c>
      <c r="C678" s="32" t="inlineStr">
        <is>
          <t>동진쎄미켐</t>
        </is>
      </c>
      <c r="D678" s="32" t="inlineStr">
        <is>
          <t>dongjin_semichem</t>
        </is>
      </c>
      <c r="E678" s="32" t="inlineStr">
        <is>
          <t>005290</t>
        </is>
      </c>
      <c r="F678" s="32" t="inlineStr">
        <is>
          <t>2024</t>
        </is>
      </c>
      <c r="G678" s="32" t="inlineStr">
        <is>
          <t>CFS</t>
        </is>
      </c>
      <c r="H678" s="32" t="inlineStr">
        <is>
          <t>CIS</t>
        </is>
      </c>
      <c r="I678" s="32" t="inlineStr">
        <is>
          <t>포괄손익계산서</t>
        </is>
      </c>
      <c r="J678" s="32" t="inlineStr">
        <is>
          <t>ifrs-full_BasicEarningsLossPerShare</t>
        </is>
      </c>
      <c r="K678" s="32" t="inlineStr">
        <is>
          <t>기본주당이익</t>
        </is>
      </c>
      <c r="L678" s="32" t="inlineStr">
        <is>
          <t>-</t>
        </is>
      </c>
      <c r="M678" s="32" t="inlineStr">
        <is>
          <t>제 52 기</t>
        </is>
      </c>
      <c r="N678" s="32" t="inlineStr">
        <is>
          <t>3010.0</t>
        </is>
      </c>
      <c r="O678" s="32" t="inlineStr">
        <is>
          <t>2476.0</t>
        </is>
      </c>
      <c r="P678" s="32" t="inlineStr">
        <is>
          <t>KRW</t>
        </is>
      </c>
      <c r="Q678" s="32" t="inlineStr">
        <is>
          <t>17</t>
        </is>
      </c>
    </row>
    <row r="679" ht="24" customHeight="1">
      <c r="A679" s="27" t="inlineStr">
        <is>
          <t>OpenDART_fnlttSinglAcntAll</t>
        </is>
      </c>
      <c r="B679" s="27" t="inlineStr">
        <is>
          <t>00118804</t>
        </is>
      </c>
      <c r="C679" s="27" t="inlineStr">
        <is>
          <t>동진쎄미켐</t>
        </is>
      </c>
      <c r="D679" s="27" t="inlineStr">
        <is>
          <t>dongjin_semichem</t>
        </is>
      </c>
      <c r="E679" s="27" t="inlineStr">
        <is>
          <t>005290</t>
        </is>
      </c>
      <c r="F679" s="27" t="inlineStr">
        <is>
          <t>2024</t>
        </is>
      </c>
      <c r="G679" s="27" t="inlineStr">
        <is>
          <t>CFS</t>
        </is>
      </c>
      <c r="H679" s="27" t="inlineStr">
        <is>
          <t>CIS</t>
        </is>
      </c>
      <c r="I679" s="27" t="inlineStr">
        <is>
          <t>포괄손익계산서</t>
        </is>
      </c>
      <c r="J679" s="27" t="inlineStr">
        <is>
          <t>ifrs-full_DilutedEarningsLossPerShare</t>
        </is>
      </c>
      <c r="K679" s="27" t="inlineStr">
        <is>
          <t>희석주당이익</t>
        </is>
      </c>
      <c r="L679" s="27" t="inlineStr">
        <is>
          <t>-</t>
        </is>
      </c>
      <c r="M679" s="27" t="inlineStr">
        <is>
          <t>제 52 기</t>
        </is>
      </c>
      <c r="N679" s="27" t="inlineStr">
        <is>
          <t>3010.0</t>
        </is>
      </c>
      <c r="O679" s="27" t="inlineStr">
        <is>
          <t>2476.0</t>
        </is>
      </c>
      <c r="P679" s="27" t="inlineStr">
        <is>
          <t>KRW</t>
        </is>
      </c>
      <c r="Q679" s="27" t="inlineStr">
        <is>
          <t>18</t>
        </is>
      </c>
    </row>
    <row r="680" ht="24" customHeight="1">
      <c r="A680" s="32" t="inlineStr">
        <is>
          <t>OpenDART_fnlttSinglAcntAll</t>
        </is>
      </c>
      <c r="B680" s="32" t="inlineStr">
        <is>
          <t>00118804</t>
        </is>
      </c>
      <c r="C680" s="32" t="inlineStr">
        <is>
          <t>동진쎄미켐</t>
        </is>
      </c>
      <c r="D680" s="32" t="inlineStr">
        <is>
          <t>dongjin_semichem</t>
        </is>
      </c>
      <c r="E680" s="32" t="inlineStr">
        <is>
          <t>005290</t>
        </is>
      </c>
      <c r="F680" s="32" t="inlineStr">
        <is>
          <t>2024</t>
        </is>
      </c>
      <c r="G680" s="32" t="inlineStr">
        <is>
          <t>CFS</t>
        </is>
      </c>
      <c r="H680" s="32" t="inlineStr">
        <is>
          <t>CIS</t>
        </is>
      </c>
      <c r="I680" s="32" t="inlineStr">
        <is>
          <t>포괄손익계산서</t>
        </is>
      </c>
      <c r="J680" s="32" t="inlineStr">
        <is>
          <t>ifrs-full_FinanceCosts</t>
        </is>
      </c>
      <c r="K680" s="32" t="inlineStr">
        <is>
          <t>금융비용</t>
        </is>
      </c>
      <c r="L680" s="32" t="inlineStr">
        <is>
          <t>-</t>
        </is>
      </c>
      <c r="M680" s="32" t="inlineStr">
        <is>
          <t>제 52 기</t>
        </is>
      </c>
      <c r="N680" s="32" t="inlineStr">
        <is>
          <t>28446423522.0</t>
        </is>
      </c>
      <c r="O680" s="32" t="inlineStr">
        <is>
          <t>24884627846.0</t>
        </is>
      </c>
      <c r="P680" s="32" t="inlineStr">
        <is>
          <t>KRW</t>
        </is>
      </c>
      <c r="Q680" s="32" t="inlineStr">
        <is>
          <t>19</t>
        </is>
      </c>
    </row>
    <row r="681" ht="24" customHeight="1">
      <c r="A681" s="27" t="inlineStr">
        <is>
          <t>OpenDART_fnlttSinglAcntAll</t>
        </is>
      </c>
      <c r="B681" s="27" t="inlineStr">
        <is>
          <t>00118804</t>
        </is>
      </c>
      <c r="C681" s="27" t="inlineStr">
        <is>
          <t>동진쎄미켐</t>
        </is>
      </c>
      <c r="D681" s="27" t="inlineStr">
        <is>
          <t>dongjin_semichem</t>
        </is>
      </c>
      <c r="E681" s="27" t="inlineStr">
        <is>
          <t>005290</t>
        </is>
      </c>
      <c r="F681" s="27" t="inlineStr">
        <is>
          <t>2024</t>
        </is>
      </c>
      <c r="G681" s="27" t="inlineStr">
        <is>
          <t>CFS</t>
        </is>
      </c>
      <c r="H681" s="27" t="inlineStr">
        <is>
          <t>CIS</t>
        </is>
      </c>
      <c r="I681" s="27" t="inlineStr">
        <is>
          <t>포괄손익계산서</t>
        </is>
      </c>
      <c r="J681" s="27" t="inlineStr">
        <is>
          <t>ifrs-full_FinanceIncome</t>
        </is>
      </c>
      <c r="K681" s="27" t="inlineStr">
        <is>
          <t>금융수익</t>
        </is>
      </c>
      <c r="L681" s="27" t="inlineStr">
        <is>
          <t>-</t>
        </is>
      </c>
      <c r="M681" s="27" t="inlineStr">
        <is>
          <t>제 52 기</t>
        </is>
      </c>
      <c r="N681" s="27" t="inlineStr">
        <is>
          <t>12773620567.0</t>
        </is>
      </c>
      <c r="O681" s="27" t="inlineStr">
        <is>
          <t>10001622643.0</t>
        </is>
      </c>
      <c r="P681" s="27" t="inlineStr">
        <is>
          <t>KRW</t>
        </is>
      </c>
      <c r="Q681" s="27" t="inlineStr">
        <is>
          <t>20</t>
        </is>
      </c>
    </row>
    <row r="682" ht="24" customHeight="1">
      <c r="A682" s="32" t="inlineStr">
        <is>
          <t>OpenDART_fnlttSinglAcntAll</t>
        </is>
      </c>
      <c r="B682" s="32" t="inlineStr">
        <is>
          <t>00118804</t>
        </is>
      </c>
      <c r="C682" s="32" t="inlineStr">
        <is>
          <t>동진쎄미켐</t>
        </is>
      </c>
      <c r="D682" s="32" t="inlineStr">
        <is>
          <t>dongjin_semichem</t>
        </is>
      </c>
      <c r="E682" s="32" t="inlineStr">
        <is>
          <t>005290</t>
        </is>
      </c>
      <c r="F682" s="32" t="inlineStr">
        <is>
          <t>2024</t>
        </is>
      </c>
      <c r="G682" s="32" t="inlineStr">
        <is>
          <t>CFS</t>
        </is>
      </c>
      <c r="H682" s="32" t="inlineStr">
        <is>
          <t>CIS</t>
        </is>
      </c>
      <c r="I682" s="32" t="inlineStr">
        <is>
          <t>포괄손익계산서</t>
        </is>
      </c>
      <c r="J682" s="32" t="inlineStr">
        <is>
          <t>ifrs-full_GrossProfit</t>
        </is>
      </c>
      <c r="K682" s="32" t="inlineStr">
        <is>
          <t>매출총이익</t>
        </is>
      </c>
      <c r="L682" s="32" t="inlineStr">
        <is>
          <t>-</t>
        </is>
      </c>
      <c r="M682" s="32" t="inlineStr">
        <is>
          <t>제 52 기</t>
        </is>
      </c>
      <c r="N682" s="32" t="inlineStr">
        <is>
          <t>364457457526.0</t>
        </is>
      </c>
      <c r="O682" s="32" t="inlineStr">
        <is>
          <t>300092137327.0</t>
        </is>
      </c>
      <c r="P682" s="32" t="inlineStr">
        <is>
          <t>KRW</t>
        </is>
      </c>
      <c r="Q682" s="32" t="inlineStr">
        <is>
          <t>21</t>
        </is>
      </c>
    </row>
    <row r="683" ht="24" customHeight="1">
      <c r="A683" s="27" t="inlineStr">
        <is>
          <t>OpenDART_fnlttSinglAcntAll</t>
        </is>
      </c>
      <c r="B683" s="27" t="inlineStr">
        <is>
          <t>00118804</t>
        </is>
      </c>
      <c r="C683" s="27" t="inlineStr">
        <is>
          <t>동진쎄미켐</t>
        </is>
      </c>
      <c r="D683" s="27" t="inlineStr">
        <is>
          <t>dongjin_semichem</t>
        </is>
      </c>
      <c r="E683" s="27" t="inlineStr">
        <is>
          <t>005290</t>
        </is>
      </c>
      <c r="F683" s="27" t="inlineStr">
        <is>
          <t>2024</t>
        </is>
      </c>
      <c r="G683" s="27" t="inlineStr">
        <is>
          <t>CFS</t>
        </is>
      </c>
      <c r="H683" s="27" t="inlineStr">
        <is>
          <t>CIS</t>
        </is>
      </c>
      <c r="I683" s="27" t="inlineStr">
        <is>
          <t>포괄손익계산서</t>
        </is>
      </c>
      <c r="J683" s="27" t="inlineStr">
        <is>
          <t>ifrs-full_IncomeTaxExpenseContinuingOperations</t>
        </is>
      </c>
      <c r="K683" s="27" t="inlineStr">
        <is>
          <t>법인세비용</t>
        </is>
      </c>
      <c r="L683" s="27" t="inlineStr">
        <is>
          <t>-</t>
        </is>
      </c>
      <c r="M683" s="27" t="inlineStr">
        <is>
          <t>제 52 기</t>
        </is>
      </c>
      <c r="N683" s="27" t="inlineStr">
        <is>
          <t>58580683351.0</t>
        </is>
      </c>
      <c r="O683" s="27" t="inlineStr">
        <is>
          <t>39408743578.0</t>
        </is>
      </c>
      <c r="P683" s="27" t="inlineStr">
        <is>
          <t>KRW</t>
        </is>
      </c>
      <c r="Q683" s="27" t="inlineStr">
        <is>
          <t>22</t>
        </is>
      </c>
    </row>
    <row r="684" ht="24" customHeight="1">
      <c r="A684" s="32" t="inlineStr">
        <is>
          <t>OpenDART_fnlttSinglAcntAll</t>
        </is>
      </c>
      <c r="B684" s="32" t="inlineStr">
        <is>
          <t>00118804</t>
        </is>
      </c>
      <c r="C684" s="32" t="inlineStr">
        <is>
          <t>동진쎄미켐</t>
        </is>
      </c>
      <c r="D684" s="32" t="inlineStr">
        <is>
          <t>dongjin_semichem</t>
        </is>
      </c>
      <c r="E684" s="32" t="inlineStr">
        <is>
          <t>005290</t>
        </is>
      </c>
      <c r="F684" s="32" t="inlineStr">
        <is>
          <t>2024</t>
        </is>
      </c>
      <c r="G684" s="32" t="inlineStr">
        <is>
          <t>CFS</t>
        </is>
      </c>
      <c r="H684" s="32" t="inlineStr">
        <is>
          <t>CIS</t>
        </is>
      </c>
      <c r="I684" s="32" t="inlineStr">
        <is>
          <t>포괄손익계산서</t>
        </is>
      </c>
      <c r="J684" s="32" t="inlineStr">
        <is>
          <t>ifrs-full_OtherComprehensiveIncome</t>
        </is>
      </c>
      <c r="K684" s="32" t="inlineStr">
        <is>
          <t>법인세 반영 후 기타포괄손익</t>
        </is>
      </c>
      <c r="L684" s="32" t="inlineStr">
        <is>
          <t>-</t>
        </is>
      </c>
      <c r="M684" s="32" t="inlineStr">
        <is>
          <t>제 52 기</t>
        </is>
      </c>
      <c r="N684" s="32" t="inlineStr">
        <is>
          <t>47702354559.0</t>
        </is>
      </c>
      <c r="O684" s="32" t="inlineStr">
        <is>
          <t>-11100493167.0</t>
        </is>
      </c>
      <c r="P684" s="32" t="inlineStr">
        <is>
          <t>KRW</t>
        </is>
      </c>
      <c r="Q684" s="32" t="inlineStr">
        <is>
          <t>23</t>
        </is>
      </c>
    </row>
    <row r="685" ht="24" customHeight="1">
      <c r="A685" s="27" t="inlineStr">
        <is>
          <t>OpenDART_fnlttSinglAcntAll</t>
        </is>
      </c>
      <c r="B685" s="27" t="inlineStr">
        <is>
          <t>00118804</t>
        </is>
      </c>
      <c r="C685" s="27" t="inlineStr">
        <is>
          <t>동진쎄미켐</t>
        </is>
      </c>
      <c r="D685" s="27" t="inlineStr">
        <is>
          <t>dongjin_semichem</t>
        </is>
      </c>
      <c r="E685" s="27" t="inlineStr">
        <is>
          <t>005290</t>
        </is>
      </c>
      <c r="F685" s="27" t="inlineStr">
        <is>
          <t>2024</t>
        </is>
      </c>
      <c r="G685" s="27" t="inlineStr">
        <is>
          <t>CFS</t>
        </is>
      </c>
      <c r="H685" s="27" t="inlineStr">
        <is>
          <t>CIS</t>
        </is>
      </c>
      <c r="I685" s="27" t="inlineStr">
        <is>
          <t>포괄손익계산서</t>
        </is>
      </c>
      <c r="J685" s="27" t="inlineStr">
        <is>
          <t>ifrs-full_OtherComprehensiveIncomeThatWillBeReclassifiedToProfitOrLossNetOfTax</t>
        </is>
      </c>
      <c r="K685" s="27" t="inlineStr">
        <is>
          <t>후속기간에 당기손익으로 재분류되는 포괄손익</t>
        </is>
      </c>
      <c r="L685" s="27" t="inlineStr">
        <is>
          <t>-</t>
        </is>
      </c>
      <c r="M685" s="27" t="inlineStr">
        <is>
          <t>제 52 기</t>
        </is>
      </c>
      <c r="N685" s="27" t="inlineStr">
        <is>
          <t>49752868717.0</t>
        </is>
      </c>
      <c r="O685" s="27" t="inlineStr">
        <is>
          <t>1553836304.0</t>
        </is>
      </c>
      <c r="P685" s="27" t="inlineStr">
        <is>
          <t>KRW</t>
        </is>
      </c>
      <c r="Q685" s="27" t="inlineStr">
        <is>
          <t>24</t>
        </is>
      </c>
    </row>
    <row r="686" ht="24" customHeight="1">
      <c r="A686" s="32" t="inlineStr">
        <is>
          <t>OpenDART_fnlttSinglAcntAll</t>
        </is>
      </c>
      <c r="B686" s="32" t="inlineStr">
        <is>
          <t>00118804</t>
        </is>
      </c>
      <c r="C686" s="32" t="inlineStr">
        <is>
          <t>동진쎄미켐</t>
        </is>
      </c>
      <c r="D686" s="32" t="inlineStr">
        <is>
          <t>dongjin_semichem</t>
        </is>
      </c>
      <c r="E686" s="32" t="inlineStr">
        <is>
          <t>005290</t>
        </is>
      </c>
      <c r="F686" s="32" t="inlineStr">
        <is>
          <t>2024</t>
        </is>
      </c>
      <c r="G686" s="32" t="inlineStr">
        <is>
          <t>CFS</t>
        </is>
      </c>
      <c r="H686" s="32" t="inlineStr">
        <is>
          <t>CIS</t>
        </is>
      </c>
      <c r="I686" s="32" t="inlineStr">
        <is>
          <t>포괄손익계산서</t>
        </is>
      </c>
      <c r="J686" s="32" t="inlineStr">
        <is>
          <t>ifrs-full_GainsLossesOnExchangeDifferencesOnTranslationBeforeTax</t>
        </is>
      </c>
      <c r="K686" s="32" t="inlineStr">
        <is>
          <t>해외사업환산손익</t>
        </is>
      </c>
      <c r="L686" s="32" t="inlineStr">
        <is>
          <t>-</t>
        </is>
      </c>
      <c r="M686" s="32" t="inlineStr">
        <is>
          <t>제 52 기</t>
        </is>
      </c>
      <c r="N686" s="32" t="inlineStr">
        <is>
          <t>49743144303.0</t>
        </is>
      </c>
      <c r="O686" s="32" t="inlineStr">
        <is>
          <t>1483976350.0</t>
        </is>
      </c>
      <c r="P686" s="32" t="inlineStr">
        <is>
          <t>KRW</t>
        </is>
      </c>
      <c r="Q686" s="32" t="inlineStr">
        <is>
          <t>25</t>
        </is>
      </c>
    </row>
    <row r="687" ht="24" customHeight="1">
      <c r="A687" s="27" t="inlineStr">
        <is>
          <t>OpenDART_fnlttSinglAcntAll</t>
        </is>
      </c>
      <c r="B687" s="27" t="inlineStr">
        <is>
          <t>00118804</t>
        </is>
      </c>
      <c r="C687" s="27" t="inlineStr">
        <is>
          <t>동진쎄미켐</t>
        </is>
      </c>
      <c r="D687" s="27" t="inlineStr">
        <is>
          <t>dongjin_semichem</t>
        </is>
      </c>
      <c r="E687" s="27" t="inlineStr">
        <is>
          <t>005290</t>
        </is>
      </c>
      <c r="F687" s="27" t="inlineStr">
        <is>
          <t>2024</t>
        </is>
      </c>
      <c r="G687" s="27" t="inlineStr">
        <is>
          <t>CFS</t>
        </is>
      </c>
      <c r="H687" s="27" t="inlineStr">
        <is>
          <t>CIS</t>
        </is>
      </c>
      <c r="I687" s="27" t="inlineStr">
        <is>
          <t>포괄손익계산서</t>
        </is>
      </c>
      <c r="J687" s="27" t="inlineStr">
        <is>
          <t>ifrs-full_IncomeTaxRelatingToComponentsOfOtherComprehensiveIncomeThatWillBeReclassifiedToProfitOrLoss</t>
        </is>
      </c>
      <c r="K687" s="27" t="inlineStr">
        <is>
          <t>법인세효과</t>
        </is>
      </c>
      <c r="L687" s="27" t="inlineStr">
        <is>
          <t>-</t>
        </is>
      </c>
      <c r="M687" s="27" t="inlineStr">
        <is>
          <t>제 52 기</t>
        </is>
      </c>
      <c r="N687" s="27" t="inlineStr">
        <is>
          <t>0.0</t>
        </is>
      </c>
      <c r="O687" s="27" t="inlineStr">
        <is>
          <t>-25536827.0</t>
        </is>
      </c>
      <c r="P687" s="27" t="inlineStr">
        <is>
          <t>KRW</t>
        </is>
      </c>
      <c r="Q687" s="27" t="inlineStr">
        <is>
          <t>26</t>
        </is>
      </c>
    </row>
    <row r="688" ht="24" customHeight="1">
      <c r="A688" s="32" t="inlineStr">
        <is>
          <t>OpenDART_fnlttSinglAcntAll</t>
        </is>
      </c>
      <c r="B688" s="32" t="inlineStr">
        <is>
          <t>00118804</t>
        </is>
      </c>
      <c r="C688" s="32" t="inlineStr">
        <is>
          <t>동진쎄미켐</t>
        </is>
      </c>
      <c r="D688" s="32" t="inlineStr">
        <is>
          <t>dongjin_semichem</t>
        </is>
      </c>
      <c r="E688" s="32" t="inlineStr">
        <is>
          <t>005290</t>
        </is>
      </c>
      <c r="F688" s="32" t="inlineStr">
        <is>
          <t>2024</t>
        </is>
      </c>
      <c r="G688" s="32" t="inlineStr">
        <is>
          <t>CFS</t>
        </is>
      </c>
      <c r="H688" s="32" t="inlineStr">
        <is>
          <t>CIS</t>
        </is>
      </c>
      <c r="I688" s="32" t="inlineStr">
        <is>
          <t>포괄손익계산서</t>
        </is>
      </c>
      <c r="J688" s="32" t="inlineStr">
        <is>
          <t>ifrs-full_ShareOfOtherComprehensiveIncomeOfAssociatesAndJointVenturesAccountedForUsingEquityMethodThatWillBeReclassifiedToProfitOrLossBeforeTax</t>
        </is>
      </c>
      <c r="K688" s="32" t="inlineStr">
        <is>
          <t>지분법자본변동</t>
        </is>
      </c>
      <c r="L688" s="32" t="inlineStr">
        <is>
          <t>-</t>
        </is>
      </c>
      <c r="M688" s="32" t="inlineStr">
        <is>
          <t>제 52 기</t>
        </is>
      </c>
      <c r="N688" s="32" t="inlineStr">
        <is>
          <t>9724414.0</t>
        </is>
      </c>
      <c r="O688" s="32" t="inlineStr">
        <is>
          <t>44323127.0</t>
        </is>
      </c>
      <c r="P688" s="32" t="inlineStr">
        <is>
          <t>KRW</t>
        </is>
      </c>
      <c r="Q688" s="32" t="inlineStr">
        <is>
          <t>27</t>
        </is>
      </c>
    </row>
    <row r="689" ht="24" customHeight="1">
      <c r="A689" s="27" t="inlineStr">
        <is>
          <t>OpenDART_fnlttSinglAcntAll</t>
        </is>
      </c>
      <c r="B689" s="27" t="inlineStr">
        <is>
          <t>00118804</t>
        </is>
      </c>
      <c r="C689" s="27" t="inlineStr">
        <is>
          <t>동진쎄미켐</t>
        </is>
      </c>
      <c r="D689" s="27" t="inlineStr">
        <is>
          <t>dongjin_semichem</t>
        </is>
      </c>
      <c r="E689" s="27" t="inlineStr">
        <is>
          <t>005290</t>
        </is>
      </c>
      <c r="F689" s="27" t="inlineStr">
        <is>
          <t>2024</t>
        </is>
      </c>
      <c r="G689" s="27" t="inlineStr">
        <is>
          <t>CFS</t>
        </is>
      </c>
      <c r="H689" s="27" t="inlineStr">
        <is>
          <t>CIS</t>
        </is>
      </c>
      <c r="I689" s="27" t="inlineStr">
        <is>
          <t>포괄손익계산서</t>
        </is>
      </c>
      <c r="J689" s="27" t="inlineStr">
        <is>
          <t>ifrs-full_OtherComprehensiveIncomeThatWillNotBeReclassifiedToProfitOrLossNetOfTax</t>
        </is>
      </c>
      <c r="K689" s="27" t="inlineStr">
        <is>
          <t>후속기간에 당기손익으로 재분류되지 않는 포괄손익</t>
        </is>
      </c>
      <c r="L689" s="27" t="inlineStr">
        <is>
          <t>-</t>
        </is>
      </c>
      <c r="M689" s="27" t="inlineStr">
        <is>
          <t>제 52 기</t>
        </is>
      </c>
      <c r="N689" s="27" t="inlineStr">
        <is>
          <t>-2050514158.0</t>
        </is>
      </c>
      <c r="O689" s="27" t="inlineStr">
        <is>
          <t>-12654329471.0</t>
        </is>
      </c>
      <c r="P689" s="27" t="inlineStr">
        <is>
          <t>KRW</t>
        </is>
      </c>
      <c r="Q689" s="27" t="inlineStr">
        <is>
          <t>28</t>
        </is>
      </c>
    </row>
    <row r="690" ht="24" customHeight="1">
      <c r="A690" s="32" t="inlineStr">
        <is>
          <t>OpenDART_fnlttSinglAcntAll</t>
        </is>
      </c>
      <c r="B690" s="32" t="inlineStr">
        <is>
          <t>00118804</t>
        </is>
      </c>
      <c r="C690" s="32" t="inlineStr">
        <is>
          <t>동진쎄미켐</t>
        </is>
      </c>
      <c r="D690" s="32" t="inlineStr">
        <is>
          <t>dongjin_semichem</t>
        </is>
      </c>
      <c r="E690" s="32" t="inlineStr">
        <is>
          <t>005290</t>
        </is>
      </c>
      <c r="F690" s="32" t="inlineStr">
        <is>
          <t>2024</t>
        </is>
      </c>
      <c r="G690" s="32" t="inlineStr">
        <is>
          <t>CFS</t>
        </is>
      </c>
      <c r="H690" s="32" t="inlineStr">
        <is>
          <t>CIS</t>
        </is>
      </c>
      <c r="I690" s="32" t="inlineStr">
        <is>
          <t>포괄손익계산서</t>
        </is>
      </c>
      <c r="J690" s="32" t="inlineStr">
        <is>
          <t>ifrs-full_IncomeTaxRelatingToRemeasurementsOfDefinedBenefitPlansOfOtherComprehensiveIncome</t>
        </is>
      </c>
      <c r="K690" s="32" t="inlineStr">
        <is>
          <t>법인세효과</t>
        </is>
      </c>
      <c r="L690" s="32" t="inlineStr">
        <is>
          <t>-</t>
        </is>
      </c>
      <c r="M690" s="32" t="inlineStr">
        <is>
          <t>제 52 기</t>
        </is>
      </c>
      <c r="N690" s="32" t="inlineStr">
        <is>
          <t>-606946956.0</t>
        </is>
      </c>
      <c r="O690" s="32" t="inlineStr">
        <is>
          <t>-3501193783.0</t>
        </is>
      </c>
      <c r="P690" s="32" t="inlineStr">
        <is>
          <t>KRW</t>
        </is>
      </c>
      <c r="Q690" s="32" t="inlineStr">
        <is>
          <t>29</t>
        </is>
      </c>
    </row>
    <row r="691" ht="24" customHeight="1">
      <c r="A691" s="27" t="inlineStr">
        <is>
          <t>OpenDART_fnlttSinglAcntAll</t>
        </is>
      </c>
      <c r="B691" s="27" t="inlineStr">
        <is>
          <t>00118804</t>
        </is>
      </c>
      <c r="C691" s="27" t="inlineStr">
        <is>
          <t>동진쎄미켐</t>
        </is>
      </c>
      <c r="D691" s="27" t="inlineStr">
        <is>
          <t>dongjin_semichem</t>
        </is>
      </c>
      <c r="E691" s="27" t="inlineStr">
        <is>
          <t>005290</t>
        </is>
      </c>
      <c r="F691" s="27" t="inlineStr">
        <is>
          <t>2024</t>
        </is>
      </c>
      <c r="G691" s="27" t="inlineStr">
        <is>
          <t>CFS</t>
        </is>
      </c>
      <c r="H691" s="27" t="inlineStr">
        <is>
          <t>CIS</t>
        </is>
      </c>
      <c r="I691" s="27" t="inlineStr">
        <is>
          <t>포괄손익계산서</t>
        </is>
      </c>
      <c r="J691" s="27" t="inlineStr">
        <is>
          <t>ifrs-full_OtherComprehensiveIncomeBeforeTaxGainsLossesOnRemeasurementsOfDefinedBenefitPlans</t>
        </is>
      </c>
      <c r="K691" s="27" t="inlineStr">
        <is>
          <t>순확정급여부채 재측정요소</t>
        </is>
      </c>
      <c r="L691" s="27" t="inlineStr">
        <is>
          <t>-</t>
        </is>
      </c>
      <c r="M691" s="27" t="inlineStr">
        <is>
          <t>제 52 기</t>
        </is>
      </c>
      <c r="N691" s="27" t="inlineStr">
        <is>
          <t>-2657461114.0</t>
        </is>
      </c>
      <c r="O691" s="27" t="inlineStr">
        <is>
          <t>-16155523254.0</t>
        </is>
      </c>
      <c r="P691" s="27" t="inlineStr">
        <is>
          <t>KRW</t>
        </is>
      </c>
      <c r="Q691" s="27" t="inlineStr">
        <is>
          <t>30</t>
        </is>
      </c>
    </row>
    <row r="692" ht="24" customHeight="1">
      <c r="A692" s="32" t="inlineStr">
        <is>
          <t>OpenDART_fnlttSinglAcntAll</t>
        </is>
      </c>
      <c r="B692" s="32" t="inlineStr">
        <is>
          <t>00118804</t>
        </is>
      </c>
      <c r="C692" s="32" t="inlineStr">
        <is>
          <t>동진쎄미켐</t>
        </is>
      </c>
      <c r="D692" s="32" t="inlineStr">
        <is>
          <t>dongjin_semichem</t>
        </is>
      </c>
      <c r="E692" s="32" t="inlineStr">
        <is>
          <t>005290</t>
        </is>
      </c>
      <c r="F692" s="32" t="inlineStr">
        <is>
          <t>2024</t>
        </is>
      </c>
      <c r="G692" s="32" t="inlineStr">
        <is>
          <t>CFS</t>
        </is>
      </c>
      <c r="H692" s="32" t="inlineStr">
        <is>
          <t>CIS</t>
        </is>
      </c>
      <c r="I692" s="32" t="inlineStr">
        <is>
          <t>포괄손익계산서</t>
        </is>
      </c>
      <c r="J692" s="32" t="inlineStr">
        <is>
          <t>ifrs-full_ProfitLoss</t>
        </is>
      </c>
      <c r="K692" s="32" t="inlineStr">
        <is>
          <t>당기순이익</t>
        </is>
      </c>
      <c r="L692" s="32" t="inlineStr">
        <is>
          <t>-</t>
        </is>
      </c>
      <c r="M692" s="32" t="inlineStr">
        <is>
          <t>제 52 기</t>
        </is>
      </c>
      <c r="N692" s="32" t="inlineStr">
        <is>
          <t>143484559745.0</t>
        </is>
      </c>
      <c r="O692" s="32" t="inlineStr">
        <is>
          <t>123534360586.0</t>
        </is>
      </c>
      <c r="P692" s="32" t="inlineStr">
        <is>
          <t>KRW</t>
        </is>
      </c>
      <c r="Q692" s="32" t="inlineStr">
        <is>
          <t>31</t>
        </is>
      </c>
    </row>
    <row r="693" ht="24" customHeight="1">
      <c r="A693" s="27" t="inlineStr">
        <is>
          <t>OpenDART_fnlttSinglAcntAll</t>
        </is>
      </c>
      <c r="B693" s="27" t="inlineStr">
        <is>
          <t>00118804</t>
        </is>
      </c>
      <c r="C693" s="27" t="inlineStr">
        <is>
          <t>동진쎄미켐</t>
        </is>
      </c>
      <c r="D693" s="27" t="inlineStr">
        <is>
          <t>dongjin_semichem</t>
        </is>
      </c>
      <c r="E693" s="27" t="inlineStr">
        <is>
          <t>005290</t>
        </is>
      </c>
      <c r="F693" s="27" t="inlineStr">
        <is>
          <t>2024</t>
        </is>
      </c>
      <c r="G693" s="27" t="inlineStr">
        <is>
          <t>CFS</t>
        </is>
      </c>
      <c r="H693" s="27" t="inlineStr">
        <is>
          <t>CIS</t>
        </is>
      </c>
      <c r="I693" s="27" t="inlineStr">
        <is>
          <t>포괄손익계산서</t>
        </is>
      </c>
      <c r="J693" s="27" t="inlineStr">
        <is>
          <t>ifrs-full_ProfitLossAttributableToNoncontrollingInterests</t>
        </is>
      </c>
      <c r="K693" s="27" t="inlineStr">
        <is>
          <t>비지배지분</t>
        </is>
      </c>
      <c r="L693" s="27" t="inlineStr">
        <is>
          <t>-</t>
        </is>
      </c>
      <c r="M693" s="27" t="inlineStr">
        <is>
          <t>제 52 기</t>
        </is>
      </c>
      <c r="N693" s="27" t="inlineStr">
        <is>
          <t>-11297349941.0</t>
        </is>
      </c>
      <c r="O693" s="27" t="inlineStr">
        <is>
          <t>-3780490219.0</t>
        </is>
      </c>
      <c r="P693" s="27" t="inlineStr">
        <is>
          <t>KRW</t>
        </is>
      </c>
      <c r="Q693" s="27" t="inlineStr">
        <is>
          <t>33</t>
        </is>
      </c>
    </row>
    <row r="694" ht="24" customHeight="1">
      <c r="A694" s="32" t="inlineStr">
        <is>
          <t>OpenDART_fnlttSinglAcntAll</t>
        </is>
      </c>
      <c r="B694" s="32" t="inlineStr">
        <is>
          <t>00118804</t>
        </is>
      </c>
      <c r="C694" s="32" t="inlineStr">
        <is>
          <t>동진쎄미켐</t>
        </is>
      </c>
      <c r="D694" s="32" t="inlineStr">
        <is>
          <t>dongjin_semichem</t>
        </is>
      </c>
      <c r="E694" s="32" t="inlineStr">
        <is>
          <t>005290</t>
        </is>
      </c>
      <c r="F694" s="32" t="inlineStr">
        <is>
          <t>2024</t>
        </is>
      </c>
      <c r="G694" s="32" t="inlineStr">
        <is>
          <t>CFS</t>
        </is>
      </c>
      <c r="H694" s="32" t="inlineStr">
        <is>
          <t>CIS</t>
        </is>
      </c>
      <c r="I694" s="32" t="inlineStr">
        <is>
          <t>포괄손익계산서</t>
        </is>
      </c>
      <c r="J694" s="32" t="inlineStr">
        <is>
          <t>ifrs-full_ProfitLossAttributableToOwnersOfParent</t>
        </is>
      </c>
      <c r="K694" s="32" t="inlineStr">
        <is>
          <t>지배기업 소유주지분</t>
        </is>
      </c>
      <c r="L694" s="32" t="inlineStr">
        <is>
          <t>-</t>
        </is>
      </c>
      <c r="M694" s="32" t="inlineStr">
        <is>
          <t>제 52 기</t>
        </is>
      </c>
      <c r="N694" s="32" t="inlineStr">
        <is>
          <t>154781909686.0</t>
        </is>
      </c>
      <c r="O694" s="32" t="inlineStr">
        <is>
          <t>127314850805.0</t>
        </is>
      </c>
      <c r="P694" s="32" t="inlineStr">
        <is>
          <t>KRW</t>
        </is>
      </c>
      <c r="Q694" s="32" t="inlineStr">
        <is>
          <t>34</t>
        </is>
      </c>
    </row>
    <row r="695" ht="24" customHeight="1">
      <c r="A695" s="27" t="inlineStr">
        <is>
          <t>OpenDART_fnlttSinglAcntAll</t>
        </is>
      </c>
      <c r="B695" s="27" t="inlineStr">
        <is>
          <t>00118804</t>
        </is>
      </c>
      <c r="C695" s="27" t="inlineStr">
        <is>
          <t>동진쎄미켐</t>
        </is>
      </c>
      <c r="D695" s="27" t="inlineStr">
        <is>
          <t>dongjin_semichem</t>
        </is>
      </c>
      <c r="E695" s="27" t="inlineStr">
        <is>
          <t>005290</t>
        </is>
      </c>
      <c r="F695" s="27" t="inlineStr">
        <is>
          <t>2024</t>
        </is>
      </c>
      <c r="G695" s="27" t="inlineStr">
        <is>
          <t>CFS</t>
        </is>
      </c>
      <c r="H695" s="27" t="inlineStr">
        <is>
          <t>CIS</t>
        </is>
      </c>
      <c r="I695" s="27" t="inlineStr">
        <is>
          <t>포괄손익계산서</t>
        </is>
      </c>
      <c r="J695" s="27" t="inlineStr">
        <is>
          <t>ifrs-full_ProfitLossBeforeTax</t>
        </is>
      </c>
      <c r="K695" s="27" t="inlineStr">
        <is>
          <t>법인세비용차감전순이익</t>
        </is>
      </c>
      <c r="L695" s="27" t="inlineStr">
        <is>
          <t>-</t>
        </is>
      </c>
      <c r="M695" s="27" t="inlineStr">
        <is>
          <t>제 52 기</t>
        </is>
      </c>
      <c r="N695" s="27" t="inlineStr">
        <is>
          <t>202065243096.0</t>
        </is>
      </c>
      <c r="O695" s="27" t="inlineStr">
        <is>
          <t>162943104164.0</t>
        </is>
      </c>
      <c r="P695" s="27" t="inlineStr">
        <is>
          <t>KRW</t>
        </is>
      </c>
      <c r="Q695" s="27" t="inlineStr">
        <is>
          <t>35</t>
        </is>
      </c>
    </row>
    <row r="696" ht="24" customHeight="1">
      <c r="A696" s="32" t="inlineStr">
        <is>
          <t>OpenDART_fnlttSinglAcntAll</t>
        </is>
      </c>
      <c r="B696" s="32" t="inlineStr">
        <is>
          <t>00118804</t>
        </is>
      </c>
      <c r="C696" s="32" t="inlineStr">
        <is>
          <t>동진쎄미켐</t>
        </is>
      </c>
      <c r="D696" s="32" t="inlineStr">
        <is>
          <t>dongjin_semichem</t>
        </is>
      </c>
      <c r="E696" s="32" t="inlineStr">
        <is>
          <t>005290</t>
        </is>
      </c>
      <c r="F696" s="32" t="inlineStr">
        <is>
          <t>2024</t>
        </is>
      </c>
      <c r="G696" s="32" t="inlineStr">
        <is>
          <t>CFS</t>
        </is>
      </c>
      <c r="H696" s="32" t="inlineStr">
        <is>
          <t>CIS</t>
        </is>
      </c>
      <c r="I696" s="32" t="inlineStr">
        <is>
          <t>포괄손익계산서</t>
        </is>
      </c>
      <c r="J696" s="32" t="inlineStr">
        <is>
          <t>ifrs-full_Revenue</t>
        </is>
      </c>
      <c r="K696" s="32" t="inlineStr">
        <is>
          <t>수익</t>
        </is>
      </c>
      <c r="L696" s="32" t="inlineStr">
        <is>
          <t>-</t>
        </is>
      </c>
      <c r="M696" s="32" t="inlineStr">
        <is>
          <t>제 52 기</t>
        </is>
      </c>
      <c r="N696" s="32" t="inlineStr">
        <is>
          <t>1408144175958.0</t>
        </is>
      </c>
      <c r="O696" s="32" t="inlineStr">
        <is>
          <t>1309924437990.0</t>
        </is>
      </c>
      <c r="P696" s="32" t="inlineStr">
        <is>
          <t>KRW</t>
        </is>
      </c>
      <c r="Q696" s="32" t="inlineStr">
        <is>
          <t>36</t>
        </is>
      </c>
    </row>
    <row r="697" ht="24" customHeight="1">
      <c r="A697" s="27" t="inlineStr">
        <is>
          <t>OpenDART_fnlttSinglAcntAll</t>
        </is>
      </c>
      <c r="B697" s="27" t="inlineStr">
        <is>
          <t>00118804</t>
        </is>
      </c>
      <c r="C697" s="27" t="inlineStr">
        <is>
          <t>동진쎄미켐</t>
        </is>
      </c>
      <c r="D697" s="27" t="inlineStr">
        <is>
          <t>dongjin_semichem</t>
        </is>
      </c>
      <c r="E697" s="27" t="inlineStr">
        <is>
          <t>005290</t>
        </is>
      </c>
      <c r="F697" s="27" t="inlineStr">
        <is>
          <t>2024</t>
        </is>
      </c>
      <c r="G697" s="27" t="inlineStr">
        <is>
          <t>CFS</t>
        </is>
      </c>
      <c r="H697" s="27" t="inlineStr">
        <is>
          <t>CIS</t>
        </is>
      </c>
      <c r="I697" s="27" t="inlineStr">
        <is>
          <t>포괄손익계산서</t>
        </is>
      </c>
      <c r="J697" s="27" t="inlineStr">
        <is>
          <t>ifrs-full_ShareOfProfitLossOfAssociatesAccountedForUsingEquityMethod</t>
        </is>
      </c>
      <c r="K697" s="27" t="inlineStr">
        <is>
          <t>지분법손익</t>
        </is>
      </c>
      <c r="L697" s="27" t="inlineStr">
        <is>
          <t>-</t>
        </is>
      </c>
      <c r="M697" s="27" t="inlineStr">
        <is>
          <t>제 52 기</t>
        </is>
      </c>
      <c r="N697" s="27" t="inlineStr">
        <is>
          <t>363533227.0</t>
        </is>
      </c>
      <c r="O697" s="27" t="inlineStr">
        <is>
          <t>-753690466.0</t>
        </is>
      </c>
      <c r="P697" s="27" t="inlineStr">
        <is>
          <t>KRW</t>
        </is>
      </c>
      <c r="Q697" s="27" t="inlineStr">
        <is>
          <t>37</t>
        </is>
      </c>
    </row>
    <row r="698" ht="24" customHeight="1">
      <c r="A698" s="32" t="inlineStr">
        <is>
          <t>OpenDART_fnlttSinglAcntAll</t>
        </is>
      </c>
      <c r="B698" s="32" t="inlineStr">
        <is>
          <t>00118804</t>
        </is>
      </c>
      <c r="C698" s="32" t="inlineStr">
        <is>
          <t>동진쎄미켐</t>
        </is>
      </c>
      <c r="D698" s="32" t="inlineStr">
        <is>
          <t>dongjin_semichem</t>
        </is>
      </c>
      <c r="E698" s="32" t="inlineStr">
        <is>
          <t>005290</t>
        </is>
      </c>
      <c r="F698" s="32" t="inlineStr">
        <is>
          <t>2024</t>
        </is>
      </c>
      <c r="G698" s="32" t="inlineStr">
        <is>
          <t>CFS</t>
        </is>
      </c>
      <c r="H698" s="32" t="inlineStr">
        <is>
          <t>CF</t>
        </is>
      </c>
      <c r="I698" s="32" t="inlineStr">
        <is>
          <t>현금흐름표</t>
        </is>
      </c>
      <c r="J698" s="32" t="inlineStr">
        <is>
          <t>dart_CashAndCashEquivalentsAtBeginningOfPeriodCf</t>
        </is>
      </c>
      <c r="K698" s="32" t="inlineStr">
        <is>
          <t>기초 현금및현금성자산</t>
        </is>
      </c>
      <c r="L698" s="32" t="inlineStr">
        <is>
          <t>-</t>
        </is>
      </c>
      <c r="M698" s="32" t="inlineStr">
        <is>
          <t>제 52 기</t>
        </is>
      </c>
      <c r="N698" s="32" t="inlineStr">
        <is>
          <t>272560514431.0</t>
        </is>
      </c>
      <c r="O698" s="32" t="inlineStr">
        <is>
          <t>280458844748.0</t>
        </is>
      </c>
      <c r="P698" s="32" t="inlineStr">
        <is>
          <t>KRW</t>
        </is>
      </c>
      <c r="Q698" s="32" t="inlineStr">
        <is>
          <t>2</t>
        </is>
      </c>
    </row>
    <row r="699" ht="24" customHeight="1">
      <c r="A699" s="27" t="inlineStr">
        <is>
          <t>OpenDART_fnlttSinglAcntAll</t>
        </is>
      </c>
      <c r="B699" s="27" t="inlineStr">
        <is>
          <t>00118804</t>
        </is>
      </c>
      <c r="C699" s="27" t="inlineStr">
        <is>
          <t>동진쎄미켐</t>
        </is>
      </c>
      <c r="D699" s="27" t="inlineStr">
        <is>
          <t>dongjin_semichem</t>
        </is>
      </c>
      <c r="E699" s="27" t="inlineStr">
        <is>
          <t>005290</t>
        </is>
      </c>
      <c r="F699" s="27" t="inlineStr">
        <is>
          <t>2024</t>
        </is>
      </c>
      <c r="G699" s="27" t="inlineStr">
        <is>
          <t>CFS</t>
        </is>
      </c>
      <c r="H699" s="27" t="inlineStr">
        <is>
          <t>CF</t>
        </is>
      </c>
      <c r="I699" s="27" t="inlineStr">
        <is>
          <t>현금흐름표</t>
        </is>
      </c>
      <c r="J699" s="27" t="inlineStr">
        <is>
          <t>dart_CashAndCashEquivalentsAtEndOfPeriodCf</t>
        </is>
      </c>
      <c r="K699" s="27" t="inlineStr">
        <is>
          <t>기말 현금및현금성자산</t>
        </is>
      </c>
      <c r="L699" s="27" t="inlineStr">
        <is>
          <t>-</t>
        </is>
      </c>
      <c r="M699" s="27" t="inlineStr">
        <is>
          <t>제 52 기</t>
        </is>
      </c>
      <c r="N699" s="27" t="inlineStr">
        <is>
          <t>417387384045.0</t>
        </is>
      </c>
      <c r="O699" s="27" t="inlineStr">
        <is>
          <t>272560514431.0</t>
        </is>
      </c>
      <c r="P699" s="27" t="inlineStr">
        <is>
          <t>KRW</t>
        </is>
      </c>
      <c r="Q699" s="27" t="inlineStr">
        <is>
          <t>3</t>
        </is>
      </c>
    </row>
    <row r="700" ht="24" customHeight="1">
      <c r="A700" s="32" t="inlineStr">
        <is>
          <t>OpenDART_fnlttSinglAcntAll</t>
        </is>
      </c>
      <c r="B700" s="32" t="inlineStr">
        <is>
          <t>00118804</t>
        </is>
      </c>
      <c r="C700" s="32" t="inlineStr">
        <is>
          <t>동진쎄미켐</t>
        </is>
      </c>
      <c r="D700" s="32" t="inlineStr">
        <is>
          <t>dongjin_semichem</t>
        </is>
      </c>
      <c r="E700" s="32" t="inlineStr">
        <is>
          <t>005290</t>
        </is>
      </c>
      <c r="F700" s="32" t="inlineStr">
        <is>
          <t>2024</t>
        </is>
      </c>
      <c r="G700" s="32" t="inlineStr">
        <is>
          <t>CFS</t>
        </is>
      </c>
      <c r="H700" s="32" t="inlineStr">
        <is>
          <t>CF</t>
        </is>
      </c>
      <c r="I700" s="32" t="inlineStr">
        <is>
          <t>현금흐름표</t>
        </is>
      </c>
      <c r="J700" s="32" t="inlineStr">
        <is>
          <t>ifrs-full_CashFlowsFromUsedInFinancingActivities</t>
        </is>
      </c>
      <c r="K700" s="32" t="inlineStr">
        <is>
          <t>재무활동으로 인한 현금흐름</t>
        </is>
      </c>
      <c r="L700" s="32" t="inlineStr">
        <is>
          <t>-</t>
        </is>
      </c>
      <c r="M700" s="32" t="inlineStr">
        <is>
          <t>제 52 기</t>
        </is>
      </c>
      <c r="N700" s="32" t="inlineStr">
        <is>
          <t>150036513236.0</t>
        </is>
      </c>
      <c r="O700" s="32" t="inlineStr">
        <is>
          <t>136915539516.0</t>
        </is>
      </c>
      <c r="P700" s="32" t="inlineStr">
        <is>
          <t>KRW</t>
        </is>
      </c>
      <c r="Q700" s="32" t="inlineStr">
        <is>
          <t>8</t>
        </is>
      </c>
    </row>
    <row r="701" ht="24" customHeight="1">
      <c r="A701" s="27" t="inlineStr">
        <is>
          <t>OpenDART_fnlttSinglAcntAll</t>
        </is>
      </c>
      <c r="B701" s="27" t="inlineStr">
        <is>
          <t>00118804</t>
        </is>
      </c>
      <c r="C701" s="27" t="inlineStr">
        <is>
          <t>동진쎄미켐</t>
        </is>
      </c>
      <c r="D701" s="27" t="inlineStr">
        <is>
          <t>dongjin_semichem</t>
        </is>
      </c>
      <c r="E701" s="27" t="inlineStr">
        <is>
          <t>005290</t>
        </is>
      </c>
      <c r="F701" s="27" t="inlineStr">
        <is>
          <t>2024</t>
        </is>
      </c>
      <c r="G701" s="27" t="inlineStr">
        <is>
          <t>CFS</t>
        </is>
      </c>
      <c r="H701" s="27" t="inlineStr">
        <is>
          <t>CF</t>
        </is>
      </c>
      <c r="I701" s="27" t="inlineStr">
        <is>
          <t>현금흐름표</t>
        </is>
      </c>
      <c r="J701" s="27" t="inlineStr">
        <is>
          <t>dart_PaymentForStockRedemption</t>
        </is>
      </c>
      <c r="K701" s="27" t="inlineStr">
        <is>
          <t>유상감자</t>
        </is>
      </c>
      <c r="L701" s="27" t="inlineStr">
        <is>
          <t>-</t>
        </is>
      </c>
      <c r="M701" s="27" t="inlineStr">
        <is>
          <t>제 52 기</t>
        </is>
      </c>
      <c r="N701" s="27" t="inlineStr">
        <is>
          <t>1005035.0</t>
        </is>
      </c>
      <c r="O701" s="27" t="inlineStr">
        <is>
          <t>0.0</t>
        </is>
      </c>
      <c r="P701" s="27" t="inlineStr">
        <is>
          <t>KRW</t>
        </is>
      </c>
      <c r="Q701" s="27" t="inlineStr">
        <is>
          <t>9</t>
        </is>
      </c>
    </row>
    <row r="702" ht="24" customHeight="1">
      <c r="A702" s="32" t="inlineStr">
        <is>
          <t>OpenDART_fnlttSinglAcntAll</t>
        </is>
      </c>
      <c r="B702" s="32" t="inlineStr">
        <is>
          <t>00118804</t>
        </is>
      </c>
      <c r="C702" s="32" t="inlineStr">
        <is>
          <t>동진쎄미켐</t>
        </is>
      </c>
      <c r="D702" s="32" t="inlineStr">
        <is>
          <t>dongjin_semichem</t>
        </is>
      </c>
      <c r="E702" s="32" t="inlineStr">
        <is>
          <t>005290</t>
        </is>
      </c>
      <c r="F702" s="32" t="inlineStr">
        <is>
          <t>2024</t>
        </is>
      </c>
      <c r="G702" s="32" t="inlineStr">
        <is>
          <t>CFS</t>
        </is>
      </c>
      <c r="H702" s="32" t="inlineStr">
        <is>
          <t>CF</t>
        </is>
      </c>
      <c r="I702" s="32" t="inlineStr">
        <is>
          <t>현금흐름표</t>
        </is>
      </c>
      <c r="J702" s="32" t="inlineStr">
        <is>
          <t>dart_ProceedsFromLongTermBorrowings</t>
        </is>
      </c>
      <c r="K702" s="32" t="inlineStr">
        <is>
          <t>장기차입금의 차입</t>
        </is>
      </c>
      <c r="L702" s="32" t="inlineStr">
        <is>
          <t>-</t>
        </is>
      </c>
      <c r="M702" s="32" t="inlineStr">
        <is>
          <t>제 52 기</t>
        </is>
      </c>
      <c r="N702" s="32" t="inlineStr">
        <is>
          <t>136684690727.0</t>
        </is>
      </c>
      <c r="O702" s="32" t="inlineStr">
        <is>
          <t>134328093378.0</t>
        </is>
      </c>
      <c r="P702" s="32" t="inlineStr">
        <is>
          <t>KRW</t>
        </is>
      </c>
      <c r="Q702" s="32" t="inlineStr">
        <is>
          <t>10</t>
        </is>
      </c>
    </row>
    <row r="703" ht="24" customHeight="1">
      <c r="A703" s="27" t="inlineStr">
        <is>
          <t>OpenDART_fnlttSinglAcntAll</t>
        </is>
      </c>
      <c r="B703" s="27" t="inlineStr">
        <is>
          <t>00118804</t>
        </is>
      </c>
      <c r="C703" s="27" t="inlineStr">
        <is>
          <t>동진쎄미켐</t>
        </is>
      </c>
      <c r="D703" s="27" t="inlineStr">
        <is>
          <t>dongjin_semichem</t>
        </is>
      </c>
      <c r="E703" s="27" t="inlineStr">
        <is>
          <t>005290</t>
        </is>
      </c>
      <c r="F703" s="27" t="inlineStr">
        <is>
          <t>2024</t>
        </is>
      </c>
      <c r="G703" s="27" t="inlineStr">
        <is>
          <t>CFS</t>
        </is>
      </c>
      <c r="H703" s="27" t="inlineStr">
        <is>
          <t>CF</t>
        </is>
      </c>
      <c r="I703" s="27" t="inlineStr">
        <is>
          <t>현금흐름표</t>
        </is>
      </c>
      <c r="J703" s="27" t="inlineStr">
        <is>
          <t>dart_ProceedsFromPaidinCapitalIncrease</t>
        </is>
      </c>
      <c r="K703" s="27" t="inlineStr">
        <is>
          <t>유상증자</t>
        </is>
      </c>
      <c r="L703" s="27" t="inlineStr">
        <is>
          <t>-</t>
        </is>
      </c>
      <c r="M703" s="27" t="inlineStr">
        <is>
          <t>제 52 기</t>
        </is>
      </c>
      <c r="N703" s="27" t="inlineStr">
        <is>
          <t>8381100000.0</t>
        </is>
      </c>
      <c r="O703" s="27" t="inlineStr">
        <is>
          <t>19341000000.0</t>
        </is>
      </c>
      <c r="P703" s="27" t="inlineStr">
        <is>
          <t>KRW</t>
        </is>
      </c>
      <c r="Q703" s="27" t="inlineStr">
        <is>
          <t>11</t>
        </is>
      </c>
    </row>
    <row r="704" ht="24" customHeight="1">
      <c r="A704" s="32" t="inlineStr">
        <is>
          <t>OpenDART_fnlttSinglAcntAll</t>
        </is>
      </c>
      <c r="B704" s="32" t="inlineStr">
        <is>
          <t>00118804</t>
        </is>
      </c>
      <c r="C704" s="32" t="inlineStr">
        <is>
          <t>동진쎄미켐</t>
        </is>
      </c>
      <c r="D704" s="32" t="inlineStr">
        <is>
          <t>dongjin_semichem</t>
        </is>
      </c>
      <c r="E704" s="32" t="inlineStr">
        <is>
          <t>005290</t>
        </is>
      </c>
      <c r="F704" s="32" t="inlineStr">
        <is>
          <t>2024</t>
        </is>
      </c>
      <c r="G704" s="32" t="inlineStr">
        <is>
          <t>CFS</t>
        </is>
      </c>
      <c r="H704" s="32" t="inlineStr">
        <is>
          <t>CF</t>
        </is>
      </c>
      <c r="I704" s="32" t="inlineStr">
        <is>
          <t>현금흐름표</t>
        </is>
      </c>
      <c r="J704" s="32" t="inlineStr">
        <is>
          <t>dart_ProceedsFromShortTermBorrowings</t>
        </is>
      </c>
      <c r="K704" s="32" t="inlineStr">
        <is>
          <t>단기차입금의 차입</t>
        </is>
      </c>
      <c r="L704" s="32" t="inlineStr">
        <is>
          <t>-</t>
        </is>
      </c>
      <c r="M704" s="32" t="inlineStr">
        <is>
          <t>제 52 기</t>
        </is>
      </c>
      <c r="N704" s="32" t="inlineStr">
        <is>
          <t>568309749228.0</t>
        </is>
      </c>
      <c r="O704" s="32" t="inlineStr">
        <is>
          <t>368410825863.0</t>
        </is>
      </c>
      <c r="P704" s="32" t="inlineStr">
        <is>
          <t>KRW</t>
        </is>
      </c>
      <c r="Q704" s="32" t="inlineStr">
        <is>
          <t>12</t>
        </is>
      </c>
    </row>
    <row r="705" ht="24" customHeight="1">
      <c r="A705" s="27" t="inlineStr">
        <is>
          <t>OpenDART_fnlttSinglAcntAll</t>
        </is>
      </c>
      <c r="B705" s="27" t="inlineStr">
        <is>
          <t>00118804</t>
        </is>
      </c>
      <c r="C705" s="27" t="inlineStr">
        <is>
          <t>동진쎄미켐</t>
        </is>
      </c>
      <c r="D705" s="27" t="inlineStr">
        <is>
          <t>dongjin_semichem</t>
        </is>
      </c>
      <c r="E705" s="27" t="inlineStr">
        <is>
          <t>005290</t>
        </is>
      </c>
      <c r="F705" s="27" t="inlineStr">
        <is>
          <t>2024</t>
        </is>
      </c>
      <c r="G705" s="27" t="inlineStr">
        <is>
          <t>CFS</t>
        </is>
      </c>
      <c r="H705" s="27" t="inlineStr">
        <is>
          <t>CF</t>
        </is>
      </c>
      <c r="I705" s="27" t="inlineStr">
        <is>
          <t>현금흐름표</t>
        </is>
      </c>
      <c r="J705" s="27" t="inlineStr">
        <is>
          <t>dart_RepaymentsOfLongTermBorrowings</t>
        </is>
      </c>
      <c r="K705" s="27" t="inlineStr">
        <is>
          <t>장기차입금의 상환</t>
        </is>
      </c>
      <c r="L705" s="27" t="inlineStr">
        <is>
          <t>-</t>
        </is>
      </c>
      <c r="M705" s="27" t="inlineStr">
        <is>
          <t>제 52 기</t>
        </is>
      </c>
      <c r="N705" s="27" t="inlineStr">
        <is>
          <t>125264758466.0</t>
        </is>
      </c>
      <c r="O705" s="27" t="inlineStr">
        <is>
          <t>29382730252.0</t>
        </is>
      </c>
      <c r="P705" s="27" t="inlineStr">
        <is>
          <t>KRW</t>
        </is>
      </c>
      <c r="Q705" s="27" t="inlineStr">
        <is>
          <t>13</t>
        </is>
      </c>
    </row>
    <row r="706" ht="24" customHeight="1">
      <c r="A706" s="32" t="inlineStr">
        <is>
          <t>OpenDART_fnlttSinglAcntAll</t>
        </is>
      </c>
      <c r="B706" s="32" t="inlineStr">
        <is>
          <t>00118804</t>
        </is>
      </c>
      <c r="C706" s="32" t="inlineStr">
        <is>
          <t>동진쎄미켐</t>
        </is>
      </c>
      <c r="D706" s="32" t="inlineStr">
        <is>
          <t>dongjin_semichem</t>
        </is>
      </c>
      <c r="E706" s="32" t="inlineStr">
        <is>
          <t>005290</t>
        </is>
      </c>
      <c r="F706" s="32" t="inlineStr">
        <is>
          <t>2024</t>
        </is>
      </c>
      <c r="G706" s="32" t="inlineStr">
        <is>
          <t>CFS</t>
        </is>
      </c>
      <c r="H706" s="32" t="inlineStr">
        <is>
          <t>CF</t>
        </is>
      </c>
      <c r="I706" s="32" t="inlineStr">
        <is>
          <t>현금흐름표</t>
        </is>
      </c>
      <c r="J706" s="32" t="inlineStr">
        <is>
          <t>dart_RepaymentsOfShortTermBorrowings</t>
        </is>
      </c>
      <c r="K706" s="32" t="inlineStr">
        <is>
          <t>단기차입금의 상환</t>
        </is>
      </c>
      <c r="L706" s="32" t="inlineStr">
        <is>
          <t>-</t>
        </is>
      </c>
      <c r="M706" s="32" t="inlineStr">
        <is>
          <t>제 52 기</t>
        </is>
      </c>
      <c r="N706" s="32" t="inlineStr">
        <is>
          <t>421787619577.0</t>
        </is>
      </c>
      <c r="O706" s="32" t="inlineStr">
        <is>
          <t>339950488553.0</t>
        </is>
      </c>
      <c r="P706" s="32" t="inlineStr">
        <is>
          <t>KRW</t>
        </is>
      </c>
      <c r="Q706" s="32" t="inlineStr">
        <is>
          <t>14</t>
        </is>
      </c>
    </row>
    <row r="707" ht="24" customHeight="1">
      <c r="A707" s="27" t="inlineStr">
        <is>
          <t>OpenDART_fnlttSinglAcntAll</t>
        </is>
      </c>
      <c r="B707" s="27" t="inlineStr">
        <is>
          <t>00118804</t>
        </is>
      </c>
      <c r="C707" s="27" t="inlineStr">
        <is>
          <t>동진쎄미켐</t>
        </is>
      </c>
      <c r="D707" s="27" t="inlineStr">
        <is>
          <t>dongjin_semichem</t>
        </is>
      </c>
      <c r="E707" s="27" t="inlineStr">
        <is>
          <t>005290</t>
        </is>
      </c>
      <c r="F707" s="27" t="inlineStr">
        <is>
          <t>2024</t>
        </is>
      </c>
      <c r="G707" s="27" t="inlineStr">
        <is>
          <t>CFS</t>
        </is>
      </c>
      <c r="H707" s="27" t="inlineStr">
        <is>
          <t>CF</t>
        </is>
      </c>
      <c r="I707" s="27" t="inlineStr">
        <is>
          <t>현금흐름표</t>
        </is>
      </c>
      <c r="J707" s="27" t="inlineStr">
        <is>
          <t>ifrs-full_DividendsPaidClassifiedAsFinancingActivities</t>
        </is>
      </c>
      <c r="K707" s="27" t="inlineStr">
        <is>
          <t>배당금의 지급</t>
        </is>
      </c>
      <c r="L707" s="27" t="inlineStr">
        <is>
          <t>-</t>
        </is>
      </c>
      <c r="M707" s="27" t="inlineStr">
        <is>
          <t>제 52 기</t>
        </is>
      </c>
      <c r="N707" s="27" t="inlineStr">
        <is>
          <t>6236955469.0</t>
        </is>
      </c>
      <c r="O707" s="27" t="inlineStr">
        <is>
          <t>6751084478.0</t>
        </is>
      </c>
      <c r="P707" s="27" t="inlineStr">
        <is>
          <t>KRW</t>
        </is>
      </c>
      <c r="Q707" s="27" t="inlineStr">
        <is>
          <t>15</t>
        </is>
      </c>
    </row>
    <row r="708" ht="24" customHeight="1">
      <c r="A708" s="32" t="inlineStr">
        <is>
          <t>OpenDART_fnlttSinglAcntAll</t>
        </is>
      </c>
      <c r="B708" s="32" t="inlineStr">
        <is>
          <t>00118804</t>
        </is>
      </c>
      <c r="C708" s="32" t="inlineStr">
        <is>
          <t>동진쎄미켐</t>
        </is>
      </c>
      <c r="D708" s="32" t="inlineStr">
        <is>
          <t>dongjin_semichem</t>
        </is>
      </c>
      <c r="E708" s="32" t="inlineStr">
        <is>
          <t>005290</t>
        </is>
      </c>
      <c r="F708" s="32" t="inlineStr">
        <is>
          <t>2024</t>
        </is>
      </c>
      <c r="G708" s="32" t="inlineStr">
        <is>
          <t>CFS</t>
        </is>
      </c>
      <c r="H708" s="32" t="inlineStr">
        <is>
          <t>CF</t>
        </is>
      </c>
      <c r="I708" s="32" t="inlineStr">
        <is>
          <t>현금흐름표</t>
        </is>
      </c>
      <c r="J708" s="32" t="inlineStr">
        <is>
          <t>ifrs-full_PaymentsOfLeaseLiabilitiesClassifiedAsFinancingActivities</t>
        </is>
      </c>
      <c r="K708" s="32" t="inlineStr">
        <is>
          <t>리스부채의 감소</t>
        </is>
      </c>
      <c r="L708" s="32" t="inlineStr">
        <is>
          <t>-</t>
        </is>
      </c>
      <c r="M708" s="32" t="inlineStr">
        <is>
          <t>제 52 기</t>
        </is>
      </c>
      <c r="N708" s="32" t="inlineStr">
        <is>
          <t>10048688172.0</t>
        </is>
      </c>
      <c r="O708" s="32" t="inlineStr">
        <is>
          <t>9080076442.0</t>
        </is>
      </c>
      <c r="P708" s="32" t="inlineStr">
        <is>
          <t>KRW</t>
        </is>
      </c>
      <c r="Q708" s="32" t="inlineStr">
        <is>
          <t>16</t>
        </is>
      </c>
    </row>
    <row r="709" ht="24" customHeight="1">
      <c r="A709" s="27" t="inlineStr">
        <is>
          <t>OpenDART_fnlttSinglAcntAll</t>
        </is>
      </c>
      <c r="B709" s="27" t="inlineStr">
        <is>
          <t>00118804</t>
        </is>
      </c>
      <c r="C709" s="27" t="inlineStr">
        <is>
          <t>동진쎄미켐</t>
        </is>
      </c>
      <c r="D709" s="27" t="inlineStr">
        <is>
          <t>dongjin_semichem</t>
        </is>
      </c>
      <c r="E709" s="27" t="inlineStr">
        <is>
          <t>005290</t>
        </is>
      </c>
      <c r="F709" s="27" t="inlineStr">
        <is>
          <t>2024</t>
        </is>
      </c>
      <c r="G709" s="27" t="inlineStr">
        <is>
          <t>CFS</t>
        </is>
      </c>
      <c r="H709" s="27" t="inlineStr">
        <is>
          <t>CF</t>
        </is>
      </c>
      <c r="I709" s="27" t="inlineStr">
        <is>
          <t>현금흐름표</t>
        </is>
      </c>
      <c r="J709" s="27" t="inlineStr">
        <is>
          <t>ifrs-full_CashFlowsFromUsedInInvestingActivities</t>
        </is>
      </c>
      <c r="K709" s="27" t="inlineStr">
        <is>
          <t>투자활동으로 인한 현금흐름</t>
        </is>
      </c>
      <c r="L709" s="27" t="inlineStr">
        <is>
          <t>-</t>
        </is>
      </c>
      <c r="M709" s="27" t="inlineStr">
        <is>
          <t>제 52 기</t>
        </is>
      </c>
      <c r="N709" s="27" t="inlineStr">
        <is>
          <t>-267472661689.0</t>
        </is>
      </c>
      <c r="O709" s="27" t="inlineStr">
        <is>
          <t>-260654256749.0</t>
        </is>
      </c>
      <c r="P709" s="27" t="inlineStr">
        <is>
          <t>KRW</t>
        </is>
      </c>
      <c r="Q709" s="27" t="inlineStr">
        <is>
          <t>17</t>
        </is>
      </c>
    </row>
    <row r="710" ht="24" customHeight="1">
      <c r="A710" s="32" t="inlineStr">
        <is>
          <t>OpenDART_fnlttSinglAcntAll</t>
        </is>
      </c>
      <c r="B710" s="32" t="inlineStr">
        <is>
          <t>00118804</t>
        </is>
      </c>
      <c r="C710" s="32" t="inlineStr">
        <is>
          <t>동진쎄미켐</t>
        </is>
      </c>
      <c r="D710" s="32" t="inlineStr">
        <is>
          <t>dongjin_semichem</t>
        </is>
      </c>
      <c r="E710" s="32" t="inlineStr">
        <is>
          <t>005290</t>
        </is>
      </c>
      <c r="F710" s="32" t="inlineStr">
        <is>
          <t>2024</t>
        </is>
      </c>
      <c r="G710" s="32" t="inlineStr">
        <is>
          <t>CFS</t>
        </is>
      </c>
      <c r="H710" s="32" t="inlineStr">
        <is>
          <t>CF</t>
        </is>
      </c>
      <c r="I710" s="32" t="inlineStr">
        <is>
          <t>현금흐름표</t>
        </is>
      </c>
      <c r="J710" s="32" t="inlineStr">
        <is>
          <t>dart_ProceedsFromSaleOfInvestmentFinancialInstruments</t>
        </is>
      </c>
      <c r="K710" s="32" t="inlineStr">
        <is>
          <t>투자금융자산의 처분</t>
        </is>
      </c>
      <c r="L710" s="32" t="inlineStr">
        <is>
          <t>-</t>
        </is>
      </c>
      <c r="M710" s="32" t="inlineStr">
        <is>
          <t>제 52 기</t>
        </is>
      </c>
      <c r="N710" s="32" t="inlineStr">
        <is>
          <t>223328760.0</t>
        </is>
      </c>
      <c r="O710" s="32" t="inlineStr">
        <is>
          <t>660000000.0</t>
        </is>
      </c>
      <c r="P710" s="32" t="inlineStr">
        <is>
          <t>KRW</t>
        </is>
      </c>
      <c r="Q710" s="32" t="inlineStr">
        <is>
          <t>18</t>
        </is>
      </c>
    </row>
    <row r="711" ht="24" customHeight="1">
      <c r="A711" s="27" t="inlineStr">
        <is>
          <t>OpenDART_fnlttSinglAcntAll</t>
        </is>
      </c>
      <c r="B711" s="27" t="inlineStr">
        <is>
          <t>00118804</t>
        </is>
      </c>
      <c r="C711" s="27" t="inlineStr">
        <is>
          <t>동진쎄미켐</t>
        </is>
      </c>
      <c r="D711" s="27" t="inlineStr">
        <is>
          <t>dongjin_semichem</t>
        </is>
      </c>
      <c r="E711" s="27" t="inlineStr">
        <is>
          <t>005290</t>
        </is>
      </c>
      <c r="F711" s="27" t="inlineStr">
        <is>
          <t>2024</t>
        </is>
      </c>
      <c r="G711" s="27" t="inlineStr">
        <is>
          <t>CFS</t>
        </is>
      </c>
      <c r="H711" s="27" t="inlineStr">
        <is>
          <t>CF</t>
        </is>
      </c>
      <c r="I711" s="27" t="inlineStr">
        <is>
          <t>현금흐름표</t>
        </is>
      </c>
      <c r="J711" s="27" t="inlineStr">
        <is>
          <t>dart_ProceedsFromSalesOfInvestmentsInAssociates</t>
        </is>
      </c>
      <c r="K711" s="27" t="inlineStr">
        <is>
          <t>관계기업투자의 처분</t>
        </is>
      </c>
      <c r="L711" s="27" t="inlineStr">
        <is>
          <t>-</t>
        </is>
      </c>
      <c r="M711" s="27" t="inlineStr">
        <is>
          <t>제 52 기</t>
        </is>
      </c>
      <c r="N711" s="27" t="inlineStr">
        <is>
          <t>0.0</t>
        </is>
      </c>
      <c r="O711" s="27" t="inlineStr">
        <is>
          <t>53852970.0</t>
        </is>
      </c>
      <c r="P711" s="27" t="inlineStr">
        <is>
          <t>KRW</t>
        </is>
      </c>
      <c r="Q711" s="27" t="inlineStr">
        <is>
          <t>19</t>
        </is>
      </c>
    </row>
    <row r="712" ht="24" customHeight="1">
      <c r="A712" s="32" t="inlineStr">
        <is>
          <t>OpenDART_fnlttSinglAcntAll</t>
        </is>
      </c>
      <c r="B712" s="32" t="inlineStr">
        <is>
          <t>00118804</t>
        </is>
      </c>
      <c r="C712" s="32" t="inlineStr">
        <is>
          <t>동진쎄미켐</t>
        </is>
      </c>
      <c r="D712" s="32" t="inlineStr">
        <is>
          <t>dongjin_semichem</t>
        </is>
      </c>
      <c r="E712" s="32" t="inlineStr">
        <is>
          <t>005290</t>
        </is>
      </c>
      <c r="F712" s="32" t="inlineStr">
        <is>
          <t>2024</t>
        </is>
      </c>
      <c r="G712" s="32" t="inlineStr">
        <is>
          <t>CFS</t>
        </is>
      </c>
      <c r="H712" s="32" t="inlineStr">
        <is>
          <t>CF</t>
        </is>
      </c>
      <c r="I712" s="32" t="inlineStr">
        <is>
          <t>현금흐름표</t>
        </is>
      </c>
      <c r="J712" s="32" t="inlineStr">
        <is>
          <t>dart_ProceedsFromSalesOfLongTermLoansAndReceivables</t>
        </is>
      </c>
      <c r="K712" s="32" t="inlineStr">
        <is>
          <t>장기대여금의 회수</t>
        </is>
      </c>
      <c r="L712" s="32" t="inlineStr">
        <is>
          <t>-</t>
        </is>
      </c>
      <c r="M712" s="32" t="inlineStr">
        <is>
          <t>제 52 기</t>
        </is>
      </c>
      <c r="N712" s="32" t="inlineStr">
        <is>
          <t>45000000.0</t>
        </is>
      </c>
      <c r="O712" s="32" t="inlineStr">
        <is>
          <t>45000000.0</t>
        </is>
      </c>
      <c r="P712" s="32" t="inlineStr">
        <is>
          <t>KRW</t>
        </is>
      </c>
      <c r="Q712" s="32" t="inlineStr">
        <is>
          <t>20</t>
        </is>
      </c>
    </row>
    <row r="713" ht="24" customHeight="1">
      <c r="A713" s="27" t="inlineStr">
        <is>
          <t>OpenDART_fnlttSinglAcntAll</t>
        </is>
      </c>
      <c r="B713" s="27" t="inlineStr">
        <is>
          <t>00118804</t>
        </is>
      </c>
      <c r="C713" s="27" t="inlineStr">
        <is>
          <t>동진쎄미켐</t>
        </is>
      </c>
      <c r="D713" s="27" t="inlineStr">
        <is>
          <t>dongjin_semichem</t>
        </is>
      </c>
      <c r="E713" s="27" t="inlineStr">
        <is>
          <t>005290</t>
        </is>
      </c>
      <c r="F713" s="27" t="inlineStr">
        <is>
          <t>2024</t>
        </is>
      </c>
      <c r="G713" s="27" t="inlineStr">
        <is>
          <t>CFS</t>
        </is>
      </c>
      <c r="H713" s="27" t="inlineStr">
        <is>
          <t>CF</t>
        </is>
      </c>
      <c r="I713" s="27" t="inlineStr">
        <is>
          <t>현금흐름표</t>
        </is>
      </c>
      <c r="J713" s="27" t="inlineStr">
        <is>
          <t>dart_ProceedsFromSalesOfShortTermFinancialInstruments</t>
        </is>
      </c>
      <c r="K713" s="27" t="inlineStr">
        <is>
          <t>단기금융자산의 감소</t>
        </is>
      </c>
      <c r="L713" s="27" t="inlineStr">
        <is>
          <t>-</t>
        </is>
      </c>
      <c r="M713" s="27" t="inlineStr">
        <is>
          <t>제 52 기</t>
        </is>
      </c>
      <c r="N713" s="27" t="inlineStr">
        <is>
          <t>158051600680.0</t>
        </is>
      </c>
      <c r="O713" s="27" t="inlineStr">
        <is>
          <t>152849690000.0</t>
        </is>
      </c>
      <c r="P713" s="27" t="inlineStr">
        <is>
          <t>KRW</t>
        </is>
      </c>
      <c r="Q713" s="27" t="inlineStr">
        <is>
          <t>21</t>
        </is>
      </c>
    </row>
    <row r="714" ht="24" customHeight="1">
      <c r="A714" s="32" t="inlineStr">
        <is>
          <t>OpenDART_fnlttSinglAcntAll</t>
        </is>
      </c>
      <c r="B714" s="32" t="inlineStr">
        <is>
          <t>00118804</t>
        </is>
      </c>
      <c r="C714" s="32" t="inlineStr">
        <is>
          <t>동진쎄미켐</t>
        </is>
      </c>
      <c r="D714" s="32" t="inlineStr">
        <is>
          <t>dongjin_semichem</t>
        </is>
      </c>
      <c r="E714" s="32" t="inlineStr">
        <is>
          <t>005290</t>
        </is>
      </c>
      <c r="F714" s="32" t="inlineStr">
        <is>
          <t>2024</t>
        </is>
      </c>
      <c r="G714" s="32" t="inlineStr">
        <is>
          <t>CFS</t>
        </is>
      </c>
      <c r="H714" s="32" t="inlineStr">
        <is>
          <t>CF</t>
        </is>
      </c>
      <c r="I714" s="32" t="inlineStr">
        <is>
          <t>현금흐름표</t>
        </is>
      </c>
      <c r="J714" s="32" t="inlineStr">
        <is>
          <t>dart_ProceedsFromSalesOfShortTermLoansAndReceivables</t>
        </is>
      </c>
      <c r="K714" s="32" t="inlineStr">
        <is>
          <t>단기대여금의 회수</t>
        </is>
      </c>
      <c r="L714" s="32" t="inlineStr">
        <is>
          <t>-</t>
        </is>
      </c>
      <c r="M714" s="32" t="inlineStr">
        <is>
          <t>제 52 기</t>
        </is>
      </c>
      <c r="N714" s="32" t="inlineStr">
        <is>
          <t>0.0</t>
        </is>
      </c>
      <c r="O714" s="32" t="inlineStr">
        <is>
          <t>0.0</t>
        </is>
      </c>
      <c r="P714" s="32" t="inlineStr">
        <is>
          <t>KRW</t>
        </is>
      </c>
      <c r="Q714" s="32" t="inlineStr">
        <is>
          <t>22</t>
        </is>
      </c>
    </row>
    <row r="715" ht="24" customHeight="1">
      <c r="A715" s="27" t="inlineStr">
        <is>
          <t>OpenDART_fnlttSinglAcntAll</t>
        </is>
      </c>
      <c r="B715" s="27" t="inlineStr">
        <is>
          <t>00118804</t>
        </is>
      </c>
      <c r="C715" s="27" t="inlineStr">
        <is>
          <t>동진쎄미켐</t>
        </is>
      </c>
      <c r="D715" s="27" t="inlineStr">
        <is>
          <t>dongjin_semichem</t>
        </is>
      </c>
      <c r="E715" s="27" t="inlineStr">
        <is>
          <t>005290</t>
        </is>
      </c>
      <c r="F715" s="27" t="inlineStr">
        <is>
          <t>2024</t>
        </is>
      </c>
      <c r="G715" s="27" t="inlineStr">
        <is>
          <t>CFS</t>
        </is>
      </c>
      <c r="H715" s="27" t="inlineStr">
        <is>
          <t>CF</t>
        </is>
      </c>
      <c r="I715" s="27" t="inlineStr">
        <is>
          <t>현금흐름표</t>
        </is>
      </c>
      <c r="J715" s="27" t="inlineStr">
        <is>
          <t>dart_PurchaseOfInvestmentFinancialInstruments</t>
        </is>
      </c>
      <c r="K715" s="27" t="inlineStr">
        <is>
          <t>투자금융자산의 취득</t>
        </is>
      </c>
      <c r="L715" s="27" t="inlineStr">
        <is>
          <t>-</t>
        </is>
      </c>
      <c r="M715" s="27" t="inlineStr">
        <is>
          <t>제 52 기</t>
        </is>
      </c>
      <c r="N715" s="27" t="inlineStr">
        <is>
          <t>9986481300.0</t>
        </is>
      </c>
      <c r="O715" s="27" t="inlineStr">
        <is>
          <t>0.0</t>
        </is>
      </c>
      <c r="P715" s="27" t="inlineStr">
        <is>
          <t>KRW</t>
        </is>
      </c>
      <c r="Q715" s="27" t="inlineStr">
        <is>
          <t>23</t>
        </is>
      </c>
    </row>
    <row r="716" ht="24" customHeight="1">
      <c r="A716" s="32" t="inlineStr">
        <is>
          <t>OpenDART_fnlttSinglAcntAll</t>
        </is>
      </c>
      <c r="B716" s="32" t="inlineStr">
        <is>
          <t>00118804</t>
        </is>
      </c>
      <c r="C716" s="32" t="inlineStr">
        <is>
          <t>동진쎄미켐</t>
        </is>
      </c>
      <c r="D716" s="32" t="inlineStr">
        <is>
          <t>dongjin_semichem</t>
        </is>
      </c>
      <c r="E716" s="32" t="inlineStr">
        <is>
          <t>005290</t>
        </is>
      </c>
      <c r="F716" s="32" t="inlineStr">
        <is>
          <t>2024</t>
        </is>
      </c>
      <c r="G716" s="32" t="inlineStr">
        <is>
          <t>CFS</t>
        </is>
      </c>
      <c r="H716" s="32" t="inlineStr">
        <is>
          <t>CF</t>
        </is>
      </c>
      <c r="I716" s="32" t="inlineStr">
        <is>
          <t>현금흐름표</t>
        </is>
      </c>
      <c r="J716" s="32" t="inlineStr">
        <is>
          <t>dart_PurchaseOfLongTermLoansAndReceivables</t>
        </is>
      </c>
      <c r="K716" s="32" t="inlineStr">
        <is>
          <t>장기대여금의 대여</t>
        </is>
      </c>
      <c r="L716" s="32" t="inlineStr">
        <is>
          <t>-</t>
        </is>
      </c>
      <c r="M716" s="32" t="inlineStr">
        <is>
          <t>제 52 기</t>
        </is>
      </c>
      <c r="N716" s="32" t="inlineStr">
        <is>
          <t>0.0</t>
        </is>
      </c>
      <c r="O716" s="32" t="inlineStr">
        <is>
          <t>0.0</t>
        </is>
      </c>
      <c r="P716" s="32" t="inlineStr">
        <is>
          <t>KRW</t>
        </is>
      </c>
      <c r="Q716" s="32" t="inlineStr">
        <is>
          <t>24</t>
        </is>
      </c>
    </row>
    <row r="717" ht="24" customHeight="1">
      <c r="A717" s="27" t="inlineStr">
        <is>
          <t>OpenDART_fnlttSinglAcntAll</t>
        </is>
      </c>
      <c r="B717" s="27" t="inlineStr">
        <is>
          <t>00118804</t>
        </is>
      </c>
      <c r="C717" s="27" t="inlineStr">
        <is>
          <t>동진쎄미켐</t>
        </is>
      </c>
      <c r="D717" s="27" t="inlineStr">
        <is>
          <t>dongjin_semichem</t>
        </is>
      </c>
      <c r="E717" s="27" t="inlineStr">
        <is>
          <t>005290</t>
        </is>
      </c>
      <c r="F717" s="27" t="inlineStr">
        <is>
          <t>2024</t>
        </is>
      </c>
      <c r="G717" s="27" t="inlineStr">
        <is>
          <t>CFS</t>
        </is>
      </c>
      <c r="H717" s="27" t="inlineStr">
        <is>
          <t>CF</t>
        </is>
      </c>
      <c r="I717" s="27" t="inlineStr">
        <is>
          <t>현금흐름표</t>
        </is>
      </c>
      <c r="J717" s="27" t="inlineStr">
        <is>
          <t>dart_PurchaseOfShortTermFinancialInstruments</t>
        </is>
      </c>
      <c r="K717" s="27" t="inlineStr">
        <is>
          <t>단기금융자산의 취득</t>
        </is>
      </c>
      <c r="L717" s="27" t="inlineStr">
        <is>
          <t>-</t>
        </is>
      </c>
      <c r="M717" s="27" t="inlineStr">
        <is>
          <t>제 52 기</t>
        </is>
      </c>
      <c r="N717" s="27" t="inlineStr">
        <is>
          <t>201745271160.0</t>
        </is>
      </c>
      <c r="O717" s="27" t="inlineStr">
        <is>
          <t>132649751980.0</t>
        </is>
      </c>
      <c r="P717" s="27" t="inlineStr">
        <is>
          <t>KRW</t>
        </is>
      </c>
      <c r="Q717" s="27" t="inlineStr">
        <is>
          <t>25</t>
        </is>
      </c>
    </row>
    <row r="718" ht="24" customHeight="1">
      <c r="A718" s="32" t="inlineStr">
        <is>
          <t>OpenDART_fnlttSinglAcntAll</t>
        </is>
      </c>
      <c r="B718" s="32" t="inlineStr">
        <is>
          <t>00118804</t>
        </is>
      </c>
      <c r="C718" s="32" t="inlineStr">
        <is>
          <t>동진쎄미켐</t>
        </is>
      </c>
      <c r="D718" s="32" t="inlineStr">
        <is>
          <t>dongjin_semichem</t>
        </is>
      </c>
      <c r="E718" s="32" t="inlineStr">
        <is>
          <t>005290</t>
        </is>
      </c>
      <c r="F718" s="32" t="inlineStr">
        <is>
          <t>2024</t>
        </is>
      </c>
      <c r="G718" s="32" t="inlineStr">
        <is>
          <t>CFS</t>
        </is>
      </c>
      <c r="H718" s="32" t="inlineStr">
        <is>
          <t>CF</t>
        </is>
      </c>
      <c r="I718" s="32" t="inlineStr">
        <is>
          <t>현금흐름표</t>
        </is>
      </c>
      <c r="J718" s="32" t="inlineStr">
        <is>
          <t>dart_PurchaseOfShortTermLoansAndReceivables</t>
        </is>
      </c>
      <c r="K718" s="32" t="inlineStr">
        <is>
          <t>단기대여금의 대여</t>
        </is>
      </c>
      <c r="L718" s="32" t="inlineStr">
        <is>
          <t>-</t>
        </is>
      </c>
      <c r="M718" s="32" t="inlineStr">
        <is>
          <t>제 52 기</t>
        </is>
      </c>
      <c r="N718" s="32" t="inlineStr">
        <is>
          <t>40901500000.0</t>
        </is>
      </c>
      <c r="O718" s="32" t="inlineStr">
        <is>
          <t>0.0</t>
        </is>
      </c>
      <c r="P718" s="32" t="inlineStr">
        <is>
          <t>KRW</t>
        </is>
      </c>
      <c r="Q718" s="32" t="inlineStr">
        <is>
          <t>26</t>
        </is>
      </c>
    </row>
    <row r="719" ht="24" customHeight="1">
      <c r="A719" s="27" t="inlineStr">
        <is>
          <t>OpenDART_fnlttSinglAcntAll</t>
        </is>
      </c>
      <c r="B719" s="27" t="inlineStr">
        <is>
          <t>00118804</t>
        </is>
      </c>
      <c r="C719" s="27" t="inlineStr">
        <is>
          <t>동진쎄미켐</t>
        </is>
      </c>
      <c r="D719" s="27" t="inlineStr">
        <is>
          <t>dongjin_semichem</t>
        </is>
      </c>
      <c r="E719" s="27" t="inlineStr">
        <is>
          <t>005290</t>
        </is>
      </c>
      <c r="F719" s="27" t="inlineStr">
        <is>
          <t>2024</t>
        </is>
      </c>
      <c r="G719" s="27" t="inlineStr">
        <is>
          <t>CFS</t>
        </is>
      </c>
      <c r="H719" s="27" t="inlineStr">
        <is>
          <t>CF</t>
        </is>
      </c>
      <c r="I719" s="27" t="inlineStr">
        <is>
          <t>현금흐름표</t>
        </is>
      </c>
      <c r="J719" s="27" t="inlineStr">
        <is>
          <t>ifrs-full_ProceedsFromGovernmentGrantsClassifiedAsInvestingActivities</t>
        </is>
      </c>
      <c r="K719" s="27" t="inlineStr">
        <is>
          <t>국고보조금의 수령</t>
        </is>
      </c>
      <c r="L719" s="27" t="inlineStr">
        <is>
          <t>-</t>
        </is>
      </c>
      <c r="M719" s="27" t="inlineStr">
        <is>
          <t>제 52 기</t>
        </is>
      </c>
      <c r="N719" s="27" t="inlineStr">
        <is>
          <t>1622626680.0</t>
        </is>
      </c>
      <c r="O719" s="27" t="inlineStr">
        <is>
          <t>2061678396.0</t>
        </is>
      </c>
      <c r="P719" s="27" t="inlineStr">
        <is>
          <t>KRW</t>
        </is>
      </c>
      <c r="Q719" s="27" t="inlineStr">
        <is>
          <t>27</t>
        </is>
      </c>
    </row>
    <row r="720" ht="24" customHeight="1">
      <c r="A720" s="32" t="inlineStr">
        <is>
          <t>OpenDART_fnlttSinglAcntAll</t>
        </is>
      </c>
      <c r="B720" s="32" t="inlineStr">
        <is>
          <t>00118804</t>
        </is>
      </c>
      <c r="C720" s="32" t="inlineStr">
        <is>
          <t>동진쎄미켐</t>
        </is>
      </c>
      <c r="D720" s="32" t="inlineStr">
        <is>
          <t>dongjin_semichem</t>
        </is>
      </c>
      <c r="E720" s="32" t="inlineStr">
        <is>
          <t>005290</t>
        </is>
      </c>
      <c r="F720" s="32" t="inlineStr">
        <is>
          <t>2024</t>
        </is>
      </c>
      <c r="G720" s="32" t="inlineStr">
        <is>
          <t>CFS</t>
        </is>
      </c>
      <c r="H720" s="32" t="inlineStr">
        <is>
          <t>CF</t>
        </is>
      </c>
      <c r="I720" s="32" t="inlineStr">
        <is>
          <t>현금흐름표</t>
        </is>
      </c>
      <c r="J720" s="32" t="inlineStr">
        <is>
          <t>ifrs-full_ProceedsFromSalesOfIntangibleAssetsClassifiedAsInvestingActivities</t>
        </is>
      </c>
      <c r="K720" s="32" t="inlineStr">
        <is>
          <t>무형자산의 처분</t>
        </is>
      </c>
      <c r="L720" s="32" t="inlineStr">
        <is>
          <t>-</t>
        </is>
      </c>
      <c r="M720" s="32" t="inlineStr">
        <is>
          <t>제 52 기</t>
        </is>
      </c>
      <c r="N720" s="32" t="inlineStr">
        <is>
          <t>0.0</t>
        </is>
      </c>
      <c r="O720" s="32" t="inlineStr">
        <is>
          <t>0.0</t>
        </is>
      </c>
      <c r="P720" s="32" t="inlineStr">
        <is>
          <t>KRW</t>
        </is>
      </c>
      <c r="Q720" s="32" t="inlineStr">
        <is>
          <t>28</t>
        </is>
      </c>
    </row>
    <row r="721" ht="24" customHeight="1">
      <c r="A721" s="27" t="inlineStr">
        <is>
          <t>OpenDART_fnlttSinglAcntAll</t>
        </is>
      </c>
      <c r="B721" s="27" t="inlineStr">
        <is>
          <t>00118804</t>
        </is>
      </c>
      <c r="C721" s="27" t="inlineStr">
        <is>
          <t>동진쎄미켐</t>
        </is>
      </c>
      <c r="D721" s="27" t="inlineStr">
        <is>
          <t>dongjin_semichem</t>
        </is>
      </c>
      <c r="E721" s="27" t="inlineStr">
        <is>
          <t>005290</t>
        </is>
      </c>
      <c r="F721" s="27" t="inlineStr">
        <is>
          <t>2024</t>
        </is>
      </c>
      <c r="G721" s="27" t="inlineStr">
        <is>
          <t>CFS</t>
        </is>
      </c>
      <c r="H721" s="27" t="inlineStr">
        <is>
          <t>CF</t>
        </is>
      </c>
      <c r="I721" s="27" t="inlineStr">
        <is>
          <t>현금흐름표</t>
        </is>
      </c>
      <c r="J721" s="27" t="inlineStr">
        <is>
          <t>ifrs-full_ProceedsFromSalesOfPropertyPlantAndEquipmentClassifiedAsInvestingActivities</t>
        </is>
      </c>
      <c r="K721" s="27" t="inlineStr">
        <is>
          <t>유형자산의 처분</t>
        </is>
      </c>
      <c r="L721" s="27" t="inlineStr">
        <is>
          <t>-</t>
        </is>
      </c>
      <c r="M721" s="27" t="inlineStr">
        <is>
          <t>제 52 기</t>
        </is>
      </c>
      <c r="N721" s="27" t="inlineStr">
        <is>
          <t>685227889.0</t>
        </is>
      </c>
      <c r="O721" s="27" t="inlineStr">
        <is>
          <t>287475564.0</t>
        </is>
      </c>
      <c r="P721" s="27" t="inlineStr">
        <is>
          <t>KRW</t>
        </is>
      </c>
      <c r="Q721" s="27" t="inlineStr">
        <is>
          <t>29</t>
        </is>
      </c>
    </row>
    <row r="722" ht="24" customHeight="1">
      <c r="A722" s="32" t="inlineStr">
        <is>
          <t>OpenDART_fnlttSinglAcntAll</t>
        </is>
      </c>
      <c r="B722" s="32" t="inlineStr">
        <is>
          <t>00118804</t>
        </is>
      </c>
      <c r="C722" s="32" t="inlineStr">
        <is>
          <t>동진쎄미켐</t>
        </is>
      </c>
      <c r="D722" s="32" t="inlineStr">
        <is>
          <t>dongjin_semichem</t>
        </is>
      </c>
      <c r="E722" s="32" t="inlineStr">
        <is>
          <t>005290</t>
        </is>
      </c>
      <c r="F722" s="32" t="inlineStr">
        <is>
          <t>2024</t>
        </is>
      </c>
      <c r="G722" s="32" t="inlineStr">
        <is>
          <t>CFS</t>
        </is>
      </c>
      <c r="H722" s="32" t="inlineStr">
        <is>
          <t>CF</t>
        </is>
      </c>
      <c r="I722" s="32" t="inlineStr">
        <is>
          <t>현금흐름표</t>
        </is>
      </c>
      <c r="J722" s="32" t="inlineStr">
        <is>
          <t>ifrs-full_PurchaseOfIntangibleAssetsClassifiedAsInvestingActivities</t>
        </is>
      </c>
      <c r="K722" s="32" t="inlineStr">
        <is>
          <t>무형자산의 취득</t>
        </is>
      </c>
      <c r="L722" s="32" t="inlineStr">
        <is>
          <t>-</t>
        </is>
      </c>
      <c r="M722" s="32" t="inlineStr">
        <is>
          <t>제 52 기</t>
        </is>
      </c>
      <c r="N722" s="32" t="inlineStr">
        <is>
          <t>3589079921.0</t>
        </is>
      </c>
      <c r="O722" s="32" t="inlineStr">
        <is>
          <t>1128058465.0</t>
        </is>
      </c>
      <c r="P722" s="32" t="inlineStr">
        <is>
          <t>KRW</t>
        </is>
      </c>
      <c r="Q722" s="32" t="inlineStr">
        <is>
          <t>30</t>
        </is>
      </c>
    </row>
    <row r="723" ht="24" customHeight="1">
      <c r="A723" s="27" t="inlineStr">
        <is>
          <t>OpenDART_fnlttSinglAcntAll</t>
        </is>
      </c>
      <c r="B723" s="27" t="inlineStr">
        <is>
          <t>00118804</t>
        </is>
      </c>
      <c r="C723" s="27" t="inlineStr">
        <is>
          <t>동진쎄미켐</t>
        </is>
      </c>
      <c r="D723" s="27" t="inlineStr">
        <is>
          <t>dongjin_semichem</t>
        </is>
      </c>
      <c r="E723" s="27" t="inlineStr">
        <is>
          <t>005290</t>
        </is>
      </c>
      <c r="F723" s="27" t="inlineStr">
        <is>
          <t>2024</t>
        </is>
      </c>
      <c r="G723" s="27" t="inlineStr">
        <is>
          <t>CFS</t>
        </is>
      </c>
      <c r="H723" s="27" t="inlineStr">
        <is>
          <t>CF</t>
        </is>
      </c>
      <c r="I723" s="27" t="inlineStr">
        <is>
          <t>현금흐름표</t>
        </is>
      </c>
      <c r="J723" s="27" t="inlineStr">
        <is>
          <t>ifrs-full_PurchaseOfPropertyPlantAndEquipmentClassifiedAsInvestingActivities</t>
        </is>
      </c>
      <c r="K723" s="27" t="inlineStr">
        <is>
          <t>유형자산의 취득</t>
        </is>
      </c>
      <c r="L723" s="27" t="inlineStr">
        <is>
          <t>-</t>
        </is>
      </c>
      <c r="M723" s="27" t="inlineStr">
        <is>
          <t>제 52 기</t>
        </is>
      </c>
      <c r="N723" s="27" t="inlineStr">
        <is>
          <t>171878113317.0</t>
        </is>
      </c>
      <c r="O723" s="27" t="inlineStr">
        <is>
          <t>282834143234.0</t>
        </is>
      </c>
      <c r="P723" s="27" t="inlineStr">
        <is>
          <t>KRW</t>
        </is>
      </c>
      <c r="Q723" s="27" t="inlineStr">
        <is>
          <t>31</t>
        </is>
      </c>
    </row>
    <row r="724" ht="24" customHeight="1">
      <c r="A724" s="32" t="inlineStr">
        <is>
          <t>OpenDART_fnlttSinglAcntAll</t>
        </is>
      </c>
      <c r="B724" s="32" t="inlineStr">
        <is>
          <t>00118804</t>
        </is>
      </c>
      <c r="C724" s="32" t="inlineStr">
        <is>
          <t>동진쎄미켐</t>
        </is>
      </c>
      <c r="D724" s="32" t="inlineStr">
        <is>
          <t>dongjin_semichem</t>
        </is>
      </c>
      <c r="E724" s="32" t="inlineStr">
        <is>
          <t>005290</t>
        </is>
      </c>
      <c r="F724" s="32" t="inlineStr">
        <is>
          <t>2024</t>
        </is>
      </c>
      <c r="G724" s="32" t="inlineStr">
        <is>
          <t>CFS</t>
        </is>
      </c>
      <c r="H724" s="32" t="inlineStr">
        <is>
          <t>CF</t>
        </is>
      </c>
      <c r="I724" s="32" t="inlineStr">
        <is>
          <t>현금흐름표</t>
        </is>
      </c>
      <c r="J724" s="32" t="inlineStr">
        <is>
          <t>ifrs-full_CashFlowsFromUsedInOperatingActivities</t>
        </is>
      </c>
      <c r="K724" s="32" t="inlineStr">
        <is>
          <t>영업활동으로 인한 현금흐름</t>
        </is>
      </c>
      <c r="L724" s="32" t="inlineStr">
        <is>
          <t>-</t>
        </is>
      </c>
      <c r="M724" s="32" t="inlineStr">
        <is>
          <t>제 52 기</t>
        </is>
      </c>
      <c r="N724" s="32" t="inlineStr">
        <is>
          <t>226861923132.0</t>
        </is>
      </c>
      <c r="O724" s="32" t="inlineStr">
        <is>
          <t>114685604318.0</t>
        </is>
      </c>
      <c r="P724" s="32" t="inlineStr">
        <is>
          <t>KRW</t>
        </is>
      </c>
      <c r="Q724" s="32" t="inlineStr">
        <is>
          <t>32</t>
        </is>
      </c>
    </row>
    <row r="725" ht="24" customHeight="1">
      <c r="A725" s="27" t="inlineStr">
        <is>
          <t>OpenDART_fnlttSinglAcntAll</t>
        </is>
      </c>
      <c r="B725" s="27" t="inlineStr">
        <is>
          <t>00118804</t>
        </is>
      </c>
      <c r="C725" s="27" t="inlineStr">
        <is>
          <t>동진쎄미켐</t>
        </is>
      </c>
      <c r="D725" s="27" t="inlineStr">
        <is>
          <t>dongjin_semichem</t>
        </is>
      </c>
      <c r="E725" s="27" t="inlineStr">
        <is>
          <t>005290</t>
        </is>
      </c>
      <c r="F725" s="27" t="inlineStr">
        <is>
          <t>2024</t>
        </is>
      </c>
      <c r="G725" s="27" t="inlineStr">
        <is>
          <t>CFS</t>
        </is>
      </c>
      <c r="H725" s="27" t="inlineStr">
        <is>
          <t>CF</t>
        </is>
      </c>
      <c r="I725" s="27" t="inlineStr">
        <is>
          <t>현금흐름표</t>
        </is>
      </c>
      <c r="J725" s="27" t="inlineStr">
        <is>
          <t>dart_NetCashflowsFromUsedInOperations</t>
        </is>
      </c>
      <c r="K725" s="27" t="inlineStr">
        <is>
          <t>영업에서 창출된 현금</t>
        </is>
      </c>
      <c r="L725" s="27" t="inlineStr">
        <is>
          <t>-</t>
        </is>
      </c>
      <c r="M725" s="27" t="inlineStr">
        <is>
          <t>제 52 기</t>
        </is>
      </c>
      <c r="N725" s="27" t="inlineStr">
        <is>
          <t>263794798341.0</t>
        </is>
      </c>
      <c r="O725" s="27" t="inlineStr">
        <is>
          <t>199335171960.0</t>
        </is>
      </c>
      <c r="P725" s="27" t="inlineStr">
        <is>
          <t>KRW</t>
        </is>
      </c>
      <c r="Q725" s="27" t="inlineStr">
        <is>
          <t>33</t>
        </is>
      </c>
    </row>
    <row r="726" ht="24" customHeight="1">
      <c r="A726" s="32" t="inlineStr">
        <is>
          <t>OpenDART_fnlttSinglAcntAll</t>
        </is>
      </c>
      <c r="B726" s="32" t="inlineStr">
        <is>
          <t>00118804</t>
        </is>
      </c>
      <c r="C726" s="32" t="inlineStr">
        <is>
          <t>동진쎄미켐</t>
        </is>
      </c>
      <c r="D726" s="32" t="inlineStr">
        <is>
          <t>dongjin_semichem</t>
        </is>
      </c>
      <c r="E726" s="32" t="inlineStr">
        <is>
          <t>005290</t>
        </is>
      </c>
      <c r="F726" s="32" t="inlineStr">
        <is>
          <t>2024</t>
        </is>
      </c>
      <c r="G726" s="32" t="inlineStr">
        <is>
          <t>CFS</t>
        </is>
      </c>
      <c r="H726" s="32" t="inlineStr">
        <is>
          <t>CF</t>
        </is>
      </c>
      <c r="I726" s="32" t="inlineStr">
        <is>
          <t>현금흐름표</t>
        </is>
      </c>
      <c r="J726" s="32" t="inlineStr">
        <is>
          <t>dart_AdjustmentsForAssetsLiabilitiesOfOperatingActivities</t>
        </is>
      </c>
      <c r="K726" s="32" t="inlineStr">
        <is>
          <t>자산부채의 증감</t>
        </is>
      </c>
      <c r="L726" s="32" t="inlineStr">
        <is>
          <t>-</t>
        </is>
      </c>
      <c r="M726" s="32" t="inlineStr">
        <is>
          <t>제 52 기</t>
        </is>
      </c>
      <c r="N726" s="32" t="inlineStr">
        <is>
          <t>-41000638509.0</t>
        </is>
      </c>
      <c r="O726" s="32" t="inlineStr">
        <is>
          <t>-43443885294.0</t>
        </is>
      </c>
      <c r="P726" s="32" t="inlineStr">
        <is>
          <t>KRW</t>
        </is>
      </c>
      <c r="Q726" s="32" t="inlineStr">
        <is>
          <t>34</t>
        </is>
      </c>
    </row>
    <row r="727" ht="24" customHeight="1">
      <c r="A727" s="27" t="inlineStr">
        <is>
          <t>OpenDART_fnlttSinglAcntAll</t>
        </is>
      </c>
      <c r="B727" s="27" t="inlineStr">
        <is>
          <t>00118804</t>
        </is>
      </c>
      <c r="C727" s="27" t="inlineStr">
        <is>
          <t>동진쎄미켐</t>
        </is>
      </c>
      <c r="D727" s="27" t="inlineStr">
        <is>
          <t>dongjin_semichem</t>
        </is>
      </c>
      <c r="E727" s="27" t="inlineStr">
        <is>
          <t>005290</t>
        </is>
      </c>
      <c r="F727" s="27" t="inlineStr">
        <is>
          <t>2024</t>
        </is>
      </c>
      <c r="G727" s="27" t="inlineStr">
        <is>
          <t>CFS</t>
        </is>
      </c>
      <c r="H727" s="27" t="inlineStr">
        <is>
          <t>CF</t>
        </is>
      </c>
      <c r="I727" s="27" t="inlineStr">
        <is>
          <t>현금흐름표</t>
        </is>
      </c>
      <c r="J727" s="27" t="inlineStr">
        <is>
          <t>dart_AdjustmentsForDecreaseincreaseInOtherCurrentFinancialAssets</t>
        </is>
      </c>
      <c r="K727" s="27" t="inlineStr">
        <is>
          <t>기타유동금융채권의 감소(증가)</t>
        </is>
      </c>
      <c r="L727" s="27" t="inlineStr">
        <is>
          <t>-</t>
        </is>
      </c>
      <c r="M727" s="27" t="inlineStr">
        <is>
          <t>제 52 기</t>
        </is>
      </c>
      <c r="N727" s="27" t="inlineStr">
        <is>
          <t>-1034281145.0</t>
        </is>
      </c>
      <c r="O727" s="27" t="inlineStr">
        <is>
          <t>101134206.0</t>
        </is>
      </c>
      <c r="P727" s="27" t="inlineStr">
        <is>
          <t>KRW</t>
        </is>
      </c>
      <c r="Q727" s="27" t="inlineStr">
        <is>
          <t>35</t>
        </is>
      </c>
    </row>
    <row r="728" ht="24" customHeight="1">
      <c r="A728" s="32" t="inlineStr">
        <is>
          <t>OpenDART_fnlttSinglAcntAll</t>
        </is>
      </c>
      <c r="B728" s="32" t="inlineStr">
        <is>
          <t>00118804</t>
        </is>
      </c>
      <c r="C728" s="32" t="inlineStr">
        <is>
          <t>동진쎄미켐</t>
        </is>
      </c>
      <c r="D728" s="32" t="inlineStr">
        <is>
          <t>dongjin_semichem</t>
        </is>
      </c>
      <c r="E728" s="32" t="inlineStr">
        <is>
          <t>005290</t>
        </is>
      </c>
      <c r="F728" s="32" t="inlineStr">
        <is>
          <t>2024</t>
        </is>
      </c>
      <c r="G728" s="32" t="inlineStr">
        <is>
          <t>CFS</t>
        </is>
      </c>
      <c r="H728" s="32" t="inlineStr">
        <is>
          <t>CF</t>
        </is>
      </c>
      <c r="I728" s="32" t="inlineStr">
        <is>
          <t>현금흐름표</t>
        </is>
      </c>
      <c r="J728" s="32" t="inlineStr">
        <is>
          <t>dart_AdjustmentsForDecreaseincreaseInOtherNonCurrentFinancialAssets</t>
        </is>
      </c>
      <c r="K728" s="32" t="inlineStr">
        <is>
          <t>기타비유동금융채권의 감소(증가)</t>
        </is>
      </c>
      <c r="L728" s="32" t="inlineStr">
        <is>
          <t>-</t>
        </is>
      </c>
      <c r="M728" s="32" t="inlineStr">
        <is>
          <t>제 52 기</t>
        </is>
      </c>
      <c r="N728" s="32" t="inlineStr">
        <is>
          <t>-156758151.0</t>
        </is>
      </c>
      <c r="O728" s="32" t="inlineStr">
        <is>
          <t>442593570.0</t>
        </is>
      </c>
      <c r="P728" s="32" t="inlineStr">
        <is>
          <t>KRW</t>
        </is>
      </c>
      <c r="Q728" s="32" t="inlineStr">
        <is>
          <t>36</t>
        </is>
      </c>
    </row>
    <row r="729" ht="24" customHeight="1">
      <c r="A729" s="27" t="inlineStr">
        <is>
          <t>OpenDART_fnlttSinglAcntAll</t>
        </is>
      </c>
      <c r="B729" s="27" t="inlineStr">
        <is>
          <t>00118804</t>
        </is>
      </c>
      <c r="C729" s="27" t="inlineStr">
        <is>
          <t>동진쎄미켐</t>
        </is>
      </c>
      <c r="D729" s="27" t="inlineStr">
        <is>
          <t>dongjin_semichem</t>
        </is>
      </c>
      <c r="E729" s="27" t="inlineStr">
        <is>
          <t>005290</t>
        </is>
      </c>
      <c r="F729" s="27" t="inlineStr">
        <is>
          <t>2024</t>
        </is>
      </c>
      <c r="G729" s="27" t="inlineStr">
        <is>
          <t>CFS</t>
        </is>
      </c>
      <c r="H729" s="27" t="inlineStr">
        <is>
          <t>CF</t>
        </is>
      </c>
      <c r="I729" s="27" t="inlineStr">
        <is>
          <t>현금흐름표</t>
        </is>
      </c>
      <c r="J729" s="27" t="inlineStr">
        <is>
          <t>dart_AdjustmentsForDecreaseincreaseInOtherNonCurrentNonFinancialAssets</t>
        </is>
      </c>
      <c r="K729" s="27" t="inlineStr">
        <is>
          <t>기타비유동자산의 증가</t>
        </is>
      </c>
      <c r="L729" s="27" t="inlineStr">
        <is>
          <t>-</t>
        </is>
      </c>
      <c r="M729" s="27" t="inlineStr">
        <is>
          <t>제 52 기</t>
        </is>
      </c>
      <c r="N729" s="27" t="inlineStr">
        <is>
          <t>-11833920.0</t>
        </is>
      </c>
      <c r="O729" s="27" t="inlineStr">
        <is>
          <t>-720726769.0</t>
        </is>
      </c>
      <c r="P729" s="27" t="inlineStr">
        <is>
          <t>KRW</t>
        </is>
      </c>
      <c r="Q729" s="27" t="inlineStr">
        <is>
          <t>37</t>
        </is>
      </c>
    </row>
    <row r="730" ht="24" customHeight="1">
      <c r="A730" s="32" t="inlineStr">
        <is>
          <t>OpenDART_fnlttSinglAcntAll</t>
        </is>
      </c>
      <c r="B730" s="32" t="inlineStr">
        <is>
          <t>00118804</t>
        </is>
      </c>
      <c r="C730" s="32" t="inlineStr">
        <is>
          <t>동진쎄미켐</t>
        </is>
      </c>
      <c r="D730" s="32" t="inlineStr">
        <is>
          <t>dongjin_semichem</t>
        </is>
      </c>
      <c r="E730" s="32" t="inlineStr">
        <is>
          <t>005290</t>
        </is>
      </c>
      <c r="F730" s="32" t="inlineStr">
        <is>
          <t>2024</t>
        </is>
      </c>
      <c r="G730" s="32" t="inlineStr">
        <is>
          <t>CFS</t>
        </is>
      </c>
      <c r="H730" s="32" t="inlineStr">
        <is>
          <t>CF</t>
        </is>
      </c>
      <c r="I730" s="32" t="inlineStr">
        <is>
          <t>현금흐름표</t>
        </is>
      </c>
      <c r="J730" s="32" t="inlineStr">
        <is>
          <t>dart_AdjustmentsForIncreasedecreaseInOtherCurrentFinancialLiabilities</t>
        </is>
      </c>
      <c r="K730" s="32" t="inlineStr">
        <is>
          <t>기타유동금융채무의 증가(감소)</t>
        </is>
      </c>
      <c r="L730" s="32" t="inlineStr">
        <is>
          <t>-</t>
        </is>
      </c>
      <c r="M730" s="32" t="inlineStr">
        <is>
          <t>제 52 기</t>
        </is>
      </c>
      <c r="N730" s="32" t="inlineStr">
        <is>
          <t>129524343.0</t>
        </is>
      </c>
      <c r="O730" s="32" t="inlineStr">
        <is>
          <t>-8393955428.0</t>
        </is>
      </c>
      <c r="P730" s="32" t="inlineStr">
        <is>
          <t>KRW</t>
        </is>
      </c>
      <c r="Q730" s="32" t="inlineStr">
        <is>
          <t>38</t>
        </is>
      </c>
    </row>
    <row r="731" ht="24" customHeight="1">
      <c r="A731" s="27" t="inlineStr">
        <is>
          <t>OpenDART_fnlttSinglAcntAll</t>
        </is>
      </c>
      <c r="B731" s="27" t="inlineStr">
        <is>
          <t>00118804</t>
        </is>
      </c>
      <c r="C731" s="27" t="inlineStr">
        <is>
          <t>동진쎄미켐</t>
        </is>
      </c>
      <c r="D731" s="27" t="inlineStr">
        <is>
          <t>dongjin_semichem</t>
        </is>
      </c>
      <c r="E731" s="27" t="inlineStr">
        <is>
          <t>005290</t>
        </is>
      </c>
      <c r="F731" s="27" t="inlineStr">
        <is>
          <t>2024</t>
        </is>
      </c>
      <c r="G731" s="27" t="inlineStr">
        <is>
          <t>CFS</t>
        </is>
      </c>
      <c r="H731" s="27" t="inlineStr">
        <is>
          <t>CF</t>
        </is>
      </c>
      <c r="I731" s="27" t="inlineStr">
        <is>
          <t>현금흐름표</t>
        </is>
      </c>
      <c r="J731" s="27" t="inlineStr">
        <is>
          <t>dart_AdjustmentsForIncreasedecreaseInOtherCurrentNonFinancialLiabilities</t>
        </is>
      </c>
      <c r="K731" s="27" t="inlineStr">
        <is>
          <t>기타유동부채의 증가(감소)</t>
        </is>
      </c>
      <c r="L731" s="27" t="inlineStr">
        <is>
          <t>-</t>
        </is>
      </c>
      <c r="M731" s="27" t="inlineStr">
        <is>
          <t>제 52 기</t>
        </is>
      </c>
      <c r="N731" s="27" t="inlineStr">
        <is>
          <t>6734045152.0</t>
        </is>
      </c>
      <c r="O731" s="27" t="inlineStr">
        <is>
          <t>-1651462624.0</t>
        </is>
      </c>
      <c r="P731" s="27" t="inlineStr">
        <is>
          <t>KRW</t>
        </is>
      </c>
      <c r="Q731" s="27" t="inlineStr">
        <is>
          <t>39</t>
        </is>
      </c>
    </row>
    <row r="732" ht="24" customHeight="1">
      <c r="A732" s="32" t="inlineStr">
        <is>
          <t>OpenDART_fnlttSinglAcntAll</t>
        </is>
      </c>
      <c r="B732" s="32" t="inlineStr">
        <is>
          <t>00118804</t>
        </is>
      </c>
      <c r="C732" s="32" t="inlineStr">
        <is>
          <t>동진쎄미켐</t>
        </is>
      </c>
      <c r="D732" s="32" t="inlineStr">
        <is>
          <t>dongjin_semichem</t>
        </is>
      </c>
      <c r="E732" s="32" t="inlineStr">
        <is>
          <t>005290</t>
        </is>
      </c>
      <c r="F732" s="32" t="inlineStr">
        <is>
          <t>2024</t>
        </is>
      </c>
      <c r="G732" s="32" t="inlineStr">
        <is>
          <t>CFS</t>
        </is>
      </c>
      <c r="H732" s="32" t="inlineStr">
        <is>
          <t>CF</t>
        </is>
      </c>
      <c r="I732" s="32" t="inlineStr">
        <is>
          <t>현금흐름표</t>
        </is>
      </c>
      <c r="J732" s="32" t="inlineStr">
        <is>
          <t>dart_AdjustmentsForIncreasedecreaseInOtherNonCurrentFinancialLiabilities</t>
        </is>
      </c>
      <c r="K732" s="32" t="inlineStr">
        <is>
          <t>기타비유동금융채무의 증가(감소)</t>
        </is>
      </c>
      <c r="L732" s="32" t="inlineStr">
        <is>
          <t>-</t>
        </is>
      </c>
      <c r="M732" s="32" t="inlineStr">
        <is>
          <t>제 52 기</t>
        </is>
      </c>
      <c r="N732" s="32" t="inlineStr">
        <is>
          <t>613637229.0</t>
        </is>
      </c>
      <c r="O732" s="32" t="inlineStr">
        <is>
          <t>-56026500.0</t>
        </is>
      </c>
      <c r="P732" s="32" t="inlineStr">
        <is>
          <t>KRW</t>
        </is>
      </c>
      <c r="Q732" s="32" t="inlineStr">
        <is>
          <t>40</t>
        </is>
      </c>
    </row>
    <row r="733" ht="24" customHeight="1">
      <c r="A733" s="27" t="inlineStr">
        <is>
          <t>OpenDART_fnlttSinglAcntAll</t>
        </is>
      </c>
      <c r="B733" s="27" t="inlineStr">
        <is>
          <t>00118804</t>
        </is>
      </c>
      <c r="C733" s="27" t="inlineStr">
        <is>
          <t>동진쎄미켐</t>
        </is>
      </c>
      <c r="D733" s="27" t="inlineStr">
        <is>
          <t>dongjin_semichem</t>
        </is>
      </c>
      <c r="E733" s="27" t="inlineStr">
        <is>
          <t>005290</t>
        </is>
      </c>
      <c r="F733" s="27" t="inlineStr">
        <is>
          <t>2024</t>
        </is>
      </c>
      <c r="G733" s="27" t="inlineStr">
        <is>
          <t>CFS</t>
        </is>
      </c>
      <c r="H733" s="27" t="inlineStr">
        <is>
          <t>CF</t>
        </is>
      </c>
      <c r="I733" s="27" t="inlineStr">
        <is>
          <t>현금흐름표</t>
        </is>
      </c>
      <c r="J733" s="27" t="inlineStr">
        <is>
          <t>dart_AdjustmentsForIncreasedecreaseInPresentValueOfDefinedBenefitObligation</t>
        </is>
      </c>
      <c r="K733" s="27" t="inlineStr">
        <is>
          <t>퇴직금 지급액</t>
        </is>
      </c>
      <c r="L733" s="27" t="inlineStr">
        <is>
          <t>-</t>
        </is>
      </c>
      <c r="M733" s="27" t="inlineStr">
        <is>
          <t>제 52 기</t>
        </is>
      </c>
      <c r="N733" s="27" t="inlineStr">
        <is>
          <t>-5801851143.0</t>
        </is>
      </c>
      <c r="O733" s="27" t="inlineStr">
        <is>
          <t>-3856819991.0</t>
        </is>
      </c>
      <c r="P733" s="27" t="inlineStr">
        <is>
          <t>KRW</t>
        </is>
      </c>
      <c r="Q733" s="27" t="inlineStr">
        <is>
          <t>41</t>
        </is>
      </c>
    </row>
    <row r="734" ht="24" customHeight="1">
      <c r="A734" s="32" t="inlineStr">
        <is>
          <t>OpenDART_fnlttSinglAcntAll</t>
        </is>
      </c>
      <c r="B734" s="32" t="inlineStr">
        <is>
          <t>00118804</t>
        </is>
      </c>
      <c r="C734" s="32" t="inlineStr">
        <is>
          <t>동진쎄미켐</t>
        </is>
      </c>
      <c r="D734" s="32" t="inlineStr">
        <is>
          <t>dongjin_semichem</t>
        </is>
      </c>
      <c r="E734" s="32" t="inlineStr">
        <is>
          <t>005290</t>
        </is>
      </c>
      <c r="F734" s="32" t="inlineStr">
        <is>
          <t>2024</t>
        </is>
      </c>
      <c r="G734" s="32" t="inlineStr">
        <is>
          <t>CFS</t>
        </is>
      </c>
      <c r="H734" s="32" t="inlineStr">
        <is>
          <t>CF</t>
        </is>
      </c>
      <c r="I734" s="32" t="inlineStr">
        <is>
          <t>현금흐름표</t>
        </is>
      </c>
      <c r="J734" s="32" t="inlineStr">
        <is>
          <t>-표준계정코드 미사용-</t>
        </is>
      </c>
      <c r="K734" s="32" t="inlineStr">
        <is>
          <t>사외적립자산의 증가</t>
        </is>
      </c>
      <c r="L734" s="32" t="inlineStr">
        <is>
          <t>-</t>
        </is>
      </c>
      <c r="M734" s="32" t="inlineStr">
        <is>
          <t>제 52 기</t>
        </is>
      </c>
      <c r="N734" s="32" t="inlineStr">
        <is>
          <t>-18890790523.0</t>
        </is>
      </c>
      <c r="O734" s="32" t="inlineStr">
        <is>
          <t>-9783061808.0</t>
        </is>
      </c>
      <c r="P734" s="32" t="inlineStr">
        <is>
          <t>KRW</t>
        </is>
      </c>
      <c r="Q734" s="32" t="inlineStr">
        <is>
          <t>42</t>
        </is>
      </c>
    </row>
    <row r="735" ht="24" customHeight="1">
      <c r="A735" s="27" t="inlineStr">
        <is>
          <t>OpenDART_fnlttSinglAcntAll</t>
        </is>
      </c>
      <c r="B735" s="27" t="inlineStr">
        <is>
          <t>00118804</t>
        </is>
      </c>
      <c r="C735" s="27" t="inlineStr">
        <is>
          <t>동진쎄미켐</t>
        </is>
      </c>
      <c r="D735" s="27" t="inlineStr">
        <is>
          <t>dongjin_semichem</t>
        </is>
      </c>
      <c r="E735" s="27" t="inlineStr">
        <is>
          <t>005290</t>
        </is>
      </c>
      <c r="F735" s="27" t="inlineStr">
        <is>
          <t>2024</t>
        </is>
      </c>
      <c r="G735" s="27" t="inlineStr">
        <is>
          <t>CFS</t>
        </is>
      </c>
      <c r="H735" s="27" t="inlineStr">
        <is>
          <t>CF</t>
        </is>
      </c>
      <c r="I735" s="27" t="inlineStr">
        <is>
          <t>현금흐름표</t>
        </is>
      </c>
      <c r="J735" s="27" t="inlineStr">
        <is>
          <t>-표준계정코드 미사용-</t>
        </is>
      </c>
      <c r="K735" s="27" t="inlineStr">
        <is>
          <t>기타 영업활동으로 인한 자산부채의 증감</t>
        </is>
      </c>
      <c r="L735" s="27" t="inlineStr">
        <is>
          <t>-</t>
        </is>
      </c>
      <c r="M735" s="27" t="inlineStr">
        <is>
          <t>제 52 기</t>
        </is>
      </c>
      <c r="N735" s="27" t="inlineStr">
        <is>
          <t>82448850.0</t>
        </is>
      </c>
      <c r="O735" s="27" t="inlineStr">
        <is>
          <t>131120673.0</t>
        </is>
      </c>
      <c r="P735" s="27" t="inlineStr">
        <is>
          <t>KRW</t>
        </is>
      </c>
      <c r="Q735" s="27" t="inlineStr">
        <is>
          <t>43</t>
        </is>
      </c>
    </row>
    <row r="736" ht="24" customHeight="1">
      <c r="A736" s="32" t="inlineStr">
        <is>
          <t>OpenDART_fnlttSinglAcntAll</t>
        </is>
      </c>
      <c r="B736" s="32" t="inlineStr">
        <is>
          <t>00118804</t>
        </is>
      </c>
      <c r="C736" s="32" t="inlineStr">
        <is>
          <t>동진쎄미켐</t>
        </is>
      </c>
      <c r="D736" s="32" t="inlineStr">
        <is>
          <t>dongjin_semichem</t>
        </is>
      </c>
      <c r="E736" s="32" t="inlineStr">
        <is>
          <t>005290</t>
        </is>
      </c>
      <c r="F736" s="32" t="inlineStr">
        <is>
          <t>2024</t>
        </is>
      </c>
      <c r="G736" s="32" t="inlineStr">
        <is>
          <t>CFS</t>
        </is>
      </c>
      <c r="H736" s="32" t="inlineStr">
        <is>
          <t>CF</t>
        </is>
      </c>
      <c r="I736" s="32" t="inlineStr">
        <is>
          <t>현금흐름표</t>
        </is>
      </c>
      <c r="J736" s="32" t="inlineStr">
        <is>
          <t>-표준계정코드 미사용-</t>
        </is>
      </c>
      <c r="K736" s="32" t="inlineStr">
        <is>
          <t>관계회사퇴직금의 전출</t>
        </is>
      </c>
      <c r="L736" s="32" t="inlineStr">
        <is>
          <t>-</t>
        </is>
      </c>
      <c r="M736" s="32" t="inlineStr">
        <is>
          <t>제 52 기</t>
        </is>
      </c>
      <c r="N736" s="32" t="inlineStr">
        <is>
          <t>268874500.0</t>
        </is>
      </c>
      <c r="O736" s="32" t="inlineStr">
        <is>
          <t>0.0</t>
        </is>
      </c>
      <c r="P736" s="32" t="inlineStr">
        <is>
          <t>KRW</t>
        </is>
      </c>
      <c r="Q736" s="32" t="inlineStr">
        <is>
          <t>44</t>
        </is>
      </c>
    </row>
    <row r="737" ht="24" customHeight="1">
      <c r="A737" s="27" t="inlineStr">
        <is>
          <t>OpenDART_fnlttSinglAcntAll</t>
        </is>
      </c>
      <c r="B737" s="27" t="inlineStr">
        <is>
          <t>00118804</t>
        </is>
      </c>
      <c r="C737" s="27" t="inlineStr">
        <is>
          <t>동진쎄미켐</t>
        </is>
      </c>
      <c r="D737" s="27" t="inlineStr">
        <is>
          <t>dongjin_semichem</t>
        </is>
      </c>
      <c r="E737" s="27" t="inlineStr">
        <is>
          <t>005290</t>
        </is>
      </c>
      <c r="F737" s="27" t="inlineStr">
        <is>
          <t>2024</t>
        </is>
      </c>
      <c r="G737" s="27" t="inlineStr">
        <is>
          <t>CFS</t>
        </is>
      </c>
      <c r="H737" s="27" t="inlineStr">
        <is>
          <t>CF</t>
        </is>
      </c>
      <c r="I737" s="27" t="inlineStr">
        <is>
          <t>현금흐름표</t>
        </is>
      </c>
      <c r="J737" s="27" t="inlineStr">
        <is>
          <t>ifrs-full_AdjustmentsForDecreaseIncreaseInInventories</t>
        </is>
      </c>
      <c r="K737" s="27" t="inlineStr">
        <is>
          <t>재고자산의 증가</t>
        </is>
      </c>
      <c r="L737" s="27" t="inlineStr">
        <is>
          <t>-</t>
        </is>
      </c>
      <c r="M737" s="27" t="inlineStr">
        <is>
          <t>제 52 기</t>
        </is>
      </c>
      <c r="N737" s="27" t="inlineStr">
        <is>
          <t>-11842716166.0</t>
        </is>
      </c>
      <c r="O737" s="27" t="inlineStr">
        <is>
          <t>-7317680047.0</t>
        </is>
      </c>
      <c r="P737" s="27" t="inlineStr">
        <is>
          <t>KRW</t>
        </is>
      </c>
      <c r="Q737" s="27" t="inlineStr">
        <is>
          <t>45</t>
        </is>
      </c>
    </row>
    <row r="738" ht="24" customHeight="1">
      <c r="A738" s="32" t="inlineStr">
        <is>
          <t>OpenDART_fnlttSinglAcntAll</t>
        </is>
      </c>
      <c r="B738" s="32" t="inlineStr">
        <is>
          <t>00118804</t>
        </is>
      </c>
      <c r="C738" s="32" t="inlineStr">
        <is>
          <t>동진쎄미켐</t>
        </is>
      </c>
      <c r="D738" s="32" t="inlineStr">
        <is>
          <t>dongjin_semichem</t>
        </is>
      </c>
      <c r="E738" s="32" t="inlineStr">
        <is>
          <t>005290</t>
        </is>
      </c>
      <c r="F738" s="32" t="inlineStr">
        <is>
          <t>2024</t>
        </is>
      </c>
      <c r="G738" s="32" t="inlineStr">
        <is>
          <t>CFS</t>
        </is>
      </c>
      <c r="H738" s="32" t="inlineStr">
        <is>
          <t>CF</t>
        </is>
      </c>
      <c r="I738" s="32" t="inlineStr">
        <is>
          <t>현금흐름표</t>
        </is>
      </c>
      <c r="J738" s="32" t="inlineStr">
        <is>
          <t>ifrs-full_AdjustmentsForDecreaseIncreaseInOtherCurrentAssets</t>
        </is>
      </c>
      <c r="K738" s="32" t="inlineStr">
        <is>
          <t>기타유동자산의 감소(증가)</t>
        </is>
      </c>
      <c r="L738" s="32" t="inlineStr">
        <is>
          <t>-</t>
        </is>
      </c>
      <c r="M738" s="32" t="inlineStr">
        <is>
          <t>제 52 기</t>
        </is>
      </c>
      <c r="N738" s="32" t="inlineStr">
        <is>
          <t>-2412354847.0</t>
        </is>
      </c>
      <c r="O738" s="32" t="inlineStr">
        <is>
          <t>-7241169553.0</t>
        </is>
      </c>
      <c r="P738" s="32" t="inlineStr">
        <is>
          <t>KRW</t>
        </is>
      </c>
      <c r="Q738" s="32" t="inlineStr">
        <is>
          <t>46</t>
        </is>
      </c>
    </row>
    <row r="739" ht="24" customHeight="1">
      <c r="A739" s="27" t="inlineStr">
        <is>
          <t>OpenDART_fnlttSinglAcntAll</t>
        </is>
      </c>
      <c r="B739" s="27" t="inlineStr">
        <is>
          <t>00118804</t>
        </is>
      </c>
      <c r="C739" s="27" t="inlineStr">
        <is>
          <t>동진쎄미켐</t>
        </is>
      </c>
      <c r="D739" s="27" t="inlineStr">
        <is>
          <t>dongjin_semichem</t>
        </is>
      </c>
      <c r="E739" s="27" t="inlineStr">
        <is>
          <t>005290</t>
        </is>
      </c>
      <c r="F739" s="27" t="inlineStr">
        <is>
          <t>2024</t>
        </is>
      </c>
      <c r="G739" s="27" t="inlineStr">
        <is>
          <t>CFS</t>
        </is>
      </c>
      <c r="H739" s="27" t="inlineStr">
        <is>
          <t>CF</t>
        </is>
      </c>
      <c r="I739" s="27" t="inlineStr">
        <is>
          <t>현금흐름표</t>
        </is>
      </c>
      <c r="J739" s="27" t="inlineStr">
        <is>
          <t>ifrs-full_AdjustmentsForDecreaseIncreaseInTradeAccountReceivable</t>
        </is>
      </c>
      <c r="K739" s="27" t="inlineStr">
        <is>
          <t>매출채권의 감소(증가)</t>
        </is>
      </c>
      <c r="L739" s="27" t="inlineStr">
        <is>
          <t>-</t>
        </is>
      </c>
      <c r="M739" s="27" t="inlineStr">
        <is>
          <t>제 52 기</t>
        </is>
      </c>
      <c r="N739" s="27" t="inlineStr">
        <is>
          <t>-19443507717.0</t>
        </is>
      </c>
      <c r="O739" s="27" t="inlineStr">
        <is>
          <t>-164339165.0</t>
        </is>
      </c>
      <c r="P739" s="27" t="inlineStr">
        <is>
          <t>KRW</t>
        </is>
      </c>
      <c r="Q739" s="27" t="inlineStr">
        <is>
          <t>47</t>
        </is>
      </c>
    </row>
    <row r="740" ht="24" customHeight="1">
      <c r="A740" s="32" t="inlineStr">
        <is>
          <t>OpenDART_fnlttSinglAcntAll</t>
        </is>
      </c>
      <c r="B740" s="32" t="inlineStr">
        <is>
          <t>00118804</t>
        </is>
      </c>
      <c r="C740" s="32" t="inlineStr">
        <is>
          <t>동진쎄미켐</t>
        </is>
      </c>
      <c r="D740" s="32" t="inlineStr">
        <is>
          <t>dongjin_semichem</t>
        </is>
      </c>
      <c r="E740" s="32" t="inlineStr">
        <is>
          <t>005290</t>
        </is>
      </c>
      <c r="F740" s="32" t="inlineStr">
        <is>
          <t>2024</t>
        </is>
      </c>
      <c r="G740" s="32" t="inlineStr">
        <is>
          <t>CFS</t>
        </is>
      </c>
      <c r="H740" s="32" t="inlineStr">
        <is>
          <t>CF</t>
        </is>
      </c>
      <c r="I740" s="32" t="inlineStr">
        <is>
          <t>현금흐름표</t>
        </is>
      </c>
      <c r="J740" s="32" t="inlineStr">
        <is>
          <t>ifrs-full_AdjustmentsForIncreaseDecreaseInTradeAccountPayable</t>
        </is>
      </c>
      <c r="K740" s="32" t="inlineStr">
        <is>
          <t>매입채무의 증가(감소)</t>
        </is>
      </c>
      <c r="L740" s="32" t="inlineStr">
        <is>
          <t>-</t>
        </is>
      </c>
      <c r="M740" s="32" t="inlineStr">
        <is>
          <t>제 52 기</t>
        </is>
      </c>
      <c r="N740" s="32" t="inlineStr">
        <is>
          <t>11302674029.0</t>
        </is>
      </c>
      <c r="O740" s="32" t="inlineStr">
        <is>
          <t>-4933491858.0</t>
        </is>
      </c>
      <c r="P740" s="32" t="inlineStr">
        <is>
          <t>KRW</t>
        </is>
      </c>
      <c r="Q740" s="32" t="inlineStr">
        <is>
          <t>48</t>
        </is>
      </c>
    </row>
    <row r="741" ht="24" customHeight="1">
      <c r="A741" s="27" t="inlineStr">
        <is>
          <t>OpenDART_fnlttSinglAcntAll</t>
        </is>
      </c>
      <c r="B741" s="27" t="inlineStr">
        <is>
          <t>00118804</t>
        </is>
      </c>
      <c r="C741" s="27" t="inlineStr">
        <is>
          <t>동진쎄미켐</t>
        </is>
      </c>
      <c r="D741" s="27" t="inlineStr">
        <is>
          <t>dongjin_semichem</t>
        </is>
      </c>
      <c r="E741" s="27" t="inlineStr">
        <is>
          <t>005290</t>
        </is>
      </c>
      <c r="F741" s="27" t="inlineStr">
        <is>
          <t>2024</t>
        </is>
      </c>
      <c r="G741" s="27" t="inlineStr">
        <is>
          <t>CFS</t>
        </is>
      </c>
      <c r="H741" s="27" t="inlineStr">
        <is>
          <t>CF</t>
        </is>
      </c>
      <c r="I741" s="27" t="inlineStr">
        <is>
          <t>현금흐름표</t>
        </is>
      </c>
      <c r="J741" s="27" t="inlineStr">
        <is>
          <t>ifrs-full_AdjustmentsForReconcileProfitLoss</t>
        </is>
      </c>
      <c r="K741" s="27" t="inlineStr">
        <is>
          <t>가감</t>
        </is>
      </c>
      <c r="L741" s="27" t="inlineStr">
        <is>
          <t>-</t>
        </is>
      </c>
      <c r="M741" s="27" t="inlineStr">
        <is>
          <t>제 52 기</t>
        </is>
      </c>
      <c r="N741" s="27" t="inlineStr">
        <is>
          <t>161310877105.0</t>
        </is>
      </c>
      <c r="O741" s="27" t="inlineStr">
        <is>
          <t>119244696668.0</t>
        </is>
      </c>
      <c r="P741" s="27" t="inlineStr">
        <is>
          <t>KRW</t>
        </is>
      </c>
      <c r="Q741" s="27" t="inlineStr">
        <is>
          <t>49</t>
        </is>
      </c>
    </row>
    <row r="742" ht="24" customHeight="1">
      <c r="A742" s="32" t="inlineStr">
        <is>
          <t>OpenDART_fnlttSinglAcntAll</t>
        </is>
      </c>
      <c r="B742" s="32" t="inlineStr">
        <is>
          <t>00118804</t>
        </is>
      </c>
      <c r="C742" s="32" t="inlineStr">
        <is>
          <t>동진쎄미켐</t>
        </is>
      </c>
      <c r="D742" s="32" t="inlineStr">
        <is>
          <t>dongjin_semichem</t>
        </is>
      </c>
      <c r="E742" s="32" t="inlineStr">
        <is>
          <t>005290</t>
        </is>
      </c>
      <c r="F742" s="32" t="inlineStr">
        <is>
          <t>2024</t>
        </is>
      </c>
      <c r="G742" s="32" t="inlineStr">
        <is>
          <t>CFS</t>
        </is>
      </c>
      <c r="H742" s="32" t="inlineStr">
        <is>
          <t>CF</t>
        </is>
      </c>
      <c r="I742" s="32" t="inlineStr">
        <is>
          <t>현금흐름표</t>
        </is>
      </c>
      <c r="J742" s="32" t="inlineStr">
        <is>
          <t>dart_AdjustmentsForBadDebtExpenses</t>
        </is>
      </c>
      <c r="K742" s="32" t="inlineStr">
        <is>
          <t>대손상각비</t>
        </is>
      </c>
      <c r="L742" s="32" t="inlineStr">
        <is>
          <t>-</t>
        </is>
      </c>
      <c r="M742" s="32" t="inlineStr">
        <is>
          <t>제 52 기</t>
        </is>
      </c>
      <c r="N742" s="32" t="inlineStr">
        <is>
          <t>8059530308.0</t>
        </is>
      </c>
      <c r="O742" s="32" t="inlineStr">
        <is>
          <t>907054793.0</t>
        </is>
      </c>
      <c r="P742" s="32" t="inlineStr">
        <is>
          <t>KRW</t>
        </is>
      </c>
      <c r="Q742" s="32" t="inlineStr">
        <is>
          <t>50</t>
        </is>
      </c>
    </row>
    <row r="743" ht="24" customHeight="1">
      <c r="A743" s="27" t="inlineStr">
        <is>
          <t>OpenDART_fnlttSinglAcntAll</t>
        </is>
      </c>
      <c r="B743" s="27" t="inlineStr">
        <is>
          <t>00118804</t>
        </is>
      </c>
      <c r="C743" s="27" t="inlineStr">
        <is>
          <t>동진쎄미켐</t>
        </is>
      </c>
      <c r="D743" s="27" t="inlineStr">
        <is>
          <t>dongjin_semichem</t>
        </is>
      </c>
      <c r="E743" s="27" t="inlineStr">
        <is>
          <t>005290</t>
        </is>
      </c>
      <c r="F743" s="27" t="inlineStr">
        <is>
          <t>2024</t>
        </is>
      </c>
      <c r="G743" s="27" t="inlineStr">
        <is>
          <t>CFS</t>
        </is>
      </c>
      <c r="H743" s="27" t="inlineStr">
        <is>
          <t>CF</t>
        </is>
      </c>
      <c r="I743" s="27" t="inlineStr">
        <is>
          <t>현금흐름표</t>
        </is>
      </c>
      <c r="J743" s="27" t="inlineStr">
        <is>
          <t>dart_AdjustmentsForDepreciationInvestmentProperty</t>
        </is>
      </c>
      <c r="K743" s="27" t="inlineStr">
        <is>
          <t>투자부동산감가상각비</t>
        </is>
      </c>
      <c r="L743" s="27" t="inlineStr">
        <is>
          <t>-</t>
        </is>
      </c>
      <c r="M743" s="27" t="inlineStr">
        <is>
          <t>제 52 기</t>
        </is>
      </c>
      <c r="N743" s="27" t="inlineStr">
        <is>
          <t>289203202.0</t>
        </is>
      </c>
      <c r="O743" s="27" t="inlineStr">
        <is>
          <t>287745350.0</t>
        </is>
      </c>
      <c r="P743" s="27" t="inlineStr">
        <is>
          <t>KRW</t>
        </is>
      </c>
      <c r="Q743" s="27" t="inlineStr">
        <is>
          <t>51</t>
        </is>
      </c>
    </row>
    <row r="744" ht="24" customHeight="1">
      <c r="A744" s="32" t="inlineStr">
        <is>
          <t>OpenDART_fnlttSinglAcntAll</t>
        </is>
      </c>
      <c r="B744" s="32" t="inlineStr">
        <is>
          <t>00118804</t>
        </is>
      </c>
      <c r="C744" s="32" t="inlineStr">
        <is>
          <t>동진쎄미켐</t>
        </is>
      </c>
      <c r="D744" s="32" t="inlineStr">
        <is>
          <t>dongjin_semichem</t>
        </is>
      </c>
      <c r="E744" s="32" t="inlineStr">
        <is>
          <t>005290</t>
        </is>
      </c>
      <c r="F744" s="32" t="inlineStr">
        <is>
          <t>2024</t>
        </is>
      </c>
      <c r="G744" s="32" t="inlineStr">
        <is>
          <t>CFS</t>
        </is>
      </c>
      <c r="H744" s="32" t="inlineStr">
        <is>
          <t>CF</t>
        </is>
      </c>
      <c r="I744" s="32" t="inlineStr">
        <is>
          <t>현금흐름표</t>
        </is>
      </c>
      <c r="J744" s="32" t="inlineStr">
        <is>
          <t>dart_AdjustmentsForGainOnDisposalOfInvestmentsInAssociates</t>
        </is>
      </c>
      <c r="K744" s="32" t="inlineStr">
        <is>
          <t>관계기업투자처분이익</t>
        </is>
      </c>
      <c r="L744" s="32" t="inlineStr">
        <is>
          <t>-</t>
        </is>
      </c>
      <c r="M744" s="32" t="inlineStr">
        <is>
          <t>제 52 기</t>
        </is>
      </c>
      <c r="N744" s="32" t="inlineStr">
        <is>
          <t>0.0</t>
        </is>
      </c>
      <c r="O744" s="32" t="inlineStr">
        <is>
          <t>51472469.0</t>
        </is>
      </c>
      <c r="P744" s="32" t="inlineStr">
        <is>
          <t>KRW</t>
        </is>
      </c>
      <c r="Q744" s="32" t="inlineStr">
        <is>
          <t>52</t>
        </is>
      </c>
    </row>
    <row r="745" ht="24" customHeight="1">
      <c r="A745" s="27" t="inlineStr">
        <is>
          <t>OpenDART_fnlttSinglAcntAll</t>
        </is>
      </c>
      <c r="B745" s="27" t="inlineStr">
        <is>
          <t>00118804</t>
        </is>
      </c>
      <c r="C745" s="27" t="inlineStr">
        <is>
          <t>동진쎄미켐</t>
        </is>
      </c>
      <c r="D745" s="27" t="inlineStr">
        <is>
          <t>dongjin_semichem</t>
        </is>
      </c>
      <c r="E745" s="27" t="inlineStr">
        <is>
          <t>005290</t>
        </is>
      </c>
      <c r="F745" s="27" t="inlineStr">
        <is>
          <t>2024</t>
        </is>
      </c>
      <c r="G745" s="27" t="inlineStr">
        <is>
          <t>CFS</t>
        </is>
      </c>
      <c r="H745" s="27" t="inlineStr">
        <is>
          <t>CF</t>
        </is>
      </c>
      <c r="I745" s="27" t="inlineStr">
        <is>
          <t>현금흐름표</t>
        </is>
      </c>
      <c r="J745" s="27" t="inlineStr">
        <is>
          <t>dart_AdjustmentsForGainOnDispositionOfTangibleAssets</t>
        </is>
      </c>
      <c r="K745" s="27" t="inlineStr">
        <is>
          <t>유형자산처분이익</t>
        </is>
      </c>
      <c r="L745" s="27" t="inlineStr">
        <is>
          <t>-</t>
        </is>
      </c>
      <c r="M745" s="27" t="inlineStr">
        <is>
          <t>제 52 기</t>
        </is>
      </c>
      <c r="N745" s="27" t="inlineStr">
        <is>
          <t>117373152.0</t>
        </is>
      </c>
      <c r="O745" s="27" t="inlineStr">
        <is>
          <t>190788454.0</t>
        </is>
      </c>
      <c r="P745" s="27" t="inlineStr">
        <is>
          <t>KRW</t>
        </is>
      </c>
      <c r="Q745" s="27" t="inlineStr">
        <is>
          <t>53</t>
        </is>
      </c>
    </row>
    <row r="746" ht="24" customHeight="1">
      <c r="A746" s="32" t="inlineStr">
        <is>
          <t>OpenDART_fnlttSinglAcntAll</t>
        </is>
      </c>
      <c r="B746" s="32" t="inlineStr">
        <is>
          <t>00118804</t>
        </is>
      </c>
      <c r="C746" s="32" t="inlineStr">
        <is>
          <t>동진쎄미켐</t>
        </is>
      </c>
      <c r="D746" s="32" t="inlineStr">
        <is>
          <t>dongjin_semichem</t>
        </is>
      </c>
      <c r="E746" s="32" t="inlineStr">
        <is>
          <t>005290</t>
        </is>
      </c>
      <c r="F746" s="32" t="inlineStr">
        <is>
          <t>2024</t>
        </is>
      </c>
      <c r="G746" s="32" t="inlineStr">
        <is>
          <t>CFS</t>
        </is>
      </c>
      <c r="H746" s="32" t="inlineStr">
        <is>
          <t>CF</t>
        </is>
      </c>
      <c r="I746" s="32" t="inlineStr">
        <is>
          <t>현금흐름표</t>
        </is>
      </c>
      <c r="J746" s="32" t="inlineStr">
        <is>
          <t>dart_AdjustmentsForGainOnForeignExchangeTranslations</t>
        </is>
      </c>
      <c r="K746" s="32" t="inlineStr">
        <is>
          <t>외화환산이익</t>
        </is>
      </c>
      <c r="L746" s="32" t="inlineStr">
        <is>
          <t>-</t>
        </is>
      </c>
      <c r="M746" s="32" t="inlineStr">
        <is>
          <t>제 52 기</t>
        </is>
      </c>
      <c r="N746" s="32" t="inlineStr">
        <is>
          <t>31684867584.0</t>
        </is>
      </c>
      <c r="O746" s="32" t="inlineStr">
        <is>
          <t>3653925718.0</t>
        </is>
      </c>
      <c r="P746" s="32" t="inlineStr">
        <is>
          <t>KRW</t>
        </is>
      </c>
      <c r="Q746" s="32" t="inlineStr">
        <is>
          <t>54</t>
        </is>
      </c>
    </row>
    <row r="747" ht="24" customHeight="1">
      <c r="A747" s="27" t="inlineStr">
        <is>
          <t>OpenDART_fnlttSinglAcntAll</t>
        </is>
      </c>
      <c r="B747" s="27" t="inlineStr">
        <is>
          <t>00118804</t>
        </is>
      </c>
      <c r="C747" s="27" t="inlineStr">
        <is>
          <t>동진쎄미켐</t>
        </is>
      </c>
      <c r="D747" s="27" t="inlineStr">
        <is>
          <t>dongjin_semichem</t>
        </is>
      </c>
      <c r="E747" s="27" t="inlineStr">
        <is>
          <t>005290</t>
        </is>
      </c>
      <c r="F747" s="27" t="inlineStr">
        <is>
          <t>2024</t>
        </is>
      </c>
      <c r="G747" s="27" t="inlineStr">
        <is>
          <t>CFS</t>
        </is>
      </c>
      <c r="H747" s="27" t="inlineStr">
        <is>
          <t>CF</t>
        </is>
      </c>
      <c r="I747" s="27" t="inlineStr">
        <is>
          <t>현금흐름표</t>
        </is>
      </c>
      <c r="J747" s="27" t="inlineStr">
        <is>
          <t>dart_AdjustmentsForGainsOnDisposalsOfFinancialAssets</t>
        </is>
      </c>
      <c r="K747" s="27" t="inlineStr">
        <is>
          <t>투자금융자산처분이익</t>
        </is>
      </c>
      <c r="L747" s="27" t="inlineStr">
        <is>
          <t>-</t>
        </is>
      </c>
      <c r="M747" s="27" t="inlineStr">
        <is>
          <t>제 52 기</t>
        </is>
      </c>
      <c r="N747" s="27" t="inlineStr">
        <is>
          <t>26264760.0</t>
        </is>
      </c>
      <c r="O747" s="27" t="inlineStr">
        <is>
          <t>0.0</t>
        </is>
      </c>
      <c r="P747" s="27" t="inlineStr">
        <is>
          <t>KRW</t>
        </is>
      </c>
      <c r="Q747" s="27" t="inlineStr">
        <is>
          <t>55</t>
        </is>
      </c>
    </row>
    <row r="748" ht="24" customHeight="1">
      <c r="A748" s="32" t="inlineStr">
        <is>
          <t>OpenDART_fnlttSinglAcntAll</t>
        </is>
      </c>
      <c r="B748" s="32" t="inlineStr">
        <is>
          <t>00118804</t>
        </is>
      </c>
      <c r="C748" s="32" t="inlineStr">
        <is>
          <t>동진쎄미켐</t>
        </is>
      </c>
      <c r="D748" s="32" t="inlineStr">
        <is>
          <t>dongjin_semichem</t>
        </is>
      </c>
      <c r="E748" s="32" t="inlineStr">
        <is>
          <t>005290</t>
        </is>
      </c>
      <c r="F748" s="32" t="inlineStr">
        <is>
          <t>2024</t>
        </is>
      </c>
      <c r="G748" s="32" t="inlineStr">
        <is>
          <t>CFS</t>
        </is>
      </c>
      <c r="H748" s="32" t="inlineStr">
        <is>
          <t>CF</t>
        </is>
      </c>
      <c r="I748" s="32" t="inlineStr">
        <is>
          <t>현금흐름표</t>
        </is>
      </c>
      <c r="J748" s="32" t="inlineStr">
        <is>
          <t>dart_AdjustmentsForGainsOnEvaluationOfFairValueFinancialAssets</t>
        </is>
      </c>
      <c r="K748" s="32" t="inlineStr">
        <is>
          <t>투자금융자산평가이익</t>
        </is>
      </c>
      <c r="L748" s="32" t="inlineStr">
        <is>
          <t>-</t>
        </is>
      </c>
      <c r="M748" s="32" t="inlineStr">
        <is>
          <t>제 52 기</t>
        </is>
      </c>
      <c r="N748" s="32" t="inlineStr">
        <is>
          <t>0.0</t>
        </is>
      </c>
      <c r="O748" s="32" t="inlineStr">
        <is>
          <t>520141504.0</t>
        </is>
      </c>
      <c r="P748" s="32" t="inlineStr">
        <is>
          <t>KRW</t>
        </is>
      </c>
      <c r="Q748" s="32" t="inlineStr">
        <is>
          <t>56</t>
        </is>
      </c>
    </row>
    <row r="749" ht="24" customHeight="1">
      <c r="A749" s="27" t="inlineStr">
        <is>
          <t>OpenDART_fnlttSinglAcntAll</t>
        </is>
      </c>
      <c r="B749" s="27" t="inlineStr">
        <is>
          <t>00118804</t>
        </is>
      </c>
      <c r="C749" s="27" t="inlineStr">
        <is>
          <t>동진쎄미켐</t>
        </is>
      </c>
      <c r="D749" s="27" t="inlineStr">
        <is>
          <t>dongjin_semichem</t>
        </is>
      </c>
      <c r="E749" s="27" t="inlineStr">
        <is>
          <t>005290</t>
        </is>
      </c>
      <c r="F749" s="27" t="inlineStr">
        <is>
          <t>2024</t>
        </is>
      </c>
      <c r="G749" s="27" t="inlineStr">
        <is>
          <t>CFS</t>
        </is>
      </c>
      <c r="H749" s="27" t="inlineStr">
        <is>
          <t>CF</t>
        </is>
      </c>
      <c r="I749" s="27" t="inlineStr">
        <is>
          <t>현금흐름표</t>
        </is>
      </c>
      <c r="J749" s="27" t="inlineStr">
        <is>
          <t>dart_AdjustmentsForImpairmentLossInInvestmentsInAssociates</t>
        </is>
      </c>
      <c r="K749" s="27" t="inlineStr">
        <is>
          <t>관계기업투자손상차손</t>
        </is>
      </c>
      <c r="L749" s="27" t="inlineStr">
        <is>
          <t>-</t>
        </is>
      </c>
      <c r="M749" s="27" t="inlineStr">
        <is>
          <t>제 52 기</t>
        </is>
      </c>
      <c r="N749" s="27" t="inlineStr">
        <is>
          <t>2308858638.0</t>
        </is>
      </c>
      <c r="O749" s="27" t="inlineStr">
        <is>
          <t>0.0</t>
        </is>
      </c>
      <c r="P749" s="27" t="inlineStr">
        <is>
          <t>KRW</t>
        </is>
      </c>
      <c r="Q749" s="27" t="inlineStr">
        <is>
          <t>57</t>
        </is>
      </c>
    </row>
    <row r="750" ht="24" customHeight="1">
      <c r="A750" s="32" t="inlineStr">
        <is>
          <t>OpenDART_fnlttSinglAcntAll</t>
        </is>
      </c>
      <c r="B750" s="32" t="inlineStr">
        <is>
          <t>00118804</t>
        </is>
      </c>
      <c r="C750" s="32" t="inlineStr">
        <is>
          <t>동진쎄미켐</t>
        </is>
      </c>
      <c r="D750" s="32" t="inlineStr">
        <is>
          <t>dongjin_semichem</t>
        </is>
      </c>
      <c r="E750" s="32" t="inlineStr">
        <is>
          <t>005290</t>
        </is>
      </c>
      <c r="F750" s="32" t="inlineStr">
        <is>
          <t>2024</t>
        </is>
      </c>
      <c r="G750" s="32" t="inlineStr">
        <is>
          <t>CFS</t>
        </is>
      </c>
      <c r="H750" s="32" t="inlineStr">
        <is>
          <t>CF</t>
        </is>
      </c>
      <c r="I750" s="32" t="inlineStr">
        <is>
          <t>현금흐름표</t>
        </is>
      </c>
      <c r="J750" s="32" t="inlineStr">
        <is>
          <t>dart_AdjustmentsForImpairmentLossesOfIntangibleAssets</t>
        </is>
      </c>
      <c r="K750" s="32" t="inlineStr">
        <is>
          <t>무형자산손상차손</t>
        </is>
      </c>
      <c r="L750" s="32" t="inlineStr">
        <is>
          <t>-</t>
        </is>
      </c>
      <c r="M750" s="32" t="inlineStr">
        <is>
          <t>제 52 기</t>
        </is>
      </c>
      <c r="N750" s="32" t="inlineStr">
        <is>
          <t>0.0</t>
        </is>
      </c>
      <c r="O750" s="32" t="inlineStr">
        <is>
          <t>19450085.0</t>
        </is>
      </c>
      <c r="P750" s="32" t="inlineStr">
        <is>
          <t>KRW</t>
        </is>
      </c>
      <c r="Q750" s="32" t="inlineStr">
        <is>
          <t>58</t>
        </is>
      </c>
    </row>
    <row r="751" ht="24" customHeight="1">
      <c r="A751" s="27" t="inlineStr">
        <is>
          <t>OpenDART_fnlttSinglAcntAll</t>
        </is>
      </c>
      <c r="B751" s="27" t="inlineStr">
        <is>
          <t>00118804</t>
        </is>
      </c>
      <c r="C751" s="27" t="inlineStr">
        <is>
          <t>동진쎄미켐</t>
        </is>
      </c>
      <c r="D751" s="27" t="inlineStr">
        <is>
          <t>dongjin_semichem</t>
        </is>
      </c>
      <c r="E751" s="27" t="inlineStr">
        <is>
          <t>005290</t>
        </is>
      </c>
      <c r="F751" s="27" t="inlineStr">
        <is>
          <t>2024</t>
        </is>
      </c>
      <c r="G751" s="27" t="inlineStr">
        <is>
          <t>CFS</t>
        </is>
      </c>
      <c r="H751" s="27" t="inlineStr">
        <is>
          <t>CF</t>
        </is>
      </c>
      <c r="I751" s="27" t="inlineStr">
        <is>
          <t>현금흐름표</t>
        </is>
      </c>
      <c r="J751" s="27" t="inlineStr">
        <is>
          <t>dart_AdjustmentsForImpairmentLossesOfPropertyPlantAndEquipment</t>
        </is>
      </c>
      <c r="K751" s="27" t="inlineStr">
        <is>
          <t>유형자산손상차손</t>
        </is>
      </c>
      <c r="L751" s="27" t="inlineStr">
        <is>
          <t>-</t>
        </is>
      </c>
      <c r="M751" s="27" t="inlineStr">
        <is>
          <t>제 52 기</t>
        </is>
      </c>
      <c r="N751" s="27" t="inlineStr">
        <is>
          <t>19611296818.0</t>
        </is>
      </c>
      <c r="O751" s="27" t="inlineStr">
        <is>
          <t>0.0</t>
        </is>
      </c>
      <c r="P751" s="27" t="inlineStr">
        <is>
          <t>KRW</t>
        </is>
      </c>
      <c r="Q751" s="27" t="inlineStr">
        <is>
          <t>59</t>
        </is>
      </c>
    </row>
    <row r="752" ht="24" customHeight="1">
      <c r="A752" s="32" t="inlineStr">
        <is>
          <t>OpenDART_fnlttSinglAcntAll</t>
        </is>
      </c>
      <c r="B752" s="32" t="inlineStr">
        <is>
          <t>00118804</t>
        </is>
      </c>
      <c r="C752" s="32" t="inlineStr">
        <is>
          <t>동진쎄미켐</t>
        </is>
      </c>
      <c r="D752" s="32" t="inlineStr">
        <is>
          <t>dongjin_semichem</t>
        </is>
      </c>
      <c r="E752" s="32" t="inlineStr">
        <is>
          <t>005290</t>
        </is>
      </c>
      <c r="F752" s="32" t="inlineStr">
        <is>
          <t>2024</t>
        </is>
      </c>
      <c r="G752" s="32" t="inlineStr">
        <is>
          <t>CFS</t>
        </is>
      </c>
      <c r="H752" s="32" t="inlineStr">
        <is>
          <t>CF</t>
        </is>
      </c>
      <c r="I752" s="32" t="inlineStr">
        <is>
          <t>현금흐름표</t>
        </is>
      </c>
      <c r="J752" s="32" t="inlineStr">
        <is>
          <t>dart_AdjustmentsForLossesOfAssociatesAndJointVenturesAccountedForUsingEquityMethod</t>
        </is>
      </c>
      <c r="K752" s="32" t="inlineStr">
        <is>
          <t>지분법손실</t>
        </is>
      </c>
      <c r="L752" s="32" t="inlineStr">
        <is>
          <t>-</t>
        </is>
      </c>
      <c r="M752" s="32" t="inlineStr">
        <is>
          <t>제 52 기</t>
        </is>
      </c>
      <c r="N752" s="32" t="inlineStr">
        <is>
          <t>23424578.0</t>
        </is>
      </c>
      <c r="O752" s="32" t="inlineStr">
        <is>
          <t>833675771.0</t>
        </is>
      </c>
      <c r="P752" s="32" t="inlineStr">
        <is>
          <t>KRW</t>
        </is>
      </c>
      <c r="Q752" s="32" t="inlineStr">
        <is>
          <t>60</t>
        </is>
      </c>
    </row>
    <row r="753" ht="24" customHeight="1">
      <c r="A753" s="27" t="inlineStr">
        <is>
          <t>OpenDART_fnlttSinglAcntAll</t>
        </is>
      </c>
      <c r="B753" s="27" t="inlineStr">
        <is>
          <t>00118804</t>
        </is>
      </c>
      <c r="C753" s="27" t="inlineStr">
        <is>
          <t>동진쎄미켐</t>
        </is>
      </c>
      <c r="D753" s="27" t="inlineStr">
        <is>
          <t>dongjin_semichem</t>
        </is>
      </c>
      <c r="E753" s="27" t="inlineStr">
        <is>
          <t>005290</t>
        </is>
      </c>
      <c r="F753" s="27" t="inlineStr">
        <is>
          <t>2024</t>
        </is>
      </c>
      <c r="G753" s="27" t="inlineStr">
        <is>
          <t>CFS</t>
        </is>
      </c>
      <c r="H753" s="27" t="inlineStr">
        <is>
          <t>CF</t>
        </is>
      </c>
      <c r="I753" s="27" t="inlineStr">
        <is>
          <t>현금흐름표</t>
        </is>
      </c>
      <c r="J753" s="27" t="inlineStr">
        <is>
          <t>dart_AdjustmentsForLossesOnDisposalsOfIntangibleAssets</t>
        </is>
      </c>
      <c r="K753" s="27" t="inlineStr">
        <is>
          <t>무형자산처분손실</t>
        </is>
      </c>
      <c r="L753" s="27" t="inlineStr">
        <is>
          <t>-</t>
        </is>
      </c>
      <c r="M753" s="27" t="inlineStr">
        <is>
          <t>제 52 기</t>
        </is>
      </c>
      <c r="N753" s="27" t="inlineStr">
        <is>
          <t>0.0</t>
        </is>
      </c>
      <c r="O753" s="27" t="inlineStr">
        <is>
          <t>0.0</t>
        </is>
      </c>
      <c r="P753" s="27" t="inlineStr">
        <is>
          <t>KRW</t>
        </is>
      </c>
      <c r="Q753" s="27" t="inlineStr">
        <is>
          <t>61</t>
        </is>
      </c>
    </row>
    <row r="754" ht="24" customHeight="1">
      <c r="A754" s="32" t="inlineStr">
        <is>
          <t>OpenDART_fnlttSinglAcntAll</t>
        </is>
      </c>
      <c r="B754" s="32" t="inlineStr">
        <is>
          <t>00118804</t>
        </is>
      </c>
      <c r="C754" s="32" t="inlineStr">
        <is>
          <t>동진쎄미켐</t>
        </is>
      </c>
      <c r="D754" s="32" t="inlineStr">
        <is>
          <t>dongjin_semichem</t>
        </is>
      </c>
      <c r="E754" s="32" t="inlineStr">
        <is>
          <t>005290</t>
        </is>
      </c>
      <c r="F754" s="32" t="inlineStr">
        <is>
          <t>2024</t>
        </is>
      </c>
      <c r="G754" s="32" t="inlineStr">
        <is>
          <t>CFS</t>
        </is>
      </c>
      <c r="H754" s="32" t="inlineStr">
        <is>
          <t>CF</t>
        </is>
      </c>
      <c r="I754" s="32" t="inlineStr">
        <is>
          <t>현금흐름표</t>
        </is>
      </c>
      <c r="J754" s="32" t="inlineStr">
        <is>
          <t>dart_AdjustmentsForLossesOnDispositionOfPropertyPlantAndEquipment</t>
        </is>
      </c>
      <c r="K754" s="32" t="inlineStr">
        <is>
          <t>유형자산처분손실</t>
        </is>
      </c>
      <c r="L754" s="32" t="inlineStr">
        <is>
          <t>-</t>
        </is>
      </c>
      <c r="M754" s="32" t="inlineStr">
        <is>
          <t>제 52 기</t>
        </is>
      </c>
      <c r="N754" s="32" t="inlineStr">
        <is>
          <t>239598971.0</t>
        </is>
      </c>
      <c r="O754" s="32" t="inlineStr">
        <is>
          <t>2908043.0</t>
        </is>
      </c>
      <c r="P754" s="32" t="inlineStr">
        <is>
          <t>KRW</t>
        </is>
      </c>
      <c r="Q754" s="32" t="inlineStr">
        <is>
          <t>62</t>
        </is>
      </c>
    </row>
    <row r="755" ht="24" customHeight="1">
      <c r="A755" s="27" t="inlineStr">
        <is>
          <t>OpenDART_fnlttSinglAcntAll</t>
        </is>
      </c>
      <c r="B755" s="27" t="inlineStr">
        <is>
          <t>00118804</t>
        </is>
      </c>
      <c r="C755" s="27" t="inlineStr">
        <is>
          <t>동진쎄미켐</t>
        </is>
      </c>
      <c r="D755" s="27" t="inlineStr">
        <is>
          <t>dongjin_semichem</t>
        </is>
      </c>
      <c r="E755" s="27" t="inlineStr">
        <is>
          <t>005290</t>
        </is>
      </c>
      <c r="F755" s="27" t="inlineStr">
        <is>
          <t>2024</t>
        </is>
      </c>
      <c r="G755" s="27" t="inlineStr">
        <is>
          <t>CFS</t>
        </is>
      </c>
      <c r="H755" s="27" t="inlineStr">
        <is>
          <t>CF</t>
        </is>
      </c>
      <c r="I755" s="27" t="inlineStr">
        <is>
          <t>현금흐름표</t>
        </is>
      </c>
      <c r="J755" s="27" t="inlineStr">
        <is>
          <t>dart_AdjustmentsForLossesOnEvaluationOfDerivativeFinancialAssets</t>
        </is>
      </c>
      <c r="K755" s="27" t="inlineStr">
        <is>
          <t>파생상품관련손실</t>
        </is>
      </c>
      <c r="L755" s="27" t="inlineStr">
        <is>
          <t>-</t>
        </is>
      </c>
      <c r="M755" s="27" t="inlineStr">
        <is>
          <t>제 52 기</t>
        </is>
      </c>
      <c r="N755" s="27" t="inlineStr">
        <is>
          <t>0.0</t>
        </is>
      </c>
      <c r="O755" s="27" t="inlineStr">
        <is>
          <t>0.0</t>
        </is>
      </c>
      <c r="P755" s="27" t="inlineStr">
        <is>
          <t>KRW</t>
        </is>
      </c>
      <c r="Q755" s="27" t="inlineStr">
        <is>
          <t>63</t>
        </is>
      </c>
    </row>
    <row r="756" ht="24" customHeight="1">
      <c r="A756" s="32" t="inlineStr">
        <is>
          <t>OpenDART_fnlttSinglAcntAll</t>
        </is>
      </c>
      <c r="B756" s="32" t="inlineStr">
        <is>
          <t>00118804</t>
        </is>
      </c>
      <c r="C756" s="32" t="inlineStr">
        <is>
          <t>동진쎄미켐</t>
        </is>
      </c>
      <c r="D756" s="32" t="inlineStr">
        <is>
          <t>dongjin_semichem</t>
        </is>
      </c>
      <c r="E756" s="32" t="inlineStr">
        <is>
          <t>005290</t>
        </is>
      </c>
      <c r="F756" s="32" t="inlineStr">
        <is>
          <t>2024</t>
        </is>
      </c>
      <c r="G756" s="32" t="inlineStr">
        <is>
          <t>CFS</t>
        </is>
      </c>
      <c r="H756" s="32" t="inlineStr">
        <is>
          <t>CF</t>
        </is>
      </c>
      <c r="I756" s="32" t="inlineStr">
        <is>
          <t>현금흐름표</t>
        </is>
      </c>
      <c r="J756" s="32" t="inlineStr">
        <is>
          <t>dart_AdjustmentsForLossesOnEvaluationOfFairValueFinancialAssets</t>
        </is>
      </c>
      <c r="K756" s="32" t="inlineStr">
        <is>
          <t>투자금융자산평가손실</t>
        </is>
      </c>
      <c r="L756" s="32" t="inlineStr">
        <is>
          <t>-</t>
        </is>
      </c>
      <c r="M756" s="32" t="inlineStr">
        <is>
          <t>제 52 기</t>
        </is>
      </c>
      <c r="N756" s="32" t="inlineStr">
        <is>
          <t>3602481300.0</t>
        </is>
      </c>
      <c r="O756" s="32" t="inlineStr">
        <is>
          <t>0.0</t>
        </is>
      </c>
      <c r="P756" s="32" t="inlineStr">
        <is>
          <t>KRW</t>
        </is>
      </c>
      <c r="Q756" s="32" t="inlineStr">
        <is>
          <t>64</t>
        </is>
      </c>
    </row>
    <row r="757" ht="24" customHeight="1">
      <c r="A757" s="27" t="inlineStr">
        <is>
          <t>OpenDART_fnlttSinglAcntAll</t>
        </is>
      </c>
      <c r="B757" s="27" t="inlineStr">
        <is>
          <t>00118804</t>
        </is>
      </c>
      <c r="C757" s="27" t="inlineStr">
        <is>
          <t>동진쎄미켐</t>
        </is>
      </c>
      <c r="D757" s="27" t="inlineStr">
        <is>
          <t>dongjin_semichem</t>
        </is>
      </c>
      <c r="E757" s="27" t="inlineStr">
        <is>
          <t>005290</t>
        </is>
      </c>
      <c r="F757" s="27" t="inlineStr">
        <is>
          <t>2024</t>
        </is>
      </c>
      <c r="G757" s="27" t="inlineStr">
        <is>
          <t>CFS</t>
        </is>
      </c>
      <c r="H757" s="27" t="inlineStr">
        <is>
          <t>CF</t>
        </is>
      </c>
      <c r="I757" s="27" t="inlineStr">
        <is>
          <t>현금흐름표</t>
        </is>
      </c>
      <c r="J757" s="27" t="inlineStr">
        <is>
          <t>dart_AdjustmentsForLossesOnForeignExchangeTranslations</t>
        </is>
      </c>
      <c r="K757" s="27" t="inlineStr">
        <is>
          <t>외화환산손실</t>
        </is>
      </c>
      <c r="L757" s="27" t="inlineStr">
        <is>
          <t>-</t>
        </is>
      </c>
      <c r="M757" s="27" t="inlineStr">
        <is>
          <t>제 52 기</t>
        </is>
      </c>
      <c r="N757" s="27" t="inlineStr">
        <is>
          <t>7179643984.0</t>
        </is>
      </c>
      <c r="O757" s="27" t="inlineStr">
        <is>
          <t>3098078453.0</t>
        </is>
      </c>
      <c r="P757" s="27" t="inlineStr">
        <is>
          <t>KRW</t>
        </is>
      </c>
      <c r="Q757" s="27" t="inlineStr">
        <is>
          <t>65</t>
        </is>
      </c>
    </row>
    <row r="758" ht="24" customHeight="1">
      <c r="A758" s="32" t="inlineStr">
        <is>
          <t>OpenDART_fnlttSinglAcntAll</t>
        </is>
      </c>
      <c r="B758" s="32" t="inlineStr">
        <is>
          <t>00118804</t>
        </is>
      </c>
      <c r="C758" s="32" t="inlineStr">
        <is>
          <t>동진쎄미켐</t>
        </is>
      </c>
      <c r="D758" s="32" t="inlineStr">
        <is>
          <t>dongjin_semichem</t>
        </is>
      </c>
      <c r="E758" s="32" t="inlineStr">
        <is>
          <t>005290</t>
        </is>
      </c>
      <c r="F758" s="32" t="inlineStr">
        <is>
          <t>2024</t>
        </is>
      </c>
      <c r="G758" s="32" t="inlineStr">
        <is>
          <t>CFS</t>
        </is>
      </c>
      <c r="H758" s="32" t="inlineStr">
        <is>
          <t>CF</t>
        </is>
      </c>
      <c r="I758" s="32" t="inlineStr">
        <is>
          <t>현금흐름표</t>
        </is>
      </c>
      <c r="J758" s="32" t="inlineStr">
        <is>
          <t>dart_AdjustmentsForOtherBadDebtExpenses</t>
        </is>
      </c>
      <c r="K758" s="32" t="inlineStr">
        <is>
          <t>기타의대손상각비</t>
        </is>
      </c>
      <c r="L758" s="32" t="inlineStr">
        <is>
          <t>-</t>
        </is>
      </c>
      <c r="M758" s="32" t="inlineStr">
        <is>
          <t>제 52 기</t>
        </is>
      </c>
      <c r="N758" s="32" t="inlineStr">
        <is>
          <t>6722686828.0</t>
        </is>
      </c>
      <c r="O758" s="32" t="inlineStr">
        <is>
          <t>2764732.0</t>
        </is>
      </c>
      <c r="P758" s="32" t="inlineStr">
        <is>
          <t>KRW</t>
        </is>
      </c>
      <c r="Q758" s="32" t="inlineStr">
        <is>
          <t>66</t>
        </is>
      </c>
    </row>
    <row r="759" ht="24" customHeight="1">
      <c r="A759" s="27" t="inlineStr">
        <is>
          <t>OpenDART_fnlttSinglAcntAll</t>
        </is>
      </c>
      <c r="B759" s="27" t="inlineStr">
        <is>
          <t>00118804</t>
        </is>
      </c>
      <c r="C759" s="27" t="inlineStr">
        <is>
          <t>동진쎄미켐</t>
        </is>
      </c>
      <c r="D759" s="27" t="inlineStr">
        <is>
          <t>dongjin_semichem</t>
        </is>
      </c>
      <c r="E759" s="27" t="inlineStr">
        <is>
          <t>005290</t>
        </is>
      </c>
      <c r="F759" s="27" t="inlineStr">
        <is>
          <t>2024</t>
        </is>
      </c>
      <c r="G759" s="27" t="inlineStr">
        <is>
          <t>CFS</t>
        </is>
      </c>
      <c r="H759" s="27" t="inlineStr">
        <is>
          <t>CF</t>
        </is>
      </c>
      <c r="I759" s="27" t="inlineStr">
        <is>
          <t>현금흐름표</t>
        </is>
      </c>
      <c r="J759" s="27" t="inlineStr">
        <is>
          <t>dart_AdjustmentsForOtherGainsWithoutCashFlowIn</t>
        </is>
      </c>
      <c r="K759" s="27" t="inlineStr">
        <is>
          <t>기타 현금의 유입 없는 수익등</t>
        </is>
      </c>
      <c r="L759" s="27" t="inlineStr">
        <is>
          <t>-</t>
        </is>
      </c>
      <c r="M759" s="27" t="inlineStr">
        <is>
          <t>제 52 기</t>
        </is>
      </c>
      <c r="N759" s="27" t="inlineStr">
        <is>
          <t>3431790380.0</t>
        </is>
      </c>
      <c r="O759" s="27" t="inlineStr">
        <is>
          <t>852237544.0</t>
        </is>
      </c>
      <c r="P759" s="27" t="inlineStr">
        <is>
          <t>KRW</t>
        </is>
      </c>
      <c r="Q759" s="27" t="inlineStr">
        <is>
          <t>67</t>
        </is>
      </c>
    </row>
    <row r="760" ht="24" customHeight="1">
      <c r="A760" s="32" t="inlineStr">
        <is>
          <t>OpenDART_fnlttSinglAcntAll</t>
        </is>
      </c>
      <c r="B760" s="32" t="inlineStr">
        <is>
          <t>00118804</t>
        </is>
      </c>
      <c r="C760" s="32" t="inlineStr">
        <is>
          <t>동진쎄미켐</t>
        </is>
      </c>
      <c r="D760" s="32" t="inlineStr">
        <is>
          <t>dongjin_semichem</t>
        </is>
      </c>
      <c r="E760" s="32" t="inlineStr">
        <is>
          <t>005290</t>
        </is>
      </c>
      <c r="F760" s="32" t="inlineStr">
        <is>
          <t>2024</t>
        </is>
      </c>
      <c r="G760" s="32" t="inlineStr">
        <is>
          <t>CFS</t>
        </is>
      </c>
      <c r="H760" s="32" t="inlineStr">
        <is>
          <t>CF</t>
        </is>
      </c>
      <c r="I760" s="32" t="inlineStr">
        <is>
          <t>현금흐름표</t>
        </is>
      </c>
      <c r="J760" s="32" t="inlineStr">
        <is>
          <t>dart_AdjustmentsForOtherLossesWithoutCashFlowOut</t>
        </is>
      </c>
      <c r="K760" s="32" t="inlineStr">
        <is>
          <t>기타 현금의 유출 없는 비용등</t>
        </is>
      </c>
      <c r="L760" s="32" t="inlineStr">
        <is>
          <t>-</t>
        </is>
      </c>
      <c r="M760" s="32" t="inlineStr">
        <is>
          <t>제 52 기</t>
        </is>
      </c>
      <c r="N760" s="32" t="inlineStr">
        <is>
          <t>820266510.0</t>
        </is>
      </c>
      <c r="O760" s="32" t="inlineStr">
        <is>
          <t>2709826261.0</t>
        </is>
      </c>
      <c r="P760" s="32" t="inlineStr">
        <is>
          <t>KRW</t>
        </is>
      </c>
      <c r="Q760" s="32" t="inlineStr">
        <is>
          <t>68</t>
        </is>
      </c>
    </row>
    <row r="761" ht="24" customHeight="1">
      <c r="A761" s="27" t="inlineStr">
        <is>
          <t>OpenDART_fnlttSinglAcntAll</t>
        </is>
      </c>
      <c r="B761" s="27" t="inlineStr">
        <is>
          <t>00118804</t>
        </is>
      </c>
      <c r="C761" s="27" t="inlineStr">
        <is>
          <t>동진쎄미켐</t>
        </is>
      </c>
      <c r="D761" s="27" t="inlineStr">
        <is>
          <t>dongjin_semichem</t>
        </is>
      </c>
      <c r="E761" s="27" t="inlineStr">
        <is>
          <t>005290</t>
        </is>
      </c>
      <c r="F761" s="27" t="inlineStr">
        <is>
          <t>2024</t>
        </is>
      </c>
      <c r="G761" s="27" t="inlineStr">
        <is>
          <t>CFS</t>
        </is>
      </c>
      <c r="H761" s="27" t="inlineStr">
        <is>
          <t>CF</t>
        </is>
      </c>
      <c r="I761" s="27" t="inlineStr">
        <is>
          <t>현금흐름표</t>
        </is>
      </c>
      <c r="J761" s="27" t="inlineStr">
        <is>
          <t>dart_AdjustmentsForProfitsOfAssociatesAndJointVenturesAccountedForUsingEquityMethod</t>
        </is>
      </c>
      <c r="K761" s="27" t="inlineStr">
        <is>
          <t>지분법이익</t>
        </is>
      </c>
      <c r="L761" s="27" t="inlineStr">
        <is>
          <t>-</t>
        </is>
      </c>
      <c r="M761" s="27" t="inlineStr">
        <is>
          <t>제 52 기</t>
        </is>
      </c>
      <c r="N761" s="27" t="inlineStr">
        <is>
          <t>386957805.0</t>
        </is>
      </c>
      <c r="O761" s="27" t="inlineStr">
        <is>
          <t>79985305.0</t>
        </is>
      </c>
      <c r="P761" s="27" t="inlineStr">
        <is>
          <t>KRW</t>
        </is>
      </c>
      <c r="Q761" s="27" t="inlineStr">
        <is>
          <t>69</t>
        </is>
      </c>
    </row>
    <row r="762" ht="24" customHeight="1">
      <c r="A762" s="32" t="inlineStr">
        <is>
          <t>OpenDART_fnlttSinglAcntAll</t>
        </is>
      </c>
      <c r="B762" s="32" t="inlineStr">
        <is>
          <t>00118804</t>
        </is>
      </c>
      <c r="C762" s="32" t="inlineStr">
        <is>
          <t>동진쎄미켐</t>
        </is>
      </c>
      <c r="D762" s="32" t="inlineStr">
        <is>
          <t>dongjin_semichem</t>
        </is>
      </c>
      <c r="E762" s="32" t="inlineStr">
        <is>
          <t>005290</t>
        </is>
      </c>
      <c r="F762" s="32" t="inlineStr">
        <is>
          <t>2024</t>
        </is>
      </c>
      <c r="G762" s="32" t="inlineStr">
        <is>
          <t>CFS</t>
        </is>
      </c>
      <c r="H762" s="32" t="inlineStr">
        <is>
          <t>CF</t>
        </is>
      </c>
      <c r="I762" s="32" t="inlineStr">
        <is>
          <t>현금흐름표</t>
        </is>
      </c>
      <c r="J762" s="32" t="inlineStr">
        <is>
          <t>dart_AdjustmentsForProvisionForSeveranceIndemnities</t>
        </is>
      </c>
      <c r="K762" s="32" t="inlineStr">
        <is>
          <t>퇴직급여</t>
        </is>
      </c>
      <c r="L762" s="32" t="inlineStr">
        <is>
          <t>-</t>
        </is>
      </c>
      <c r="M762" s="32" t="inlineStr">
        <is>
          <t>제 52 기</t>
        </is>
      </c>
      <c r="N762" s="32" t="inlineStr">
        <is>
          <t>9351608727.0</t>
        </is>
      </c>
      <c r="O762" s="32" t="inlineStr">
        <is>
          <t>7210335531.0</t>
        </is>
      </c>
      <c r="P762" s="32" t="inlineStr">
        <is>
          <t>KRW</t>
        </is>
      </c>
      <c r="Q762" s="32" t="inlineStr">
        <is>
          <t>70</t>
        </is>
      </c>
    </row>
    <row r="763" ht="24" customHeight="1">
      <c r="A763" s="27" t="inlineStr">
        <is>
          <t>OpenDART_fnlttSinglAcntAll</t>
        </is>
      </c>
      <c r="B763" s="27" t="inlineStr">
        <is>
          <t>00118804</t>
        </is>
      </c>
      <c r="C763" s="27" t="inlineStr">
        <is>
          <t>동진쎄미켐</t>
        </is>
      </c>
      <c r="D763" s="27" t="inlineStr">
        <is>
          <t>dongjin_semichem</t>
        </is>
      </c>
      <c r="E763" s="27" t="inlineStr">
        <is>
          <t>005290</t>
        </is>
      </c>
      <c r="F763" s="27" t="inlineStr">
        <is>
          <t>2024</t>
        </is>
      </c>
      <c r="G763" s="27" t="inlineStr">
        <is>
          <t>CFS</t>
        </is>
      </c>
      <c r="H763" s="27" t="inlineStr">
        <is>
          <t>CF</t>
        </is>
      </c>
      <c r="I763" s="27" t="inlineStr">
        <is>
          <t>현금흐름표</t>
        </is>
      </c>
      <c r="J763" s="27" t="inlineStr">
        <is>
          <t>dart_AdjustmentsForReversalsOfBadDebtExpenses</t>
        </is>
      </c>
      <c r="K763" s="27" t="inlineStr">
        <is>
          <t>기타의 대손충당금환입</t>
        </is>
      </c>
      <c r="L763" s="27" t="inlineStr">
        <is>
          <t>-</t>
        </is>
      </c>
      <c r="M763" s="27" t="inlineStr">
        <is>
          <t>제 52 기</t>
        </is>
      </c>
      <c r="N763" s="27" t="inlineStr">
        <is>
          <t>0.0</t>
        </is>
      </c>
      <c r="O763" s="27" t="inlineStr">
        <is>
          <t>0.0</t>
        </is>
      </c>
      <c r="P763" s="27" t="inlineStr">
        <is>
          <t>KRW</t>
        </is>
      </c>
      <c r="Q763" s="27" t="inlineStr">
        <is>
          <t>71</t>
        </is>
      </c>
    </row>
    <row r="764" ht="24" customHeight="1">
      <c r="A764" s="32" t="inlineStr">
        <is>
          <t>OpenDART_fnlttSinglAcntAll</t>
        </is>
      </c>
      <c r="B764" s="32" t="inlineStr">
        <is>
          <t>00118804</t>
        </is>
      </c>
      <c r="C764" s="32" t="inlineStr">
        <is>
          <t>동진쎄미켐</t>
        </is>
      </c>
      <c r="D764" s="32" t="inlineStr">
        <is>
          <t>dongjin_semichem</t>
        </is>
      </c>
      <c r="E764" s="32" t="inlineStr">
        <is>
          <t>005290</t>
        </is>
      </c>
      <c r="F764" s="32" t="inlineStr">
        <is>
          <t>2024</t>
        </is>
      </c>
      <c r="G764" s="32" t="inlineStr">
        <is>
          <t>CFS</t>
        </is>
      </c>
      <c r="H764" s="32" t="inlineStr">
        <is>
          <t>CF</t>
        </is>
      </c>
      <c r="I764" s="32" t="inlineStr">
        <is>
          <t>현금흐름표</t>
        </is>
      </c>
      <c r="J764" s="32" t="inlineStr">
        <is>
          <t>dart_AdjustmentsForReversalsOfImpairmentLossesOnIntangibleAssets</t>
        </is>
      </c>
      <c r="K764" s="32" t="inlineStr">
        <is>
          <t>무형자산손상차손환입</t>
        </is>
      </c>
      <c r="L764" s="32" t="inlineStr">
        <is>
          <t>-</t>
        </is>
      </c>
      <c r="M764" s="32" t="inlineStr">
        <is>
          <t>제 52 기</t>
        </is>
      </c>
      <c r="N764" s="32" t="inlineStr">
        <is>
          <t>0.0</t>
        </is>
      </c>
      <c r="O764" s="32" t="inlineStr">
        <is>
          <t>0.0</t>
        </is>
      </c>
      <c r="P764" s="32" t="inlineStr">
        <is>
          <t>KRW</t>
        </is>
      </c>
      <c r="Q764" s="32" t="inlineStr">
        <is>
          <t>72</t>
        </is>
      </c>
    </row>
    <row r="765" ht="24" customHeight="1">
      <c r="A765" s="27" t="inlineStr">
        <is>
          <t>OpenDART_fnlttSinglAcntAll</t>
        </is>
      </c>
      <c r="B765" s="27" t="inlineStr">
        <is>
          <t>00118804</t>
        </is>
      </c>
      <c r="C765" s="27" t="inlineStr">
        <is>
          <t>동진쎄미켐</t>
        </is>
      </c>
      <c r="D765" s="27" t="inlineStr">
        <is>
          <t>dongjin_semichem</t>
        </is>
      </c>
      <c r="E765" s="27" t="inlineStr">
        <is>
          <t>005290</t>
        </is>
      </c>
      <c r="F765" s="27" t="inlineStr">
        <is>
          <t>2024</t>
        </is>
      </c>
      <c r="G765" s="27" t="inlineStr">
        <is>
          <t>CFS</t>
        </is>
      </c>
      <c r="H765" s="27" t="inlineStr">
        <is>
          <t>CF</t>
        </is>
      </c>
      <c r="I765" s="27" t="inlineStr">
        <is>
          <t>현금흐름표</t>
        </is>
      </c>
      <c r="J765" s="27" t="inlineStr">
        <is>
          <t>ifrs-full_AdjustmentsForAmortisationExpense</t>
        </is>
      </c>
      <c r="K765" s="27" t="inlineStr">
        <is>
          <t>무형자산상각비</t>
        </is>
      </c>
      <c r="L765" s="27" t="inlineStr">
        <is>
          <t>-</t>
        </is>
      </c>
      <c r="M765" s="27" t="inlineStr">
        <is>
          <t>제 52 기</t>
        </is>
      </c>
      <c r="N765" s="27" t="inlineStr">
        <is>
          <t>1910249997.0</t>
        </is>
      </c>
      <c r="O765" s="27" t="inlineStr">
        <is>
          <t>1768505903.0</t>
        </is>
      </c>
      <c r="P765" s="27" t="inlineStr">
        <is>
          <t>KRW</t>
        </is>
      </c>
      <c r="Q765" s="27" t="inlineStr">
        <is>
          <t>73</t>
        </is>
      </c>
    </row>
    <row r="766" ht="24" customHeight="1">
      <c r="A766" s="32" t="inlineStr">
        <is>
          <t>OpenDART_fnlttSinglAcntAll</t>
        </is>
      </c>
      <c r="B766" s="32" t="inlineStr">
        <is>
          <t>00118804</t>
        </is>
      </c>
      <c r="C766" s="32" t="inlineStr">
        <is>
          <t>동진쎄미켐</t>
        </is>
      </c>
      <c r="D766" s="32" t="inlineStr">
        <is>
          <t>dongjin_semichem</t>
        </is>
      </c>
      <c r="E766" s="32" t="inlineStr">
        <is>
          <t>005290</t>
        </is>
      </c>
      <c r="F766" s="32" t="inlineStr">
        <is>
          <t>2024</t>
        </is>
      </c>
      <c r="G766" s="32" t="inlineStr">
        <is>
          <t>CFS</t>
        </is>
      </c>
      <c r="H766" s="32" t="inlineStr">
        <is>
          <t>CF</t>
        </is>
      </c>
      <c r="I766" s="32" t="inlineStr">
        <is>
          <t>현금흐름표</t>
        </is>
      </c>
      <c r="J766" s="32" t="inlineStr">
        <is>
          <t>ifrs-full_AdjustmentsForDepreciationExpense</t>
        </is>
      </c>
      <c r="K766" s="32" t="inlineStr">
        <is>
          <t>감가상각비</t>
        </is>
      </c>
      <c r="L766" s="32" t="inlineStr">
        <is>
          <t>-</t>
        </is>
      </c>
      <c r="M766" s="32" t="inlineStr">
        <is>
          <t>제 52 기</t>
        </is>
      </c>
      <c r="N766" s="32" t="inlineStr">
        <is>
          <t>62672569859.0</t>
        </is>
      </c>
      <c r="O766" s="32" t="inlineStr">
        <is>
          <t>53461153959.0</t>
        </is>
      </c>
      <c r="P766" s="32" t="inlineStr">
        <is>
          <t>KRW</t>
        </is>
      </c>
      <c r="Q766" s="32" t="inlineStr">
        <is>
          <t>74</t>
        </is>
      </c>
    </row>
    <row r="767" ht="24" customHeight="1">
      <c r="A767" s="27" t="inlineStr">
        <is>
          <t>OpenDART_fnlttSinglAcntAll</t>
        </is>
      </c>
      <c r="B767" s="27" t="inlineStr">
        <is>
          <t>00118804</t>
        </is>
      </c>
      <c r="C767" s="27" t="inlineStr">
        <is>
          <t>동진쎄미켐</t>
        </is>
      </c>
      <c r="D767" s="27" t="inlineStr">
        <is>
          <t>dongjin_semichem</t>
        </is>
      </c>
      <c r="E767" s="27" t="inlineStr">
        <is>
          <t>005290</t>
        </is>
      </c>
      <c r="F767" s="27" t="inlineStr">
        <is>
          <t>2024</t>
        </is>
      </c>
      <c r="G767" s="27" t="inlineStr">
        <is>
          <t>CFS</t>
        </is>
      </c>
      <c r="H767" s="27" t="inlineStr">
        <is>
          <t>CF</t>
        </is>
      </c>
      <c r="I767" s="27" t="inlineStr">
        <is>
          <t>현금흐름표</t>
        </is>
      </c>
      <c r="J767" s="27" t="inlineStr">
        <is>
          <t>ifrs-full_AdjustmentsForDividendIncome</t>
        </is>
      </c>
      <c r="K767" s="27" t="inlineStr">
        <is>
          <t>배당금수익</t>
        </is>
      </c>
      <c r="L767" s="27" t="inlineStr">
        <is>
          <t>-</t>
        </is>
      </c>
      <c r="M767" s="27" t="inlineStr">
        <is>
          <t>제 52 기</t>
        </is>
      </c>
      <c r="N767" s="27" t="inlineStr">
        <is>
          <t>86775240.0</t>
        </is>
      </c>
      <c r="O767" s="27" t="inlineStr">
        <is>
          <t>0.0</t>
        </is>
      </c>
      <c r="P767" s="27" t="inlineStr">
        <is>
          <t>KRW</t>
        </is>
      </c>
      <c r="Q767" s="27" t="inlineStr">
        <is>
          <t>75</t>
        </is>
      </c>
    </row>
    <row r="768" ht="24" customHeight="1">
      <c r="A768" s="32" t="inlineStr">
        <is>
          <t>OpenDART_fnlttSinglAcntAll</t>
        </is>
      </c>
      <c r="B768" s="32" t="inlineStr">
        <is>
          <t>00118804</t>
        </is>
      </c>
      <c r="C768" s="32" t="inlineStr">
        <is>
          <t>동진쎄미켐</t>
        </is>
      </c>
      <c r="D768" s="32" t="inlineStr">
        <is>
          <t>dongjin_semichem</t>
        </is>
      </c>
      <c r="E768" s="32" t="inlineStr">
        <is>
          <t>005290</t>
        </is>
      </c>
      <c r="F768" s="32" t="inlineStr">
        <is>
          <t>2024</t>
        </is>
      </c>
      <c r="G768" s="32" t="inlineStr">
        <is>
          <t>CFS</t>
        </is>
      </c>
      <c r="H768" s="32" t="inlineStr">
        <is>
          <t>CF</t>
        </is>
      </c>
      <c r="I768" s="32" t="inlineStr">
        <is>
          <t>현금흐름표</t>
        </is>
      </c>
      <c r="J768" s="32" t="inlineStr">
        <is>
          <t>ifrs-full_AdjustmentsForFinanceCosts</t>
        </is>
      </c>
      <c r="K768" s="32" t="inlineStr">
        <is>
          <t>금융비용</t>
        </is>
      </c>
      <c r="L768" s="32" t="inlineStr">
        <is>
          <t>-</t>
        </is>
      </c>
      <c r="M768" s="32" t="inlineStr">
        <is>
          <t>제 52 기</t>
        </is>
      </c>
      <c r="N768" s="32" t="inlineStr">
        <is>
          <t>28446423522.0</t>
        </is>
      </c>
      <c r="O768" s="32" t="inlineStr">
        <is>
          <t>24884627846.0</t>
        </is>
      </c>
      <c r="P768" s="32" t="inlineStr">
        <is>
          <t>KRW</t>
        </is>
      </c>
      <c r="Q768" s="32" t="inlineStr">
        <is>
          <t>76</t>
        </is>
      </c>
    </row>
    <row r="769" ht="24" customHeight="1">
      <c r="A769" s="27" t="inlineStr">
        <is>
          <t>OpenDART_fnlttSinglAcntAll</t>
        </is>
      </c>
      <c r="B769" s="27" t="inlineStr">
        <is>
          <t>00118804</t>
        </is>
      </c>
      <c r="C769" s="27" t="inlineStr">
        <is>
          <t>동진쎄미켐</t>
        </is>
      </c>
      <c r="D769" s="27" t="inlineStr">
        <is>
          <t>dongjin_semichem</t>
        </is>
      </c>
      <c r="E769" s="27" t="inlineStr">
        <is>
          <t>005290</t>
        </is>
      </c>
      <c r="F769" s="27" t="inlineStr">
        <is>
          <t>2024</t>
        </is>
      </c>
      <c r="G769" s="27" t="inlineStr">
        <is>
          <t>CFS</t>
        </is>
      </c>
      <c r="H769" s="27" t="inlineStr">
        <is>
          <t>CF</t>
        </is>
      </c>
      <c r="I769" s="27" t="inlineStr">
        <is>
          <t>현금흐름표</t>
        </is>
      </c>
      <c r="J769" s="27" t="inlineStr">
        <is>
          <t>ifrs-full_AdjustmentsForFinanceIncome</t>
        </is>
      </c>
      <c r="K769" s="27" t="inlineStr">
        <is>
          <t>금융수익</t>
        </is>
      </c>
      <c r="L769" s="27" t="inlineStr">
        <is>
          <t>-</t>
        </is>
      </c>
      <c r="M769" s="27" t="inlineStr">
        <is>
          <t>제 52 기</t>
        </is>
      </c>
      <c r="N769" s="27" t="inlineStr">
        <is>
          <t>12773620567.0</t>
        </is>
      </c>
      <c r="O769" s="27" t="inlineStr">
        <is>
          <t>10001622643.0</t>
        </is>
      </c>
      <c r="P769" s="27" t="inlineStr">
        <is>
          <t>KRW</t>
        </is>
      </c>
      <c r="Q769" s="27" t="inlineStr">
        <is>
          <t>77</t>
        </is>
      </c>
    </row>
    <row r="770" ht="24" customHeight="1">
      <c r="A770" s="32" t="inlineStr">
        <is>
          <t>OpenDART_fnlttSinglAcntAll</t>
        </is>
      </c>
      <c r="B770" s="32" t="inlineStr">
        <is>
          <t>00118804</t>
        </is>
      </c>
      <c r="C770" s="32" t="inlineStr">
        <is>
          <t>동진쎄미켐</t>
        </is>
      </c>
      <c r="D770" s="32" t="inlineStr">
        <is>
          <t>dongjin_semichem</t>
        </is>
      </c>
      <c r="E770" s="32" t="inlineStr">
        <is>
          <t>005290</t>
        </is>
      </c>
      <c r="F770" s="32" t="inlineStr">
        <is>
          <t>2024</t>
        </is>
      </c>
      <c r="G770" s="32" t="inlineStr">
        <is>
          <t>CFS</t>
        </is>
      </c>
      <c r="H770" s="32" t="inlineStr">
        <is>
          <t>CF</t>
        </is>
      </c>
      <c r="I770" s="32" t="inlineStr">
        <is>
          <t>현금흐름표</t>
        </is>
      </c>
      <c r="J770" s="32" t="inlineStr">
        <is>
          <t>ifrs-full_AdjustmentsForIncomeTaxExpense</t>
        </is>
      </c>
      <c r="K770" s="32" t="inlineStr">
        <is>
          <t>법인세비용</t>
        </is>
      </c>
      <c r="L770" s="32" t="inlineStr">
        <is>
          <t>-</t>
        </is>
      </c>
      <c r="M770" s="32" t="inlineStr">
        <is>
          <t>제 52 기</t>
        </is>
      </c>
      <c r="N770" s="32" t="inlineStr">
        <is>
          <t>58580683351.0</t>
        </is>
      </c>
      <c r="O770" s="32" t="inlineStr">
        <is>
          <t>39408743578.0</t>
        </is>
      </c>
      <c r="P770" s="32" t="inlineStr">
        <is>
          <t>KRW</t>
        </is>
      </c>
      <c r="Q770" s="32" t="inlineStr">
        <is>
          <t>78</t>
        </is>
      </c>
    </row>
    <row r="771" ht="24" customHeight="1">
      <c r="A771" s="27" t="inlineStr">
        <is>
          <t>OpenDART_fnlttSinglAcntAll</t>
        </is>
      </c>
      <c r="B771" s="27" t="inlineStr">
        <is>
          <t>00118804</t>
        </is>
      </c>
      <c r="C771" s="27" t="inlineStr">
        <is>
          <t>동진쎄미켐</t>
        </is>
      </c>
      <c r="D771" s="27" t="inlineStr">
        <is>
          <t>dongjin_semichem</t>
        </is>
      </c>
      <c r="E771" s="27" t="inlineStr">
        <is>
          <t>005290</t>
        </is>
      </c>
      <c r="F771" s="27" t="inlineStr">
        <is>
          <t>2024</t>
        </is>
      </c>
      <c r="G771" s="27" t="inlineStr">
        <is>
          <t>CFS</t>
        </is>
      </c>
      <c r="H771" s="27" t="inlineStr">
        <is>
          <t>CF</t>
        </is>
      </c>
      <c r="I771" s="27" t="inlineStr">
        <is>
          <t>현금흐름표</t>
        </is>
      </c>
      <c r="J771" s="27" t="inlineStr">
        <is>
          <t>ifrs-full_ProfitLoss</t>
        </is>
      </c>
      <c r="K771" s="27" t="inlineStr">
        <is>
          <t>당기순이익</t>
        </is>
      </c>
      <c r="L771" s="27" t="inlineStr">
        <is>
          <t>-</t>
        </is>
      </c>
      <c r="M771" s="27" t="inlineStr">
        <is>
          <t>제 52 기</t>
        </is>
      </c>
      <c r="N771" s="27" t="inlineStr">
        <is>
          <t>143484559745.0</t>
        </is>
      </c>
      <c r="O771" s="27" t="inlineStr">
        <is>
          <t>123534360586.0</t>
        </is>
      </c>
      <c r="P771" s="27" t="inlineStr">
        <is>
          <t>KRW</t>
        </is>
      </c>
      <c r="Q771" s="27" t="inlineStr">
        <is>
          <t>79</t>
        </is>
      </c>
    </row>
    <row r="772" ht="24" customHeight="1">
      <c r="A772" s="32" t="inlineStr">
        <is>
          <t>OpenDART_fnlttSinglAcntAll</t>
        </is>
      </c>
      <c r="B772" s="32" t="inlineStr">
        <is>
          <t>00118804</t>
        </is>
      </c>
      <c r="C772" s="32" t="inlineStr">
        <is>
          <t>동진쎄미켐</t>
        </is>
      </c>
      <c r="D772" s="32" t="inlineStr">
        <is>
          <t>dongjin_semichem</t>
        </is>
      </c>
      <c r="E772" s="32" t="inlineStr">
        <is>
          <t>005290</t>
        </is>
      </c>
      <c r="F772" s="32" t="inlineStr">
        <is>
          <t>2024</t>
        </is>
      </c>
      <c r="G772" s="32" t="inlineStr">
        <is>
          <t>CFS</t>
        </is>
      </c>
      <c r="H772" s="32" t="inlineStr">
        <is>
          <t>CF</t>
        </is>
      </c>
      <c r="I772" s="32" t="inlineStr">
        <is>
          <t>현금흐름표</t>
        </is>
      </c>
      <c r="J772" s="32" t="inlineStr">
        <is>
          <t>ifrs-full_DividendsReceivedClassifiedAsOperatingActivities</t>
        </is>
      </c>
      <c r="K772" s="32" t="inlineStr">
        <is>
          <t>배당금의 수취</t>
        </is>
      </c>
      <c r="L772" s="32" t="inlineStr">
        <is>
          <t>-</t>
        </is>
      </c>
      <c r="M772" s="32" t="inlineStr">
        <is>
          <t>제 52 기</t>
        </is>
      </c>
      <c r="N772" s="32" t="inlineStr">
        <is>
          <t>86775240.0</t>
        </is>
      </c>
      <c r="O772" s="32" t="inlineStr">
        <is>
          <t>0.0</t>
        </is>
      </c>
      <c r="P772" s="32" t="inlineStr">
        <is>
          <t>KRW</t>
        </is>
      </c>
      <c r="Q772" s="32" t="inlineStr">
        <is>
          <t>80</t>
        </is>
      </c>
    </row>
    <row r="773" ht="24" customHeight="1">
      <c r="A773" s="27" t="inlineStr">
        <is>
          <t>OpenDART_fnlttSinglAcntAll</t>
        </is>
      </c>
      <c r="B773" s="27" t="inlineStr">
        <is>
          <t>00118804</t>
        </is>
      </c>
      <c r="C773" s="27" t="inlineStr">
        <is>
          <t>동진쎄미켐</t>
        </is>
      </c>
      <c r="D773" s="27" t="inlineStr">
        <is>
          <t>dongjin_semichem</t>
        </is>
      </c>
      <c r="E773" s="27" t="inlineStr">
        <is>
          <t>005290</t>
        </is>
      </c>
      <c r="F773" s="27" t="inlineStr">
        <is>
          <t>2024</t>
        </is>
      </c>
      <c r="G773" s="27" t="inlineStr">
        <is>
          <t>CFS</t>
        </is>
      </c>
      <c r="H773" s="27" t="inlineStr">
        <is>
          <t>CF</t>
        </is>
      </c>
      <c r="I773" s="27" t="inlineStr">
        <is>
          <t>현금흐름표</t>
        </is>
      </c>
      <c r="J773" s="27" t="inlineStr">
        <is>
          <t>ifrs-full_IncomeTaxesPaidClassifiedAsOperatingActivities</t>
        </is>
      </c>
      <c r="K773" s="27" t="inlineStr">
        <is>
          <t>법인세의 납부</t>
        </is>
      </c>
      <c r="L773" s="27" t="inlineStr">
        <is>
          <t>-</t>
        </is>
      </c>
      <c r="M773" s="27" t="inlineStr">
        <is>
          <t>제 52 기</t>
        </is>
      </c>
      <c r="N773" s="27" t="inlineStr">
        <is>
          <t>21254163481.0</t>
        </is>
      </c>
      <c r="O773" s="27" t="inlineStr">
        <is>
          <t>70307740741.0</t>
        </is>
      </c>
      <c r="P773" s="27" t="inlineStr">
        <is>
          <t>KRW</t>
        </is>
      </c>
      <c r="Q773" s="27" t="inlineStr">
        <is>
          <t>81</t>
        </is>
      </c>
    </row>
    <row r="774" ht="24" customHeight="1">
      <c r="A774" s="32" t="inlineStr">
        <is>
          <t>OpenDART_fnlttSinglAcntAll</t>
        </is>
      </c>
      <c r="B774" s="32" t="inlineStr">
        <is>
          <t>00118804</t>
        </is>
      </c>
      <c r="C774" s="32" t="inlineStr">
        <is>
          <t>동진쎄미켐</t>
        </is>
      </c>
      <c r="D774" s="32" t="inlineStr">
        <is>
          <t>dongjin_semichem</t>
        </is>
      </c>
      <c r="E774" s="32" t="inlineStr">
        <is>
          <t>005290</t>
        </is>
      </c>
      <c r="F774" s="32" t="inlineStr">
        <is>
          <t>2024</t>
        </is>
      </c>
      <c r="G774" s="32" t="inlineStr">
        <is>
          <t>CFS</t>
        </is>
      </c>
      <c r="H774" s="32" t="inlineStr">
        <is>
          <t>CF</t>
        </is>
      </c>
      <c r="I774" s="32" t="inlineStr">
        <is>
          <t>현금흐름표</t>
        </is>
      </c>
      <c r="J774" s="32" t="inlineStr">
        <is>
          <t>ifrs-full_IncomeTaxesRefundClassifiedAsOperatingActivities</t>
        </is>
      </c>
      <c r="K774" s="32" t="inlineStr">
        <is>
          <t>법인세의 환급</t>
        </is>
      </c>
      <c r="L774" s="32" t="inlineStr">
        <is>
          <t>-</t>
        </is>
      </c>
      <c r="M774" s="32" t="inlineStr">
        <is>
          <t>제 52 기</t>
        </is>
      </c>
      <c r="N774" s="32" t="inlineStr">
        <is>
          <t>1225531770.0</t>
        </is>
      </c>
      <c r="O774" s="32" t="inlineStr">
        <is>
          <t>1098083838.0</t>
        </is>
      </c>
      <c r="P774" s="32" t="inlineStr">
        <is>
          <t>KRW</t>
        </is>
      </c>
      <c r="Q774" s="32" t="inlineStr">
        <is>
          <t>82</t>
        </is>
      </c>
    </row>
    <row r="775" ht="24" customHeight="1">
      <c r="A775" s="27" t="inlineStr">
        <is>
          <t>OpenDART_fnlttSinglAcntAll</t>
        </is>
      </c>
      <c r="B775" s="27" t="inlineStr">
        <is>
          <t>00118804</t>
        </is>
      </c>
      <c r="C775" s="27" t="inlineStr">
        <is>
          <t>동진쎄미켐</t>
        </is>
      </c>
      <c r="D775" s="27" t="inlineStr">
        <is>
          <t>dongjin_semichem</t>
        </is>
      </c>
      <c r="E775" s="27" t="inlineStr">
        <is>
          <t>005290</t>
        </is>
      </c>
      <c r="F775" s="27" t="inlineStr">
        <is>
          <t>2024</t>
        </is>
      </c>
      <c r="G775" s="27" t="inlineStr">
        <is>
          <t>CFS</t>
        </is>
      </c>
      <c r="H775" s="27" t="inlineStr">
        <is>
          <t>CF</t>
        </is>
      </c>
      <c r="I775" s="27" t="inlineStr">
        <is>
          <t>현금흐름표</t>
        </is>
      </c>
      <c r="J775" s="27" t="inlineStr">
        <is>
          <t>ifrs-full_InterestPaidClassifiedAsOperatingActivities</t>
        </is>
      </c>
      <c r="K775" s="27" t="inlineStr">
        <is>
          <t>이자지급</t>
        </is>
      </c>
      <c r="L775" s="27" t="inlineStr">
        <is>
          <t>-</t>
        </is>
      </c>
      <c r="M775" s="27" t="inlineStr">
        <is>
          <t>제 52 기</t>
        </is>
      </c>
      <c r="N775" s="27" t="inlineStr">
        <is>
          <t>28168398344.0</t>
        </is>
      </c>
      <c r="O775" s="27" t="inlineStr">
        <is>
          <t>23869399073.0</t>
        </is>
      </c>
      <c r="P775" s="27" t="inlineStr">
        <is>
          <t>KRW</t>
        </is>
      </c>
      <c r="Q775" s="27" t="inlineStr">
        <is>
          <t>83</t>
        </is>
      </c>
    </row>
    <row r="776" ht="24" customHeight="1">
      <c r="A776" s="32" t="inlineStr">
        <is>
          <t>OpenDART_fnlttSinglAcntAll</t>
        </is>
      </c>
      <c r="B776" s="32" t="inlineStr">
        <is>
          <t>00118804</t>
        </is>
      </c>
      <c r="C776" s="32" t="inlineStr">
        <is>
          <t>동진쎄미켐</t>
        </is>
      </c>
      <c r="D776" s="32" t="inlineStr">
        <is>
          <t>dongjin_semichem</t>
        </is>
      </c>
      <c r="E776" s="32" t="inlineStr">
        <is>
          <t>005290</t>
        </is>
      </c>
      <c r="F776" s="32" t="inlineStr">
        <is>
          <t>2024</t>
        </is>
      </c>
      <c r="G776" s="32" t="inlineStr">
        <is>
          <t>CFS</t>
        </is>
      </c>
      <c r="H776" s="32" t="inlineStr">
        <is>
          <t>CF</t>
        </is>
      </c>
      <c r="I776" s="32" t="inlineStr">
        <is>
          <t>현금흐름표</t>
        </is>
      </c>
      <c r="J776" s="32" t="inlineStr">
        <is>
          <t>ifrs-full_InterestReceivedClassifiedAsOperatingActivities</t>
        </is>
      </c>
      <c r="K776" s="32" t="inlineStr">
        <is>
          <t>이자수취</t>
        </is>
      </c>
      <c r="L776" s="32" t="inlineStr">
        <is>
          <t>-</t>
        </is>
      </c>
      <c r="M776" s="32" t="inlineStr">
        <is>
          <t>제 52 기</t>
        </is>
      </c>
      <c r="N776" s="32" t="inlineStr">
        <is>
          <t>11177379606.0</t>
        </is>
      </c>
      <c r="O776" s="32" t="inlineStr">
        <is>
          <t>8429488334.0</t>
        </is>
      </c>
      <c r="P776" s="32" t="inlineStr">
        <is>
          <t>KRW</t>
        </is>
      </c>
      <c r="Q776" s="32" t="inlineStr">
        <is>
          <t>84</t>
        </is>
      </c>
    </row>
    <row r="777" ht="24" customHeight="1">
      <c r="A777" s="27" t="inlineStr">
        <is>
          <t>OpenDART_fnlttSinglAcntAll</t>
        </is>
      </c>
      <c r="B777" s="27" t="inlineStr">
        <is>
          <t>00118804</t>
        </is>
      </c>
      <c r="C777" s="27" t="inlineStr">
        <is>
          <t>동진쎄미켐</t>
        </is>
      </c>
      <c r="D777" s="27" t="inlineStr">
        <is>
          <t>dongjin_semichem</t>
        </is>
      </c>
      <c r="E777" s="27" t="inlineStr">
        <is>
          <t>005290</t>
        </is>
      </c>
      <c r="F777" s="27" t="inlineStr">
        <is>
          <t>2024</t>
        </is>
      </c>
      <c r="G777" s="27" t="inlineStr">
        <is>
          <t>CFS</t>
        </is>
      </c>
      <c r="H777" s="27" t="inlineStr">
        <is>
          <t>CF</t>
        </is>
      </c>
      <c r="I777" s="27" t="inlineStr">
        <is>
          <t>현금흐름표</t>
        </is>
      </c>
      <c r="J777" s="27" t="inlineStr">
        <is>
          <t>ifrs-full_EffectOfExchangeRateChangesOnCashAndCashEquivalents</t>
        </is>
      </c>
      <c r="K777" s="27" t="inlineStr">
        <is>
          <t>외화표시 현금및현금성자산 등의 환율변동효과</t>
        </is>
      </c>
      <c r="L777" s="27" t="inlineStr">
        <is>
          <t>-</t>
        </is>
      </c>
      <c r="M777" s="27" t="inlineStr">
        <is>
          <t>제 52 기</t>
        </is>
      </c>
      <c r="N777" s="27" t="inlineStr">
        <is>
          <t>35401094935.0</t>
        </is>
      </c>
      <c r="O777" s="27" t="inlineStr">
        <is>
          <t>1154782598.0</t>
        </is>
      </c>
      <c r="P777" s="27" t="inlineStr">
        <is>
          <t>KRW</t>
        </is>
      </c>
      <c r="Q777" s="27" t="inlineStr">
        <is>
          <t>85</t>
        </is>
      </c>
    </row>
    <row r="778" ht="24" customHeight="1">
      <c r="A778" s="32" t="inlineStr">
        <is>
          <t>OpenDART_fnlttSinglAcntAll</t>
        </is>
      </c>
      <c r="B778" s="32" t="inlineStr">
        <is>
          <t>00118804</t>
        </is>
      </c>
      <c r="C778" s="32" t="inlineStr">
        <is>
          <t>동진쎄미켐</t>
        </is>
      </c>
      <c r="D778" s="32" t="inlineStr">
        <is>
          <t>dongjin_semichem</t>
        </is>
      </c>
      <c r="E778" s="32" t="inlineStr">
        <is>
          <t>005290</t>
        </is>
      </c>
      <c r="F778" s="32" t="inlineStr">
        <is>
          <t>2024</t>
        </is>
      </c>
      <c r="G778" s="32" t="inlineStr">
        <is>
          <t>CFS</t>
        </is>
      </c>
      <c r="H778" s="32" t="inlineStr">
        <is>
          <t>CF</t>
        </is>
      </c>
      <c r="I778" s="32" t="inlineStr">
        <is>
          <t>현금흐름표</t>
        </is>
      </c>
      <c r="J778" s="32" t="inlineStr">
        <is>
          <t>ifrs-full_IncreaseDecreaseInCashAndCashEquivalents</t>
        </is>
      </c>
      <c r="K778" s="32" t="inlineStr">
        <is>
          <t>현금및현금성자산의 순증가(감소)</t>
        </is>
      </c>
      <c r="L778" s="32" t="inlineStr">
        <is>
          <t>-</t>
        </is>
      </c>
      <c r="M778" s="32" t="inlineStr">
        <is>
          <t>제 52 기</t>
        </is>
      </c>
      <c r="N778" s="32" t="inlineStr">
        <is>
          <t>144826869614.0</t>
        </is>
      </c>
      <c r="O778" s="32" t="inlineStr">
        <is>
          <t>-7898330317.0</t>
        </is>
      </c>
      <c r="P778" s="32" t="inlineStr">
        <is>
          <t>KRW</t>
        </is>
      </c>
      <c r="Q778" s="32" t="inlineStr">
        <is>
          <t>86</t>
        </is>
      </c>
    </row>
    <row r="779" ht="24" customHeight="1">
      <c r="A779" s="27" t="inlineStr">
        <is>
          <t>OpenDART_fnlttSinglAcntAll</t>
        </is>
      </c>
      <c r="B779" s="27" t="inlineStr">
        <is>
          <t>00118804</t>
        </is>
      </c>
      <c r="C779" s="27" t="inlineStr">
        <is>
          <t>동진쎄미켐</t>
        </is>
      </c>
      <c r="D779" s="27" t="inlineStr">
        <is>
          <t>dongjin_semichem</t>
        </is>
      </c>
      <c r="E779" s="27" t="inlineStr">
        <is>
          <t>005290</t>
        </is>
      </c>
      <c r="F779" s="27" t="inlineStr">
        <is>
          <t>2024</t>
        </is>
      </c>
      <c r="G779" s="27" t="inlineStr">
        <is>
          <t>CFS</t>
        </is>
      </c>
      <c r="H779" s="27" t="inlineStr">
        <is>
          <t>SCE</t>
        </is>
      </c>
      <c r="I779" s="27" t="inlineStr">
        <is>
          <t>자본변동표</t>
        </is>
      </c>
      <c r="J779" s="27" t="inlineStr">
        <is>
          <t>dart_EquityAtBeginningOfPeriod</t>
        </is>
      </c>
      <c r="K779" s="27" t="inlineStr">
        <is>
          <t>기초</t>
        </is>
      </c>
      <c r="L779" s="27" t="inlineStr">
        <is>
          <t>자본 [구성요소]|지배기업의 소유주에게 귀속되는 지분 [구성요소]|자본금 [구성요소]</t>
        </is>
      </c>
      <c r="M779" s="27" t="inlineStr">
        <is>
          <t>제 52 기</t>
        </is>
      </c>
      <c r="N779" s="27" t="inlineStr">
        <is>
          <t>25707247000.0</t>
        </is>
      </c>
      <c r="O779" s="27" t="inlineStr">
        <is>
          <t>25707247000.0</t>
        </is>
      </c>
      <c r="P779" s="27" t="inlineStr">
        <is>
          <t>KRW</t>
        </is>
      </c>
      <c r="Q779" s="27" t="inlineStr">
        <is>
          <t>3</t>
        </is>
      </c>
    </row>
    <row r="780" ht="24" customHeight="1">
      <c r="A780" s="32" t="inlineStr">
        <is>
          <t>OpenDART_fnlttSinglAcntAll</t>
        </is>
      </c>
      <c r="B780" s="32" t="inlineStr">
        <is>
          <t>00118804</t>
        </is>
      </c>
      <c r="C780" s="32" t="inlineStr">
        <is>
          <t>동진쎄미켐</t>
        </is>
      </c>
      <c r="D780" s="32" t="inlineStr">
        <is>
          <t>dongjin_semichem</t>
        </is>
      </c>
      <c r="E780" s="32" t="inlineStr">
        <is>
          <t>005290</t>
        </is>
      </c>
      <c r="F780" s="32" t="inlineStr">
        <is>
          <t>2024</t>
        </is>
      </c>
      <c r="G780" s="32" t="inlineStr">
        <is>
          <t>CFS</t>
        </is>
      </c>
      <c r="H780" s="32" t="inlineStr">
        <is>
          <t>SCE</t>
        </is>
      </c>
      <c r="I780" s="32" t="inlineStr">
        <is>
          <t>자본변동표</t>
        </is>
      </c>
      <c r="J780" s="32" t="inlineStr">
        <is>
          <t>dart_EquityAtBeginningOfPeriod</t>
        </is>
      </c>
      <c r="K780" s="32" t="inlineStr">
        <is>
          <t>기초</t>
        </is>
      </c>
      <c r="L780" s="32" t="inlineStr">
        <is>
          <t>자본 [구성요소]|지배기업의 소유주에게 귀속되는 지분 [구성요소]|이익잉여금 [구성요소]</t>
        </is>
      </c>
      <c r="M780" s="32" t="inlineStr">
        <is>
          <t>제 52 기</t>
        </is>
      </c>
      <c r="N780" s="32" t="inlineStr">
        <is>
          <t>628992461223.0</t>
        </is>
      </c>
      <c r="O780" s="32" t="inlineStr">
        <is>
          <t>521015824109.0</t>
        </is>
      </c>
      <c r="P780" s="32" t="inlineStr">
        <is>
          <t>KRW</t>
        </is>
      </c>
      <c r="Q780" s="32" t="inlineStr">
        <is>
          <t>3</t>
        </is>
      </c>
    </row>
    <row r="781" ht="24" customHeight="1">
      <c r="A781" s="27" t="inlineStr">
        <is>
          <t>OpenDART_fnlttSinglAcntAll</t>
        </is>
      </c>
      <c r="B781" s="27" t="inlineStr">
        <is>
          <t>00118804</t>
        </is>
      </c>
      <c r="C781" s="27" t="inlineStr">
        <is>
          <t>동진쎄미켐</t>
        </is>
      </c>
      <c r="D781" s="27" t="inlineStr">
        <is>
          <t>dongjin_semichem</t>
        </is>
      </c>
      <c r="E781" s="27" t="inlineStr">
        <is>
          <t>005290</t>
        </is>
      </c>
      <c r="F781" s="27" t="inlineStr">
        <is>
          <t>2024</t>
        </is>
      </c>
      <c r="G781" s="27" t="inlineStr">
        <is>
          <t>CFS</t>
        </is>
      </c>
      <c r="H781" s="27" t="inlineStr">
        <is>
          <t>SCE</t>
        </is>
      </c>
      <c r="I781" s="27" t="inlineStr">
        <is>
          <t>자본변동표</t>
        </is>
      </c>
      <c r="J781" s="27" t="inlineStr">
        <is>
          <t>dart_EquityAtBeginningOfPeriod</t>
        </is>
      </c>
      <c r="K781" s="27" t="inlineStr">
        <is>
          <t>기초</t>
        </is>
      </c>
      <c r="L781" s="27" t="inlineStr">
        <is>
          <t>자본 [구성요소]|지배기업의 소유주에게 귀속되는 지분 [구성요소]|기타자본구성요소 [구성요소]</t>
        </is>
      </c>
      <c r="M781" s="27" t="inlineStr">
        <is>
          <t>제 52 기</t>
        </is>
      </c>
      <c r="N781" s="27" t="inlineStr">
        <is>
          <t>28552227339.0</t>
        </is>
      </c>
      <c r="O781" s="27" t="inlineStr">
        <is>
          <t>27124759320.0</t>
        </is>
      </c>
      <c r="P781" s="27" t="inlineStr">
        <is>
          <t>KRW</t>
        </is>
      </c>
      <c r="Q781" s="27" t="inlineStr">
        <is>
          <t>3</t>
        </is>
      </c>
    </row>
    <row r="782" ht="24" customHeight="1">
      <c r="A782" s="32" t="inlineStr">
        <is>
          <t>OpenDART_fnlttSinglAcntAll</t>
        </is>
      </c>
      <c r="B782" s="32" t="inlineStr">
        <is>
          <t>00118804</t>
        </is>
      </c>
      <c r="C782" s="32" t="inlineStr">
        <is>
          <t>동진쎄미켐</t>
        </is>
      </c>
      <c r="D782" s="32" t="inlineStr">
        <is>
          <t>dongjin_semichem</t>
        </is>
      </c>
      <c r="E782" s="32" t="inlineStr">
        <is>
          <t>005290</t>
        </is>
      </c>
      <c r="F782" s="32" t="inlineStr">
        <is>
          <t>2024</t>
        </is>
      </c>
      <c r="G782" s="32" t="inlineStr">
        <is>
          <t>CFS</t>
        </is>
      </c>
      <c r="H782" s="32" t="inlineStr">
        <is>
          <t>SCE</t>
        </is>
      </c>
      <c r="I782" s="32" t="inlineStr">
        <is>
          <t>자본변동표</t>
        </is>
      </c>
      <c r="J782" s="32" t="inlineStr">
        <is>
          <t>dart_EquityAtBeginningOfPeriod</t>
        </is>
      </c>
      <c r="K782" s="32" t="inlineStr">
        <is>
          <t>기초</t>
        </is>
      </c>
      <c r="L782" s="32" t="inlineStr">
        <is>
          <t>연결재무제표 [member]</t>
        </is>
      </c>
      <c r="M782" s="32" t="inlineStr">
        <is>
          <t>제 52 기</t>
        </is>
      </c>
      <c r="N782" s="32" t="inlineStr">
        <is>
          <t>835481646771.0</t>
        </is>
      </c>
      <c r="O782" s="32" t="inlineStr">
        <is>
          <t>700787363830.0</t>
        </is>
      </c>
      <c r="P782" s="32" t="inlineStr">
        <is>
          <t>KRW</t>
        </is>
      </c>
      <c r="Q782" s="32" t="inlineStr">
        <is>
          <t>3</t>
        </is>
      </c>
    </row>
    <row r="783" ht="24" customHeight="1">
      <c r="A783" s="27" t="inlineStr">
        <is>
          <t>OpenDART_fnlttSinglAcntAll</t>
        </is>
      </c>
      <c r="B783" s="27" t="inlineStr">
        <is>
          <t>00118804</t>
        </is>
      </c>
      <c r="C783" s="27" t="inlineStr">
        <is>
          <t>동진쎄미켐</t>
        </is>
      </c>
      <c r="D783" s="27" t="inlineStr">
        <is>
          <t>dongjin_semichem</t>
        </is>
      </c>
      <c r="E783" s="27" t="inlineStr">
        <is>
          <t>005290</t>
        </is>
      </c>
      <c r="F783" s="27" t="inlineStr">
        <is>
          <t>2024</t>
        </is>
      </c>
      <c r="G783" s="27" t="inlineStr">
        <is>
          <t>CFS</t>
        </is>
      </c>
      <c r="H783" s="27" t="inlineStr">
        <is>
          <t>SCE</t>
        </is>
      </c>
      <c r="I783" s="27" t="inlineStr">
        <is>
          <t>자본변동표</t>
        </is>
      </c>
      <c r="J783" s="27" t="inlineStr">
        <is>
          <t>dart_EquityAtBeginningOfPeriod</t>
        </is>
      </c>
      <c r="K783" s="27" t="inlineStr">
        <is>
          <t>기초</t>
        </is>
      </c>
      <c r="L783" s="27" t="inlineStr">
        <is>
          <t>자본 [구성요소]|비지배지분 [구성요소]</t>
        </is>
      </c>
      <c r="M783" s="27" t="inlineStr">
        <is>
          <t>제 52 기</t>
        </is>
      </c>
      <c r="N783" s="27" t="inlineStr">
        <is>
          <t>30429295556.0</t>
        </is>
      </c>
      <c r="O783" s="27" t="inlineStr">
        <is>
          <t>3942443240.0</t>
        </is>
      </c>
      <c r="P783" s="27" t="inlineStr">
        <is>
          <t>KRW</t>
        </is>
      </c>
      <c r="Q783" s="27" t="inlineStr">
        <is>
          <t>3</t>
        </is>
      </c>
    </row>
    <row r="784" ht="24" customHeight="1">
      <c r="A784" s="32" t="inlineStr">
        <is>
          <t>OpenDART_fnlttSinglAcntAll</t>
        </is>
      </c>
      <c r="B784" s="32" t="inlineStr">
        <is>
          <t>00118804</t>
        </is>
      </c>
      <c r="C784" s="32" t="inlineStr">
        <is>
          <t>동진쎄미켐</t>
        </is>
      </c>
      <c r="D784" s="32" t="inlineStr">
        <is>
          <t>dongjin_semichem</t>
        </is>
      </c>
      <c r="E784" s="32" t="inlineStr">
        <is>
          <t>005290</t>
        </is>
      </c>
      <c r="F784" s="32" t="inlineStr">
        <is>
          <t>2024</t>
        </is>
      </c>
      <c r="G784" s="32" t="inlineStr">
        <is>
          <t>CFS</t>
        </is>
      </c>
      <c r="H784" s="32" t="inlineStr">
        <is>
          <t>SCE</t>
        </is>
      </c>
      <c r="I784" s="32" t="inlineStr">
        <is>
          <t>자본변동표</t>
        </is>
      </c>
      <c r="J784" s="32" t="inlineStr">
        <is>
          <t>dart_EquityAtBeginningOfPeriod</t>
        </is>
      </c>
      <c r="K784" s="32" t="inlineStr">
        <is>
          <t>기초</t>
        </is>
      </c>
      <c r="L784" s="32" t="inlineStr">
        <is>
          <t>자본 [구성요소]|지배기업의 소유주에게 귀속되는 지분 [구성요소]</t>
        </is>
      </c>
      <c r="M784" s="32" t="inlineStr">
        <is>
          <t>제 52 기</t>
        </is>
      </c>
      <c r="N784" s="32" t="inlineStr">
        <is>
          <t>805052351215.0</t>
        </is>
      </c>
      <c r="O784" s="32" t="inlineStr">
        <is>
          <t>696844920590.0</t>
        </is>
      </c>
      <c r="P784" s="32" t="inlineStr">
        <is>
          <t>KRW</t>
        </is>
      </c>
      <c r="Q784" s="32" t="inlineStr">
        <is>
          <t>3</t>
        </is>
      </c>
    </row>
    <row r="785" ht="24" customHeight="1">
      <c r="A785" s="27" t="inlineStr">
        <is>
          <t>OpenDART_fnlttSinglAcntAll</t>
        </is>
      </c>
      <c r="B785" s="27" t="inlineStr">
        <is>
          <t>00118804</t>
        </is>
      </c>
      <c r="C785" s="27" t="inlineStr">
        <is>
          <t>동진쎄미켐</t>
        </is>
      </c>
      <c r="D785" s="27" t="inlineStr">
        <is>
          <t>dongjin_semichem</t>
        </is>
      </c>
      <c r="E785" s="27" t="inlineStr">
        <is>
          <t>005290</t>
        </is>
      </c>
      <c r="F785" s="27" t="inlineStr">
        <is>
          <t>2024</t>
        </is>
      </c>
      <c r="G785" s="27" t="inlineStr">
        <is>
          <t>CFS</t>
        </is>
      </c>
      <c r="H785" s="27" t="inlineStr">
        <is>
          <t>SCE</t>
        </is>
      </c>
      <c r="I785" s="27" t="inlineStr">
        <is>
          <t>자본변동표</t>
        </is>
      </c>
      <c r="J785" s="27" t="inlineStr">
        <is>
          <t>dart_EquityAtBeginningOfPeriod</t>
        </is>
      </c>
      <c r="K785" s="27" t="inlineStr">
        <is>
          <t>기초</t>
        </is>
      </c>
      <c r="L785" s="27" t="inlineStr">
        <is>
          <t>자본 [구성요소]|지배기업의 소유주에게 귀속되는 지분 [구성요소]|추가납입자본 [구성요소]</t>
        </is>
      </c>
      <c r="M785" s="27" t="inlineStr">
        <is>
          <t>제 52 기</t>
        </is>
      </c>
      <c r="N785" s="27" t="inlineStr">
        <is>
          <t>121800415653.0</t>
        </is>
      </c>
      <c r="O785" s="27" t="inlineStr">
        <is>
          <t>122997090161.0</t>
        </is>
      </c>
      <c r="P785" s="27" t="inlineStr">
        <is>
          <t>KRW</t>
        </is>
      </c>
      <c r="Q785" s="27" t="inlineStr">
        <is>
          <t>3</t>
        </is>
      </c>
    </row>
    <row r="786" ht="24" customHeight="1">
      <c r="A786" s="32" t="inlineStr">
        <is>
          <t>OpenDART_fnlttSinglAcntAll</t>
        </is>
      </c>
      <c r="B786" s="32" t="inlineStr">
        <is>
          <t>00118804</t>
        </is>
      </c>
      <c r="C786" s="32" t="inlineStr">
        <is>
          <t>동진쎄미켐</t>
        </is>
      </c>
      <c r="D786" s="32" t="inlineStr">
        <is>
          <t>dongjin_semichem</t>
        </is>
      </c>
      <c r="E786" s="32" t="inlineStr">
        <is>
          <t>005290</t>
        </is>
      </c>
      <c r="F786" s="32" t="inlineStr">
        <is>
          <t>2024</t>
        </is>
      </c>
      <c r="G786" s="32" t="inlineStr">
        <is>
          <t>CFS</t>
        </is>
      </c>
      <c r="H786" s="32" t="inlineStr">
        <is>
          <t>SCE</t>
        </is>
      </c>
      <c r="I786" s="32" t="inlineStr">
        <is>
          <t>자본변동표</t>
        </is>
      </c>
      <c r="J786" s="32" t="inlineStr">
        <is>
          <t>dart_StockRedemption</t>
        </is>
      </c>
      <c r="K786" s="32" t="inlineStr">
        <is>
          <t>유상감자</t>
        </is>
      </c>
      <c r="L786" s="32" t="inlineStr">
        <is>
          <t>자본 [구성요소]|지배기업의 소유주에게 귀속되는 지분 [구성요소]|자본금 [구성요소]</t>
        </is>
      </c>
      <c r="M786" s="32" t="inlineStr">
        <is>
          <t>제 52 기</t>
        </is>
      </c>
      <c r="N786" s="32" t="inlineStr">
        <is>
          <t>0.0</t>
        </is>
      </c>
      <c r="O786" s="32" t="inlineStr">
        <is>
          <t>0.0</t>
        </is>
      </c>
      <c r="P786" s="32" t="inlineStr">
        <is>
          <t>KRW</t>
        </is>
      </c>
      <c r="Q786" s="32" t="inlineStr">
        <is>
          <t>4</t>
        </is>
      </c>
    </row>
    <row r="787" ht="24" customHeight="1">
      <c r="A787" s="27" t="inlineStr">
        <is>
          <t>OpenDART_fnlttSinglAcntAll</t>
        </is>
      </c>
      <c r="B787" s="27" t="inlineStr">
        <is>
          <t>00118804</t>
        </is>
      </c>
      <c r="C787" s="27" t="inlineStr">
        <is>
          <t>동진쎄미켐</t>
        </is>
      </c>
      <c r="D787" s="27" t="inlineStr">
        <is>
          <t>dongjin_semichem</t>
        </is>
      </c>
      <c r="E787" s="27" t="inlineStr">
        <is>
          <t>005290</t>
        </is>
      </c>
      <c r="F787" s="27" t="inlineStr">
        <is>
          <t>2024</t>
        </is>
      </c>
      <c r="G787" s="27" t="inlineStr">
        <is>
          <t>CFS</t>
        </is>
      </c>
      <c r="H787" s="27" t="inlineStr">
        <is>
          <t>SCE</t>
        </is>
      </c>
      <c r="I787" s="27" t="inlineStr">
        <is>
          <t>자본변동표</t>
        </is>
      </c>
      <c r="J787" s="27" t="inlineStr">
        <is>
          <t>dart_StockRedemption</t>
        </is>
      </c>
      <c r="K787" s="27" t="inlineStr">
        <is>
          <t>유상감자</t>
        </is>
      </c>
      <c r="L787" s="27" t="inlineStr">
        <is>
          <t>자본 [구성요소]|지배기업의 소유주에게 귀속되는 지분 [구성요소]|이익잉여금 [구성요소]</t>
        </is>
      </c>
      <c r="M787" s="27" t="inlineStr">
        <is>
          <t>제 52 기</t>
        </is>
      </c>
      <c r="N787" s="27" t="inlineStr">
        <is>
          <t>0.0</t>
        </is>
      </c>
      <c r="O787" s="27" t="inlineStr">
        <is>
          <t>0.0</t>
        </is>
      </c>
      <c r="P787" s="27" t="inlineStr">
        <is>
          <t>KRW</t>
        </is>
      </c>
      <c r="Q787" s="27" t="inlineStr">
        <is>
          <t>4</t>
        </is>
      </c>
    </row>
    <row r="788" ht="24" customHeight="1">
      <c r="A788" s="32" t="inlineStr">
        <is>
          <t>OpenDART_fnlttSinglAcntAll</t>
        </is>
      </c>
      <c r="B788" s="32" t="inlineStr">
        <is>
          <t>00118804</t>
        </is>
      </c>
      <c r="C788" s="32" t="inlineStr">
        <is>
          <t>동진쎄미켐</t>
        </is>
      </c>
      <c r="D788" s="32" t="inlineStr">
        <is>
          <t>dongjin_semichem</t>
        </is>
      </c>
      <c r="E788" s="32" t="inlineStr">
        <is>
          <t>005290</t>
        </is>
      </c>
      <c r="F788" s="32" t="inlineStr">
        <is>
          <t>2024</t>
        </is>
      </c>
      <c r="G788" s="32" t="inlineStr">
        <is>
          <t>CFS</t>
        </is>
      </c>
      <c r="H788" s="32" t="inlineStr">
        <is>
          <t>SCE</t>
        </is>
      </c>
      <c r="I788" s="32" t="inlineStr">
        <is>
          <t>자본변동표</t>
        </is>
      </c>
      <c r="J788" s="32" t="inlineStr">
        <is>
          <t>dart_StockRedemption</t>
        </is>
      </c>
      <c r="K788" s="32" t="inlineStr">
        <is>
          <t>유상감자</t>
        </is>
      </c>
      <c r="L788" s="32" t="inlineStr">
        <is>
          <t>자본 [구성요소]|지배기업의 소유주에게 귀속되는 지분 [구성요소]|기타자본구성요소 [구성요소]</t>
        </is>
      </c>
      <c r="M788" s="32" t="inlineStr">
        <is>
          <t>제 52 기</t>
        </is>
      </c>
      <c r="N788" s="32" t="inlineStr">
        <is>
          <t>0.0</t>
        </is>
      </c>
      <c r="O788" s="32" t="inlineStr">
        <is>
          <t>0.0</t>
        </is>
      </c>
      <c r="P788" s="32" t="inlineStr">
        <is>
          <t>KRW</t>
        </is>
      </c>
      <c r="Q788" s="32" t="inlineStr">
        <is>
          <t>4</t>
        </is>
      </c>
    </row>
    <row r="789" ht="24" customHeight="1">
      <c r="A789" s="27" t="inlineStr">
        <is>
          <t>OpenDART_fnlttSinglAcntAll</t>
        </is>
      </c>
      <c r="B789" s="27" t="inlineStr">
        <is>
          <t>00118804</t>
        </is>
      </c>
      <c r="C789" s="27" t="inlineStr">
        <is>
          <t>동진쎄미켐</t>
        </is>
      </c>
      <c r="D789" s="27" t="inlineStr">
        <is>
          <t>dongjin_semichem</t>
        </is>
      </c>
      <c r="E789" s="27" t="inlineStr">
        <is>
          <t>005290</t>
        </is>
      </c>
      <c r="F789" s="27" t="inlineStr">
        <is>
          <t>2024</t>
        </is>
      </c>
      <c r="G789" s="27" t="inlineStr">
        <is>
          <t>CFS</t>
        </is>
      </c>
      <c r="H789" s="27" t="inlineStr">
        <is>
          <t>SCE</t>
        </is>
      </c>
      <c r="I789" s="27" t="inlineStr">
        <is>
          <t>자본변동표</t>
        </is>
      </c>
      <c r="J789" s="27" t="inlineStr">
        <is>
          <t>dart_StockRedemption</t>
        </is>
      </c>
      <c r="K789" s="27" t="inlineStr">
        <is>
          <t>유상감자</t>
        </is>
      </c>
      <c r="L789" s="27" t="inlineStr">
        <is>
          <t>자본 [구성요소]|지배기업의 소유주에게 귀속되는 지분 [구성요소]</t>
        </is>
      </c>
      <c r="M789" s="27" t="inlineStr">
        <is>
          <t>제 52 기</t>
        </is>
      </c>
      <c r="N789" s="27" t="inlineStr">
        <is>
          <t>0.0</t>
        </is>
      </c>
      <c r="O789" s="27" t="inlineStr">
        <is>
          <t>0.0</t>
        </is>
      </c>
      <c r="P789" s="27" t="inlineStr">
        <is>
          <t>KRW</t>
        </is>
      </c>
      <c r="Q789" s="27" t="inlineStr">
        <is>
          <t>4</t>
        </is>
      </c>
    </row>
    <row r="790" ht="24" customHeight="1">
      <c r="A790" s="32" t="inlineStr">
        <is>
          <t>OpenDART_fnlttSinglAcntAll</t>
        </is>
      </c>
      <c r="B790" s="32" t="inlineStr">
        <is>
          <t>00118804</t>
        </is>
      </c>
      <c r="C790" s="32" t="inlineStr">
        <is>
          <t>동진쎄미켐</t>
        </is>
      </c>
      <c r="D790" s="32" t="inlineStr">
        <is>
          <t>dongjin_semichem</t>
        </is>
      </c>
      <c r="E790" s="32" t="inlineStr">
        <is>
          <t>005290</t>
        </is>
      </c>
      <c r="F790" s="32" t="inlineStr">
        <is>
          <t>2024</t>
        </is>
      </c>
      <c r="G790" s="32" t="inlineStr">
        <is>
          <t>CFS</t>
        </is>
      </c>
      <c r="H790" s="32" t="inlineStr">
        <is>
          <t>SCE</t>
        </is>
      </c>
      <c r="I790" s="32" t="inlineStr">
        <is>
          <t>자본변동표</t>
        </is>
      </c>
      <c r="J790" s="32" t="inlineStr">
        <is>
          <t>dart_StockRedemption</t>
        </is>
      </c>
      <c r="K790" s="32" t="inlineStr">
        <is>
          <t>유상감자</t>
        </is>
      </c>
      <c r="L790" s="32" t="inlineStr">
        <is>
          <t>자본 [구성요소]|비지배지분 [구성요소]</t>
        </is>
      </c>
      <c r="M790" s="32" t="inlineStr">
        <is>
          <t>제 52 기</t>
        </is>
      </c>
      <c r="N790" s="32" t="inlineStr">
        <is>
          <t>1005035.0</t>
        </is>
      </c>
      <c r="O790" s="32" t="inlineStr">
        <is>
          <t>0.0</t>
        </is>
      </c>
      <c r="P790" s="32" t="inlineStr">
        <is>
          <t>KRW</t>
        </is>
      </c>
      <c r="Q790" s="32" t="inlineStr">
        <is>
          <t>4</t>
        </is>
      </c>
    </row>
    <row r="791" ht="24" customHeight="1">
      <c r="A791" s="27" t="inlineStr">
        <is>
          <t>OpenDART_fnlttSinglAcntAll</t>
        </is>
      </c>
      <c r="B791" s="27" t="inlineStr">
        <is>
          <t>00118804</t>
        </is>
      </c>
      <c r="C791" s="27" t="inlineStr">
        <is>
          <t>동진쎄미켐</t>
        </is>
      </c>
      <c r="D791" s="27" t="inlineStr">
        <is>
          <t>dongjin_semichem</t>
        </is>
      </c>
      <c r="E791" s="27" t="inlineStr">
        <is>
          <t>005290</t>
        </is>
      </c>
      <c r="F791" s="27" t="inlineStr">
        <is>
          <t>2024</t>
        </is>
      </c>
      <c r="G791" s="27" t="inlineStr">
        <is>
          <t>CFS</t>
        </is>
      </c>
      <c r="H791" s="27" t="inlineStr">
        <is>
          <t>SCE</t>
        </is>
      </c>
      <c r="I791" s="27" t="inlineStr">
        <is>
          <t>자본변동표</t>
        </is>
      </c>
      <c r="J791" s="27" t="inlineStr">
        <is>
          <t>dart_StockRedemption</t>
        </is>
      </c>
      <c r="K791" s="27" t="inlineStr">
        <is>
          <t>유상감자</t>
        </is>
      </c>
      <c r="L791" s="27" t="inlineStr">
        <is>
          <t>연결재무제표 [member]</t>
        </is>
      </c>
      <c r="M791" s="27" t="inlineStr">
        <is>
          <t>제 52 기</t>
        </is>
      </c>
      <c r="N791" s="27" t="inlineStr">
        <is>
          <t>1005035.0</t>
        </is>
      </c>
      <c r="O791" s="27" t="inlineStr">
        <is>
          <t>0.0</t>
        </is>
      </c>
      <c r="P791" s="27" t="inlineStr">
        <is>
          <t>KRW</t>
        </is>
      </c>
      <c r="Q791" s="27" t="inlineStr">
        <is>
          <t>4</t>
        </is>
      </c>
    </row>
    <row r="792" ht="24" customHeight="1">
      <c r="A792" s="32" t="inlineStr">
        <is>
          <t>OpenDART_fnlttSinglAcntAll</t>
        </is>
      </c>
      <c r="B792" s="32" t="inlineStr">
        <is>
          <t>00118804</t>
        </is>
      </c>
      <c r="C792" s="32" t="inlineStr">
        <is>
          <t>동진쎄미켐</t>
        </is>
      </c>
      <c r="D792" s="32" t="inlineStr">
        <is>
          <t>dongjin_semichem</t>
        </is>
      </c>
      <c r="E792" s="32" t="inlineStr">
        <is>
          <t>005290</t>
        </is>
      </c>
      <c r="F792" s="32" t="inlineStr">
        <is>
          <t>2024</t>
        </is>
      </c>
      <c r="G792" s="32" t="inlineStr">
        <is>
          <t>CFS</t>
        </is>
      </c>
      <c r="H792" s="32" t="inlineStr">
        <is>
          <t>SCE</t>
        </is>
      </c>
      <c r="I792" s="32" t="inlineStr">
        <is>
          <t>자본변동표</t>
        </is>
      </c>
      <c r="J792" s="32" t="inlineStr">
        <is>
          <t>dart_StockRedemption</t>
        </is>
      </c>
      <c r="K792" s="32" t="inlineStr">
        <is>
          <t>유상감자</t>
        </is>
      </c>
      <c r="L792" s="32" t="inlineStr">
        <is>
          <t>자본 [구성요소]|지배기업의 소유주에게 귀속되는 지분 [구성요소]|추가납입자본 [구성요소]</t>
        </is>
      </c>
      <c r="M792" s="32" t="inlineStr">
        <is>
          <t>제 52 기</t>
        </is>
      </c>
      <c r="N792" s="32" t="inlineStr">
        <is>
          <t>0.0</t>
        </is>
      </c>
      <c r="O792" s="32" t="inlineStr">
        <is>
          <t>0.0</t>
        </is>
      </c>
      <c r="P792" s="32" t="inlineStr">
        <is>
          <t>KRW</t>
        </is>
      </c>
      <c r="Q792" s="32" t="inlineStr">
        <is>
          <t>4</t>
        </is>
      </c>
    </row>
    <row r="793" ht="24" customHeight="1">
      <c r="A793" s="27" t="inlineStr">
        <is>
          <t>OpenDART_fnlttSinglAcntAll</t>
        </is>
      </c>
      <c r="B793" s="27" t="inlineStr">
        <is>
          <t>00118804</t>
        </is>
      </c>
      <c r="C793" s="27" t="inlineStr">
        <is>
          <t>동진쎄미켐</t>
        </is>
      </c>
      <c r="D793" s="27" t="inlineStr">
        <is>
          <t>dongjin_semichem</t>
        </is>
      </c>
      <c r="E793" s="27" t="inlineStr">
        <is>
          <t>005290</t>
        </is>
      </c>
      <c r="F793" s="27" t="inlineStr">
        <is>
          <t>2024</t>
        </is>
      </c>
      <c r="G793" s="27" t="inlineStr">
        <is>
          <t>CFS</t>
        </is>
      </c>
      <c r="H793" s="27" t="inlineStr">
        <is>
          <t>SCE</t>
        </is>
      </c>
      <c r="I793" s="27" t="inlineStr">
        <is>
          <t>자본변동표</t>
        </is>
      </c>
      <c r="J793" s="27" t="inlineStr">
        <is>
          <t>ifrs-full_DividendsPaid</t>
        </is>
      </c>
      <c r="K793" s="27" t="inlineStr">
        <is>
          <t>배당</t>
        </is>
      </c>
      <c r="L793" s="27" t="inlineStr">
        <is>
          <t>연결재무제표 [member]</t>
        </is>
      </c>
      <c r="M793" s="27" t="inlineStr">
        <is>
          <t>제 52 기</t>
        </is>
      </c>
      <c r="N793" s="27" t="inlineStr">
        <is>
          <t>6236955469.0</t>
        </is>
      </c>
      <c r="O793" s="27" t="inlineStr">
        <is>
          <t>6751084478.0</t>
        </is>
      </c>
      <c r="P793" s="27" t="inlineStr">
        <is>
          <t>KRW</t>
        </is>
      </c>
      <c r="Q793" s="27" t="inlineStr">
        <is>
          <t>5</t>
        </is>
      </c>
    </row>
    <row r="794" ht="24" customHeight="1">
      <c r="A794" s="32" t="inlineStr">
        <is>
          <t>OpenDART_fnlttSinglAcntAll</t>
        </is>
      </c>
      <c r="B794" s="32" t="inlineStr">
        <is>
          <t>00118804</t>
        </is>
      </c>
      <c r="C794" s="32" t="inlineStr">
        <is>
          <t>동진쎄미켐</t>
        </is>
      </c>
      <c r="D794" s="32" t="inlineStr">
        <is>
          <t>dongjin_semichem</t>
        </is>
      </c>
      <c r="E794" s="32" t="inlineStr">
        <is>
          <t>005290</t>
        </is>
      </c>
      <c r="F794" s="32" t="inlineStr">
        <is>
          <t>2024</t>
        </is>
      </c>
      <c r="G794" s="32" t="inlineStr">
        <is>
          <t>CFS</t>
        </is>
      </c>
      <c r="H794" s="32" t="inlineStr">
        <is>
          <t>SCE</t>
        </is>
      </c>
      <c r="I794" s="32" t="inlineStr">
        <is>
          <t>자본변동표</t>
        </is>
      </c>
      <c r="J794" s="32" t="inlineStr">
        <is>
          <t>ifrs-full_DividendsPaid</t>
        </is>
      </c>
      <c r="K794" s="32" t="inlineStr">
        <is>
          <t>배당</t>
        </is>
      </c>
      <c r="L794" s="32" t="inlineStr">
        <is>
          <t>자본 [구성요소]|비지배지분 [구성요소]</t>
        </is>
      </c>
      <c r="M794" s="32" t="inlineStr">
        <is>
          <t>제 52 기</t>
        </is>
      </c>
      <c r="N794" s="32" t="inlineStr">
        <is>
          <t>67216189.0</t>
        </is>
      </c>
      <c r="O794" s="32" t="inlineStr">
        <is>
          <t>67200258.0</t>
        </is>
      </c>
      <c r="P794" s="32" t="inlineStr">
        <is>
          <t>KRW</t>
        </is>
      </c>
      <c r="Q794" s="32" t="inlineStr">
        <is>
          <t>5</t>
        </is>
      </c>
    </row>
    <row r="795" ht="24" customHeight="1">
      <c r="A795" s="27" t="inlineStr">
        <is>
          <t>OpenDART_fnlttSinglAcntAll</t>
        </is>
      </c>
      <c r="B795" s="27" t="inlineStr">
        <is>
          <t>00118804</t>
        </is>
      </c>
      <c r="C795" s="27" t="inlineStr">
        <is>
          <t>동진쎄미켐</t>
        </is>
      </c>
      <c r="D795" s="27" t="inlineStr">
        <is>
          <t>dongjin_semichem</t>
        </is>
      </c>
      <c r="E795" s="27" t="inlineStr">
        <is>
          <t>005290</t>
        </is>
      </c>
      <c r="F795" s="27" t="inlineStr">
        <is>
          <t>2024</t>
        </is>
      </c>
      <c r="G795" s="27" t="inlineStr">
        <is>
          <t>CFS</t>
        </is>
      </c>
      <c r="H795" s="27" t="inlineStr">
        <is>
          <t>SCE</t>
        </is>
      </c>
      <c r="I795" s="27" t="inlineStr">
        <is>
          <t>자본변동표</t>
        </is>
      </c>
      <c r="J795" s="27" t="inlineStr">
        <is>
          <t>ifrs-full_DividendsPaid</t>
        </is>
      </c>
      <c r="K795" s="27" t="inlineStr">
        <is>
          <t>배당</t>
        </is>
      </c>
      <c r="L795" s="27" t="inlineStr">
        <is>
          <t>자본 [구성요소]|지배기업의 소유주에게 귀속되는 지분 [구성요소]</t>
        </is>
      </c>
      <c r="M795" s="27" t="inlineStr">
        <is>
          <t>제 52 기</t>
        </is>
      </c>
      <c r="N795" s="27" t="inlineStr">
        <is>
          <t>6169739280.0</t>
        </is>
      </c>
      <c r="O795" s="27" t="inlineStr">
        <is>
          <t>6683884220.0</t>
        </is>
      </c>
      <c r="P795" s="27" t="inlineStr">
        <is>
          <t>KRW</t>
        </is>
      </c>
      <c r="Q795" s="27" t="inlineStr">
        <is>
          <t>5</t>
        </is>
      </c>
    </row>
    <row r="796" ht="24" customHeight="1">
      <c r="A796" s="32" t="inlineStr">
        <is>
          <t>OpenDART_fnlttSinglAcntAll</t>
        </is>
      </c>
      <c r="B796" s="32" t="inlineStr">
        <is>
          <t>00118804</t>
        </is>
      </c>
      <c r="C796" s="32" t="inlineStr">
        <is>
          <t>동진쎄미켐</t>
        </is>
      </c>
      <c r="D796" s="32" t="inlineStr">
        <is>
          <t>dongjin_semichem</t>
        </is>
      </c>
      <c r="E796" s="32" t="inlineStr">
        <is>
          <t>005290</t>
        </is>
      </c>
      <c r="F796" s="32" t="inlineStr">
        <is>
          <t>2024</t>
        </is>
      </c>
      <c r="G796" s="32" t="inlineStr">
        <is>
          <t>CFS</t>
        </is>
      </c>
      <c r="H796" s="32" t="inlineStr">
        <is>
          <t>SCE</t>
        </is>
      </c>
      <c r="I796" s="32" t="inlineStr">
        <is>
          <t>자본변동표</t>
        </is>
      </c>
      <c r="J796" s="32" t="inlineStr">
        <is>
          <t>ifrs-full_DividendsPaid</t>
        </is>
      </c>
      <c r="K796" s="32" t="inlineStr">
        <is>
          <t>배당</t>
        </is>
      </c>
      <c r="L796" s="32" t="inlineStr">
        <is>
          <t>자본 [구성요소]|지배기업의 소유주에게 귀속되는 지분 [구성요소]|기타자본구성요소 [구성요소]</t>
        </is>
      </c>
      <c r="M796" s="32" t="inlineStr">
        <is>
          <t>제 52 기</t>
        </is>
      </c>
      <c r="N796" s="32" t="inlineStr">
        <is>
          <t>0.0</t>
        </is>
      </c>
      <c r="O796" s="32" t="inlineStr">
        <is>
          <t>0.0</t>
        </is>
      </c>
      <c r="P796" s="32" t="inlineStr">
        <is>
          <t>KRW</t>
        </is>
      </c>
      <c r="Q796" s="32" t="inlineStr">
        <is>
          <t>5</t>
        </is>
      </c>
    </row>
    <row r="797" ht="24" customHeight="1">
      <c r="A797" s="27" t="inlineStr">
        <is>
          <t>OpenDART_fnlttSinglAcntAll</t>
        </is>
      </c>
      <c r="B797" s="27" t="inlineStr">
        <is>
          <t>00118804</t>
        </is>
      </c>
      <c r="C797" s="27" t="inlineStr">
        <is>
          <t>동진쎄미켐</t>
        </is>
      </c>
      <c r="D797" s="27" t="inlineStr">
        <is>
          <t>dongjin_semichem</t>
        </is>
      </c>
      <c r="E797" s="27" t="inlineStr">
        <is>
          <t>005290</t>
        </is>
      </c>
      <c r="F797" s="27" t="inlineStr">
        <is>
          <t>2024</t>
        </is>
      </c>
      <c r="G797" s="27" t="inlineStr">
        <is>
          <t>CFS</t>
        </is>
      </c>
      <c r="H797" s="27" t="inlineStr">
        <is>
          <t>SCE</t>
        </is>
      </c>
      <c r="I797" s="27" t="inlineStr">
        <is>
          <t>자본변동표</t>
        </is>
      </c>
      <c r="J797" s="27" t="inlineStr">
        <is>
          <t>ifrs-full_DividendsPaid</t>
        </is>
      </c>
      <c r="K797" s="27" t="inlineStr">
        <is>
          <t>배당</t>
        </is>
      </c>
      <c r="L797" s="27" t="inlineStr">
        <is>
          <t>자본 [구성요소]|지배기업의 소유주에게 귀속되는 지분 [구성요소]|이익잉여금 [구성요소]</t>
        </is>
      </c>
      <c r="M797" s="27" t="inlineStr">
        <is>
          <t>제 52 기</t>
        </is>
      </c>
      <c r="N797" s="27" t="inlineStr">
        <is>
          <t>6169739280.0</t>
        </is>
      </c>
      <c r="O797" s="27" t="inlineStr">
        <is>
          <t>6683884220.0</t>
        </is>
      </c>
      <c r="P797" s="27" t="inlineStr">
        <is>
          <t>KRW</t>
        </is>
      </c>
      <c r="Q797" s="27" t="inlineStr">
        <is>
          <t>5</t>
        </is>
      </c>
    </row>
    <row r="798" ht="24" customHeight="1">
      <c r="A798" s="32" t="inlineStr">
        <is>
          <t>OpenDART_fnlttSinglAcntAll</t>
        </is>
      </c>
      <c r="B798" s="32" t="inlineStr">
        <is>
          <t>00118804</t>
        </is>
      </c>
      <c r="C798" s="32" t="inlineStr">
        <is>
          <t>동진쎄미켐</t>
        </is>
      </c>
      <c r="D798" s="32" t="inlineStr">
        <is>
          <t>dongjin_semichem</t>
        </is>
      </c>
      <c r="E798" s="32" t="inlineStr">
        <is>
          <t>005290</t>
        </is>
      </c>
      <c r="F798" s="32" t="inlineStr">
        <is>
          <t>2024</t>
        </is>
      </c>
      <c r="G798" s="32" t="inlineStr">
        <is>
          <t>CFS</t>
        </is>
      </c>
      <c r="H798" s="32" t="inlineStr">
        <is>
          <t>SCE</t>
        </is>
      </c>
      <c r="I798" s="32" t="inlineStr">
        <is>
          <t>자본변동표</t>
        </is>
      </c>
      <c r="J798" s="32" t="inlineStr">
        <is>
          <t>ifrs-full_DividendsPaid</t>
        </is>
      </c>
      <c r="K798" s="32" t="inlineStr">
        <is>
          <t>배당</t>
        </is>
      </c>
      <c r="L798" s="32" t="inlineStr">
        <is>
          <t>자본 [구성요소]|지배기업의 소유주에게 귀속되는 지분 [구성요소]|자본금 [구성요소]</t>
        </is>
      </c>
      <c r="M798" s="32" t="inlineStr">
        <is>
          <t>제 52 기</t>
        </is>
      </c>
      <c r="N798" s="32" t="inlineStr">
        <is>
          <t>0.0</t>
        </is>
      </c>
      <c r="O798" s="32" t="inlineStr">
        <is>
          <t>0.0</t>
        </is>
      </c>
      <c r="P798" s="32" t="inlineStr">
        <is>
          <t>KRW</t>
        </is>
      </c>
      <c r="Q798" s="32" t="inlineStr">
        <is>
          <t>5</t>
        </is>
      </c>
    </row>
    <row r="799" ht="24" customHeight="1">
      <c r="A799" s="27" t="inlineStr">
        <is>
          <t>OpenDART_fnlttSinglAcntAll</t>
        </is>
      </c>
      <c r="B799" s="27" t="inlineStr">
        <is>
          <t>00118804</t>
        </is>
      </c>
      <c r="C799" s="27" t="inlineStr">
        <is>
          <t>동진쎄미켐</t>
        </is>
      </c>
      <c r="D799" s="27" t="inlineStr">
        <is>
          <t>dongjin_semichem</t>
        </is>
      </c>
      <c r="E799" s="27" t="inlineStr">
        <is>
          <t>005290</t>
        </is>
      </c>
      <c r="F799" s="27" t="inlineStr">
        <is>
          <t>2024</t>
        </is>
      </c>
      <c r="G799" s="27" t="inlineStr">
        <is>
          <t>CFS</t>
        </is>
      </c>
      <c r="H799" s="27" t="inlineStr">
        <is>
          <t>SCE</t>
        </is>
      </c>
      <c r="I799" s="27" t="inlineStr">
        <is>
          <t>자본변동표</t>
        </is>
      </c>
      <c r="J799" s="27" t="inlineStr">
        <is>
          <t>ifrs-full_DividendsPaid</t>
        </is>
      </c>
      <c r="K799" s="27" t="inlineStr">
        <is>
          <t>배당</t>
        </is>
      </c>
      <c r="L799" s="27" t="inlineStr">
        <is>
          <t>자본 [구성요소]|지배기업의 소유주에게 귀속되는 지분 [구성요소]|추가납입자본 [구성요소]</t>
        </is>
      </c>
      <c r="M799" s="27" t="inlineStr">
        <is>
          <t>제 52 기</t>
        </is>
      </c>
      <c r="N799" s="27" t="inlineStr">
        <is>
          <t>0.0</t>
        </is>
      </c>
      <c r="O799" s="27" t="inlineStr">
        <is>
          <t>0.0</t>
        </is>
      </c>
      <c r="P799" s="27" t="inlineStr">
        <is>
          <t>KRW</t>
        </is>
      </c>
      <c r="Q799" s="27" t="inlineStr">
        <is>
          <t>5</t>
        </is>
      </c>
    </row>
    <row r="800" ht="24" customHeight="1">
      <c r="A800" s="32" t="inlineStr">
        <is>
          <t>OpenDART_fnlttSinglAcntAll</t>
        </is>
      </c>
      <c r="B800" s="32" t="inlineStr">
        <is>
          <t>00118804</t>
        </is>
      </c>
      <c r="C800" s="32" t="inlineStr">
        <is>
          <t>동진쎄미켐</t>
        </is>
      </c>
      <c r="D800" s="32" t="inlineStr">
        <is>
          <t>dongjin_semichem</t>
        </is>
      </c>
      <c r="E800" s="32" t="inlineStr">
        <is>
          <t>005290</t>
        </is>
      </c>
      <c r="F800" s="32" t="inlineStr">
        <is>
          <t>2024</t>
        </is>
      </c>
      <c r="G800" s="32" t="inlineStr">
        <is>
          <t>CFS</t>
        </is>
      </c>
      <c r="H800" s="32" t="inlineStr">
        <is>
          <t>SCE</t>
        </is>
      </c>
      <c r="I800" s="32" t="inlineStr">
        <is>
          <t>자본변동표</t>
        </is>
      </c>
      <c r="J800" s="32" t="inlineStr">
        <is>
          <t>ifrs-full_Equity</t>
        </is>
      </c>
      <c r="K800" s="32" t="inlineStr">
        <is>
          <t>자본총계</t>
        </is>
      </c>
      <c r="L800" s="32" t="inlineStr">
        <is>
          <t>연결재무제표 [member]</t>
        </is>
      </c>
      <c r="M800" s="32" t="inlineStr">
        <is>
          <t>제 52 기</t>
        </is>
      </c>
      <c r="N800" s="32" t="inlineStr">
        <is>
          <t>1020430600571.0</t>
        </is>
      </c>
      <c r="O800" s="32" t="inlineStr">
        <is>
          <t>835481646771.0</t>
        </is>
      </c>
      <c r="P800" s="32" t="inlineStr">
        <is>
          <t>KRW</t>
        </is>
      </c>
      <c r="Q800" s="32" t="inlineStr">
        <is>
          <t>6</t>
        </is>
      </c>
    </row>
    <row r="801" ht="24" customHeight="1">
      <c r="A801" s="27" t="inlineStr">
        <is>
          <t>OpenDART_fnlttSinglAcntAll</t>
        </is>
      </c>
      <c r="B801" s="27" t="inlineStr">
        <is>
          <t>00118804</t>
        </is>
      </c>
      <c r="C801" s="27" t="inlineStr">
        <is>
          <t>동진쎄미켐</t>
        </is>
      </c>
      <c r="D801" s="27" t="inlineStr">
        <is>
          <t>dongjin_semichem</t>
        </is>
      </c>
      <c r="E801" s="27" t="inlineStr">
        <is>
          <t>005290</t>
        </is>
      </c>
      <c r="F801" s="27" t="inlineStr">
        <is>
          <t>2024</t>
        </is>
      </c>
      <c r="G801" s="27" t="inlineStr">
        <is>
          <t>CFS</t>
        </is>
      </c>
      <c r="H801" s="27" t="inlineStr">
        <is>
          <t>SCE</t>
        </is>
      </c>
      <c r="I801" s="27" t="inlineStr">
        <is>
          <t>자본변동표</t>
        </is>
      </c>
      <c r="J801" s="27" t="inlineStr">
        <is>
          <t>ifrs-full_Equity</t>
        </is>
      </c>
      <c r="K801" s="27" t="inlineStr">
        <is>
          <t>자본총계</t>
        </is>
      </c>
      <c r="L801" s="27" t="inlineStr">
        <is>
          <t>자본 [구성요소]|비지배지분 [구성요소]</t>
        </is>
      </c>
      <c r="M801" s="27" t="inlineStr">
        <is>
          <t>제 52 기</t>
        </is>
      </c>
      <c r="N801" s="27" t="inlineStr">
        <is>
          <t>22964632342.0</t>
        </is>
      </c>
      <c r="O801" s="27" t="inlineStr">
        <is>
          <t>30429295556.0</t>
        </is>
      </c>
      <c r="P801" s="27" t="inlineStr">
        <is>
          <t>KRW</t>
        </is>
      </c>
      <c r="Q801" s="27" t="inlineStr">
        <is>
          <t>6</t>
        </is>
      </c>
    </row>
    <row r="802" ht="24" customHeight="1">
      <c r="A802" s="32" t="inlineStr">
        <is>
          <t>OpenDART_fnlttSinglAcntAll</t>
        </is>
      </c>
      <c r="B802" s="32" t="inlineStr">
        <is>
          <t>00118804</t>
        </is>
      </c>
      <c r="C802" s="32" t="inlineStr">
        <is>
          <t>동진쎄미켐</t>
        </is>
      </c>
      <c r="D802" s="32" t="inlineStr">
        <is>
          <t>dongjin_semichem</t>
        </is>
      </c>
      <c r="E802" s="32" t="inlineStr">
        <is>
          <t>005290</t>
        </is>
      </c>
      <c r="F802" s="32" t="inlineStr">
        <is>
          <t>2024</t>
        </is>
      </c>
      <c r="G802" s="32" t="inlineStr">
        <is>
          <t>CFS</t>
        </is>
      </c>
      <c r="H802" s="32" t="inlineStr">
        <is>
          <t>SCE</t>
        </is>
      </c>
      <c r="I802" s="32" t="inlineStr">
        <is>
          <t>자본변동표</t>
        </is>
      </c>
      <c r="J802" s="32" t="inlineStr">
        <is>
          <t>ifrs-full_Equity</t>
        </is>
      </c>
      <c r="K802" s="32" t="inlineStr">
        <is>
          <t>자본총계</t>
        </is>
      </c>
      <c r="L802" s="32" t="inlineStr">
        <is>
          <t>자본 [구성요소]|지배기업의 소유주에게 귀속되는 지분 [구성요소]</t>
        </is>
      </c>
      <c r="M802" s="32" t="inlineStr">
        <is>
          <t>제 52 기</t>
        </is>
      </c>
      <c r="N802" s="32" t="inlineStr">
        <is>
          <t>997465968229.0</t>
        </is>
      </c>
      <c r="O802" s="32" t="inlineStr">
        <is>
          <t>805052351215.0</t>
        </is>
      </c>
      <c r="P802" s="32" t="inlineStr">
        <is>
          <t>KRW</t>
        </is>
      </c>
      <c r="Q802" s="32" t="inlineStr">
        <is>
          <t>6</t>
        </is>
      </c>
    </row>
    <row r="803" ht="24" customHeight="1">
      <c r="A803" s="27" t="inlineStr">
        <is>
          <t>OpenDART_fnlttSinglAcntAll</t>
        </is>
      </c>
      <c r="B803" s="27" t="inlineStr">
        <is>
          <t>00118804</t>
        </is>
      </c>
      <c r="C803" s="27" t="inlineStr">
        <is>
          <t>동진쎄미켐</t>
        </is>
      </c>
      <c r="D803" s="27" t="inlineStr">
        <is>
          <t>dongjin_semichem</t>
        </is>
      </c>
      <c r="E803" s="27" t="inlineStr">
        <is>
          <t>005290</t>
        </is>
      </c>
      <c r="F803" s="27" t="inlineStr">
        <is>
          <t>2024</t>
        </is>
      </c>
      <c r="G803" s="27" t="inlineStr">
        <is>
          <t>CFS</t>
        </is>
      </c>
      <c r="H803" s="27" t="inlineStr">
        <is>
          <t>SCE</t>
        </is>
      </c>
      <c r="I803" s="27" t="inlineStr">
        <is>
          <t>자본변동표</t>
        </is>
      </c>
      <c r="J803" s="27" t="inlineStr">
        <is>
          <t>ifrs-full_Equity</t>
        </is>
      </c>
      <c r="K803" s="27" t="inlineStr">
        <is>
          <t>자본총계</t>
        </is>
      </c>
      <c r="L803" s="27" t="inlineStr">
        <is>
          <t>자본 [구성요소]|지배기업의 소유주에게 귀속되는 지분 [구성요소]|기타자본구성요소 [구성요소]</t>
        </is>
      </c>
      <c r="M803" s="27" t="inlineStr">
        <is>
          <t>제 52 기</t>
        </is>
      </c>
      <c r="N803" s="27" t="inlineStr">
        <is>
          <t>74207322839.0</t>
        </is>
      </c>
      <c r="O803" s="27" t="inlineStr">
        <is>
          <t>28552227339.0</t>
        </is>
      </c>
      <c r="P803" s="27" t="inlineStr">
        <is>
          <t>KRW</t>
        </is>
      </c>
      <c r="Q803" s="27" t="inlineStr">
        <is>
          <t>6</t>
        </is>
      </c>
    </row>
    <row r="804" ht="24" customHeight="1">
      <c r="A804" s="32" t="inlineStr">
        <is>
          <t>OpenDART_fnlttSinglAcntAll</t>
        </is>
      </c>
      <c r="B804" s="32" t="inlineStr">
        <is>
          <t>00118804</t>
        </is>
      </c>
      <c r="C804" s="32" t="inlineStr">
        <is>
          <t>동진쎄미켐</t>
        </is>
      </c>
      <c r="D804" s="32" t="inlineStr">
        <is>
          <t>dongjin_semichem</t>
        </is>
      </c>
      <c r="E804" s="32" t="inlineStr">
        <is>
          <t>005290</t>
        </is>
      </c>
      <c r="F804" s="32" t="inlineStr">
        <is>
          <t>2024</t>
        </is>
      </c>
      <c r="G804" s="32" t="inlineStr">
        <is>
          <t>CFS</t>
        </is>
      </c>
      <c r="H804" s="32" t="inlineStr">
        <is>
          <t>SCE</t>
        </is>
      </c>
      <c r="I804" s="32" t="inlineStr">
        <is>
          <t>자본변동표</t>
        </is>
      </c>
      <c r="J804" s="32" t="inlineStr">
        <is>
          <t>ifrs-full_Equity</t>
        </is>
      </c>
      <c r="K804" s="32" t="inlineStr">
        <is>
          <t>자본총계</t>
        </is>
      </c>
      <c r="L804" s="32" t="inlineStr">
        <is>
          <t>자본 [구성요소]|지배기업의 소유주에게 귀속되는 지분 [구성요소]|이익잉여금 [구성요소]</t>
        </is>
      </c>
      <c r="M804" s="32" t="inlineStr">
        <is>
          <t>제 52 기</t>
        </is>
      </c>
      <c r="N804" s="32" t="inlineStr">
        <is>
          <t>775554117471.0</t>
        </is>
      </c>
      <c r="O804" s="32" t="inlineStr">
        <is>
          <t>628992461223.0</t>
        </is>
      </c>
      <c r="P804" s="32" t="inlineStr">
        <is>
          <t>KRW</t>
        </is>
      </c>
      <c r="Q804" s="32" t="inlineStr">
        <is>
          <t>6</t>
        </is>
      </c>
    </row>
    <row r="805" ht="24" customHeight="1">
      <c r="A805" s="27" t="inlineStr">
        <is>
          <t>OpenDART_fnlttSinglAcntAll</t>
        </is>
      </c>
      <c r="B805" s="27" t="inlineStr">
        <is>
          <t>00118804</t>
        </is>
      </c>
      <c r="C805" s="27" t="inlineStr">
        <is>
          <t>동진쎄미켐</t>
        </is>
      </c>
      <c r="D805" s="27" t="inlineStr">
        <is>
          <t>dongjin_semichem</t>
        </is>
      </c>
      <c r="E805" s="27" t="inlineStr">
        <is>
          <t>005290</t>
        </is>
      </c>
      <c r="F805" s="27" t="inlineStr">
        <is>
          <t>2024</t>
        </is>
      </c>
      <c r="G805" s="27" t="inlineStr">
        <is>
          <t>CFS</t>
        </is>
      </c>
      <c r="H805" s="27" t="inlineStr">
        <is>
          <t>SCE</t>
        </is>
      </c>
      <c r="I805" s="27" t="inlineStr">
        <is>
          <t>자본변동표</t>
        </is>
      </c>
      <c r="J805" s="27" t="inlineStr">
        <is>
          <t>ifrs-full_Equity</t>
        </is>
      </c>
      <c r="K805" s="27" t="inlineStr">
        <is>
          <t>자본총계</t>
        </is>
      </c>
      <c r="L805" s="27" t="inlineStr">
        <is>
          <t>자본 [구성요소]|지배기업의 소유주에게 귀속되는 지분 [구성요소]|자본금 [구성요소]</t>
        </is>
      </c>
      <c r="M805" s="27" t="inlineStr">
        <is>
          <t>제 52 기</t>
        </is>
      </c>
      <c r="N805" s="27" t="inlineStr">
        <is>
          <t>25707247000.0</t>
        </is>
      </c>
      <c r="O805" s="27" t="inlineStr">
        <is>
          <t>25707247000.0</t>
        </is>
      </c>
      <c r="P805" s="27" t="inlineStr">
        <is>
          <t>KRW</t>
        </is>
      </c>
      <c r="Q805" s="27" t="inlineStr">
        <is>
          <t>6</t>
        </is>
      </c>
    </row>
    <row r="806" ht="24" customHeight="1">
      <c r="A806" s="32" t="inlineStr">
        <is>
          <t>OpenDART_fnlttSinglAcntAll</t>
        </is>
      </c>
      <c r="B806" s="32" t="inlineStr">
        <is>
          <t>00118804</t>
        </is>
      </c>
      <c r="C806" s="32" t="inlineStr">
        <is>
          <t>동진쎄미켐</t>
        </is>
      </c>
      <c r="D806" s="32" t="inlineStr">
        <is>
          <t>dongjin_semichem</t>
        </is>
      </c>
      <c r="E806" s="32" t="inlineStr">
        <is>
          <t>005290</t>
        </is>
      </c>
      <c r="F806" s="32" t="inlineStr">
        <is>
          <t>2024</t>
        </is>
      </c>
      <c r="G806" s="32" t="inlineStr">
        <is>
          <t>CFS</t>
        </is>
      </c>
      <c r="H806" s="32" t="inlineStr">
        <is>
          <t>SCE</t>
        </is>
      </c>
      <c r="I806" s="32" t="inlineStr">
        <is>
          <t>자본변동표</t>
        </is>
      </c>
      <c r="J806" s="32" t="inlineStr">
        <is>
          <t>ifrs-full_Equity</t>
        </is>
      </c>
      <c r="K806" s="32" t="inlineStr">
        <is>
          <t>자본총계</t>
        </is>
      </c>
      <c r="L806" s="32" t="inlineStr">
        <is>
          <t>자본 [구성요소]|지배기업의 소유주에게 귀속되는 지분 [구성요소]|추가납입자본 [구성요소]</t>
        </is>
      </c>
      <c r="M806" s="32" t="inlineStr">
        <is>
          <t>제 52 기</t>
        </is>
      </c>
      <c r="N806" s="32" t="inlineStr">
        <is>
          <t>121997280919.0</t>
        </is>
      </c>
      <c r="O806" s="32" t="inlineStr">
        <is>
          <t>121800415653.0</t>
        </is>
      </c>
      <c r="P806" s="32" t="inlineStr">
        <is>
          <t>KRW</t>
        </is>
      </c>
      <c r="Q806" s="32" t="inlineStr">
        <is>
          <t>6</t>
        </is>
      </c>
    </row>
    <row r="807" ht="24" customHeight="1">
      <c r="A807" s="27" t="inlineStr">
        <is>
          <t>OpenDART_fnlttSinglAcntAll</t>
        </is>
      </c>
      <c r="B807" s="27" t="inlineStr">
        <is>
          <t>00118804</t>
        </is>
      </c>
      <c r="C807" s="27" t="inlineStr">
        <is>
          <t>동진쎄미켐</t>
        </is>
      </c>
      <c r="D807" s="27" t="inlineStr">
        <is>
          <t>dongjin_semichem</t>
        </is>
      </c>
      <c r="E807" s="27" t="inlineStr">
        <is>
          <t>005290</t>
        </is>
      </c>
      <c r="F807" s="27" t="inlineStr">
        <is>
          <t>2024</t>
        </is>
      </c>
      <c r="G807" s="27" t="inlineStr">
        <is>
          <t>CFS</t>
        </is>
      </c>
      <c r="H807" s="27" t="inlineStr">
        <is>
          <t>SCE</t>
        </is>
      </c>
      <c r="I807" s="27" t="inlineStr">
        <is>
          <t>자본변동표</t>
        </is>
      </c>
      <c r="J807" s="27" t="inlineStr">
        <is>
          <t>ifrs-full_IncomeTaxRelatingToChangesInRevaluationSurplusOfOtherComprehensiveIncome</t>
        </is>
      </c>
      <c r="K807" s="27" t="inlineStr">
        <is>
          <t>유형자산평가</t>
        </is>
      </c>
      <c r="L807" s="27" t="inlineStr">
        <is>
          <t>자본 [구성요소]|지배기업의 소유주에게 귀속되는 지분 [구성요소]</t>
        </is>
      </c>
      <c r="M807" s="27" t="inlineStr">
        <is>
          <t>제 52 기</t>
        </is>
      </c>
      <c r="N807" s="27" t="inlineStr">
        <is>
          <t>0.0</t>
        </is>
      </c>
      <c r="O807" s="27" t="inlineStr">
        <is>
          <t>24945049.0</t>
        </is>
      </c>
      <c r="P807" s="27" t="inlineStr">
        <is>
          <t>KRW</t>
        </is>
      </c>
      <c r="Q807" s="27" t="inlineStr">
        <is>
          <t>7</t>
        </is>
      </c>
    </row>
    <row r="808" ht="24" customHeight="1">
      <c r="A808" s="32" t="inlineStr">
        <is>
          <t>OpenDART_fnlttSinglAcntAll</t>
        </is>
      </c>
      <c r="B808" s="32" t="inlineStr">
        <is>
          <t>00118804</t>
        </is>
      </c>
      <c r="C808" s="32" t="inlineStr">
        <is>
          <t>동진쎄미켐</t>
        </is>
      </c>
      <c r="D808" s="32" t="inlineStr">
        <is>
          <t>dongjin_semichem</t>
        </is>
      </c>
      <c r="E808" s="32" t="inlineStr">
        <is>
          <t>005290</t>
        </is>
      </c>
      <c r="F808" s="32" t="inlineStr">
        <is>
          <t>2024</t>
        </is>
      </c>
      <c r="G808" s="32" t="inlineStr">
        <is>
          <t>CFS</t>
        </is>
      </c>
      <c r="H808" s="32" t="inlineStr">
        <is>
          <t>SCE</t>
        </is>
      </c>
      <c r="I808" s="32" t="inlineStr">
        <is>
          <t>자본변동표</t>
        </is>
      </c>
      <c r="J808" s="32" t="inlineStr">
        <is>
          <t>ifrs-full_IncomeTaxRelatingToChangesInRevaluationSurplusOfOtherComprehensiveIncome</t>
        </is>
      </c>
      <c r="K808" s="32" t="inlineStr">
        <is>
          <t>유형자산평가</t>
        </is>
      </c>
      <c r="L808" s="32" t="inlineStr">
        <is>
          <t>자본 [구성요소]|비지배지분 [구성요소]</t>
        </is>
      </c>
      <c r="M808" s="32" t="inlineStr">
        <is>
          <t>제 52 기</t>
        </is>
      </c>
      <c r="N808" s="32" t="inlineStr">
        <is>
          <t>0.0</t>
        </is>
      </c>
      <c r="O808" s="32" t="inlineStr">
        <is>
          <t>0.0</t>
        </is>
      </c>
      <c r="P808" s="32" t="inlineStr">
        <is>
          <t>KRW</t>
        </is>
      </c>
      <c r="Q808" s="32" t="inlineStr">
        <is>
          <t>7</t>
        </is>
      </c>
    </row>
    <row r="809" ht="24" customHeight="1">
      <c r="A809" s="27" t="inlineStr">
        <is>
          <t>OpenDART_fnlttSinglAcntAll</t>
        </is>
      </c>
      <c r="B809" s="27" t="inlineStr">
        <is>
          <t>00118804</t>
        </is>
      </c>
      <c r="C809" s="27" t="inlineStr">
        <is>
          <t>동진쎄미켐</t>
        </is>
      </c>
      <c r="D809" s="27" t="inlineStr">
        <is>
          <t>dongjin_semichem</t>
        </is>
      </c>
      <c r="E809" s="27" t="inlineStr">
        <is>
          <t>005290</t>
        </is>
      </c>
      <c r="F809" s="27" t="inlineStr">
        <is>
          <t>2024</t>
        </is>
      </c>
      <c r="G809" s="27" t="inlineStr">
        <is>
          <t>CFS</t>
        </is>
      </c>
      <c r="H809" s="27" t="inlineStr">
        <is>
          <t>SCE</t>
        </is>
      </c>
      <c r="I809" s="27" t="inlineStr">
        <is>
          <t>자본변동표</t>
        </is>
      </c>
      <c r="J809" s="27" t="inlineStr">
        <is>
          <t>ifrs-full_IncomeTaxRelatingToChangesInRevaluationSurplusOfOtherComprehensiveIncome</t>
        </is>
      </c>
      <c r="K809" s="27" t="inlineStr">
        <is>
          <t>유형자산평가</t>
        </is>
      </c>
      <c r="L809" s="27" t="inlineStr">
        <is>
          <t>연결재무제표 [member]</t>
        </is>
      </c>
      <c r="M809" s="27" t="inlineStr">
        <is>
          <t>제 52 기</t>
        </is>
      </c>
      <c r="N809" s="27" t="inlineStr">
        <is>
          <t>0.0</t>
        </is>
      </c>
      <c r="O809" s="27" t="inlineStr">
        <is>
          <t>24945049.0</t>
        </is>
      </c>
      <c r="P809" s="27" t="inlineStr">
        <is>
          <t>KRW</t>
        </is>
      </c>
      <c r="Q809" s="27" t="inlineStr">
        <is>
          <t>7</t>
        </is>
      </c>
    </row>
    <row r="810" ht="24" customHeight="1">
      <c r="A810" s="32" t="inlineStr">
        <is>
          <t>OpenDART_fnlttSinglAcntAll</t>
        </is>
      </c>
      <c r="B810" s="32" t="inlineStr">
        <is>
          <t>00118804</t>
        </is>
      </c>
      <c r="C810" s="32" t="inlineStr">
        <is>
          <t>동진쎄미켐</t>
        </is>
      </c>
      <c r="D810" s="32" t="inlineStr">
        <is>
          <t>dongjin_semichem</t>
        </is>
      </c>
      <c r="E810" s="32" t="inlineStr">
        <is>
          <t>005290</t>
        </is>
      </c>
      <c r="F810" s="32" t="inlineStr">
        <is>
          <t>2024</t>
        </is>
      </c>
      <c r="G810" s="32" t="inlineStr">
        <is>
          <t>CFS</t>
        </is>
      </c>
      <c r="H810" s="32" t="inlineStr">
        <is>
          <t>SCE</t>
        </is>
      </c>
      <c r="I810" s="32" t="inlineStr">
        <is>
          <t>자본변동표</t>
        </is>
      </c>
      <c r="J810" s="32" t="inlineStr">
        <is>
          <t>ifrs-full_IncomeTaxRelatingToChangesInRevaluationSurplusOfOtherComprehensiveIncome</t>
        </is>
      </c>
      <c r="K810" s="32" t="inlineStr">
        <is>
          <t>유형자산평가</t>
        </is>
      </c>
      <c r="L810" s="32" t="inlineStr">
        <is>
          <t>자본 [구성요소]|지배기업의 소유주에게 귀속되는 지분 [구성요소]|기타자본구성요소 [구성요소]</t>
        </is>
      </c>
      <c r="M810" s="32" t="inlineStr">
        <is>
          <t>제 52 기</t>
        </is>
      </c>
      <c r="N810" s="32" t="inlineStr">
        <is>
          <t>0.0</t>
        </is>
      </c>
      <c r="O810" s="32" t="inlineStr">
        <is>
          <t>24945049.0</t>
        </is>
      </c>
      <c r="P810" s="32" t="inlineStr">
        <is>
          <t>KRW</t>
        </is>
      </c>
      <c r="Q810" s="32" t="inlineStr">
        <is>
          <t>7</t>
        </is>
      </c>
    </row>
    <row r="811" ht="24" customHeight="1">
      <c r="A811" s="27" t="inlineStr">
        <is>
          <t>OpenDART_fnlttSinglAcntAll</t>
        </is>
      </c>
      <c r="B811" s="27" t="inlineStr">
        <is>
          <t>00118804</t>
        </is>
      </c>
      <c r="C811" s="27" t="inlineStr">
        <is>
          <t>동진쎄미켐</t>
        </is>
      </c>
      <c r="D811" s="27" t="inlineStr">
        <is>
          <t>dongjin_semichem</t>
        </is>
      </c>
      <c r="E811" s="27" t="inlineStr">
        <is>
          <t>005290</t>
        </is>
      </c>
      <c r="F811" s="27" t="inlineStr">
        <is>
          <t>2024</t>
        </is>
      </c>
      <c r="G811" s="27" t="inlineStr">
        <is>
          <t>CFS</t>
        </is>
      </c>
      <c r="H811" s="27" t="inlineStr">
        <is>
          <t>SCE</t>
        </is>
      </c>
      <c r="I811" s="27" t="inlineStr">
        <is>
          <t>자본변동표</t>
        </is>
      </c>
      <c r="J811" s="27" t="inlineStr">
        <is>
          <t>ifrs-full_IncomeTaxRelatingToChangesInRevaluationSurplusOfOtherComprehensiveIncome</t>
        </is>
      </c>
      <c r="K811" s="27" t="inlineStr">
        <is>
          <t>유형자산평가</t>
        </is>
      </c>
      <c r="L811" s="27" t="inlineStr">
        <is>
          <t>자본 [구성요소]|지배기업의 소유주에게 귀속되는 지분 [구성요소]|추가납입자본 [구성요소]</t>
        </is>
      </c>
      <c r="M811" s="27" t="inlineStr">
        <is>
          <t>제 52 기</t>
        </is>
      </c>
      <c r="N811" s="27" t="inlineStr">
        <is>
          <t>0.0</t>
        </is>
      </c>
      <c r="O811" s="27" t="inlineStr">
        <is>
          <t>0.0</t>
        </is>
      </c>
      <c r="P811" s="27" t="inlineStr">
        <is>
          <t>KRW</t>
        </is>
      </c>
      <c r="Q811" s="27" t="inlineStr">
        <is>
          <t>7</t>
        </is>
      </c>
    </row>
    <row r="812" ht="24" customHeight="1">
      <c r="A812" s="32" t="inlineStr">
        <is>
          <t>OpenDART_fnlttSinglAcntAll</t>
        </is>
      </c>
      <c r="B812" s="32" t="inlineStr">
        <is>
          <t>00118804</t>
        </is>
      </c>
      <c r="C812" s="32" t="inlineStr">
        <is>
          <t>동진쎄미켐</t>
        </is>
      </c>
      <c r="D812" s="32" t="inlineStr">
        <is>
          <t>dongjin_semichem</t>
        </is>
      </c>
      <c r="E812" s="32" t="inlineStr">
        <is>
          <t>005290</t>
        </is>
      </c>
      <c r="F812" s="32" t="inlineStr">
        <is>
          <t>2024</t>
        </is>
      </c>
      <c r="G812" s="32" t="inlineStr">
        <is>
          <t>CFS</t>
        </is>
      </c>
      <c r="H812" s="32" t="inlineStr">
        <is>
          <t>SCE</t>
        </is>
      </c>
      <c r="I812" s="32" t="inlineStr">
        <is>
          <t>자본변동표</t>
        </is>
      </c>
      <c r="J812" s="32" t="inlineStr">
        <is>
          <t>ifrs-full_IncomeTaxRelatingToChangesInRevaluationSurplusOfOtherComprehensiveIncome</t>
        </is>
      </c>
      <c r="K812" s="32" t="inlineStr">
        <is>
          <t>유형자산평가</t>
        </is>
      </c>
      <c r="L812" s="32" t="inlineStr">
        <is>
          <t>자본 [구성요소]|지배기업의 소유주에게 귀속되는 지분 [구성요소]|자본금 [구성요소]</t>
        </is>
      </c>
      <c r="M812" s="32" t="inlineStr">
        <is>
          <t>제 52 기</t>
        </is>
      </c>
      <c r="N812" s="32" t="inlineStr">
        <is>
          <t>0.0</t>
        </is>
      </c>
      <c r="O812" s="32" t="inlineStr">
        <is>
          <t>0.0</t>
        </is>
      </c>
      <c r="P812" s="32" t="inlineStr">
        <is>
          <t>KRW</t>
        </is>
      </c>
      <c r="Q812" s="32" t="inlineStr">
        <is>
          <t>7</t>
        </is>
      </c>
    </row>
    <row r="813" ht="24" customHeight="1">
      <c r="A813" s="27" t="inlineStr">
        <is>
          <t>OpenDART_fnlttSinglAcntAll</t>
        </is>
      </c>
      <c r="B813" s="27" t="inlineStr">
        <is>
          <t>00118804</t>
        </is>
      </c>
      <c r="C813" s="27" t="inlineStr">
        <is>
          <t>동진쎄미켐</t>
        </is>
      </c>
      <c r="D813" s="27" t="inlineStr">
        <is>
          <t>dongjin_semichem</t>
        </is>
      </c>
      <c r="E813" s="27" t="inlineStr">
        <is>
          <t>005290</t>
        </is>
      </c>
      <c r="F813" s="27" t="inlineStr">
        <is>
          <t>2024</t>
        </is>
      </c>
      <c r="G813" s="27" t="inlineStr">
        <is>
          <t>CFS</t>
        </is>
      </c>
      <c r="H813" s="27" t="inlineStr">
        <is>
          <t>SCE</t>
        </is>
      </c>
      <c r="I813" s="27" t="inlineStr">
        <is>
          <t>자본변동표</t>
        </is>
      </c>
      <c r="J813" s="27" t="inlineStr">
        <is>
          <t>ifrs-full_IncomeTaxRelatingToChangesInRevaluationSurplusOfOtherComprehensiveIncome</t>
        </is>
      </c>
      <c r="K813" s="27" t="inlineStr">
        <is>
          <t>유형자산평가</t>
        </is>
      </c>
      <c r="L813" s="27" t="inlineStr">
        <is>
          <t>자본 [구성요소]|지배기업의 소유주에게 귀속되는 지분 [구성요소]|이익잉여금 [구성요소]</t>
        </is>
      </c>
      <c r="M813" s="27" t="inlineStr">
        <is>
          <t>제 52 기</t>
        </is>
      </c>
      <c r="N813" s="27" t="inlineStr">
        <is>
          <t>0.0</t>
        </is>
      </c>
      <c r="O813" s="27" t="inlineStr">
        <is>
          <t>0.0</t>
        </is>
      </c>
      <c r="P813" s="27" t="inlineStr">
        <is>
          <t>KRW</t>
        </is>
      </c>
      <c r="Q813" s="27" t="inlineStr">
        <is>
          <t>7</t>
        </is>
      </c>
    </row>
    <row r="814" ht="24" customHeight="1">
      <c r="A814" s="32" t="inlineStr">
        <is>
          <t>OpenDART_fnlttSinglAcntAll</t>
        </is>
      </c>
      <c r="B814" s="32" t="inlineStr">
        <is>
          <t>00118804</t>
        </is>
      </c>
      <c r="C814" s="32" t="inlineStr">
        <is>
          <t>동진쎄미켐</t>
        </is>
      </c>
      <c r="D814" s="32" t="inlineStr">
        <is>
          <t>dongjin_semichem</t>
        </is>
      </c>
      <c r="E814" s="32" t="inlineStr">
        <is>
          <t>005290</t>
        </is>
      </c>
      <c r="F814" s="32" t="inlineStr">
        <is>
          <t>2024</t>
        </is>
      </c>
      <c r="G814" s="32" t="inlineStr">
        <is>
          <t>CFS</t>
        </is>
      </c>
      <c r="H814" s="32" t="inlineStr">
        <is>
          <t>SCE</t>
        </is>
      </c>
      <c r="I814" s="32" t="inlineStr">
        <is>
          <t>자본변동표</t>
        </is>
      </c>
      <c r="J814" s="32" t="inlineStr">
        <is>
          <t>ifrs-full_IncreaseDecreaseThroughChangesInOwnershipInterestsInSubsidiariesThatDoNotResultInLossOfControl</t>
        </is>
      </c>
      <c r="K814" s="32" t="inlineStr">
        <is>
          <t>종속기업주식취득</t>
        </is>
      </c>
      <c r="L814" s="32" t="inlineStr">
        <is>
          <t>자본 [구성요소]|지배기업의 소유주에게 귀속되는 지분 [구성요소]|자본금 [구성요소]</t>
        </is>
      </c>
      <c r="M814" s="32" t="inlineStr">
        <is>
          <t>제 52 기</t>
        </is>
      </c>
      <c r="N814" s="32" t="inlineStr">
        <is>
          <t>0.0</t>
        </is>
      </c>
      <c r="O814" s="32" t="inlineStr">
        <is>
          <t>0.0</t>
        </is>
      </c>
      <c r="P814" s="32" t="inlineStr">
        <is>
          <t>KRW</t>
        </is>
      </c>
      <c r="Q814" s="32" t="inlineStr">
        <is>
          <t>8</t>
        </is>
      </c>
    </row>
    <row r="815" ht="24" customHeight="1">
      <c r="A815" s="27" t="inlineStr">
        <is>
          <t>OpenDART_fnlttSinglAcntAll</t>
        </is>
      </c>
      <c r="B815" s="27" t="inlineStr">
        <is>
          <t>00118804</t>
        </is>
      </c>
      <c r="C815" s="27" t="inlineStr">
        <is>
          <t>동진쎄미켐</t>
        </is>
      </c>
      <c r="D815" s="27" t="inlineStr">
        <is>
          <t>dongjin_semichem</t>
        </is>
      </c>
      <c r="E815" s="27" t="inlineStr">
        <is>
          <t>005290</t>
        </is>
      </c>
      <c r="F815" s="27" t="inlineStr">
        <is>
          <t>2024</t>
        </is>
      </c>
      <c r="G815" s="27" t="inlineStr">
        <is>
          <t>CFS</t>
        </is>
      </c>
      <c r="H815" s="27" t="inlineStr">
        <is>
          <t>SCE</t>
        </is>
      </c>
      <c r="I815" s="27" t="inlineStr">
        <is>
          <t>자본변동표</t>
        </is>
      </c>
      <c r="J815" s="27" t="inlineStr">
        <is>
          <t>ifrs-full_IncreaseDecreaseThroughChangesInOwnershipInterestsInSubsidiariesThatDoNotResultInLossOfControl</t>
        </is>
      </c>
      <c r="K815" s="27" t="inlineStr">
        <is>
          <t>종속기업주식취득</t>
        </is>
      </c>
      <c r="L815" s="27" t="inlineStr">
        <is>
          <t>자본 [구성요소]|지배기업의 소유주에게 귀속되는 지분 [구성요소]|이익잉여금 [구성요소]</t>
        </is>
      </c>
      <c r="M815" s="27" t="inlineStr">
        <is>
          <t>제 52 기</t>
        </is>
      </c>
      <c r="N815" s="27" t="inlineStr">
        <is>
          <t>0.0</t>
        </is>
      </c>
      <c r="O815" s="27" t="inlineStr">
        <is>
          <t>0.0</t>
        </is>
      </c>
      <c r="P815" s="27" t="inlineStr">
        <is>
          <t>KRW</t>
        </is>
      </c>
      <c r="Q815" s="27" t="inlineStr">
        <is>
          <t>8</t>
        </is>
      </c>
    </row>
    <row r="816" ht="24" customHeight="1">
      <c r="A816" s="32" t="inlineStr">
        <is>
          <t>OpenDART_fnlttSinglAcntAll</t>
        </is>
      </c>
      <c r="B816" s="32" t="inlineStr">
        <is>
          <t>00118804</t>
        </is>
      </c>
      <c r="C816" s="32" t="inlineStr">
        <is>
          <t>동진쎄미켐</t>
        </is>
      </c>
      <c r="D816" s="32" t="inlineStr">
        <is>
          <t>dongjin_semichem</t>
        </is>
      </c>
      <c r="E816" s="32" t="inlineStr">
        <is>
          <t>005290</t>
        </is>
      </c>
      <c r="F816" s="32" t="inlineStr">
        <is>
          <t>2024</t>
        </is>
      </c>
      <c r="G816" s="32" t="inlineStr">
        <is>
          <t>CFS</t>
        </is>
      </c>
      <c r="H816" s="32" t="inlineStr">
        <is>
          <t>SCE</t>
        </is>
      </c>
      <c r="I816" s="32" t="inlineStr">
        <is>
          <t>자본변동표</t>
        </is>
      </c>
      <c r="J816" s="32" t="inlineStr">
        <is>
          <t>ifrs-full_IncreaseDecreaseThroughChangesInOwnershipInterestsInSubsidiariesThatDoNotResultInLossOfControl</t>
        </is>
      </c>
      <c r="K816" s="32" t="inlineStr">
        <is>
          <t>종속기업주식취득</t>
        </is>
      </c>
      <c r="L816" s="32" t="inlineStr">
        <is>
          <t>자본 [구성요소]|지배기업의 소유주에게 귀속되는 지분 [구성요소]|기타자본구성요소 [구성요소]</t>
        </is>
      </c>
      <c r="M816" s="32" t="inlineStr">
        <is>
          <t>제 52 기</t>
        </is>
      </c>
      <c r="N816" s="32" t="inlineStr">
        <is>
          <t>0.0</t>
        </is>
      </c>
      <c r="O816" s="32" t="inlineStr">
        <is>
          <t>0.0</t>
        </is>
      </c>
      <c r="P816" s="32" t="inlineStr">
        <is>
          <t>KRW</t>
        </is>
      </c>
      <c r="Q816" s="32" t="inlineStr">
        <is>
          <t>8</t>
        </is>
      </c>
    </row>
    <row r="817" ht="24" customHeight="1">
      <c r="A817" s="27" t="inlineStr">
        <is>
          <t>OpenDART_fnlttSinglAcntAll</t>
        </is>
      </c>
      <c r="B817" s="27" t="inlineStr">
        <is>
          <t>00118804</t>
        </is>
      </c>
      <c r="C817" s="27" t="inlineStr">
        <is>
          <t>동진쎄미켐</t>
        </is>
      </c>
      <c r="D817" s="27" t="inlineStr">
        <is>
          <t>dongjin_semichem</t>
        </is>
      </c>
      <c r="E817" s="27" t="inlineStr">
        <is>
          <t>005290</t>
        </is>
      </c>
      <c r="F817" s="27" t="inlineStr">
        <is>
          <t>2024</t>
        </is>
      </c>
      <c r="G817" s="27" t="inlineStr">
        <is>
          <t>CFS</t>
        </is>
      </c>
      <c r="H817" s="27" t="inlineStr">
        <is>
          <t>SCE</t>
        </is>
      </c>
      <c r="I817" s="27" t="inlineStr">
        <is>
          <t>자본변동표</t>
        </is>
      </c>
      <c r="J817" s="27" t="inlineStr">
        <is>
          <t>ifrs-full_IncreaseDecreaseThroughChangesInOwnershipInterestsInSubsidiariesThatDoNotResultInLossOfControl</t>
        </is>
      </c>
      <c r="K817" s="27" t="inlineStr">
        <is>
          <t>종속기업주식취득</t>
        </is>
      </c>
      <c r="L817" s="27" t="inlineStr">
        <is>
          <t>자본 [구성요소]|지배기업의 소유주에게 귀속되는 지분 [구성요소]</t>
        </is>
      </c>
      <c r="M817" s="27" t="inlineStr">
        <is>
          <t>제 52 기</t>
        </is>
      </c>
      <c r="N817" s="27" t="inlineStr">
        <is>
          <t>196865266.0</t>
        </is>
      </c>
      <c r="O817" s="27" t="inlineStr">
        <is>
          <t>-1196674508.0</t>
        </is>
      </c>
      <c r="P817" s="27" t="inlineStr">
        <is>
          <t>KRW</t>
        </is>
      </c>
      <c r="Q817" s="27" t="inlineStr">
        <is>
          <t>8</t>
        </is>
      </c>
    </row>
    <row r="818" ht="24" customHeight="1">
      <c r="A818" s="32" t="inlineStr">
        <is>
          <t>OpenDART_fnlttSinglAcntAll</t>
        </is>
      </c>
      <c r="B818" s="32" t="inlineStr">
        <is>
          <t>00118804</t>
        </is>
      </c>
      <c r="C818" s="32" t="inlineStr">
        <is>
          <t>동진쎄미켐</t>
        </is>
      </c>
      <c r="D818" s="32" t="inlineStr">
        <is>
          <t>dongjin_semichem</t>
        </is>
      </c>
      <c r="E818" s="32" t="inlineStr">
        <is>
          <t>005290</t>
        </is>
      </c>
      <c r="F818" s="32" t="inlineStr">
        <is>
          <t>2024</t>
        </is>
      </c>
      <c r="G818" s="32" t="inlineStr">
        <is>
          <t>CFS</t>
        </is>
      </c>
      <c r="H818" s="32" t="inlineStr">
        <is>
          <t>SCE</t>
        </is>
      </c>
      <c r="I818" s="32" t="inlineStr">
        <is>
          <t>자본변동표</t>
        </is>
      </c>
      <c r="J818" s="32" t="inlineStr">
        <is>
          <t>ifrs-full_IncreaseDecreaseThroughChangesInOwnershipInterestsInSubsidiariesThatDoNotResultInLossOfControl</t>
        </is>
      </c>
      <c r="K818" s="32" t="inlineStr">
        <is>
          <t>종속기업주식취득</t>
        </is>
      </c>
      <c r="L818" s="32" t="inlineStr">
        <is>
          <t>자본 [구성요소]|비지배지분 [구성요소]</t>
        </is>
      </c>
      <c r="M818" s="32" t="inlineStr">
        <is>
          <t>제 52 기</t>
        </is>
      </c>
      <c r="N818" s="32" t="inlineStr">
        <is>
          <t>-196865266.0</t>
        </is>
      </c>
      <c r="O818" s="32" t="inlineStr">
        <is>
          <t>1196674508.0</t>
        </is>
      </c>
      <c r="P818" s="32" t="inlineStr">
        <is>
          <t>KRW</t>
        </is>
      </c>
      <c r="Q818" s="32" t="inlineStr">
        <is>
          <t>8</t>
        </is>
      </c>
    </row>
    <row r="819" ht="24" customHeight="1">
      <c r="A819" s="27" t="inlineStr">
        <is>
          <t>OpenDART_fnlttSinglAcntAll</t>
        </is>
      </c>
      <c r="B819" s="27" t="inlineStr">
        <is>
          <t>00118804</t>
        </is>
      </c>
      <c r="C819" s="27" t="inlineStr">
        <is>
          <t>동진쎄미켐</t>
        </is>
      </c>
      <c r="D819" s="27" t="inlineStr">
        <is>
          <t>dongjin_semichem</t>
        </is>
      </c>
      <c r="E819" s="27" t="inlineStr">
        <is>
          <t>005290</t>
        </is>
      </c>
      <c r="F819" s="27" t="inlineStr">
        <is>
          <t>2024</t>
        </is>
      </c>
      <c r="G819" s="27" t="inlineStr">
        <is>
          <t>CFS</t>
        </is>
      </c>
      <c r="H819" s="27" t="inlineStr">
        <is>
          <t>SCE</t>
        </is>
      </c>
      <c r="I819" s="27" t="inlineStr">
        <is>
          <t>자본변동표</t>
        </is>
      </c>
      <c r="J819" s="27" t="inlineStr">
        <is>
          <t>ifrs-full_IncreaseDecreaseThroughChangesInOwnershipInterestsInSubsidiariesThatDoNotResultInLossOfControl</t>
        </is>
      </c>
      <c r="K819" s="27" t="inlineStr">
        <is>
          <t>종속기업주식취득</t>
        </is>
      </c>
      <c r="L819" s="27" t="inlineStr">
        <is>
          <t>연결재무제표 [member]</t>
        </is>
      </c>
      <c r="M819" s="27" t="inlineStr">
        <is>
          <t>제 52 기</t>
        </is>
      </c>
      <c r="N819" s="27" t="inlineStr">
        <is>
          <t>0.0</t>
        </is>
      </c>
      <c r="O819" s="27" t="inlineStr">
        <is>
          <t>0.0</t>
        </is>
      </c>
      <c r="P819" s="27" t="inlineStr">
        <is>
          <t>KRW</t>
        </is>
      </c>
      <c r="Q819" s="27" t="inlineStr">
        <is>
          <t>8</t>
        </is>
      </c>
    </row>
    <row r="820" ht="24" customHeight="1">
      <c r="A820" s="32" t="inlineStr">
        <is>
          <t>OpenDART_fnlttSinglAcntAll</t>
        </is>
      </c>
      <c r="B820" s="32" t="inlineStr">
        <is>
          <t>00118804</t>
        </is>
      </c>
      <c r="C820" s="32" t="inlineStr">
        <is>
          <t>동진쎄미켐</t>
        </is>
      </c>
      <c r="D820" s="32" t="inlineStr">
        <is>
          <t>dongjin_semichem</t>
        </is>
      </c>
      <c r="E820" s="32" t="inlineStr">
        <is>
          <t>005290</t>
        </is>
      </c>
      <c r="F820" s="32" t="inlineStr">
        <is>
          <t>2024</t>
        </is>
      </c>
      <c r="G820" s="32" t="inlineStr">
        <is>
          <t>CFS</t>
        </is>
      </c>
      <c r="H820" s="32" t="inlineStr">
        <is>
          <t>SCE</t>
        </is>
      </c>
      <c r="I820" s="32" t="inlineStr">
        <is>
          <t>자본변동표</t>
        </is>
      </c>
      <c r="J820" s="32" t="inlineStr">
        <is>
          <t>ifrs-full_IncreaseDecreaseThroughChangesInOwnershipInterestsInSubsidiariesThatDoNotResultInLossOfControl</t>
        </is>
      </c>
      <c r="K820" s="32" t="inlineStr">
        <is>
          <t>종속기업주식취득</t>
        </is>
      </c>
      <c r="L820" s="32" t="inlineStr">
        <is>
          <t>자본 [구성요소]|지배기업의 소유주에게 귀속되는 지분 [구성요소]|추가납입자본 [구성요소]</t>
        </is>
      </c>
      <c r="M820" s="32" t="inlineStr">
        <is>
          <t>제 52 기</t>
        </is>
      </c>
      <c r="N820" s="32" t="inlineStr">
        <is>
          <t>196865266.0</t>
        </is>
      </c>
      <c r="O820" s="32" t="inlineStr">
        <is>
          <t>-1196674508.0</t>
        </is>
      </c>
      <c r="P820" s="32" t="inlineStr">
        <is>
          <t>KRW</t>
        </is>
      </c>
      <c r="Q820" s="32" t="inlineStr">
        <is>
          <t>8</t>
        </is>
      </c>
    </row>
    <row r="821" ht="24" customHeight="1">
      <c r="A821" s="27" t="inlineStr">
        <is>
          <t>OpenDART_fnlttSinglAcntAll</t>
        </is>
      </c>
      <c r="B821" s="27" t="inlineStr">
        <is>
          <t>00118804</t>
        </is>
      </c>
      <c r="C821" s="27" t="inlineStr">
        <is>
          <t>동진쎄미켐</t>
        </is>
      </c>
      <c r="D821" s="27" t="inlineStr">
        <is>
          <t>dongjin_semichem</t>
        </is>
      </c>
      <c r="E821" s="27" t="inlineStr">
        <is>
          <t>005290</t>
        </is>
      </c>
      <c r="F821" s="27" t="inlineStr">
        <is>
          <t>2024</t>
        </is>
      </c>
      <c r="G821" s="27" t="inlineStr">
        <is>
          <t>CFS</t>
        </is>
      </c>
      <c r="H821" s="27" t="inlineStr">
        <is>
          <t>SCE</t>
        </is>
      </c>
      <c r="I821" s="27" t="inlineStr">
        <is>
          <t>자본변동표</t>
        </is>
      </c>
      <c r="J821" s="27" t="inlineStr">
        <is>
          <t>ifrs-full_IssueOfEquity</t>
        </is>
      </c>
      <c r="K821" s="27" t="inlineStr">
        <is>
          <t>유상증자</t>
        </is>
      </c>
      <c r="L821" s="27" t="inlineStr">
        <is>
          <t>자본 [구성요소]|지배기업의 소유주에게 귀속되는 지분 [구성요소]|자본금 [구성요소]</t>
        </is>
      </c>
      <c r="M821" s="27" t="inlineStr">
        <is>
          <t>제 52 기</t>
        </is>
      </c>
      <c r="N821" s="27" t="inlineStr">
        <is>
          <t>0.0</t>
        </is>
      </c>
      <c r="O821" s="27" t="inlineStr">
        <is>
          <t>0.0</t>
        </is>
      </c>
      <c r="P821" s="27" t="inlineStr">
        <is>
          <t>KRW</t>
        </is>
      </c>
      <c r="Q821" s="27" t="inlineStr">
        <is>
          <t>9</t>
        </is>
      </c>
    </row>
    <row r="822" ht="24" customHeight="1">
      <c r="A822" s="32" t="inlineStr">
        <is>
          <t>OpenDART_fnlttSinglAcntAll</t>
        </is>
      </c>
      <c r="B822" s="32" t="inlineStr">
        <is>
          <t>00118804</t>
        </is>
      </c>
      <c r="C822" s="32" t="inlineStr">
        <is>
          <t>동진쎄미켐</t>
        </is>
      </c>
      <c r="D822" s="32" t="inlineStr">
        <is>
          <t>dongjin_semichem</t>
        </is>
      </c>
      <c r="E822" s="32" t="inlineStr">
        <is>
          <t>005290</t>
        </is>
      </c>
      <c r="F822" s="32" t="inlineStr">
        <is>
          <t>2024</t>
        </is>
      </c>
      <c r="G822" s="32" t="inlineStr">
        <is>
          <t>CFS</t>
        </is>
      </c>
      <c r="H822" s="32" t="inlineStr">
        <is>
          <t>SCE</t>
        </is>
      </c>
      <c r="I822" s="32" t="inlineStr">
        <is>
          <t>자본변동표</t>
        </is>
      </c>
      <c r="J822" s="32" t="inlineStr">
        <is>
          <t>ifrs-full_IssueOfEquity</t>
        </is>
      </c>
      <c r="K822" s="32" t="inlineStr">
        <is>
          <t>유상증자</t>
        </is>
      </c>
      <c r="L822" s="32" t="inlineStr">
        <is>
          <t>자본 [구성요소]|지배기업의 소유주에게 귀속되는 지분 [구성요소]|이익잉여금 [구성요소]</t>
        </is>
      </c>
      <c r="M822" s="32" t="inlineStr">
        <is>
          <t>제 52 기</t>
        </is>
      </c>
      <c r="N822" s="32" t="inlineStr">
        <is>
          <t>0.0</t>
        </is>
      </c>
      <c r="O822" s="32" t="inlineStr">
        <is>
          <t>0.0</t>
        </is>
      </c>
      <c r="P822" s="32" t="inlineStr">
        <is>
          <t>KRW</t>
        </is>
      </c>
      <c r="Q822" s="32" t="inlineStr">
        <is>
          <t>9</t>
        </is>
      </c>
    </row>
    <row r="823" ht="24" customHeight="1">
      <c r="A823" s="27" t="inlineStr">
        <is>
          <t>OpenDART_fnlttSinglAcntAll</t>
        </is>
      </c>
      <c r="B823" s="27" t="inlineStr">
        <is>
          <t>00118804</t>
        </is>
      </c>
      <c r="C823" s="27" t="inlineStr">
        <is>
          <t>동진쎄미켐</t>
        </is>
      </c>
      <c r="D823" s="27" t="inlineStr">
        <is>
          <t>dongjin_semichem</t>
        </is>
      </c>
      <c r="E823" s="27" t="inlineStr">
        <is>
          <t>005290</t>
        </is>
      </c>
      <c r="F823" s="27" t="inlineStr">
        <is>
          <t>2024</t>
        </is>
      </c>
      <c r="G823" s="27" t="inlineStr">
        <is>
          <t>CFS</t>
        </is>
      </c>
      <c r="H823" s="27" t="inlineStr">
        <is>
          <t>SCE</t>
        </is>
      </c>
      <c r="I823" s="27" t="inlineStr">
        <is>
          <t>자본변동표</t>
        </is>
      </c>
      <c r="J823" s="27" t="inlineStr">
        <is>
          <t>ifrs-full_IssueOfEquity</t>
        </is>
      </c>
      <c r="K823" s="27" t="inlineStr">
        <is>
          <t>유상증자</t>
        </is>
      </c>
      <c r="L823" s="27" t="inlineStr">
        <is>
          <t>자본 [구성요소]|지배기업의 소유주에게 귀속되는 지분 [구성요소]|기타자본구성요소 [구성요소]</t>
        </is>
      </c>
      <c r="M823" s="27" t="inlineStr">
        <is>
          <t>제 52 기</t>
        </is>
      </c>
      <c r="N823" s="27" t="inlineStr">
        <is>
          <t>0.0</t>
        </is>
      </c>
      <c r="O823" s="27" t="inlineStr">
        <is>
          <t>0.0</t>
        </is>
      </c>
      <c r="P823" s="27" t="inlineStr">
        <is>
          <t>KRW</t>
        </is>
      </c>
      <c r="Q823" s="27" t="inlineStr">
        <is>
          <t>9</t>
        </is>
      </c>
    </row>
    <row r="824" ht="24" customHeight="1">
      <c r="A824" s="32" t="inlineStr">
        <is>
          <t>OpenDART_fnlttSinglAcntAll</t>
        </is>
      </c>
      <c r="B824" s="32" t="inlineStr">
        <is>
          <t>00118804</t>
        </is>
      </c>
      <c r="C824" s="32" t="inlineStr">
        <is>
          <t>동진쎄미켐</t>
        </is>
      </c>
      <c r="D824" s="32" t="inlineStr">
        <is>
          <t>dongjin_semichem</t>
        </is>
      </c>
      <c r="E824" s="32" t="inlineStr">
        <is>
          <t>005290</t>
        </is>
      </c>
      <c r="F824" s="32" t="inlineStr">
        <is>
          <t>2024</t>
        </is>
      </c>
      <c r="G824" s="32" t="inlineStr">
        <is>
          <t>CFS</t>
        </is>
      </c>
      <c r="H824" s="32" t="inlineStr">
        <is>
          <t>SCE</t>
        </is>
      </c>
      <c r="I824" s="32" t="inlineStr">
        <is>
          <t>자본변동표</t>
        </is>
      </c>
      <c r="J824" s="32" t="inlineStr">
        <is>
          <t>ifrs-full_IssueOfEquity</t>
        </is>
      </c>
      <c r="K824" s="32" t="inlineStr">
        <is>
          <t>유상증자</t>
        </is>
      </c>
      <c r="L824" s="32" t="inlineStr">
        <is>
          <t>자본 [구성요소]|지배기업의 소유주에게 귀속되는 지분 [구성요소]</t>
        </is>
      </c>
      <c r="M824" s="32" t="inlineStr">
        <is>
          <t>제 52 기</t>
        </is>
      </c>
      <c r="N824" s="32" t="inlineStr">
        <is>
          <t>0.0</t>
        </is>
      </c>
      <c r="O824" s="32" t="inlineStr">
        <is>
          <t>0.0</t>
        </is>
      </c>
      <c r="P824" s="32" t="inlineStr">
        <is>
          <t>KRW</t>
        </is>
      </c>
      <c r="Q824" s="32" t="inlineStr">
        <is>
          <t>9</t>
        </is>
      </c>
    </row>
    <row r="825" ht="24" customHeight="1">
      <c r="A825" s="27" t="inlineStr">
        <is>
          <t>OpenDART_fnlttSinglAcntAll</t>
        </is>
      </c>
      <c r="B825" s="27" t="inlineStr">
        <is>
          <t>00118804</t>
        </is>
      </c>
      <c r="C825" s="27" t="inlineStr">
        <is>
          <t>동진쎄미켐</t>
        </is>
      </c>
      <c r="D825" s="27" t="inlineStr">
        <is>
          <t>dongjin_semichem</t>
        </is>
      </c>
      <c r="E825" s="27" t="inlineStr">
        <is>
          <t>005290</t>
        </is>
      </c>
      <c r="F825" s="27" t="inlineStr">
        <is>
          <t>2024</t>
        </is>
      </c>
      <c r="G825" s="27" t="inlineStr">
        <is>
          <t>CFS</t>
        </is>
      </c>
      <c r="H825" s="27" t="inlineStr">
        <is>
          <t>SCE</t>
        </is>
      </c>
      <c r="I825" s="27" t="inlineStr">
        <is>
          <t>자본변동표</t>
        </is>
      </c>
      <c r="J825" s="27" t="inlineStr">
        <is>
          <t>ifrs-full_IssueOfEquity</t>
        </is>
      </c>
      <c r="K825" s="27" t="inlineStr">
        <is>
          <t>유상증자</t>
        </is>
      </c>
      <c r="L825" s="27" t="inlineStr">
        <is>
          <t>자본 [구성요소]|비지배지분 [구성요소]</t>
        </is>
      </c>
      <c r="M825" s="27" t="inlineStr">
        <is>
          <t>제 52 기</t>
        </is>
      </c>
      <c r="N825" s="27" t="inlineStr">
        <is>
          <t>0.0</t>
        </is>
      </c>
      <c r="O825" s="27" t="inlineStr">
        <is>
          <t>29011500000.0</t>
        </is>
      </c>
      <c r="P825" s="27" t="inlineStr">
        <is>
          <t>KRW</t>
        </is>
      </c>
      <c r="Q825" s="27" t="inlineStr">
        <is>
          <t>9</t>
        </is>
      </c>
    </row>
    <row r="826" ht="24" customHeight="1">
      <c r="A826" s="32" t="inlineStr">
        <is>
          <t>OpenDART_fnlttSinglAcntAll</t>
        </is>
      </c>
      <c r="B826" s="32" t="inlineStr">
        <is>
          <t>00118804</t>
        </is>
      </c>
      <c r="C826" s="32" t="inlineStr">
        <is>
          <t>동진쎄미켐</t>
        </is>
      </c>
      <c r="D826" s="32" t="inlineStr">
        <is>
          <t>dongjin_semichem</t>
        </is>
      </c>
      <c r="E826" s="32" t="inlineStr">
        <is>
          <t>005290</t>
        </is>
      </c>
      <c r="F826" s="32" t="inlineStr">
        <is>
          <t>2024</t>
        </is>
      </c>
      <c r="G826" s="32" t="inlineStr">
        <is>
          <t>CFS</t>
        </is>
      </c>
      <c r="H826" s="32" t="inlineStr">
        <is>
          <t>SCE</t>
        </is>
      </c>
      <c r="I826" s="32" t="inlineStr">
        <is>
          <t>자본변동표</t>
        </is>
      </c>
      <c r="J826" s="32" t="inlineStr">
        <is>
          <t>ifrs-full_IssueOfEquity</t>
        </is>
      </c>
      <c r="K826" s="32" t="inlineStr">
        <is>
          <t>유상증자</t>
        </is>
      </c>
      <c r="L826" s="32" t="inlineStr">
        <is>
          <t>연결재무제표 [member]</t>
        </is>
      </c>
      <c r="M826" s="32" t="inlineStr">
        <is>
          <t>제 52 기</t>
        </is>
      </c>
      <c r="N826" s="32" t="inlineStr">
        <is>
          <t>0.0</t>
        </is>
      </c>
      <c r="O826" s="32" t="inlineStr">
        <is>
          <t>29011500000.0</t>
        </is>
      </c>
      <c r="P826" s="32" t="inlineStr">
        <is>
          <t>KRW</t>
        </is>
      </c>
      <c r="Q826" s="32" t="inlineStr">
        <is>
          <t>9</t>
        </is>
      </c>
    </row>
    <row r="827" ht="24" customHeight="1">
      <c r="A827" s="27" t="inlineStr">
        <is>
          <t>OpenDART_fnlttSinglAcntAll</t>
        </is>
      </c>
      <c r="B827" s="27" t="inlineStr">
        <is>
          <t>00118804</t>
        </is>
      </c>
      <c r="C827" s="27" t="inlineStr">
        <is>
          <t>동진쎄미켐</t>
        </is>
      </c>
      <c r="D827" s="27" t="inlineStr">
        <is>
          <t>dongjin_semichem</t>
        </is>
      </c>
      <c r="E827" s="27" t="inlineStr">
        <is>
          <t>005290</t>
        </is>
      </c>
      <c r="F827" s="27" t="inlineStr">
        <is>
          <t>2024</t>
        </is>
      </c>
      <c r="G827" s="27" t="inlineStr">
        <is>
          <t>CFS</t>
        </is>
      </c>
      <c r="H827" s="27" t="inlineStr">
        <is>
          <t>SCE</t>
        </is>
      </c>
      <c r="I827" s="27" t="inlineStr">
        <is>
          <t>자본변동표</t>
        </is>
      </c>
      <c r="J827" s="27" t="inlineStr">
        <is>
          <t>ifrs-full_IssueOfEquity</t>
        </is>
      </c>
      <c r="K827" s="27" t="inlineStr">
        <is>
          <t>유상증자</t>
        </is>
      </c>
      <c r="L827" s="27" t="inlineStr">
        <is>
          <t>자본 [구성요소]|지배기업의 소유주에게 귀속되는 지분 [구성요소]|추가납입자본 [구성요소]</t>
        </is>
      </c>
      <c r="M827" s="27" t="inlineStr">
        <is>
          <t>제 52 기</t>
        </is>
      </c>
      <c r="N827" s="27" t="inlineStr">
        <is>
          <t>0.0</t>
        </is>
      </c>
      <c r="O827" s="27" t="inlineStr">
        <is>
          <t>0.0</t>
        </is>
      </c>
      <c r="P827" s="27" t="inlineStr">
        <is>
          <t>KRW</t>
        </is>
      </c>
      <c r="Q827" s="27" t="inlineStr">
        <is>
          <t>9</t>
        </is>
      </c>
    </row>
    <row r="828" ht="24" customHeight="1">
      <c r="A828" s="32" t="inlineStr">
        <is>
          <t>OpenDART_fnlttSinglAcntAll</t>
        </is>
      </c>
      <c r="B828" s="32" t="inlineStr">
        <is>
          <t>00118804</t>
        </is>
      </c>
      <c r="C828" s="32" t="inlineStr">
        <is>
          <t>동진쎄미켐</t>
        </is>
      </c>
      <c r="D828" s="32" t="inlineStr">
        <is>
          <t>dongjin_semichem</t>
        </is>
      </c>
      <c r="E828" s="32" t="inlineStr">
        <is>
          <t>005290</t>
        </is>
      </c>
      <c r="F828" s="32" t="inlineStr">
        <is>
          <t>2024</t>
        </is>
      </c>
      <c r="G828" s="32" t="inlineStr">
        <is>
          <t>CFS</t>
        </is>
      </c>
      <c r="H828" s="32" t="inlineStr">
        <is>
          <t>SCE</t>
        </is>
      </c>
      <c r="I828" s="32" t="inlineStr">
        <is>
          <t>자본변동표</t>
        </is>
      </c>
      <c r="J828" s="32" t="inlineStr">
        <is>
          <t>ifrs-full_OtherComprehensiveIncomeNetOfTaxExchangeDifferencesOnTranslation</t>
        </is>
      </c>
      <c r="K828" s="32" t="inlineStr">
        <is>
          <t>해외사업장환산 외환차이</t>
        </is>
      </c>
      <c r="L828" s="32" t="inlineStr">
        <is>
          <t>연결재무제표 [member]</t>
        </is>
      </c>
      <c r="M828" s="32" t="inlineStr">
        <is>
          <t>제 52 기</t>
        </is>
      </c>
      <c r="N828" s="32" t="inlineStr">
        <is>
          <t>49743144303.0</t>
        </is>
      </c>
      <c r="O828" s="32" t="inlineStr">
        <is>
          <t>1483976350.0</t>
        </is>
      </c>
      <c r="P828" s="32" t="inlineStr">
        <is>
          <t>KRW</t>
        </is>
      </c>
      <c r="Q828" s="32" t="inlineStr">
        <is>
          <t>10</t>
        </is>
      </c>
    </row>
    <row r="829" ht="24" customHeight="1">
      <c r="A829" s="27" t="inlineStr">
        <is>
          <t>OpenDART_fnlttSinglAcntAll</t>
        </is>
      </c>
      <c r="B829" s="27" t="inlineStr">
        <is>
          <t>00118804</t>
        </is>
      </c>
      <c r="C829" s="27" t="inlineStr">
        <is>
          <t>동진쎄미켐</t>
        </is>
      </c>
      <c r="D829" s="27" t="inlineStr">
        <is>
          <t>dongjin_semichem</t>
        </is>
      </c>
      <c r="E829" s="27" t="inlineStr">
        <is>
          <t>005290</t>
        </is>
      </c>
      <c r="F829" s="27" t="inlineStr">
        <is>
          <t>2024</t>
        </is>
      </c>
      <c r="G829" s="27" t="inlineStr">
        <is>
          <t>CFS</t>
        </is>
      </c>
      <c r="H829" s="27" t="inlineStr">
        <is>
          <t>SCE</t>
        </is>
      </c>
      <c r="I829" s="27" t="inlineStr">
        <is>
          <t>자본변동표</t>
        </is>
      </c>
      <c r="J829" s="27" t="inlineStr">
        <is>
          <t>ifrs-full_OtherComprehensiveIncomeNetOfTaxExchangeDifferencesOnTranslation</t>
        </is>
      </c>
      <c r="K829" s="27" t="inlineStr">
        <is>
          <t>해외사업장환산 외환차이</t>
        </is>
      </c>
      <c r="L829" s="27" t="inlineStr">
        <is>
          <t>자본 [구성요소]|비지배지분 [구성요소]</t>
        </is>
      </c>
      <c r="M829" s="27" t="inlineStr">
        <is>
          <t>제 52 기</t>
        </is>
      </c>
      <c r="N829" s="27" t="inlineStr">
        <is>
          <t>4097773217.0</t>
        </is>
      </c>
      <c r="O829" s="27" t="inlineStr">
        <is>
          <t>126368285.0</t>
        </is>
      </c>
      <c r="P829" s="27" t="inlineStr">
        <is>
          <t>KRW</t>
        </is>
      </c>
      <c r="Q829" s="27" t="inlineStr">
        <is>
          <t>10</t>
        </is>
      </c>
    </row>
    <row r="830" ht="24" customHeight="1">
      <c r="A830" s="32" t="inlineStr">
        <is>
          <t>OpenDART_fnlttSinglAcntAll</t>
        </is>
      </c>
      <c r="B830" s="32" t="inlineStr">
        <is>
          <t>00118804</t>
        </is>
      </c>
      <c r="C830" s="32" t="inlineStr">
        <is>
          <t>동진쎄미켐</t>
        </is>
      </c>
      <c r="D830" s="32" t="inlineStr">
        <is>
          <t>dongjin_semichem</t>
        </is>
      </c>
      <c r="E830" s="32" t="inlineStr">
        <is>
          <t>005290</t>
        </is>
      </c>
      <c r="F830" s="32" t="inlineStr">
        <is>
          <t>2024</t>
        </is>
      </c>
      <c r="G830" s="32" t="inlineStr">
        <is>
          <t>CFS</t>
        </is>
      </c>
      <c r="H830" s="32" t="inlineStr">
        <is>
          <t>SCE</t>
        </is>
      </c>
      <c r="I830" s="32" t="inlineStr">
        <is>
          <t>자본변동표</t>
        </is>
      </c>
      <c r="J830" s="32" t="inlineStr">
        <is>
          <t>ifrs-full_OtherComprehensiveIncomeNetOfTaxExchangeDifferencesOnTranslation</t>
        </is>
      </c>
      <c r="K830" s="32" t="inlineStr">
        <is>
          <t>해외사업장환산 외환차이</t>
        </is>
      </c>
      <c r="L830" s="32" t="inlineStr">
        <is>
          <t>자본 [구성요소]|지배기업의 소유주에게 귀속되는 지분 [구성요소]</t>
        </is>
      </c>
      <c r="M830" s="32" t="inlineStr">
        <is>
          <t>제 52 기</t>
        </is>
      </c>
      <c r="N830" s="32" t="inlineStr">
        <is>
          <t>45645371086.0</t>
        </is>
      </c>
      <c r="O830" s="32" t="inlineStr">
        <is>
          <t>1357608065.0</t>
        </is>
      </c>
      <c r="P830" s="32" t="inlineStr">
        <is>
          <t>KRW</t>
        </is>
      </c>
      <c r="Q830" s="32" t="inlineStr">
        <is>
          <t>10</t>
        </is>
      </c>
    </row>
    <row r="831" ht="24" customHeight="1">
      <c r="A831" s="27" t="inlineStr">
        <is>
          <t>OpenDART_fnlttSinglAcntAll</t>
        </is>
      </c>
      <c r="B831" s="27" t="inlineStr">
        <is>
          <t>00118804</t>
        </is>
      </c>
      <c r="C831" s="27" t="inlineStr">
        <is>
          <t>동진쎄미켐</t>
        </is>
      </c>
      <c r="D831" s="27" t="inlineStr">
        <is>
          <t>dongjin_semichem</t>
        </is>
      </c>
      <c r="E831" s="27" t="inlineStr">
        <is>
          <t>005290</t>
        </is>
      </c>
      <c r="F831" s="27" t="inlineStr">
        <is>
          <t>2024</t>
        </is>
      </c>
      <c r="G831" s="27" t="inlineStr">
        <is>
          <t>CFS</t>
        </is>
      </c>
      <c r="H831" s="27" t="inlineStr">
        <is>
          <t>SCE</t>
        </is>
      </c>
      <c r="I831" s="27" t="inlineStr">
        <is>
          <t>자본변동표</t>
        </is>
      </c>
      <c r="J831" s="27" t="inlineStr">
        <is>
          <t>ifrs-full_OtherComprehensiveIncomeNetOfTaxExchangeDifferencesOnTranslation</t>
        </is>
      </c>
      <c r="K831" s="27" t="inlineStr">
        <is>
          <t>해외사업장환산 외환차이</t>
        </is>
      </c>
      <c r="L831" s="27" t="inlineStr">
        <is>
          <t>자본 [구성요소]|지배기업의 소유주에게 귀속되는 지분 [구성요소]|기타자본구성요소 [구성요소]</t>
        </is>
      </c>
      <c r="M831" s="27" t="inlineStr">
        <is>
          <t>제 52 기</t>
        </is>
      </c>
      <c r="N831" s="27" t="inlineStr">
        <is>
          <t>45645371086.0</t>
        </is>
      </c>
      <c r="O831" s="27" t="inlineStr">
        <is>
          <t>1357608065.0</t>
        </is>
      </c>
      <c r="P831" s="27" t="inlineStr">
        <is>
          <t>KRW</t>
        </is>
      </c>
      <c r="Q831" s="27" t="inlineStr">
        <is>
          <t>10</t>
        </is>
      </c>
    </row>
    <row r="832" ht="24" customHeight="1">
      <c r="A832" s="32" t="inlineStr">
        <is>
          <t>OpenDART_fnlttSinglAcntAll</t>
        </is>
      </c>
      <c r="B832" s="32" t="inlineStr">
        <is>
          <t>00118804</t>
        </is>
      </c>
      <c r="C832" s="32" t="inlineStr">
        <is>
          <t>동진쎄미켐</t>
        </is>
      </c>
      <c r="D832" s="32" t="inlineStr">
        <is>
          <t>dongjin_semichem</t>
        </is>
      </c>
      <c r="E832" s="32" t="inlineStr">
        <is>
          <t>005290</t>
        </is>
      </c>
      <c r="F832" s="32" t="inlineStr">
        <is>
          <t>2024</t>
        </is>
      </c>
      <c r="G832" s="32" t="inlineStr">
        <is>
          <t>CFS</t>
        </is>
      </c>
      <c r="H832" s="32" t="inlineStr">
        <is>
          <t>SCE</t>
        </is>
      </c>
      <c r="I832" s="32" t="inlineStr">
        <is>
          <t>자본변동표</t>
        </is>
      </c>
      <c r="J832" s="32" t="inlineStr">
        <is>
          <t>ifrs-full_OtherComprehensiveIncomeNetOfTaxExchangeDifferencesOnTranslation</t>
        </is>
      </c>
      <c r="K832" s="32" t="inlineStr">
        <is>
          <t>해외사업장환산 외환차이</t>
        </is>
      </c>
      <c r="L832" s="32" t="inlineStr">
        <is>
          <t>자본 [구성요소]|지배기업의 소유주에게 귀속되는 지분 [구성요소]|이익잉여금 [구성요소]</t>
        </is>
      </c>
      <c r="M832" s="32" t="inlineStr">
        <is>
          <t>제 52 기</t>
        </is>
      </c>
      <c r="N832" s="32" t="inlineStr">
        <is>
          <t>0.0</t>
        </is>
      </c>
      <c r="O832" s="32" t="inlineStr">
        <is>
          <t>0.0</t>
        </is>
      </c>
      <c r="P832" s="32" t="inlineStr">
        <is>
          <t>KRW</t>
        </is>
      </c>
      <c r="Q832" s="32" t="inlineStr">
        <is>
          <t>10</t>
        </is>
      </c>
    </row>
    <row r="833" ht="24" customHeight="1">
      <c r="A833" s="27" t="inlineStr">
        <is>
          <t>OpenDART_fnlttSinglAcntAll</t>
        </is>
      </c>
      <c r="B833" s="27" t="inlineStr">
        <is>
          <t>00118804</t>
        </is>
      </c>
      <c r="C833" s="27" t="inlineStr">
        <is>
          <t>동진쎄미켐</t>
        </is>
      </c>
      <c r="D833" s="27" t="inlineStr">
        <is>
          <t>dongjin_semichem</t>
        </is>
      </c>
      <c r="E833" s="27" t="inlineStr">
        <is>
          <t>005290</t>
        </is>
      </c>
      <c r="F833" s="27" t="inlineStr">
        <is>
          <t>2024</t>
        </is>
      </c>
      <c r="G833" s="27" t="inlineStr">
        <is>
          <t>CFS</t>
        </is>
      </c>
      <c r="H833" s="27" t="inlineStr">
        <is>
          <t>SCE</t>
        </is>
      </c>
      <c r="I833" s="27" t="inlineStr">
        <is>
          <t>자본변동표</t>
        </is>
      </c>
      <c r="J833" s="27" t="inlineStr">
        <is>
          <t>ifrs-full_OtherComprehensiveIncomeNetOfTaxExchangeDifferencesOnTranslation</t>
        </is>
      </c>
      <c r="K833" s="27" t="inlineStr">
        <is>
          <t>해외사업장환산 외환차이</t>
        </is>
      </c>
      <c r="L833" s="27" t="inlineStr">
        <is>
          <t>자본 [구성요소]|지배기업의 소유주에게 귀속되는 지분 [구성요소]|자본금 [구성요소]</t>
        </is>
      </c>
      <c r="M833" s="27" t="inlineStr">
        <is>
          <t>제 52 기</t>
        </is>
      </c>
      <c r="N833" s="27" t="inlineStr">
        <is>
          <t>0.0</t>
        </is>
      </c>
      <c r="O833" s="27" t="inlineStr">
        <is>
          <t>0.0</t>
        </is>
      </c>
      <c r="P833" s="27" t="inlineStr">
        <is>
          <t>KRW</t>
        </is>
      </c>
      <c r="Q833" s="27" t="inlineStr">
        <is>
          <t>10</t>
        </is>
      </c>
    </row>
    <row r="834" ht="24" customHeight="1">
      <c r="A834" s="32" t="inlineStr">
        <is>
          <t>OpenDART_fnlttSinglAcntAll</t>
        </is>
      </c>
      <c r="B834" s="32" t="inlineStr">
        <is>
          <t>00118804</t>
        </is>
      </c>
      <c r="C834" s="32" t="inlineStr">
        <is>
          <t>동진쎄미켐</t>
        </is>
      </c>
      <c r="D834" s="32" t="inlineStr">
        <is>
          <t>dongjin_semichem</t>
        </is>
      </c>
      <c r="E834" s="32" t="inlineStr">
        <is>
          <t>005290</t>
        </is>
      </c>
      <c r="F834" s="32" t="inlineStr">
        <is>
          <t>2024</t>
        </is>
      </c>
      <c r="G834" s="32" t="inlineStr">
        <is>
          <t>CFS</t>
        </is>
      </c>
      <c r="H834" s="32" t="inlineStr">
        <is>
          <t>SCE</t>
        </is>
      </c>
      <c r="I834" s="32" t="inlineStr">
        <is>
          <t>자본변동표</t>
        </is>
      </c>
      <c r="J834" s="32" t="inlineStr">
        <is>
          <t>ifrs-full_OtherComprehensiveIncomeNetOfTaxExchangeDifferencesOnTranslation</t>
        </is>
      </c>
      <c r="K834" s="32" t="inlineStr">
        <is>
          <t>해외사업장환산 외환차이</t>
        </is>
      </c>
      <c r="L834" s="32" t="inlineStr">
        <is>
          <t>자본 [구성요소]|지배기업의 소유주에게 귀속되는 지분 [구성요소]|추가납입자본 [구성요소]</t>
        </is>
      </c>
      <c r="M834" s="32" t="inlineStr">
        <is>
          <t>제 52 기</t>
        </is>
      </c>
      <c r="N834" s="32" t="inlineStr">
        <is>
          <t>0.0</t>
        </is>
      </c>
      <c r="O834" s="32" t="inlineStr">
        <is>
          <t>0.0</t>
        </is>
      </c>
      <c r="P834" s="32" t="inlineStr">
        <is>
          <t>KRW</t>
        </is>
      </c>
      <c r="Q834" s="32" t="inlineStr">
        <is>
          <t>10</t>
        </is>
      </c>
    </row>
    <row r="835" ht="24" customHeight="1">
      <c r="A835" s="27" t="inlineStr">
        <is>
          <t>OpenDART_fnlttSinglAcntAll</t>
        </is>
      </c>
      <c r="B835" s="27" t="inlineStr">
        <is>
          <t>00118804</t>
        </is>
      </c>
      <c r="C835" s="27" t="inlineStr">
        <is>
          <t>동진쎄미켐</t>
        </is>
      </c>
      <c r="D835" s="27" t="inlineStr">
        <is>
          <t>dongjin_semichem</t>
        </is>
      </c>
      <c r="E835" s="27" t="inlineStr">
        <is>
          <t>005290</t>
        </is>
      </c>
      <c r="F835" s="27" t="inlineStr">
        <is>
          <t>2024</t>
        </is>
      </c>
      <c r="G835" s="27" t="inlineStr">
        <is>
          <t>CFS</t>
        </is>
      </c>
      <c r="H835" s="27" t="inlineStr">
        <is>
          <t>SCE</t>
        </is>
      </c>
      <c r="I835" s="27" t="inlineStr">
        <is>
          <t>자본변동표</t>
        </is>
      </c>
      <c r="J835" s="27" t="inlineStr">
        <is>
          <t>ifrs-full_OtherComprehensiveIncomeNetOfTaxGainsLossesOnRemeasurementsOfDefinedBenefitPlans</t>
        </is>
      </c>
      <c r="K835" s="27" t="inlineStr">
        <is>
          <t>순확정급여부채 재측정요소</t>
        </is>
      </c>
      <c r="L835" s="27" t="inlineStr">
        <is>
          <t>연결재무제표 [member]</t>
        </is>
      </c>
      <c r="M835" s="27" t="inlineStr">
        <is>
          <t>제 52 기</t>
        </is>
      </c>
      <c r="N835" s="27" t="inlineStr">
        <is>
          <t>-2050514158.0</t>
        </is>
      </c>
      <c r="O835" s="27" t="inlineStr">
        <is>
          <t>-12654329471.0</t>
        </is>
      </c>
      <c r="P835" s="27" t="inlineStr">
        <is>
          <t>KRW</t>
        </is>
      </c>
      <c r="Q835" s="27" t="inlineStr">
        <is>
          <t>11</t>
        </is>
      </c>
    </row>
    <row r="836" ht="24" customHeight="1">
      <c r="A836" s="32" t="inlineStr">
        <is>
          <t>OpenDART_fnlttSinglAcntAll</t>
        </is>
      </c>
      <c r="B836" s="32" t="inlineStr">
        <is>
          <t>00118804</t>
        </is>
      </c>
      <c r="C836" s="32" t="inlineStr">
        <is>
          <t>동진쎄미켐</t>
        </is>
      </c>
      <c r="D836" s="32" t="inlineStr">
        <is>
          <t>dongjin_semichem</t>
        </is>
      </c>
      <c r="E836" s="32" t="inlineStr">
        <is>
          <t>005290</t>
        </is>
      </c>
      <c r="F836" s="32" t="inlineStr">
        <is>
          <t>2024</t>
        </is>
      </c>
      <c r="G836" s="32" t="inlineStr">
        <is>
          <t>CFS</t>
        </is>
      </c>
      <c r="H836" s="32" t="inlineStr">
        <is>
          <t>SCE</t>
        </is>
      </c>
      <c r="I836" s="32" t="inlineStr">
        <is>
          <t>자본변동표</t>
        </is>
      </c>
      <c r="J836" s="32" t="inlineStr">
        <is>
          <t>ifrs-full_OtherComprehensiveIncomeNetOfTaxGainsLossesOnRemeasurementsOfDefinedBenefitPlans</t>
        </is>
      </c>
      <c r="K836" s="32" t="inlineStr">
        <is>
          <t>순확정급여부채 재측정요소</t>
        </is>
      </c>
      <c r="L836" s="32" t="inlineStr">
        <is>
          <t>자본 [구성요소]|비지배지분 [구성요소]</t>
        </is>
      </c>
      <c r="M836" s="32" t="inlineStr">
        <is>
          <t>제 52 기</t>
        </is>
      </c>
      <c r="N836" s="32" t="inlineStr">
        <is>
          <t>0.0</t>
        </is>
      </c>
      <c r="O836" s="32" t="inlineStr">
        <is>
          <t>0.0</t>
        </is>
      </c>
      <c r="P836" s="32" t="inlineStr">
        <is>
          <t>KRW</t>
        </is>
      </c>
      <c r="Q836" s="32" t="inlineStr">
        <is>
          <t>11</t>
        </is>
      </c>
    </row>
    <row r="837" ht="24" customHeight="1">
      <c r="A837" s="27" t="inlineStr">
        <is>
          <t>OpenDART_fnlttSinglAcntAll</t>
        </is>
      </c>
      <c r="B837" s="27" t="inlineStr">
        <is>
          <t>00118804</t>
        </is>
      </c>
      <c r="C837" s="27" t="inlineStr">
        <is>
          <t>동진쎄미켐</t>
        </is>
      </c>
      <c r="D837" s="27" t="inlineStr">
        <is>
          <t>dongjin_semichem</t>
        </is>
      </c>
      <c r="E837" s="27" t="inlineStr">
        <is>
          <t>005290</t>
        </is>
      </c>
      <c r="F837" s="27" t="inlineStr">
        <is>
          <t>2024</t>
        </is>
      </c>
      <c r="G837" s="27" t="inlineStr">
        <is>
          <t>CFS</t>
        </is>
      </c>
      <c r="H837" s="27" t="inlineStr">
        <is>
          <t>SCE</t>
        </is>
      </c>
      <c r="I837" s="27" t="inlineStr">
        <is>
          <t>자본변동표</t>
        </is>
      </c>
      <c r="J837" s="27" t="inlineStr">
        <is>
          <t>ifrs-full_OtherComprehensiveIncomeNetOfTaxGainsLossesOnRemeasurementsOfDefinedBenefitPlans</t>
        </is>
      </c>
      <c r="K837" s="27" t="inlineStr">
        <is>
          <t>순확정급여부채 재측정요소</t>
        </is>
      </c>
      <c r="L837" s="27" t="inlineStr">
        <is>
          <t>자본 [구성요소]|지배기업의 소유주에게 귀속되는 지분 [구성요소]</t>
        </is>
      </c>
      <c r="M837" s="27" t="inlineStr">
        <is>
          <t>제 52 기</t>
        </is>
      </c>
      <c r="N837" s="27" t="inlineStr">
        <is>
          <t>-2050514158.0</t>
        </is>
      </c>
      <c r="O837" s="27" t="inlineStr">
        <is>
          <t>-12654329471.0</t>
        </is>
      </c>
      <c r="P837" s="27" t="inlineStr">
        <is>
          <t>KRW</t>
        </is>
      </c>
      <c r="Q837" s="27" t="inlineStr">
        <is>
          <t>11</t>
        </is>
      </c>
    </row>
    <row r="838" ht="24" customHeight="1">
      <c r="A838" s="32" t="inlineStr">
        <is>
          <t>OpenDART_fnlttSinglAcntAll</t>
        </is>
      </c>
      <c r="B838" s="32" t="inlineStr">
        <is>
          <t>00118804</t>
        </is>
      </c>
      <c r="C838" s="32" t="inlineStr">
        <is>
          <t>동진쎄미켐</t>
        </is>
      </c>
      <c r="D838" s="32" t="inlineStr">
        <is>
          <t>dongjin_semichem</t>
        </is>
      </c>
      <c r="E838" s="32" t="inlineStr">
        <is>
          <t>005290</t>
        </is>
      </c>
      <c r="F838" s="32" t="inlineStr">
        <is>
          <t>2024</t>
        </is>
      </c>
      <c r="G838" s="32" t="inlineStr">
        <is>
          <t>CFS</t>
        </is>
      </c>
      <c r="H838" s="32" t="inlineStr">
        <is>
          <t>SCE</t>
        </is>
      </c>
      <c r="I838" s="32" t="inlineStr">
        <is>
          <t>자본변동표</t>
        </is>
      </c>
      <c r="J838" s="32" t="inlineStr">
        <is>
          <t>ifrs-full_OtherComprehensiveIncomeNetOfTaxGainsLossesOnRemeasurementsOfDefinedBenefitPlans</t>
        </is>
      </c>
      <c r="K838" s="32" t="inlineStr">
        <is>
          <t>순확정급여부채 재측정요소</t>
        </is>
      </c>
      <c r="L838" s="32" t="inlineStr">
        <is>
          <t>자본 [구성요소]|지배기업의 소유주에게 귀속되는 지분 [구성요소]|자본금 [구성요소]</t>
        </is>
      </c>
      <c r="M838" s="32" t="inlineStr">
        <is>
          <t>제 52 기</t>
        </is>
      </c>
      <c r="N838" s="32" t="inlineStr">
        <is>
          <t>0.0</t>
        </is>
      </c>
      <c r="O838" s="32" t="inlineStr">
        <is>
          <t>0.0</t>
        </is>
      </c>
      <c r="P838" s="32" t="inlineStr">
        <is>
          <t>KRW</t>
        </is>
      </c>
      <c r="Q838" s="32" t="inlineStr">
        <is>
          <t>11</t>
        </is>
      </c>
    </row>
    <row r="839" ht="24" customHeight="1">
      <c r="A839" s="27" t="inlineStr">
        <is>
          <t>OpenDART_fnlttSinglAcntAll</t>
        </is>
      </c>
      <c r="B839" s="27" t="inlineStr">
        <is>
          <t>00118804</t>
        </is>
      </c>
      <c r="C839" s="27" t="inlineStr">
        <is>
          <t>동진쎄미켐</t>
        </is>
      </c>
      <c r="D839" s="27" t="inlineStr">
        <is>
          <t>dongjin_semichem</t>
        </is>
      </c>
      <c r="E839" s="27" t="inlineStr">
        <is>
          <t>005290</t>
        </is>
      </c>
      <c r="F839" s="27" t="inlineStr">
        <is>
          <t>2024</t>
        </is>
      </c>
      <c r="G839" s="27" t="inlineStr">
        <is>
          <t>CFS</t>
        </is>
      </c>
      <c r="H839" s="27" t="inlineStr">
        <is>
          <t>SCE</t>
        </is>
      </c>
      <c r="I839" s="27" t="inlineStr">
        <is>
          <t>자본변동표</t>
        </is>
      </c>
      <c r="J839" s="27" t="inlineStr">
        <is>
          <t>ifrs-full_OtherComprehensiveIncomeNetOfTaxGainsLossesOnRemeasurementsOfDefinedBenefitPlans</t>
        </is>
      </c>
      <c r="K839" s="27" t="inlineStr">
        <is>
          <t>순확정급여부채 재측정요소</t>
        </is>
      </c>
      <c r="L839" s="27" t="inlineStr">
        <is>
          <t>자본 [구성요소]|지배기업의 소유주에게 귀속되는 지분 [구성요소]|이익잉여금 [구성요소]</t>
        </is>
      </c>
      <c r="M839" s="27" t="inlineStr">
        <is>
          <t>제 52 기</t>
        </is>
      </c>
      <c r="N839" s="27" t="inlineStr">
        <is>
          <t>-2050514158.0</t>
        </is>
      </c>
      <c r="O839" s="27" t="inlineStr">
        <is>
          <t>-12654329471.0</t>
        </is>
      </c>
      <c r="P839" s="27" t="inlineStr">
        <is>
          <t>KRW</t>
        </is>
      </c>
      <c r="Q839" s="27" t="inlineStr">
        <is>
          <t>11</t>
        </is>
      </c>
    </row>
    <row r="840" ht="24" customHeight="1">
      <c r="A840" s="32" t="inlineStr">
        <is>
          <t>OpenDART_fnlttSinglAcntAll</t>
        </is>
      </c>
      <c r="B840" s="32" t="inlineStr">
        <is>
          <t>00118804</t>
        </is>
      </c>
      <c r="C840" s="32" t="inlineStr">
        <is>
          <t>동진쎄미켐</t>
        </is>
      </c>
      <c r="D840" s="32" t="inlineStr">
        <is>
          <t>dongjin_semichem</t>
        </is>
      </c>
      <c r="E840" s="32" t="inlineStr">
        <is>
          <t>005290</t>
        </is>
      </c>
      <c r="F840" s="32" t="inlineStr">
        <is>
          <t>2024</t>
        </is>
      </c>
      <c r="G840" s="32" t="inlineStr">
        <is>
          <t>CFS</t>
        </is>
      </c>
      <c r="H840" s="32" t="inlineStr">
        <is>
          <t>SCE</t>
        </is>
      </c>
      <c r="I840" s="32" t="inlineStr">
        <is>
          <t>자본변동표</t>
        </is>
      </c>
      <c r="J840" s="32" t="inlineStr">
        <is>
          <t>ifrs-full_OtherComprehensiveIncomeNetOfTaxGainsLossesOnRemeasurementsOfDefinedBenefitPlans</t>
        </is>
      </c>
      <c r="K840" s="32" t="inlineStr">
        <is>
          <t>순확정급여부채 재측정요소</t>
        </is>
      </c>
      <c r="L840" s="32" t="inlineStr">
        <is>
          <t>자본 [구성요소]|지배기업의 소유주에게 귀속되는 지분 [구성요소]|기타자본구성요소 [구성요소]</t>
        </is>
      </c>
      <c r="M840" s="32" t="inlineStr">
        <is>
          <t>제 52 기</t>
        </is>
      </c>
      <c r="N840" s="32" t="inlineStr">
        <is>
          <t>0.0</t>
        </is>
      </c>
      <c r="O840" s="32" t="inlineStr">
        <is>
          <t>0.0</t>
        </is>
      </c>
      <c r="P840" s="32" t="inlineStr">
        <is>
          <t>KRW</t>
        </is>
      </c>
      <c r="Q840" s="32" t="inlineStr">
        <is>
          <t>11</t>
        </is>
      </c>
    </row>
    <row r="841" ht="24" customHeight="1">
      <c r="A841" s="27" t="inlineStr">
        <is>
          <t>OpenDART_fnlttSinglAcntAll</t>
        </is>
      </c>
      <c r="B841" s="27" t="inlineStr">
        <is>
          <t>00118804</t>
        </is>
      </c>
      <c r="C841" s="27" t="inlineStr">
        <is>
          <t>동진쎄미켐</t>
        </is>
      </c>
      <c r="D841" s="27" t="inlineStr">
        <is>
          <t>dongjin_semichem</t>
        </is>
      </c>
      <c r="E841" s="27" t="inlineStr">
        <is>
          <t>005290</t>
        </is>
      </c>
      <c r="F841" s="27" t="inlineStr">
        <is>
          <t>2024</t>
        </is>
      </c>
      <c r="G841" s="27" t="inlineStr">
        <is>
          <t>CFS</t>
        </is>
      </c>
      <c r="H841" s="27" t="inlineStr">
        <is>
          <t>SCE</t>
        </is>
      </c>
      <c r="I841" s="27" t="inlineStr">
        <is>
          <t>자본변동표</t>
        </is>
      </c>
      <c r="J841" s="27" t="inlineStr">
        <is>
          <t>ifrs-full_OtherComprehensiveIncomeNetOfTaxGainsLossesOnRemeasurementsOfDefinedBenefitPlans</t>
        </is>
      </c>
      <c r="K841" s="27" t="inlineStr">
        <is>
          <t>순확정급여부채 재측정요소</t>
        </is>
      </c>
      <c r="L841" s="27" t="inlineStr">
        <is>
          <t>자본 [구성요소]|지배기업의 소유주에게 귀속되는 지분 [구성요소]|추가납입자본 [구성요소]</t>
        </is>
      </c>
      <c r="M841" s="27" t="inlineStr">
        <is>
          <t>제 52 기</t>
        </is>
      </c>
      <c r="N841" s="27" t="inlineStr">
        <is>
          <t>0.0</t>
        </is>
      </c>
      <c r="O841" s="27" t="inlineStr">
        <is>
          <t>0.0</t>
        </is>
      </c>
      <c r="P841" s="27" t="inlineStr">
        <is>
          <t>KRW</t>
        </is>
      </c>
      <c r="Q841" s="27" t="inlineStr">
        <is>
          <t>11</t>
        </is>
      </c>
    </row>
    <row r="842" ht="24" customHeight="1">
      <c r="A842" s="32" t="inlineStr">
        <is>
          <t>OpenDART_fnlttSinglAcntAll</t>
        </is>
      </c>
      <c r="B842" s="32" t="inlineStr">
        <is>
          <t>00118804</t>
        </is>
      </c>
      <c r="C842" s="32" t="inlineStr">
        <is>
          <t>동진쎄미켐</t>
        </is>
      </c>
      <c r="D842" s="32" t="inlineStr">
        <is>
          <t>dongjin_semichem</t>
        </is>
      </c>
      <c r="E842" s="32" t="inlineStr">
        <is>
          <t>005290</t>
        </is>
      </c>
      <c r="F842" s="32" t="inlineStr">
        <is>
          <t>2024</t>
        </is>
      </c>
      <c r="G842" s="32" t="inlineStr">
        <is>
          <t>CFS</t>
        </is>
      </c>
      <c r="H842" s="32" t="inlineStr">
        <is>
          <t>SCE</t>
        </is>
      </c>
      <c r="I842" s="32" t="inlineStr">
        <is>
          <t>자본변동표</t>
        </is>
      </c>
      <c r="J842" s="32" t="inlineStr">
        <is>
          <t>ifrs-full_ProfitLoss</t>
        </is>
      </c>
      <c r="K842" s="32" t="inlineStr">
        <is>
          <t>당기순이익</t>
        </is>
      </c>
      <c r="L842" s="32" t="inlineStr">
        <is>
          <t>자본 [구성요소]|비지배지분 [구성요소]</t>
        </is>
      </c>
      <c r="M842" s="32" t="inlineStr">
        <is>
          <t>제 52 기</t>
        </is>
      </c>
      <c r="N842" s="32" t="inlineStr">
        <is>
          <t>-11297349941.0</t>
        </is>
      </c>
      <c r="O842" s="32" t="inlineStr">
        <is>
          <t>-3780490219.0</t>
        </is>
      </c>
      <c r="P842" s="32" t="inlineStr">
        <is>
          <t>KRW</t>
        </is>
      </c>
      <c r="Q842" s="32" t="inlineStr">
        <is>
          <t>12</t>
        </is>
      </c>
    </row>
    <row r="843" ht="24" customHeight="1">
      <c r="A843" s="27" t="inlineStr">
        <is>
          <t>OpenDART_fnlttSinglAcntAll</t>
        </is>
      </c>
      <c r="B843" s="27" t="inlineStr">
        <is>
          <t>00118804</t>
        </is>
      </c>
      <c r="C843" s="27" t="inlineStr">
        <is>
          <t>동진쎄미켐</t>
        </is>
      </c>
      <c r="D843" s="27" t="inlineStr">
        <is>
          <t>dongjin_semichem</t>
        </is>
      </c>
      <c r="E843" s="27" t="inlineStr">
        <is>
          <t>005290</t>
        </is>
      </c>
      <c r="F843" s="27" t="inlineStr">
        <is>
          <t>2024</t>
        </is>
      </c>
      <c r="G843" s="27" t="inlineStr">
        <is>
          <t>CFS</t>
        </is>
      </c>
      <c r="H843" s="27" t="inlineStr">
        <is>
          <t>SCE</t>
        </is>
      </c>
      <c r="I843" s="27" t="inlineStr">
        <is>
          <t>자본변동표</t>
        </is>
      </c>
      <c r="J843" s="27" t="inlineStr">
        <is>
          <t>ifrs-full_ProfitLoss</t>
        </is>
      </c>
      <c r="K843" s="27" t="inlineStr">
        <is>
          <t>당기순이익</t>
        </is>
      </c>
      <c r="L843" s="27" t="inlineStr">
        <is>
          <t>자본 [구성요소]|지배기업의 소유주에게 귀속되는 지분 [구성요소]</t>
        </is>
      </c>
      <c r="M843" s="27" t="inlineStr">
        <is>
          <t>제 52 기</t>
        </is>
      </c>
      <c r="N843" s="27" t="inlineStr">
        <is>
          <t>154781909686.0</t>
        </is>
      </c>
      <c r="O843" s="27" t="inlineStr">
        <is>
          <t>127314850805.0</t>
        </is>
      </c>
      <c r="P843" s="27" t="inlineStr">
        <is>
          <t>KRW</t>
        </is>
      </c>
      <c r="Q843" s="27" t="inlineStr">
        <is>
          <t>12</t>
        </is>
      </c>
    </row>
    <row r="844" ht="24" customHeight="1">
      <c r="A844" s="32" t="inlineStr">
        <is>
          <t>OpenDART_fnlttSinglAcntAll</t>
        </is>
      </c>
      <c r="B844" s="32" t="inlineStr">
        <is>
          <t>00118804</t>
        </is>
      </c>
      <c r="C844" s="32" t="inlineStr">
        <is>
          <t>동진쎄미켐</t>
        </is>
      </c>
      <c r="D844" s="32" t="inlineStr">
        <is>
          <t>dongjin_semichem</t>
        </is>
      </c>
      <c r="E844" s="32" t="inlineStr">
        <is>
          <t>005290</t>
        </is>
      </c>
      <c r="F844" s="32" t="inlineStr">
        <is>
          <t>2024</t>
        </is>
      </c>
      <c r="G844" s="32" t="inlineStr">
        <is>
          <t>CFS</t>
        </is>
      </c>
      <c r="H844" s="32" t="inlineStr">
        <is>
          <t>SCE</t>
        </is>
      </c>
      <c r="I844" s="32" t="inlineStr">
        <is>
          <t>자본변동표</t>
        </is>
      </c>
      <c r="J844" s="32" t="inlineStr">
        <is>
          <t>ifrs-full_ProfitLoss</t>
        </is>
      </c>
      <c r="K844" s="32" t="inlineStr">
        <is>
          <t>당기순이익</t>
        </is>
      </c>
      <c r="L844" s="32" t="inlineStr">
        <is>
          <t>자본 [구성요소]|지배기업의 소유주에게 귀속되는 지분 [구성요소]|기타자본구성요소 [구성요소]</t>
        </is>
      </c>
      <c r="M844" s="32" t="inlineStr">
        <is>
          <t>제 52 기</t>
        </is>
      </c>
      <c r="N844" s="32" t="inlineStr">
        <is>
          <t>0.0</t>
        </is>
      </c>
      <c r="O844" s="32" t="inlineStr">
        <is>
          <t>0.0</t>
        </is>
      </c>
      <c r="P844" s="32" t="inlineStr">
        <is>
          <t>KRW</t>
        </is>
      </c>
      <c r="Q844" s="32" t="inlineStr">
        <is>
          <t>12</t>
        </is>
      </c>
    </row>
    <row r="845" ht="24" customHeight="1">
      <c r="A845" s="27" t="inlineStr">
        <is>
          <t>OpenDART_fnlttSinglAcntAll</t>
        </is>
      </c>
      <c r="B845" s="27" t="inlineStr">
        <is>
          <t>00118804</t>
        </is>
      </c>
      <c r="C845" s="27" t="inlineStr">
        <is>
          <t>동진쎄미켐</t>
        </is>
      </c>
      <c r="D845" s="27" t="inlineStr">
        <is>
          <t>dongjin_semichem</t>
        </is>
      </c>
      <c r="E845" s="27" t="inlineStr">
        <is>
          <t>005290</t>
        </is>
      </c>
      <c r="F845" s="27" t="inlineStr">
        <is>
          <t>2024</t>
        </is>
      </c>
      <c r="G845" s="27" t="inlineStr">
        <is>
          <t>CFS</t>
        </is>
      </c>
      <c r="H845" s="27" t="inlineStr">
        <is>
          <t>SCE</t>
        </is>
      </c>
      <c r="I845" s="27" t="inlineStr">
        <is>
          <t>자본변동표</t>
        </is>
      </c>
      <c r="J845" s="27" t="inlineStr">
        <is>
          <t>ifrs-full_ProfitLoss</t>
        </is>
      </c>
      <c r="K845" s="27" t="inlineStr">
        <is>
          <t>당기순이익</t>
        </is>
      </c>
      <c r="L845" s="27" t="inlineStr">
        <is>
          <t>자본 [구성요소]|지배기업의 소유주에게 귀속되는 지분 [구성요소]|이익잉여금 [구성요소]</t>
        </is>
      </c>
      <c r="M845" s="27" t="inlineStr">
        <is>
          <t>제 52 기</t>
        </is>
      </c>
      <c r="N845" s="27" t="inlineStr">
        <is>
          <t>154781909686.0</t>
        </is>
      </c>
      <c r="O845" s="27" t="inlineStr">
        <is>
          <t>127314850805.0</t>
        </is>
      </c>
      <c r="P845" s="27" t="inlineStr">
        <is>
          <t>KRW</t>
        </is>
      </c>
      <c r="Q845" s="27" t="inlineStr">
        <is>
          <t>12</t>
        </is>
      </c>
    </row>
    <row r="846" ht="24" customHeight="1">
      <c r="A846" s="32" t="inlineStr">
        <is>
          <t>OpenDART_fnlttSinglAcntAll</t>
        </is>
      </c>
      <c r="B846" s="32" t="inlineStr">
        <is>
          <t>00118804</t>
        </is>
      </c>
      <c r="C846" s="32" t="inlineStr">
        <is>
          <t>동진쎄미켐</t>
        </is>
      </c>
      <c r="D846" s="32" t="inlineStr">
        <is>
          <t>dongjin_semichem</t>
        </is>
      </c>
      <c r="E846" s="32" t="inlineStr">
        <is>
          <t>005290</t>
        </is>
      </c>
      <c r="F846" s="32" t="inlineStr">
        <is>
          <t>2024</t>
        </is>
      </c>
      <c r="G846" s="32" t="inlineStr">
        <is>
          <t>CFS</t>
        </is>
      </c>
      <c r="H846" s="32" t="inlineStr">
        <is>
          <t>SCE</t>
        </is>
      </c>
      <c r="I846" s="32" t="inlineStr">
        <is>
          <t>자본변동표</t>
        </is>
      </c>
      <c r="J846" s="32" t="inlineStr">
        <is>
          <t>ifrs-full_ProfitLoss</t>
        </is>
      </c>
      <c r="K846" s="32" t="inlineStr">
        <is>
          <t>당기순이익</t>
        </is>
      </c>
      <c r="L846" s="32" t="inlineStr">
        <is>
          <t>자본 [구성요소]|지배기업의 소유주에게 귀속되는 지분 [구성요소]|자본금 [구성요소]</t>
        </is>
      </c>
      <c r="M846" s="32" t="inlineStr">
        <is>
          <t>제 52 기</t>
        </is>
      </c>
      <c r="N846" s="32" t="inlineStr">
        <is>
          <t>0.0</t>
        </is>
      </c>
      <c r="O846" s="32" t="inlineStr">
        <is>
          <t>0.0</t>
        </is>
      </c>
      <c r="P846" s="32" t="inlineStr">
        <is>
          <t>KRW</t>
        </is>
      </c>
      <c r="Q846" s="32" t="inlineStr">
        <is>
          <t>12</t>
        </is>
      </c>
    </row>
    <row r="847" ht="24" customHeight="1">
      <c r="A847" s="27" t="inlineStr">
        <is>
          <t>OpenDART_fnlttSinglAcntAll</t>
        </is>
      </c>
      <c r="B847" s="27" t="inlineStr">
        <is>
          <t>00118804</t>
        </is>
      </c>
      <c r="C847" s="27" t="inlineStr">
        <is>
          <t>동진쎄미켐</t>
        </is>
      </c>
      <c r="D847" s="27" t="inlineStr">
        <is>
          <t>dongjin_semichem</t>
        </is>
      </c>
      <c r="E847" s="27" t="inlineStr">
        <is>
          <t>005290</t>
        </is>
      </c>
      <c r="F847" s="27" t="inlineStr">
        <is>
          <t>2024</t>
        </is>
      </c>
      <c r="G847" s="27" t="inlineStr">
        <is>
          <t>CFS</t>
        </is>
      </c>
      <c r="H847" s="27" t="inlineStr">
        <is>
          <t>SCE</t>
        </is>
      </c>
      <c r="I847" s="27" t="inlineStr">
        <is>
          <t>자본변동표</t>
        </is>
      </c>
      <c r="J847" s="27" t="inlineStr">
        <is>
          <t>ifrs-full_ProfitLoss</t>
        </is>
      </c>
      <c r="K847" s="27" t="inlineStr">
        <is>
          <t>당기순이익</t>
        </is>
      </c>
      <c r="L847" s="27" t="inlineStr">
        <is>
          <t>자본 [구성요소]|지배기업의 소유주에게 귀속되는 지분 [구성요소]|추가납입자본 [구성요소]</t>
        </is>
      </c>
      <c r="M847" s="27" t="inlineStr">
        <is>
          <t>제 52 기</t>
        </is>
      </c>
      <c r="N847" s="27" t="inlineStr">
        <is>
          <t>0.0</t>
        </is>
      </c>
      <c r="O847" s="27" t="inlineStr">
        <is>
          <t>0.0</t>
        </is>
      </c>
      <c r="P847" s="27" t="inlineStr">
        <is>
          <t>KRW</t>
        </is>
      </c>
      <c r="Q847" s="27" t="inlineStr">
        <is>
          <t>12</t>
        </is>
      </c>
    </row>
    <row r="848" ht="24" customHeight="1">
      <c r="A848" s="32" t="inlineStr">
        <is>
          <t>OpenDART_fnlttSinglAcntAll</t>
        </is>
      </c>
      <c r="B848" s="32" t="inlineStr">
        <is>
          <t>00118804</t>
        </is>
      </c>
      <c r="C848" s="32" t="inlineStr">
        <is>
          <t>동진쎄미켐</t>
        </is>
      </c>
      <c r="D848" s="32" t="inlineStr">
        <is>
          <t>dongjin_semichem</t>
        </is>
      </c>
      <c r="E848" s="32" t="inlineStr">
        <is>
          <t>005290</t>
        </is>
      </c>
      <c r="F848" s="32" t="inlineStr">
        <is>
          <t>2024</t>
        </is>
      </c>
      <c r="G848" s="32" t="inlineStr">
        <is>
          <t>CFS</t>
        </is>
      </c>
      <c r="H848" s="32" t="inlineStr">
        <is>
          <t>SCE</t>
        </is>
      </c>
      <c r="I848" s="32" t="inlineStr">
        <is>
          <t>자본변동표</t>
        </is>
      </c>
      <c r="J848" s="32" t="inlineStr">
        <is>
          <t>ifrs-full_ProfitLoss</t>
        </is>
      </c>
      <c r="K848" s="32" t="inlineStr">
        <is>
          <t>당기순이익</t>
        </is>
      </c>
      <c r="L848" s="32" t="inlineStr">
        <is>
          <t>연결재무제표 [member]</t>
        </is>
      </c>
      <c r="M848" s="32" t="inlineStr">
        <is>
          <t>제 52 기</t>
        </is>
      </c>
      <c r="N848" s="32" t="inlineStr">
        <is>
          <t>143484559745.0</t>
        </is>
      </c>
      <c r="O848" s="32" t="inlineStr">
        <is>
          <t>123534360586.0</t>
        </is>
      </c>
      <c r="P848" s="32" t="inlineStr">
        <is>
          <t>KRW</t>
        </is>
      </c>
      <c r="Q848" s="32" t="inlineStr">
        <is>
          <t>12</t>
        </is>
      </c>
    </row>
    <row r="849" ht="24" customHeight="1">
      <c r="A849" s="27" t="inlineStr">
        <is>
          <t>OpenDART_fnlttSinglAcntAll</t>
        </is>
      </c>
      <c r="B849" s="27" t="inlineStr">
        <is>
          <t>00118804</t>
        </is>
      </c>
      <c r="C849" s="27" t="inlineStr">
        <is>
          <t>동진쎄미켐</t>
        </is>
      </c>
      <c r="D849" s="27" t="inlineStr">
        <is>
          <t>dongjin_semichem</t>
        </is>
      </c>
      <c r="E849" s="27" t="inlineStr">
        <is>
          <t>005290</t>
        </is>
      </c>
      <c r="F849" s="27" t="inlineStr">
        <is>
          <t>2024</t>
        </is>
      </c>
      <c r="G849" s="27" t="inlineStr">
        <is>
          <t>CFS</t>
        </is>
      </c>
      <c r="H849" s="27" t="inlineStr">
        <is>
          <t>SCE</t>
        </is>
      </c>
      <c r="I849" s="27" t="inlineStr">
        <is>
          <t>자본변동표</t>
        </is>
      </c>
      <c r="J849" s="27" t="inlineStr">
        <is>
          <t>ifrs-full_ShareOfOtherComprehensiveIncomeOfAssociatesAndJointVenturesAccountedForUsingEquityMethod</t>
        </is>
      </c>
      <c r="K849" s="27" t="inlineStr">
        <is>
          <t>관계기업 기타포괄손익에 대한 지분</t>
        </is>
      </c>
      <c r="L849" s="27" t="inlineStr">
        <is>
          <t>연결재무제표 [member]</t>
        </is>
      </c>
      <c r="M849" s="27" t="inlineStr">
        <is>
          <t>제 52 기</t>
        </is>
      </c>
      <c r="N849" s="27" t="inlineStr">
        <is>
          <t>9724414.0</t>
        </is>
      </c>
      <c r="O849" s="27" t="inlineStr">
        <is>
          <t>44914905.0</t>
        </is>
      </c>
      <c r="P849" s="27" t="inlineStr">
        <is>
          <t>KRW</t>
        </is>
      </c>
      <c r="Q849" s="27" t="inlineStr">
        <is>
          <t>13</t>
        </is>
      </c>
    </row>
    <row r="850" ht="24" customHeight="1">
      <c r="A850" s="32" t="inlineStr">
        <is>
          <t>OpenDART_fnlttSinglAcntAll</t>
        </is>
      </c>
      <c r="B850" s="32" t="inlineStr">
        <is>
          <t>00118804</t>
        </is>
      </c>
      <c r="C850" s="32" t="inlineStr">
        <is>
          <t>동진쎄미켐</t>
        </is>
      </c>
      <c r="D850" s="32" t="inlineStr">
        <is>
          <t>dongjin_semichem</t>
        </is>
      </c>
      <c r="E850" s="32" t="inlineStr">
        <is>
          <t>005290</t>
        </is>
      </c>
      <c r="F850" s="32" t="inlineStr">
        <is>
          <t>2024</t>
        </is>
      </c>
      <c r="G850" s="32" t="inlineStr">
        <is>
          <t>CFS</t>
        </is>
      </c>
      <c r="H850" s="32" t="inlineStr">
        <is>
          <t>SCE</t>
        </is>
      </c>
      <c r="I850" s="32" t="inlineStr">
        <is>
          <t>자본변동표</t>
        </is>
      </c>
      <c r="J850" s="32" t="inlineStr">
        <is>
          <t>ifrs-full_ShareOfOtherComprehensiveIncomeOfAssociatesAndJointVenturesAccountedForUsingEquityMethod</t>
        </is>
      </c>
      <c r="K850" s="32" t="inlineStr">
        <is>
          <t>관계기업 기타포괄손익에 대한 지분</t>
        </is>
      </c>
      <c r="L850" s="32" t="inlineStr">
        <is>
          <t>자본 [구성요소]|비지배지분 [구성요소]</t>
        </is>
      </c>
      <c r="M850" s="32" t="inlineStr">
        <is>
          <t>제 52 기</t>
        </is>
      </c>
      <c r="N850" s="32" t="inlineStr">
        <is>
          <t>0.0</t>
        </is>
      </c>
      <c r="O850" s="32" t="inlineStr">
        <is>
          <t>0.0</t>
        </is>
      </c>
      <c r="P850" s="32" t="inlineStr">
        <is>
          <t>KRW</t>
        </is>
      </c>
      <c r="Q850" s="32" t="inlineStr">
        <is>
          <t>13</t>
        </is>
      </c>
    </row>
    <row r="851" ht="24" customHeight="1">
      <c r="A851" s="27" t="inlineStr">
        <is>
          <t>OpenDART_fnlttSinglAcntAll</t>
        </is>
      </c>
      <c r="B851" s="27" t="inlineStr">
        <is>
          <t>00118804</t>
        </is>
      </c>
      <c r="C851" s="27" t="inlineStr">
        <is>
          <t>동진쎄미켐</t>
        </is>
      </c>
      <c r="D851" s="27" t="inlineStr">
        <is>
          <t>dongjin_semichem</t>
        </is>
      </c>
      <c r="E851" s="27" t="inlineStr">
        <is>
          <t>005290</t>
        </is>
      </c>
      <c r="F851" s="27" t="inlineStr">
        <is>
          <t>2024</t>
        </is>
      </c>
      <c r="G851" s="27" t="inlineStr">
        <is>
          <t>CFS</t>
        </is>
      </c>
      <c r="H851" s="27" t="inlineStr">
        <is>
          <t>SCE</t>
        </is>
      </c>
      <c r="I851" s="27" t="inlineStr">
        <is>
          <t>자본변동표</t>
        </is>
      </c>
      <c r="J851" s="27" t="inlineStr">
        <is>
          <t>ifrs-full_ShareOfOtherComprehensiveIncomeOfAssociatesAndJointVenturesAccountedForUsingEquityMethod</t>
        </is>
      </c>
      <c r="K851" s="27" t="inlineStr">
        <is>
          <t>관계기업 기타포괄손익에 대한 지분</t>
        </is>
      </c>
      <c r="L851" s="27" t="inlineStr">
        <is>
          <t>자본 [구성요소]|지배기업의 소유주에게 귀속되는 지분 [구성요소]</t>
        </is>
      </c>
      <c r="M851" s="27" t="inlineStr">
        <is>
          <t>제 52 기</t>
        </is>
      </c>
      <c r="N851" s="27" t="inlineStr">
        <is>
          <t>9724414.0</t>
        </is>
      </c>
      <c r="O851" s="27" t="inlineStr">
        <is>
          <t>44914905.0</t>
        </is>
      </c>
      <c r="P851" s="27" t="inlineStr">
        <is>
          <t>KRW</t>
        </is>
      </c>
      <c r="Q851" s="27" t="inlineStr">
        <is>
          <t>13</t>
        </is>
      </c>
    </row>
    <row r="852" ht="24" customHeight="1">
      <c r="A852" s="32" t="inlineStr">
        <is>
          <t>OpenDART_fnlttSinglAcntAll</t>
        </is>
      </c>
      <c r="B852" s="32" t="inlineStr">
        <is>
          <t>00118804</t>
        </is>
      </c>
      <c r="C852" s="32" t="inlineStr">
        <is>
          <t>동진쎄미켐</t>
        </is>
      </c>
      <c r="D852" s="32" t="inlineStr">
        <is>
          <t>dongjin_semichem</t>
        </is>
      </c>
      <c r="E852" s="32" t="inlineStr">
        <is>
          <t>005290</t>
        </is>
      </c>
      <c r="F852" s="32" t="inlineStr">
        <is>
          <t>2024</t>
        </is>
      </c>
      <c r="G852" s="32" t="inlineStr">
        <is>
          <t>CFS</t>
        </is>
      </c>
      <c r="H852" s="32" t="inlineStr">
        <is>
          <t>SCE</t>
        </is>
      </c>
      <c r="I852" s="32" t="inlineStr">
        <is>
          <t>자본변동표</t>
        </is>
      </c>
      <c r="J852" s="32" t="inlineStr">
        <is>
          <t>ifrs-full_ShareOfOtherComprehensiveIncomeOfAssociatesAndJointVenturesAccountedForUsingEquityMethod</t>
        </is>
      </c>
      <c r="K852" s="32" t="inlineStr">
        <is>
          <t>관계기업 기타포괄손익에 대한 지분</t>
        </is>
      </c>
      <c r="L852" s="32" t="inlineStr">
        <is>
          <t>자본 [구성요소]|지배기업의 소유주에게 귀속되는 지분 [구성요소]|추가납입자본 [구성요소]</t>
        </is>
      </c>
      <c r="M852" s="32" t="inlineStr">
        <is>
          <t>제 52 기</t>
        </is>
      </c>
      <c r="N852" s="32" t="inlineStr">
        <is>
          <t>0.0</t>
        </is>
      </c>
      <c r="O852" s="32" t="inlineStr">
        <is>
          <t>0.0</t>
        </is>
      </c>
      <c r="P852" s="32" t="inlineStr">
        <is>
          <t>KRW</t>
        </is>
      </c>
      <c r="Q852" s="32" t="inlineStr">
        <is>
          <t>13</t>
        </is>
      </c>
    </row>
    <row r="853" ht="24" customHeight="1">
      <c r="A853" s="27" t="inlineStr">
        <is>
          <t>OpenDART_fnlttSinglAcntAll</t>
        </is>
      </c>
      <c r="B853" s="27" t="inlineStr">
        <is>
          <t>00118804</t>
        </is>
      </c>
      <c r="C853" s="27" t="inlineStr">
        <is>
          <t>동진쎄미켐</t>
        </is>
      </c>
      <c r="D853" s="27" t="inlineStr">
        <is>
          <t>dongjin_semichem</t>
        </is>
      </c>
      <c r="E853" s="27" t="inlineStr">
        <is>
          <t>005290</t>
        </is>
      </c>
      <c r="F853" s="27" t="inlineStr">
        <is>
          <t>2024</t>
        </is>
      </c>
      <c r="G853" s="27" t="inlineStr">
        <is>
          <t>CFS</t>
        </is>
      </c>
      <c r="H853" s="27" t="inlineStr">
        <is>
          <t>SCE</t>
        </is>
      </c>
      <c r="I853" s="27" t="inlineStr">
        <is>
          <t>자본변동표</t>
        </is>
      </c>
      <c r="J853" s="27" t="inlineStr">
        <is>
          <t>ifrs-full_ShareOfOtherComprehensiveIncomeOfAssociatesAndJointVenturesAccountedForUsingEquityMethod</t>
        </is>
      </c>
      <c r="K853" s="27" t="inlineStr">
        <is>
          <t>관계기업 기타포괄손익에 대한 지분</t>
        </is>
      </c>
      <c r="L853" s="27" t="inlineStr">
        <is>
          <t>자본 [구성요소]|지배기업의 소유주에게 귀속되는 지분 [구성요소]|이익잉여금 [구성요소]</t>
        </is>
      </c>
      <c r="M853" s="27" t="inlineStr">
        <is>
          <t>제 52 기</t>
        </is>
      </c>
      <c r="N853" s="27" t="inlineStr">
        <is>
          <t>0.0</t>
        </is>
      </c>
      <c r="O853" s="27" t="inlineStr">
        <is>
          <t>0.0</t>
        </is>
      </c>
      <c r="P853" s="27" t="inlineStr">
        <is>
          <t>KRW</t>
        </is>
      </c>
      <c r="Q853" s="27" t="inlineStr">
        <is>
          <t>13</t>
        </is>
      </c>
    </row>
    <row r="854" ht="24" customHeight="1">
      <c r="A854" s="32" t="inlineStr">
        <is>
          <t>OpenDART_fnlttSinglAcntAll</t>
        </is>
      </c>
      <c r="B854" s="32" t="inlineStr">
        <is>
          <t>00118804</t>
        </is>
      </c>
      <c r="C854" s="32" t="inlineStr">
        <is>
          <t>동진쎄미켐</t>
        </is>
      </c>
      <c r="D854" s="32" t="inlineStr">
        <is>
          <t>dongjin_semichem</t>
        </is>
      </c>
      <c r="E854" s="32" t="inlineStr">
        <is>
          <t>005290</t>
        </is>
      </c>
      <c r="F854" s="32" t="inlineStr">
        <is>
          <t>2024</t>
        </is>
      </c>
      <c r="G854" s="32" t="inlineStr">
        <is>
          <t>CFS</t>
        </is>
      </c>
      <c r="H854" s="32" t="inlineStr">
        <is>
          <t>SCE</t>
        </is>
      </c>
      <c r="I854" s="32" t="inlineStr">
        <is>
          <t>자본변동표</t>
        </is>
      </c>
      <c r="J854" s="32" t="inlineStr">
        <is>
          <t>ifrs-full_ShareOfOtherComprehensiveIncomeOfAssociatesAndJointVenturesAccountedForUsingEquityMethod</t>
        </is>
      </c>
      <c r="K854" s="32" t="inlineStr">
        <is>
          <t>관계기업 기타포괄손익에 대한 지분</t>
        </is>
      </c>
      <c r="L854" s="32" t="inlineStr">
        <is>
          <t>자본 [구성요소]|지배기업의 소유주에게 귀속되는 지분 [구성요소]|자본금 [구성요소]</t>
        </is>
      </c>
      <c r="M854" s="32" t="inlineStr">
        <is>
          <t>제 52 기</t>
        </is>
      </c>
      <c r="N854" s="32" t="inlineStr">
        <is>
          <t>0.0</t>
        </is>
      </c>
      <c r="O854" s="32" t="inlineStr">
        <is>
          <t>0.0</t>
        </is>
      </c>
      <c r="P854" s="32" t="inlineStr">
        <is>
          <t>KRW</t>
        </is>
      </c>
      <c r="Q854" s="32" t="inlineStr">
        <is>
          <t>13</t>
        </is>
      </c>
    </row>
    <row r="855" ht="24" customHeight="1">
      <c r="A855" s="27" t="inlineStr">
        <is>
          <t>OpenDART_fnlttSinglAcntAll</t>
        </is>
      </c>
      <c r="B855" s="27" t="inlineStr">
        <is>
          <t>00118804</t>
        </is>
      </c>
      <c r="C855" s="27" t="inlineStr">
        <is>
          <t>동진쎄미켐</t>
        </is>
      </c>
      <c r="D855" s="27" t="inlineStr">
        <is>
          <t>dongjin_semichem</t>
        </is>
      </c>
      <c r="E855" s="27" t="inlineStr">
        <is>
          <t>005290</t>
        </is>
      </c>
      <c r="F855" s="27" t="inlineStr">
        <is>
          <t>2024</t>
        </is>
      </c>
      <c r="G855" s="27" t="inlineStr">
        <is>
          <t>CFS</t>
        </is>
      </c>
      <c r="H855" s="27" t="inlineStr">
        <is>
          <t>SCE</t>
        </is>
      </c>
      <c r="I855" s="27" t="inlineStr">
        <is>
          <t>자본변동표</t>
        </is>
      </c>
      <c r="J855" s="27" t="inlineStr">
        <is>
          <t>ifrs-full_ShareOfOtherComprehensiveIncomeOfAssociatesAndJointVenturesAccountedForUsingEquityMethod</t>
        </is>
      </c>
      <c r="K855" s="27" t="inlineStr">
        <is>
          <t>관계기업 기타포괄손익에 대한 지분</t>
        </is>
      </c>
      <c r="L855" s="27" t="inlineStr">
        <is>
          <t>자본 [구성요소]|지배기업의 소유주에게 귀속되는 지분 [구성요소]|기타자본구성요소 [구성요소]</t>
        </is>
      </c>
      <c r="M855" s="27" t="inlineStr">
        <is>
          <t>제 52 기</t>
        </is>
      </c>
      <c r="N855" s="27" t="inlineStr">
        <is>
          <t>9724414.0</t>
        </is>
      </c>
      <c r="O855" s="27" t="inlineStr">
        <is>
          <t>44914905.0</t>
        </is>
      </c>
      <c r="P855" s="27" t="inlineStr">
        <is>
          <t>KRW</t>
        </is>
      </c>
      <c r="Q855" s="27" t="inlineStr">
        <is>
          <t>13</t>
        </is>
      </c>
    </row>
    <row r="856" ht="24" customHeight="1">
      <c r="A856" s="32" t="inlineStr">
        <is>
          <t>OpenDART_fnlttSinglAcntAll</t>
        </is>
      </c>
      <c r="B856" s="32" t="inlineStr">
        <is>
          <t>00118804</t>
        </is>
      </c>
      <c r="C856" s="32" t="inlineStr">
        <is>
          <t>동진쎄미켐</t>
        </is>
      </c>
      <c r="D856" s="32" t="inlineStr">
        <is>
          <t>dongjin_semichem</t>
        </is>
      </c>
      <c r="E856" s="32" t="inlineStr">
        <is>
          <t>005290</t>
        </is>
      </c>
      <c r="F856" s="32" t="inlineStr">
        <is>
          <t>2025</t>
        </is>
      </c>
      <c r="G856" s="32" t="inlineStr">
        <is>
          <t>CFS</t>
        </is>
      </c>
      <c r="H856" s="32" t="inlineStr">
        <is>
          <t>BS</t>
        </is>
      </c>
      <c r="I856" s="32" t="inlineStr">
        <is>
          <t>재무상태표</t>
        </is>
      </c>
      <c r="J856" s="32" t="inlineStr">
        <is>
          <t>ifrs-full_Assets</t>
        </is>
      </c>
      <c r="K856" s="32" t="inlineStr">
        <is>
          <t>자산총계</t>
        </is>
      </c>
      <c r="L856" s="32" t="inlineStr">
        <is>
          <t>-</t>
        </is>
      </c>
      <c r="M856" s="32" t="inlineStr">
        <is>
          <t>제 53 기</t>
        </is>
      </c>
      <c r="N856" s="32" t="inlineStr">
        <is>
          <t>2006130721478.0</t>
        </is>
      </c>
      <c r="O856" s="32" t="inlineStr">
        <is>
          <t>2016989003189.0</t>
        </is>
      </c>
      <c r="P856" s="32" t="inlineStr">
        <is>
          <t>KRW</t>
        </is>
      </c>
      <c r="Q856" s="32" t="inlineStr">
        <is>
          <t>7</t>
        </is>
      </c>
    </row>
    <row r="857" ht="24" customHeight="1">
      <c r="A857" s="27" t="inlineStr">
        <is>
          <t>OpenDART_fnlttSinglAcntAll</t>
        </is>
      </c>
      <c r="B857" s="27" t="inlineStr">
        <is>
          <t>00118804</t>
        </is>
      </c>
      <c r="C857" s="27" t="inlineStr">
        <is>
          <t>동진쎄미켐</t>
        </is>
      </c>
      <c r="D857" s="27" t="inlineStr">
        <is>
          <t>dongjin_semichem</t>
        </is>
      </c>
      <c r="E857" s="27" t="inlineStr">
        <is>
          <t>005290</t>
        </is>
      </c>
      <c r="F857" s="27" t="inlineStr">
        <is>
          <t>2025</t>
        </is>
      </c>
      <c r="G857" s="27" t="inlineStr">
        <is>
          <t>CFS</t>
        </is>
      </c>
      <c r="H857" s="27" t="inlineStr">
        <is>
          <t>BS</t>
        </is>
      </c>
      <c r="I857" s="27" t="inlineStr">
        <is>
          <t>재무상태표</t>
        </is>
      </c>
      <c r="J857" s="27" t="inlineStr">
        <is>
          <t>ifrs-full_CurrentAssets</t>
        </is>
      </c>
      <c r="K857" s="27" t="inlineStr">
        <is>
          <t>유동자산</t>
        </is>
      </c>
      <c r="L857" s="27" t="inlineStr">
        <is>
          <t>-</t>
        </is>
      </c>
      <c r="M857" s="27" t="inlineStr">
        <is>
          <t>제 53 기</t>
        </is>
      </c>
      <c r="N857" s="27" t="inlineStr">
        <is>
          <t>1130911258220.0</t>
        </is>
      </c>
      <c r="O857" s="27" t="inlineStr">
        <is>
          <t>1082970678911.0</t>
        </is>
      </c>
      <c r="P857" s="27" t="inlineStr">
        <is>
          <t>KRW</t>
        </is>
      </c>
      <c r="Q857" s="27" t="inlineStr">
        <is>
          <t>8</t>
        </is>
      </c>
    </row>
    <row r="858" ht="24" customHeight="1">
      <c r="A858" s="32" t="inlineStr">
        <is>
          <t>OpenDART_fnlttSinglAcntAll</t>
        </is>
      </c>
      <c r="B858" s="32" t="inlineStr">
        <is>
          <t>00118804</t>
        </is>
      </c>
      <c r="C858" s="32" t="inlineStr">
        <is>
          <t>동진쎄미켐</t>
        </is>
      </c>
      <c r="D858" s="32" t="inlineStr">
        <is>
          <t>dongjin_semichem</t>
        </is>
      </c>
      <c r="E858" s="32" t="inlineStr">
        <is>
          <t>005290</t>
        </is>
      </c>
      <c r="F858" s="32" t="inlineStr">
        <is>
          <t>2025</t>
        </is>
      </c>
      <c r="G858" s="32" t="inlineStr">
        <is>
          <t>CFS</t>
        </is>
      </c>
      <c r="H858" s="32" t="inlineStr">
        <is>
          <t>BS</t>
        </is>
      </c>
      <c r="I858" s="32" t="inlineStr">
        <is>
          <t>재무상태표</t>
        </is>
      </c>
      <c r="J858" s="32" t="inlineStr">
        <is>
          <t>ifrs-full_CashAndCashEquivalents</t>
        </is>
      </c>
      <c r="K858" s="32" t="inlineStr">
        <is>
          <t>현금및현금성자산</t>
        </is>
      </c>
      <c r="L858" s="32" t="inlineStr">
        <is>
          <t>-</t>
        </is>
      </c>
      <c r="M858" s="32" t="inlineStr">
        <is>
          <t>제 53 기</t>
        </is>
      </c>
      <c r="N858" s="32" t="inlineStr">
        <is>
          <t>371911660277.0</t>
        </is>
      </c>
      <c r="O858" s="32" t="inlineStr">
        <is>
          <t>417387384045.0</t>
        </is>
      </c>
      <c r="P858" s="32" t="inlineStr">
        <is>
          <t>KRW</t>
        </is>
      </c>
      <c r="Q858" s="32" t="inlineStr">
        <is>
          <t>9</t>
        </is>
      </c>
    </row>
    <row r="859" ht="24" customHeight="1">
      <c r="A859" s="27" t="inlineStr">
        <is>
          <t>OpenDART_fnlttSinglAcntAll</t>
        </is>
      </c>
      <c r="B859" s="27" t="inlineStr">
        <is>
          <t>00118804</t>
        </is>
      </c>
      <c r="C859" s="27" t="inlineStr">
        <is>
          <t>동진쎄미켐</t>
        </is>
      </c>
      <c r="D859" s="27" t="inlineStr">
        <is>
          <t>dongjin_semichem</t>
        </is>
      </c>
      <c r="E859" s="27" t="inlineStr">
        <is>
          <t>005290</t>
        </is>
      </c>
      <c r="F859" s="27" t="inlineStr">
        <is>
          <t>2025</t>
        </is>
      </c>
      <c r="G859" s="27" t="inlineStr">
        <is>
          <t>CFS</t>
        </is>
      </c>
      <c r="H859" s="27" t="inlineStr">
        <is>
          <t>BS</t>
        </is>
      </c>
      <c r="I859" s="27" t="inlineStr">
        <is>
          <t>재무상태표</t>
        </is>
      </c>
      <c r="J859" s="27" t="inlineStr">
        <is>
          <t>ifrs-full_CurrentTaxAssets</t>
        </is>
      </c>
      <c r="K859" s="27" t="inlineStr">
        <is>
          <t>당기법인세자산</t>
        </is>
      </c>
      <c r="L859" s="27" t="inlineStr">
        <is>
          <t>-</t>
        </is>
      </c>
      <c r="M859" s="27" t="inlineStr">
        <is>
          <t>제 53 기</t>
        </is>
      </c>
      <c r="N859" s="27" t="inlineStr">
        <is>
          <t>95590025.0</t>
        </is>
      </c>
      <c r="O859" s="27" t="inlineStr">
        <is>
          <t>143853845.0</t>
        </is>
      </c>
      <c r="P859" s="27" t="inlineStr">
        <is>
          <t>KRW</t>
        </is>
      </c>
      <c r="Q859" s="27" t="inlineStr">
        <is>
          <t>10</t>
        </is>
      </c>
    </row>
    <row r="860" ht="24" customHeight="1">
      <c r="A860" s="32" t="inlineStr">
        <is>
          <t>OpenDART_fnlttSinglAcntAll</t>
        </is>
      </c>
      <c r="B860" s="32" t="inlineStr">
        <is>
          <t>00118804</t>
        </is>
      </c>
      <c r="C860" s="32" t="inlineStr">
        <is>
          <t>동진쎄미켐</t>
        </is>
      </c>
      <c r="D860" s="32" t="inlineStr">
        <is>
          <t>dongjin_semichem</t>
        </is>
      </c>
      <c r="E860" s="32" t="inlineStr">
        <is>
          <t>005290</t>
        </is>
      </c>
      <c r="F860" s="32" t="inlineStr">
        <is>
          <t>2025</t>
        </is>
      </c>
      <c r="G860" s="32" t="inlineStr">
        <is>
          <t>CFS</t>
        </is>
      </c>
      <c r="H860" s="32" t="inlineStr">
        <is>
          <t>BS</t>
        </is>
      </c>
      <c r="I860" s="32" t="inlineStr">
        <is>
          <t>재무상태표</t>
        </is>
      </c>
      <c r="J860" s="32" t="inlineStr">
        <is>
          <t>ifrs-full_Inventories</t>
        </is>
      </c>
      <c r="K860" s="32" t="inlineStr">
        <is>
          <t>재고자산</t>
        </is>
      </c>
      <c r="L860" s="32" t="inlineStr">
        <is>
          <t>-</t>
        </is>
      </c>
      <c r="M860" s="32" t="inlineStr">
        <is>
          <t>제 53 기</t>
        </is>
      </c>
      <c r="N860" s="32" t="inlineStr">
        <is>
          <t>194271567269.0</t>
        </is>
      </c>
      <c r="O860" s="32" t="inlineStr">
        <is>
          <t>230808121783.0</t>
        </is>
      </c>
      <c r="P860" s="32" t="inlineStr">
        <is>
          <t>KRW</t>
        </is>
      </c>
      <c r="Q860" s="32" t="inlineStr">
        <is>
          <t>11</t>
        </is>
      </c>
    </row>
    <row r="861" ht="24" customHeight="1">
      <c r="A861" s="27" t="inlineStr">
        <is>
          <t>OpenDART_fnlttSinglAcntAll</t>
        </is>
      </c>
      <c r="B861" s="27" t="inlineStr">
        <is>
          <t>00118804</t>
        </is>
      </c>
      <c r="C861" s="27" t="inlineStr">
        <is>
          <t>동진쎄미켐</t>
        </is>
      </c>
      <c r="D861" s="27" t="inlineStr">
        <is>
          <t>dongjin_semichem</t>
        </is>
      </c>
      <c r="E861" s="27" t="inlineStr">
        <is>
          <t>005290</t>
        </is>
      </c>
      <c r="F861" s="27" t="inlineStr">
        <is>
          <t>2025</t>
        </is>
      </c>
      <c r="G861" s="27" t="inlineStr">
        <is>
          <t>CFS</t>
        </is>
      </c>
      <c r="H861" s="27" t="inlineStr">
        <is>
          <t>BS</t>
        </is>
      </c>
      <c r="I861" s="27" t="inlineStr">
        <is>
          <t>재무상태표</t>
        </is>
      </c>
      <c r="J861" s="27" t="inlineStr">
        <is>
          <t>ifrs-full_NoncurrentAssetsOrDisposalGroupsClassifiedAsHeldForSaleOrAsHeldForDistributionToOwners</t>
        </is>
      </c>
      <c r="K861" s="27" t="inlineStr">
        <is>
          <t>매각예정유동자산</t>
        </is>
      </c>
      <c r="L861" s="27" t="inlineStr">
        <is>
          <t>-</t>
        </is>
      </c>
      <c r="M861" s="27" t="inlineStr">
        <is>
          <t>제 53 기</t>
        </is>
      </c>
      <c r="N861" s="27" t="inlineStr">
        <is>
          <t>335561993106.0</t>
        </is>
      </c>
      <c r="O861" s="27" t="inlineStr">
        <is>
          <t>0.0</t>
        </is>
      </c>
      <c r="P861" s="27" t="inlineStr">
        <is>
          <t>KRW</t>
        </is>
      </c>
      <c r="Q861" s="27" t="inlineStr">
        <is>
          <t>12</t>
        </is>
      </c>
    </row>
    <row r="862" ht="24" customHeight="1">
      <c r="A862" s="32" t="inlineStr">
        <is>
          <t>OpenDART_fnlttSinglAcntAll</t>
        </is>
      </c>
      <c r="B862" s="32" t="inlineStr">
        <is>
          <t>00118804</t>
        </is>
      </c>
      <c r="C862" s="32" t="inlineStr">
        <is>
          <t>동진쎄미켐</t>
        </is>
      </c>
      <c r="D862" s="32" t="inlineStr">
        <is>
          <t>dongjin_semichem</t>
        </is>
      </c>
      <c r="E862" s="32" t="inlineStr">
        <is>
          <t>005290</t>
        </is>
      </c>
      <c r="F862" s="32" t="inlineStr">
        <is>
          <t>2025</t>
        </is>
      </c>
      <c r="G862" s="32" t="inlineStr">
        <is>
          <t>CFS</t>
        </is>
      </c>
      <c r="H862" s="32" t="inlineStr">
        <is>
          <t>BS</t>
        </is>
      </c>
      <c r="I862" s="32" t="inlineStr">
        <is>
          <t>재무상태표</t>
        </is>
      </c>
      <c r="J862" s="32" t="inlineStr">
        <is>
          <t>ifrs-full_OtherCurrentAssets</t>
        </is>
      </c>
      <c r="K862" s="32" t="inlineStr">
        <is>
          <t>기타유동자산</t>
        </is>
      </c>
      <c r="L862" s="32" t="inlineStr">
        <is>
          <t>-</t>
        </is>
      </c>
      <c r="M862" s="32" t="inlineStr">
        <is>
          <t>제 53 기</t>
        </is>
      </c>
      <c r="N862" s="32" t="inlineStr">
        <is>
          <t>27610899632.0</t>
        </is>
      </c>
      <c r="O862" s="32" t="inlineStr">
        <is>
          <t>28038475206.0</t>
        </is>
      </c>
      <c r="P862" s="32" t="inlineStr">
        <is>
          <t>KRW</t>
        </is>
      </c>
      <c r="Q862" s="32" t="inlineStr">
        <is>
          <t>13</t>
        </is>
      </c>
    </row>
    <row r="863" ht="24" customHeight="1">
      <c r="A863" s="27" t="inlineStr">
        <is>
          <t>OpenDART_fnlttSinglAcntAll</t>
        </is>
      </c>
      <c r="B863" s="27" t="inlineStr">
        <is>
          <t>00118804</t>
        </is>
      </c>
      <c r="C863" s="27" t="inlineStr">
        <is>
          <t>동진쎄미켐</t>
        </is>
      </c>
      <c r="D863" s="27" t="inlineStr">
        <is>
          <t>dongjin_semichem</t>
        </is>
      </c>
      <c r="E863" s="27" t="inlineStr">
        <is>
          <t>005290</t>
        </is>
      </c>
      <c r="F863" s="27" t="inlineStr">
        <is>
          <t>2025</t>
        </is>
      </c>
      <c r="G863" s="27" t="inlineStr">
        <is>
          <t>CFS</t>
        </is>
      </c>
      <c r="H863" s="27" t="inlineStr">
        <is>
          <t>BS</t>
        </is>
      </c>
      <c r="I863" s="27" t="inlineStr">
        <is>
          <t>재무상태표</t>
        </is>
      </c>
      <c r="J863" s="27" t="inlineStr">
        <is>
          <t>ifrs-full_ShorttermDepositsNotClassifiedAsCashEquivalents</t>
        </is>
      </c>
      <c r="K863" s="27" t="inlineStr">
        <is>
          <t>단기금융자산</t>
        </is>
      </c>
      <c r="L863" s="27" t="inlineStr">
        <is>
          <t>-</t>
        </is>
      </c>
      <c r="M863" s="27" t="inlineStr">
        <is>
          <t>제 53 기</t>
        </is>
      </c>
      <c r="N863" s="27" t="inlineStr">
        <is>
          <t>64417070000.0</t>
        </is>
      </c>
      <c r="O863" s="27" t="inlineStr">
        <is>
          <t>143198778536.0</t>
        </is>
      </c>
      <c r="P863" s="27" t="inlineStr">
        <is>
          <t>KRW</t>
        </is>
      </c>
      <c r="Q863" s="27" t="inlineStr">
        <is>
          <t>14</t>
        </is>
      </c>
    </row>
    <row r="864" ht="24" customHeight="1">
      <c r="A864" s="32" t="inlineStr">
        <is>
          <t>OpenDART_fnlttSinglAcntAll</t>
        </is>
      </c>
      <c r="B864" s="32" t="inlineStr">
        <is>
          <t>00118804</t>
        </is>
      </c>
      <c r="C864" s="32" t="inlineStr">
        <is>
          <t>동진쎄미켐</t>
        </is>
      </c>
      <c r="D864" s="32" t="inlineStr">
        <is>
          <t>dongjin_semichem</t>
        </is>
      </c>
      <c r="E864" s="32" t="inlineStr">
        <is>
          <t>005290</t>
        </is>
      </c>
      <c r="F864" s="32" t="inlineStr">
        <is>
          <t>2025</t>
        </is>
      </c>
      <c r="G864" s="32" t="inlineStr">
        <is>
          <t>CFS</t>
        </is>
      </c>
      <c r="H864" s="32" t="inlineStr">
        <is>
          <t>BS</t>
        </is>
      </c>
      <c r="I864" s="32" t="inlineStr">
        <is>
          <t>재무상태표</t>
        </is>
      </c>
      <c r="J864" s="32" t="inlineStr">
        <is>
          <t>ifrs-full_TradeAndOtherCurrentReceivables</t>
        </is>
      </c>
      <c r="K864" s="32" t="inlineStr">
        <is>
          <t>매출채권및기타채권</t>
        </is>
      </c>
      <c r="L864" s="32" t="inlineStr">
        <is>
          <t>-</t>
        </is>
      </c>
      <c r="M864" s="32" t="inlineStr">
        <is>
          <t>제 53 기</t>
        </is>
      </c>
      <c r="N864" s="32" t="inlineStr">
        <is>
          <t>137042477911.0</t>
        </is>
      </c>
      <c r="O864" s="32" t="inlineStr">
        <is>
          <t>263394065496.0</t>
        </is>
      </c>
      <c r="P864" s="32" t="inlineStr">
        <is>
          <t>KRW</t>
        </is>
      </c>
      <c r="Q864" s="32" t="inlineStr">
        <is>
          <t>15</t>
        </is>
      </c>
    </row>
    <row r="865" ht="24" customHeight="1">
      <c r="A865" s="27" t="inlineStr">
        <is>
          <t>OpenDART_fnlttSinglAcntAll</t>
        </is>
      </c>
      <c r="B865" s="27" t="inlineStr">
        <is>
          <t>00118804</t>
        </is>
      </c>
      <c r="C865" s="27" t="inlineStr">
        <is>
          <t>동진쎄미켐</t>
        </is>
      </c>
      <c r="D865" s="27" t="inlineStr">
        <is>
          <t>dongjin_semichem</t>
        </is>
      </c>
      <c r="E865" s="27" t="inlineStr">
        <is>
          <t>005290</t>
        </is>
      </c>
      <c r="F865" s="27" t="inlineStr">
        <is>
          <t>2025</t>
        </is>
      </c>
      <c r="G865" s="27" t="inlineStr">
        <is>
          <t>CFS</t>
        </is>
      </c>
      <c r="H865" s="27" t="inlineStr">
        <is>
          <t>BS</t>
        </is>
      </c>
      <c r="I865" s="27" t="inlineStr">
        <is>
          <t>재무상태표</t>
        </is>
      </c>
      <c r="J865" s="27" t="inlineStr">
        <is>
          <t>ifrs-full_NoncurrentAssets</t>
        </is>
      </c>
      <c r="K865" s="27" t="inlineStr">
        <is>
          <t>비유동자산</t>
        </is>
      </c>
      <c r="L865" s="27" t="inlineStr">
        <is>
          <t>-</t>
        </is>
      </c>
      <c r="M865" s="27" t="inlineStr">
        <is>
          <t>제 53 기</t>
        </is>
      </c>
      <c r="N865" s="27" t="inlineStr">
        <is>
          <t>875219463258.0</t>
        </is>
      </c>
      <c r="O865" s="27" t="inlineStr">
        <is>
          <t>934018324278.0</t>
        </is>
      </c>
      <c r="P865" s="27" t="inlineStr">
        <is>
          <t>KRW</t>
        </is>
      </c>
      <c r="Q865" s="27" t="inlineStr">
        <is>
          <t>16</t>
        </is>
      </c>
    </row>
    <row r="866" ht="24" customHeight="1">
      <c r="A866" s="32" t="inlineStr">
        <is>
          <t>OpenDART_fnlttSinglAcntAll</t>
        </is>
      </c>
      <c r="B866" s="32" t="inlineStr">
        <is>
          <t>00118804</t>
        </is>
      </c>
      <c r="C866" s="32" t="inlineStr">
        <is>
          <t>동진쎄미켐</t>
        </is>
      </c>
      <c r="D866" s="32" t="inlineStr">
        <is>
          <t>dongjin_semichem</t>
        </is>
      </c>
      <c r="E866" s="32" t="inlineStr">
        <is>
          <t>005290</t>
        </is>
      </c>
      <c r="F866" s="32" t="inlineStr">
        <is>
          <t>2025</t>
        </is>
      </c>
      <c r="G866" s="32" t="inlineStr">
        <is>
          <t>CFS</t>
        </is>
      </c>
      <c r="H866" s="32" t="inlineStr">
        <is>
          <t>BS</t>
        </is>
      </c>
      <c r="I866" s="32" t="inlineStr">
        <is>
          <t>재무상태표</t>
        </is>
      </c>
      <c r="J866" s="32" t="inlineStr">
        <is>
          <t>dart_LongTermDepositsNotClassifiedAsCashEquivalents</t>
        </is>
      </c>
      <c r="K866" s="32" t="inlineStr">
        <is>
          <t>장기금융자산</t>
        </is>
      </c>
      <c r="L866" s="32" t="inlineStr">
        <is>
          <t>-</t>
        </is>
      </c>
      <c r="M866" s="32" t="inlineStr">
        <is>
          <t>제 53 기</t>
        </is>
      </c>
      <c r="N866" s="32" t="inlineStr">
        <is>
          <t>168656048.0</t>
        </is>
      </c>
      <c r="O866" s="32" t="inlineStr">
        <is>
          <t>168000000.0</t>
        </is>
      </c>
      <c r="P866" s="32" t="inlineStr">
        <is>
          <t>KRW</t>
        </is>
      </c>
      <c r="Q866" s="32" t="inlineStr">
        <is>
          <t>17</t>
        </is>
      </c>
    </row>
    <row r="867" ht="24" customHeight="1">
      <c r="A867" s="27" t="inlineStr">
        <is>
          <t>OpenDART_fnlttSinglAcntAll</t>
        </is>
      </c>
      <c r="B867" s="27" t="inlineStr">
        <is>
          <t>00118804</t>
        </is>
      </c>
      <c r="C867" s="27" t="inlineStr">
        <is>
          <t>동진쎄미켐</t>
        </is>
      </c>
      <c r="D867" s="27" t="inlineStr">
        <is>
          <t>dongjin_semichem</t>
        </is>
      </c>
      <c r="E867" s="27" t="inlineStr">
        <is>
          <t>005290</t>
        </is>
      </c>
      <c r="F867" s="27" t="inlineStr">
        <is>
          <t>2025</t>
        </is>
      </c>
      <c r="G867" s="27" t="inlineStr">
        <is>
          <t>CFS</t>
        </is>
      </c>
      <c r="H867" s="27" t="inlineStr">
        <is>
          <t>BS</t>
        </is>
      </c>
      <c r="I867" s="27" t="inlineStr">
        <is>
          <t>재무상태표</t>
        </is>
      </c>
      <c r="J867" s="27" t="inlineStr">
        <is>
          <t>ifrs-full_DeferredTaxAssets</t>
        </is>
      </c>
      <c r="K867" s="27" t="inlineStr">
        <is>
          <t>이연법인세자산</t>
        </is>
      </c>
      <c r="L867" s="27" t="inlineStr">
        <is>
          <t>-</t>
        </is>
      </c>
      <c r="M867" s="27" t="inlineStr">
        <is>
          <t>제 53 기</t>
        </is>
      </c>
      <c r="N867" s="27" t="inlineStr">
        <is>
          <t>10760016477.0</t>
        </is>
      </c>
      <c r="O867" s="27" t="inlineStr">
        <is>
          <t>11617082220.0</t>
        </is>
      </c>
      <c r="P867" s="27" t="inlineStr">
        <is>
          <t>KRW</t>
        </is>
      </c>
      <c r="Q867" s="27" t="inlineStr">
        <is>
          <t>18</t>
        </is>
      </c>
    </row>
    <row r="868" ht="24" customHeight="1">
      <c r="A868" s="32" t="inlineStr">
        <is>
          <t>OpenDART_fnlttSinglAcntAll</t>
        </is>
      </c>
      <c r="B868" s="32" t="inlineStr">
        <is>
          <t>00118804</t>
        </is>
      </c>
      <c r="C868" s="32" t="inlineStr">
        <is>
          <t>동진쎄미켐</t>
        </is>
      </c>
      <c r="D868" s="32" t="inlineStr">
        <is>
          <t>dongjin_semichem</t>
        </is>
      </c>
      <c r="E868" s="32" t="inlineStr">
        <is>
          <t>005290</t>
        </is>
      </c>
      <c r="F868" s="32" t="inlineStr">
        <is>
          <t>2025</t>
        </is>
      </c>
      <c r="G868" s="32" t="inlineStr">
        <is>
          <t>CFS</t>
        </is>
      </c>
      <c r="H868" s="32" t="inlineStr">
        <is>
          <t>BS</t>
        </is>
      </c>
      <c r="I868" s="32" t="inlineStr">
        <is>
          <t>재무상태표</t>
        </is>
      </c>
      <c r="J868" s="32" t="inlineStr">
        <is>
          <t>ifrs-full_EquityInstrumentsHeld</t>
        </is>
      </c>
      <c r="K868" s="32" t="inlineStr">
        <is>
          <t>장기투자금융자산</t>
        </is>
      </c>
      <c r="L868" s="32" t="inlineStr">
        <is>
          <t>-</t>
        </is>
      </c>
      <c r="M868" s="32" t="inlineStr">
        <is>
          <t>제 53 기</t>
        </is>
      </c>
      <c r="N868" s="32" t="inlineStr">
        <is>
          <t>23365853465.0</t>
        </is>
      </c>
      <c r="O868" s="32" t="inlineStr">
        <is>
          <t>6901968437.0</t>
        </is>
      </c>
      <c r="P868" s="32" t="inlineStr">
        <is>
          <t>KRW</t>
        </is>
      </c>
      <c r="Q868" s="32" t="inlineStr">
        <is>
          <t>19</t>
        </is>
      </c>
    </row>
    <row r="869" ht="24" customHeight="1">
      <c r="A869" s="27" t="inlineStr">
        <is>
          <t>OpenDART_fnlttSinglAcntAll</t>
        </is>
      </c>
      <c r="B869" s="27" t="inlineStr">
        <is>
          <t>00118804</t>
        </is>
      </c>
      <c r="C869" s="27" t="inlineStr">
        <is>
          <t>동진쎄미켐</t>
        </is>
      </c>
      <c r="D869" s="27" t="inlineStr">
        <is>
          <t>dongjin_semichem</t>
        </is>
      </c>
      <c r="E869" s="27" t="inlineStr">
        <is>
          <t>005290</t>
        </is>
      </c>
      <c r="F869" s="27" t="inlineStr">
        <is>
          <t>2025</t>
        </is>
      </c>
      <c r="G869" s="27" t="inlineStr">
        <is>
          <t>CFS</t>
        </is>
      </c>
      <c r="H869" s="27" t="inlineStr">
        <is>
          <t>BS</t>
        </is>
      </c>
      <c r="I869" s="27" t="inlineStr">
        <is>
          <t>재무상태표</t>
        </is>
      </c>
      <c r="J869" s="27" t="inlineStr">
        <is>
          <t>ifrs-full_IntangibleAssetsAndGoodwill</t>
        </is>
      </c>
      <c r="K869" s="27" t="inlineStr">
        <is>
          <t>무형자산</t>
        </is>
      </c>
      <c r="L869" s="27" t="inlineStr">
        <is>
          <t>-</t>
        </is>
      </c>
      <c r="M869" s="27" t="inlineStr">
        <is>
          <t>제 53 기</t>
        </is>
      </c>
      <c r="N869" s="27" t="inlineStr">
        <is>
          <t>12608930233.0</t>
        </is>
      </c>
      <c r="O869" s="27" t="inlineStr">
        <is>
          <t>10622678760.0</t>
        </is>
      </c>
      <c r="P869" s="27" t="inlineStr">
        <is>
          <t>KRW</t>
        </is>
      </c>
      <c r="Q869" s="27" t="inlineStr">
        <is>
          <t>20</t>
        </is>
      </c>
    </row>
    <row r="870" ht="24" customHeight="1">
      <c r="A870" s="32" t="inlineStr">
        <is>
          <t>OpenDART_fnlttSinglAcntAll</t>
        </is>
      </c>
      <c r="B870" s="32" t="inlineStr">
        <is>
          <t>00118804</t>
        </is>
      </c>
      <c r="C870" s="32" t="inlineStr">
        <is>
          <t>동진쎄미켐</t>
        </is>
      </c>
      <c r="D870" s="32" t="inlineStr">
        <is>
          <t>dongjin_semichem</t>
        </is>
      </c>
      <c r="E870" s="32" t="inlineStr">
        <is>
          <t>005290</t>
        </is>
      </c>
      <c r="F870" s="32" t="inlineStr">
        <is>
          <t>2025</t>
        </is>
      </c>
      <c r="G870" s="32" t="inlineStr">
        <is>
          <t>CFS</t>
        </is>
      </c>
      <c r="H870" s="32" t="inlineStr">
        <is>
          <t>BS</t>
        </is>
      </c>
      <c r="I870" s="32" t="inlineStr">
        <is>
          <t>재무상태표</t>
        </is>
      </c>
      <c r="J870" s="32" t="inlineStr">
        <is>
          <t>ifrs-full_InvestmentProperty</t>
        </is>
      </c>
      <c r="K870" s="32" t="inlineStr">
        <is>
          <t>투자부동산</t>
        </is>
      </c>
      <c r="L870" s="32" t="inlineStr">
        <is>
          <t>-</t>
        </is>
      </c>
      <c r="M870" s="32" t="inlineStr">
        <is>
          <t>제 53 기</t>
        </is>
      </c>
      <c r="N870" s="32" t="inlineStr">
        <is>
          <t>10027497471.0</t>
        </is>
      </c>
      <c r="O870" s="32" t="inlineStr">
        <is>
          <t>11614202225.0</t>
        </is>
      </c>
      <c r="P870" s="32" t="inlineStr">
        <is>
          <t>KRW</t>
        </is>
      </c>
      <c r="Q870" s="32" t="inlineStr">
        <is>
          <t>21</t>
        </is>
      </c>
    </row>
    <row r="871" ht="24" customHeight="1">
      <c r="A871" s="27" t="inlineStr">
        <is>
          <t>OpenDART_fnlttSinglAcntAll</t>
        </is>
      </c>
      <c r="B871" s="27" t="inlineStr">
        <is>
          <t>00118804</t>
        </is>
      </c>
      <c r="C871" s="27" t="inlineStr">
        <is>
          <t>동진쎄미켐</t>
        </is>
      </c>
      <c r="D871" s="27" t="inlineStr">
        <is>
          <t>dongjin_semichem</t>
        </is>
      </c>
      <c r="E871" s="27" t="inlineStr">
        <is>
          <t>005290</t>
        </is>
      </c>
      <c r="F871" s="27" t="inlineStr">
        <is>
          <t>2025</t>
        </is>
      </c>
      <c r="G871" s="27" t="inlineStr">
        <is>
          <t>CFS</t>
        </is>
      </c>
      <c r="H871" s="27" t="inlineStr">
        <is>
          <t>BS</t>
        </is>
      </c>
      <c r="I871" s="27" t="inlineStr">
        <is>
          <t>재무상태표</t>
        </is>
      </c>
      <c r="J871" s="27" t="inlineStr">
        <is>
          <t>ifrs-full_InvestmentsInAssociatesAccountedForUsingEquityMethod</t>
        </is>
      </c>
      <c r="K871" s="27" t="inlineStr">
        <is>
          <t>관계기업투자</t>
        </is>
      </c>
      <c r="L871" s="27" t="inlineStr">
        <is>
          <t>-</t>
        </is>
      </c>
      <c r="M871" s="27" t="inlineStr">
        <is>
          <t>제 53 기</t>
        </is>
      </c>
      <c r="N871" s="27" t="inlineStr">
        <is>
          <t>9065620902.0</t>
        </is>
      </c>
      <c r="O871" s="27" t="inlineStr">
        <is>
          <t>5560372565.0</t>
        </is>
      </c>
      <c r="P871" s="27" t="inlineStr">
        <is>
          <t>KRW</t>
        </is>
      </c>
      <c r="Q871" s="27" t="inlineStr">
        <is>
          <t>22</t>
        </is>
      </c>
    </row>
    <row r="872" ht="24" customHeight="1">
      <c r="A872" s="32" t="inlineStr">
        <is>
          <t>OpenDART_fnlttSinglAcntAll</t>
        </is>
      </c>
      <c r="B872" s="32" t="inlineStr">
        <is>
          <t>00118804</t>
        </is>
      </c>
      <c r="C872" s="32" t="inlineStr">
        <is>
          <t>동진쎄미켐</t>
        </is>
      </c>
      <c r="D872" s="32" t="inlineStr">
        <is>
          <t>dongjin_semichem</t>
        </is>
      </c>
      <c r="E872" s="32" t="inlineStr">
        <is>
          <t>005290</t>
        </is>
      </c>
      <c r="F872" s="32" t="inlineStr">
        <is>
          <t>2025</t>
        </is>
      </c>
      <c r="G872" s="32" t="inlineStr">
        <is>
          <t>CFS</t>
        </is>
      </c>
      <c r="H872" s="32" t="inlineStr">
        <is>
          <t>BS</t>
        </is>
      </c>
      <c r="I872" s="32" t="inlineStr">
        <is>
          <t>재무상태표</t>
        </is>
      </c>
      <c r="J872" s="32" t="inlineStr">
        <is>
          <t>ifrs-full_NoncurrentReceivables</t>
        </is>
      </c>
      <c r="K872" s="32" t="inlineStr">
        <is>
          <t>장기매출채권및기타채권</t>
        </is>
      </c>
      <c r="L872" s="32" t="inlineStr">
        <is>
          <t>-</t>
        </is>
      </c>
      <c r="M872" s="32" t="inlineStr">
        <is>
          <t>제 53 기</t>
        </is>
      </c>
      <c r="N872" s="32" t="inlineStr">
        <is>
          <t>23906702086.0</t>
        </is>
      </c>
      <c r="O872" s="32" t="inlineStr">
        <is>
          <t>7208474856.0</t>
        </is>
      </c>
      <c r="P872" s="32" t="inlineStr">
        <is>
          <t>KRW</t>
        </is>
      </c>
      <c r="Q872" s="32" t="inlineStr">
        <is>
          <t>23</t>
        </is>
      </c>
    </row>
    <row r="873" ht="24" customHeight="1">
      <c r="A873" s="27" t="inlineStr">
        <is>
          <t>OpenDART_fnlttSinglAcntAll</t>
        </is>
      </c>
      <c r="B873" s="27" t="inlineStr">
        <is>
          <t>00118804</t>
        </is>
      </c>
      <c r="C873" s="27" t="inlineStr">
        <is>
          <t>동진쎄미켐</t>
        </is>
      </c>
      <c r="D873" s="27" t="inlineStr">
        <is>
          <t>dongjin_semichem</t>
        </is>
      </c>
      <c r="E873" s="27" t="inlineStr">
        <is>
          <t>005290</t>
        </is>
      </c>
      <c r="F873" s="27" t="inlineStr">
        <is>
          <t>2025</t>
        </is>
      </c>
      <c r="G873" s="27" t="inlineStr">
        <is>
          <t>CFS</t>
        </is>
      </c>
      <c r="H873" s="27" t="inlineStr">
        <is>
          <t>BS</t>
        </is>
      </c>
      <c r="I873" s="27" t="inlineStr">
        <is>
          <t>재무상태표</t>
        </is>
      </c>
      <c r="J873" s="27" t="inlineStr">
        <is>
          <t>ifrs-full_OtherNoncurrentAssets</t>
        </is>
      </c>
      <c r="K873" s="27" t="inlineStr">
        <is>
          <t>기타비유동자산</t>
        </is>
      </c>
      <c r="L873" s="27" t="inlineStr">
        <is>
          <t>-</t>
        </is>
      </c>
      <c r="M873" s="27" t="inlineStr">
        <is>
          <t>제 53 기</t>
        </is>
      </c>
      <c r="N873" s="27" t="inlineStr">
        <is>
          <t>353305284.0</t>
        </is>
      </c>
      <c r="O873" s="27" t="inlineStr">
        <is>
          <t>573640670.0</t>
        </is>
      </c>
      <c r="P873" s="27" t="inlineStr">
        <is>
          <t>KRW</t>
        </is>
      </c>
      <c r="Q873" s="27" t="inlineStr">
        <is>
          <t>24</t>
        </is>
      </c>
    </row>
    <row r="874" ht="24" customHeight="1">
      <c r="A874" s="32" t="inlineStr">
        <is>
          <t>OpenDART_fnlttSinglAcntAll</t>
        </is>
      </c>
      <c r="B874" s="32" t="inlineStr">
        <is>
          <t>00118804</t>
        </is>
      </c>
      <c r="C874" s="32" t="inlineStr">
        <is>
          <t>동진쎄미켐</t>
        </is>
      </c>
      <c r="D874" s="32" t="inlineStr">
        <is>
          <t>dongjin_semichem</t>
        </is>
      </c>
      <c r="E874" s="32" t="inlineStr">
        <is>
          <t>005290</t>
        </is>
      </c>
      <c r="F874" s="32" t="inlineStr">
        <is>
          <t>2025</t>
        </is>
      </c>
      <c r="G874" s="32" t="inlineStr">
        <is>
          <t>CFS</t>
        </is>
      </c>
      <c r="H874" s="32" t="inlineStr">
        <is>
          <t>BS</t>
        </is>
      </c>
      <c r="I874" s="32" t="inlineStr">
        <is>
          <t>재무상태표</t>
        </is>
      </c>
      <c r="J874" s="32" t="inlineStr">
        <is>
          <t>ifrs-full_PropertyPlantAndEquipment</t>
        </is>
      </c>
      <c r="K874" s="32" t="inlineStr">
        <is>
          <t>유형자산</t>
        </is>
      </c>
      <c r="L874" s="32" t="inlineStr">
        <is>
          <t>-</t>
        </is>
      </c>
      <c r="M874" s="32" t="inlineStr">
        <is>
          <t>제 53 기</t>
        </is>
      </c>
      <c r="N874" s="32" t="inlineStr">
        <is>
          <t>784962881292.0</t>
        </is>
      </c>
      <c r="O874" s="32" t="inlineStr">
        <is>
          <t>879751904545.0</t>
        </is>
      </c>
      <c r="P874" s="32" t="inlineStr">
        <is>
          <t>KRW</t>
        </is>
      </c>
      <c r="Q874" s="32" t="inlineStr">
        <is>
          <t>25</t>
        </is>
      </c>
    </row>
    <row r="875" ht="24" customHeight="1">
      <c r="A875" s="27" t="inlineStr">
        <is>
          <t>OpenDART_fnlttSinglAcntAll</t>
        </is>
      </c>
      <c r="B875" s="27" t="inlineStr">
        <is>
          <t>00118804</t>
        </is>
      </c>
      <c r="C875" s="27" t="inlineStr">
        <is>
          <t>동진쎄미켐</t>
        </is>
      </c>
      <c r="D875" s="27" t="inlineStr">
        <is>
          <t>dongjin_semichem</t>
        </is>
      </c>
      <c r="E875" s="27" t="inlineStr">
        <is>
          <t>005290</t>
        </is>
      </c>
      <c r="F875" s="27" t="inlineStr">
        <is>
          <t>2025</t>
        </is>
      </c>
      <c r="G875" s="27" t="inlineStr">
        <is>
          <t>CFS</t>
        </is>
      </c>
      <c r="H875" s="27" t="inlineStr">
        <is>
          <t>BS</t>
        </is>
      </c>
      <c r="I875" s="27" t="inlineStr">
        <is>
          <t>재무상태표</t>
        </is>
      </c>
      <c r="J875" s="27" t="inlineStr">
        <is>
          <t>ifrs-full_Equity</t>
        </is>
      </c>
      <c r="K875" s="27" t="inlineStr">
        <is>
          <t>자본총계</t>
        </is>
      </c>
      <c r="L875" s="27" t="inlineStr">
        <is>
          <t>-</t>
        </is>
      </c>
      <c r="M875" s="27" t="inlineStr">
        <is>
          <t>제 53 기</t>
        </is>
      </c>
      <c r="N875" s="27" t="inlineStr">
        <is>
          <t>1101580532373.0</t>
        </is>
      </c>
      <c r="O875" s="27" t="inlineStr">
        <is>
          <t>1020430600571.0</t>
        </is>
      </c>
      <c r="P875" s="27" t="inlineStr">
        <is>
          <t>KRW</t>
        </is>
      </c>
      <c r="Q875" s="27" t="inlineStr">
        <is>
          <t>27</t>
        </is>
      </c>
    </row>
    <row r="876" ht="24" customHeight="1">
      <c r="A876" s="32" t="inlineStr">
        <is>
          <t>OpenDART_fnlttSinglAcntAll</t>
        </is>
      </c>
      <c r="B876" s="32" t="inlineStr">
        <is>
          <t>00118804</t>
        </is>
      </c>
      <c r="C876" s="32" t="inlineStr">
        <is>
          <t>동진쎄미켐</t>
        </is>
      </c>
      <c r="D876" s="32" t="inlineStr">
        <is>
          <t>dongjin_semichem</t>
        </is>
      </c>
      <c r="E876" s="32" t="inlineStr">
        <is>
          <t>005290</t>
        </is>
      </c>
      <c r="F876" s="32" t="inlineStr">
        <is>
          <t>2025</t>
        </is>
      </c>
      <c r="G876" s="32" t="inlineStr">
        <is>
          <t>CFS</t>
        </is>
      </c>
      <c r="H876" s="32" t="inlineStr">
        <is>
          <t>BS</t>
        </is>
      </c>
      <c r="I876" s="32" t="inlineStr">
        <is>
          <t>재무상태표</t>
        </is>
      </c>
      <c r="J876" s="32" t="inlineStr">
        <is>
          <t>ifrs-full_EquityAttributableToOwnersOfParent</t>
        </is>
      </c>
      <c r="K876" s="32" t="inlineStr">
        <is>
          <t>지배기업의 소유주에게 귀속되는 자본</t>
        </is>
      </c>
      <c r="L876" s="32" t="inlineStr">
        <is>
          <t>-</t>
        </is>
      </c>
      <c r="M876" s="32" t="inlineStr">
        <is>
          <t>제 53 기</t>
        </is>
      </c>
      <c r="N876" s="32" t="inlineStr">
        <is>
          <t>1083840059798.0</t>
        </is>
      </c>
      <c r="O876" s="32" t="inlineStr">
        <is>
          <t>997465968229.0</t>
        </is>
      </c>
      <c r="P876" s="32" t="inlineStr">
        <is>
          <t>KRW</t>
        </is>
      </c>
      <c r="Q876" s="32" t="inlineStr">
        <is>
          <t>28</t>
        </is>
      </c>
    </row>
    <row r="877" ht="24" customHeight="1">
      <c r="A877" s="27" t="inlineStr">
        <is>
          <t>OpenDART_fnlttSinglAcntAll</t>
        </is>
      </c>
      <c r="B877" s="27" t="inlineStr">
        <is>
          <t>00118804</t>
        </is>
      </c>
      <c r="C877" s="27" t="inlineStr">
        <is>
          <t>동진쎄미켐</t>
        </is>
      </c>
      <c r="D877" s="27" t="inlineStr">
        <is>
          <t>dongjin_semichem</t>
        </is>
      </c>
      <c r="E877" s="27" t="inlineStr">
        <is>
          <t>005290</t>
        </is>
      </c>
      <c r="F877" s="27" t="inlineStr">
        <is>
          <t>2025</t>
        </is>
      </c>
      <c r="G877" s="27" t="inlineStr">
        <is>
          <t>CFS</t>
        </is>
      </c>
      <c r="H877" s="27" t="inlineStr">
        <is>
          <t>BS</t>
        </is>
      </c>
      <c r="I877" s="27" t="inlineStr">
        <is>
          <t>재무상태표</t>
        </is>
      </c>
      <c r="J877" s="27" t="inlineStr">
        <is>
          <t>dart_ElementsOfOtherStockholdersEquity</t>
        </is>
      </c>
      <c r="K877" s="27" t="inlineStr">
        <is>
          <t>기타자본구성요소</t>
        </is>
      </c>
      <c r="L877" s="27" t="inlineStr">
        <is>
          <t>-</t>
        </is>
      </c>
      <c r="M877" s="27" t="inlineStr">
        <is>
          <t>제 53 기</t>
        </is>
      </c>
      <c r="N877" s="27" t="inlineStr">
        <is>
          <t>76129466419.0</t>
        </is>
      </c>
      <c r="O877" s="27" t="inlineStr">
        <is>
          <t>74207322839.0</t>
        </is>
      </c>
      <c r="P877" s="27" t="inlineStr">
        <is>
          <t>KRW</t>
        </is>
      </c>
      <c r="Q877" s="27" t="inlineStr">
        <is>
          <t>29</t>
        </is>
      </c>
    </row>
    <row r="878" ht="24" customHeight="1">
      <c r="A878" s="32" t="inlineStr">
        <is>
          <t>OpenDART_fnlttSinglAcntAll</t>
        </is>
      </c>
      <c r="B878" s="32" t="inlineStr">
        <is>
          <t>00118804</t>
        </is>
      </c>
      <c r="C878" s="32" t="inlineStr">
        <is>
          <t>동진쎄미켐</t>
        </is>
      </c>
      <c r="D878" s="32" t="inlineStr">
        <is>
          <t>dongjin_semichem</t>
        </is>
      </c>
      <c r="E878" s="32" t="inlineStr">
        <is>
          <t>005290</t>
        </is>
      </c>
      <c r="F878" s="32" t="inlineStr">
        <is>
          <t>2025</t>
        </is>
      </c>
      <c r="G878" s="32" t="inlineStr">
        <is>
          <t>CFS</t>
        </is>
      </c>
      <c r="H878" s="32" t="inlineStr">
        <is>
          <t>BS</t>
        </is>
      </c>
      <c r="I878" s="32" t="inlineStr">
        <is>
          <t>재무상태표</t>
        </is>
      </c>
      <c r="J878" s="32" t="inlineStr">
        <is>
          <t>ifrs-full_AdditionalPaidinCapital</t>
        </is>
      </c>
      <c r="K878" s="32" t="inlineStr">
        <is>
          <t>기타불입자본</t>
        </is>
      </c>
      <c r="L878" s="32" t="inlineStr">
        <is>
          <t>-</t>
        </is>
      </c>
      <c r="M878" s="32" t="inlineStr">
        <is>
          <t>제 53 기</t>
        </is>
      </c>
      <c r="N878" s="32" t="inlineStr">
        <is>
          <t>120394123663.0</t>
        </is>
      </c>
      <c r="O878" s="32" t="inlineStr">
        <is>
          <t>121997280919.0</t>
        </is>
      </c>
      <c r="P878" s="32" t="inlineStr">
        <is>
          <t>KRW</t>
        </is>
      </c>
      <c r="Q878" s="32" t="inlineStr">
        <is>
          <t>30</t>
        </is>
      </c>
    </row>
    <row r="879" ht="24" customHeight="1">
      <c r="A879" s="27" t="inlineStr">
        <is>
          <t>OpenDART_fnlttSinglAcntAll</t>
        </is>
      </c>
      <c r="B879" s="27" t="inlineStr">
        <is>
          <t>00118804</t>
        </is>
      </c>
      <c r="C879" s="27" t="inlineStr">
        <is>
          <t>동진쎄미켐</t>
        </is>
      </c>
      <c r="D879" s="27" t="inlineStr">
        <is>
          <t>dongjin_semichem</t>
        </is>
      </c>
      <c r="E879" s="27" t="inlineStr">
        <is>
          <t>005290</t>
        </is>
      </c>
      <c r="F879" s="27" t="inlineStr">
        <is>
          <t>2025</t>
        </is>
      </c>
      <c r="G879" s="27" t="inlineStr">
        <is>
          <t>CFS</t>
        </is>
      </c>
      <c r="H879" s="27" t="inlineStr">
        <is>
          <t>BS</t>
        </is>
      </c>
      <c r="I879" s="27" t="inlineStr">
        <is>
          <t>재무상태표</t>
        </is>
      </c>
      <c r="J879" s="27" t="inlineStr">
        <is>
          <t>ifrs-full_IssuedCapital</t>
        </is>
      </c>
      <c r="K879" s="27" t="inlineStr">
        <is>
          <t>자본금</t>
        </is>
      </c>
      <c r="L879" s="27" t="inlineStr">
        <is>
          <t>-</t>
        </is>
      </c>
      <c r="M879" s="27" t="inlineStr">
        <is>
          <t>제 53 기</t>
        </is>
      </c>
      <c r="N879" s="27" t="inlineStr">
        <is>
          <t>25707247000.0</t>
        </is>
      </c>
      <c r="O879" s="27" t="inlineStr">
        <is>
          <t>25707247000.0</t>
        </is>
      </c>
      <c r="P879" s="27" t="inlineStr">
        <is>
          <t>KRW</t>
        </is>
      </c>
      <c r="Q879" s="27" t="inlineStr">
        <is>
          <t>31</t>
        </is>
      </c>
    </row>
    <row r="880" ht="24" customHeight="1">
      <c r="A880" s="32" t="inlineStr">
        <is>
          <t>OpenDART_fnlttSinglAcntAll</t>
        </is>
      </c>
      <c r="B880" s="32" t="inlineStr">
        <is>
          <t>00118804</t>
        </is>
      </c>
      <c r="C880" s="32" t="inlineStr">
        <is>
          <t>동진쎄미켐</t>
        </is>
      </c>
      <c r="D880" s="32" t="inlineStr">
        <is>
          <t>dongjin_semichem</t>
        </is>
      </c>
      <c r="E880" s="32" t="inlineStr">
        <is>
          <t>005290</t>
        </is>
      </c>
      <c r="F880" s="32" t="inlineStr">
        <is>
          <t>2025</t>
        </is>
      </c>
      <c r="G880" s="32" t="inlineStr">
        <is>
          <t>CFS</t>
        </is>
      </c>
      <c r="H880" s="32" t="inlineStr">
        <is>
          <t>BS</t>
        </is>
      </c>
      <c r="I880" s="32" t="inlineStr">
        <is>
          <t>재무상태표</t>
        </is>
      </c>
      <c r="J880" s="32" t="inlineStr">
        <is>
          <t>ifrs-full_RetainedEarnings</t>
        </is>
      </c>
      <c r="K880" s="32" t="inlineStr">
        <is>
          <t>이익잉여금</t>
        </is>
      </c>
      <c r="L880" s="32" t="inlineStr">
        <is>
          <t>-</t>
        </is>
      </c>
      <c r="M880" s="32" t="inlineStr">
        <is>
          <t>제 53 기</t>
        </is>
      </c>
      <c r="N880" s="32" t="inlineStr">
        <is>
          <t>861609222716.0</t>
        </is>
      </c>
      <c r="O880" s="32" t="inlineStr">
        <is>
          <t>775554117471.0</t>
        </is>
      </c>
      <c r="P880" s="32" t="inlineStr">
        <is>
          <t>KRW</t>
        </is>
      </c>
      <c r="Q880" s="32" t="inlineStr">
        <is>
          <t>32</t>
        </is>
      </c>
    </row>
    <row r="881" ht="24" customHeight="1">
      <c r="A881" s="27" t="inlineStr">
        <is>
          <t>OpenDART_fnlttSinglAcntAll</t>
        </is>
      </c>
      <c r="B881" s="27" t="inlineStr">
        <is>
          <t>00118804</t>
        </is>
      </c>
      <c r="C881" s="27" t="inlineStr">
        <is>
          <t>동진쎄미켐</t>
        </is>
      </c>
      <c r="D881" s="27" t="inlineStr">
        <is>
          <t>dongjin_semichem</t>
        </is>
      </c>
      <c r="E881" s="27" t="inlineStr">
        <is>
          <t>005290</t>
        </is>
      </c>
      <c r="F881" s="27" t="inlineStr">
        <is>
          <t>2025</t>
        </is>
      </c>
      <c r="G881" s="27" t="inlineStr">
        <is>
          <t>CFS</t>
        </is>
      </c>
      <c r="H881" s="27" t="inlineStr">
        <is>
          <t>BS</t>
        </is>
      </c>
      <c r="I881" s="27" t="inlineStr">
        <is>
          <t>재무상태표</t>
        </is>
      </c>
      <c r="J881" s="27" t="inlineStr">
        <is>
          <t>ifrs-full_NoncontrollingInterests</t>
        </is>
      </c>
      <c r="K881" s="27" t="inlineStr">
        <is>
          <t>비지배지분</t>
        </is>
      </c>
      <c r="L881" s="27" t="inlineStr">
        <is>
          <t>-</t>
        </is>
      </c>
      <c r="M881" s="27" t="inlineStr">
        <is>
          <t>제 53 기</t>
        </is>
      </c>
      <c r="N881" s="27" t="inlineStr">
        <is>
          <t>17740472575.0</t>
        </is>
      </c>
      <c r="O881" s="27" t="inlineStr">
        <is>
          <t>22964632342.0</t>
        </is>
      </c>
      <c r="P881" s="27" t="inlineStr">
        <is>
          <t>KRW</t>
        </is>
      </c>
      <c r="Q881" s="27" t="inlineStr">
        <is>
          <t>33</t>
        </is>
      </c>
    </row>
    <row r="882" ht="24" customHeight="1">
      <c r="A882" s="32" t="inlineStr">
        <is>
          <t>OpenDART_fnlttSinglAcntAll</t>
        </is>
      </c>
      <c r="B882" s="32" t="inlineStr">
        <is>
          <t>00118804</t>
        </is>
      </c>
      <c r="C882" s="32" t="inlineStr">
        <is>
          <t>동진쎄미켐</t>
        </is>
      </c>
      <c r="D882" s="32" t="inlineStr">
        <is>
          <t>dongjin_semichem</t>
        </is>
      </c>
      <c r="E882" s="32" t="inlineStr">
        <is>
          <t>005290</t>
        </is>
      </c>
      <c r="F882" s="32" t="inlineStr">
        <is>
          <t>2025</t>
        </is>
      </c>
      <c r="G882" s="32" t="inlineStr">
        <is>
          <t>CFS</t>
        </is>
      </c>
      <c r="H882" s="32" t="inlineStr">
        <is>
          <t>BS</t>
        </is>
      </c>
      <c r="I882" s="32" t="inlineStr">
        <is>
          <t>재무상태표</t>
        </is>
      </c>
      <c r="J882" s="32" t="inlineStr">
        <is>
          <t>ifrs-full_EquityAndLiabilities</t>
        </is>
      </c>
      <c r="K882" s="32" t="inlineStr">
        <is>
          <t>부채와자본총계</t>
        </is>
      </c>
      <c r="L882" s="32" t="inlineStr">
        <is>
          <t>-</t>
        </is>
      </c>
      <c r="M882" s="32" t="inlineStr">
        <is>
          <t>제 53 기</t>
        </is>
      </c>
      <c r="N882" s="32" t="inlineStr">
        <is>
          <t>2006130721478.0</t>
        </is>
      </c>
      <c r="O882" s="32" t="inlineStr">
        <is>
          <t>2016989003189.0</t>
        </is>
      </c>
      <c r="P882" s="32" t="inlineStr">
        <is>
          <t>KRW</t>
        </is>
      </c>
      <c r="Q882" s="32" t="inlineStr">
        <is>
          <t>34</t>
        </is>
      </c>
    </row>
    <row r="883" ht="24" customHeight="1">
      <c r="A883" s="27" t="inlineStr">
        <is>
          <t>OpenDART_fnlttSinglAcntAll</t>
        </is>
      </c>
      <c r="B883" s="27" t="inlineStr">
        <is>
          <t>00118804</t>
        </is>
      </c>
      <c r="C883" s="27" t="inlineStr">
        <is>
          <t>동진쎄미켐</t>
        </is>
      </c>
      <c r="D883" s="27" t="inlineStr">
        <is>
          <t>dongjin_semichem</t>
        </is>
      </c>
      <c r="E883" s="27" t="inlineStr">
        <is>
          <t>005290</t>
        </is>
      </c>
      <c r="F883" s="27" t="inlineStr">
        <is>
          <t>2025</t>
        </is>
      </c>
      <c r="G883" s="27" t="inlineStr">
        <is>
          <t>CFS</t>
        </is>
      </c>
      <c r="H883" s="27" t="inlineStr">
        <is>
          <t>BS</t>
        </is>
      </c>
      <c r="I883" s="27" t="inlineStr">
        <is>
          <t>재무상태표</t>
        </is>
      </c>
      <c r="J883" s="27" t="inlineStr">
        <is>
          <t>ifrs-full_CurrentLiabilities</t>
        </is>
      </c>
      <c r="K883" s="27" t="inlineStr">
        <is>
          <t>유동부채</t>
        </is>
      </c>
      <c r="L883" s="27" t="inlineStr">
        <is>
          <t>-</t>
        </is>
      </c>
      <c r="M883" s="27" t="inlineStr">
        <is>
          <t>제 53 기</t>
        </is>
      </c>
      <c r="N883" s="27" t="inlineStr">
        <is>
          <t>579367200075.0</t>
        </is>
      </c>
      <c r="O883" s="27" t="inlineStr">
        <is>
          <t>722768727205.0</t>
        </is>
      </c>
      <c r="P883" s="27" t="inlineStr">
        <is>
          <t>KRW</t>
        </is>
      </c>
      <c r="Q883" s="27" t="inlineStr">
        <is>
          <t>36</t>
        </is>
      </c>
    </row>
    <row r="884" ht="24" customHeight="1">
      <c r="A884" s="32" t="inlineStr">
        <is>
          <t>OpenDART_fnlttSinglAcntAll</t>
        </is>
      </c>
      <c r="B884" s="32" t="inlineStr">
        <is>
          <t>00118804</t>
        </is>
      </c>
      <c r="C884" s="32" t="inlineStr">
        <is>
          <t>동진쎄미켐</t>
        </is>
      </c>
      <c r="D884" s="32" t="inlineStr">
        <is>
          <t>dongjin_semichem</t>
        </is>
      </c>
      <c r="E884" s="32" t="inlineStr">
        <is>
          <t>005290</t>
        </is>
      </c>
      <c r="F884" s="32" t="inlineStr">
        <is>
          <t>2025</t>
        </is>
      </c>
      <c r="G884" s="32" t="inlineStr">
        <is>
          <t>CFS</t>
        </is>
      </c>
      <c r="H884" s="32" t="inlineStr">
        <is>
          <t>BS</t>
        </is>
      </c>
      <c r="I884" s="32" t="inlineStr">
        <is>
          <t>재무상태표</t>
        </is>
      </c>
      <c r="J884" s="32" t="inlineStr">
        <is>
          <t>ifrs-full_CurrentBorrowingsAndCurrentPortionOfNoncurrentBorrowings</t>
        </is>
      </c>
      <c r="K884" s="32" t="inlineStr">
        <is>
          <t>단기차입금</t>
        </is>
      </c>
      <c r="L884" s="32" t="inlineStr">
        <is>
          <t>-</t>
        </is>
      </c>
      <c r="M884" s="32" t="inlineStr">
        <is>
          <t>제 53 기</t>
        </is>
      </c>
      <c r="N884" s="32" t="inlineStr">
        <is>
          <t>349218723122.0</t>
        </is>
      </c>
      <c r="O884" s="32" t="inlineStr">
        <is>
          <t>523457945423.0</t>
        </is>
      </c>
      <c r="P884" s="32" t="inlineStr">
        <is>
          <t>KRW</t>
        </is>
      </c>
      <c r="Q884" s="32" t="inlineStr">
        <is>
          <t>37</t>
        </is>
      </c>
    </row>
    <row r="885" ht="24" customHeight="1">
      <c r="A885" s="27" t="inlineStr">
        <is>
          <t>OpenDART_fnlttSinglAcntAll</t>
        </is>
      </c>
      <c r="B885" s="27" t="inlineStr">
        <is>
          <t>00118804</t>
        </is>
      </c>
      <c r="C885" s="27" t="inlineStr">
        <is>
          <t>동진쎄미켐</t>
        </is>
      </c>
      <c r="D885" s="27" t="inlineStr">
        <is>
          <t>dongjin_semichem</t>
        </is>
      </c>
      <c r="E885" s="27" t="inlineStr">
        <is>
          <t>005290</t>
        </is>
      </c>
      <c r="F885" s="27" t="inlineStr">
        <is>
          <t>2025</t>
        </is>
      </c>
      <c r="G885" s="27" t="inlineStr">
        <is>
          <t>CFS</t>
        </is>
      </c>
      <c r="H885" s="27" t="inlineStr">
        <is>
          <t>BS</t>
        </is>
      </c>
      <c r="I885" s="27" t="inlineStr">
        <is>
          <t>재무상태표</t>
        </is>
      </c>
      <c r="J885" s="27" t="inlineStr">
        <is>
          <t>ifrs-full_CurrentLeaseLiabilities</t>
        </is>
      </c>
      <c r="K885" s="27" t="inlineStr">
        <is>
          <t>단기리스부채</t>
        </is>
      </c>
      <c r="L885" s="27" t="inlineStr">
        <is>
          <t>-</t>
        </is>
      </c>
      <c r="M885" s="27" t="inlineStr">
        <is>
          <t>제 53 기</t>
        </is>
      </c>
      <c r="N885" s="27" t="inlineStr">
        <is>
          <t>6470745203.0</t>
        </is>
      </c>
      <c r="O885" s="27" t="inlineStr">
        <is>
          <t>9153015332.0</t>
        </is>
      </c>
      <c r="P885" s="27" t="inlineStr">
        <is>
          <t>KRW</t>
        </is>
      </c>
      <c r="Q885" s="27" t="inlineStr">
        <is>
          <t>38</t>
        </is>
      </c>
    </row>
    <row r="886" ht="24" customHeight="1">
      <c r="A886" s="32" t="inlineStr">
        <is>
          <t>OpenDART_fnlttSinglAcntAll</t>
        </is>
      </c>
      <c r="B886" s="32" t="inlineStr">
        <is>
          <t>00118804</t>
        </is>
      </c>
      <c r="C886" s="32" t="inlineStr">
        <is>
          <t>동진쎄미켐</t>
        </is>
      </c>
      <c r="D886" s="32" t="inlineStr">
        <is>
          <t>dongjin_semichem</t>
        </is>
      </c>
      <c r="E886" s="32" t="inlineStr">
        <is>
          <t>005290</t>
        </is>
      </c>
      <c r="F886" s="32" t="inlineStr">
        <is>
          <t>2025</t>
        </is>
      </c>
      <c r="G886" s="32" t="inlineStr">
        <is>
          <t>CFS</t>
        </is>
      </c>
      <c r="H886" s="32" t="inlineStr">
        <is>
          <t>BS</t>
        </is>
      </c>
      <c r="I886" s="32" t="inlineStr">
        <is>
          <t>재무상태표</t>
        </is>
      </c>
      <c r="J886" s="32" t="inlineStr">
        <is>
          <t>ifrs-full_CurrentTaxLiabilities</t>
        </is>
      </c>
      <c r="K886" s="32" t="inlineStr">
        <is>
          <t>당기법인세부채</t>
        </is>
      </c>
      <c r="L886" s="32" t="inlineStr">
        <is>
          <t>-</t>
        </is>
      </c>
      <c r="M886" s="32" t="inlineStr">
        <is>
          <t>제 53 기</t>
        </is>
      </c>
      <c r="N886" s="32" t="inlineStr">
        <is>
          <t>23329022482.0</t>
        </is>
      </c>
      <c r="O886" s="32" t="inlineStr">
        <is>
          <t>40388445656.0</t>
        </is>
      </c>
      <c r="P886" s="32" t="inlineStr">
        <is>
          <t>KRW</t>
        </is>
      </c>
      <c r="Q886" s="32" t="inlineStr">
        <is>
          <t>39</t>
        </is>
      </c>
    </row>
    <row r="887" ht="24" customHeight="1">
      <c r="A887" s="27" t="inlineStr">
        <is>
          <t>OpenDART_fnlttSinglAcntAll</t>
        </is>
      </c>
      <c r="B887" s="27" t="inlineStr">
        <is>
          <t>00118804</t>
        </is>
      </c>
      <c r="C887" s="27" t="inlineStr">
        <is>
          <t>동진쎄미켐</t>
        </is>
      </c>
      <c r="D887" s="27" t="inlineStr">
        <is>
          <t>dongjin_semichem</t>
        </is>
      </c>
      <c r="E887" s="27" t="inlineStr">
        <is>
          <t>005290</t>
        </is>
      </c>
      <c r="F887" s="27" t="inlineStr">
        <is>
          <t>2025</t>
        </is>
      </c>
      <c r="G887" s="27" t="inlineStr">
        <is>
          <t>CFS</t>
        </is>
      </c>
      <c r="H887" s="27" t="inlineStr">
        <is>
          <t>BS</t>
        </is>
      </c>
      <c r="I887" s="27" t="inlineStr">
        <is>
          <t>재무상태표</t>
        </is>
      </c>
      <c r="J887" s="27" t="inlineStr">
        <is>
          <t>ifrs-full_LiabilitiesIncludedInDisposalGroupsClassifiedAsHeldForSale</t>
        </is>
      </c>
      <c r="K887" s="27" t="inlineStr">
        <is>
          <t>매각예정부채</t>
        </is>
      </c>
      <c r="L887" s="27" t="inlineStr">
        <is>
          <t>-</t>
        </is>
      </c>
      <c r="M887" s="27" t="inlineStr">
        <is>
          <t>제 53 기</t>
        </is>
      </c>
      <c r="N887" s="27" t="inlineStr">
        <is>
          <t>85862396643.0</t>
        </is>
      </c>
      <c r="O887" s="27" t="inlineStr">
        <is>
          <t>0.0</t>
        </is>
      </c>
      <c r="P887" s="27" t="inlineStr">
        <is>
          <t>KRW</t>
        </is>
      </c>
      <c r="Q887" s="27" t="inlineStr">
        <is>
          <t>40</t>
        </is>
      </c>
    </row>
    <row r="888" ht="24" customHeight="1">
      <c r="A888" s="32" t="inlineStr">
        <is>
          <t>OpenDART_fnlttSinglAcntAll</t>
        </is>
      </c>
      <c r="B888" s="32" t="inlineStr">
        <is>
          <t>00118804</t>
        </is>
      </c>
      <c r="C888" s="32" t="inlineStr">
        <is>
          <t>동진쎄미켐</t>
        </is>
      </c>
      <c r="D888" s="32" t="inlineStr">
        <is>
          <t>dongjin_semichem</t>
        </is>
      </c>
      <c r="E888" s="32" t="inlineStr">
        <is>
          <t>005290</t>
        </is>
      </c>
      <c r="F888" s="32" t="inlineStr">
        <is>
          <t>2025</t>
        </is>
      </c>
      <c r="G888" s="32" t="inlineStr">
        <is>
          <t>CFS</t>
        </is>
      </c>
      <c r="H888" s="32" t="inlineStr">
        <is>
          <t>BS</t>
        </is>
      </c>
      <c r="I888" s="32" t="inlineStr">
        <is>
          <t>재무상태표</t>
        </is>
      </c>
      <c r="J888" s="32" t="inlineStr">
        <is>
          <t>ifrs-full_OtherCurrentLiabilities</t>
        </is>
      </c>
      <c r="K888" s="32" t="inlineStr">
        <is>
          <t>기타유동부채</t>
        </is>
      </c>
      <c r="L888" s="32" t="inlineStr">
        <is>
          <t>-</t>
        </is>
      </c>
      <c r="M888" s="32" t="inlineStr">
        <is>
          <t>제 53 기</t>
        </is>
      </c>
      <c r="N888" s="32" t="inlineStr">
        <is>
          <t>28031204899.0</t>
        </is>
      </c>
      <c r="O888" s="32" t="inlineStr">
        <is>
          <t>30499881598.0</t>
        </is>
      </c>
      <c r="P888" s="32" t="inlineStr">
        <is>
          <t>KRW</t>
        </is>
      </c>
      <c r="Q888" s="32" t="inlineStr">
        <is>
          <t>41</t>
        </is>
      </c>
    </row>
    <row r="889" ht="24" customHeight="1">
      <c r="A889" s="27" t="inlineStr">
        <is>
          <t>OpenDART_fnlttSinglAcntAll</t>
        </is>
      </c>
      <c r="B889" s="27" t="inlineStr">
        <is>
          <t>00118804</t>
        </is>
      </c>
      <c r="C889" s="27" t="inlineStr">
        <is>
          <t>동진쎄미켐</t>
        </is>
      </c>
      <c r="D889" s="27" t="inlineStr">
        <is>
          <t>dongjin_semichem</t>
        </is>
      </c>
      <c r="E889" s="27" t="inlineStr">
        <is>
          <t>005290</t>
        </is>
      </c>
      <c r="F889" s="27" t="inlineStr">
        <is>
          <t>2025</t>
        </is>
      </c>
      <c r="G889" s="27" t="inlineStr">
        <is>
          <t>CFS</t>
        </is>
      </c>
      <c r="H889" s="27" t="inlineStr">
        <is>
          <t>BS</t>
        </is>
      </c>
      <c r="I889" s="27" t="inlineStr">
        <is>
          <t>재무상태표</t>
        </is>
      </c>
      <c r="J889" s="27" t="inlineStr">
        <is>
          <t>ifrs-full_TradeAndOtherCurrentPayables</t>
        </is>
      </c>
      <c r="K889" s="27" t="inlineStr">
        <is>
          <t>매입채무및기타채무</t>
        </is>
      </c>
      <c r="L889" s="27" t="inlineStr">
        <is>
          <t>-</t>
        </is>
      </c>
      <c r="M889" s="27" t="inlineStr">
        <is>
          <t>제 53 기</t>
        </is>
      </c>
      <c r="N889" s="27" t="inlineStr">
        <is>
          <t>86455107726.0</t>
        </is>
      </c>
      <c r="O889" s="27" t="inlineStr">
        <is>
          <t>119269439196.0</t>
        </is>
      </c>
      <c r="P889" s="27" t="inlineStr">
        <is>
          <t>KRW</t>
        </is>
      </c>
      <c r="Q889" s="27" t="inlineStr">
        <is>
          <t>42</t>
        </is>
      </c>
    </row>
    <row r="890" ht="24" customHeight="1">
      <c r="A890" s="32" t="inlineStr">
        <is>
          <t>OpenDART_fnlttSinglAcntAll</t>
        </is>
      </c>
      <c r="B890" s="32" t="inlineStr">
        <is>
          <t>00118804</t>
        </is>
      </c>
      <c r="C890" s="32" t="inlineStr">
        <is>
          <t>동진쎄미켐</t>
        </is>
      </c>
      <c r="D890" s="32" t="inlineStr">
        <is>
          <t>dongjin_semichem</t>
        </is>
      </c>
      <c r="E890" s="32" t="inlineStr">
        <is>
          <t>005290</t>
        </is>
      </c>
      <c r="F890" s="32" t="inlineStr">
        <is>
          <t>2025</t>
        </is>
      </c>
      <c r="G890" s="32" t="inlineStr">
        <is>
          <t>CFS</t>
        </is>
      </c>
      <c r="H890" s="32" t="inlineStr">
        <is>
          <t>BS</t>
        </is>
      </c>
      <c r="I890" s="32" t="inlineStr">
        <is>
          <t>재무상태표</t>
        </is>
      </c>
      <c r="J890" s="32" t="inlineStr">
        <is>
          <t>ifrs-full_Liabilities</t>
        </is>
      </c>
      <c r="K890" s="32" t="inlineStr">
        <is>
          <t>부채총계</t>
        </is>
      </c>
      <c r="L890" s="32" t="inlineStr">
        <is>
          <t>-</t>
        </is>
      </c>
      <c r="M890" s="32" t="inlineStr">
        <is>
          <t>제 53 기</t>
        </is>
      </c>
      <c r="N890" s="32" t="inlineStr">
        <is>
          <t>904550189105.0</t>
        </is>
      </c>
      <c r="O890" s="32" t="inlineStr">
        <is>
          <t>996558402618.0</t>
        </is>
      </c>
      <c r="P890" s="32" t="inlineStr">
        <is>
          <t>KRW</t>
        </is>
      </c>
      <c r="Q890" s="32" t="inlineStr">
        <is>
          <t>43</t>
        </is>
      </c>
    </row>
    <row r="891" ht="24" customHeight="1">
      <c r="A891" s="27" t="inlineStr">
        <is>
          <t>OpenDART_fnlttSinglAcntAll</t>
        </is>
      </c>
      <c r="B891" s="27" t="inlineStr">
        <is>
          <t>00118804</t>
        </is>
      </c>
      <c r="C891" s="27" t="inlineStr">
        <is>
          <t>동진쎄미켐</t>
        </is>
      </c>
      <c r="D891" s="27" t="inlineStr">
        <is>
          <t>dongjin_semichem</t>
        </is>
      </c>
      <c r="E891" s="27" t="inlineStr">
        <is>
          <t>005290</t>
        </is>
      </c>
      <c r="F891" s="27" t="inlineStr">
        <is>
          <t>2025</t>
        </is>
      </c>
      <c r="G891" s="27" t="inlineStr">
        <is>
          <t>CFS</t>
        </is>
      </c>
      <c r="H891" s="27" t="inlineStr">
        <is>
          <t>BS</t>
        </is>
      </c>
      <c r="I891" s="27" t="inlineStr">
        <is>
          <t>재무상태표</t>
        </is>
      </c>
      <c r="J891" s="27" t="inlineStr">
        <is>
          <t>ifrs-full_NoncurrentLiabilities</t>
        </is>
      </c>
      <c r="K891" s="27" t="inlineStr">
        <is>
          <t>비유동부채</t>
        </is>
      </c>
      <c r="L891" s="27" t="inlineStr">
        <is>
          <t>-</t>
        </is>
      </c>
      <c r="M891" s="27" t="inlineStr">
        <is>
          <t>제 53 기</t>
        </is>
      </c>
      <c r="N891" s="27" t="inlineStr">
        <is>
          <t>325182989030.0</t>
        </is>
      </c>
      <c r="O891" s="27" t="inlineStr">
        <is>
          <t>273789675413.0</t>
        </is>
      </c>
      <c r="P891" s="27" t="inlineStr">
        <is>
          <t>KRW</t>
        </is>
      </c>
      <c r="Q891" s="27" t="inlineStr">
        <is>
          <t>44</t>
        </is>
      </c>
    </row>
    <row r="892" ht="24" customHeight="1">
      <c r="A892" s="32" t="inlineStr">
        <is>
          <t>OpenDART_fnlttSinglAcntAll</t>
        </is>
      </c>
      <c r="B892" s="32" t="inlineStr">
        <is>
          <t>00118804</t>
        </is>
      </c>
      <c r="C892" s="32" t="inlineStr">
        <is>
          <t>동진쎄미켐</t>
        </is>
      </c>
      <c r="D892" s="32" t="inlineStr">
        <is>
          <t>dongjin_semichem</t>
        </is>
      </c>
      <c r="E892" s="32" t="inlineStr">
        <is>
          <t>005290</t>
        </is>
      </c>
      <c r="F892" s="32" t="inlineStr">
        <is>
          <t>2025</t>
        </is>
      </c>
      <c r="G892" s="32" t="inlineStr">
        <is>
          <t>CFS</t>
        </is>
      </c>
      <c r="H892" s="32" t="inlineStr">
        <is>
          <t>BS</t>
        </is>
      </c>
      <c r="I892" s="32" t="inlineStr">
        <is>
          <t>재무상태표</t>
        </is>
      </c>
      <c r="J892" s="32" t="inlineStr">
        <is>
          <t>ifrs-full_DeferredTaxLiabilities</t>
        </is>
      </c>
      <c r="K892" s="32" t="inlineStr">
        <is>
          <t>이연법인세부채</t>
        </is>
      </c>
      <c r="L892" s="32" t="inlineStr">
        <is>
          <t>-</t>
        </is>
      </c>
      <c r="M892" s="32" t="inlineStr">
        <is>
          <t>제 53 기</t>
        </is>
      </c>
      <c r="N892" s="32" t="inlineStr">
        <is>
          <t>8402937964.0</t>
        </is>
      </c>
      <c r="O892" s="32" t="inlineStr">
        <is>
          <t>396172317.0</t>
        </is>
      </c>
      <c r="P892" s="32" t="inlineStr">
        <is>
          <t>KRW</t>
        </is>
      </c>
      <c r="Q892" s="32" t="inlineStr">
        <is>
          <t>45</t>
        </is>
      </c>
    </row>
    <row r="893" ht="24" customHeight="1">
      <c r="A893" s="27" t="inlineStr">
        <is>
          <t>OpenDART_fnlttSinglAcntAll</t>
        </is>
      </c>
      <c r="B893" s="27" t="inlineStr">
        <is>
          <t>00118804</t>
        </is>
      </c>
      <c r="C893" s="27" t="inlineStr">
        <is>
          <t>동진쎄미켐</t>
        </is>
      </c>
      <c r="D893" s="27" t="inlineStr">
        <is>
          <t>dongjin_semichem</t>
        </is>
      </c>
      <c r="E893" s="27" t="inlineStr">
        <is>
          <t>005290</t>
        </is>
      </c>
      <c r="F893" s="27" t="inlineStr">
        <is>
          <t>2025</t>
        </is>
      </c>
      <c r="G893" s="27" t="inlineStr">
        <is>
          <t>CFS</t>
        </is>
      </c>
      <c r="H893" s="27" t="inlineStr">
        <is>
          <t>BS</t>
        </is>
      </c>
      <c r="I893" s="27" t="inlineStr">
        <is>
          <t>재무상태표</t>
        </is>
      </c>
      <c r="J893" s="27" t="inlineStr">
        <is>
          <t>ifrs-full_LongtermBorrowings</t>
        </is>
      </c>
      <c r="K893" s="27" t="inlineStr">
        <is>
          <t>장기차입금</t>
        </is>
      </c>
      <c r="L893" s="27" t="inlineStr">
        <is>
          <t>-</t>
        </is>
      </c>
      <c r="M893" s="27" t="inlineStr">
        <is>
          <t>제 53 기</t>
        </is>
      </c>
      <c r="N893" s="27" t="inlineStr">
        <is>
          <t>304175588224.0</t>
        </is>
      </c>
      <c r="O893" s="27" t="inlineStr">
        <is>
          <t>247369219949.0</t>
        </is>
      </c>
      <c r="P893" s="27" t="inlineStr">
        <is>
          <t>KRW</t>
        </is>
      </c>
      <c r="Q893" s="27" t="inlineStr">
        <is>
          <t>46</t>
        </is>
      </c>
    </row>
    <row r="894" ht="24" customHeight="1">
      <c r="A894" s="32" t="inlineStr">
        <is>
          <t>OpenDART_fnlttSinglAcntAll</t>
        </is>
      </c>
      <c r="B894" s="32" t="inlineStr">
        <is>
          <t>00118804</t>
        </is>
      </c>
      <c r="C894" s="32" t="inlineStr">
        <is>
          <t>동진쎄미켐</t>
        </is>
      </c>
      <c r="D894" s="32" t="inlineStr">
        <is>
          <t>dongjin_semichem</t>
        </is>
      </c>
      <c r="E894" s="32" t="inlineStr">
        <is>
          <t>005290</t>
        </is>
      </c>
      <c r="F894" s="32" t="inlineStr">
        <is>
          <t>2025</t>
        </is>
      </c>
      <c r="G894" s="32" t="inlineStr">
        <is>
          <t>CFS</t>
        </is>
      </c>
      <c r="H894" s="32" t="inlineStr">
        <is>
          <t>BS</t>
        </is>
      </c>
      <c r="I894" s="32" t="inlineStr">
        <is>
          <t>재무상태표</t>
        </is>
      </c>
      <c r="J894" s="32" t="inlineStr">
        <is>
          <t>ifrs-full_NoncurrentLeaseLiabilities</t>
        </is>
      </c>
      <c r="K894" s="32" t="inlineStr">
        <is>
          <t>장기리스부채</t>
        </is>
      </c>
      <c r="L894" s="32" t="inlineStr">
        <is>
          <t>-</t>
        </is>
      </c>
      <c r="M894" s="32" t="inlineStr">
        <is>
          <t>제 53 기</t>
        </is>
      </c>
      <c r="N894" s="32" t="inlineStr">
        <is>
          <t>8132315832.0</t>
        </is>
      </c>
      <c r="O894" s="32" t="inlineStr">
        <is>
          <t>12125841898.0</t>
        </is>
      </c>
      <c r="P894" s="32" t="inlineStr">
        <is>
          <t>KRW</t>
        </is>
      </c>
      <c r="Q894" s="32" t="inlineStr">
        <is>
          <t>47</t>
        </is>
      </c>
    </row>
    <row r="895" ht="24" customHeight="1">
      <c r="A895" s="27" t="inlineStr">
        <is>
          <t>OpenDART_fnlttSinglAcntAll</t>
        </is>
      </c>
      <c r="B895" s="27" t="inlineStr">
        <is>
          <t>00118804</t>
        </is>
      </c>
      <c r="C895" s="27" t="inlineStr">
        <is>
          <t>동진쎄미켐</t>
        </is>
      </c>
      <c r="D895" s="27" t="inlineStr">
        <is>
          <t>dongjin_semichem</t>
        </is>
      </c>
      <c r="E895" s="27" t="inlineStr">
        <is>
          <t>005290</t>
        </is>
      </c>
      <c r="F895" s="27" t="inlineStr">
        <is>
          <t>2025</t>
        </is>
      </c>
      <c r="G895" s="27" t="inlineStr">
        <is>
          <t>CFS</t>
        </is>
      </c>
      <c r="H895" s="27" t="inlineStr">
        <is>
          <t>BS</t>
        </is>
      </c>
      <c r="I895" s="27" t="inlineStr">
        <is>
          <t>재무상태표</t>
        </is>
      </c>
      <c r="J895" s="27" t="inlineStr">
        <is>
          <t>ifrs-full_NoncurrentPayables</t>
        </is>
      </c>
      <c r="K895" s="27" t="inlineStr">
        <is>
          <t>장기매입채무및기타채무</t>
        </is>
      </c>
      <c r="L895" s="27" t="inlineStr">
        <is>
          <t>-</t>
        </is>
      </c>
      <c r="M895" s="27" t="inlineStr">
        <is>
          <t>제 53 기</t>
        </is>
      </c>
      <c r="N895" s="27" t="inlineStr">
        <is>
          <t>326229485.0</t>
        </is>
      </c>
      <c r="O895" s="27" t="inlineStr">
        <is>
          <t>873929641.0</t>
        </is>
      </c>
      <c r="P895" s="27" t="inlineStr">
        <is>
          <t>KRW</t>
        </is>
      </c>
      <c r="Q895" s="27" t="inlineStr">
        <is>
          <t>48</t>
        </is>
      </c>
    </row>
    <row r="896" ht="24" customHeight="1">
      <c r="A896" s="32" t="inlineStr">
        <is>
          <t>OpenDART_fnlttSinglAcntAll</t>
        </is>
      </c>
      <c r="B896" s="32" t="inlineStr">
        <is>
          <t>00118804</t>
        </is>
      </c>
      <c r="C896" s="32" t="inlineStr">
        <is>
          <t>동진쎄미켐</t>
        </is>
      </c>
      <c r="D896" s="32" t="inlineStr">
        <is>
          <t>dongjin_semichem</t>
        </is>
      </c>
      <c r="E896" s="32" t="inlineStr">
        <is>
          <t>005290</t>
        </is>
      </c>
      <c r="F896" s="32" t="inlineStr">
        <is>
          <t>2025</t>
        </is>
      </c>
      <c r="G896" s="32" t="inlineStr">
        <is>
          <t>CFS</t>
        </is>
      </c>
      <c r="H896" s="32" t="inlineStr">
        <is>
          <t>BS</t>
        </is>
      </c>
      <c r="I896" s="32" t="inlineStr">
        <is>
          <t>재무상태표</t>
        </is>
      </c>
      <c r="J896" s="32" t="inlineStr">
        <is>
          <t>ifrs-full_NoncurrentRecognisedLiabilitiesDefinedBenefitPlan</t>
        </is>
      </c>
      <c r="K896" s="32" t="inlineStr">
        <is>
          <t>순확정급여부채</t>
        </is>
      </c>
      <c r="L896" s="32" t="inlineStr">
        <is>
          <t>-</t>
        </is>
      </c>
      <c r="M896" s="32" t="inlineStr">
        <is>
          <t>제 53 기</t>
        </is>
      </c>
      <c r="N896" s="32" t="inlineStr">
        <is>
          <t>2709478495.0</t>
        </is>
      </c>
      <c r="O896" s="32" t="inlineStr">
        <is>
          <t>12095307516.0</t>
        </is>
      </c>
      <c r="P896" s="32" t="inlineStr">
        <is>
          <t>KRW</t>
        </is>
      </c>
      <c r="Q896" s="32" t="inlineStr">
        <is>
          <t>49</t>
        </is>
      </c>
    </row>
    <row r="897" ht="24" customHeight="1">
      <c r="A897" s="27" t="inlineStr">
        <is>
          <t>OpenDART_fnlttSinglAcntAll</t>
        </is>
      </c>
      <c r="B897" s="27" t="inlineStr">
        <is>
          <t>00118804</t>
        </is>
      </c>
      <c r="C897" s="27" t="inlineStr">
        <is>
          <t>동진쎄미켐</t>
        </is>
      </c>
      <c r="D897" s="27" t="inlineStr">
        <is>
          <t>dongjin_semichem</t>
        </is>
      </c>
      <c r="E897" s="27" t="inlineStr">
        <is>
          <t>005290</t>
        </is>
      </c>
      <c r="F897" s="27" t="inlineStr">
        <is>
          <t>2025</t>
        </is>
      </c>
      <c r="G897" s="27" t="inlineStr">
        <is>
          <t>CFS</t>
        </is>
      </c>
      <c r="H897" s="27" t="inlineStr">
        <is>
          <t>BS</t>
        </is>
      </c>
      <c r="I897" s="27" t="inlineStr">
        <is>
          <t>재무상태표</t>
        </is>
      </c>
      <c r="J897" s="27" t="inlineStr">
        <is>
          <t>ifrs-full_OtherNoncurrentLiabilities</t>
        </is>
      </c>
      <c r="K897" s="27" t="inlineStr">
        <is>
          <t>기타비유동부채</t>
        </is>
      </c>
      <c r="L897" s="27" t="inlineStr">
        <is>
          <t>-</t>
        </is>
      </c>
      <c r="M897" s="27" t="inlineStr">
        <is>
          <t>제 53 기</t>
        </is>
      </c>
      <c r="N897" s="27" t="inlineStr">
        <is>
          <t>1436439030.0</t>
        </is>
      </c>
      <c r="O897" s="27" t="inlineStr">
        <is>
          <t>929204092.0</t>
        </is>
      </c>
      <c r="P897" s="27" t="inlineStr">
        <is>
          <t>KRW</t>
        </is>
      </c>
      <c r="Q897" s="27" t="inlineStr">
        <is>
          <t>50</t>
        </is>
      </c>
    </row>
    <row r="898" ht="24" customHeight="1">
      <c r="A898" s="32" t="inlineStr">
        <is>
          <t>OpenDART_fnlttSinglAcntAll</t>
        </is>
      </c>
      <c r="B898" s="32" t="inlineStr">
        <is>
          <t>00118804</t>
        </is>
      </c>
      <c r="C898" s="32" t="inlineStr">
        <is>
          <t>동진쎄미켐</t>
        </is>
      </c>
      <c r="D898" s="32" t="inlineStr">
        <is>
          <t>dongjin_semichem</t>
        </is>
      </c>
      <c r="E898" s="32" t="inlineStr">
        <is>
          <t>005290</t>
        </is>
      </c>
      <c r="F898" s="32" t="inlineStr">
        <is>
          <t>2025</t>
        </is>
      </c>
      <c r="G898" s="32" t="inlineStr">
        <is>
          <t>CFS</t>
        </is>
      </c>
      <c r="H898" s="32" t="inlineStr">
        <is>
          <t>CIS</t>
        </is>
      </c>
      <c r="I898" s="32" t="inlineStr">
        <is>
          <t>포괄손익계산서</t>
        </is>
      </c>
      <c r="J898" s="32" t="inlineStr">
        <is>
          <t>dart_NonOperatingProfitLoss</t>
        </is>
      </c>
      <c r="K898" s="32" t="inlineStr">
        <is>
          <t>기타영업외손익</t>
        </is>
      </c>
      <c r="L898" s="32" t="inlineStr">
        <is>
          <t>-</t>
        </is>
      </c>
      <c r="M898" s="32" t="inlineStr">
        <is>
          <t>제 53 기</t>
        </is>
      </c>
      <c r="N898" s="32" t="inlineStr">
        <is>
          <t>-50631599986.0</t>
        </is>
      </c>
      <c r="O898" s="32" t="inlineStr">
        <is>
          <t>10708789463.0</t>
        </is>
      </c>
      <c r="P898" s="32" t="inlineStr">
        <is>
          <t>KRW</t>
        </is>
      </c>
      <c r="Q898" s="32" t="inlineStr">
        <is>
          <t>6</t>
        </is>
      </c>
    </row>
    <row r="899" ht="24" customHeight="1">
      <c r="A899" s="27" t="inlineStr">
        <is>
          <t>OpenDART_fnlttSinglAcntAll</t>
        </is>
      </c>
      <c r="B899" s="27" t="inlineStr">
        <is>
          <t>00118804</t>
        </is>
      </c>
      <c r="C899" s="27" t="inlineStr">
        <is>
          <t>동진쎄미켐</t>
        </is>
      </c>
      <c r="D899" s="27" t="inlineStr">
        <is>
          <t>dongjin_semichem</t>
        </is>
      </c>
      <c r="E899" s="27" t="inlineStr">
        <is>
          <t>005290</t>
        </is>
      </c>
      <c r="F899" s="27" t="inlineStr">
        <is>
          <t>2025</t>
        </is>
      </c>
      <c r="G899" s="27" t="inlineStr">
        <is>
          <t>CFS</t>
        </is>
      </c>
      <c r="H899" s="27" t="inlineStr">
        <is>
          <t>CIS</t>
        </is>
      </c>
      <c r="I899" s="27" t="inlineStr">
        <is>
          <t>포괄손익계산서</t>
        </is>
      </c>
      <c r="J899" s="27" t="inlineStr">
        <is>
          <t>dart_OperatingIncomeLoss</t>
        </is>
      </c>
      <c r="K899" s="27" t="inlineStr">
        <is>
          <t>영업이익</t>
        </is>
      </c>
      <c r="L899" s="27" t="inlineStr">
        <is>
          <t>-</t>
        </is>
      </c>
      <c r="M899" s="27" t="inlineStr">
        <is>
          <t>제 53 기</t>
        </is>
      </c>
      <c r="N899" s="27" t="inlineStr">
        <is>
          <t>172448889381.0</t>
        </is>
      </c>
      <c r="O899" s="27" t="inlineStr">
        <is>
          <t>175412739519.0</t>
        </is>
      </c>
      <c r="P899" s="27" t="inlineStr">
        <is>
          <t>KRW</t>
        </is>
      </c>
      <c r="Q899" s="27" t="inlineStr">
        <is>
          <t>7</t>
        </is>
      </c>
    </row>
    <row r="900" ht="24" customHeight="1">
      <c r="A900" s="32" t="inlineStr">
        <is>
          <t>OpenDART_fnlttSinglAcntAll</t>
        </is>
      </c>
      <c r="B900" s="32" t="inlineStr">
        <is>
          <t>00118804</t>
        </is>
      </c>
      <c r="C900" s="32" t="inlineStr">
        <is>
          <t>동진쎄미켐</t>
        </is>
      </c>
      <c r="D900" s="32" t="inlineStr">
        <is>
          <t>dongjin_semichem</t>
        </is>
      </c>
      <c r="E900" s="32" t="inlineStr">
        <is>
          <t>005290</t>
        </is>
      </c>
      <c r="F900" s="32" t="inlineStr">
        <is>
          <t>2025</t>
        </is>
      </c>
      <c r="G900" s="32" t="inlineStr">
        <is>
          <t>CFS</t>
        </is>
      </c>
      <c r="H900" s="32" t="inlineStr">
        <is>
          <t>CIS</t>
        </is>
      </c>
      <c r="I900" s="32" t="inlineStr">
        <is>
          <t>포괄손익계산서</t>
        </is>
      </c>
      <c r="J900" s="32" t="inlineStr">
        <is>
          <t>dart_TotalSellingGeneralAdministrativeExpenses</t>
        </is>
      </c>
      <c r="K900" s="32" t="inlineStr">
        <is>
          <t>판매관리비</t>
        </is>
      </c>
      <c r="L900" s="32" t="inlineStr">
        <is>
          <t>-</t>
        </is>
      </c>
      <c r="M900" s="32" t="inlineStr">
        <is>
          <t>제 53 기</t>
        </is>
      </c>
      <c r="N900" s="32" t="inlineStr">
        <is>
          <t>96352368450.0</t>
        </is>
      </c>
      <c r="O900" s="32" t="inlineStr">
        <is>
          <t>82314142730.0</t>
        </is>
      </c>
      <c r="P900" s="32" t="inlineStr">
        <is>
          <t>KRW</t>
        </is>
      </c>
      <c r="Q900" s="32" t="inlineStr">
        <is>
          <t>8</t>
        </is>
      </c>
    </row>
    <row r="901" ht="24" customHeight="1">
      <c r="A901" s="27" t="inlineStr">
        <is>
          <t>OpenDART_fnlttSinglAcntAll</t>
        </is>
      </c>
      <c r="B901" s="27" t="inlineStr">
        <is>
          <t>00118804</t>
        </is>
      </c>
      <c r="C901" s="27" t="inlineStr">
        <is>
          <t>동진쎄미켐</t>
        </is>
      </c>
      <c r="D901" s="27" t="inlineStr">
        <is>
          <t>dongjin_semichem</t>
        </is>
      </c>
      <c r="E901" s="27" t="inlineStr">
        <is>
          <t>005290</t>
        </is>
      </c>
      <c r="F901" s="27" t="inlineStr">
        <is>
          <t>2025</t>
        </is>
      </c>
      <c r="G901" s="27" t="inlineStr">
        <is>
          <t>CFS</t>
        </is>
      </c>
      <c r="H901" s="27" t="inlineStr">
        <is>
          <t>CIS</t>
        </is>
      </c>
      <c r="I901" s="27" t="inlineStr">
        <is>
          <t>포괄손익계산서</t>
        </is>
      </c>
      <c r="J901" s="27" t="inlineStr">
        <is>
          <t>-표준계정코드 미사용-</t>
        </is>
      </c>
      <c r="K901" s="27" t="inlineStr">
        <is>
          <t>물류비</t>
        </is>
      </c>
      <c r="L901" s="27" t="inlineStr">
        <is>
          <t>-</t>
        </is>
      </c>
      <c r="M901" s="27" t="inlineStr">
        <is>
          <t>제 53 기</t>
        </is>
      </c>
      <c r="N901" s="27" t="inlineStr">
        <is>
          <t>16912919229.0</t>
        </is>
      </c>
      <c r="O901" s="27" t="inlineStr">
        <is>
          <t>18392093759.0</t>
        </is>
      </c>
      <c r="P901" s="27" t="inlineStr">
        <is>
          <t>KRW</t>
        </is>
      </c>
      <c r="Q901" s="27" t="inlineStr">
        <is>
          <t>9</t>
        </is>
      </c>
    </row>
    <row r="902" ht="24" customHeight="1">
      <c r="A902" s="32" t="inlineStr">
        <is>
          <t>OpenDART_fnlttSinglAcntAll</t>
        </is>
      </c>
      <c r="B902" s="32" t="inlineStr">
        <is>
          <t>00118804</t>
        </is>
      </c>
      <c r="C902" s="32" t="inlineStr">
        <is>
          <t>동진쎄미켐</t>
        </is>
      </c>
      <c r="D902" s="32" t="inlineStr">
        <is>
          <t>dongjin_semichem</t>
        </is>
      </c>
      <c r="E902" s="32" t="inlineStr">
        <is>
          <t>005290</t>
        </is>
      </c>
      <c r="F902" s="32" t="inlineStr">
        <is>
          <t>2025</t>
        </is>
      </c>
      <c r="G902" s="32" t="inlineStr">
        <is>
          <t>CFS</t>
        </is>
      </c>
      <c r="H902" s="32" t="inlineStr">
        <is>
          <t>CIS</t>
        </is>
      </c>
      <c r="I902" s="32" t="inlineStr">
        <is>
          <t>포괄손익계산서</t>
        </is>
      </c>
      <c r="J902" s="32" t="inlineStr">
        <is>
          <t>-표준계정코드 미사용-</t>
        </is>
      </c>
      <c r="K902" s="32" t="inlineStr">
        <is>
          <t>연구개발비</t>
        </is>
      </c>
      <c r="L902" s="32" t="inlineStr">
        <is>
          <t>-</t>
        </is>
      </c>
      <c r="M902" s="32" t="inlineStr">
        <is>
          <t>제 53 기</t>
        </is>
      </c>
      <c r="N902" s="32" t="inlineStr">
        <is>
          <t>24481802841.0</t>
        </is>
      </c>
      <c r="O902" s="32" t="inlineStr">
        <is>
          <t>23423784625.0</t>
        </is>
      </c>
      <c r="P902" s="32" t="inlineStr">
        <is>
          <t>KRW</t>
        </is>
      </c>
      <c r="Q902" s="32" t="inlineStr">
        <is>
          <t>10</t>
        </is>
      </c>
    </row>
    <row r="903" ht="24" customHeight="1">
      <c r="A903" s="27" t="inlineStr">
        <is>
          <t>OpenDART_fnlttSinglAcntAll</t>
        </is>
      </c>
      <c r="B903" s="27" t="inlineStr">
        <is>
          <t>00118804</t>
        </is>
      </c>
      <c r="C903" s="27" t="inlineStr">
        <is>
          <t>동진쎄미켐</t>
        </is>
      </c>
      <c r="D903" s="27" t="inlineStr">
        <is>
          <t>dongjin_semichem</t>
        </is>
      </c>
      <c r="E903" s="27" t="inlineStr">
        <is>
          <t>005290</t>
        </is>
      </c>
      <c r="F903" s="27" t="inlineStr">
        <is>
          <t>2025</t>
        </is>
      </c>
      <c r="G903" s="27" t="inlineStr">
        <is>
          <t>CFS</t>
        </is>
      </c>
      <c r="H903" s="27" t="inlineStr">
        <is>
          <t>CIS</t>
        </is>
      </c>
      <c r="I903" s="27" t="inlineStr">
        <is>
          <t>포괄손익계산서</t>
        </is>
      </c>
      <c r="J903" s="27" t="inlineStr">
        <is>
          <t>ifrs-full_ComprehensiveIncome</t>
        </is>
      </c>
      <c r="K903" s="27" t="inlineStr">
        <is>
          <t>총포괄손익</t>
        </is>
      </c>
      <c r="L903" s="27" t="inlineStr">
        <is>
          <t>-</t>
        </is>
      </c>
      <c r="M903" s="27" t="inlineStr">
        <is>
          <t>제 53 기</t>
        </is>
      </c>
      <c r="N903" s="27" t="inlineStr">
        <is>
          <t>92561533532.0</t>
        </is>
      </c>
      <c r="O903" s="27" t="inlineStr">
        <is>
          <t>191186914304.0</t>
        </is>
      </c>
      <c r="P903" s="27" t="inlineStr">
        <is>
          <t>KRW</t>
        </is>
      </c>
      <c r="Q903" s="27" t="inlineStr">
        <is>
          <t>11</t>
        </is>
      </c>
    </row>
    <row r="904" ht="24" customHeight="1">
      <c r="A904" s="32" t="inlineStr">
        <is>
          <t>OpenDART_fnlttSinglAcntAll</t>
        </is>
      </c>
      <c r="B904" s="32" t="inlineStr">
        <is>
          <t>00118804</t>
        </is>
      </c>
      <c r="C904" s="32" t="inlineStr">
        <is>
          <t>동진쎄미켐</t>
        </is>
      </c>
      <c r="D904" s="32" t="inlineStr">
        <is>
          <t>dongjin_semichem</t>
        </is>
      </c>
      <c r="E904" s="32" t="inlineStr">
        <is>
          <t>005290</t>
        </is>
      </c>
      <c r="F904" s="32" t="inlineStr">
        <is>
          <t>2025</t>
        </is>
      </c>
      <c r="G904" s="32" t="inlineStr">
        <is>
          <t>CFS</t>
        </is>
      </c>
      <c r="H904" s="32" t="inlineStr">
        <is>
          <t>CIS</t>
        </is>
      </c>
      <c r="I904" s="32" t="inlineStr">
        <is>
          <t>포괄손익계산서</t>
        </is>
      </c>
      <c r="J904" s="32" t="inlineStr">
        <is>
          <t>ifrs-full_ComprehensiveIncomeAttributableToNoncontrollingInterests</t>
        </is>
      </c>
      <c r="K904" s="32" t="inlineStr">
        <is>
          <t>비지배지분</t>
        </is>
      </c>
      <c r="L904" s="32" t="inlineStr">
        <is>
          <t>-</t>
        </is>
      </c>
      <c r="M904" s="32" t="inlineStr">
        <is>
          <t>제 53 기</t>
        </is>
      </c>
      <c r="N904" s="32" t="inlineStr">
        <is>
          <t>-5698614093.0</t>
        </is>
      </c>
      <c r="O904" s="32" t="inlineStr">
        <is>
          <t>-7199576724.0</t>
        </is>
      </c>
      <c r="P904" s="32" t="inlineStr">
        <is>
          <t>KRW</t>
        </is>
      </c>
      <c r="Q904" s="32" t="inlineStr">
        <is>
          <t>13</t>
        </is>
      </c>
    </row>
    <row r="905" ht="24" customHeight="1">
      <c r="A905" s="27" t="inlineStr">
        <is>
          <t>OpenDART_fnlttSinglAcntAll</t>
        </is>
      </c>
      <c r="B905" s="27" t="inlineStr">
        <is>
          <t>00118804</t>
        </is>
      </c>
      <c r="C905" s="27" t="inlineStr">
        <is>
          <t>동진쎄미켐</t>
        </is>
      </c>
      <c r="D905" s="27" t="inlineStr">
        <is>
          <t>dongjin_semichem</t>
        </is>
      </c>
      <c r="E905" s="27" t="inlineStr">
        <is>
          <t>005290</t>
        </is>
      </c>
      <c r="F905" s="27" t="inlineStr">
        <is>
          <t>2025</t>
        </is>
      </c>
      <c r="G905" s="27" t="inlineStr">
        <is>
          <t>CFS</t>
        </is>
      </c>
      <c r="H905" s="27" t="inlineStr">
        <is>
          <t>CIS</t>
        </is>
      </c>
      <c r="I905" s="27" t="inlineStr">
        <is>
          <t>포괄손익계산서</t>
        </is>
      </c>
      <c r="J905" s="27" t="inlineStr">
        <is>
          <t>ifrs-full_ComprehensiveIncomeAttributableToOwnersOfParent</t>
        </is>
      </c>
      <c r="K905" s="27" t="inlineStr">
        <is>
          <t>지배기업 소유주지분</t>
        </is>
      </c>
      <c r="L905" s="27" t="inlineStr">
        <is>
          <t>-</t>
        </is>
      </c>
      <c r="M905" s="27" t="inlineStr">
        <is>
          <t>제 53 기</t>
        </is>
      </c>
      <c r="N905" s="27" t="inlineStr">
        <is>
          <t>98260147625.0</t>
        </is>
      </c>
      <c r="O905" s="27" t="inlineStr">
        <is>
          <t>198386491028.0</t>
        </is>
      </c>
      <c r="P905" s="27" t="inlineStr">
        <is>
          <t>KRW</t>
        </is>
      </c>
      <c r="Q905" s="27" t="inlineStr">
        <is>
          <t>14</t>
        </is>
      </c>
    </row>
    <row r="906" ht="24" customHeight="1">
      <c r="A906" s="32" t="inlineStr">
        <is>
          <t>OpenDART_fnlttSinglAcntAll</t>
        </is>
      </c>
      <c r="B906" s="32" t="inlineStr">
        <is>
          <t>00118804</t>
        </is>
      </c>
      <c r="C906" s="32" t="inlineStr">
        <is>
          <t>동진쎄미켐</t>
        </is>
      </c>
      <c r="D906" s="32" t="inlineStr">
        <is>
          <t>dongjin_semichem</t>
        </is>
      </c>
      <c r="E906" s="32" t="inlineStr">
        <is>
          <t>005290</t>
        </is>
      </c>
      <c r="F906" s="32" t="inlineStr">
        <is>
          <t>2025</t>
        </is>
      </c>
      <c r="G906" s="32" t="inlineStr">
        <is>
          <t>CFS</t>
        </is>
      </c>
      <c r="H906" s="32" t="inlineStr">
        <is>
          <t>CIS</t>
        </is>
      </c>
      <c r="I906" s="32" t="inlineStr">
        <is>
          <t>포괄손익계산서</t>
        </is>
      </c>
      <c r="J906" s="32" t="inlineStr">
        <is>
          <t>ifrs-full_CostOfSales</t>
        </is>
      </c>
      <c r="K906" s="32" t="inlineStr">
        <is>
          <t>매출원가</t>
        </is>
      </c>
      <c r="L906" s="32" t="inlineStr">
        <is>
          <t>-</t>
        </is>
      </c>
      <c r="M906" s="32" t="inlineStr">
        <is>
          <t>제 53 기</t>
        </is>
      </c>
      <c r="N906" s="32" t="inlineStr">
        <is>
          <t>883948554666.0</t>
        </is>
      </c>
      <c r="O906" s="32" t="inlineStr">
        <is>
          <t>813270152388.0</t>
        </is>
      </c>
      <c r="P906" s="32" t="inlineStr">
        <is>
          <t>KRW</t>
        </is>
      </c>
      <c r="Q906" s="32" t="inlineStr">
        <is>
          <t>15</t>
        </is>
      </c>
    </row>
    <row r="907" ht="24" customHeight="1">
      <c r="A907" s="27" t="inlineStr">
        <is>
          <t>OpenDART_fnlttSinglAcntAll</t>
        </is>
      </c>
      <c r="B907" s="27" t="inlineStr">
        <is>
          <t>00118804</t>
        </is>
      </c>
      <c r="C907" s="27" t="inlineStr">
        <is>
          <t>동진쎄미켐</t>
        </is>
      </c>
      <c r="D907" s="27" t="inlineStr">
        <is>
          <t>dongjin_semichem</t>
        </is>
      </c>
      <c r="E907" s="27" t="inlineStr">
        <is>
          <t>005290</t>
        </is>
      </c>
      <c r="F907" s="27" t="inlineStr">
        <is>
          <t>2025</t>
        </is>
      </c>
      <c r="G907" s="27" t="inlineStr">
        <is>
          <t>CFS</t>
        </is>
      </c>
      <c r="H907" s="27" t="inlineStr">
        <is>
          <t>CIS</t>
        </is>
      </c>
      <c r="I907" s="27" t="inlineStr">
        <is>
          <t>포괄손익계산서</t>
        </is>
      </c>
      <c r="J907" s="27" t="inlineStr">
        <is>
          <t>ifrs-full_BasicEarningsLossPerShare</t>
        </is>
      </c>
      <c r="K907" s="27" t="inlineStr">
        <is>
          <t>기본주당이익</t>
        </is>
      </c>
      <c r="L907" s="27" t="inlineStr">
        <is>
          <t>-</t>
        </is>
      </c>
      <c r="M907" s="27" t="inlineStr">
        <is>
          <t>제 53 기</t>
        </is>
      </c>
      <c r="N907" s="27" t="inlineStr">
        <is>
          <t>1927.0</t>
        </is>
      </c>
      <c r="O907" s="27" t="inlineStr">
        <is>
          <t>3010.0</t>
        </is>
      </c>
      <c r="P907" s="27" t="inlineStr">
        <is>
          <t>KRW</t>
        </is>
      </c>
      <c r="Q907" s="27" t="inlineStr">
        <is>
          <t>17</t>
        </is>
      </c>
    </row>
    <row r="908" ht="24" customHeight="1">
      <c r="A908" s="32" t="inlineStr">
        <is>
          <t>OpenDART_fnlttSinglAcntAll</t>
        </is>
      </c>
      <c r="B908" s="32" t="inlineStr">
        <is>
          <t>00118804</t>
        </is>
      </c>
      <c r="C908" s="32" t="inlineStr">
        <is>
          <t>동진쎄미켐</t>
        </is>
      </c>
      <c r="D908" s="32" t="inlineStr">
        <is>
          <t>dongjin_semichem</t>
        </is>
      </c>
      <c r="E908" s="32" t="inlineStr">
        <is>
          <t>005290</t>
        </is>
      </c>
      <c r="F908" s="32" t="inlineStr">
        <is>
          <t>2025</t>
        </is>
      </c>
      <c r="G908" s="32" t="inlineStr">
        <is>
          <t>CFS</t>
        </is>
      </c>
      <c r="H908" s="32" t="inlineStr">
        <is>
          <t>CIS</t>
        </is>
      </c>
      <c r="I908" s="32" t="inlineStr">
        <is>
          <t>포괄손익계산서</t>
        </is>
      </c>
      <c r="J908" s="32" t="inlineStr">
        <is>
          <t>ifrs-full_DilutedEarningsLossPerShare</t>
        </is>
      </c>
      <c r="K908" s="32" t="inlineStr">
        <is>
          <t>희석주당이익</t>
        </is>
      </c>
      <c r="L908" s="32" t="inlineStr">
        <is>
          <t>-</t>
        </is>
      </c>
      <c r="M908" s="32" t="inlineStr">
        <is>
          <t>제 53 기</t>
        </is>
      </c>
      <c r="N908" s="32" t="inlineStr">
        <is>
          <t>1927.0</t>
        </is>
      </c>
      <c r="O908" s="32" t="inlineStr">
        <is>
          <t>3010.0</t>
        </is>
      </c>
      <c r="P908" s="32" t="inlineStr">
        <is>
          <t>KRW</t>
        </is>
      </c>
      <c r="Q908" s="32" t="inlineStr">
        <is>
          <t>18</t>
        </is>
      </c>
    </row>
    <row r="909" ht="24" customHeight="1">
      <c r="A909" s="27" t="inlineStr">
        <is>
          <t>OpenDART_fnlttSinglAcntAll</t>
        </is>
      </c>
      <c r="B909" s="27" t="inlineStr">
        <is>
          <t>00118804</t>
        </is>
      </c>
      <c r="C909" s="27" t="inlineStr">
        <is>
          <t>동진쎄미켐</t>
        </is>
      </c>
      <c r="D909" s="27" t="inlineStr">
        <is>
          <t>dongjin_semichem</t>
        </is>
      </c>
      <c r="E909" s="27" t="inlineStr">
        <is>
          <t>005290</t>
        </is>
      </c>
      <c r="F909" s="27" t="inlineStr">
        <is>
          <t>2025</t>
        </is>
      </c>
      <c r="G909" s="27" t="inlineStr">
        <is>
          <t>CFS</t>
        </is>
      </c>
      <c r="H909" s="27" t="inlineStr">
        <is>
          <t>CIS</t>
        </is>
      </c>
      <c r="I909" s="27" t="inlineStr">
        <is>
          <t>포괄손익계산서</t>
        </is>
      </c>
      <c r="J909" s="27" t="inlineStr">
        <is>
          <t>ifrs-full_FinanceCosts</t>
        </is>
      </c>
      <c r="K909" s="27" t="inlineStr">
        <is>
          <t>금융비용</t>
        </is>
      </c>
      <c r="L909" s="27" t="inlineStr">
        <is>
          <t>-</t>
        </is>
      </c>
      <c r="M909" s="27" t="inlineStr">
        <is>
          <t>제 53 기</t>
        </is>
      </c>
      <c r="N909" s="27" t="inlineStr">
        <is>
          <t>22714008292.0</t>
        </is>
      </c>
      <c r="O909" s="27" t="inlineStr">
        <is>
          <t>26442385328.0</t>
        </is>
      </c>
      <c r="P909" s="27" t="inlineStr">
        <is>
          <t>KRW</t>
        </is>
      </c>
      <c r="Q909" s="27" t="inlineStr">
        <is>
          <t>19</t>
        </is>
      </c>
    </row>
    <row r="910" ht="24" customHeight="1">
      <c r="A910" s="32" t="inlineStr">
        <is>
          <t>OpenDART_fnlttSinglAcntAll</t>
        </is>
      </c>
      <c r="B910" s="32" t="inlineStr">
        <is>
          <t>00118804</t>
        </is>
      </c>
      <c r="C910" s="32" t="inlineStr">
        <is>
          <t>동진쎄미켐</t>
        </is>
      </c>
      <c r="D910" s="32" t="inlineStr">
        <is>
          <t>dongjin_semichem</t>
        </is>
      </c>
      <c r="E910" s="32" t="inlineStr">
        <is>
          <t>005290</t>
        </is>
      </c>
      <c r="F910" s="32" t="inlineStr">
        <is>
          <t>2025</t>
        </is>
      </c>
      <c r="G910" s="32" t="inlineStr">
        <is>
          <t>CFS</t>
        </is>
      </c>
      <c r="H910" s="32" t="inlineStr">
        <is>
          <t>CIS</t>
        </is>
      </c>
      <c r="I910" s="32" t="inlineStr">
        <is>
          <t>포괄손익계산서</t>
        </is>
      </c>
      <c r="J910" s="32" t="inlineStr">
        <is>
          <t>ifrs-full_FinanceIncome</t>
        </is>
      </c>
      <c r="K910" s="32" t="inlineStr">
        <is>
          <t>금융수익</t>
        </is>
      </c>
      <c r="L910" s="32" t="inlineStr">
        <is>
          <t>-</t>
        </is>
      </c>
      <c r="M910" s="32" t="inlineStr">
        <is>
          <t>제 53 기</t>
        </is>
      </c>
      <c r="N910" s="32" t="inlineStr">
        <is>
          <t>14356022073.0</t>
        </is>
      </c>
      <c r="O910" s="32" t="inlineStr">
        <is>
          <t>11524799033.0</t>
        </is>
      </c>
      <c r="P910" s="32" t="inlineStr">
        <is>
          <t>KRW</t>
        </is>
      </c>
      <c r="Q910" s="32" t="inlineStr">
        <is>
          <t>20</t>
        </is>
      </c>
    </row>
    <row r="911" ht="24" customHeight="1">
      <c r="A911" s="27" t="inlineStr">
        <is>
          <t>OpenDART_fnlttSinglAcntAll</t>
        </is>
      </c>
      <c r="B911" s="27" t="inlineStr">
        <is>
          <t>00118804</t>
        </is>
      </c>
      <c r="C911" s="27" t="inlineStr">
        <is>
          <t>동진쎄미켐</t>
        </is>
      </c>
      <c r="D911" s="27" t="inlineStr">
        <is>
          <t>dongjin_semichem</t>
        </is>
      </c>
      <c r="E911" s="27" t="inlineStr">
        <is>
          <t>005290</t>
        </is>
      </c>
      <c r="F911" s="27" t="inlineStr">
        <is>
          <t>2025</t>
        </is>
      </c>
      <c r="G911" s="27" t="inlineStr">
        <is>
          <t>CFS</t>
        </is>
      </c>
      <c r="H911" s="27" t="inlineStr">
        <is>
          <t>CIS</t>
        </is>
      </c>
      <c r="I911" s="27" t="inlineStr">
        <is>
          <t>포괄손익계산서</t>
        </is>
      </c>
      <c r="J911" s="27" t="inlineStr">
        <is>
          <t>ifrs-full_GrossProfit</t>
        </is>
      </c>
      <c r="K911" s="27" t="inlineStr">
        <is>
          <t>매출총이익</t>
        </is>
      </c>
      <c r="L911" s="27" t="inlineStr">
        <is>
          <t>-</t>
        </is>
      </c>
      <c r="M911" s="27" t="inlineStr">
        <is>
          <t>제 53 기</t>
        </is>
      </c>
      <c r="N911" s="27" t="inlineStr">
        <is>
          <t>310195979901.0</t>
        </is>
      </c>
      <c r="O911" s="27" t="inlineStr">
        <is>
          <t>299542760633.0</t>
        </is>
      </c>
      <c r="P911" s="27" t="inlineStr">
        <is>
          <t>KRW</t>
        </is>
      </c>
      <c r="Q911" s="27" t="inlineStr">
        <is>
          <t>21</t>
        </is>
      </c>
    </row>
    <row r="912" ht="24" customHeight="1">
      <c r="A912" s="32" t="inlineStr">
        <is>
          <t>OpenDART_fnlttSinglAcntAll</t>
        </is>
      </c>
      <c r="B912" s="32" t="inlineStr">
        <is>
          <t>00118804</t>
        </is>
      </c>
      <c r="C912" s="32" t="inlineStr">
        <is>
          <t>동진쎄미켐</t>
        </is>
      </c>
      <c r="D912" s="32" t="inlineStr">
        <is>
          <t>dongjin_semichem</t>
        </is>
      </c>
      <c r="E912" s="32" t="inlineStr">
        <is>
          <t>005290</t>
        </is>
      </c>
      <c r="F912" s="32" t="inlineStr">
        <is>
          <t>2025</t>
        </is>
      </c>
      <c r="G912" s="32" t="inlineStr">
        <is>
          <t>CFS</t>
        </is>
      </c>
      <c r="H912" s="32" t="inlineStr">
        <is>
          <t>CIS</t>
        </is>
      </c>
      <c r="I912" s="32" t="inlineStr">
        <is>
          <t>포괄손익계산서</t>
        </is>
      </c>
      <c r="J912" s="32" t="inlineStr">
        <is>
          <t>ifrs-full_IncomeTaxExpenseContinuingOperations</t>
        </is>
      </c>
      <c r="K912" s="32" t="inlineStr">
        <is>
          <t>계속영업법인세비용</t>
        </is>
      </c>
      <c r="L912" s="32" t="inlineStr">
        <is>
          <t>-</t>
        </is>
      </c>
      <c r="M912" s="32" t="inlineStr">
        <is>
          <t>제 53 기</t>
        </is>
      </c>
      <c r="N912" s="32" t="inlineStr">
        <is>
          <t>54916149189.0</t>
        </is>
      </c>
      <c r="O912" s="32" t="inlineStr">
        <is>
          <t>52230299500.0</t>
        </is>
      </c>
      <c r="P912" s="32" t="inlineStr">
        <is>
          <t>KRW</t>
        </is>
      </c>
      <c r="Q912" s="32" t="inlineStr">
        <is>
          <t>22</t>
        </is>
      </c>
    </row>
    <row r="913" ht="24" customHeight="1">
      <c r="A913" s="27" t="inlineStr">
        <is>
          <t>OpenDART_fnlttSinglAcntAll</t>
        </is>
      </c>
      <c r="B913" s="27" t="inlineStr">
        <is>
          <t>00118804</t>
        </is>
      </c>
      <c r="C913" s="27" t="inlineStr">
        <is>
          <t>동진쎄미켐</t>
        </is>
      </c>
      <c r="D913" s="27" t="inlineStr">
        <is>
          <t>dongjin_semichem</t>
        </is>
      </c>
      <c r="E913" s="27" t="inlineStr">
        <is>
          <t>005290</t>
        </is>
      </c>
      <c r="F913" s="27" t="inlineStr">
        <is>
          <t>2025</t>
        </is>
      </c>
      <c r="G913" s="27" t="inlineStr">
        <is>
          <t>CFS</t>
        </is>
      </c>
      <c r="H913" s="27" t="inlineStr">
        <is>
          <t>CIS</t>
        </is>
      </c>
      <c r="I913" s="27" t="inlineStr">
        <is>
          <t>포괄손익계산서</t>
        </is>
      </c>
      <c r="J913" s="27" t="inlineStr">
        <is>
          <t>ifrs-full_OtherComprehensiveIncome</t>
        </is>
      </c>
      <c r="K913" s="27" t="inlineStr">
        <is>
          <t>법인세 반영 후 기타포괄손익</t>
        </is>
      </c>
      <c r="L913" s="27" t="inlineStr">
        <is>
          <t>-</t>
        </is>
      </c>
      <c r="M913" s="27" t="inlineStr">
        <is>
          <t>제 53 기</t>
        </is>
      </c>
      <c r="N913" s="27" t="inlineStr">
        <is>
          <t>-1530692313.0</t>
        </is>
      </c>
      <c r="O913" s="27" t="inlineStr">
        <is>
          <t>47702354559.0</t>
        </is>
      </c>
      <c r="P913" s="27" t="inlineStr">
        <is>
          <t>KRW</t>
        </is>
      </c>
      <c r="Q913" s="27" t="inlineStr">
        <is>
          <t>23</t>
        </is>
      </c>
    </row>
    <row r="914" ht="24" customHeight="1">
      <c r="A914" s="32" t="inlineStr">
        <is>
          <t>OpenDART_fnlttSinglAcntAll</t>
        </is>
      </c>
      <c r="B914" s="32" t="inlineStr">
        <is>
          <t>00118804</t>
        </is>
      </c>
      <c r="C914" s="32" t="inlineStr">
        <is>
          <t>동진쎄미켐</t>
        </is>
      </c>
      <c r="D914" s="32" t="inlineStr">
        <is>
          <t>dongjin_semichem</t>
        </is>
      </c>
      <c r="E914" s="32" t="inlineStr">
        <is>
          <t>005290</t>
        </is>
      </c>
      <c r="F914" s="32" t="inlineStr">
        <is>
          <t>2025</t>
        </is>
      </c>
      <c r="G914" s="32" t="inlineStr">
        <is>
          <t>CFS</t>
        </is>
      </c>
      <c r="H914" s="32" t="inlineStr">
        <is>
          <t>CIS</t>
        </is>
      </c>
      <c r="I914" s="32" t="inlineStr">
        <is>
          <t>포괄손익계산서</t>
        </is>
      </c>
      <c r="J914" s="32" t="inlineStr">
        <is>
          <t>ifrs-full_OtherComprehensiveIncomeThatWillBeReclassifiedToProfitOrLossNetOfTax</t>
        </is>
      </c>
      <c r="K914" s="32" t="inlineStr">
        <is>
          <t>후속기간에 당기손익으로 재분류되는 포괄손익</t>
        </is>
      </c>
      <c r="L914" s="32" t="inlineStr">
        <is>
          <t>-</t>
        </is>
      </c>
      <c r="M914" s="32" t="inlineStr">
        <is>
          <t>제 53 기</t>
        </is>
      </c>
      <c r="N914" s="32" t="inlineStr">
        <is>
          <t>1201193533.0</t>
        </is>
      </c>
      <c r="O914" s="32" t="inlineStr">
        <is>
          <t>49752868717.0</t>
        </is>
      </c>
      <c r="P914" s="32" t="inlineStr">
        <is>
          <t>KRW</t>
        </is>
      </c>
      <c r="Q914" s="32" t="inlineStr">
        <is>
          <t>24</t>
        </is>
      </c>
    </row>
    <row r="915" ht="24" customHeight="1">
      <c r="A915" s="27" t="inlineStr">
        <is>
          <t>OpenDART_fnlttSinglAcntAll</t>
        </is>
      </c>
      <c r="B915" s="27" t="inlineStr">
        <is>
          <t>00118804</t>
        </is>
      </c>
      <c r="C915" s="27" t="inlineStr">
        <is>
          <t>동진쎄미켐</t>
        </is>
      </c>
      <c r="D915" s="27" t="inlineStr">
        <is>
          <t>dongjin_semichem</t>
        </is>
      </c>
      <c r="E915" s="27" t="inlineStr">
        <is>
          <t>005290</t>
        </is>
      </c>
      <c r="F915" s="27" t="inlineStr">
        <is>
          <t>2025</t>
        </is>
      </c>
      <c r="G915" s="27" t="inlineStr">
        <is>
          <t>CFS</t>
        </is>
      </c>
      <c r="H915" s="27" t="inlineStr">
        <is>
          <t>CIS</t>
        </is>
      </c>
      <c r="I915" s="27" t="inlineStr">
        <is>
          <t>포괄손익계산서</t>
        </is>
      </c>
      <c r="J915" s="27" t="inlineStr">
        <is>
          <t>ifrs-full_GainsLossesOnExchangeDifferencesOnTranslationBeforeTax</t>
        </is>
      </c>
      <c r="K915" s="27" t="inlineStr">
        <is>
          <t>해외사업환산손익</t>
        </is>
      </c>
      <c r="L915" s="27" t="inlineStr">
        <is>
          <t>-</t>
        </is>
      </c>
      <c r="M915" s="27" t="inlineStr">
        <is>
          <t>제 53 기</t>
        </is>
      </c>
      <c r="N915" s="27" t="inlineStr">
        <is>
          <t>1459384797.0</t>
        </is>
      </c>
      <c r="O915" s="27" t="inlineStr">
        <is>
          <t>49743144303.0</t>
        </is>
      </c>
      <c r="P915" s="27" t="inlineStr">
        <is>
          <t>KRW</t>
        </is>
      </c>
      <c r="Q915" s="27" t="inlineStr">
        <is>
          <t>25</t>
        </is>
      </c>
    </row>
    <row r="916" ht="24" customHeight="1">
      <c r="A916" s="32" t="inlineStr">
        <is>
          <t>OpenDART_fnlttSinglAcntAll</t>
        </is>
      </c>
      <c r="B916" s="32" t="inlineStr">
        <is>
          <t>00118804</t>
        </is>
      </c>
      <c r="C916" s="32" t="inlineStr">
        <is>
          <t>동진쎄미켐</t>
        </is>
      </c>
      <c r="D916" s="32" t="inlineStr">
        <is>
          <t>dongjin_semichem</t>
        </is>
      </c>
      <c r="E916" s="32" t="inlineStr">
        <is>
          <t>005290</t>
        </is>
      </c>
      <c r="F916" s="32" t="inlineStr">
        <is>
          <t>2025</t>
        </is>
      </c>
      <c r="G916" s="32" t="inlineStr">
        <is>
          <t>CFS</t>
        </is>
      </c>
      <c r="H916" s="32" t="inlineStr">
        <is>
          <t>CIS</t>
        </is>
      </c>
      <c r="I916" s="32" t="inlineStr">
        <is>
          <t>포괄손익계산서</t>
        </is>
      </c>
      <c r="J916" s="32" t="inlineStr">
        <is>
          <t>ifrs-full_IncomeTaxRelatingToComponentsOfOtherComprehensiveIncomeThatWillBeReclassifiedToProfitOrLoss</t>
        </is>
      </c>
      <c r="K916" s="32" t="inlineStr">
        <is>
          <t>법인세효과</t>
        </is>
      </c>
      <c r="L916" s="32" t="inlineStr">
        <is>
          <t>-</t>
        </is>
      </c>
      <c r="M916" s="32" t="inlineStr">
        <is>
          <t>제 53 기</t>
        </is>
      </c>
      <c r="N916" s="32" t="inlineStr">
        <is>
          <t>274395545.0</t>
        </is>
      </c>
      <c r="O916" s="32" t="inlineStr">
        <is>
          <t>0.0</t>
        </is>
      </c>
      <c r="P916" s="32" t="inlineStr">
        <is>
          <t>KRW</t>
        </is>
      </c>
      <c r="Q916" s="32" t="inlineStr">
        <is>
          <t>26</t>
        </is>
      </c>
    </row>
    <row r="917" ht="24" customHeight="1">
      <c r="A917" s="27" t="inlineStr">
        <is>
          <t>OpenDART_fnlttSinglAcntAll</t>
        </is>
      </c>
      <c r="B917" s="27" t="inlineStr">
        <is>
          <t>00118804</t>
        </is>
      </c>
      <c r="C917" s="27" t="inlineStr">
        <is>
          <t>동진쎄미켐</t>
        </is>
      </c>
      <c r="D917" s="27" t="inlineStr">
        <is>
          <t>dongjin_semichem</t>
        </is>
      </c>
      <c r="E917" s="27" t="inlineStr">
        <is>
          <t>005290</t>
        </is>
      </c>
      <c r="F917" s="27" t="inlineStr">
        <is>
          <t>2025</t>
        </is>
      </c>
      <c r="G917" s="27" t="inlineStr">
        <is>
          <t>CFS</t>
        </is>
      </c>
      <c r="H917" s="27" t="inlineStr">
        <is>
          <t>CIS</t>
        </is>
      </c>
      <c r="I917" s="27" t="inlineStr">
        <is>
          <t>포괄손익계산서</t>
        </is>
      </c>
      <c r="J917" s="27" t="inlineStr">
        <is>
          <t>ifrs-full_ShareOfOtherComprehensiveIncomeOfAssociatesAndJointVenturesAccountedForUsingEquityMethodThatWillBeReclassifiedToProfitOrLossBeforeTax</t>
        </is>
      </c>
      <c r="K917" s="27" t="inlineStr">
        <is>
          <t>지분법자본변동</t>
        </is>
      </c>
      <c r="L917" s="27" t="inlineStr">
        <is>
          <t>-</t>
        </is>
      </c>
      <c r="M917" s="27" t="inlineStr">
        <is>
          <t>제 53 기</t>
        </is>
      </c>
      <c r="N917" s="27" t="inlineStr">
        <is>
          <t>16204281.0</t>
        </is>
      </c>
      <c r="O917" s="27" t="inlineStr">
        <is>
          <t>9724414.0</t>
        </is>
      </c>
      <c r="P917" s="27" t="inlineStr">
        <is>
          <t>KRW</t>
        </is>
      </c>
      <c r="Q917" s="27" t="inlineStr">
        <is>
          <t>27</t>
        </is>
      </c>
    </row>
    <row r="918" ht="24" customHeight="1">
      <c r="A918" s="32" t="inlineStr">
        <is>
          <t>OpenDART_fnlttSinglAcntAll</t>
        </is>
      </c>
      <c r="B918" s="32" t="inlineStr">
        <is>
          <t>00118804</t>
        </is>
      </c>
      <c r="C918" s="32" t="inlineStr">
        <is>
          <t>동진쎄미켐</t>
        </is>
      </c>
      <c r="D918" s="32" t="inlineStr">
        <is>
          <t>dongjin_semichem</t>
        </is>
      </c>
      <c r="E918" s="32" t="inlineStr">
        <is>
          <t>005290</t>
        </is>
      </c>
      <c r="F918" s="32" t="inlineStr">
        <is>
          <t>2025</t>
        </is>
      </c>
      <c r="G918" s="32" t="inlineStr">
        <is>
          <t>CFS</t>
        </is>
      </c>
      <c r="H918" s="32" t="inlineStr">
        <is>
          <t>CIS</t>
        </is>
      </c>
      <c r="I918" s="32" t="inlineStr">
        <is>
          <t>포괄손익계산서</t>
        </is>
      </c>
      <c r="J918" s="32" t="inlineStr">
        <is>
          <t>ifrs-full_OtherComprehensiveIncomeThatWillNotBeReclassifiedToProfitOrLossNetOfTax</t>
        </is>
      </c>
      <c r="K918" s="32" t="inlineStr">
        <is>
          <t>후속기간에 당기손익으로 재분류되지 않는 포괄손익</t>
        </is>
      </c>
      <c r="L918" s="32" t="inlineStr">
        <is>
          <t>-</t>
        </is>
      </c>
      <c r="M918" s="32" t="inlineStr">
        <is>
          <t>제 53 기</t>
        </is>
      </c>
      <c r="N918" s="32" t="inlineStr">
        <is>
          <t>-2731885846.0</t>
        </is>
      </c>
      <c r="O918" s="32" t="inlineStr">
        <is>
          <t>-2050514158.0</t>
        </is>
      </c>
      <c r="P918" s="32" t="inlineStr">
        <is>
          <t>KRW</t>
        </is>
      </c>
      <c r="Q918" s="32" t="inlineStr">
        <is>
          <t>28</t>
        </is>
      </c>
    </row>
    <row r="919" ht="24" customHeight="1">
      <c r="A919" s="27" t="inlineStr">
        <is>
          <t>OpenDART_fnlttSinglAcntAll</t>
        </is>
      </c>
      <c r="B919" s="27" t="inlineStr">
        <is>
          <t>00118804</t>
        </is>
      </c>
      <c r="C919" s="27" t="inlineStr">
        <is>
          <t>동진쎄미켐</t>
        </is>
      </c>
      <c r="D919" s="27" t="inlineStr">
        <is>
          <t>dongjin_semichem</t>
        </is>
      </c>
      <c r="E919" s="27" t="inlineStr">
        <is>
          <t>005290</t>
        </is>
      </c>
      <c r="F919" s="27" t="inlineStr">
        <is>
          <t>2025</t>
        </is>
      </c>
      <c r="G919" s="27" t="inlineStr">
        <is>
          <t>CFS</t>
        </is>
      </c>
      <c r="H919" s="27" t="inlineStr">
        <is>
          <t>CIS</t>
        </is>
      </c>
      <c r="I919" s="27" t="inlineStr">
        <is>
          <t>포괄손익계산서</t>
        </is>
      </c>
      <c r="J919" s="27" t="inlineStr">
        <is>
          <t>ifrs-full_IncomeTaxRelatingToRemeasurementsOfDefinedBenefitPlansOfOtherComprehensiveIncome</t>
        </is>
      </c>
      <c r="K919" s="27" t="inlineStr">
        <is>
          <t>법인세효과</t>
        </is>
      </c>
      <c r="L919" s="27" t="inlineStr">
        <is>
          <t>-</t>
        </is>
      </c>
      <c r="M919" s="27" t="inlineStr">
        <is>
          <t>제 53 기</t>
        </is>
      </c>
      <c r="N919" s="27" t="inlineStr">
        <is>
          <t>-813919562.0</t>
        </is>
      </c>
      <c r="O919" s="27" t="inlineStr">
        <is>
          <t>-606946956.0</t>
        </is>
      </c>
      <c r="P919" s="27" t="inlineStr">
        <is>
          <t>KRW</t>
        </is>
      </c>
      <c r="Q919" s="27" t="inlineStr">
        <is>
          <t>29</t>
        </is>
      </c>
    </row>
    <row r="920" ht="24" customHeight="1">
      <c r="A920" s="32" t="inlineStr">
        <is>
          <t>OpenDART_fnlttSinglAcntAll</t>
        </is>
      </c>
      <c r="B920" s="32" t="inlineStr">
        <is>
          <t>00118804</t>
        </is>
      </c>
      <c r="C920" s="32" t="inlineStr">
        <is>
          <t>동진쎄미켐</t>
        </is>
      </c>
      <c r="D920" s="32" t="inlineStr">
        <is>
          <t>dongjin_semichem</t>
        </is>
      </c>
      <c r="E920" s="32" t="inlineStr">
        <is>
          <t>005290</t>
        </is>
      </c>
      <c r="F920" s="32" t="inlineStr">
        <is>
          <t>2025</t>
        </is>
      </c>
      <c r="G920" s="32" t="inlineStr">
        <is>
          <t>CFS</t>
        </is>
      </c>
      <c r="H920" s="32" t="inlineStr">
        <is>
          <t>CIS</t>
        </is>
      </c>
      <c r="I920" s="32" t="inlineStr">
        <is>
          <t>포괄손익계산서</t>
        </is>
      </c>
      <c r="J920" s="32" t="inlineStr">
        <is>
          <t>ifrs-full_OtherComprehensiveIncomeBeforeTaxGainsLossesOnRemeasurementsOfDefinedBenefitPlans</t>
        </is>
      </c>
      <c r="K920" s="32" t="inlineStr">
        <is>
          <t>순확정급여부채 재측정요소</t>
        </is>
      </c>
      <c r="L920" s="32" t="inlineStr">
        <is>
          <t>-</t>
        </is>
      </c>
      <c r="M920" s="32" t="inlineStr">
        <is>
          <t>제 53 기</t>
        </is>
      </c>
      <c r="N920" s="32" t="inlineStr">
        <is>
          <t>-3545805408.0</t>
        </is>
      </c>
      <c r="O920" s="32" t="inlineStr">
        <is>
          <t>-2657461114.0</t>
        </is>
      </c>
      <c r="P920" s="32" t="inlineStr">
        <is>
          <t>KRW</t>
        </is>
      </c>
      <c r="Q920" s="32" t="inlineStr">
        <is>
          <t>30</t>
        </is>
      </c>
    </row>
    <row r="921" ht="24" customHeight="1">
      <c r="A921" s="27" t="inlineStr">
        <is>
          <t>OpenDART_fnlttSinglAcntAll</t>
        </is>
      </c>
      <c r="B921" s="27" t="inlineStr">
        <is>
          <t>00118804</t>
        </is>
      </c>
      <c r="C921" s="27" t="inlineStr">
        <is>
          <t>동진쎄미켐</t>
        </is>
      </c>
      <c r="D921" s="27" t="inlineStr">
        <is>
          <t>dongjin_semichem</t>
        </is>
      </c>
      <c r="E921" s="27" t="inlineStr">
        <is>
          <t>005290</t>
        </is>
      </c>
      <c r="F921" s="27" t="inlineStr">
        <is>
          <t>2025</t>
        </is>
      </c>
      <c r="G921" s="27" t="inlineStr">
        <is>
          <t>CFS</t>
        </is>
      </c>
      <c r="H921" s="27" t="inlineStr">
        <is>
          <t>CIS</t>
        </is>
      </c>
      <c r="I921" s="27" t="inlineStr">
        <is>
          <t>포괄손익계산서</t>
        </is>
      </c>
      <c r="J921" s="27" t="inlineStr">
        <is>
          <t>ifrs-full_ProfitLoss</t>
        </is>
      </c>
      <c r="K921" s="27" t="inlineStr">
        <is>
          <t>당기순이익</t>
        </is>
      </c>
      <c r="L921" s="27" t="inlineStr">
        <is>
          <t>-</t>
        </is>
      </c>
      <c r="M921" s="27" t="inlineStr">
        <is>
          <t>제 53 기</t>
        </is>
      </c>
      <c r="N921" s="27" t="inlineStr">
        <is>
          <t>94092225845.0</t>
        </is>
      </c>
      <c r="O921" s="27" t="inlineStr">
        <is>
          <t>143484559745.0</t>
        </is>
      </c>
      <c r="P921" s="27" t="inlineStr">
        <is>
          <t>KRW</t>
        </is>
      </c>
      <c r="Q921" s="27" t="inlineStr">
        <is>
          <t>31</t>
        </is>
      </c>
    </row>
    <row r="922" ht="24" customHeight="1">
      <c r="A922" s="32" t="inlineStr">
        <is>
          <t>OpenDART_fnlttSinglAcntAll</t>
        </is>
      </c>
      <c r="B922" s="32" t="inlineStr">
        <is>
          <t>00118804</t>
        </is>
      </c>
      <c r="C922" s="32" t="inlineStr">
        <is>
          <t>동진쎄미켐</t>
        </is>
      </c>
      <c r="D922" s="32" t="inlineStr">
        <is>
          <t>dongjin_semichem</t>
        </is>
      </c>
      <c r="E922" s="32" t="inlineStr">
        <is>
          <t>005290</t>
        </is>
      </c>
      <c r="F922" s="32" t="inlineStr">
        <is>
          <t>2025</t>
        </is>
      </c>
      <c r="G922" s="32" t="inlineStr">
        <is>
          <t>CFS</t>
        </is>
      </c>
      <c r="H922" s="32" t="inlineStr">
        <is>
          <t>CIS</t>
        </is>
      </c>
      <c r="I922" s="32" t="inlineStr">
        <is>
          <t>포괄손익계산서</t>
        </is>
      </c>
      <c r="J922" s="32" t="inlineStr">
        <is>
          <t>ifrs-full_ProfitLossAttributableToNoncontrollingInterests</t>
        </is>
      </c>
      <c r="K922" s="32" t="inlineStr">
        <is>
          <t>비지배지분</t>
        </is>
      </c>
      <c r="L922" s="32" t="inlineStr">
        <is>
          <t>-</t>
        </is>
      </c>
      <c r="M922" s="32" t="inlineStr">
        <is>
          <t>제 53 기</t>
        </is>
      </c>
      <c r="N922" s="32" t="inlineStr">
        <is>
          <t>-4977664046.0</t>
        </is>
      </c>
      <c r="O922" s="32" t="inlineStr">
        <is>
          <t>-11297349941.0</t>
        </is>
      </c>
      <c r="P922" s="32" t="inlineStr">
        <is>
          <t>KRW</t>
        </is>
      </c>
      <c r="Q922" s="32" t="inlineStr">
        <is>
          <t>33</t>
        </is>
      </c>
    </row>
    <row r="923" ht="24" customHeight="1">
      <c r="A923" s="27" t="inlineStr">
        <is>
          <t>OpenDART_fnlttSinglAcntAll</t>
        </is>
      </c>
      <c r="B923" s="27" t="inlineStr">
        <is>
          <t>00118804</t>
        </is>
      </c>
      <c r="C923" s="27" t="inlineStr">
        <is>
          <t>동진쎄미켐</t>
        </is>
      </c>
      <c r="D923" s="27" t="inlineStr">
        <is>
          <t>dongjin_semichem</t>
        </is>
      </c>
      <c r="E923" s="27" t="inlineStr">
        <is>
          <t>005290</t>
        </is>
      </c>
      <c r="F923" s="27" t="inlineStr">
        <is>
          <t>2025</t>
        </is>
      </c>
      <c r="G923" s="27" t="inlineStr">
        <is>
          <t>CFS</t>
        </is>
      </c>
      <c r="H923" s="27" t="inlineStr">
        <is>
          <t>CIS</t>
        </is>
      </c>
      <c r="I923" s="27" t="inlineStr">
        <is>
          <t>포괄손익계산서</t>
        </is>
      </c>
      <c r="J923" s="27" t="inlineStr">
        <is>
          <t>ifrs-full_ProfitLossAttributableToOwnersOfParent</t>
        </is>
      </c>
      <c r="K923" s="27" t="inlineStr">
        <is>
          <t>지배기업 소유주지분</t>
        </is>
      </c>
      <c r="L923" s="27" t="inlineStr">
        <is>
          <t>-</t>
        </is>
      </c>
      <c r="M923" s="27" t="inlineStr">
        <is>
          <t>제 53 기</t>
        </is>
      </c>
      <c r="N923" s="27" t="inlineStr">
        <is>
          <t>99069889891.0</t>
        </is>
      </c>
      <c r="O923" s="27" t="inlineStr">
        <is>
          <t>154781909686.0</t>
        </is>
      </c>
      <c r="P923" s="27" t="inlineStr">
        <is>
          <t>KRW</t>
        </is>
      </c>
      <c r="Q923" s="27" t="inlineStr">
        <is>
          <t>34</t>
        </is>
      </c>
    </row>
    <row r="924" ht="24" customHeight="1">
      <c r="A924" s="32" t="inlineStr">
        <is>
          <t>OpenDART_fnlttSinglAcntAll</t>
        </is>
      </c>
      <c r="B924" s="32" t="inlineStr">
        <is>
          <t>00118804</t>
        </is>
      </c>
      <c r="C924" s="32" t="inlineStr">
        <is>
          <t>동진쎄미켐</t>
        </is>
      </c>
      <c r="D924" s="32" t="inlineStr">
        <is>
          <t>dongjin_semichem</t>
        </is>
      </c>
      <c r="E924" s="32" t="inlineStr">
        <is>
          <t>005290</t>
        </is>
      </c>
      <c r="F924" s="32" t="inlineStr">
        <is>
          <t>2025</t>
        </is>
      </c>
      <c r="G924" s="32" t="inlineStr">
        <is>
          <t>CFS</t>
        </is>
      </c>
      <c r="H924" s="32" t="inlineStr">
        <is>
          <t>CIS</t>
        </is>
      </c>
      <c r="I924" s="32" t="inlineStr">
        <is>
          <t>포괄손익계산서</t>
        </is>
      </c>
      <c r="J924" s="32" t="inlineStr">
        <is>
          <t>ifrs-full_ProfitLossBeforeTax</t>
        </is>
      </c>
      <c r="K924" s="32" t="inlineStr">
        <is>
          <t>법인세비용차감전순이익</t>
        </is>
      </c>
      <c r="L924" s="32" t="inlineStr">
        <is>
          <t>-</t>
        </is>
      </c>
      <c r="M924" s="32" t="inlineStr">
        <is>
          <t>제 53 기</t>
        </is>
      </c>
      <c r="N924" s="32" t="inlineStr">
        <is>
          <t>112948343148.0</t>
        </is>
      </c>
      <c r="O924" s="32" t="inlineStr">
        <is>
          <t>171567475914.0</t>
        </is>
      </c>
      <c r="P924" s="32" t="inlineStr">
        <is>
          <t>KRW</t>
        </is>
      </c>
      <c r="Q924" s="32" t="inlineStr">
        <is>
          <t>35</t>
        </is>
      </c>
    </row>
    <row r="925" ht="24" customHeight="1">
      <c r="A925" s="27" t="inlineStr">
        <is>
          <t>OpenDART_fnlttSinglAcntAll</t>
        </is>
      </c>
      <c r="B925" s="27" t="inlineStr">
        <is>
          <t>00118804</t>
        </is>
      </c>
      <c r="C925" s="27" t="inlineStr">
        <is>
          <t>동진쎄미켐</t>
        </is>
      </c>
      <c r="D925" s="27" t="inlineStr">
        <is>
          <t>dongjin_semichem</t>
        </is>
      </c>
      <c r="E925" s="27" t="inlineStr">
        <is>
          <t>005290</t>
        </is>
      </c>
      <c r="F925" s="27" t="inlineStr">
        <is>
          <t>2025</t>
        </is>
      </c>
      <c r="G925" s="27" t="inlineStr">
        <is>
          <t>CFS</t>
        </is>
      </c>
      <c r="H925" s="27" t="inlineStr">
        <is>
          <t>CIS</t>
        </is>
      </c>
      <c r="I925" s="27" t="inlineStr">
        <is>
          <t>포괄손익계산서</t>
        </is>
      </c>
      <c r="J925" s="27" t="inlineStr">
        <is>
          <t>ifrs-full_ProfitLossFromContinuingOperations</t>
        </is>
      </c>
      <c r="K925" s="27" t="inlineStr">
        <is>
          <t>계속영업당기순이익</t>
        </is>
      </c>
      <c r="L925" s="27" t="inlineStr">
        <is>
          <t>-</t>
        </is>
      </c>
      <c r="M925" s="27" t="inlineStr">
        <is>
          <t>제 53 기</t>
        </is>
      </c>
      <c r="N925" s="27" t="inlineStr">
        <is>
          <t>58032193959.0</t>
        </is>
      </c>
      <c r="O925" s="27" t="inlineStr">
        <is>
          <t>119337176414.0</t>
        </is>
      </c>
      <c r="P925" s="27" t="inlineStr">
        <is>
          <t>KRW</t>
        </is>
      </c>
      <c r="Q925" s="27" t="inlineStr">
        <is>
          <t>36</t>
        </is>
      </c>
    </row>
    <row r="926" ht="24" customHeight="1">
      <c r="A926" s="32" t="inlineStr">
        <is>
          <t>OpenDART_fnlttSinglAcntAll</t>
        </is>
      </c>
      <c r="B926" s="32" t="inlineStr">
        <is>
          <t>00118804</t>
        </is>
      </c>
      <c r="C926" s="32" t="inlineStr">
        <is>
          <t>동진쎄미켐</t>
        </is>
      </c>
      <c r="D926" s="32" t="inlineStr">
        <is>
          <t>dongjin_semichem</t>
        </is>
      </c>
      <c r="E926" s="32" t="inlineStr">
        <is>
          <t>005290</t>
        </is>
      </c>
      <c r="F926" s="32" t="inlineStr">
        <is>
          <t>2025</t>
        </is>
      </c>
      <c r="G926" s="32" t="inlineStr">
        <is>
          <t>CFS</t>
        </is>
      </c>
      <c r="H926" s="32" t="inlineStr">
        <is>
          <t>CIS</t>
        </is>
      </c>
      <c r="I926" s="32" t="inlineStr">
        <is>
          <t>포괄손익계산서</t>
        </is>
      </c>
      <c r="J926" s="32" t="inlineStr">
        <is>
          <t>ifrs-full_ProfitLossFromDiscontinuedOperations</t>
        </is>
      </c>
      <c r="K926" s="32" t="inlineStr">
        <is>
          <t>중단영업이익</t>
        </is>
      </c>
      <c r="L926" s="32" t="inlineStr">
        <is>
          <t>-</t>
        </is>
      </c>
      <c r="M926" s="32" t="inlineStr">
        <is>
          <t>제 53 기</t>
        </is>
      </c>
      <c r="N926" s="32" t="inlineStr">
        <is>
          <t>36060031886.0</t>
        </is>
      </c>
      <c r="O926" s="32" t="inlineStr">
        <is>
          <t>24147383331.0</t>
        </is>
      </c>
      <c r="P926" s="32" t="inlineStr">
        <is>
          <t>KRW</t>
        </is>
      </c>
      <c r="Q926" s="32" t="inlineStr">
        <is>
          <t>37</t>
        </is>
      </c>
    </row>
    <row r="927" ht="24" customHeight="1">
      <c r="A927" s="27" t="inlineStr">
        <is>
          <t>OpenDART_fnlttSinglAcntAll</t>
        </is>
      </c>
      <c r="B927" s="27" t="inlineStr">
        <is>
          <t>00118804</t>
        </is>
      </c>
      <c r="C927" s="27" t="inlineStr">
        <is>
          <t>동진쎄미켐</t>
        </is>
      </c>
      <c r="D927" s="27" t="inlineStr">
        <is>
          <t>dongjin_semichem</t>
        </is>
      </c>
      <c r="E927" s="27" t="inlineStr">
        <is>
          <t>005290</t>
        </is>
      </c>
      <c r="F927" s="27" t="inlineStr">
        <is>
          <t>2025</t>
        </is>
      </c>
      <c r="G927" s="27" t="inlineStr">
        <is>
          <t>CFS</t>
        </is>
      </c>
      <c r="H927" s="27" t="inlineStr">
        <is>
          <t>CIS</t>
        </is>
      </c>
      <c r="I927" s="27" t="inlineStr">
        <is>
          <t>포괄손익계산서</t>
        </is>
      </c>
      <c r="J927" s="27" t="inlineStr">
        <is>
          <t>ifrs-full_Revenue</t>
        </is>
      </c>
      <c r="K927" s="27" t="inlineStr">
        <is>
          <t>수익</t>
        </is>
      </c>
      <c r="L927" s="27" t="inlineStr">
        <is>
          <t>-</t>
        </is>
      </c>
      <c r="M927" s="27" t="inlineStr">
        <is>
          <t>제 53 기</t>
        </is>
      </c>
      <c r="N927" s="27" t="inlineStr">
        <is>
          <t>1194144534567.0</t>
        </is>
      </c>
      <c r="O927" s="27" t="inlineStr">
        <is>
          <t>1112812913021.0</t>
        </is>
      </c>
      <c r="P927" s="27" t="inlineStr">
        <is>
          <t>KRW</t>
        </is>
      </c>
      <c r="Q927" s="27" t="inlineStr">
        <is>
          <t>38</t>
        </is>
      </c>
    </row>
    <row r="928" ht="24" customHeight="1">
      <c r="A928" s="32" t="inlineStr">
        <is>
          <t>OpenDART_fnlttSinglAcntAll</t>
        </is>
      </c>
      <c r="B928" s="32" t="inlineStr">
        <is>
          <t>00118804</t>
        </is>
      </c>
      <c r="C928" s="32" t="inlineStr">
        <is>
          <t>동진쎄미켐</t>
        </is>
      </c>
      <c r="D928" s="32" t="inlineStr">
        <is>
          <t>dongjin_semichem</t>
        </is>
      </c>
      <c r="E928" s="32" t="inlineStr">
        <is>
          <t>005290</t>
        </is>
      </c>
      <c r="F928" s="32" t="inlineStr">
        <is>
          <t>2025</t>
        </is>
      </c>
      <c r="G928" s="32" t="inlineStr">
        <is>
          <t>CFS</t>
        </is>
      </c>
      <c r="H928" s="32" t="inlineStr">
        <is>
          <t>CIS</t>
        </is>
      </c>
      <c r="I928" s="32" t="inlineStr">
        <is>
          <t>포괄손익계산서</t>
        </is>
      </c>
      <c r="J928" s="32" t="inlineStr">
        <is>
          <t>ifrs-full_ShareOfProfitLossOfAssociatesAccountedForUsingEquityMethod</t>
        </is>
      </c>
      <c r="K928" s="32" t="inlineStr">
        <is>
          <t>지분법손익</t>
        </is>
      </c>
      <c r="L928" s="32" t="inlineStr">
        <is>
          <t>-</t>
        </is>
      </c>
      <c r="M928" s="32" t="inlineStr">
        <is>
          <t>제 53 기</t>
        </is>
      </c>
      <c r="N928" s="32" t="inlineStr">
        <is>
          <t>-510960028.0</t>
        </is>
      </c>
      <c r="O928" s="32" t="inlineStr">
        <is>
          <t>363533227.0</t>
        </is>
      </c>
      <c r="P928" s="32" t="inlineStr">
        <is>
          <t>KRW</t>
        </is>
      </c>
      <c r="Q928" s="32" t="inlineStr">
        <is>
          <t>39</t>
        </is>
      </c>
    </row>
    <row r="929" ht="24" customHeight="1">
      <c r="A929" s="27" t="inlineStr">
        <is>
          <t>OpenDART_fnlttSinglAcntAll</t>
        </is>
      </c>
      <c r="B929" s="27" t="inlineStr">
        <is>
          <t>00118804</t>
        </is>
      </c>
      <c r="C929" s="27" t="inlineStr">
        <is>
          <t>동진쎄미켐</t>
        </is>
      </c>
      <c r="D929" s="27" t="inlineStr">
        <is>
          <t>dongjin_semichem</t>
        </is>
      </c>
      <c r="E929" s="27" t="inlineStr">
        <is>
          <t>005290</t>
        </is>
      </c>
      <c r="F929" s="27" t="inlineStr">
        <is>
          <t>2025</t>
        </is>
      </c>
      <c r="G929" s="27" t="inlineStr">
        <is>
          <t>CFS</t>
        </is>
      </c>
      <c r="H929" s="27" t="inlineStr">
        <is>
          <t>CF</t>
        </is>
      </c>
      <c r="I929" s="27" t="inlineStr">
        <is>
          <t>현금흐름표</t>
        </is>
      </c>
      <c r="J929" s="27" t="inlineStr">
        <is>
          <t>dart_CashAndCashEquivalentsAtBeginningOfPeriodCf</t>
        </is>
      </c>
      <c r="K929" s="27" t="inlineStr">
        <is>
          <t>기초 현금및현금성자산</t>
        </is>
      </c>
      <c r="L929" s="27" t="inlineStr">
        <is>
          <t>-</t>
        </is>
      </c>
      <c r="M929" s="27" t="inlineStr">
        <is>
          <t>제 53 기</t>
        </is>
      </c>
      <c r="N929" s="27" t="inlineStr">
        <is>
          <t>417387384045.0</t>
        </is>
      </c>
      <c r="O929" s="27" t="inlineStr">
        <is>
          <t>272560514431.0</t>
        </is>
      </c>
      <c r="P929" s="27" t="inlineStr">
        <is>
          <t>KRW</t>
        </is>
      </c>
      <c r="Q929" s="27" t="inlineStr">
        <is>
          <t>2</t>
        </is>
      </c>
    </row>
    <row r="930" ht="24" customHeight="1">
      <c r="A930" s="32" t="inlineStr">
        <is>
          <t>OpenDART_fnlttSinglAcntAll</t>
        </is>
      </c>
      <c r="B930" s="32" t="inlineStr">
        <is>
          <t>00118804</t>
        </is>
      </c>
      <c r="C930" s="32" t="inlineStr">
        <is>
          <t>동진쎄미켐</t>
        </is>
      </c>
      <c r="D930" s="32" t="inlineStr">
        <is>
          <t>dongjin_semichem</t>
        </is>
      </c>
      <c r="E930" s="32" t="inlineStr">
        <is>
          <t>005290</t>
        </is>
      </c>
      <c r="F930" s="32" t="inlineStr">
        <is>
          <t>2025</t>
        </is>
      </c>
      <c r="G930" s="32" t="inlineStr">
        <is>
          <t>CFS</t>
        </is>
      </c>
      <c r="H930" s="32" t="inlineStr">
        <is>
          <t>CF</t>
        </is>
      </c>
      <c r="I930" s="32" t="inlineStr">
        <is>
          <t>현금흐름표</t>
        </is>
      </c>
      <c r="J930" s="32" t="inlineStr">
        <is>
          <t>dart_CashAndCashEquivalentsAtEndOfPeriodCf</t>
        </is>
      </c>
      <c r="K930" s="32" t="inlineStr">
        <is>
          <t>기말 현금및현금성자산</t>
        </is>
      </c>
      <c r="L930" s="32" t="inlineStr">
        <is>
          <t>-</t>
        </is>
      </c>
      <c r="M930" s="32" t="inlineStr">
        <is>
          <t>제 53 기</t>
        </is>
      </c>
      <c r="N930" s="32" t="inlineStr">
        <is>
          <t>371911660277.0</t>
        </is>
      </c>
      <c r="O930" s="32" t="inlineStr">
        <is>
          <t>417387384045.0</t>
        </is>
      </c>
      <c r="P930" s="32" t="inlineStr">
        <is>
          <t>KRW</t>
        </is>
      </c>
      <c r="Q930" s="32" t="inlineStr">
        <is>
          <t>3</t>
        </is>
      </c>
    </row>
    <row r="931" ht="24" customHeight="1">
      <c r="A931" s="27" t="inlineStr">
        <is>
          <t>OpenDART_fnlttSinglAcntAll</t>
        </is>
      </c>
      <c r="B931" s="27" t="inlineStr">
        <is>
          <t>00118804</t>
        </is>
      </c>
      <c r="C931" s="27" t="inlineStr">
        <is>
          <t>동진쎄미켐</t>
        </is>
      </c>
      <c r="D931" s="27" t="inlineStr">
        <is>
          <t>dongjin_semichem</t>
        </is>
      </c>
      <c r="E931" s="27" t="inlineStr">
        <is>
          <t>005290</t>
        </is>
      </c>
      <c r="F931" s="27" t="inlineStr">
        <is>
          <t>2025</t>
        </is>
      </c>
      <c r="G931" s="27" t="inlineStr">
        <is>
          <t>CFS</t>
        </is>
      </c>
      <c r="H931" s="27" t="inlineStr">
        <is>
          <t>CF</t>
        </is>
      </c>
      <c r="I931" s="27" t="inlineStr">
        <is>
          <t>현금흐름표</t>
        </is>
      </c>
      <c r="J931" s="27" t="inlineStr">
        <is>
          <t>-표준계정코드 미사용-</t>
        </is>
      </c>
      <c r="K931" s="27" t="inlineStr">
        <is>
          <t>매각예정자산에 포함된 현금및현금성자산</t>
        </is>
      </c>
      <c r="L931" s="27" t="inlineStr">
        <is>
          <t>-</t>
        </is>
      </c>
      <c r="M931" s="27" t="inlineStr">
        <is>
          <t>제 53 기</t>
        </is>
      </c>
      <c r="N931" s="27" t="inlineStr">
        <is>
          <t>-100970935326.0</t>
        </is>
      </c>
      <c r="O931" s="27" t="inlineStr">
        <is>
          <t>0.0</t>
        </is>
      </c>
      <c r="P931" s="27" t="inlineStr">
        <is>
          <t>KRW</t>
        </is>
      </c>
      <c r="Q931" s="27" t="inlineStr">
        <is>
          <t>8</t>
        </is>
      </c>
    </row>
    <row r="932" ht="24" customHeight="1">
      <c r="A932" s="32" t="inlineStr">
        <is>
          <t>OpenDART_fnlttSinglAcntAll</t>
        </is>
      </c>
      <c r="B932" s="32" t="inlineStr">
        <is>
          <t>00118804</t>
        </is>
      </c>
      <c r="C932" s="32" t="inlineStr">
        <is>
          <t>동진쎄미켐</t>
        </is>
      </c>
      <c r="D932" s="32" t="inlineStr">
        <is>
          <t>dongjin_semichem</t>
        </is>
      </c>
      <c r="E932" s="32" t="inlineStr">
        <is>
          <t>005290</t>
        </is>
      </c>
      <c r="F932" s="32" t="inlineStr">
        <is>
          <t>2025</t>
        </is>
      </c>
      <c r="G932" s="32" t="inlineStr">
        <is>
          <t>CFS</t>
        </is>
      </c>
      <c r="H932" s="32" t="inlineStr">
        <is>
          <t>CF</t>
        </is>
      </c>
      <c r="I932" s="32" t="inlineStr">
        <is>
          <t>현금흐름표</t>
        </is>
      </c>
      <c r="J932" s="32" t="inlineStr">
        <is>
          <t>ifrs-full_CashFlowsFromUsedInFinancingActivities</t>
        </is>
      </c>
      <c r="K932" s="32" t="inlineStr">
        <is>
          <t>재무활동으로 인한 현금흐름</t>
        </is>
      </c>
      <c r="L932" s="32" t="inlineStr">
        <is>
          <t>-</t>
        </is>
      </c>
      <c r="M932" s="32" t="inlineStr">
        <is>
          <t>제 53 기</t>
        </is>
      </c>
      <c r="N932" s="32" t="inlineStr">
        <is>
          <t>-101073659320.0</t>
        </is>
      </c>
      <c r="O932" s="32" t="inlineStr">
        <is>
          <t>150036513236.0</t>
        </is>
      </c>
      <c r="P932" s="32" t="inlineStr">
        <is>
          <t>KRW</t>
        </is>
      </c>
      <c r="Q932" s="32" t="inlineStr">
        <is>
          <t>9</t>
        </is>
      </c>
    </row>
    <row r="933" ht="24" customHeight="1">
      <c r="A933" s="27" t="inlineStr">
        <is>
          <t>OpenDART_fnlttSinglAcntAll</t>
        </is>
      </c>
      <c r="B933" s="27" t="inlineStr">
        <is>
          <t>00118804</t>
        </is>
      </c>
      <c r="C933" s="27" t="inlineStr">
        <is>
          <t>동진쎄미켐</t>
        </is>
      </c>
      <c r="D933" s="27" t="inlineStr">
        <is>
          <t>dongjin_semichem</t>
        </is>
      </c>
      <c r="E933" s="27" t="inlineStr">
        <is>
          <t>005290</t>
        </is>
      </c>
      <c r="F933" s="27" t="inlineStr">
        <is>
          <t>2025</t>
        </is>
      </c>
      <c r="G933" s="27" t="inlineStr">
        <is>
          <t>CFS</t>
        </is>
      </c>
      <c r="H933" s="27" t="inlineStr">
        <is>
          <t>CF</t>
        </is>
      </c>
      <c r="I933" s="27" t="inlineStr">
        <is>
          <t>현금흐름표</t>
        </is>
      </c>
      <c r="J933" s="27" t="inlineStr">
        <is>
          <t>dart_AcquisitionOfTreasuryShares</t>
        </is>
      </c>
      <c r="K933" s="27" t="inlineStr">
        <is>
          <t>자기주식의 취득</t>
        </is>
      </c>
      <c r="L933" s="27" t="inlineStr">
        <is>
          <t>-</t>
        </is>
      </c>
      <c r="M933" s="27" t="inlineStr">
        <is>
          <t>제 53 기</t>
        </is>
      </c>
      <c r="N933" s="27" t="inlineStr">
        <is>
          <t>1103281920.0</t>
        </is>
      </c>
      <c r="O933" s="27" t="inlineStr">
        <is>
          <t>0.0</t>
        </is>
      </c>
      <c r="P933" s="27" t="inlineStr">
        <is>
          <t>KRW</t>
        </is>
      </c>
      <c r="Q933" s="27" t="inlineStr">
        <is>
          <t>10</t>
        </is>
      </c>
    </row>
    <row r="934" ht="24" customHeight="1">
      <c r="A934" s="32" t="inlineStr">
        <is>
          <t>OpenDART_fnlttSinglAcntAll</t>
        </is>
      </c>
      <c r="B934" s="32" t="inlineStr">
        <is>
          <t>00118804</t>
        </is>
      </c>
      <c r="C934" s="32" t="inlineStr">
        <is>
          <t>동진쎄미켐</t>
        </is>
      </c>
      <c r="D934" s="32" t="inlineStr">
        <is>
          <t>dongjin_semichem</t>
        </is>
      </c>
      <c r="E934" s="32" t="inlineStr">
        <is>
          <t>005290</t>
        </is>
      </c>
      <c r="F934" s="32" t="inlineStr">
        <is>
          <t>2025</t>
        </is>
      </c>
      <c r="G934" s="32" t="inlineStr">
        <is>
          <t>CFS</t>
        </is>
      </c>
      <c r="H934" s="32" t="inlineStr">
        <is>
          <t>CF</t>
        </is>
      </c>
      <c r="I934" s="32" t="inlineStr">
        <is>
          <t>현금흐름표</t>
        </is>
      </c>
      <c r="J934" s="32" t="inlineStr">
        <is>
          <t>dart_PaymentForStockRedemption</t>
        </is>
      </c>
      <c r="K934" s="32" t="inlineStr">
        <is>
          <t>유상감자</t>
        </is>
      </c>
      <c r="L934" s="32" t="inlineStr">
        <is>
          <t>-</t>
        </is>
      </c>
      <c r="M934" s="32" t="inlineStr">
        <is>
          <t>제 53 기</t>
        </is>
      </c>
      <c r="N934" s="32" t="inlineStr">
        <is>
          <t>14562.0</t>
        </is>
      </c>
      <c r="O934" s="32" t="inlineStr">
        <is>
          <t>1005035.0</t>
        </is>
      </c>
      <c r="P934" s="32" t="inlineStr">
        <is>
          <t>KRW</t>
        </is>
      </c>
      <c r="Q934" s="32" t="inlineStr">
        <is>
          <t>11</t>
        </is>
      </c>
    </row>
    <row r="935" ht="24" customHeight="1">
      <c r="A935" s="27" t="inlineStr">
        <is>
          <t>OpenDART_fnlttSinglAcntAll</t>
        </is>
      </c>
      <c r="B935" s="27" t="inlineStr">
        <is>
          <t>00118804</t>
        </is>
      </c>
      <c r="C935" s="27" t="inlineStr">
        <is>
          <t>동진쎄미켐</t>
        </is>
      </c>
      <c r="D935" s="27" t="inlineStr">
        <is>
          <t>dongjin_semichem</t>
        </is>
      </c>
      <c r="E935" s="27" t="inlineStr">
        <is>
          <t>005290</t>
        </is>
      </c>
      <c r="F935" s="27" t="inlineStr">
        <is>
          <t>2025</t>
        </is>
      </c>
      <c r="G935" s="27" t="inlineStr">
        <is>
          <t>CFS</t>
        </is>
      </c>
      <c r="H935" s="27" t="inlineStr">
        <is>
          <t>CF</t>
        </is>
      </c>
      <c r="I935" s="27" t="inlineStr">
        <is>
          <t>현금흐름표</t>
        </is>
      </c>
      <c r="J935" s="27" t="inlineStr">
        <is>
          <t>dart_ProceedsFromLongTermBorrowings</t>
        </is>
      </c>
      <c r="K935" s="27" t="inlineStr">
        <is>
          <t>장기차입금의 차입</t>
        </is>
      </c>
      <c r="L935" s="27" t="inlineStr">
        <is>
          <t>-</t>
        </is>
      </c>
      <c r="M935" s="27" t="inlineStr">
        <is>
          <t>제 53 기</t>
        </is>
      </c>
      <c r="N935" s="27" t="inlineStr">
        <is>
          <t>125000000000.0</t>
        </is>
      </c>
      <c r="O935" s="27" t="inlineStr">
        <is>
          <t>136684690727.0</t>
        </is>
      </c>
      <c r="P935" s="27" t="inlineStr">
        <is>
          <t>KRW</t>
        </is>
      </c>
      <c r="Q935" s="27" t="inlineStr">
        <is>
          <t>12</t>
        </is>
      </c>
    </row>
    <row r="936" ht="24" customHeight="1">
      <c r="A936" s="32" t="inlineStr">
        <is>
          <t>OpenDART_fnlttSinglAcntAll</t>
        </is>
      </c>
      <c r="B936" s="32" t="inlineStr">
        <is>
          <t>00118804</t>
        </is>
      </c>
      <c r="C936" s="32" t="inlineStr">
        <is>
          <t>동진쎄미켐</t>
        </is>
      </c>
      <c r="D936" s="32" t="inlineStr">
        <is>
          <t>dongjin_semichem</t>
        </is>
      </c>
      <c r="E936" s="32" t="inlineStr">
        <is>
          <t>005290</t>
        </is>
      </c>
      <c r="F936" s="32" t="inlineStr">
        <is>
          <t>2025</t>
        </is>
      </c>
      <c r="G936" s="32" t="inlineStr">
        <is>
          <t>CFS</t>
        </is>
      </c>
      <c r="H936" s="32" t="inlineStr">
        <is>
          <t>CF</t>
        </is>
      </c>
      <c r="I936" s="32" t="inlineStr">
        <is>
          <t>현금흐름표</t>
        </is>
      </c>
      <c r="J936" s="32" t="inlineStr">
        <is>
          <t>dart_ProceedsFromPaidinCapitalIncrease</t>
        </is>
      </c>
      <c r="K936" s="32" t="inlineStr">
        <is>
          <t>유상증자</t>
        </is>
      </c>
      <c r="L936" s="32" t="inlineStr">
        <is>
          <t>-</t>
        </is>
      </c>
      <c r="M936" s="32" t="inlineStr">
        <is>
          <t>제 53 기</t>
        </is>
      </c>
      <c r="N936" s="32" t="inlineStr">
        <is>
          <t>0.0</t>
        </is>
      </c>
      <c r="O936" s="32" t="inlineStr">
        <is>
          <t>8381100000.0</t>
        </is>
      </c>
      <c r="P936" s="32" t="inlineStr">
        <is>
          <t>KRW</t>
        </is>
      </c>
      <c r="Q936" s="32" t="inlineStr">
        <is>
          <t>13</t>
        </is>
      </c>
    </row>
    <row r="937" ht="24" customHeight="1">
      <c r="A937" s="27" t="inlineStr">
        <is>
          <t>OpenDART_fnlttSinglAcntAll</t>
        </is>
      </c>
      <c r="B937" s="27" t="inlineStr">
        <is>
          <t>00118804</t>
        </is>
      </c>
      <c r="C937" s="27" t="inlineStr">
        <is>
          <t>동진쎄미켐</t>
        </is>
      </c>
      <c r="D937" s="27" t="inlineStr">
        <is>
          <t>dongjin_semichem</t>
        </is>
      </c>
      <c r="E937" s="27" t="inlineStr">
        <is>
          <t>005290</t>
        </is>
      </c>
      <c r="F937" s="27" t="inlineStr">
        <is>
          <t>2025</t>
        </is>
      </c>
      <c r="G937" s="27" t="inlineStr">
        <is>
          <t>CFS</t>
        </is>
      </c>
      <c r="H937" s="27" t="inlineStr">
        <is>
          <t>CF</t>
        </is>
      </c>
      <c r="I937" s="27" t="inlineStr">
        <is>
          <t>현금흐름표</t>
        </is>
      </c>
      <c r="J937" s="27" t="inlineStr">
        <is>
          <t>dart_ProceedsFromShortTermBorrowings</t>
        </is>
      </c>
      <c r="K937" s="27" t="inlineStr">
        <is>
          <t>단기차입금의 차입</t>
        </is>
      </c>
      <c r="L937" s="27" t="inlineStr">
        <is>
          <t>-</t>
        </is>
      </c>
      <c r="M937" s="27" t="inlineStr">
        <is>
          <t>제 53 기</t>
        </is>
      </c>
      <c r="N937" s="27" t="inlineStr">
        <is>
          <t>482380375384.0</t>
        </is>
      </c>
      <c r="O937" s="27" t="inlineStr">
        <is>
          <t>568309749228.0</t>
        </is>
      </c>
      <c r="P937" s="27" t="inlineStr">
        <is>
          <t>KRW</t>
        </is>
      </c>
      <c r="Q937" s="27" t="inlineStr">
        <is>
          <t>14</t>
        </is>
      </c>
    </row>
    <row r="938" ht="24" customHeight="1">
      <c r="A938" s="32" t="inlineStr">
        <is>
          <t>OpenDART_fnlttSinglAcntAll</t>
        </is>
      </c>
      <c r="B938" s="32" t="inlineStr">
        <is>
          <t>00118804</t>
        </is>
      </c>
      <c r="C938" s="32" t="inlineStr">
        <is>
          <t>동진쎄미켐</t>
        </is>
      </c>
      <c r="D938" s="32" t="inlineStr">
        <is>
          <t>dongjin_semichem</t>
        </is>
      </c>
      <c r="E938" s="32" t="inlineStr">
        <is>
          <t>005290</t>
        </is>
      </c>
      <c r="F938" s="32" t="inlineStr">
        <is>
          <t>2025</t>
        </is>
      </c>
      <c r="G938" s="32" t="inlineStr">
        <is>
          <t>CFS</t>
        </is>
      </c>
      <c r="H938" s="32" t="inlineStr">
        <is>
          <t>CF</t>
        </is>
      </c>
      <c r="I938" s="32" t="inlineStr">
        <is>
          <t>현금흐름표</t>
        </is>
      </c>
      <c r="J938" s="32" t="inlineStr">
        <is>
          <t>dart_RepaymentsOfLongTermBorrowings</t>
        </is>
      </c>
      <c r="K938" s="32" t="inlineStr">
        <is>
          <t>장기차입금의 상환</t>
        </is>
      </c>
      <c r="L938" s="32" t="inlineStr">
        <is>
          <t>-</t>
        </is>
      </c>
      <c r="M938" s="32" t="inlineStr">
        <is>
          <t>제 53 기</t>
        </is>
      </c>
      <c r="N938" s="32" t="inlineStr">
        <is>
          <t>157324652360.0</t>
        </is>
      </c>
      <c r="O938" s="32" t="inlineStr">
        <is>
          <t>125264758466.0</t>
        </is>
      </c>
      <c r="P938" s="32" t="inlineStr">
        <is>
          <t>KRW</t>
        </is>
      </c>
      <c r="Q938" s="32" t="inlineStr">
        <is>
          <t>15</t>
        </is>
      </c>
    </row>
    <row r="939" ht="24" customHeight="1">
      <c r="A939" s="27" t="inlineStr">
        <is>
          <t>OpenDART_fnlttSinglAcntAll</t>
        </is>
      </c>
      <c r="B939" s="27" t="inlineStr">
        <is>
          <t>00118804</t>
        </is>
      </c>
      <c r="C939" s="27" t="inlineStr">
        <is>
          <t>동진쎄미켐</t>
        </is>
      </c>
      <c r="D939" s="27" t="inlineStr">
        <is>
          <t>dongjin_semichem</t>
        </is>
      </c>
      <c r="E939" s="27" t="inlineStr">
        <is>
          <t>005290</t>
        </is>
      </c>
      <c r="F939" s="27" t="inlineStr">
        <is>
          <t>2025</t>
        </is>
      </c>
      <c r="G939" s="27" t="inlineStr">
        <is>
          <t>CFS</t>
        </is>
      </c>
      <c r="H939" s="27" t="inlineStr">
        <is>
          <t>CF</t>
        </is>
      </c>
      <c r="I939" s="27" t="inlineStr">
        <is>
          <t>현금흐름표</t>
        </is>
      </c>
      <c r="J939" s="27" t="inlineStr">
        <is>
          <t>dart_RepaymentsOfShortTermBorrowings</t>
        </is>
      </c>
      <c r="K939" s="27" t="inlineStr">
        <is>
          <t>단기차입금의 상환</t>
        </is>
      </c>
      <c r="L939" s="27" t="inlineStr">
        <is>
          <t>-</t>
        </is>
      </c>
      <c r="M939" s="27" t="inlineStr">
        <is>
          <t>제 53 기</t>
        </is>
      </c>
      <c r="N939" s="27" t="inlineStr">
        <is>
          <t>528874155456.0</t>
        </is>
      </c>
      <c r="O939" s="27" t="inlineStr">
        <is>
          <t>421787619577.0</t>
        </is>
      </c>
      <c r="P939" s="27" t="inlineStr">
        <is>
          <t>KRW</t>
        </is>
      </c>
      <c r="Q939" s="27" t="inlineStr">
        <is>
          <t>16</t>
        </is>
      </c>
    </row>
    <row r="940" ht="24" customHeight="1">
      <c r="A940" s="32" t="inlineStr">
        <is>
          <t>OpenDART_fnlttSinglAcntAll</t>
        </is>
      </c>
      <c r="B940" s="32" t="inlineStr">
        <is>
          <t>00118804</t>
        </is>
      </c>
      <c r="C940" s="32" t="inlineStr">
        <is>
          <t>동진쎄미켐</t>
        </is>
      </c>
      <c r="D940" s="32" t="inlineStr">
        <is>
          <t>dongjin_semichem</t>
        </is>
      </c>
      <c r="E940" s="32" t="inlineStr">
        <is>
          <t>005290</t>
        </is>
      </c>
      <c r="F940" s="32" t="inlineStr">
        <is>
          <t>2025</t>
        </is>
      </c>
      <c r="G940" s="32" t="inlineStr">
        <is>
          <t>CFS</t>
        </is>
      </c>
      <c r="H940" s="32" t="inlineStr">
        <is>
          <t>CF</t>
        </is>
      </c>
      <c r="I940" s="32" t="inlineStr">
        <is>
          <t>현금흐름표</t>
        </is>
      </c>
      <c r="J940" s="32" t="inlineStr">
        <is>
          <t>ifrs-full_DividendsPaidClassifiedAsFinancingActivities</t>
        </is>
      </c>
      <c r="K940" s="32" t="inlineStr">
        <is>
          <t>배당금의 지급</t>
        </is>
      </c>
      <c r="L940" s="32" t="inlineStr">
        <is>
          <t>-</t>
        </is>
      </c>
      <c r="M940" s="32" t="inlineStr">
        <is>
          <t>제 53 기</t>
        </is>
      </c>
      <c r="N940" s="32" t="inlineStr">
        <is>
          <t>10357140906.0</t>
        </is>
      </c>
      <c r="O940" s="32" t="inlineStr">
        <is>
          <t>6236955469.0</t>
        </is>
      </c>
      <c r="P940" s="32" t="inlineStr">
        <is>
          <t>KRW</t>
        </is>
      </c>
      <c r="Q940" s="32" t="inlineStr">
        <is>
          <t>17</t>
        </is>
      </c>
    </row>
    <row r="941" ht="24" customHeight="1">
      <c r="A941" s="27" t="inlineStr">
        <is>
          <t>OpenDART_fnlttSinglAcntAll</t>
        </is>
      </c>
      <c r="B941" s="27" t="inlineStr">
        <is>
          <t>00118804</t>
        </is>
      </c>
      <c r="C941" s="27" t="inlineStr">
        <is>
          <t>동진쎄미켐</t>
        </is>
      </c>
      <c r="D941" s="27" t="inlineStr">
        <is>
          <t>dongjin_semichem</t>
        </is>
      </c>
      <c r="E941" s="27" t="inlineStr">
        <is>
          <t>005290</t>
        </is>
      </c>
      <c r="F941" s="27" t="inlineStr">
        <is>
          <t>2025</t>
        </is>
      </c>
      <c r="G941" s="27" t="inlineStr">
        <is>
          <t>CFS</t>
        </is>
      </c>
      <c r="H941" s="27" t="inlineStr">
        <is>
          <t>CF</t>
        </is>
      </c>
      <c r="I941" s="27" t="inlineStr">
        <is>
          <t>현금흐름표</t>
        </is>
      </c>
      <c r="J941" s="27" t="inlineStr">
        <is>
          <t>ifrs-full_PaymentsOfLeaseLiabilitiesClassifiedAsFinancingActivities</t>
        </is>
      </c>
      <c r="K941" s="27" t="inlineStr">
        <is>
          <t>리스부채의 감소</t>
        </is>
      </c>
      <c r="L941" s="27" t="inlineStr">
        <is>
          <t>-</t>
        </is>
      </c>
      <c r="M941" s="27" t="inlineStr">
        <is>
          <t>제 53 기</t>
        </is>
      </c>
      <c r="N941" s="27" t="inlineStr">
        <is>
          <t>10794789500.0</t>
        </is>
      </c>
      <c r="O941" s="27" t="inlineStr">
        <is>
          <t>10048688172.0</t>
        </is>
      </c>
      <c r="P941" s="27" t="inlineStr">
        <is>
          <t>KRW</t>
        </is>
      </c>
      <c r="Q941" s="27" t="inlineStr">
        <is>
          <t>18</t>
        </is>
      </c>
    </row>
    <row r="942" ht="24" customHeight="1">
      <c r="A942" s="32" t="inlineStr">
        <is>
          <t>OpenDART_fnlttSinglAcntAll</t>
        </is>
      </c>
      <c r="B942" s="32" t="inlineStr">
        <is>
          <t>00118804</t>
        </is>
      </c>
      <c r="C942" s="32" t="inlineStr">
        <is>
          <t>동진쎄미켐</t>
        </is>
      </c>
      <c r="D942" s="32" t="inlineStr">
        <is>
          <t>dongjin_semichem</t>
        </is>
      </c>
      <c r="E942" s="32" t="inlineStr">
        <is>
          <t>005290</t>
        </is>
      </c>
      <c r="F942" s="32" t="inlineStr">
        <is>
          <t>2025</t>
        </is>
      </c>
      <c r="G942" s="32" t="inlineStr">
        <is>
          <t>CFS</t>
        </is>
      </c>
      <c r="H942" s="32" t="inlineStr">
        <is>
          <t>CF</t>
        </is>
      </c>
      <c r="I942" s="32" t="inlineStr">
        <is>
          <t>현금흐름표</t>
        </is>
      </c>
      <c r="J942" s="32" t="inlineStr">
        <is>
          <t>ifrs-full_CashFlowsFromUsedInInvestingActivities</t>
        </is>
      </c>
      <c r="K942" s="32" t="inlineStr">
        <is>
          <t>투자활동으로 인한 현금흐름</t>
        </is>
      </c>
      <c r="L942" s="32" t="inlineStr">
        <is>
          <t>-</t>
        </is>
      </c>
      <c r="M942" s="32" t="inlineStr">
        <is>
          <t>제 53 기</t>
        </is>
      </c>
      <c r="N942" s="32" t="inlineStr">
        <is>
          <t>-32797015301.0</t>
        </is>
      </c>
      <c r="O942" s="32" t="inlineStr">
        <is>
          <t>-267472661689.0</t>
        </is>
      </c>
      <c r="P942" s="32" t="inlineStr">
        <is>
          <t>KRW</t>
        </is>
      </c>
      <c r="Q942" s="32" t="inlineStr">
        <is>
          <t>19</t>
        </is>
      </c>
    </row>
    <row r="943" ht="24" customHeight="1">
      <c r="A943" s="27" t="inlineStr">
        <is>
          <t>OpenDART_fnlttSinglAcntAll</t>
        </is>
      </c>
      <c r="B943" s="27" t="inlineStr">
        <is>
          <t>00118804</t>
        </is>
      </c>
      <c r="C943" s="27" t="inlineStr">
        <is>
          <t>동진쎄미켐</t>
        </is>
      </c>
      <c r="D943" s="27" t="inlineStr">
        <is>
          <t>dongjin_semichem</t>
        </is>
      </c>
      <c r="E943" s="27" t="inlineStr">
        <is>
          <t>005290</t>
        </is>
      </c>
      <c r="F943" s="27" t="inlineStr">
        <is>
          <t>2025</t>
        </is>
      </c>
      <c r="G943" s="27" t="inlineStr">
        <is>
          <t>CFS</t>
        </is>
      </c>
      <c r="H943" s="27" t="inlineStr">
        <is>
          <t>CF</t>
        </is>
      </c>
      <c r="I943" s="27" t="inlineStr">
        <is>
          <t>현금흐름표</t>
        </is>
      </c>
      <c r="J943" s="27" t="inlineStr">
        <is>
          <t>dart_ProceedsFromSaleOfInvestmentFinancialInstruments</t>
        </is>
      </c>
      <c r="K943" s="27" t="inlineStr">
        <is>
          <t>투자금융자산의 처분</t>
        </is>
      </c>
      <c r="L943" s="27" t="inlineStr">
        <is>
          <t>-</t>
        </is>
      </c>
      <c r="M943" s="27" t="inlineStr">
        <is>
          <t>제 53 기</t>
        </is>
      </c>
      <c r="N943" s="27" t="inlineStr">
        <is>
          <t>0.0</t>
        </is>
      </c>
      <c r="O943" s="27" t="inlineStr">
        <is>
          <t>223328760.0</t>
        </is>
      </c>
      <c r="P943" s="27" t="inlineStr">
        <is>
          <t>KRW</t>
        </is>
      </c>
      <c r="Q943" s="27" t="inlineStr">
        <is>
          <t>20</t>
        </is>
      </c>
    </row>
    <row r="944" ht="24" customHeight="1">
      <c r="A944" s="32" t="inlineStr">
        <is>
          <t>OpenDART_fnlttSinglAcntAll</t>
        </is>
      </c>
      <c r="B944" s="32" t="inlineStr">
        <is>
          <t>00118804</t>
        </is>
      </c>
      <c r="C944" s="32" t="inlineStr">
        <is>
          <t>동진쎄미켐</t>
        </is>
      </c>
      <c r="D944" s="32" t="inlineStr">
        <is>
          <t>dongjin_semichem</t>
        </is>
      </c>
      <c r="E944" s="32" t="inlineStr">
        <is>
          <t>005290</t>
        </is>
      </c>
      <c r="F944" s="32" t="inlineStr">
        <is>
          <t>2025</t>
        </is>
      </c>
      <c r="G944" s="32" t="inlineStr">
        <is>
          <t>CFS</t>
        </is>
      </c>
      <c r="H944" s="32" t="inlineStr">
        <is>
          <t>CF</t>
        </is>
      </c>
      <c r="I944" s="32" t="inlineStr">
        <is>
          <t>현금흐름표</t>
        </is>
      </c>
      <c r="J944" s="32" t="inlineStr">
        <is>
          <t>dart_ProceedsFromSalesOfInvestmentsInAssociates</t>
        </is>
      </c>
      <c r="K944" s="32" t="inlineStr">
        <is>
          <t>관계기업투자의 처분</t>
        </is>
      </c>
      <c r="L944" s="32" t="inlineStr">
        <is>
          <t>-</t>
        </is>
      </c>
      <c r="M944" s="32" t="inlineStr">
        <is>
          <t>제 53 기</t>
        </is>
      </c>
      <c r="N944" s="32" t="inlineStr">
        <is>
          <t>0.0</t>
        </is>
      </c>
      <c r="O944" s="32" t="inlineStr">
        <is>
          <t>0.0</t>
        </is>
      </c>
      <c r="P944" s="32" t="inlineStr">
        <is>
          <t>KRW</t>
        </is>
      </c>
      <c r="Q944" s="32" t="inlineStr">
        <is>
          <t>21</t>
        </is>
      </c>
    </row>
    <row r="945" ht="24" customHeight="1">
      <c r="A945" s="27" t="inlineStr">
        <is>
          <t>OpenDART_fnlttSinglAcntAll</t>
        </is>
      </c>
      <c r="B945" s="27" t="inlineStr">
        <is>
          <t>00118804</t>
        </is>
      </c>
      <c r="C945" s="27" t="inlineStr">
        <is>
          <t>동진쎄미켐</t>
        </is>
      </c>
      <c r="D945" s="27" t="inlineStr">
        <is>
          <t>dongjin_semichem</t>
        </is>
      </c>
      <c r="E945" s="27" t="inlineStr">
        <is>
          <t>005290</t>
        </is>
      </c>
      <c r="F945" s="27" t="inlineStr">
        <is>
          <t>2025</t>
        </is>
      </c>
      <c r="G945" s="27" t="inlineStr">
        <is>
          <t>CFS</t>
        </is>
      </c>
      <c r="H945" s="27" t="inlineStr">
        <is>
          <t>CF</t>
        </is>
      </c>
      <c r="I945" s="27" t="inlineStr">
        <is>
          <t>현금흐름표</t>
        </is>
      </c>
      <c r="J945" s="27" t="inlineStr">
        <is>
          <t>dart_ProceedsFromSalesOfLongTermLoansAndReceivables</t>
        </is>
      </c>
      <c r="K945" s="27" t="inlineStr">
        <is>
          <t>장기대여금의 회수</t>
        </is>
      </c>
      <c r="L945" s="27" t="inlineStr">
        <is>
          <t>-</t>
        </is>
      </c>
      <c r="M945" s="27" t="inlineStr">
        <is>
          <t>제 53 기</t>
        </is>
      </c>
      <c r="N945" s="27" t="inlineStr">
        <is>
          <t>66950000.0</t>
        </is>
      </c>
      <c r="O945" s="27" t="inlineStr">
        <is>
          <t>45000000.0</t>
        </is>
      </c>
      <c r="P945" s="27" t="inlineStr">
        <is>
          <t>KRW</t>
        </is>
      </c>
      <c r="Q945" s="27" t="inlineStr">
        <is>
          <t>22</t>
        </is>
      </c>
    </row>
    <row r="946" ht="24" customHeight="1">
      <c r="A946" s="32" t="inlineStr">
        <is>
          <t>OpenDART_fnlttSinglAcntAll</t>
        </is>
      </c>
      <c r="B946" s="32" t="inlineStr">
        <is>
          <t>00118804</t>
        </is>
      </c>
      <c r="C946" s="32" t="inlineStr">
        <is>
          <t>동진쎄미켐</t>
        </is>
      </c>
      <c r="D946" s="32" t="inlineStr">
        <is>
          <t>dongjin_semichem</t>
        </is>
      </c>
      <c r="E946" s="32" t="inlineStr">
        <is>
          <t>005290</t>
        </is>
      </c>
      <c r="F946" s="32" t="inlineStr">
        <is>
          <t>2025</t>
        </is>
      </c>
      <c r="G946" s="32" t="inlineStr">
        <is>
          <t>CFS</t>
        </is>
      </c>
      <c r="H946" s="32" t="inlineStr">
        <is>
          <t>CF</t>
        </is>
      </c>
      <c r="I946" s="32" t="inlineStr">
        <is>
          <t>현금흐름표</t>
        </is>
      </c>
      <c r="J946" s="32" t="inlineStr">
        <is>
          <t>dart_ProceedsFromSalesOfShortTermFinancialInstruments</t>
        </is>
      </c>
      <c r="K946" s="32" t="inlineStr">
        <is>
          <t>단기금융자산의 감소</t>
        </is>
      </c>
      <c r="L946" s="32" t="inlineStr">
        <is>
          <t>-</t>
        </is>
      </c>
      <c r="M946" s="32" t="inlineStr">
        <is>
          <t>제 53 기</t>
        </is>
      </c>
      <c r="N946" s="32" t="inlineStr">
        <is>
          <t>168484883504.0</t>
        </is>
      </c>
      <c r="O946" s="32" t="inlineStr">
        <is>
          <t>158051600680.0</t>
        </is>
      </c>
      <c r="P946" s="32" t="inlineStr">
        <is>
          <t>KRW</t>
        </is>
      </c>
      <c r="Q946" s="32" t="inlineStr">
        <is>
          <t>23</t>
        </is>
      </c>
    </row>
    <row r="947" ht="24" customHeight="1">
      <c r="A947" s="27" t="inlineStr">
        <is>
          <t>OpenDART_fnlttSinglAcntAll</t>
        </is>
      </c>
      <c r="B947" s="27" t="inlineStr">
        <is>
          <t>00118804</t>
        </is>
      </c>
      <c r="C947" s="27" t="inlineStr">
        <is>
          <t>동진쎄미켐</t>
        </is>
      </c>
      <c r="D947" s="27" t="inlineStr">
        <is>
          <t>dongjin_semichem</t>
        </is>
      </c>
      <c r="E947" s="27" t="inlineStr">
        <is>
          <t>005290</t>
        </is>
      </c>
      <c r="F947" s="27" t="inlineStr">
        <is>
          <t>2025</t>
        </is>
      </c>
      <c r="G947" s="27" t="inlineStr">
        <is>
          <t>CFS</t>
        </is>
      </c>
      <c r="H947" s="27" t="inlineStr">
        <is>
          <t>CF</t>
        </is>
      </c>
      <c r="I947" s="27" t="inlineStr">
        <is>
          <t>현금흐름표</t>
        </is>
      </c>
      <c r="J947" s="27" t="inlineStr">
        <is>
          <t>dart_PurchaseOfInvestmentFinancialInstruments</t>
        </is>
      </c>
      <c r="K947" s="27" t="inlineStr">
        <is>
          <t>투자금융자산의 취득</t>
        </is>
      </c>
      <c r="L947" s="27" t="inlineStr">
        <is>
          <t>-</t>
        </is>
      </c>
      <c r="M947" s="27" t="inlineStr">
        <is>
          <t>제 53 기</t>
        </is>
      </c>
      <c r="N947" s="27" t="inlineStr">
        <is>
          <t>6993084800.0</t>
        </is>
      </c>
      <c r="O947" s="27" t="inlineStr">
        <is>
          <t>9986481300.0</t>
        </is>
      </c>
      <c r="P947" s="27" t="inlineStr">
        <is>
          <t>KRW</t>
        </is>
      </c>
      <c r="Q947" s="27" t="inlineStr">
        <is>
          <t>24</t>
        </is>
      </c>
    </row>
    <row r="948" ht="24" customHeight="1">
      <c r="A948" s="32" t="inlineStr">
        <is>
          <t>OpenDART_fnlttSinglAcntAll</t>
        </is>
      </c>
      <c r="B948" s="32" t="inlineStr">
        <is>
          <t>00118804</t>
        </is>
      </c>
      <c r="C948" s="32" t="inlineStr">
        <is>
          <t>동진쎄미켐</t>
        </is>
      </c>
      <c r="D948" s="32" t="inlineStr">
        <is>
          <t>dongjin_semichem</t>
        </is>
      </c>
      <c r="E948" s="32" t="inlineStr">
        <is>
          <t>005290</t>
        </is>
      </c>
      <c r="F948" s="32" t="inlineStr">
        <is>
          <t>2025</t>
        </is>
      </c>
      <c r="G948" s="32" t="inlineStr">
        <is>
          <t>CFS</t>
        </is>
      </c>
      <c r="H948" s="32" t="inlineStr">
        <is>
          <t>CF</t>
        </is>
      </c>
      <c r="I948" s="32" t="inlineStr">
        <is>
          <t>현금흐름표</t>
        </is>
      </c>
      <c r="J948" s="32" t="inlineStr">
        <is>
          <t>dart_PurchaseOfInvestmentsInAssociates</t>
        </is>
      </c>
      <c r="K948" s="32" t="inlineStr">
        <is>
          <t>관계기업투자의 취득</t>
        </is>
      </c>
      <c r="L948" s="32" t="inlineStr">
        <is>
          <t>-</t>
        </is>
      </c>
      <c r="M948" s="32" t="inlineStr">
        <is>
          <t>제 53 기</t>
        </is>
      </c>
      <c r="N948" s="32" t="inlineStr">
        <is>
          <t>4000004084.0</t>
        </is>
      </c>
      <c r="O948" s="32" t="inlineStr">
        <is>
          <t>0.0</t>
        </is>
      </c>
      <c r="P948" s="32" t="inlineStr">
        <is>
          <t>KRW</t>
        </is>
      </c>
      <c r="Q948" s="32" t="inlineStr">
        <is>
          <t>25</t>
        </is>
      </c>
    </row>
    <row r="949" ht="24" customHeight="1">
      <c r="A949" s="27" t="inlineStr">
        <is>
          <t>OpenDART_fnlttSinglAcntAll</t>
        </is>
      </c>
      <c r="B949" s="27" t="inlineStr">
        <is>
          <t>00118804</t>
        </is>
      </c>
      <c r="C949" s="27" t="inlineStr">
        <is>
          <t>동진쎄미켐</t>
        </is>
      </c>
      <c r="D949" s="27" t="inlineStr">
        <is>
          <t>dongjin_semichem</t>
        </is>
      </c>
      <c r="E949" s="27" t="inlineStr">
        <is>
          <t>005290</t>
        </is>
      </c>
      <c r="F949" s="27" t="inlineStr">
        <is>
          <t>2025</t>
        </is>
      </c>
      <c r="G949" s="27" t="inlineStr">
        <is>
          <t>CFS</t>
        </is>
      </c>
      <c r="H949" s="27" t="inlineStr">
        <is>
          <t>CF</t>
        </is>
      </c>
      <c r="I949" s="27" t="inlineStr">
        <is>
          <t>현금흐름표</t>
        </is>
      </c>
      <c r="J949" s="27" t="inlineStr">
        <is>
          <t>dart_PurchaseOfLongTermFinancialInstruments</t>
        </is>
      </c>
      <c r="K949" s="27" t="inlineStr">
        <is>
          <t>장기금융자산의 취득</t>
        </is>
      </c>
      <c r="L949" s="27" t="inlineStr">
        <is>
          <t>-</t>
        </is>
      </c>
      <c r="M949" s="27" t="inlineStr">
        <is>
          <t>제 53 기</t>
        </is>
      </c>
      <c r="N949" s="27" t="inlineStr">
        <is>
          <t>135200000.0</t>
        </is>
      </c>
      <c r="O949" s="27" t="inlineStr">
        <is>
          <t>0.0</t>
        </is>
      </c>
      <c r="P949" s="27" t="inlineStr">
        <is>
          <t>KRW</t>
        </is>
      </c>
      <c r="Q949" s="27" t="inlineStr">
        <is>
          <t>26</t>
        </is>
      </c>
    </row>
    <row r="950" ht="24" customHeight="1">
      <c r="A950" s="32" t="inlineStr">
        <is>
          <t>OpenDART_fnlttSinglAcntAll</t>
        </is>
      </c>
      <c r="B950" s="32" t="inlineStr">
        <is>
          <t>00118804</t>
        </is>
      </c>
      <c r="C950" s="32" t="inlineStr">
        <is>
          <t>동진쎄미켐</t>
        </is>
      </c>
      <c r="D950" s="32" t="inlineStr">
        <is>
          <t>dongjin_semichem</t>
        </is>
      </c>
      <c r="E950" s="32" t="inlineStr">
        <is>
          <t>005290</t>
        </is>
      </c>
      <c r="F950" s="32" t="inlineStr">
        <is>
          <t>2025</t>
        </is>
      </c>
      <c r="G950" s="32" t="inlineStr">
        <is>
          <t>CFS</t>
        </is>
      </c>
      <c r="H950" s="32" t="inlineStr">
        <is>
          <t>CF</t>
        </is>
      </c>
      <c r="I950" s="32" t="inlineStr">
        <is>
          <t>현금흐름표</t>
        </is>
      </c>
      <c r="J950" s="32" t="inlineStr">
        <is>
          <t>dart_PurchaseOfLongTermLoansAndReceivables</t>
        </is>
      </c>
      <c r="K950" s="32" t="inlineStr">
        <is>
          <t>장기대여금의 대여</t>
        </is>
      </c>
      <c r="L950" s="32" t="inlineStr">
        <is>
          <t>-</t>
        </is>
      </c>
      <c r="M950" s="32" t="inlineStr">
        <is>
          <t>제 53 기</t>
        </is>
      </c>
      <c r="N950" s="32" t="inlineStr">
        <is>
          <t>10097762000.0</t>
        </is>
      </c>
      <c r="O950" s="32" t="inlineStr">
        <is>
          <t>0.0</t>
        </is>
      </c>
      <c r="P950" s="32" t="inlineStr">
        <is>
          <t>KRW</t>
        </is>
      </c>
      <c r="Q950" s="32" t="inlineStr">
        <is>
          <t>27</t>
        </is>
      </c>
    </row>
    <row r="951" ht="24" customHeight="1">
      <c r="A951" s="27" t="inlineStr">
        <is>
          <t>OpenDART_fnlttSinglAcntAll</t>
        </is>
      </c>
      <c r="B951" s="27" t="inlineStr">
        <is>
          <t>00118804</t>
        </is>
      </c>
      <c r="C951" s="27" t="inlineStr">
        <is>
          <t>동진쎄미켐</t>
        </is>
      </c>
      <c r="D951" s="27" t="inlineStr">
        <is>
          <t>dongjin_semichem</t>
        </is>
      </c>
      <c r="E951" s="27" t="inlineStr">
        <is>
          <t>005290</t>
        </is>
      </c>
      <c r="F951" s="27" t="inlineStr">
        <is>
          <t>2025</t>
        </is>
      </c>
      <c r="G951" s="27" t="inlineStr">
        <is>
          <t>CFS</t>
        </is>
      </c>
      <c r="H951" s="27" t="inlineStr">
        <is>
          <t>CF</t>
        </is>
      </c>
      <c r="I951" s="27" t="inlineStr">
        <is>
          <t>현금흐름표</t>
        </is>
      </c>
      <c r="J951" s="27" t="inlineStr">
        <is>
          <t>dart_PurchaseOfShortTermFinancialInstruments</t>
        </is>
      </c>
      <c r="K951" s="27" t="inlineStr">
        <is>
          <t>단기금융자산의 취득</t>
        </is>
      </c>
      <c r="L951" s="27" t="inlineStr">
        <is>
          <t>-</t>
        </is>
      </c>
      <c r="M951" s="27" t="inlineStr">
        <is>
          <t>제 53 기</t>
        </is>
      </c>
      <c r="N951" s="27" t="inlineStr">
        <is>
          <t>100304168106.0</t>
        </is>
      </c>
      <c r="O951" s="27" t="inlineStr">
        <is>
          <t>201745271160.0</t>
        </is>
      </c>
      <c r="P951" s="27" t="inlineStr">
        <is>
          <t>KRW</t>
        </is>
      </c>
      <c r="Q951" s="27" t="inlineStr">
        <is>
          <t>28</t>
        </is>
      </c>
    </row>
    <row r="952" ht="24" customHeight="1">
      <c r="A952" s="32" t="inlineStr">
        <is>
          <t>OpenDART_fnlttSinglAcntAll</t>
        </is>
      </c>
      <c r="B952" s="32" t="inlineStr">
        <is>
          <t>00118804</t>
        </is>
      </c>
      <c r="C952" s="32" t="inlineStr">
        <is>
          <t>동진쎄미켐</t>
        </is>
      </c>
      <c r="D952" s="32" t="inlineStr">
        <is>
          <t>dongjin_semichem</t>
        </is>
      </c>
      <c r="E952" s="32" t="inlineStr">
        <is>
          <t>005290</t>
        </is>
      </c>
      <c r="F952" s="32" t="inlineStr">
        <is>
          <t>2025</t>
        </is>
      </c>
      <c r="G952" s="32" t="inlineStr">
        <is>
          <t>CFS</t>
        </is>
      </c>
      <c r="H952" s="32" t="inlineStr">
        <is>
          <t>CF</t>
        </is>
      </c>
      <c r="I952" s="32" t="inlineStr">
        <is>
          <t>현금흐름표</t>
        </is>
      </c>
      <c r="J952" s="32" t="inlineStr">
        <is>
          <t>dart_PurchaseOfShortTermLoansAndReceivables</t>
        </is>
      </c>
      <c r="K952" s="32" t="inlineStr">
        <is>
          <t>단기대여금의 대여</t>
        </is>
      </c>
      <c r="L952" s="32" t="inlineStr">
        <is>
          <t>-</t>
        </is>
      </c>
      <c r="M952" s="32" t="inlineStr">
        <is>
          <t>제 53 기</t>
        </is>
      </c>
      <c r="N952" s="32" t="inlineStr">
        <is>
          <t>0.0</t>
        </is>
      </c>
      <c r="O952" s="32" t="inlineStr">
        <is>
          <t>40901500000.0</t>
        </is>
      </c>
      <c r="P952" s="32" t="inlineStr">
        <is>
          <t>KRW</t>
        </is>
      </c>
      <c r="Q952" s="32" t="inlineStr">
        <is>
          <t>29</t>
        </is>
      </c>
    </row>
    <row r="953" ht="24" customHeight="1">
      <c r="A953" s="27" t="inlineStr">
        <is>
          <t>OpenDART_fnlttSinglAcntAll</t>
        </is>
      </c>
      <c r="B953" s="27" t="inlineStr">
        <is>
          <t>00118804</t>
        </is>
      </c>
      <c r="C953" s="27" t="inlineStr">
        <is>
          <t>동진쎄미켐</t>
        </is>
      </c>
      <c r="D953" s="27" t="inlineStr">
        <is>
          <t>dongjin_semichem</t>
        </is>
      </c>
      <c r="E953" s="27" t="inlineStr">
        <is>
          <t>005290</t>
        </is>
      </c>
      <c r="F953" s="27" t="inlineStr">
        <is>
          <t>2025</t>
        </is>
      </c>
      <c r="G953" s="27" t="inlineStr">
        <is>
          <t>CFS</t>
        </is>
      </c>
      <c r="H953" s="27" t="inlineStr">
        <is>
          <t>CF</t>
        </is>
      </c>
      <c r="I953" s="27" t="inlineStr">
        <is>
          <t>현금흐름표</t>
        </is>
      </c>
      <c r="J953" s="27" t="inlineStr">
        <is>
          <t>ifrs-full_ProceedsFromGovernmentGrantsClassifiedAsInvestingActivities</t>
        </is>
      </c>
      <c r="K953" s="27" t="inlineStr">
        <is>
          <t>국고보조금의 수령</t>
        </is>
      </c>
      <c r="L953" s="27" t="inlineStr">
        <is>
          <t>-</t>
        </is>
      </c>
      <c r="M953" s="27" t="inlineStr">
        <is>
          <t>제 53 기</t>
        </is>
      </c>
      <c r="N953" s="27" t="inlineStr">
        <is>
          <t>1350494524.0</t>
        </is>
      </c>
      <c r="O953" s="27" t="inlineStr">
        <is>
          <t>1622626680.0</t>
        </is>
      </c>
      <c r="P953" s="27" t="inlineStr">
        <is>
          <t>KRW</t>
        </is>
      </c>
      <c r="Q953" s="27" t="inlineStr">
        <is>
          <t>30</t>
        </is>
      </c>
    </row>
    <row r="954" ht="24" customHeight="1">
      <c r="A954" s="32" t="inlineStr">
        <is>
          <t>OpenDART_fnlttSinglAcntAll</t>
        </is>
      </c>
      <c r="B954" s="32" t="inlineStr">
        <is>
          <t>00118804</t>
        </is>
      </c>
      <c r="C954" s="32" t="inlineStr">
        <is>
          <t>동진쎄미켐</t>
        </is>
      </c>
      <c r="D954" s="32" t="inlineStr">
        <is>
          <t>dongjin_semichem</t>
        </is>
      </c>
      <c r="E954" s="32" t="inlineStr">
        <is>
          <t>005290</t>
        </is>
      </c>
      <c r="F954" s="32" t="inlineStr">
        <is>
          <t>2025</t>
        </is>
      </c>
      <c r="G954" s="32" t="inlineStr">
        <is>
          <t>CFS</t>
        </is>
      </c>
      <c r="H954" s="32" t="inlineStr">
        <is>
          <t>CF</t>
        </is>
      </c>
      <c r="I954" s="32" t="inlineStr">
        <is>
          <t>현금흐름표</t>
        </is>
      </c>
      <c r="J954" s="32" t="inlineStr">
        <is>
          <t>ifrs-full_ProceedsFromSalesOfPropertyPlantAndEquipmentClassifiedAsInvestingActivities</t>
        </is>
      </c>
      <c r="K954" s="32" t="inlineStr">
        <is>
          <t>유형자산의 처분</t>
        </is>
      </c>
      <c r="L954" s="32" t="inlineStr">
        <is>
          <t>-</t>
        </is>
      </c>
      <c r="M954" s="32" t="inlineStr">
        <is>
          <t>제 53 기</t>
        </is>
      </c>
      <c r="N954" s="32" t="inlineStr">
        <is>
          <t>239431863.0</t>
        </is>
      </c>
      <c r="O954" s="32" t="inlineStr">
        <is>
          <t>685227889.0</t>
        </is>
      </c>
      <c r="P954" s="32" t="inlineStr">
        <is>
          <t>KRW</t>
        </is>
      </c>
      <c r="Q954" s="32" t="inlineStr">
        <is>
          <t>31</t>
        </is>
      </c>
    </row>
    <row r="955" ht="24" customHeight="1">
      <c r="A955" s="27" t="inlineStr">
        <is>
          <t>OpenDART_fnlttSinglAcntAll</t>
        </is>
      </c>
      <c r="B955" s="27" t="inlineStr">
        <is>
          <t>00118804</t>
        </is>
      </c>
      <c r="C955" s="27" t="inlineStr">
        <is>
          <t>동진쎄미켐</t>
        </is>
      </c>
      <c r="D955" s="27" t="inlineStr">
        <is>
          <t>dongjin_semichem</t>
        </is>
      </c>
      <c r="E955" s="27" t="inlineStr">
        <is>
          <t>005290</t>
        </is>
      </c>
      <c r="F955" s="27" t="inlineStr">
        <is>
          <t>2025</t>
        </is>
      </c>
      <c r="G955" s="27" t="inlineStr">
        <is>
          <t>CFS</t>
        </is>
      </c>
      <c r="H955" s="27" t="inlineStr">
        <is>
          <t>CF</t>
        </is>
      </c>
      <c r="I955" s="27" t="inlineStr">
        <is>
          <t>현금흐름표</t>
        </is>
      </c>
      <c r="J955" s="27" t="inlineStr">
        <is>
          <t>ifrs-full_PurchaseOfIntangibleAssetsClassifiedAsInvestingActivities</t>
        </is>
      </c>
      <c r="K955" s="27" t="inlineStr">
        <is>
          <t>무형자산의 취득</t>
        </is>
      </c>
      <c r="L955" s="27" t="inlineStr">
        <is>
          <t>-</t>
        </is>
      </c>
      <c r="M955" s="27" t="inlineStr">
        <is>
          <t>제 53 기</t>
        </is>
      </c>
      <c r="N955" s="27" t="inlineStr">
        <is>
          <t>4247018099.0</t>
        </is>
      </c>
      <c r="O955" s="27" t="inlineStr">
        <is>
          <t>3589079921.0</t>
        </is>
      </c>
      <c r="P955" s="27" t="inlineStr">
        <is>
          <t>KRW</t>
        </is>
      </c>
      <c r="Q955" s="27" t="inlineStr">
        <is>
          <t>32</t>
        </is>
      </c>
    </row>
    <row r="956" ht="24" customHeight="1">
      <c r="A956" s="32" t="inlineStr">
        <is>
          <t>OpenDART_fnlttSinglAcntAll</t>
        </is>
      </c>
      <c r="B956" s="32" t="inlineStr">
        <is>
          <t>00118804</t>
        </is>
      </c>
      <c r="C956" s="32" t="inlineStr">
        <is>
          <t>동진쎄미켐</t>
        </is>
      </c>
      <c r="D956" s="32" t="inlineStr">
        <is>
          <t>dongjin_semichem</t>
        </is>
      </c>
      <c r="E956" s="32" t="inlineStr">
        <is>
          <t>005290</t>
        </is>
      </c>
      <c r="F956" s="32" t="inlineStr">
        <is>
          <t>2025</t>
        </is>
      </c>
      <c r="G956" s="32" t="inlineStr">
        <is>
          <t>CFS</t>
        </is>
      </c>
      <c r="H956" s="32" t="inlineStr">
        <is>
          <t>CF</t>
        </is>
      </c>
      <c r="I956" s="32" t="inlineStr">
        <is>
          <t>현금흐름표</t>
        </is>
      </c>
      <c r="J956" s="32" t="inlineStr">
        <is>
          <t>ifrs-full_PurchaseOfPropertyPlantAndEquipmentClassifiedAsInvestingActivities</t>
        </is>
      </c>
      <c r="K956" s="32" t="inlineStr">
        <is>
          <t>유형자산의 취득</t>
        </is>
      </c>
      <c r="L956" s="32" t="inlineStr">
        <is>
          <t>-</t>
        </is>
      </c>
      <c r="M956" s="32" t="inlineStr">
        <is>
          <t>제 53 기</t>
        </is>
      </c>
      <c r="N956" s="32" t="inlineStr">
        <is>
          <t>77161538103.0</t>
        </is>
      </c>
      <c r="O956" s="32" t="inlineStr">
        <is>
          <t>171878113317.0</t>
        </is>
      </c>
      <c r="P956" s="32" t="inlineStr">
        <is>
          <t>KRW</t>
        </is>
      </c>
      <c r="Q956" s="32" t="inlineStr">
        <is>
          <t>33</t>
        </is>
      </c>
    </row>
    <row r="957" ht="24" customHeight="1">
      <c r="A957" s="27" t="inlineStr">
        <is>
          <t>OpenDART_fnlttSinglAcntAll</t>
        </is>
      </c>
      <c r="B957" s="27" t="inlineStr">
        <is>
          <t>00118804</t>
        </is>
      </c>
      <c r="C957" s="27" t="inlineStr">
        <is>
          <t>동진쎄미켐</t>
        </is>
      </c>
      <c r="D957" s="27" t="inlineStr">
        <is>
          <t>dongjin_semichem</t>
        </is>
      </c>
      <c r="E957" s="27" t="inlineStr">
        <is>
          <t>005290</t>
        </is>
      </c>
      <c r="F957" s="27" t="inlineStr">
        <is>
          <t>2025</t>
        </is>
      </c>
      <c r="G957" s="27" t="inlineStr">
        <is>
          <t>CFS</t>
        </is>
      </c>
      <c r="H957" s="27" t="inlineStr">
        <is>
          <t>CF</t>
        </is>
      </c>
      <c r="I957" s="27" t="inlineStr">
        <is>
          <t>현금흐름표</t>
        </is>
      </c>
      <c r="J957" s="27" t="inlineStr">
        <is>
          <t>ifrs-full_CashFlowsFromUsedInOperatingActivities</t>
        </is>
      </c>
      <c r="K957" s="27" t="inlineStr">
        <is>
          <t>영업활동으로 인한 현금흐름</t>
        </is>
      </c>
      <c r="L957" s="27" t="inlineStr">
        <is>
          <t>-</t>
        </is>
      </c>
      <c r="M957" s="27" t="inlineStr">
        <is>
          <t>제 53 기</t>
        </is>
      </c>
      <c r="N957" s="27" t="inlineStr">
        <is>
          <t>191257331406.0</t>
        </is>
      </c>
      <c r="O957" s="27" t="inlineStr">
        <is>
          <t>226861923132.0</t>
        </is>
      </c>
      <c r="P957" s="27" t="inlineStr">
        <is>
          <t>KRW</t>
        </is>
      </c>
      <c r="Q957" s="27" t="inlineStr">
        <is>
          <t>34</t>
        </is>
      </c>
    </row>
    <row r="958" ht="24" customHeight="1">
      <c r="A958" s="32" t="inlineStr">
        <is>
          <t>OpenDART_fnlttSinglAcntAll</t>
        </is>
      </c>
      <c r="B958" s="32" t="inlineStr">
        <is>
          <t>00118804</t>
        </is>
      </c>
      <c r="C958" s="32" t="inlineStr">
        <is>
          <t>동진쎄미켐</t>
        </is>
      </c>
      <c r="D958" s="32" t="inlineStr">
        <is>
          <t>dongjin_semichem</t>
        </is>
      </c>
      <c r="E958" s="32" t="inlineStr">
        <is>
          <t>005290</t>
        </is>
      </c>
      <c r="F958" s="32" t="inlineStr">
        <is>
          <t>2025</t>
        </is>
      </c>
      <c r="G958" s="32" t="inlineStr">
        <is>
          <t>CFS</t>
        </is>
      </c>
      <c r="H958" s="32" t="inlineStr">
        <is>
          <t>CF</t>
        </is>
      </c>
      <c r="I958" s="32" t="inlineStr">
        <is>
          <t>현금흐름표</t>
        </is>
      </c>
      <c r="J958" s="32" t="inlineStr">
        <is>
          <t>dart_NetCashflowsFromUsedInOperations</t>
        </is>
      </c>
      <c r="K958" s="32" t="inlineStr">
        <is>
          <t>영업에서 창출된 현금</t>
        </is>
      </c>
      <c r="L958" s="32" t="inlineStr">
        <is>
          <t>-</t>
        </is>
      </c>
      <c r="M958" s="32" t="inlineStr">
        <is>
          <t>제 53 기</t>
        </is>
      </c>
      <c r="N958" s="32" t="inlineStr">
        <is>
          <t>271121520399.0</t>
        </is>
      </c>
      <c r="O958" s="32" t="inlineStr">
        <is>
          <t>263794798341.0</t>
        </is>
      </c>
      <c r="P958" s="32" t="inlineStr">
        <is>
          <t>KRW</t>
        </is>
      </c>
      <c r="Q958" s="32" t="inlineStr">
        <is>
          <t>35</t>
        </is>
      </c>
    </row>
    <row r="959" ht="24" customHeight="1">
      <c r="A959" s="27" t="inlineStr">
        <is>
          <t>OpenDART_fnlttSinglAcntAll</t>
        </is>
      </c>
      <c r="B959" s="27" t="inlineStr">
        <is>
          <t>00118804</t>
        </is>
      </c>
      <c r="C959" s="27" t="inlineStr">
        <is>
          <t>동진쎄미켐</t>
        </is>
      </c>
      <c r="D959" s="27" t="inlineStr">
        <is>
          <t>dongjin_semichem</t>
        </is>
      </c>
      <c r="E959" s="27" t="inlineStr">
        <is>
          <t>005290</t>
        </is>
      </c>
      <c r="F959" s="27" t="inlineStr">
        <is>
          <t>2025</t>
        </is>
      </c>
      <c r="G959" s="27" t="inlineStr">
        <is>
          <t>CFS</t>
        </is>
      </c>
      <c r="H959" s="27" t="inlineStr">
        <is>
          <t>CF</t>
        </is>
      </c>
      <c r="I959" s="27" t="inlineStr">
        <is>
          <t>현금흐름표</t>
        </is>
      </c>
      <c r="J959" s="27" t="inlineStr">
        <is>
          <t>dart_AdjustmentsForAssetsLiabilitiesOfOperatingActivities</t>
        </is>
      </c>
      <c r="K959" s="27" t="inlineStr">
        <is>
          <t>자산부채의 증감</t>
        </is>
      </c>
      <c r="L959" s="27" t="inlineStr">
        <is>
          <t>-</t>
        </is>
      </c>
      <c r="M959" s="27" t="inlineStr">
        <is>
          <t>제 53 기</t>
        </is>
      </c>
      <c r="N959" s="27" t="inlineStr">
        <is>
          <t>-33725421033.0</t>
        </is>
      </c>
      <c r="O959" s="27" t="inlineStr">
        <is>
          <t>-41000638509.0</t>
        </is>
      </c>
      <c r="P959" s="27" t="inlineStr">
        <is>
          <t>KRW</t>
        </is>
      </c>
      <c r="Q959" s="27" t="inlineStr">
        <is>
          <t>36</t>
        </is>
      </c>
    </row>
    <row r="960" ht="24" customHeight="1">
      <c r="A960" s="32" t="inlineStr">
        <is>
          <t>OpenDART_fnlttSinglAcntAll</t>
        </is>
      </c>
      <c r="B960" s="32" t="inlineStr">
        <is>
          <t>00118804</t>
        </is>
      </c>
      <c r="C960" s="32" t="inlineStr">
        <is>
          <t>동진쎄미켐</t>
        </is>
      </c>
      <c r="D960" s="32" t="inlineStr">
        <is>
          <t>dongjin_semichem</t>
        </is>
      </c>
      <c r="E960" s="32" t="inlineStr">
        <is>
          <t>005290</t>
        </is>
      </c>
      <c r="F960" s="32" t="inlineStr">
        <is>
          <t>2025</t>
        </is>
      </c>
      <c r="G960" s="32" t="inlineStr">
        <is>
          <t>CFS</t>
        </is>
      </c>
      <c r="H960" s="32" t="inlineStr">
        <is>
          <t>CF</t>
        </is>
      </c>
      <c r="I960" s="32" t="inlineStr">
        <is>
          <t>현금흐름표</t>
        </is>
      </c>
      <c r="J960" s="32" t="inlineStr">
        <is>
          <t>dart_AdjustmentsForDecreaseincreaseInOtherCurrentFinancialAssets</t>
        </is>
      </c>
      <c r="K960" s="32" t="inlineStr">
        <is>
          <t>기타유동금융채권의 감소(증가)</t>
        </is>
      </c>
      <c r="L960" s="32" t="inlineStr">
        <is>
          <t>-</t>
        </is>
      </c>
      <c r="M960" s="32" t="inlineStr">
        <is>
          <t>제 53 기</t>
        </is>
      </c>
      <c r="N960" s="32" t="inlineStr">
        <is>
          <t>-1547416001.0</t>
        </is>
      </c>
      <c r="O960" s="32" t="inlineStr">
        <is>
          <t>-1034281145.0</t>
        </is>
      </c>
      <c r="P960" s="32" t="inlineStr">
        <is>
          <t>KRW</t>
        </is>
      </c>
      <c r="Q960" s="32" t="inlineStr">
        <is>
          <t>37</t>
        </is>
      </c>
    </row>
    <row r="961" ht="24" customHeight="1">
      <c r="A961" s="27" t="inlineStr">
        <is>
          <t>OpenDART_fnlttSinglAcntAll</t>
        </is>
      </c>
      <c r="B961" s="27" t="inlineStr">
        <is>
          <t>00118804</t>
        </is>
      </c>
      <c r="C961" s="27" t="inlineStr">
        <is>
          <t>동진쎄미켐</t>
        </is>
      </c>
      <c r="D961" s="27" t="inlineStr">
        <is>
          <t>dongjin_semichem</t>
        </is>
      </c>
      <c r="E961" s="27" t="inlineStr">
        <is>
          <t>005290</t>
        </is>
      </c>
      <c r="F961" s="27" t="inlineStr">
        <is>
          <t>2025</t>
        </is>
      </c>
      <c r="G961" s="27" t="inlineStr">
        <is>
          <t>CFS</t>
        </is>
      </c>
      <c r="H961" s="27" t="inlineStr">
        <is>
          <t>CF</t>
        </is>
      </c>
      <c r="I961" s="27" t="inlineStr">
        <is>
          <t>현금흐름표</t>
        </is>
      </c>
      <c r="J961" s="27" t="inlineStr">
        <is>
          <t>dart_AdjustmentsForDecreaseincreaseInOtherNonCurrentFinancialAssets</t>
        </is>
      </c>
      <c r="K961" s="27" t="inlineStr">
        <is>
          <t>기타비유동금융채권의 감소(증가)</t>
        </is>
      </c>
      <c r="L961" s="27" t="inlineStr">
        <is>
          <t>-</t>
        </is>
      </c>
      <c r="M961" s="27" t="inlineStr">
        <is>
          <t>제 53 기</t>
        </is>
      </c>
      <c r="N961" s="27" t="inlineStr">
        <is>
          <t>-173518093.0</t>
        </is>
      </c>
      <c r="O961" s="27" t="inlineStr">
        <is>
          <t>-156758151.0</t>
        </is>
      </c>
      <c r="P961" s="27" t="inlineStr">
        <is>
          <t>KRW</t>
        </is>
      </c>
      <c r="Q961" s="27" t="inlineStr">
        <is>
          <t>38</t>
        </is>
      </c>
    </row>
    <row r="962" ht="24" customHeight="1">
      <c r="A962" s="32" t="inlineStr">
        <is>
          <t>OpenDART_fnlttSinglAcntAll</t>
        </is>
      </c>
      <c r="B962" s="32" t="inlineStr">
        <is>
          <t>00118804</t>
        </is>
      </c>
      <c r="C962" s="32" t="inlineStr">
        <is>
          <t>동진쎄미켐</t>
        </is>
      </c>
      <c r="D962" s="32" t="inlineStr">
        <is>
          <t>dongjin_semichem</t>
        </is>
      </c>
      <c r="E962" s="32" t="inlineStr">
        <is>
          <t>005290</t>
        </is>
      </c>
      <c r="F962" s="32" t="inlineStr">
        <is>
          <t>2025</t>
        </is>
      </c>
      <c r="G962" s="32" t="inlineStr">
        <is>
          <t>CFS</t>
        </is>
      </c>
      <c r="H962" s="32" t="inlineStr">
        <is>
          <t>CF</t>
        </is>
      </c>
      <c r="I962" s="32" t="inlineStr">
        <is>
          <t>현금흐름표</t>
        </is>
      </c>
      <c r="J962" s="32" t="inlineStr">
        <is>
          <t>dart_AdjustmentsForDecreaseincreaseInOtherNonCurrentNonFinancialAssets</t>
        </is>
      </c>
      <c r="K962" s="32" t="inlineStr">
        <is>
          <t>기타비유동자산의 증가</t>
        </is>
      </c>
      <c r="L962" s="32" t="inlineStr">
        <is>
          <t>-</t>
        </is>
      </c>
      <c r="M962" s="32" t="inlineStr">
        <is>
          <t>제 53 기</t>
        </is>
      </c>
      <c r="N962" s="32" t="inlineStr">
        <is>
          <t>-18181914.0</t>
        </is>
      </c>
      <c r="O962" s="32" t="inlineStr">
        <is>
          <t>-11833920.0</t>
        </is>
      </c>
      <c r="P962" s="32" t="inlineStr">
        <is>
          <t>KRW</t>
        </is>
      </c>
      <c r="Q962" s="32" t="inlineStr">
        <is>
          <t>39</t>
        </is>
      </c>
    </row>
    <row r="963" ht="24" customHeight="1">
      <c r="A963" s="27" t="inlineStr">
        <is>
          <t>OpenDART_fnlttSinglAcntAll</t>
        </is>
      </c>
      <c r="B963" s="27" t="inlineStr">
        <is>
          <t>00118804</t>
        </is>
      </c>
      <c r="C963" s="27" t="inlineStr">
        <is>
          <t>동진쎄미켐</t>
        </is>
      </c>
      <c r="D963" s="27" t="inlineStr">
        <is>
          <t>dongjin_semichem</t>
        </is>
      </c>
      <c r="E963" s="27" t="inlineStr">
        <is>
          <t>005290</t>
        </is>
      </c>
      <c r="F963" s="27" t="inlineStr">
        <is>
          <t>2025</t>
        </is>
      </c>
      <c r="G963" s="27" t="inlineStr">
        <is>
          <t>CFS</t>
        </is>
      </c>
      <c r="H963" s="27" t="inlineStr">
        <is>
          <t>CF</t>
        </is>
      </c>
      <c r="I963" s="27" t="inlineStr">
        <is>
          <t>현금흐름표</t>
        </is>
      </c>
      <c r="J963" s="27" t="inlineStr">
        <is>
          <t>dart_AdjustmentsForIncreasedecreaseInOtherCurrentFinancialLiabilities</t>
        </is>
      </c>
      <c r="K963" s="27" t="inlineStr">
        <is>
          <t>기타유동금융채무의 증가(감소)</t>
        </is>
      </c>
      <c r="L963" s="27" t="inlineStr">
        <is>
          <t>-</t>
        </is>
      </c>
      <c r="M963" s="27" t="inlineStr">
        <is>
          <t>제 53 기</t>
        </is>
      </c>
      <c r="N963" s="27" t="inlineStr">
        <is>
          <t>-9049977359.0</t>
        </is>
      </c>
      <c r="O963" s="27" t="inlineStr">
        <is>
          <t>129524343.0</t>
        </is>
      </c>
      <c r="P963" s="27" t="inlineStr">
        <is>
          <t>KRW</t>
        </is>
      </c>
      <c r="Q963" s="27" t="inlineStr">
        <is>
          <t>40</t>
        </is>
      </c>
    </row>
    <row r="964" ht="24" customHeight="1">
      <c r="A964" s="32" t="inlineStr">
        <is>
          <t>OpenDART_fnlttSinglAcntAll</t>
        </is>
      </c>
      <c r="B964" s="32" t="inlineStr">
        <is>
          <t>00118804</t>
        </is>
      </c>
      <c r="C964" s="32" t="inlineStr">
        <is>
          <t>동진쎄미켐</t>
        </is>
      </c>
      <c r="D964" s="32" t="inlineStr">
        <is>
          <t>dongjin_semichem</t>
        </is>
      </c>
      <c r="E964" s="32" t="inlineStr">
        <is>
          <t>005290</t>
        </is>
      </c>
      <c r="F964" s="32" t="inlineStr">
        <is>
          <t>2025</t>
        </is>
      </c>
      <c r="G964" s="32" t="inlineStr">
        <is>
          <t>CFS</t>
        </is>
      </c>
      <c r="H964" s="32" t="inlineStr">
        <is>
          <t>CF</t>
        </is>
      </c>
      <c r="I964" s="32" t="inlineStr">
        <is>
          <t>현금흐름표</t>
        </is>
      </c>
      <c r="J964" s="32" t="inlineStr">
        <is>
          <t>dart_AdjustmentsForIncreasedecreaseInOtherCurrentNonFinancialLiabilities</t>
        </is>
      </c>
      <c r="K964" s="32" t="inlineStr">
        <is>
          <t>기타유동부채의 증가(감소)</t>
        </is>
      </c>
      <c r="L964" s="32" t="inlineStr">
        <is>
          <t>-</t>
        </is>
      </c>
      <c r="M964" s="32" t="inlineStr">
        <is>
          <t>제 53 기</t>
        </is>
      </c>
      <c r="N964" s="32" t="inlineStr">
        <is>
          <t>1070721665.0</t>
        </is>
      </c>
      <c r="O964" s="32" t="inlineStr">
        <is>
          <t>6734045152.0</t>
        </is>
      </c>
      <c r="P964" s="32" t="inlineStr">
        <is>
          <t>KRW</t>
        </is>
      </c>
      <c r="Q964" s="32" t="inlineStr">
        <is>
          <t>41</t>
        </is>
      </c>
    </row>
    <row r="965" ht="24" customHeight="1">
      <c r="A965" s="27" t="inlineStr">
        <is>
          <t>OpenDART_fnlttSinglAcntAll</t>
        </is>
      </c>
      <c r="B965" s="27" t="inlineStr">
        <is>
          <t>00118804</t>
        </is>
      </c>
      <c r="C965" s="27" t="inlineStr">
        <is>
          <t>동진쎄미켐</t>
        </is>
      </c>
      <c r="D965" s="27" t="inlineStr">
        <is>
          <t>dongjin_semichem</t>
        </is>
      </c>
      <c r="E965" s="27" t="inlineStr">
        <is>
          <t>005290</t>
        </is>
      </c>
      <c r="F965" s="27" t="inlineStr">
        <is>
          <t>2025</t>
        </is>
      </c>
      <c r="G965" s="27" t="inlineStr">
        <is>
          <t>CFS</t>
        </is>
      </c>
      <c r="H965" s="27" t="inlineStr">
        <is>
          <t>CF</t>
        </is>
      </c>
      <c r="I965" s="27" t="inlineStr">
        <is>
          <t>현금흐름표</t>
        </is>
      </c>
      <c r="J965" s="27" t="inlineStr">
        <is>
          <t>dart_AdjustmentsForIncreasedecreaseInOtherNonCurrentFinancialLiabilities</t>
        </is>
      </c>
      <c r="K965" s="27" t="inlineStr">
        <is>
          <t>기타비유동금융채무의 증가(감소)</t>
        </is>
      </c>
      <c r="L965" s="27" t="inlineStr">
        <is>
          <t>-</t>
        </is>
      </c>
      <c r="M965" s="27" t="inlineStr">
        <is>
          <t>제 53 기</t>
        </is>
      </c>
      <c r="N965" s="27" t="inlineStr">
        <is>
          <t>215369340.0</t>
        </is>
      </c>
      <c r="O965" s="27" t="inlineStr">
        <is>
          <t>613637229.0</t>
        </is>
      </c>
      <c r="P965" s="27" t="inlineStr">
        <is>
          <t>KRW</t>
        </is>
      </c>
      <c r="Q965" s="27" t="inlineStr">
        <is>
          <t>42</t>
        </is>
      </c>
    </row>
    <row r="966" ht="24" customHeight="1">
      <c r="A966" s="32" t="inlineStr">
        <is>
          <t>OpenDART_fnlttSinglAcntAll</t>
        </is>
      </c>
      <c r="B966" s="32" t="inlineStr">
        <is>
          <t>00118804</t>
        </is>
      </c>
      <c r="C966" s="32" t="inlineStr">
        <is>
          <t>동진쎄미켐</t>
        </is>
      </c>
      <c r="D966" s="32" t="inlineStr">
        <is>
          <t>dongjin_semichem</t>
        </is>
      </c>
      <c r="E966" s="32" t="inlineStr">
        <is>
          <t>005290</t>
        </is>
      </c>
      <c r="F966" s="32" t="inlineStr">
        <is>
          <t>2025</t>
        </is>
      </c>
      <c r="G966" s="32" t="inlineStr">
        <is>
          <t>CFS</t>
        </is>
      </c>
      <c r="H966" s="32" t="inlineStr">
        <is>
          <t>CF</t>
        </is>
      </c>
      <c r="I966" s="32" t="inlineStr">
        <is>
          <t>현금흐름표</t>
        </is>
      </c>
      <c r="J966" s="32" t="inlineStr">
        <is>
          <t>dart_AdjustmentsForIncreasedecreaseInPresentValueOfDefinedBenefitObligation</t>
        </is>
      </c>
      <c r="K966" s="32" t="inlineStr">
        <is>
          <t>퇴직금 지급액</t>
        </is>
      </c>
      <c r="L966" s="32" t="inlineStr">
        <is>
          <t>-</t>
        </is>
      </c>
      <c r="M966" s="32" t="inlineStr">
        <is>
          <t>제 53 기</t>
        </is>
      </c>
      <c r="N966" s="32" t="inlineStr">
        <is>
          <t>-19156502350.0</t>
        </is>
      </c>
      <c r="O966" s="32" t="inlineStr">
        <is>
          <t>-5801851143.0</t>
        </is>
      </c>
      <c r="P966" s="32" t="inlineStr">
        <is>
          <t>KRW</t>
        </is>
      </c>
      <c r="Q966" s="32" t="inlineStr">
        <is>
          <t>43</t>
        </is>
      </c>
    </row>
    <row r="967" ht="24" customHeight="1">
      <c r="A967" s="27" t="inlineStr">
        <is>
          <t>OpenDART_fnlttSinglAcntAll</t>
        </is>
      </c>
      <c r="B967" s="27" t="inlineStr">
        <is>
          <t>00118804</t>
        </is>
      </c>
      <c r="C967" s="27" t="inlineStr">
        <is>
          <t>동진쎄미켐</t>
        </is>
      </c>
      <c r="D967" s="27" t="inlineStr">
        <is>
          <t>dongjin_semichem</t>
        </is>
      </c>
      <c r="E967" s="27" t="inlineStr">
        <is>
          <t>005290</t>
        </is>
      </c>
      <c r="F967" s="27" t="inlineStr">
        <is>
          <t>2025</t>
        </is>
      </c>
      <c r="G967" s="27" t="inlineStr">
        <is>
          <t>CFS</t>
        </is>
      </c>
      <c r="H967" s="27" t="inlineStr">
        <is>
          <t>CF</t>
        </is>
      </c>
      <c r="I967" s="27" t="inlineStr">
        <is>
          <t>현금흐름표</t>
        </is>
      </c>
      <c r="J967" s="27" t="inlineStr">
        <is>
          <t>-표준계정코드 미사용-</t>
        </is>
      </c>
      <c r="K967" s="27" t="inlineStr">
        <is>
          <t>사외적립자산의 증가</t>
        </is>
      </c>
      <c r="L967" s="27" t="inlineStr">
        <is>
          <t>-</t>
        </is>
      </c>
      <c r="M967" s="27" t="inlineStr">
        <is>
          <t>제 53 기</t>
        </is>
      </c>
      <c r="N967" s="27" t="inlineStr">
        <is>
          <t>-4182046286.0</t>
        </is>
      </c>
      <c r="O967" s="27" t="inlineStr">
        <is>
          <t>-18890790523.0</t>
        </is>
      </c>
      <c r="P967" s="27" t="inlineStr">
        <is>
          <t>KRW</t>
        </is>
      </c>
      <c r="Q967" s="27" t="inlineStr">
        <is>
          <t>44</t>
        </is>
      </c>
    </row>
    <row r="968" ht="24" customHeight="1">
      <c r="A968" s="32" t="inlineStr">
        <is>
          <t>OpenDART_fnlttSinglAcntAll</t>
        </is>
      </c>
      <c r="B968" s="32" t="inlineStr">
        <is>
          <t>00118804</t>
        </is>
      </c>
      <c r="C968" s="32" t="inlineStr">
        <is>
          <t>동진쎄미켐</t>
        </is>
      </c>
      <c r="D968" s="32" t="inlineStr">
        <is>
          <t>dongjin_semichem</t>
        </is>
      </c>
      <c r="E968" s="32" t="inlineStr">
        <is>
          <t>005290</t>
        </is>
      </c>
      <c r="F968" s="32" t="inlineStr">
        <is>
          <t>2025</t>
        </is>
      </c>
      <c r="G968" s="32" t="inlineStr">
        <is>
          <t>CFS</t>
        </is>
      </c>
      <c r="H968" s="32" t="inlineStr">
        <is>
          <t>CF</t>
        </is>
      </c>
      <c r="I968" s="32" t="inlineStr">
        <is>
          <t>현금흐름표</t>
        </is>
      </c>
      <c r="J968" s="32" t="inlineStr">
        <is>
          <t>-표준계정코드 미사용-</t>
        </is>
      </c>
      <c r="K968" s="32" t="inlineStr">
        <is>
          <t>기타 영업활동으로 인한 자산부채의 증감</t>
        </is>
      </c>
      <c r="L968" s="32" t="inlineStr">
        <is>
          <t>-</t>
        </is>
      </c>
      <c r="M968" s="32" t="inlineStr">
        <is>
          <t>제 53 기</t>
        </is>
      </c>
      <c r="N968" s="32" t="inlineStr">
        <is>
          <t>-213922121.0</t>
        </is>
      </c>
      <c r="O968" s="32" t="inlineStr">
        <is>
          <t>82448850.0</t>
        </is>
      </c>
      <c r="P968" s="32" t="inlineStr">
        <is>
          <t>KRW</t>
        </is>
      </c>
      <c r="Q968" s="32" t="inlineStr">
        <is>
          <t>45</t>
        </is>
      </c>
    </row>
    <row r="969" ht="24" customHeight="1">
      <c r="A969" s="27" t="inlineStr">
        <is>
          <t>OpenDART_fnlttSinglAcntAll</t>
        </is>
      </c>
      <c r="B969" s="27" t="inlineStr">
        <is>
          <t>00118804</t>
        </is>
      </c>
      <c r="C969" s="27" t="inlineStr">
        <is>
          <t>동진쎄미켐</t>
        </is>
      </c>
      <c r="D969" s="27" t="inlineStr">
        <is>
          <t>dongjin_semichem</t>
        </is>
      </c>
      <c r="E969" s="27" t="inlineStr">
        <is>
          <t>005290</t>
        </is>
      </c>
      <c r="F969" s="27" t="inlineStr">
        <is>
          <t>2025</t>
        </is>
      </c>
      <c r="G969" s="27" t="inlineStr">
        <is>
          <t>CFS</t>
        </is>
      </c>
      <c r="H969" s="27" t="inlineStr">
        <is>
          <t>CF</t>
        </is>
      </c>
      <c r="I969" s="27" t="inlineStr">
        <is>
          <t>현금흐름표</t>
        </is>
      </c>
      <c r="J969" s="27" t="inlineStr">
        <is>
          <t>-표준계정코드 미사용-</t>
        </is>
      </c>
      <c r="K969" s="27" t="inlineStr">
        <is>
          <t>관계회사퇴직금의 전출</t>
        </is>
      </c>
      <c r="L969" s="27" t="inlineStr">
        <is>
          <t>-</t>
        </is>
      </c>
      <c r="M969" s="27" t="inlineStr">
        <is>
          <t>제 53 기</t>
        </is>
      </c>
      <c r="N969" s="27" t="inlineStr">
        <is>
          <t>61730490.0</t>
        </is>
      </c>
      <c r="O969" s="27" t="inlineStr">
        <is>
          <t>268874500.0</t>
        </is>
      </c>
      <c r="P969" s="27" t="inlineStr">
        <is>
          <t>KRW</t>
        </is>
      </c>
      <c r="Q969" s="27" t="inlineStr">
        <is>
          <t>46</t>
        </is>
      </c>
    </row>
    <row r="970" ht="24" customHeight="1">
      <c r="A970" s="32" t="inlineStr">
        <is>
          <t>OpenDART_fnlttSinglAcntAll</t>
        </is>
      </c>
      <c r="B970" s="32" t="inlineStr">
        <is>
          <t>00118804</t>
        </is>
      </c>
      <c r="C970" s="32" t="inlineStr">
        <is>
          <t>동진쎄미켐</t>
        </is>
      </c>
      <c r="D970" s="32" t="inlineStr">
        <is>
          <t>dongjin_semichem</t>
        </is>
      </c>
      <c r="E970" s="32" t="inlineStr">
        <is>
          <t>005290</t>
        </is>
      </c>
      <c r="F970" s="32" t="inlineStr">
        <is>
          <t>2025</t>
        </is>
      </c>
      <c r="G970" s="32" t="inlineStr">
        <is>
          <t>CFS</t>
        </is>
      </c>
      <c r="H970" s="32" t="inlineStr">
        <is>
          <t>CF</t>
        </is>
      </c>
      <c r="I970" s="32" t="inlineStr">
        <is>
          <t>현금흐름표</t>
        </is>
      </c>
      <c r="J970" s="32" t="inlineStr">
        <is>
          <t>ifrs-full_AdjustmentsForDecreaseIncreaseInInventories</t>
        </is>
      </c>
      <c r="K970" s="32" t="inlineStr">
        <is>
          <t>재고자산의 증가</t>
        </is>
      </c>
      <c r="L970" s="32" t="inlineStr">
        <is>
          <t>-</t>
        </is>
      </c>
      <c r="M970" s="32" t="inlineStr">
        <is>
          <t>제 53 기</t>
        </is>
      </c>
      <c r="N970" s="32" t="inlineStr">
        <is>
          <t>11237133262.0</t>
        </is>
      </c>
      <c r="O970" s="32" t="inlineStr">
        <is>
          <t>-11842716166.0</t>
        </is>
      </c>
      <c r="P970" s="32" t="inlineStr">
        <is>
          <t>KRW</t>
        </is>
      </c>
      <c r="Q970" s="32" t="inlineStr">
        <is>
          <t>47</t>
        </is>
      </c>
    </row>
    <row r="971" ht="24" customHeight="1">
      <c r="A971" s="27" t="inlineStr">
        <is>
          <t>OpenDART_fnlttSinglAcntAll</t>
        </is>
      </c>
      <c r="B971" s="27" t="inlineStr">
        <is>
          <t>00118804</t>
        </is>
      </c>
      <c r="C971" s="27" t="inlineStr">
        <is>
          <t>동진쎄미켐</t>
        </is>
      </c>
      <c r="D971" s="27" t="inlineStr">
        <is>
          <t>dongjin_semichem</t>
        </is>
      </c>
      <c r="E971" s="27" t="inlineStr">
        <is>
          <t>005290</t>
        </is>
      </c>
      <c r="F971" s="27" t="inlineStr">
        <is>
          <t>2025</t>
        </is>
      </c>
      <c r="G971" s="27" t="inlineStr">
        <is>
          <t>CFS</t>
        </is>
      </c>
      <c r="H971" s="27" t="inlineStr">
        <is>
          <t>CF</t>
        </is>
      </c>
      <c r="I971" s="27" t="inlineStr">
        <is>
          <t>현금흐름표</t>
        </is>
      </c>
      <c r="J971" s="27" t="inlineStr">
        <is>
          <t>ifrs-full_AdjustmentsForDecreaseIncreaseInOtherCurrentAssets</t>
        </is>
      </c>
      <c r="K971" s="27" t="inlineStr">
        <is>
          <t>기타유동자산의 증가</t>
        </is>
      </c>
      <c r="L971" s="27" t="inlineStr">
        <is>
          <t>-</t>
        </is>
      </c>
      <c r="M971" s="27" t="inlineStr">
        <is>
          <t>제 53 기</t>
        </is>
      </c>
      <c r="N971" s="27" t="inlineStr">
        <is>
          <t>-1957535116.0</t>
        </is>
      </c>
      <c r="O971" s="27" t="inlineStr">
        <is>
          <t>-2412354847.0</t>
        </is>
      </c>
      <c r="P971" s="27" t="inlineStr">
        <is>
          <t>KRW</t>
        </is>
      </c>
      <c r="Q971" s="27" t="inlineStr">
        <is>
          <t>48</t>
        </is>
      </c>
    </row>
    <row r="972" ht="24" customHeight="1">
      <c r="A972" s="32" t="inlineStr">
        <is>
          <t>OpenDART_fnlttSinglAcntAll</t>
        </is>
      </c>
      <c r="B972" s="32" t="inlineStr">
        <is>
          <t>00118804</t>
        </is>
      </c>
      <c r="C972" s="32" t="inlineStr">
        <is>
          <t>동진쎄미켐</t>
        </is>
      </c>
      <c r="D972" s="32" t="inlineStr">
        <is>
          <t>dongjin_semichem</t>
        </is>
      </c>
      <c r="E972" s="32" t="inlineStr">
        <is>
          <t>005290</t>
        </is>
      </c>
      <c r="F972" s="32" t="inlineStr">
        <is>
          <t>2025</t>
        </is>
      </c>
      <c r="G972" s="32" t="inlineStr">
        <is>
          <t>CFS</t>
        </is>
      </c>
      <c r="H972" s="32" t="inlineStr">
        <is>
          <t>CF</t>
        </is>
      </c>
      <c r="I972" s="32" t="inlineStr">
        <is>
          <t>현금흐름표</t>
        </is>
      </c>
      <c r="J972" s="32" t="inlineStr">
        <is>
          <t>ifrs-full_AdjustmentsForDecreaseIncreaseInTradeAccountReceivable</t>
        </is>
      </c>
      <c r="K972" s="32" t="inlineStr">
        <is>
          <t>매출채권의 증가</t>
        </is>
      </c>
      <c r="L972" s="32" t="inlineStr">
        <is>
          <t>-</t>
        </is>
      </c>
      <c r="M972" s="32" t="inlineStr">
        <is>
          <t>제 53 기</t>
        </is>
      </c>
      <c r="N972" s="32" t="inlineStr">
        <is>
          <t>-17736860797.0</t>
        </is>
      </c>
      <c r="O972" s="32" t="inlineStr">
        <is>
          <t>-19443507717.0</t>
        </is>
      </c>
      <c r="P972" s="32" t="inlineStr">
        <is>
          <t>KRW</t>
        </is>
      </c>
      <c r="Q972" s="32" t="inlineStr">
        <is>
          <t>49</t>
        </is>
      </c>
    </row>
    <row r="973" ht="24" customHeight="1">
      <c r="A973" s="27" t="inlineStr">
        <is>
          <t>OpenDART_fnlttSinglAcntAll</t>
        </is>
      </c>
      <c r="B973" s="27" t="inlineStr">
        <is>
          <t>00118804</t>
        </is>
      </c>
      <c r="C973" s="27" t="inlineStr">
        <is>
          <t>동진쎄미켐</t>
        </is>
      </c>
      <c r="D973" s="27" t="inlineStr">
        <is>
          <t>dongjin_semichem</t>
        </is>
      </c>
      <c r="E973" s="27" t="inlineStr">
        <is>
          <t>005290</t>
        </is>
      </c>
      <c r="F973" s="27" t="inlineStr">
        <is>
          <t>2025</t>
        </is>
      </c>
      <c r="G973" s="27" t="inlineStr">
        <is>
          <t>CFS</t>
        </is>
      </c>
      <c r="H973" s="27" t="inlineStr">
        <is>
          <t>CF</t>
        </is>
      </c>
      <c r="I973" s="27" t="inlineStr">
        <is>
          <t>현금흐름표</t>
        </is>
      </c>
      <c r="J973" s="27" t="inlineStr">
        <is>
          <t>ifrs-full_AdjustmentsForIncreaseDecreaseInTradeAccountPayable</t>
        </is>
      </c>
      <c r="K973" s="27" t="inlineStr">
        <is>
          <t>매입채무의 증가(감소)</t>
        </is>
      </c>
      <c r="L973" s="27" t="inlineStr">
        <is>
          <t>-</t>
        </is>
      </c>
      <c r="M973" s="27" t="inlineStr">
        <is>
          <t>제 53 기</t>
        </is>
      </c>
      <c r="N973" s="27" t="inlineStr">
        <is>
          <t>7849045227.0</t>
        </is>
      </c>
      <c r="O973" s="27" t="inlineStr">
        <is>
          <t>11302674029.0</t>
        </is>
      </c>
      <c r="P973" s="27" t="inlineStr">
        <is>
          <t>KRW</t>
        </is>
      </c>
      <c r="Q973" s="27" t="inlineStr">
        <is>
          <t>50</t>
        </is>
      </c>
    </row>
    <row r="974" ht="24" customHeight="1">
      <c r="A974" s="32" t="inlineStr">
        <is>
          <t>OpenDART_fnlttSinglAcntAll</t>
        </is>
      </c>
      <c r="B974" s="32" t="inlineStr">
        <is>
          <t>00118804</t>
        </is>
      </c>
      <c r="C974" s="32" t="inlineStr">
        <is>
          <t>동진쎄미켐</t>
        </is>
      </c>
      <c r="D974" s="32" t="inlineStr">
        <is>
          <t>dongjin_semichem</t>
        </is>
      </c>
      <c r="E974" s="32" t="inlineStr">
        <is>
          <t>005290</t>
        </is>
      </c>
      <c r="F974" s="32" t="inlineStr">
        <is>
          <t>2025</t>
        </is>
      </c>
      <c r="G974" s="32" t="inlineStr">
        <is>
          <t>CFS</t>
        </is>
      </c>
      <c r="H974" s="32" t="inlineStr">
        <is>
          <t>CF</t>
        </is>
      </c>
      <c r="I974" s="32" t="inlineStr">
        <is>
          <t>현금흐름표</t>
        </is>
      </c>
      <c r="J974" s="32" t="inlineStr">
        <is>
          <t>ifrs-full_AdjustmentsForReconcileProfitLoss</t>
        </is>
      </c>
      <c r="K974" s="32" t="inlineStr">
        <is>
          <t>가감</t>
        </is>
      </c>
      <c r="L974" s="32" t="inlineStr">
        <is>
          <t>-</t>
        </is>
      </c>
      <c r="M974" s="32" t="inlineStr">
        <is>
          <t>제 53 기</t>
        </is>
      </c>
      <c r="N974" s="32" t="inlineStr">
        <is>
          <t>210754715587.0</t>
        </is>
      </c>
      <c r="O974" s="32" t="inlineStr">
        <is>
          <t>161310877105.0</t>
        </is>
      </c>
      <c r="P974" s="32" t="inlineStr">
        <is>
          <t>KRW</t>
        </is>
      </c>
      <c r="Q974" s="32" t="inlineStr">
        <is>
          <t>51</t>
        </is>
      </c>
    </row>
    <row r="975" ht="24" customHeight="1">
      <c r="A975" s="27" t="inlineStr">
        <is>
          <t>OpenDART_fnlttSinglAcntAll</t>
        </is>
      </c>
      <c r="B975" s="27" t="inlineStr">
        <is>
          <t>00118804</t>
        </is>
      </c>
      <c r="C975" s="27" t="inlineStr">
        <is>
          <t>동진쎄미켐</t>
        </is>
      </c>
      <c r="D975" s="27" t="inlineStr">
        <is>
          <t>dongjin_semichem</t>
        </is>
      </c>
      <c r="E975" s="27" t="inlineStr">
        <is>
          <t>005290</t>
        </is>
      </c>
      <c r="F975" s="27" t="inlineStr">
        <is>
          <t>2025</t>
        </is>
      </c>
      <c r="G975" s="27" t="inlineStr">
        <is>
          <t>CFS</t>
        </is>
      </c>
      <c r="H975" s="27" t="inlineStr">
        <is>
          <t>CF</t>
        </is>
      </c>
      <c r="I975" s="27" t="inlineStr">
        <is>
          <t>현금흐름표</t>
        </is>
      </c>
      <c r="J975" s="27" t="inlineStr">
        <is>
          <t>dart_AdjustmentsForBadDebtExpenses</t>
        </is>
      </c>
      <c r="K975" s="27" t="inlineStr">
        <is>
          <t>대손상각비</t>
        </is>
      </c>
      <c r="L975" s="27" t="inlineStr">
        <is>
          <t>-</t>
        </is>
      </c>
      <c r="M975" s="27" t="inlineStr">
        <is>
          <t>제 53 기</t>
        </is>
      </c>
      <c r="N975" s="27" t="inlineStr">
        <is>
          <t>2591882417.0</t>
        </is>
      </c>
      <c r="O975" s="27" t="inlineStr">
        <is>
          <t>8059530308.0</t>
        </is>
      </c>
      <c r="P975" s="27" t="inlineStr">
        <is>
          <t>KRW</t>
        </is>
      </c>
      <c r="Q975" s="27" t="inlineStr">
        <is>
          <t>52</t>
        </is>
      </c>
    </row>
    <row r="976" ht="24" customHeight="1">
      <c r="A976" s="32" t="inlineStr">
        <is>
          <t>OpenDART_fnlttSinglAcntAll</t>
        </is>
      </c>
      <c r="B976" s="32" t="inlineStr">
        <is>
          <t>00118804</t>
        </is>
      </c>
      <c r="C976" s="32" t="inlineStr">
        <is>
          <t>동진쎄미켐</t>
        </is>
      </c>
      <c r="D976" s="32" t="inlineStr">
        <is>
          <t>dongjin_semichem</t>
        </is>
      </c>
      <c r="E976" s="32" t="inlineStr">
        <is>
          <t>005290</t>
        </is>
      </c>
      <c r="F976" s="32" t="inlineStr">
        <is>
          <t>2025</t>
        </is>
      </c>
      <c r="G976" s="32" t="inlineStr">
        <is>
          <t>CFS</t>
        </is>
      </c>
      <c r="H976" s="32" t="inlineStr">
        <is>
          <t>CF</t>
        </is>
      </c>
      <c r="I976" s="32" t="inlineStr">
        <is>
          <t>현금흐름표</t>
        </is>
      </c>
      <c r="J976" s="32" t="inlineStr">
        <is>
          <t>dart_AdjustmentsForDepreciationInvestmentProperty</t>
        </is>
      </c>
      <c r="K976" s="32" t="inlineStr">
        <is>
          <t>투자부동산감가상각비</t>
        </is>
      </c>
      <c r="L976" s="32" t="inlineStr">
        <is>
          <t>-</t>
        </is>
      </c>
      <c r="M976" s="32" t="inlineStr">
        <is>
          <t>제 53 기</t>
        </is>
      </c>
      <c r="N976" s="32" t="inlineStr">
        <is>
          <t>280729633.0</t>
        </is>
      </c>
      <c r="O976" s="32" t="inlineStr">
        <is>
          <t>289203202.0</t>
        </is>
      </c>
      <c r="P976" s="32" t="inlineStr">
        <is>
          <t>KRW</t>
        </is>
      </c>
      <c r="Q976" s="32" t="inlineStr">
        <is>
          <t>53</t>
        </is>
      </c>
    </row>
    <row r="977" ht="24" customHeight="1">
      <c r="A977" s="27" t="inlineStr">
        <is>
          <t>OpenDART_fnlttSinglAcntAll</t>
        </is>
      </c>
      <c r="B977" s="27" t="inlineStr">
        <is>
          <t>00118804</t>
        </is>
      </c>
      <c r="C977" s="27" t="inlineStr">
        <is>
          <t>동진쎄미켐</t>
        </is>
      </c>
      <c r="D977" s="27" t="inlineStr">
        <is>
          <t>dongjin_semichem</t>
        </is>
      </c>
      <c r="E977" s="27" t="inlineStr">
        <is>
          <t>005290</t>
        </is>
      </c>
      <c r="F977" s="27" t="inlineStr">
        <is>
          <t>2025</t>
        </is>
      </c>
      <c r="G977" s="27" t="inlineStr">
        <is>
          <t>CFS</t>
        </is>
      </c>
      <c r="H977" s="27" t="inlineStr">
        <is>
          <t>CF</t>
        </is>
      </c>
      <c r="I977" s="27" t="inlineStr">
        <is>
          <t>현금흐름표</t>
        </is>
      </c>
      <c r="J977" s="27" t="inlineStr">
        <is>
          <t>dart_AdjustmentsForGainOnDisposalOfInvestmentsInAssociates</t>
        </is>
      </c>
      <c r="K977" s="27" t="inlineStr">
        <is>
          <t>관계기업투자처분이익</t>
        </is>
      </c>
      <c r="L977" s="27" t="inlineStr">
        <is>
          <t>-</t>
        </is>
      </c>
      <c r="M977" s="27" t="inlineStr">
        <is>
          <t>제 53 기</t>
        </is>
      </c>
      <c r="N977" s="27" t="inlineStr">
        <is>
          <t>0.0</t>
        </is>
      </c>
      <c r="O977" s="27" t="inlineStr">
        <is>
          <t>0.0</t>
        </is>
      </c>
      <c r="P977" s="27" t="inlineStr">
        <is>
          <t>KRW</t>
        </is>
      </c>
      <c r="Q977" s="27" t="inlineStr">
        <is>
          <t>54</t>
        </is>
      </c>
    </row>
    <row r="978" ht="24" customHeight="1">
      <c r="A978" s="32" t="inlineStr">
        <is>
          <t>OpenDART_fnlttSinglAcntAll</t>
        </is>
      </c>
      <c r="B978" s="32" t="inlineStr">
        <is>
          <t>00118804</t>
        </is>
      </c>
      <c r="C978" s="32" t="inlineStr">
        <is>
          <t>동진쎄미켐</t>
        </is>
      </c>
      <c r="D978" s="32" t="inlineStr">
        <is>
          <t>dongjin_semichem</t>
        </is>
      </c>
      <c r="E978" s="32" t="inlineStr">
        <is>
          <t>005290</t>
        </is>
      </c>
      <c r="F978" s="32" t="inlineStr">
        <is>
          <t>2025</t>
        </is>
      </c>
      <c r="G978" s="32" t="inlineStr">
        <is>
          <t>CFS</t>
        </is>
      </c>
      <c r="H978" s="32" t="inlineStr">
        <is>
          <t>CF</t>
        </is>
      </c>
      <c r="I978" s="32" t="inlineStr">
        <is>
          <t>현금흐름표</t>
        </is>
      </c>
      <c r="J978" s="32" t="inlineStr">
        <is>
          <t>dart_AdjustmentsForGainOnDispositionOfTangibleAssets</t>
        </is>
      </c>
      <c r="K978" s="32" t="inlineStr">
        <is>
          <t>유형자산처분이익</t>
        </is>
      </c>
      <c r="L978" s="32" t="inlineStr">
        <is>
          <t>-</t>
        </is>
      </c>
      <c r="M978" s="32" t="inlineStr">
        <is>
          <t>제 53 기</t>
        </is>
      </c>
      <c r="N978" s="32" t="inlineStr">
        <is>
          <t>143923725.0</t>
        </is>
      </c>
      <c r="O978" s="32" t="inlineStr">
        <is>
          <t>117373152.0</t>
        </is>
      </c>
      <c r="P978" s="32" t="inlineStr">
        <is>
          <t>KRW</t>
        </is>
      </c>
      <c r="Q978" s="32" t="inlineStr">
        <is>
          <t>55</t>
        </is>
      </c>
    </row>
    <row r="979" ht="24" customHeight="1">
      <c r="A979" s="27" t="inlineStr">
        <is>
          <t>OpenDART_fnlttSinglAcntAll</t>
        </is>
      </c>
      <c r="B979" s="27" t="inlineStr">
        <is>
          <t>00118804</t>
        </is>
      </c>
      <c r="C979" s="27" t="inlineStr">
        <is>
          <t>동진쎄미켐</t>
        </is>
      </c>
      <c r="D979" s="27" t="inlineStr">
        <is>
          <t>dongjin_semichem</t>
        </is>
      </c>
      <c r="E979" s="27" t="inlineStr">
        <is>
          <t>005290</t>
        </is>
      </c>
      <c r="F979" s="27" t="inlineStr">
        <is>
          <t>2025</t>
        </is>
      </c>
      <c r="G979" s="27" t="inlineStr">
        <is>
          <t>CFS</t>
        </is>
      </c>
      <c r="H979" s="27" t="inlineStr">
        <is>
          <t>CF</t>
        </is>
      </c>
      <c r="I979" s="27" t="inlineStr">
        <is>
          <t>현금흐름표</t>
        </is>
      </c>
      <c r="J979" s="27" t="inlineStr">
        <is>
          <t>dart_AdjustmentsForGainOnForeignExchangeTranslations</t>
        </is>
      </c>
      <c r="K979" s="27" t="inlineStr">
        <is>
          <t>외화환산이익</t>
        </is>
      </c>
      <c r="L979" s="27" t="inlineStr">
        <is>
          <t>-</t>
        </is>
      </c>
      <c r="M979" s="27" t="inlineStr">
        <is>
          <t>제 53 기</t>
        </is>
      </c>
      <c r="N979" s="27" t="inlineStr">
        <is>
          <t>3394885804.0</t>
        </is>
      </c>
      <c r="O979" s="27" t="inlineStr">
        <is>
          <t>31684867584.0</t>
        </is>
      </c>
      <c r="P979" s="27" t="inlineStr">
        <is>
          <t>KRW</t>
        </is>
      </c>
      <c r="Q979" s="27" t="inlineStr">
        <is>
          <t>56</t>
        </is>
      </c>
    </row>
    <row r="980" ht="24" customHeight="1">
      <c r="A980" s="32" t="inlineStr">
        <is>
          <t>OpenDART_fnlttSinglAcntAll</t>
        </is>
      </c>
      <c r="B980" s="32" t="inlineStr">
        <is>
          <t>00118804</t>
        </is>
      </c>
      <c r="C980" s="32" t="inlineStr">
        <is>
          <t>동진쎄미켐</t>
        </is>
      </c>
      <c r="D980" s="32" t="inlineStr">
        <is>
          <t>dongjin_semichem</t>
        </is>
      </c>
      <c r="E980" s="32" t="inlineStr">
        <is>
          <t>005290</t>
        </is>
      </c>
      <c r="F980" s="32" t="inlineStr">
        <is>
          <t>2025</t>
        </is>
      </c>
      <c r="G980" s="32" t="inlineStr">
        <is>
          <t>CFS</t>
        </is>
      </c>
      <c r="H980" s="32" t="inlineStr">
        <is>
          <t>CF</t>
        </is>
      </c>
      <c r="I980" s="32" t="inlineStr">
        <is>
          <t>현금흐름표</t>
        </is>
      </c>
      <c r="J980" s="32" t="inlineStr">
        <is>
          <t>dart_AdjustmentsForGainsOnDisposalsOfFinancialAssets</t>
        </is>
      </c>
      <c r="K980" s="32" t="inlineStr">
        <is>
          <t>투자금융자산처분이익</t>
        </is>
      </c>
      <c r="L980" s="32" t="inlineStr">
        <is>
          <t>-</t>
        </is>
      </c>
      <c r="M980" s="32" t="inlineStr">
        <is>
          <t>제 53 기</t>
        </is>
      </c>
      <c r="N980" s="32" t="inlineStr">
        <is>
          <t>0.0</t>
        </is>
      </c>
      <c r="O980" s="32" t="inlineStr">
        <is>
          <t>26264760.0</t>
        </is>
      </c>
      <c r="P980" s="32" t="inlineStr">
        <is>
          <t>KRW</t>
        </is>
      </c>
      <c r="Q980" s="32" t="inlineStr">
        <is>
          <t>57</t>
        </is>
      </c>
    </row>
    <row r="981" ht="24" customHeight="1">
      <c r="A981" s="27" t="inlineStr">
        <is>
          <t>OpenDART_fnlttSinglAcntAll</t>
        </is>
      </c>
      <c r="B981" s="27" t="inlineStr">
        <is>
          <t>00118804</t>
        </is>
      </c>
      <c r="C981" s="27" t="inlineStr">
        <is>
          <t>동진쎄미켐</t>
        </is>
      </c>
      <c r="D981" s="27" t="inlineStr">
        <is>
          <t>dongjin_semichem</t>
        </is>
      </c>
      <c r="E981" s="27" t="inlineStr">
        <is>
          <t>005290</t>
        </is>
      </c>
      <c r="F981" s="27" t="inlineStr">
        <is>
          <t>2025</t>
        </is>
      </c>
      <c r="G981" s="27" t="inlineStr">
        <is>
          <t>CFS</t>
        </is>
      </c>
      <c r="H981" s="27" t="inlineStr">
        <is>
          <t>CF</t>
        </is>
      </c>
      <c r="I981" s="27" t="inlineStr">
        <is>
          <t>현금흐름표</t>
        </is>
      </c>
      <c r="J981" s="27" t="inlineStr">
        <is>
          <t>dart_AdjustmentsForGainsOnEvaluationOfFairValueFinancialAssets</t>
        </is>
      </c>
      <c r="K981" s="27" t="inlineStr">
        <is>
          <t>투자금융자산평가이익</t>
        </is>
      </c>
      <c r="L981" s="27" t="inlineStr">
        <is>
          <t>-</t>
        </is>
      </c>
      <c r="M981" s="27" t="inlineStr">
        <is>
          <t>제 53 기</t>
        </is>
      </c>
      <c r="N981" s="27" t="inlineStr">
        <is>
          <t>9564981028.0</t>
        </is>
      </c>
      <c r="O981" s="27" t="inlineStr">
        <is>
          <t>0.0</t>
        </is>
      </c>
      <c r="P981" s="27" t="inlineStr">
        <is>
          <t>KRW</t>
        </is>
      </c>
      <c r="Q981" s="27" t="inlineStr">
        <is>
          <t>58</t>
        </is>
      </c>
    </row>
    <row r="982" ht="24" customHeight="1">
      <c r="A982" s="32" t="inlineStr">
        <is>
          <t>OpenDART_fnlttSinglAcntAll</t>
        </is>
      </c>
      <c r="B982" s="32" t="inlineStr">
        <is>
          <t>00118804</t>
        </is>
      </c>
      <c r="C982" s="32" t="inlineStr">
        <is>
          <t>동진쎄미켐</t>
        </is>
      </c>
      <c r="D982" s="32" t="inlineStr">
        <is>
          <t>dongjin_semichem</t>
        </is>
      </c>
      <c r="E982" s="32" t="inlineStr">
        <is>
          <t>005290</t>
        </is>
      </c>
      <c r="F982" s="32" t="inlineStr">
        <is>
          <t>2025</t>
        </is>
      </c>
      <c r="G982" s="32" t="inlineStr">
        <is>
          <t>CFS</t>
        </is>
      </c>
      <c r="H982" s="32" t="inlineStr">
        <is>
          <t>CF</t>
        </is>
      </c>
      <c r="I982" s="32" t="inlineStr">
        <is>
          <t>현금흐름표</t>
        </is>
      </c>
      <c r="J982" s="32" t="inlineStr">
        <is>
          <t>dart_AdjustmentsForImpairmentLossInInvestmentsInAssociates</t>
        </is>
      </c>
      <c r="K982" s="32" t="inlineStr">
        <is>
          <t>관계기업투자손상차손</t>
        </is>
      </c>
      <c r="L982" s="32" t="inlineStr">
        <is>
          <t>-</t>
        </is>
      </c>
      <c r="M982" s="32" t="inlineStr">
        <is>
          <t>제 53 기</t>
        </is>
      </c>
      <c r="N982" s="32" t="inlineStr">
        <is>
          <t>0.0</t>
        </is>
      </c>
      <c r="O982" s="32" t="inlineStr">
        <is>
          <t>2308858638.0</t>
        </is>
      </c>
      <c r="P982" s="32" t="inlineStr">
        <is>
          <t>KRW</t>
        </is>
      </c>
      <c r="Q982" s="32" t="inlineStr">
        <is>
          <t>59</t>
        </is>
      </c>
    </row>
    <row r="983" ht="24" customHeight="1">
      <c r="A983" s="27" t="inlineStr">
        <is>
          <t>OpenDART_fnlttSinglAcntAll</t>
        </is>
      </c>
      <c r="B983" s="27" t="inlineStr">
        <is>
          <t>00118804</t>
        </is>
      </c>
      <c r="C983" s="27" t="inlineStr">
        <is>
          <t>동진쎄미켐</t>
        </is>
      </c>
      <c r="D983" s="27" t="inlineStr">
        <is>
          <t>dongjin_semichem</t>
        </is>
      </c>
      <c r="E983" s="27" t="inlineStr">
        <is>
          <t>005290</t>
        </is>
      </c>
      <c r="F983" s="27" t="inlineStr">
        <is>
          <t>2025</t>
        </is>
      </c>
      <c r="G983" s="27" t="inlineStr">
        <is>
          <t>CFS</t>
        </is>
      </c>
      <c r="H983" s="27" t="inlineStr">
        <is>
          <t>CF</t>
        </is>
      </c>
      <c r="I983" s="27" t="inlineStr">
        <is>
          <t>현금흐름표</t>
        </is>
      </c>
      <c r="J983" s="27" t="inlineStr">
        <is>
          <t>dart_AdjustmentsForImpairmentLossesOfIntangibleAssets</t>
        </is>
      </c>
      <c r="K983" s="27" t="inlineStr">
        <is>
          <t>무형자산손상차손</t>
        </is>
      </c>
      <c r="L983" s="27" t="inlineStr">
        <is>
          <t>-</t>
        </is>
      </c>
      <c r="M983" s="27" t="inlineStr">
        <is>
          <t>제 53 기</t>
        </is>
      </c>
      <c r="N983" s="27" t="inlineStr">
        <is>
          <t>0.0</t>
        </is>
      </c>
      <c r="O983" s="27" t="inlineStr">
        <is>
          <t>0.0</t>
        </is>
      </c>
      <c r="P983" s="27" t="inlineStr">
        <is>
          <t>KRW</t>
        </is>
      </c>
      <c r="Q983" s="27" t="inlineStr">
        <is>
          <t>60</t>
        </is>
      </c>
    </row>
    <row r="984" ht="24" customHeight="1">
      <c r="A984" s="32" t="inlineStr">
        <is>
          <t>OpenDART_fnlttSinglAcntAll</t>
        </is>
      </c>
      <c r="B984" s="32" t="inlineStr">
        <is>
          <t>00118804</t>
        </is>
      </c>
      <c r="C984" s="32" t="inlineStr">
        <is>
          <t>동진쎄미켐</t>
        </is>
      </c>
      <c r="D984" s="32" t="inlineStr">
        <is>
          <t>dongjin_semichem</t>
        </is>
      </c>
      <c r="E984" s="32" t="inlineStr">
        <is>
          <t>005290</t>
        </is>
      </c>
      <c r="F984" s="32" t="inlineStr">
        <is>
          <t>2025</t>
        </is>
      </c>
      <c r="G984" s="32" t="inlineStr">
        <is>
          <t>CFS</t>
        </is>
      </c>
      <c r="H984" s="32" t="inlineStr">
        <is>
          <t>CF</t>
        </is>
      </c>
      <c r="I984" s="32" t="inlineStr">
        <is>
          <t>현금흐름표</t>
        </is>
      </c>
      <c r="J984" s="32" t="inlineStr">
        <is>
          <t>dart_AdjustmentsForImpairmentLossesOfPropertyPlantAndEquipment</t>
        </is>
      </c>
      <c r="K984" s="32" t="inlineStr">
        <is>
          <t>유형자산손상차손</t>
        </is>
      </c>
      <c r="L984" s="32" t="inlineStr">
        <is>
          <t>-</t>
        </is>
      </c>
      <c r="M984" s="32" t="inlineStr">
        <is>
          <t>제 53 기</t>
        </is>
      </c>
      <c r="N984" s="32" t="inlineStr">
        <is>
          <t>30436226372.0</t>
        </is>
      </c>
      <c r="O984" s="32" t="inlineStr">
        <is>
          <t>19611296818.0</t>
        </is>
      </c>
      <c r="P984" s="32" t="inlineStr">
        <is>
          <t>KRW</t>
        </is>
      </c>
      <c r="Q984" s="32" t="inlineStr">
        <is>
          <t>61</t>
        </is>
      </c>
    </row>
    <row r="985" ht="24" customHeight="1">
      <c r="A985" s="27" t="inlineStr">
        <is>
          <t>OpenDART_fnlttSinglAcntAll</t>
        </is>
      </c>
      <c r="B985" s="27" t="inlineStr">
        <is>
          <t>00118804</t>
        </is>
      </c>
      <c r="C985" s="27" t="inlineStr">
        <is>
          <t>동진쎄미켐</t>
        </is>
      </c>
      <c r="D985" s="27" t="inlineStr">
        <is>
          <t>dongjin_semichem</t>
        </is>
      </c>
      <c r="E985" s="27" t="inlineStr">
        <is>
          <t>005290</t>
        </is>
      </c>
      <c r="F985" s="27" t="inlineStr">
        <is>
          <t>2025</t>
        </is>
      </c>
      <c r="G985" s="27" t="inlineStr">
        <is>
          <t>CFS</t>
        </is>
      </c>
      <c r="H985" s="27" t="inlineStr">
        <is>
          <t>CF</t>
        </is>
      </c>
      <c r="I985" s="27" t="inlineStr">
        <is>
          <t>현금흐름표</t>
        </is>
      </c>
      <c r="J985" s="27" t="inlineStr">
        <is>
          <t>dart_AdjustmentsForLossesOfAssociatesAndJointVenturesAccountedForUsingEquityMethod</t>
        </is>
      </c>
      <c r="K985" s="27" t="inlineStr">
        <is>
          <t>지분법손실</t>
        </is>
      </c>
      <c r="L985" s="27" t="inlineStr">
        <is>
          <t>-</t>
        </is>
      </c>
      <c r="M985" s="27" t="inlineStr">
        <is>
          <t>제 53 기</t>
        </is>
      </c>
      <c r="N985" s="27" t="inlineStr">
        <is>
          <t>548630545.0</t>
        </is>
      </c>
      <c r="O985" s="27" t="inlineStr">
        <is>
          <t>23424578.0</t>
        </is>
      </c>
      <c r="P985" s="27" t="inlineStr">
        <is>
          <t>KRW</t>
        </is>
      </c>
      <c r="Q985" s="27" t="inlineStr">
        <is>
          <t>62</t>
        </is>
      </c>
    </row>
    <row r="986" ht="24" customHeight="1">
      <c r="A986" s="32" t="inlineStr">
        <is>
          <t>OpenDART_fnlttSinglAcntAll</t>
        </is>
      </c>
      <c r="B986" s="32" t="inlineStr">
        <is>
          <t>00118804</t>
        </is>
      </c>
      <c r="C986" s="32" t="inlineStr">
        <is>
          <t>동진쎄미켐</t>
        </is>
      </c>
      <c r="D986" s="32" t="inlineStr">
        <is>
          <t>dongjin_semichem</t>
        </is>
      </c>
      <c r="E986" s="32" t="inlineStr">
        <is>
          <t>005290</t>
        </is>
      </c>
      <c r="F986" s="32" t="inlineStr">
        <is>
          <t>2025</t>
        </is>
      </c>
      <c r="G986" s="32" t="inlineStr">
        <is>
          <t>CFS</t>
        </is>
      </c>
      <c r="H986" s="32" t="inlineStr">
        <is>
          <t>CF</t>
        </is>
      </c>
      <c r="I986" s="32" t="inlineStr">
        <is>
          <t>현금흐름표</t>
        </is>
      </c>
      <c r="J986" s="32" t="inlineStr">
        <is>
          <t>dart_AdjustmentsForLossesOnDisposalsOfIntangibleAssets</t>
        </is>
      </c>
      <c r="K986" s="32" t="inlineStr">
        <is>
          <t>무형자산처분손실</t>
        </is>
      </c>
      <c r="L986" s="32" t="inlineStr">
        <is>
          <t>-</t>
        </is>
      </c>
      <c r="M986" s="32" t="inlineStr">
        <is>
          <t>제 53 기</t>
        </is>
      </c>
      <c r="N986" s="32" t="inlineStr">
        <is>
          <t>8779966.0</t>
        </is>
      </c>
      <c r="O986" s="32" t="inlineStr">
        <is>
          <t>0.0</t>
        </is>
      </c>
      <c r="P986" s="32" t="inlineStr">
        <is>
          <t>KRW</t>
        </is>
      </c>
      <c r="Q986" s="32" t="inlineStr">
        <is>
          <t>63</t>
        </is>
      </c>
    </row>
    <row r="987" ht="24" customHeight="1">
      <c r="A987" s="27" t="inlineStr">
        <is>
          <t>OpenDART_fnlttSinglAcntAll</t>
        </is>
      </c>
      <c r="B987" s="27" t="inlineStr">
        <is>
          <t>00118804</t>
        </is>
      </c>
      <c r="C987" s="27" t="inlineStr">
        <is>
          <t>동진쎄미켐</t>
        </is>
      </c>
      <c r="D987" s="27" t="inlineStr">
        <is>
          <t>dongjin_semichem</t>
        </is>
      </c>
      <c r="E987" s="27" t="inlineStr">
        <is>
          <t>005290</t>
        </is>
      </c>
      <c r="F987" s="27" t="inlineStr">
        <is>
          <t>2025</t>
        </is>
      </c>
      <c r="G987" s="27" t="inlineStr">
        <is>
          <t>CFS</t>
        </is>
      </c>
      <c r="H987" s="27" t="inlineStr">
        <is>
          <t>CF</t>
        </is>
      </c>
      <c r="I987" s="27" t="inlineStr">
        <is>
          <t>현금흐름표</t>
        </is>
      </c>
      <c r="J987" s="27" t="inlineStr">
        <is>
          <t>dart_AdjustmentsForLossesOnDispositionOfPropertyPlantAndEquipment</t>
        </is>
      </c>
      <c r="K987" s="27" t="inlineStr">
        <is>
          <t>유형자산처분손실</t>
        </is>
      </c>
      <c r="L987" s="27" t="inlineStr">
        <is>
          <t>-</t>
        </is>
      </c>
      <c r="M987" s="27" t="inlineStr">
        <is>
          <t>제 53 기</t>
        </is>
      </c>
      <c r="N987" s="27" t="inlineStr">
        <is>
          <t>1067287.0</t>
        </is>
      </c>
      <c r="O987" s="27" t="inlineStr">
        <is>
          <t>239598971.0</t>
        </is>
      </c>
      <c r="P987" s="27" t="inlineStr">
        <is>
          <t>KRW</t>
        </is>
      </c>
      <c r="Q987" s="27" t="inlineStr">
        <is>
          <t>64</t>
        </is>
      </c>
    </row>
    <row r="988" ht="24" customHeight="1">
      <c r="A988" s="32" t="inlineStr">
        <is>
          <t>OpenDART_fnlttSinglAcntAll</t>
        </is>
      </c>
      <c r="B988" s="32" t="inlineStr">
        <is>
          <t>00118804</t>
        </is>
      </c>
      <c r="C988" s="32" t="inlineStr">
        <is>
          <t>동진쎄미켐</t>
        </is>
      </c>
      <c r="D988" s="32" t="inlineStr">
        <is>
          <t>dongjin_semichem</t>
        </is>
      </c>
      <c r="E988" s="32" t="inlineStr">
        <is>
          <t>005290</t>
        </is>
      </c>
      <c r="F988" s="32" t="inlineStr">
        <is>
          <t>2025</t>
        </is>
      </c>
      <c r="G988" s="32" t="inlineStr">
        <is>
          <t>CFS</t>
        </is>
      </c>
      <c r="H988" s="32" t="inlineStr">
        <is>
          <t>CF</t>
        </is>
      </c>
      <c r="I988" s="32" t="inlineStr">
        <is>
          <t>현금흐름표</t>
        </is>
      </c>
      <c r="J988" s="32" t="inlineStr">
        <is>
          <t>dart_AdjustmentsForLossesOnEvaluationOfFairValueFinancialAssets</t>
        </is>
      </c>
      <c r="K988" s="32" t="inlineStr">
        <is>
          <t>투자금융자산평가손실</t>
        </is>
      </c>
      <c r="L988" s="32" t="inlineStr">
        <is>
          <t>-</t>
        </is>
      </c>
      <c r="M988" s="32" t="inlineStr">
        <is>
          <t>제 53 기</t>
        </is>
      </c>
      <c r="N988" s="32" t="inlineStr">
        <is>
          <t>0.0</t>
        </is>
      </c>
      <c r="O988" s="32" t="inlineStr">
        <is>
          <t>3602481300.0</t>
        </is>
      </c>
      <c r="P988" s="32" t="inlineStr">
        <is>
          <t>KRW</t>
        </is>
      </c>
      <c r="Q988" s="32" t="inlineStr">
        <is>
          <t>65</t>
        </is>
      </c>
    </row>
    <row r="989" ht="24" customHeight="1">
      <c r="A989" s="27" t="inlineStr">
        <is>
          <t>OpenDART_fnlttSinglAcntAll</t>
        </is>
      </c>
      <c r="B989" s="27" t="inlineStr">
        <is>
          <t>00118804</t>
        </is>
      </c>
      <c r="C989" s="27" t="inlineStr">
        <is>
          <t>동진쎄미켐</t>
        </is>
      </c>
      <c r="D989" s="27" t="inlineStr">
        <is>
          <t>dongjin_semichem</t>
        </is>
      </c>
      <c r="E989" s="27" t="inlineStr">
        <is>
          <t>005290</t>
        </is>
      </c>
      <c r="F989" s="27" t="inlineStr">
        <is>
          <t>2025</t>
        </is>
      </c>
      <c r="G989" s="27" t="inlineStr">
        <is>
          <t>CFS</t>
        </is>
      </c>
      <c r="H989" s="27" t="inlineStr">
        <is>
          <t>CF</t>
        </is>
      </c>
      <c r="I989" s="27" t="inlineStr">
        <is>
          <t>현금흐름표</t>
        </is>
      </c>
      <c r="J989" s="27" t="inlineStr">
        <is>
          <t>dart_AdjustmentsForLossesOnForeignExchangeTranslations</t>
        </is>
      </c>
      <c r="K989" s="27" t="inlineStr">
        <is>
          <t>외화환산손실</t>
        </is>
      </c>
      <c r="L989" s="27" t="inlineStr">
        <is>
          <t>-</t>
        </is>
      </c>
      <c r="M989" s="27" t="inlineStr">
        <is>
          <t>제 53 기</t>
        </is>
      </c>
      <c r="N989" s="27" t="inlineStr">
        <is>
          <t>8617493582.0</t>
        </is>
      </c>
      <c r="O989" s="27" t="inlineStr">
        <is>
          <t>7179643984.0</t>
        </is>
      </c>
      <c r="P989" s="27" t="inlineStr">
        <is>
          <t>KRW</t>
        </is>
      </c>
      <c r="Q989" s="27" t="inlineStr">
        <is>
          <t>66</t>
        </is>
      </c>
    </row>
    <row r="990" ht="24" customHeight="1">
      <c r="A990" s="32" t="inlineStr">
        <is>
          <t>OpenDART_fnlttSinglAcntAll</t>
        </is>
      </c>
      <c r="B990" s="32" t="inlineStr">
        <is>
          <t>00118804</t>
        </is>
      </c>
      <c r="C990" s="32" t="inlineStr">
        <is>
          <t>동진쎄미켐</t>
        </is>
      </c>
      <c r="D990" s="32" t="inlineStr">
        <is>
          <t>dongjin_semichem</t>
        </is>
      </c>
      <c r="E990" s="32" t="inlineStr">
        <is>
          <t>005290</t>
        </is>
      </c>
      <c r="F990" s="32" t="inlineStr">
        <is>
          <t>2025</t>
        </is>
      </c>
      <c r="G990" s="32" t="inlineStr">
        <is>
          <t>CFS</t>
        </is>
      </c>
      <c r="H990" s="32" t="inlineStr">
        <is>
          <t>CF</t>
        </is>
      </c>
      <c r="I990" s="32" t="inlineStr">
        <is>
          <t>현금흐름표</t>
        </is>
      </c>
      <c r="J990" s="32" t="inlineStr">
        <is>
          <t>dart_AdjustmentsForOtherBadDebtExpenses</t>
        </is>
      </c>
      <c r="K990" s="32" t="inlineStr">
        <is>
          <t>기타의대손상각비</t>
        </is>
      </c>
      <c r="L990" s="32" t="inlineStr">
        <is>
          <t>-</t>
        </is>
      </c>
      <c r="M990" s="32" t="inlineStr">
        <is>
          <t>제 53 기</t>
        </is>
      </c>
      <c r="N990" s="32" t="inlineStr">
        <is>
          <t>29226164655.0</t>
        </is>
      </c>
      <c r="O990" s="32" t="inlineStr">
        <is>
          <t>6722686828.0</t>
        </is>
      </c>
      <c r="P990" s="32" t="inlineStr">
        <is>
          <t>KRW</t>
        </is>
      </c>
      <c r="Q990" s="32" t="inlineStr">
        <is>
          <t>67</t>
        </is>
      </c>
    </row>
    <row r="991" ht="24" customHeight="1">
      <c r="A991" s="27" t="inlineStr">
        <is>
          <t>OpenDART_fnlttSinglAcntAll</t>
        </is>
      </c>
      <c r="B991" s="27" t="inlineStr">
        <is>
          <t>00118804</t>
        </is>
      </c>
      <c r="C991" s="27" t="inlineStr">
        <is>
          <t>동진쎄미켐</t>
        </is>
      </c>
      <c r="D991" s="27" t="inlineStr">
        <is>
          <t>dongjin_semichem</t>
        </is>
      </c>
      <c r="E991" s="27" t="inlineStr">
        <is>
          <t>005290</t>
        </is>
      </c>
      <c r="F991" s="27" t="inlineStr">
        <is>
          <t>2025</t>
        </is>
      </c>
      <c r="G991" s="27" t="inlineStr">
        <is>
          <t>CFS</t>
        </is>
      </c>
      <c r="H991" s="27" t="inlineStr">
        <is>
          <t>CF</t>
        </is>
      </c>
      <c r="I991" s="27" t="inlineStr">
        <is>
          <t>현금흐름표</t>
        </is>
      </c>
      <c r="J991" s="27" t="inlineStr">
        <is>
          <t>dart_AdjustmentsForOtherGainsWithoutCashFlowIn</t>
        </is>
      </c>
      <c r="K991" s="27" t="inlineStr">
        <is>
          <t>기타 현금의 유입 없는 수익등</t>
        </is>
      </c>
      <c r="L991" s="27" t="inlineStr">
        <is>
          <t>-</t>
        </is>
      </c>
      <c r="M991" s="27" t="inlineStr">
        <is>
          <t>제 53 기</t>
        </is>
      </c>
      <c r="N991" s="27" t="inlineStr">
        <is>
          <t>1006872008.0</t>
        </is>
      </c>
      <c r="O991" s="27" t="inlineStr">
        <is>
          <t>3431790380.0</t>
        </is>
      </c>
      <c r="P991" s="27" t="inlineStr">
        <is>
          <t>KRW</t>
        </is>
      </c>
      <c r="Q991" s="27" t="inlineStr">
        <is>
          <t>68</t>
        </is>
      </c>
    </row>
    <row r="992" ht="24" customHeight="1">
      <c r="A992" s="32" t="inlineStr">
        <is>
          <t>OpenDART_fnlttSinglAcntAll</t>
        </is>
      </c>
      <c r="B992" s="32" t="inlineStr">
        <is>
          <t>00118804</t>
        </is>
      </c>
      <c r="C992" s="32" t="inlineStr">
        <is>
          <t>동진쎄미켐</t>
        </is>
      </c>
      <c r="D992" s="32" t="inlineStr">
        <is>
          <t>dongjin_semichem</t>
        </is>
      </c>
      <c r="E992" s="32" t="inlineStr">
        <is>
          <t>005290</t>
        </is>
      </c>
      <c r="F992" s="32" t="inlineStr">
        <is>
          <t>2025</t>
        </is>
      </c>
      <c r="G992" s="32" t="inlineStr">
        <is>
          <t>CFS</t>
        </is>
      </c>
      <c r="H992" s="32" t="inlineStr">
        <is>
          <t>CF</t>
        </is>
      </c>
      <c r="I992" s="32" t="inlineStr">
        <is>
          <t>현금흐름표</t>
        </is>
      </c>
      <c r="J992" s="32" t="inlineStr">
        <is>
          <t>dart_AdjustmentsForOtherLossesWithoutCashFlowOut</t>
        </is>
      </c>
      <c r="K992" s="32" t="inlineStr">
        <is>
          <t>기타 현금의 유출 없는 비용등</t>
        </is>
      </c>
      <c r="L992" s="32" t="inlineStr">
        <is>
          <t>-</t>
        </is>
      </c>
      <c r="M992" s="32" t="inlineStr">
        <is>
          <t>제 53 기</t>
        </is>
      </c>
      <c r="N992" s="32" t="inlineStr">
        <is>
          <t>662014506.0</t>
        </is>
      </c>
      <c r="O992" s="32" t="inlineStr">
        <is>
          <t>820266510.0</t>
        </is>
      </c>
      <c r="P992" s="32" t="inlineStr">
        <is>
          <t>KRW</t>
        </is>
      </c>
      <c r="Q992" s="32" t="inlineStr">
        <is>
          <t>69</t>
        </is>
      </c>
    </row>
    <row r="993" ht="24" customHeight="1">
      <c r="A993" s="27" t="inlineStr">
        <is>
          <t>OpenDART_fnlttSinglAcntAll</t>
        </is>
      </c>
      <c r="B993" s="27" t="inlineStr">
        <is>
          <t>00118804</t>
        </is>
      </c>
      <c r="C993" s="27" t="inlineStr">
        <is>
          <t>동진쎄미켐</t>
        </is>
      </c>
      <c r="D993" s="27" t="inlineStr">
        <is>
          <t>dongjin_semichem</t>
        </is>
      </c>
      <c r="E993" s="27" t="inlineStr">
        <is>
          <t>005290</t>
        </is>
      </c>
      <c r="F993" s="27" t="inlineStr">
        <is>
          <t>2025</t>
        </is>
      </c>
      <c r="G993" s="27" t="inlineStr">
        <is>
          <t>CFS</t>
        </is>
      </c>
      <c r="H993" s="27" t="inlineStr">
        <is>
          <t>CF</t>
        </is>
      </c>
      <c r="I993" s="27" t="inlineStr">
        <is>
          <t>현금흐름표</t>
        </is>
      </c>
      <c r="J993" s="27" t="inlineStr">
        <is>
          <t>dart_AdjustmentsForProfitsOfAssociatesAndJointVenturesAccountedForUsingEquityMethod</t>
        </is>
      </c>
      <c r="K993" s="27" t="inlineStr">
        <is>
          <t>지분법이익</t>
        </is>
      </c>
      <c r="L993" s="27" t="inlineStr">
        <is>
          <t>-</t>
        </is>
      </c>
      <c r="M993" s="27" t="inlineStr">
        <is>
          <t>제 53 기</t>
        </is>
      </c>
      <c r="N993" s="27" t="inlineStr">
        <is>
          <t>37670517.0</t>
        </is>
      </c>
      <c r="O993" s="27" t="inlineStr">
        <is>
          <t>386957805.0</t>
        </is>
      </c>
      <c r="P993" s="27" t="inlineStr">
        <is>
          <t>KRW</t>
        </is>
      </c>
      <c r="Q993" s="27" t="inlineStr">
        <is>
          <t>70</t>
        </is>
      </c>
    </row>
    <row r="994" ht="24" customHeight="1">
      <c r="A994" s="32" t="inlineStr">
        <is>
          <t>OpenDART_fnlttSinglAcntAll</t>
        </is>
      </c>
      <c r="B994" s="32" t="inlineStr">
        <is>
          <t>00118804</t>
        </is>
      </c>
      <c r="C994" s="32" t="inlineStr">
        <is>
          <t>동진쎄미켐</t>
        </is>
      </c>
      <c r="D994" s="32" t="inlineStr">
        <is>
          <t>dongjin_semichem</t>
        </is>
      </c>
      <c r="E994" s="32" t="inlineStr">
        <is>
          <t>005290</t>
        </is>
      </c>
      <c r="F994" s="32" t="inlineStr">
        <is>
          <t>2025</t>
        </is>
      </c>
      <c r="G994" s="32" t="inlineStr">
        <is>
          <t>CFS</t>
        </is>
      </c>
      <c r="H994" s="32" t="inlineStr">
        <is>
          <t>CF</t>
        </is>
      </c>
      <c r="I994" s="32" t="inlineStr">
        <is>
          <t>현금흐름표</t>
        </is>
      </c>
      <c r="J994" s="32" t="inlineStr">
        <is>
          <t>dart_AdjustmentsForProvisionForSeveranceIndemnities</t>
        </is>
      </c>
      <c r="K994" s="32" t="inlineStr">
        <is>
          <t>퇴직급여</t>
        </is>
      </c>
      <c r="L994" s="32" t="inlineStr">
        <is>
          <t>-</t>
        </is>
      </c>
      <c r="M994" s="32" t="inlineStr">
        <is>
          <t>제 53 기</t>
        </is>
      </c>
      <c r="N994" s="32" t="inlineStr">
        <is>
          <t>10465510297.0</t>
        </is>
      </c>
      <c r="O994" s="32" t="inlineStr">
        <is>
          <t>9351608727.0</t>
        </is>
      </c>
      <c r="P994" s="32" t="inlineStr">
        <is>
          <t>KRW</t>
        </is>
      </c>
      <c r="Q994" s="32" t="inlineStr">
        <is>
          <t>71</t>
        </is>
      </c>
    </row>
    <row r="995" ht="24" customHeight="1">
      <c r="A995" s="27" t="inlineStr">
        <is>
          <t>OpenDART_fnlttSinglAcntAll</t>
        </is>
      </c>
      <c r="B995" s="27" t="inlineStr">
        <is>
          <t>00118804</t>
        </is>
      </c>
      <c r="C995" s="27" t="inlineStr">
        <is>
          <t>동진쎄미켐</t>
        </is>
      </c>
      <c r="D995" s="27" t="inlineStr">
        <is>
          <t>dongjin_semichem</t>
        </is>
      </c>
      <c r="E995" s="27" t="inlineStr">
        <is>
          <t>005290</t>
        </is>
      </c>
      <c r="F995" s="27" t="inlineStr">
        <is>
          <t>2025</t>
        </is>
      </c>
      <c r="G995" s="27" t="inlineStr">
        <is>
          <t>CFS</t>
        </is>
      </c>
      <c r="H995" s="27" t="inlineStr">
        <is>
          <t>CF</t>
        </is>
      </c>
      <c r="I995" s="27" t="inlineStr">
        <is>
          <t>현금흐름표</t>
        </is>
      </c>
      <c r="J995" s="27" t="inlineStr">
        <is>
          <t>ifrs-full_AdjustmentsForAmortisationExpense</t>
        </is>
      </c>
      <c r="K995" s="27" t="inlineStr">
        <is>
          <t>무형자산상각비</t>
        </is>
      </c>
      <c r="L995" s="27" t="inlineStr">
        <is>
          <t>-</t>
        </is>
      </c>
      <c r="M995" s="27" t="inlineStr">
        <is>
          <t>제 53 기</t>
        </is>
      </c>
      <c r="N995" s="27" t="inlineStr">
        <is>
          <t>2383833664.0</t>
        </is>
      </c>
      <c r="O995" s="27" t="inlineStr">
        <is>
          <t>1910249997.0</t>
        </is>
      </c>
      <c r="P995" s="27" t="inlineStr">
        <is>
          <t>KRW</t>
        </is>
      </c>
      <c r="Q995" s="27" t="inlineStr">
        <is>
          <t>72</t>
        </is>
      </c>
    </row>
    <row r="996" ht="24" customHeight="1">
      <c r="A996" s="32" t="inlineStr">
        <is>
          <t>OpenDART_fnlttSinglAcntAll</t>
        </is>
      </c>
      <c r="B996" s="32" t="inlineStr">
        <is>
          <t>00118804</t>
        </is>
      </c>
      <c r="C996" s="32" t="inlineStr">
        <is>
          <t>동진쎄미켐</t>
        </is>
      </c>
      <c r="D996" s="32" t="inlineStr">
        <is>
          <t>dongjin_semichem</t>
        </is>
      </c>
      <c r="E996" s="32" t="inlineStr">
        <is>
          <t>005290</t>
        </is>
      </c>
      <c r="F996" s="32" t="inlineStr">
        <is>
          <t>2025</t>
        </is>
      </c>
      <c r="G996" s="32" t="inlineStr">
        <is>
          <t>CFS</t>
        </is>
      </c>
      <c r="H996" s="32" t="inlineStr">
        <is>
          <t>CF</t>
        </is>
      </c>
      <c r="I996" s="32" t="inlineStr">
        <is>
          <t>현금흐름표</t>
        </is>
      </c>
      <c r="J996" s="32" t="inlineStr">
        <is>
          <t>ifrs-full_AdjustmentsForDepreciationExpense</t>
        </is>
      </c>
      <c r="K996" s="32" t="inlineStr">
        <is>
          <t>감가상각비</t>
        </is>
      </c>
      <c r="L996" s="32" t="inlineStr">
        <is>
          <t>-</t>
        </is>
      </c>
      <c r="M996" s="32" t="inlineStr">
        <is>
          <t>제 53 기</t>
        </is>
      </c>
      <c r="N996" s="32" t="inlineStr">
        <is>
          <t>65557395057.0</t>
        </is>
      </c>
      <c r="O996" s="32" t="inlineStr">
        <is>
          <t>62672569859.0</t>
        </is>
      </c>
      <c r="P996" s="32" t="inlineStr">
        <is>
          <t>KRW</t>
        </is>
      </c>
      <c r="Q996" s="32" t="inlineStr">
        <is>
          <t>73</t>
        </is>
      </c>
    </row>
    <row r="997" ht="24" customHeight="1">
      <c r="A997" s="27" t="inlineStr">
        <is>
          <t>OpenDART_fnlttSinglAcntAll</t>
        </is>
      </c>
      <c r="B997" s="27" t="inlineStr">
        <is>
          <t>00118804</t>
        </is>
      </c>
      <c r="C997" s="27" t="inlineStr">
        <is>
          <t>동진쎄미켐</t>
        </is>
      </c>
      <c r="D997" s="27" t="inlineStr">
        <is>
          <t>dongjin_semichem</t>
        </is>
      </c>
      <c r="E997" s="27" t="inlineStr">
        <is>
          <t>005290</t>
        </is>
      </c>
      <c r="F997" s="27" t="inlineStr">
        <is>
          <t>2025</t>
        </is>
      </c>
      <c r="G997" s="27" t="inlineStr">
        <is>
          <t>CFS</t>
        </is>
      </c>
      <c r="H997" s="27" t="inlineStr">
        <is>
          <t>CF</t>
        </is>
      </c>
      <c r="I997" s="27" t="inlineStr">
        <is>
          <t>현금흐름표</t>
        </is>
      </c>
      <c r="J997" s="27" t="inlineStr">
        <is>
          <t>ifrs-full_AdjustmentsForDividendIncome</t>
        </is>
      </c>
      <c r="K997" s="27" t="inlineStr">
        <is>
          <t>배당금수익</t>
        </is>
      </c>
      <c r="L997" s="27" t="inlineStr">
        <is>
          <t>-</t>
        </is>
      </c>
      <c r="M997" s="27" t="inlineStr">
        <is>
          <t>제 53 기</t>
        </is>
      </c>
      <c r="N997" s="27" t="inlineStr">
        <is>
          <t>288026400.0</t>
        </is>
      </c>
      <c r="O997" s="27" t="inlineStr">
        <is>
          <t>86775240.0</t>
        </is>
      </c>
      <c r="P997" s="27" t="inlineStr">
        <is>
          <t>KRW</t>
        </is>
      </c>
      <c r="Q997" s="27" t="inlineStr">
        <is>
          <t>74</t>
        </is>
      </c>
    </row>
    <row r="998" ht="24" customHeight="1">
      <c r="A998" s="32" t="inlineStr">
        <is>
          <t>OpenDART_fnlttSinglAcntAll</t>
        </is>
      </c>
      <c r="B998" s="32" t="inlineStr">
        <is>
          <t>00118804</t>
        </is>
      </c>
      <c r="C998" s="32" t="inlineStr">
        <is>
          <t>동진쎄미켐</t>
        </is>
      </c>
      <c r="D998" s="32" t="inlineStr">
        <is>
          <t>dongjin_semichem</t>
        </is>
      </c>
      <c r="E998" s="32" t="inlineStr">
        <is>
          <t>005290</t>
        </is>
      </c>
      <c r="F998" s="32" t="inlineStr">
        <is>
          <t>2025</t>
        </is>
      </c>
      <c r="G998" s="32" t="inlineStr">
        <is>
          <t>CFS</t>
        </is>
      </c>
      <c r="H998" s="32" t="inlineStr">
        <is>
          <t>CF</t>
        </is>
      </c>
      <c r="I998" s="32" t="inlineStr">
        <is>
          <t>현금흐름표</t>
        </is>
      </c>
      <c r="J998" s="32" t="inlineStr">
        <is>
          <t>ifrs-full_AdjustmentsForFinanceCosts</t>
        </is>
      </c>
      <c r="K998" s="32" t="inlineStr">
        <is>
          <t>금융비용</t>
        </is>
      </c>
      <c r="L998" s="32" t="inlineStr">
        <is>
          <t>-</t>
        </is>
      </c>
      <c r="M998" s="32" t="inlineStr">
        <is>
          <t>제 53 기</t>
        </is>
      </c>
      <c r="N998" s="32" t="inlineStr">
        <is>
          <t>23993088559.0</t>
        </is>
      </c>
      <c r="O998" s="32" t="inlineStr">
        <is>
          <t>28446423522.0</t>
        </is>
      </c>
      <c r="P998" s="32" t="inlineStr">
        <is>
          <t>KRW</t>
        </is>
      </c>
      <c r="Q998" s="32" t="inlineStr">
        <is>
          <t>75</t>
        </is>
      </c>
    </row>
    <row r="999" ht="24" customHeight="1">
      <c r="A999" s="27" t="inlineStr">
        <is>
          <t>OpenDART_fnlttSinglAcntAll</t>
        </is>
      </c>
      <c r="B999" s="27" t="inlineStr">
        <is>
          <t>00118804</t>
        </is>
      </c>
      <c r="C999" s="27" t="inlineStr">
        <is>
          <t>동진쎄미켐</t>
        </is>
      </c>
      <c r="D999" s="27" t="inlineStr">
        <is>
          <t>dongjin_semichem</t>
        </is>
      </c>
      <c r="E999" s="27" t="inlineStr">
        <is>
          <t>005290</t>
        </is>
      </c>
      <c r="F999" s="27" t="inlineStr">
        <is>
          <t>2025</t>
        </is>
      </c>
      <c r="G999" s="27" t="inlineStr">
        <is>
          <t>CFS</t>
        </is>
      </c>
      <c r="H999" s="27" t="inlineStr">
        <is>
          <t>CF</t>
        </is>
      </c>
      <c r="I999" s="27" t="inlineStr">
        <is>
          <t>현금흐름표</t>
        </is>
      </c>
      <c r="J999" s="27" t="inlineStr">
        <is>
          <t>ifrs-full_AdjustmentsForFinanceIncome</t>
        </is>
      </c>
      <c r="K999" s="27" t="inlineStr">
        <is>
          <t>금융수익</t>
        </is>
      </c>
      <c r="L999" s="27" t="inlineStr">
        <is>
          <t>-</t>
        </is>
      </c>
      <c r="M999" s="27" t="inlineStr">
        <is>
          <t>제 53 기</t>
        </is>
      </c>
      <c r="N999" s="27" t="inlineStr">
        <is>
          <t>15330070442.0</t>
        </is>
      </c>
      <c r="O999" s="27" t="inlineStr">
        <is>
          <t>12773620567.0</t>
        </is>
      </c>
      <c r="P999" s="27" t="inlineStr">
        <is>
          <t>KRW</t>
        </is>
      </c>
      <c r="Q999" s="27" t="inlineStr">
        <is>
          <t>76</t>
        </is>
      </c>
    </row>
    <row r="1000" ht="24" customHeight="1">
      <c r="A1000" s="32" t="inlineStr">
        <is>
          <t>OpenDART_fnlttSinglAcntAll</t>
        </is>
      </c>
      <c r="B1000" s="32" t="inlineStr">
        <is>
          <t>00118804</t>
        </is>
      </c>
      <c r="C1000" s="32" t="inlineStr">
        <is>
          <t>동진쎄미켐</t>
        </is>
      </c>
      <c r="D1000" s="32" t="inlineStr">
        <is>
          <t>dongjin_semichem</t>
        </is>
      </c>
      <c r="E1000" s="32" t="inlineStr">
        <is>
          <t>005290</t>
        </is>
      </c>
      <c r="F1000" s="32" t="inlineStr">
        <is>
          <t>2025</t>
        </is>
      </c>
      <c r="G1000" s="32" t="inlineStr">
        <is>
          <t>CFS</t>
        </is>
      </c>
      <c r="H1000" s="32" t="inlineStr">
        <is>
          <t>CF</t>
        </is>
      </c>
      <c r="I1000" s="32" t="inlineStr">
        <is>
          <t>현금흐름표</t>
        </is>
      </c>
      <c r="J1000" s="32" t="inlineStr">
        <is>
          <t>ifrs-full_AdjustmentsForIncomeTaxExpense</t>
        </is>
      </c>
      <c r="K1000" s="32" t="inlineStr">
        <is>
          <t>법인세비용</t>
        </is>
      </c>
      <c r="L1000" s="32" t="inlineStr">
        <is>
          <t>-</t>
        </is>
      </c>
      <c r="M1000" s="32" t="inlineStr">
        <is>
          <t>제 53 기</t>
        </is>
      </c>
      <c r="N1000" s="32" t="inlineStr">
        <is>
          <t>65748328971.0</t>
        </is>
      </c>
      <c r="O1000" s="32" t="inlineStr">
        <is>
          <t>58580683351.0</t>
        </is>
      </c>
      <c r="P1000" s="32" t="inlineStr">
        <is>
          <t>KRW</t>
        </is>
      </c>
      <c r="Q1000" s="32" t="inlineStr">
        <is>
          <t>77</t>
        </is>
      </c>
    </row>
    <row r="1001" ht="24" customHeight="1">
      <c r="A1001" s="27" t="inlineStr">
        <is>
          <t>OpenDART_fnlttSinglAcntAll</t>
        </is>
      </c>
      <c r="B1001" s="27" t="inlineStr">
        <is>
          <t>00118804</t>
        </is>
      </c>
      <c r="C1001" s="27" t="inlineStr">
        <is>
          <t>동진쎄미켐</t>
        </is>
      </c>
      <c r="D1001" s="27" t="inlineStr">
        <is>
          <t>dongjin_semichem</t>
        </is>
      </c>
      <c r="E1001" s="27" t="inlineStr">
        <is>
          <t>005290</t>
        </is>
      </c>
      <c r="F1001" s="27" t="inlineStr">
        <is>
          <t>2025</t>
        </is>
      </c>
      <c r="G1001" s="27" t="inlineStr">
        <is>
          <t>CFS</t>
        </is>
      </c>
      <c r="H1001" s="27" t="inlineStr">
        <is>
          <t>CF</t>
        </is>
      </c>
      <c r="I1001" s="27" t="inlineStr">
        <is>
          <t>현금흐름표</t>
        </is>
      </c>
      <c r="J1001" s="27" t="inlineStr">
        <is>
          <t>ifrs-full_ProfitLoss</t>
        </is>
      </c>
      <c r="K1001" s="27" t="inlineStr">
        <is>
          <t>당기순이익</t>
        </is>
      </c>
      <c r="L1001" s="27" t="inlineStr">
        <is>
          <t>-</t>
        </is>
      </c>
      <c r="M1001" s="27" t="inlineStr">
        <is>
          <t>제 53 기</t>
        </is>
      </c>
      <c r="N1001" s="27" t="inlineStr">
        <is>
          <t>94092225845.0</t>
        </is>
      </c>
      <c r="O1001" s="27" t="inlineStr">
        <is>
          <t>143484559745.0</t>
        </is>
      </c>
      <c r="P1001" s="27" t="inlineStr">
        <is>
          <t>KRW</t>
        </is>
      </c>
      <c r="Q1001" s="27" t="inlineStr">
        <is>
          <t>78</t>
        </is>
      </c>
    </row>
    <row r="1002" ht="24" customHeight="1">
      <c r="A1002" s="32" t="inlineStr">
        <is>
          <t>OpenDART_fnlttSinglAcntAll</t>
        </is>
      </c>
      <c r="B1002" s="32" t="inlineStr">
        <is>
          <t>00118804</t>
        </is>
      </c>
      <c r="C1002" s="32" t="inlineStr">
        <is>
          <t>동진쎄미켐</t>
        </is>
      </c>
      <c r="D1002" s="32" t="inlineStr">
        <is>
          <t>dongjin_semichem</t>
        </is>
      </c>
      <c r="E1002" s="32" t="inlineStr">
        <is>
          <t>005290</t>
        </is>
      </c>
      <c r="F1002" s="32" t="inlineStr">
        <is>
          <t>2025</t>
        </is>
      </c>
      <c r="G1002" s="32" t="inlineStr">
        <is>
          <t>CFS</t>
        </is>
      </c>
      <c r="H1002" s="32" t="inlineStr">
        <is>
          <t>CF</t>
        </is>
      </c>
      <c r="I1002" s="32" t="inlineStr">
        <is>
          <t>현금흐름표</t>
        </is>
      </c>
      <c r="J1002" s="32" t="inlineStr">
        <is>
          <t>ifrs-full_DividendsReceivedClassifiedAsOperatingActivities</t>
        </is>
      </c>
      <c r="K1002" s="32" t="inlineStr">
        <is>
          <t>배당금의 수취</t>
        </is>
      </c>
      <c r="L1002" s="32" t="inlineStr">
        <is>
          <t>-</t>
        </is>
      </c>
      <c r="M1002" s="32" t="inlineStr">
        <is>
          <t>제 53 기</t>
        </is>
      </c>
      <c r="N1002" s="32" t="inlineStr">
        <is>
          <t>288026400.0</t>
        </is>
      </c>
      <c r="O1002" s="32" t="inlineStr">
        <is>
          <t>86775240.0</t>
        </is>
      </c>
      <c r="P1002" s="32" t="inlineStr">
        <is>
          <t>KRW</t>
        </is>
      </c>
      <c r="Q1002" s="32" t="inlineStr">
        <is>
          <t>79</t>
        </is>
      </c>
    </row>
    <row r="1003" ht="24" customHeight="1">
      <c r="A1003" s="27" t="inlineStr">
        <is>
          <t>OpenDART_fnlttSinglAcntAll</t>
        </is>
      </c>
      <c r="B1003" s="27" t="inlineStr">
        <is>
          <t>00118804</t>
        </is>
      </c>
      <c r="C1003" s="27" t="inlineStr">
        <is>
          <t>동진쎄미켐</t>
        </is>
      </c>
      <c r="D1003" s="27" t="inlineStr">
        <is>
          <t>dongjin_semichem</t>
        </is>
      </c>
      <c r="E1003" s="27" t="inlineStr">
        <is>
          <t>005290</t>
        </is>
      </c>
      <c r="F1003" s="27" t="inlineStr">
        <is>
          <t>2025</t>
        </is>
      </c>
      <c r="G1003" s="27" t="inlineStr">
        <is>
          <t>CFS</t>
        </is>
      </c>
      <c r="H1003" s="27" t="inlineStr">
        <is>
          <t>CF</t>
        </is>
      </c>
      <c r="I1003" s="27" t="inlineStr">
        <is>
          <t>현금흐름표</t>
        </is>
      </c>
      <c r="J1003" s="27" t="inlineStr">
        <is>
          <t>ifrs-full_IncomeTaxesPaidClassifiedAsOperatingActivities</t>
        </is>
      </c>
      <c r="K1003" s="27" t="inlineStr">
        <is>
          <t>법인세의 납부</t>
        </is>
      </c>
      <c r="L1003" s="27" t="inlineStr">
        <is>
          <t>-</t>
        </is>
      </c>
      <c r="M1003" s="27" t="inlineStr">
        <is>
          <t>제 53 기</t>
        </is>
      </c>
      <c r="N1003" s="27" t="inlineStr">
        <is>
          <t>74774601602.0</t>
        </is>
      </c>
      <c r="O1003" s="27" t="inlineStr">
        <is>
          <t>21254163481.0</t>
        </is>
      </c>
      <c r="P1003" s="27" t="inlineStr">
        <is>
          <t>KRW</t>
        </is>
      </c>
      <c r="Q1003" s="27" t="inlineStr">
        <is>
          <t>80</t>
        </is>
      </c>
    </row>
    <row r="1004" ht="24" customHeight="1">
      <c r="A1004" s="32" t="inlineStr">
        <is>
          <t>OpenDART_fnlttSinglAcntAll</t>
        </is>
      </c>
      <c r="B1004" s="32" t="inlineStr">
        <is>
          <t>00118804</t>
        </is>
      </c>
      <c r="C1004" s="32" t="inlineStr">
        <is>
          <t>동진쎄미켐</t>
        </is>
      </c>
      <c r="D1004" s="32" t="inlineStr">
        <is>
          <t>dongjin_semichem</t>
        </is>
      </c>
      <c r="E1004" s="32" t="inlineStr">
        <is>
          <t>005290</t>
        </is>
      </c>
      <c r="F1004" s="32" t="inlineStr">
        <is>
          <t>2025</t>
        </is>
      </c>
      <c r="G1004" s="32" t="inlineStr">
        <is>
          <t>CFS</t>
        </is>
      </c>
      <c r="H1004" s="32" t="inlineStr">
        <is>
          <t>CF</t>
        </is>
      </c>
      <c r="I1004" s="32" t="inlineStr">
        <is>
          <t>현금흐름표</t>
        </is>
      </c>
      <c r="J1004" s="32" t="inlineStr">
        <is>
          <t>ifrs-full_IncomeTaxesRefundClassifiedAsOperatingActivities</t>
        </is>
      </c>
      <c r="K1004" s="32" t="inlineStr">
        <is>
          <t>법인세의 환급</t>
        </is>
      </c>
      <c r="L1004" s="32" t="inlineStr">
        <is>
          <t>-</t>
        </is>
      </c>
      <c r="M1004" s="32" t="inlineStr">
        <is>
          <t>제 53 기</t>
        </is>
      </c>
      <c r="N1004" s="32" t="inlineStr">
        <is>
          <t>368082831.0</t>
        </is>
      </c>
      <c r="O1004" s="32" t="inlineStr">
        <is>
          <t>1225531770.0</t>
        </is>
      </c>
      <c r="P1004" s="32" t="inlineStr">
        <is>
          <t>KRW</t>
        </is>
      </c>
      <c r="Q1004" s="32" t="inlineStr">
        <is>
          <t>81</t>
        </is>
      </c>
    </row>
    <row r="1005" ht="24" customHeight="1">
      <c r="A1005" s="27" t="inlineStr">
        <is>
          <t>OpenDART_fnlttSinglAcntAll</t>
        </is>
      </c>
      <c r="B1005" s="27" t="inlineStr">
        <is>
          <t>00118804</t>
        </is>
      </c>
      <c r="C1005" s="27" t="inlineStr">
        <is>
          <t>동진쎄미켐</t>
        </is>
      </c>
      <c r="D1005" s="27" t="inlineStr">
        <is>
          <t>dongjin_semichem</t>
        </is>
      </c>
      <c r="E1005" s="27" t="inlineStr">
        <is>
          <t>005290</t>
        </is>
      </c>
      <c r="F1005" s="27" t="inlineStr">
        <is>
          <t>2025</t>
        </is>
      </c>
      <c r="G1005" s="27" t="inlineStr">
        <is>
          <t>CFS</t>
        </is>
      </c>
      <c r="H1005" s="27" t="inlineStr">
        <is>
          <t>CF</t>
        </is>
      </c>
      <c r="I1005" s="27" t="inlineStr">
        <is>
          <t>현금흐름표</t>
        </is>
      </c>
      <c r="J1005" s="27" t="inlineStr">
        <is>
          <t>ifrs-full_InterestPaidClassifiedAsOperatingActivities</t>
        </is>
      </c>
      <c r="K1005" s="27" t="inlineStr">
        <is>
          <t>이자지급</t>
        </is>
      </c>
      <c r="L1005" s="27" t="inlineStr">
        <is>
          <t>-</t>
        </is>
      </c>
      <c r="M1005" s="27" t="inlineStr">
        <is>
          <t>제 53 기</t>
        </is>
      </c>
      <c r="N1005" s="27" t="inlineStr">
        <is>
          <t>22655209566.0</t>
        </is>
      </c>
      <c r="O1005" s="27" t="inlineStr">
        <is>
          <t>28168398344.0</t>
        </is>
      </c>
      <c r="P1005" s="27" t="inlineStr">
        <is>
          <t>KRW</t>
        </is>
      </c>
      <c r="Q1005" s="27" t="inlineStr">
        <is>
          <t>82</t>
        </is>
      </c>
    </row>
    <row r="1006" ht="24" customHeight="1">
      <c r="A1006" s="32" t="inlineStr">
        <is>
          <t>OpenDART_fnlttSinglAcntAll</t>
        </is>
      </c>
      <c r="B1006" s="32" t="inlineStr">
        <is>
          <t>00118804</t>
        </is>
      </c>
      <c r="C1006" s="32" t="inlineStr">
        <is>
          <t>동진쎄미켐</t>
        </is>
      </c>
      <c r="D1006" s="32" t="inlineStr">
        <is>
          <t>dongjin_semichem</t>
        </is>
      </c>
      <c r="E1006" s="32" t="inlineStr">
        <is>
          <t>005290</t>
        </is>
      </c>
      <c r="F1006" s="32" t="inlineStr">
        <is>
          <t>2025</t>
        </is>
      </c>
      <c r="G1006" s="32" t="inlineStr">
        <is>
          <t>CFS</t>
        </is>
      </c>
      <c r="H1006" s="32" t="inlineStr">
        <is>
          <t>CF</t>
        </is>
      </c>
      <c r="I1006" s="32" t="inlineStr">
        <is>
          <t>현금흐름표</t>
        </is>
      </c>
      <c r="J1006" s="32" t="inlineStr">
        <is>
          <t>ifrs-full_InterestReceivedClassifiedAsOperatingActivities</t>
        </is>
      </c>
      <c r="K1006" s="32" t="inlineStr">
        <is>
          <t>이자수취</t>
        </is>
      </c>
      <c r="L1006" s="32" t="inlineStr">
        <is>
          <t>-</t>
        </is>
      </c>
      <c r="M1006" s="32" t="inlineStr">
        <is>
          <t>제 53 기</t>
        </is>
      </c>
      <c r="N1006" s="32" t="inlineStr">
        <is>
          <t>16909512944.0</t>
        </is>
      </c>
      <c r="O1006" s="32" t="inlineStr">
        <is>
          <t>11177379606.0</t>
        </is>
      </c>
      <c r="P1006" s="32" t="inlineStr">
        <is>
          <t>KRW</t>
        </is>
      </c>
      <c r="Q1006" s="32" t="inlineStr">
        <is>
          <t>83</t>
        </is>
      </c>
    </row>
    <row r="1007" ht="24" customHeight="1">
      <c r="A1007" s="27" t="inlineStr">
        <is>
          <t>OpenDART_fnlttSinglAcntAll</t>
        </is>
      </c>
      <c r="B1007" s="27" t="inlineStr">
        <is>
          <t>00118804</t>
        </is>
      </c>
      <c r="C1007" s="27" t="inlineStr">
        <is>
          <t>동진쎄미켐</t>
        </is>
      </c>
      <c r="D1007" s="27" t="inlineStr">
        <is>
          <t>dongjin_semichem</t>
        </is>
      </c>
      <c r="E1007" s="27" t="inlineStr">
        <is>
          <t>005290</t>
        </is>
      </c>
      <c r="F1007" s="27" t="inlineStr">
        <is>
          <t>2025</t>
        </is>
      </c>
      <c r="G1007" s="27" t="inlineStr">
        <is>
          <t>CFS</t>
        </is>
      </c>
      <c r="H1007" s="27" t="inlineStr">
        <is>
          <t>CF</t>
        </is>
      </c>
      <c r="I1007" s="27" t="inlineStr">
        <is>
          <t>현금흐름표</t>
        </is>
      </c>
      <c r="J1007" s="27" t="inlineStr">
        <is>
          <t>ifrs-full_EffectOfExchangeRateChangesOnCashAndCashEquivalents</t>
        </is>
      </c>
      <c r="K1007" s="27" t="inlineStr">
        <is>
          <t>외화표시 현금및현금성자산 등의 환율변동효과</t>
        </is>
      </c>
      <c r="L1007" s="27" t="inlineStr">
        <is>
          <t>-</t>
        </is>
      </c>
      <c r="M1007" s="27" t="inlineStr">
        <is>
          <t>제 53 기</t>
        </is>
      </c>
      <c r="N1007" s="27" t="inlineStr">
        <is>
          <t>-1891445227.0</t>
        </is>
      </c>
      <c r="O1007" s="27" t="inlineStr">
        <is>
          <t>35401094935.0</t>
        </is>
      </c>
      <c r="P1007" s="27" t="inlineStr">
        <is>
          <t>KRW</t>
        </is>
      </c>
      <c r="Q1007" s="27" t="inlineStr">
        <is>
          <t>84</t>
        </is>
      </c>
    </row>
    <row r="1008" ht="24" customHeight="1">
      <c r="A1008" s="32" t="inlineStr">
        <is>
          <t>OpenDART_fnlttSinglAcntAll</t>
        </is>
      </c>
      <c r="B1008" s="32" t="inlineStr">
        <is>
          <t>00118804</t>
        </is>
      </c>
      <c r="C1008" s="32" t="inlineStr">
        <is>
          <t>동진쎄미켐</t>
        </is>
      </c>
      <c r="D1008" s="32" t="inlineStr">
        <is>
          <t>dongjin_semichem</t>
        </is>
      </c>
      <c r="E1008" s="32" t="inlineStr">
        <is>
          <t>005290</t>
        </is>
      </c>
      <c r="F1008" s="32" t="inlineStr">
        <is>
          <t>2025</t>
        </is>
      </c>
      <c r="G1008" s="32" t="inlineStr">
        <is>
          <t>CFS</t>
        </is>
      </c>
      <c r="H1008" s="32" t="inlineStr">
        <is>
          <t>CF</t>
        </is>
      </c>
      <c r="I1008" s="32" t="inlineStr">
        <is>
          <t>현금흐름표</t>
        </is>
      </c>
      <c r="J1008" s="32" t="inlineStr">
        <is>
          <t>ifrs-full_IncreaseDecreaseInCashAndCashEquivalents</t>
        </is>
      </c>
      <c r="K1008" s="32" t="inlineStr">
        <is>
          <t>현금및현금성자산의 순증가(감소)</t>
        </is>
      </c>
      <c r="L1008" s="32" t="inlineStr">
        <is>
          <t>-</t>
        </is>
      </c>
      <c r="M1008" s="32" t="inlineStr">
        <is>
          <t>제 53 기</t>
        </is>
      </c>
      <c r="N1008" s="32" t="inlineStr">
        <is>
          <t>55495211558.0</t>
        </is>
      </c>
      <c r="O1008" s="32" t="inlineStr">
        <is>
          <t>144826869614.0</t>
        </is>
      </c>
      <c r="P1008" s="32" t="inlineStr">
        <is>
          <t>KRW</t>
        </is>
      </c>
      <c r="Q1008" s="32" t="inlineStr">
        <is>
          <t>85</t>
        </is>
      </c>
    </row>
    <row r="1009" ht="24" customHeight="1">
      <c r="A1009" s="27" t="inlineStr">
        <is>
          <t>OpenDART_fnlttSinglAcntAll</t>
        </is>
      </c>
      <c r="B1009" s="27" t="inlineStr">
        <is>
          <t>00118804</t>
        </is>
      </c>
      <c r="C1009" s="27" t="inlineStr">
        <is>
          <t>동진쎄미켐</t>
        </is>
      </c>
      <c r="D1009" s="27" t="inlineStr">
        <is>
          <t>dongjin_semichem</t>
        </is>
      </c>
      <c r="E1009" s="27" t="inlineStr">
        <is>
          <t>005290</t>
        </is>
      </c>
      <c r="F1009" s="27" t="inlineStr">
        <is>
          <t>2025</t>
        </is>
      </c>
      <c r="G1009" s="27" t="inlineStr">
        <is>
          <t>CFS</t>
        </is>
      </c>
      <c r="H1009" s="27" t="inlineStr">
        <is>
          <t>SCE</t>
        </is>
      </c>
      <c r="I1009" s="27" t="inlineStr">
        <is>
          <t>자본변동표</t>
        </is>
      </c>
      <c r="J1009" s="27" t="inlineStr">
        <is>
          <t>dart_EquityAtBeginningOfPeriod</t>
        </is>
      </c>
      <c r="K1009" s="27" t="inlineStr">
        <is>
          <t>기초</t>
        </is>
      </c>
      <c r="L1009" s="27" t="inlineStr">
        <is>
          <t>자본 [구성요소]|지배기업의 소유주에게 귀속되는 지분 [구성요소]|자본금 [구성요소]</t>
        </is>
      </c>
      <c r="M1009" s="27" t="inlineStr">
        <is>
          <t>제 53 기</t>
        </is>
      </c>
      <c r="N1009" s="27" t="inlineStr">
        <is>
          <t>25707247000.0</t>
        </is>
      </c>
      <c r="O1009" s="27" t="inlineStr">
        <is>
          <t>25707247000.0</t>
        </is>
      </c>
      <c r="P1009" s="27" t="inlineStr">
        <is>
          <t>KRW</t>
        </is>
      </c>
      <c r="Q1009" s="27" t="inlineStr">
        <is>
          <t>3</t>
        </is>
      </c>
    </row>
    <row r="1010" ht="24" customHeight="1">
      <c r="A1010" s="32" t="inlineStr">
        <is>
          <t>OpenDART_fnlttSinglAcntAll</t>
        </is>
      </c>
      <c r="B1010" s="32" t="inlineStr">
        <is>
          <t>00118804</t>
        </is>
      </c>
      <c r="C1010" s="32" t="inlineStr">
        <is>
          <t>동진쎄미켐</t>
        </is>
      </c>
      <c r="D1010" s="32" t="inlineStr">
        <is>
          <t>dongjin_semichem</t>
        </is>
      </c>
      <c r="E1010" s="32" t="inlineStr">
        <is>
          <t>005290</t>
        </is>
      </c>
      <c r="F1010" s="32" t="inlineStr">
        <is>
          <t>2025</t>
        </is>
      </c>
      <c r="G1010" s="32" t="inlineStr">
        <is>
          <t>CFS</t>
        </is>
      </c>
      <c r="H1010" s="32" t="inlineStr">
        <is>
          <t>SCE</t>
        </is>
      </c>
      <c r="I1010" s="32" t="inlineStr">
        <is>
          <t>자본변동표</t>
        </is>
      </c>
      <c r="J1010" s="32" t="inlineStr">
        <is>
          <t>dart_EquityAtBeginningOfPeriod</t>
        </is>
      </c>
      <c r="K1010" s="32" t="inlineStr">
        <is>
          <t>기초</t>
        </is>
      </c>
      <c r="L1010" s="32" t="inlineStr">
        <is>
          <t>자본 [구성요소]|지배기업의 소유주에게 귀속되는 지분 [구성요소]|이익잉여금 [구성요소]</t>
        </is>
      </c>
      <c r="M1010" s="32" t="inlineStr">
        <is>
          <t>제 53 기</t>
        </is>
      </c>
      <c r="N1010" s="32" t="inlineStr">
        <is>
          <t>775554117471.0</t>
        </is>
      </c>
      <c r="O1010" s="32" t="inlineStr">
        <is>
          <t>628992461223.0</t>
        </is>
      </c>
      <c r="P1010" s="32" t="inlineStr">
        <is>
          <t>KRW</t>
        </is>
      </c>
      <c r="Q1010" s="32" t="inlineStr">
        <is>
          <t>3</t>
        </is>
      </c>
    </row>
    <row r="1011" ht="24" customHeight="1">
      <c r="A1011" s="27" t="inlineStr">
        <is>
          <t>OpenDART_fnlttSinglAcntAll</t>
        </is>
      </c>
      <c r="B1011" s="27" t="inlineStr">
        <is>
          <t>00118804</t>
        </is>
      </c>
      <c r="C1011" s="27" t="inlineStr">
        <is>
          <t>동진쎄미켐</t>
        </is>
      </c>
      <c r="D1011" s="27" t="inlineStr">
        <is>
          <t>dongjin_semichem</t>
        </is>
      </c>
      <c r="E1011" s="27" t="inlineStr">
        <is>
          <t>005290</t>
        </is>
      </c>
      <c r="F1011" s="27" t="inlineStr">
        <is>
          <t>2025</t>
        </is>
      </c>
      <c r="G1011" s="27" t="inlineStr">
        <is>
          <t>CFS</t>
        </is>
      </c>
      <c r="H1011" s="27" t="inlineStr">
        <is>
          <t>SCE</t>
        </is>
      </c>
      <c r="I1011" s="27" t="inlineStr">
        <is>
          <t>자본변동표</t>
        </is>
      </c>
      <c r="J1011" s="27" t="inlineStr">
        <is>
          <t>dart_EquityAtBeginningOfPeriod</t>
        </is>
      </c>
      <c r="K1011" s="27" t="inlineStr">
        <is>
          <t>기초</t>
        </is>
      </c>
      <c r="L1011" s="27" t="inlineStr">
        <is>
          <t>자본 [구성요소]|지배기업의 소유주에게 귀속되는 지분 [구성요소]|기타자본구성요소 [구성요소]</t>
        </is>
      </c>
      <c r="M1011" s="27" t="inlineStr">
        <is>
          <t>제 53 기</t>
        </is>
      </c>
      <c r="N1011" s="27" t="inlineStr">
        <is>
          <t>74207322839.0</t>
        </is>
      </c>
      <c r="O1011" s="27" t="inlineStr">
        <is>
          <t>28552227339.0</t>
        </is>
      </c>
      <c r="P1011" s="27" t="inlineStr">
        <is>
          <t>KRW</t>
        </is>
      </c>
      <c r="Q1011" s="27" t="inlineStr">
        <is>
          <t>3</t>
        </is>
      </c>
    </row>
    <row r="1012" ht="24" customHeight="1">
      <c r="A1012" s="32" t="inlineStr">
        <is>
          <t>OpenDART_fnlttSinglAcntAll</t>
        </is>
      </c>
      <c r="B1012" s="32" t="inlineStr">
        <is>
          <t>00118804</t>
        </is>
      </c>
      <c r="C1012" s="32" t="inlineStr">
        <is>
          <t>동진쎄미켐</t>
        </is>
      </c>
      <c r="D1012" s="32" t="inlineStr">
        <is>
          <t>dongjin_semichem</t>
        </is>
      </c>
      <c r="E1012" s="32" t="inlineStr">
        <is>
          <t>005290</t>
        </is>
      </c>
      <c r="F1012" s="32" t="inlineStr">
        <is>
          <t>2025</t>
        </is>
      </c>
      <c r="G1012" s="32" t="inlineStr">
        <is>
          <t>CFS</t>
        </is>
      </c>
      <c r="H1012" s="32" t="inlineStr">
        <is>
          <t>SCE</t>
        </is>
      </c>
      <c r="I1012" s="32" t="inlineStr">
        <is>
          <t>자본변동표</t>
        </is>
      </c>
      <c r="J1012" s="32" t="inlineStr">
        <is>
          <t>dart_EquityAtBeginningOfPeriod</t>
        </is>
      </c>
      <c r="K1012" s="32" t="inlineStr">
        <is>
          <t>기초</t>
        </is>
      </c>
      <c r="L1012" s="32" t="inlineStr">
        <is>
          <t>연결재무제표 [member]</t>
        </is>
      </c>
      <c r="M1012" s="32" t="inlineStr">
        <is>
          <t>제 53 기</t>
        </is>
      </c>
      <c r="N1012" s="32" t="inlineStr">
        <is>
          <t>1020430600571.0</t>
        </is>
      </c>
      <c r="O1012" s="32" t="inlineStr">
        <is>
          <t>835481646771.0</t>
        </is>
      </c>
      <c r="P1012" s="32" t="inlineStr">
        <is>
          <t>KRW</t>
        </is>
      </c>
      <c r="Q1012" s="32" t="inlineStr">
        <is>
          <t>3</t>
        </is>
      </c>
    </row>
    <row r="1013" ht="24" customHeight="1">
      <c r="A1013" s="27" t="inlineStr">
        <is>
          <t>OpenDART_fnlttSinglAcntAll</t>
        </is>
      </c>
      <c r="B1013" s="27" t="inlineStr">
        <is>
          <t>00118804</t>
        </is>
      </c>
      <c r="C1013" s="27" t="inlineStr">
        <is>
          <t>동진쎄미켐</t>
        </is>
      </c>
      <c r="D1013" s="27" t="inlineStr">
        <is>
          <t>dongjin_semichem</t>
        </is>
      </c>
      <c r="E1013" s="27" t="inlineStr">
        <is>
          <t>005290</t>
        </is>
      </c>
      <c r="F1013" s="27" t="inlineStr">
        <is>
          <t>2025</t>
        </is>
      </c>
      <c r="G1013" s="27" t="inlineStr">
        <is>
          <t>CFS</t>
        </is>
      </c>
      <c r="H1013" s="27" t="inlineStr">
        <is>
          <t>SCE</t>
        </is>
      </c>
      <c r="I1013" s="27" t="inlineStr">
        <is>
          <t>자본변동표</t>
        </is>
      </c>
      <c r="J1013" s="27" t="inlineStr">
        <is>
          <t>dart_EquityAtBeginningOfPeriod</t>
        </is>
      </c>
      <c r="K1013" s="27" t="inlineStr">
        <is>
          <t>기초</t>
        </is>
      </c>
      <c r="L1013" s="27" t="inlineStr">
        <is>
          <t>자본 [구성요소]|비지배지분 [구성요소]</t>
        </is>
      </c>
      <c r="M1013" s="27" t="inlineStr">
        <is>
          <t>제 53 기</t>
        </is>
      </c>
      <c r="N1013" s="27" t="inlineStr">
        <is>
          <t>22964632342.0</t>
        </is>
      </c>
      <c r="O1013" s="27" t="inlineStr">
        <is>
          <t>30429295556.0</t>
        </is>
      </c>
      <c r="P1013" s="27" t="inlineStr">
        <is>
          <t>KRW</t>
        </is>
      </c>
      <c r="Q1013" s="27" t="inlineStr">
        <is>
          <t>3</t>
        </is>
      </c>
    </row>
    <row r="1014" ht="24" customHeight="1">
      <c r="A1014" s="32" t="inlineStr">
        <is>
          <t>OpenDART_fnlttSinglAcntAll</t>
        </is>
      </c>
      <c r="B1014" s="32" t="inlineStr">
        <is>
          <t>00118804</t>
        </is>
      </c>
      <c r="C1014" s="32" t="inlineStr">
        <is>
          <t>동진쎄미켐</t>
        </is>
      </c>
      <c r="D1014" s="32" t="inlineStr">
        <is>
          <t>dongjin_semichem</t>
        </is>
      </c>
      <c r="E1014" s="32" t="inlineStr">
        <is>
          <t>005290</t>
        </is>
      </c>
      <c r="F1014" s="32" t="inlineStr">
        <is>
          <t>2025</t>
        </is>
      </c>
      <c r="G1014" s="32" t="inlineStr">
        <is>
          <t>CFS</t>
        </is>
      </c>
      <c r="H1014" s="32" t="inlineStr">
        <is>
          <t>SCE</t>
        </is>
      </c>
      <c r="I1014" s="32" t="inlineStr">
        <is>
          <t>자본변동표</t>
        </is>
      </c>
      <c r="J1014" s="32" t="inlineStr">
        <is>
          <t>dart_EquityAtBeginningOfPeriod</t>
        </is>
      </c>
      <c r="K1014" s="32" t="inlineStr">
        <is>
          <t>기초</t>
        </is>
      </c>
      <c r="L1014" s="32" t="inlineStr">
        <is>
          <t>자본 [구성요소]|지배기업의 소유주에게 귀속되는 지분 [구성요소]</t>
        </is>
      </c>
      <c r="M1014" s="32" t="inlineStr">
        <is>
          <t>제 53 기</t>
        </is>
      </c>
      <c r="N1014" s="32" t="inlineStr">
        <is>
          <t>997465968229.0</t>
        </is>
      </c>
      <c r="O1014" s="32" t="inlineStr">
        <is>
          <t>805052351215.0</t>
        </is>
      </c>
      <c r="P1014" s="32" t="inlineStr">
        <is>
          <t>KRW</t>
        </is>
      </c>
      <c r="Q1014" s="32" t="inlineStr">
        <is>
          <t>3</t>
        </is>
      </c>
    </row>
    <row r="1015" ht="24" customHeight="1">
      <c r="A1015" s="27" t="inlineStr">
        <is>
          <t>OpenDART_fnlttSinglAcntAll</t>
        </is>
      </c>
      <c r="B1015" s="27" t="inlineStr">
        <is>
          <t>00118804</t>
        </is>
      </c>
      <c r="C1015" s="27" t="inlineStr">
        <is>
          <t>동진쎄미켐</t>
        </is>
      </c>
      <c r="D1015" s="27" t="inlineStr">
        <is>
          <t>dongjin_semichem</t>
        </is>
      </c>
      <c r="E1015" s="27" t="inlineStr">
        <is>
          <t>005290</t>
        </is>
      </c>
      <c r="F1015" s="27" t="inlineStr">
        <is>
          <t>2025</t>
        </is>
      </c>
      <c r="G1015" s="27" t="inlineStr">
        <is>
          <t>CFS</t>
        </is>
      </c>
      <c r="H1015" s="27" t="inlineStr">
        <is>
          <t>SCE</t>
        </is>
      </c>
      <c r="I1015" s="27" t="inlineStr">
        <is>
          <t>자본변동표</t>
        </is>
      </c>
      <c r="J1015" s="27" t="inlineStr">
        <is>
          <t>dart_EquityAtBeginningOfPeriod</t>
        </is>
      </c>
      <c r="K1015" s="27" t="inlineStr">
        <is>
          <t>기초</t>
        </is>
      </c>
      <c r="L1015" s="27" t="inlineStr">
        <is>
          <t>자본 [구성요소]|지배기업의 소유주에게 귀속되는 지분 [구성요소]|추가납입자본 [구성요소]</t>
        </is>
      </c>
      <c r="M1015" s="27" t="inlineStr">
        <is>
          <t>제 53 기</t>
        </is>
      </c>
      <c r="N1015" s="27" t="inlineStr">
        <is>
          <t>121997280919.0</t>
        </is>
      </c>
      <c r="O1015" s="27" t="inlineStr">
        <is>
          <t>121800415653.0</t>
        </is>
      </c>
      <c r="P1015" s="27" t="inlineStr">
        <is>
          <t>KRW</t>
        </is>
      </c>
      <c r="Q1015" s="27" t="inlineStr">
        <is>
          <t>3</t>
        </is>
      </c>
    </row>
    <row r="1016" ht="24" customHeight="1">
      <c r="A1016" s="32" t="inlineStr">
        <is>
          <t>OpenDART_fnlttSinglAcntAll</t>
        </is>
      </c>
      <c r="B1016" s="32" t="inlineStr">
        <is>
          <t>00118804</t>
        </is>
      </c>
      <c r="C1016" s="32" t="inlineStr">
        <is>
          <t>동진쎄미켐</t>
        </is>
      </c>
      <c r="D1016" s="32" t="inlineStr">
        <is>
          <t>dongjin_semichem</t>
        </is>
      </c>
      <c r="E1016" s="32" t="inlineStr">
        <is>
          <t>005290</t>
        </is>
      </c>
      <c r="F1016" s="32" t="inlineStr">
        <is>
          <t>2025</t>
        </is>
      </c>
      <c r="G1016" s="32" t="inlineStr">
        <is>
          <t>CFS</t>
        </is>
      </c>
      <c r="H1016" s="32" t="inlineStr">
        <is>
          <t>SCE</t>
        </is>
      </c>
      <c r="I1016" s="32" t="inlineStr">
        <is>
          <t>자본변동표</t>
        </is>
      </c>
      <c r="J1016" s="32" t="inlineStr">
        <is>
          <t>dart_StockRedemption</t>
        </is>
      </c>
      <c r="K1016" s="32" t="inlineStr">
        <is>
          <t>유상감자</t>
        </is>
      </c>
      <c r="L1016" s="32" t="inlineStr">
        <is>
          <t>자본 [구성요소]|지배기업의 소유주에게 귀속되는 지분 [구성요소]|자본금 [구성요소]</t>
        </is>
      </c>
      <c r="M1016" s="32" t="inlineStr">
        <is>
          <t>제 53 기</t>
        </is>
      </c>
      <c r="N1016" s="32" t="inlineStr">
        <is>
          <t>0.0</t>
        </is>
      </c>
      <c r="O1016" s="32" t="inlineStr">
        <is>
          <t>0.0</t>
        </is>
      </c>
      <c r="P1016" s="32" t="inlineStr">
        <is>
          <t>KRW</t>
        </is>
      </c>
      <c r="Q1016" s="32" t="inlineStr">
        <is>
          <t>4</t>
        </is>
      </c>
    </row>
    <row r="1017" ht="24" customHeight="1">
      <c r="A1017" s="27" t="inlineStr">
        <is>
          <t>OpenDART_fnlttSinglAcntAll</t>
        </is>
      </c>
      <c r="B1017" s="27" t="inlineStr">
        <is>
          <t>00118804</t>
        </is>
      </c>
      <c r="C1017" s="27" t="inlineStr">
        <is>
          <t>동진쎄미켐</t>
        </is>
      </c>
      <c r="D1017" s="27" t="inlineStr">
        <is>
          <t>dongjin_semichem</t>
        </is>
      </c>
      <c r="E1017" s="27" t="inlineStr">
        <is>
          <t>005290</t>
        </is>
      </c>
      <c r="F1017" s="27" t="inlineStr">
        <is>
          <t>2025</t>
        </is>
      </c>
      <c r="G1017" s="27" t="inlineStr">
        <is>
          <t>CFS</t>
        </is>
      </c>
      <c r="H1017" s="27" t="inlineStr">
        <is>
          <t>SCE</t>
        </is>
      </c>
      <c r="I1017" s="27" t="inlineStr">
        <is>
          <t>자본변동표</t>
        </is>
      </c>
      <c r="J1017" s="27" t="inlineStr">
        <is>
          <t>dart_StockRedemption</t>
        </is>
      </c>
      <c r="K1017" s="27" t="inlineStr">
        <is>
          <t>유상감자</t>
        </is>
      </c>
      <c r="L1017" s="27" t="inlineStr">
        <is>
          <t>자본 [구성요소]|지배기업의 소유주에게 귀속되는 지분 [구성요소]|이익잉여금 [구성요소]</t>
        </is>
      </c>
      <c r="M1017" s="27" t="inlineStr">
        <is>
          <t>제 53 기</t>
        </is>
      </c>
      <c r="N1017" s="27" t="inlineStr">
        <is>
          <t>0.0</t>
        </is>
      </c>
      <c r="O1017" s="27" t="inlineStr">
        <is>
          <t>0.0</t>
        </is>
      </c>
      <c r="P1017" s="27" t="inlineStr">
        <is>
          <t>KRW</t>
        </is>
      </c>
      <c r="Q1017" s="27" t="inlineStr">
        <is>
          <t>4</t>
        </is>
      </c>
    </row>
    <row r="1018" ht="24" customHeight="1">
      <c r="A1018" s="32" t="inlineStr">
        <is>
          <t>OpenDART_fnlttSinglAcntAll</t>
        </is>
      </c>
      <c r="B1018" s="32" t="inlineStr">
        <is>
          <t>00118804</t>
        </is>
      </c>
      <c r="C1018" s="32" t="inlineStr">
        <is>
          <t>동진쎄미켐</t>
        </is>
      </c>
      <c r="D1018" s="32" t="inlineStr">
        <is>
          <t>dongjin_semichem</t>
        </is>
      </c>
      <c r="E1018" s="32" t="inlineStr">
        <is>
          <t>005290</t>
        </is>
      </c>
      <c r="F1018" s="32" t="inlineStr">
        <is>
          <t>2025</t>
        </is>
      </c>
      <c r="G1018" s="32" t="inlineStr">
        <is>
          <t>CFS</t>
        </is>
      </c>
      <c r="H1018" s="32" t="inlineStr">
        <is>
          <t>SCE</t>
        </is>
      </c>
      <c r="I1018" s="32" t="inlineStr">
        <is>
          <t>자본변동표</t>
        </is>
      </c>
      <c r="J1018" s="32" t="inlineStr">
        <is>
          <t>dart_StockRedemption</t>
        </is>
      </c>
      <c r="K1018" s="32" t="inlineStr">
        <is>
          <t>유상감자</t>
        </is>
      </c>
      <c r="L1018" s="32" t="inlineStr">
        <is>
          <t>자본 [구성요소]|지배기업의 소유주에게 귀속되는 지분 [구성요소]|기타자본구성요소 [구성요소]</t>
        </is>
      </c>
      <c r="M1018" s="32" t="inlineStr">
        <is>
          <t>제 53 기</t>
        </is>
      </c>
      <c r="N1018" s="32" t="inlineStr">
        <is>
          <t>0.0</t>
        </is>
      </c>
      <c r="O1018" s="32" t="inlineStr">
        <is>
          <t>0.0</t>
        </is>
      </c>
      <c r="P1018" s="32" t="inlineStr">
        <is>
          <t>KRW</t>
        </is>
      </c>
      <c r="Q1018" s="32" t="inlineStr">
        <is>
          <t>4</t>
        </is>
      </c>
    </row>
    <row r="1019" ht="24" customHeight="1">
      <c r="A1019" s="27" t="inlineStr">
        <is>
          <t>OpenDART_fnlttSinglAcntAll</t>
        </is>
      </c>
      <c r="B1019" s="27" t="inlineStr">
        <is>
          <t>00118804</t>
        </is>
      </c>
      <c r="C1019" s="27" t="inlineStr">
        <is>
          <t>동진쎄미켐</t>
        </is>
      </c>
      <c r="D1019" s="27" t="inlineStr">
        <is>
          <t>dongjin_semichem</t>
        </is>
      </c>
      <c r="E1019" s="27" t="inlineStr">
        <is>
          <t>005290</t>
        </is>
      </c>
      <c r="F1019" s="27" t="inlineStr">
        <is>
          <t>2025</t>
        </is>
      </c>
      <c r="G1019" s="27" t="inlineStr">
        <is>
          <t>CFS</t>
        </is>
      </c>
      <c r="H1019" s="27" t="inlineStr">
        <is>
          <t>SCE</t>
        </is>
      </c>
      <c r="I1019" s="27" t="inlineStr">
        <is>
          <t>자본변동표</t>
        </is>
      </c>
      <c r="J1019" s="27" t="inlineStr">
        <is>
          <t>dart_StockRedemption</t>
        </is>
      </c>
      <c r="K1019" s="27" t="inlineStr">
        <is>
          <t>유상감자</t>
        </is>
      </c>
      <c r="L1019" s="27" t="inlineStr">
        <is>
          <t>자본 [구성요소]|지배기업의 소유주에게 귀속되는 지분 [구성요소]</t>
        </is>
      </c>
      <c r="M1019" s="27" t="inlineStr">
        <is>
          <t>제 53 기</t>
        </is>
      </c>
      <c r="N1019" s="27" t="inlineStr">
        <is>
          <t>0.0</t>
        </is>
      </c>
      <c r="O1019" s="27" t="inlineStr">
        <is>
          <t>0.0</t>
        </is>
      </c>
      <c r="P1019" s="27" t="inlineStr">
        <is>
          <t>KRW</t>
        </is>
      </c>
      <c r="Q1019" s="27" t="inlineStr">
        <is>
          <t>4</t>
        </is>
      </c>
    </row>
    <row r="1020" ht="24" customHeight="1">
      <c r="A1020" s="32" t="inlineStr">
        <is>
          <t>OpenDART_fnlttSinglAcntAll</t>
        </is>
      </c>
      <c r="B1020" s="32" t="inlineStr">
        <is>
          <t>00118804</t>
        </is>
      </c>
      <c r="C1020" s="32" t="inlineStr">
        <is>
          <t>동진쎄미켐</t>
        </is>
      </c>
      <c r="D1020" s="32" t="inlineStr">
        <is>
          <t>dongjin_semichem</t>
        </is>
      </c>
      <c r="E1020" s="32" t="inlineStr">
        <is>
          <t>005290</t>
        </is>
      </c>
      <c r="F1020" s="32" t="inlineStr">
        <is>
          <t>2025</t>
        </is>
      </c>
      <c r="G1020" s="32" t="inlineStr">
        <is>
          <t>CFS</t>
        </is>
      </c>
      <c r="H1020" s="32" t="inlineStr">
        <is>
          <t>SCE</t>
        </is>
      </c>
      <c r="I1020" s="32" t="inlineStr">
        <is>
          <t>자본변동표</t>
        </is>
      </c>
      <c r="J1020" s="32" t="inlineStr">
        <is>
          <t>dart_StockRedemption</t>
        </is>
      </c>
      <c r="K1020" s="32" t="inlineStr">
        <is>
          <t>유상감자</t>
        </is>
      </c>
      <c r="L1020" s="32" t="inlineStr">
        <is>
          <t>자본 [구성요소]|비지배지분 [구성요소]</t>
        </is>
      </c>
      <c r="M1020" s="32" t="inlineStr">
        <is>
          <t>제 53 기</t>
        </is>
      </c>
      <c r="N1020" s="32" t="inlineStr">
        <is>
          <t>14562.0</t>
        </is>
      </c>
      <c r="O1020" s="32" t="inlineStr">
        <is>
          <t>0.0</t>
        </is>
      </c>
      <c r="P1020" s="32" t="inlineStr">
        <is>
          <t>KRW</t>
        </is>
      </c>
      <c r="Q1020" s="32" t="inlineStr">
        <is>
          <t>4</t>
        </is>
      </c>
    </row>
    <row r="1021" ht="24" customHeight="1">
      <c r="A1021" s="27" t="inlineStr">
        <is>
          <t>OpenDART_fnlttSinglAcntAll</t>
        </is>
      </c>
      <c r="B1021" s="27" t="inlineStr">
        <is>
          <t>00118804</t>
        </is>
      </c>
      <c r="C1021" s="27" t="inlineStr">
        <is>
          <t>동진쎄미켐</t>
        </is>
      </c>
      <c r="D1021" s="27" t="inlineStr">
        <is>
          <t>dongjin_semichem</t>
        </is>
      </c>
      <c r="E1021" s="27" t="inlineStr">
        <is>
          <t>005290</t>
        </is>
      </c>
      <c r="F1021" s="27" t="inlineStr">
        <is>
          <t>2025</t>
        </is>
      </c>
      <c r="G1021" s="27" t="inlineStr">
        <is>
          <t>CFS</t>
        </is>
      </c>
      <c r="H1021" s="27" t="inlineStr">
        <is>
          <t>SCE</t>
        </is>
      </c>
      <c r="I1021" s="27" t="inlineStr">
        <is>
          <t>자본변동표</t>
        </is>
      </c>
      <c r="J1021" s="27" t="inlineStr">
        <is>
          <t>dart_StockRedemption</t>
        </is>
      </c>
      <c r="K1021" s="27" t="inlineStr">
        <is>
          <t>유상감자</t>
        </is>
      </c>
      <c r="L1021" s="27" t="inlineStr">
        <is>
          <t>연결재무제표 [member]</t>
        </is>
      </c>
      <c r="M1021" s="27" t="inlineStr">
        <is>
          <t>제 53 기</t>
        </is>
      </c>
      <c r="N1021" s="27" t="inlineStr">
        <is>
          <t>14562.0</t>
        </is>
      </c>
      <c r="O1021" s="27" t="inlineStr">
        <is>
          <t>0.0</t>
        </is>
      </c>
      <c r="P1021" s="27" t="inlineStr">
        <is>
          <t>KRW</t>
        </is>
      </c>
      <c r="Q1021" s="27" t="inlineStr">
        <is>
          <t>4</t>
        </is>
      </c>
    </row>
    <row r="1022" ht="24" customHeight="1">
      <c r="A1022" s="32" t="inlineStr">
        <is>
          <t>OpenDART_fnlttSinglAcntAll</t>
        </is>
      </c>
      <c r="B1022" s="32" t="inlineStr">
        <is>
          <t>00118804</t>
        </is>
      </c>
      <c r="C1022" s="32" t="inlineStr">
        <is>
          <t>동진쎄미켐</t>
        </is>
      </c>
      <c r="D1022" s="32" t="inlineStr">
        <is>
          <t>dongjin_semichem</t>
        </is>
      </c>
      <c r="E1022" s="32" t="inlineStr">
        <is>
          <t>005290</t>
        </is>
      </c>
      <c r="F1022" s="32" t="inlineStr">
        <is>
          <t>2025</t>
        </is>
      </c>
      <c r="G1022" s="32" t="inlineStr">
        <is>
          <t>CFS</t>
        </is>
      </c>
      <c r="H1022" s="32" t="inlineStr">
        <is>
          <t>SCE</t>
        </is>
      </c>
      <c r="I1022" s="32" t="inlineStr">
        <is>
          <t>자본변동표</t>
        </is>
      </c>
      <c r="J1022" s="32" t="inlineStr">
        <is>
          <t>dart_StockRedemption</t>
        </is>
      </c>
      <c r="K1022" s="32" t="inlineStr">
        <is>
          <t>유상감자</t>
        </is>
      </c>
      <c r="L1022" s="32" t="inlineStr">
        <is>
          <t>자본 [구성요소]|지배기업의 소유주에게 귀속되는 지분 [구성요소]|추가납입자본 [구성요소]</t>
        </is>
      </c>
      <c r="M1022" s="32" t="inlineStr">
        <is>
          <t>제 53 기</t>
        </is>
      </c>
      <c r="N1022" s="32" t="inlineStr">
        <is>
          <t>0.0</t>
        </is>
      </c>
      <c r="O1022" s="32" t="inlineStr">
        <is>
          <t>0.0</t>
        </is>
      </c>
      <c r="P1022" s="32" t="inlineStr">
        <is>
          <t>KRW</t>
        </is>
      </c>
      <c r="Q1022" s="32" t="inlineStr">
        <is>
          <t>4</t>
        </is>
      </c>
    </row>
    <row r="1023" ht="24" customHeight="1">
      <c r="A1023" s="27" t="inlineStr">
        <is>
          <t>OpenDART_fnlttSinglAcntAll</t>
        </is>
      </c>
      <c r="B1023" s="27" t="inlineStr">
        <is>
          <t>00118804</t>
        </is>
      </c>
      <c r="C1023" s="27" t="inlineStr">
        <is>
          <t>동진쎄미켐</t>
        </is>
      </c>
      <c r="D1023" s="27" t="inlineStr">
        <is>
          <t>dongjin_semichem</t>
        </is>
      </c>
      <c r="E1023" s="27" t="inlineStr">
        <is>
          <t>005290</t>
        </is>
      </c>
      <c r="F1023" s="27" t="inlineStr">
        <is>
          <t>2025</t>
        </is>
      </c>
      <c r="G1023" s="27" t="inlineStr">
        <is>
          <t>CFS</t>
        </is>
      </c>
      <c r="H1023" s="27" t="inlineStr">
        <is>
          <t>SCE</t>
        </is>
      </c>
      <c r="I1023" s="27" t="inlineStr">
        <is>
          <t>자본변동표</t>
        </is>
      </c>
      <c r="J1023" s="27" t="inlineStr">
        <is>
          <t>dart_TreasuryShareTransactions</t>
        </is>
      </c>
      <c r="K1023" s="27" t="inlineStr">
        <is>
          <t>자기주식변동</t>
        </is>
      </c>
      <c r="L1023" s="27" t="inlineStr">
        <is>
          <t>연결재무제표 [member]</t>
        </is>
      </c>
      <c r="M1023" s="27" t="inlineStr">
        <is>
          <t>제 53 기</t>
        </is>
      </c>
      <c r="N1023" s="27" t="inlineStr">
        <is>
          <t>-1103281920.0</t>
        </is>
      </c>
      <c r="O1023" s="27" t="inlineStr">
        <is>
          <t>0.0</t>
        </is>
      </c>
      <c r="P1023" s="27" t="inlineStr">
        <is>
          <t>KRW</t>
        </is>
      </c>
      <c r="Q1023" s="27" t="inlineStr">
        <is>
          <t>5</t>
        </is>
      </c>
    </row>
    <row r="1024" ht="24" customHeight="1">
      <c r="A1024" s="32" t="inlineStr">
        <is>
          <t>OpenDART_fnlttSinglAcntAll</t>
        </is>
      </c>
      <c r="B1024" s="32" t="inlineStr">
        <is>
          <t>00118804</t>
        </is>
      </c>
      <c r="C1024" s="32" t="inlineStr">
        <is>
          <t>동진쎄미켐</t>
        </is>
      </c>
      <c r="D1024" s="32" t="inlineStr">
        <is>
          <t>dongjin_semichem</t>
        </is>
      </c>
      <c r="E1024" s="32" t="inlineStr">
        <is>
          <t>005290</t>
        </is>
      </c>
      <c r="F1024" s="32" t="inlineStr">
        <is>
          <t>2025</t>
        </is>
      </c>
      <c r="G1024" s="32" t="inlineStr">
        <is>
          <t>CFS</t>
        </is>
      </c>
      <c r="H1024" s="32" t="inlineStr">
        <is>
          <t>SCE</t>
        </is>
      </c>
      <c r="I1024" s="32" t="inlineStr">
        <is>
          <t>자본변동표</t>
        </is>
      </c>
      <c r="J1024" s="32" t="inlineStr">
        <is>
          <t>dart_TreasuryShareTransactions</t>
        </is>
      </c>
      <c r="K1024" s="32" t="inlineStr">
        <is>
          <t>자기주식변동</t>
        </is>
      </c>
      <c r="L1024" s="32" t="inlineStr">
        <is>
          <t>자본 [구성요소]|비지배지분 [구성요소]</t>
        </is>
      </c>
      <c r="M1024" s="32" t="inlineStr">
        <is>
          <t>제 53 기</t>
        </is>
      </c>
      <c r="N1024" s="32" t="inlineStr">
        <is>
          <t>0.0</t>
        </is>
      </c>
      <c r="O1024" s="32" t="inlineStr">
        <is>
          <t>0.0</t>
        </is>
      </c>
      <c r="P1024" s="32" t="inlineStr">
        <is>
          <t>KRW</t>
        </is>
      </c>
      <c r="Q1024" s="32" t="inlineStr">
        <is>
          <t>5</t>
        </is>
      </c>
    </row>
    <row r="1025" ht="24" customHeight="1">
      <c r="A1025" s="27" t="inlineStr">
        <is>
          <t>OpenDART_fnlttSinglAcntAll</t>
        </is>
      </c>
      <c r="B1025" s="27" t="inlineStr">
        <is>
          <t>00118804</t>
        </is>
      </c>
      <c r="C1025" s="27" t="inlineStr">
        <is>
          <t>동진쎄미켐</t>
        </is>
      </c>
      <c r="D1025" s="27" t="inlineStr">
        <is>
          <t>dongjin_semichem</t>
        </is>
      </c>
      <c r="E1025" s="27" t="inlineStr">
        <is>
          <t>005290</t>
        </is>
      </c>
      <c r="F1025" s="27" t="inlineStr">
        <is>
          <t>2025</t>
        </is>
      </c>
      <c r="G1025" s="27" t="inlineStr">
        <is>
          <t>CFS</t>
        </is>
      </c>
      <c r="H1025" s="27" t="inlineStr">
        <is>
          <t>SCE</t>
        </is>
      </c>
      <c r="I1025" s="27" t="inlineStr">
        <is>
          <t>자본변동표</t>
        </is>
      </c>
      <c r="J1025" s="27" t="inlineStr">
        <is>
          <t>dart_TreasuryShareTransactions</t>
        </is>
      </c>
      <c r="K1025" s="27" t="inlineStr">
        <is>
          <t>자기주식변동</t>
        </is>
      </c>
      <c r="L1025" s="27" t="inlineStr">
        <is>
          <t>자본 [구성요소]|지배기업의 소유주에게 귀속되는 지분 [구성요소]</t>
        </is>
      </c>
      <c r="M1025" s="27" t="inlineStr">
        <is>
          <t>제 53 기</t>
        </is>
      </c>
      <c r="N1025" s="27" t="inlineStr">
        <is>
          <t>-1103281920.0</t>
        </is>
      </c>
      <c r="O1025" s="27" t="inlineStr">
        <is>
          <t>0.0</t>
        </is>
      </c>
      <c r="P1025" s="27" t="inlineStr">
        <is>
          <t>KRW</t>
        </is>
      </c>
      <c r="Q1025" s="27" t="inlineStr">
        <is>
          <t>5</t>
        </is>
      </c>
    </row>
    <row r="1026" ht="24" customHeight="1">
      <c r="A1026" s="32" t="inlineStr">
        <is>
          <t>OpenDART_fnlttSinglAcntAll</t>
        </is>
      </c>
      <c r="B1026" s="32" t="inlineStr">
        <is>
          <t>00118804</t>
        </is>
      </c>
      <c r="C1026" s="32" t="inlineStr">
        <is>
          <t>동진쎄미켐</t>
        </is>
      </c>
      <c r="D1026" s="32" t="inlineStr">
        <is>
          <t>dongjin_semichem</t>
        </is>
      </c>
      <c r="E1026" s="32" t="inlineStr">
        <is>
          <t>005290</t>
        </is>
      </c>
      <c r="F1026" s="32" t="inlineStr">
        <is>
          <t>2025</t>
        </is>
      </c>
      <c r="G1026" s="32" t="inlineStr">
        <is>
          <t>CFS</t>
        </is>
      </c>
      <c r="H1026" s="32" t="inlineStr">
        <is>
          <t>SCE</t>
        </is>
      </c>
      <c r="I1026" s="32" t="inlineStr">
        <is>
          <t>자본변동표</t>
        </is>
      </c>
      <c r="J1026" s="32" t="inlineStr">
        <is>
          <t>dart_TreasuryShareTransactions</t>
        </is>
      </c>
      <c r="K1026" s="32" t="inlineStr">
        <is>
          <t>자기주식변동</t>
        </is>
      </c>
      <c r="L1026" s="32" t="inlineStr">
        <is>
          <t>자본 [구성요소]|지배기업의 소유주에게 귀속되는 지분 [구성요소]|기타자본구성요소 [구성요소]</t>
        </is>
      </c>
      <c r="M1026" s="32" t="inlineStr">
        <is>
          <t>제 53 기</t>
        </is>
      </c>
      <c r="N1026" s="32" t="inlineStr">
        <is>
          <t>0.0</t>
        </is>
      </c>
      <c r="O1026" s="32" t="inlineStr">
        <is>
          <t>0.0</t>
        </is>
      </c>
      <c r="P1026" s="32" t="inlineStr">
        <is>
          <t>KRW</t>
        </is>
      </c>
      <c r="Q1026" s="32" t="inlineStr">
        <is>
          <t>5</t>
        </is>
      </c>
    </row>
    <row r="1027" ht="24" customHeight="1">
      <c r="A1027" s="27" t="inlineStr">
        <is>
          <t>OpenDART_fnlttSinglAcntAll</t>
        </is>
      </c>
      <c r="B1027" s="27" t="inlineStr">
        <is>
          <t>00118804</t>
        </is>
      </c>
      <c r="C1027" s="27" t="inlineStr">
        <is>
          <t>동진쎄미켐</t>
        </is>
      </c>
      <c r="D1027" s="27" t="inlineStr">
        <is>
          <t>dongjin_semichem</t>
        </is>
      </c>
      <c r="E1027" s="27" t="inlineStr">
        <is>
          <t>005290</t>
        </is>
      </c>
      <c r="F1027" s="27" t="inlineStr">
        <is>
          <t>2025</t>
        </is>
      </c>
      <c r="G1027" s="27" t="inlineStr">
        <is>
          <t>CFS</t>
        </is>
      </c>
      <c r="H1027" s="27" t="inlineStr">
        <is>
          <t>SCE</t>
        </is>
      </c>
      <c r="I1027" s="27" t="inlineStr">
        <is>
          <t>자본변동표</t>
        </is>
      </c>
      <c r="J1027" s="27" t="inlineStr">
        <is>
          <t>dart_TreasuryShareTransactions</t>
        </is>
      </c>
      <c r="K1027" s="27" t="inlineStr">
        <is>
          <t>자기주식변동</t>
        </is>
      </c>
      <c r="L1027" s="27" t="inlineStr">
        <is>
          <t>자본 [구성요소]|지배기업의 소유주에게 귀속되는 지분 [구성요소]|이익잉여금 [구성요소]</t>
        </is>
      </c>
      <c r="M1027" s="27" t="inlineStr">
        <is>
          <t>제 53 기</t>
        </is>
      </c>
      <c r="N1027" s="27" t="inlineStr">
        <is>
          <t>0.0</t>
        </is>
      </c>
      <c r="O1027" s="27" t="inlineStr">
        <is>
          <t>0.0</t>
        </is>
      </c>
      <c r="P1027" s="27" t="inlineStr">
        <is>
          <t>KRW</t>
        </is>
      </c>
      <c r="Q1027" s="27" t="inlineStr">
        <is>
          <t>5</t>
        </is>
      </c>
    </row>
    <row r="1028" ht="24" customHeight="1">
      <c r="A1028" s="32" t="inlineStr">
        <is>
          <t>OpenDART_fnlttSinglAcntAll</t>
        </is>
      </c>
      <c r="B1028" s="32" t="inlineStr">
        <is>
          <t>00118804</t>
        </is>
      </c>
      <c r="C1028" s="32" t="inlineStr">
        <is>
          <t>동진쎄미켐</t>
        </is>
      </c>
      <c r="D1028" s="32" t="inlineStr">
        <is>
          <t>dongjin_semichem</t>
        </is>
      </c>
      <c r="E1028" s="32" t="inlineStr">
        <is>
          <t>005290</t>
        </is>
      </c>
      <c r="F1028" s="32" t="inlineStr">
        <is>
          <t>2025</t>
        </is>
      </c>
      <c r="G1028" s="32" t="inlineStr">
        <is>
          <t>CFS</t>
        </is>
      </c>
      <c r="H1028" s="32" t="inlineStr">
        <is>
          <t>SCE</t>
        </is>
      </c>
      <c r="I1028" s="32" t="inlineStr">
        <is>
          <t>자본변동표</t>
        </is>
      </c>
      <c r="J1028" s="32" t="inlineStr">
        <is>
          <t>dart_TreasuryShareTransactions</t>
        </is>
      </c>
      <c r="K1028" s="32" t="inlineStr">
        <is>
          <t>자기주식변동</t>
        </is>
      </c>
      <c r="L1028" s="32" t="inlineStr">
        <is>
          <t>자본 [구성요소]|지배기업의 소유주에게 귀속되는 지분 [구성요소]|자본금 [구성요소]</t>
        </is>
      </c>
      <c r="M1028" s="32" t="inlineStr">
        <is>
          <t>제 53 기</t>
        </is>
      </c>
      <c r="N1028" s="32" t="inlineStr">
        <is>
          <t>0.0</t>
        </is>
      </c>
      <c r="O1028" s="32" t="inlineStr">
        <is>
          <t>0.0</t>
        </is>
      </c>
      <c r="P1028" s="32" t="inlineStr">
        <is>
          <t>KRW</t>
        </is>
      </c>
      <c r="Q1028" s="32" t="inlineStr">
        <is>
          <t>5</t>
        </is>
      </c>
    </row>
    <row r="1029" ht="24" customHeight="1">
      <c r="A1029" s="27" t="inlineStr">
        <is>
          <t>OpenDART_fnlttSinglAcntAll</t>
        </is>
      </c>
      <c r="B1029" s="27" t="inlineStr">
        <is>
          <t>00118804</t>
        </is>
      </c>
      <c r="C1029" s="27" t="inlineStr">
        <is>
          <t>동진쎄미켐</t>
        </is>
      </c>
      <c r="D1029" s="27" t="inlineStr">
        <is>
          <t>dongjin_semichem</t>
        </is>
      </c>
      <c r="E1029" s="27" t="inlineStr">
        <is>
          <t>005290</t>
        </is>
      </c>
      <c r="F1029" s="27" t="inlineStr">
        <is>
          <t>2025</t>
        </is>
      </c>
      <c r="G1029" s="27" t="inlineStr">
        <is>
          <t>CFS</t>
        </is>
      </c>
      <c r="H1029" s="27" t="inlineStr">
        <is>
          <t>SCE</t>
        </is>
      </c>
      <c r="I1029" s="27" t="inlineStr">
        <is>
          <t>자본변동표</t>
        </is>
      </c>
      <c r="J1029" s="27" t="inlineStr">
        <is>
          <t>dart_TreasuryShareTransactions</t>
        </is>
      </c>
      <c r="K1029" s="27" t="inlineStr">
        <is>
          <t>자기주식변동</t>
        </is>
      </c>
      <c r="L1029" s="27" t="inlineStr">
        <is>
          <t>자본 [구성요소]|지배기업의 소유주에게 귀속되는 지분 [구성요소]|추가납입자본 [구성요소]</t>
        </is>
      </c>
      <c r="M1029" s="27" t="inlineStr">
        <is>
          <t>제 53 기</t>
        </is>
      </c>
      <c r="N1029" s="27" t="inlineStr">
        <is>
          <t>-1103281920.0</t>
        </is>
      </c>
      <c r="O1029" s="27" t="inlineStr">
        <is>
          <t>0.0</t>
        </is>
      </c>
      <c r="P1029" s="27" t="inlineStr">
        <is>
          <t>KRW</t>
        </is>
      </c>
      <c r="Q1029" s="27" t="inlineStr">
        <is>
          <t>5</t>
        </is>
      </c>
    </row>
    <row r="1030" ht="24" customHeight="1">
      <c r="A1030" s="32" t="inlineStr">
        <is>
          <t>OpenDART_fnlttSinglAcntAll</t>
        </is>
      </c>
      <c r="B1030" s="32" t="inlineStr">
        <is>
          <t>00118804</t>
        </is>
      </c>
      <c r="C1030" s="32" t="inlineStr">
        <is>
          <t>동진쎄미켐</t>
        </is>
      </c>
      <c r="D1030" s="32" t="inlineStr">
        <is>
          <t>dongjin_semichem</t>
        </is>
      </c>
      <c r="E1030" s="32" t="inlineStr">
        <is>
          <t>005290</t>
        </is>
      </c>
      <c r="F1030" s="32" t="inlineStr">
        <is>
          <t>2025</t>
        </is>
      </c>
      <c r="G1030" s="32" t="inlineStr">
        <is>
          <t>CFS</t>
        </is>
      </c>
      <c r="H1030" s="32" t="inlineStr">
        <is>
          <t>SCE</t>
        </is>
      </c>
      <c r="I1030" s="32" t="inlineStr">
        <is>
          <t>자본변동표</t>
        </is>
      </c>
      <c r="J1030" s="32" t="inlineStr">
        <is>
          <t>ifrs-full_DividendsPaid</t>
        </is>
      </c>
      <c r="K1030" s="32" t="inlineStr">
        <is>
          <t>배당</t>
        </is>
      </c>
      <c r="L1030" s="32" t="inlineStr">
        <is>
          <t>연결재무제표 [member]</t>
        </is>
      </c>
      <c r="M1030" s="32" t="inlineStr">
        <is>
          <t>제 53 기</t>
        </is>
      </c>
      <c r="N1030" s="32" t="inlineStr">
        <is>
          <t>10357140906.0</t>
        </is>
      </c>
      <c r="O1030" s="32" t="inlineStr">
        <is>
          <t>6236955469.0</t>
        </is>
      </c>
      <c r="P1030" s="32" t="inlineStr">
        <is>
          <t>KRW</t>
        </is>
      </c>
      <c r="Q1030" s="32" t="inlineStr">
        <is>
          <t>6</t>
        </is>
      </c>
    </row>
    <row r="1031" ht="24" customHeight="1">
      <c r="A1031" s="27" t="inlineStr">
        <is>
          <t>OpenDART_fnlttSinglAcntAll</t>
        </is>
      </c>
      <c r="B1031" s="27" t="inlineStr">
        <is>
          <t>00118804</t>
        </is>
      </c>
      <c r="C1031" s="27" t="inlineStr">
        <is>
          <t>동진쎄미켐</t>
        </is>
      </c>
      <c r="D1031" s="27" t="inlineStr">
        <is>
          <t>dongjin_semichem</t>
        </is>
      </c>
      <c r="E1031" s="27" t="inlineStr">
        <is>
          <t>005290</t>
        </is>
      </c>
      <c r="F1031" s="27" t="inlineStr">
        <is>
          <t>2025</t>
        </is>
      </c>
      <c r="G1031" s="27" t="inlineStr">
        <is>
          <t>CFS</t>
        </is>
      </c>
      <c r="H1031" s="27" t="inlineStr">
        <is>
          <t>SCE</t>
        </is>
      </c>
      <c r="I1031" s="27" t="inlineStr">
        <is>
          <t>자본변동표</t>
        </is>
      </c>
      <c r="J1031" s="27" t="inlineStr">
        <is>
          <t>ifrs-full_DividendsPaid</t>
        </is>
      </c>
      <c r="K1031" s="27" t="inlineStr">
        <is>
          <t>배당</t>
        </is>
      </c>
      <c r="L1031" s="27" t="inlineStr">
        <is>
          <t>자본 [구성요소]|비지배지분 [구성요소]</t>
        </is>
      </c>
      <c r="M1031" s="27" t="inlineStr">
        <is>
          <t>제 53 기</t>
        </is>
      </c>
      <c r="N1031" s="27" t="inlineStr">
        <is>
          <t>74242106.0</t>
        </is>
      </c>
      <c r="O1031" s="27" t="inlineStr">
        <is>
          <t>67216189.0</t>
        </is>
      </c>
      <c r="P1031" s="27" t="inlineStr">
        <is>
          <t>KRW</t>
        </is>
      </c>
      <c r="Q1031" s="27" t="inlineStr">
        <is>
          <t>6</t>
        </is>
      </c>
    </row>
    <row r="1032" ht="24" customHeight="1">
      <c r="A1032" s="32" t="inlineStr">
        <is>
          <t>OpenDART_fnlttSinglAcntAll</t>
        </is>
      </c>
      <c r="B1032" s="32" t="inlineStr">
        <is>
          <t>00118804</t>
        </is>
      </c>
      <c r="C1032" s="32" t="inlineStr">
        <is>
          <t>동진쎄미켐</t>
        </is>
      </c>
      <c r="D1032" s="32" t="inlineStr">
        <is>
          <t>dongjin_semichem</t>
        </is>
      </c>
      <c r="E1032" s="32" t="inlineStr">
        <is>
          <t>005290</t>
        </is>
      </c>
      <c r="F1032" s="32" t="inlineStr">
        <is>
          <t>2025</t>
        </is>
      </c>
      <c r="G1032" s="32" t="inlineStr">
        <is>
          <t>CFS</t>
        </is>
      </c>
      <c r="H1032" s="32" t="inlineStr">
        <is>
          <t>SCE</t>
        </is>
      </c>
      <c r="I1032" s="32" t="inlineStr">
        <is>
          <t>자본변동표</t>
        </is>
      </c>
      <c r="J1032" s="32" t="inlineStr">
        <is>
          <t>ifrs-full_DividendsPaid</t>
        </is>
      </c>
      <c r="K1032" s="32" t="inlineStr">
        <is>
          <t>배당</t>
        </is>
      </c>
      <c r="L1032" s="32" t="inlineStr">
        <is>
          <t>자본 [구성요소]|지배기업의 소유주에게 귀속되는 지분 [구성요소]</t>
        </is>
      </c>
      <c r="M1032" s="32" t="inlineStr">
        <is>
          <t>제 53 기</t>
        </is>
      </c>
      <c r="N1032" s="32" t="inlineStr">
        <is>
          <t>10282898800.0</t>
        </is>
      </c>
      <c r="O1032" s="32" t="inlineStr">
        <is>
          <t>6169739280.0</t>
        </is>
      </c>
      <c r="P1032" s="32" t="inlineStr">
        <is>
          <t>KRW</t>
        </is>
      </c>
      <c r="Q1032" s="32" t="inlineStr">
        <is>
          <t>6</t>
        </is>
      </c>
    </row>
    <row r="1033" ht="24" customHeight="1">
      <c r="A1033" s="27" t="inlineStr">
        <is>
          <t>OpenDART_fnlttSinglAcntAll</t>
        </is>
      </c>
      <c r="B1033" s="27" t="inlineStr">
        <is>
          <t>00118804</t>
        </is>
      </c>
      <c r="C1033" s="27" t="inlineStr">
        <is>
          <t>동진쎄미켐</t>
        </is>
      </c>
      <c r="D1033" s="27" t="inlineStr">
        <is>
          <t>dongjin_semichem</t>
        </is>
      </c>
      <c r="E1033" s="27" t="inlineStr">
        <is>
          <t>005290</t>
        </is>
      </c>
      <c r="F1033" s="27" t="inlineStr">
        <is>
          <t>2025</t>
        </is>
      </c>
      <c r="G1033" s="27" t="inlineStr">
        <is>
          <t>CFS</t>
        </is>
      </c>
      <c r="H1033" s="27" t="inlineStr">
        <is>
          <t>SCE</t>
        </is>
      </c>
      <c r="I1033" s="27" t="inlineStr">
        <is>
          <t>자본변동표</t>
        </is>
      </c>
      <c r="J1033" s="27" t="inlineStr">
        <is>
          <t>ifrs-full_DividendsPaid</t>
        </is>
      </c>
      <c r="K1033" s="27" t="inlineStr">
        <is>
          <t>배당</t>
        </is>
      </c>
      <c r="L1033" s="27" t="inlineStr">
        <is>
          <t>자본 [구성요소]|지배기업의 소유주에게 귀속되는 지분 [구성요소]|기타자본구성요소 [구성요소]</t>
        </is>
      </c>
      <c r="M1033" s="27" t="inlineStr">
        <is>
          <t>제 53 기</t>
        </is>
      </c>
      <c r="N1033" s="27" t="inlineStr">
        <is>
          <t>0.0</t>
        </is>
      </c>
      <c r="O1033" s="27" t="inlineStr">
        <is>
          <t>0.0</t>
        </is>
      </c>
      <c r="P1033" s="27" t="inlineStr">
        <is>
          <t>KRW</t>
        </is>
      </c>
      <c r="Q1033" s="27" t="inlineStr">
        <is>
          <t>6</t>
        </is>
      </c>
    </row>
    <row r="1034" ht="24" customHeight="1">
      <c r="A1034" s="32" t="inlineStr">
        <is>
          <t>OpenDART_fnlttSinglAcntAll</t>
        </is>
      </c>
      <c r="B1034" s="32" t="inlineStr">
        <is>
          <t>00118804</t>
        </is>
      </c>
      <c r="C1034" s="32" t="inlineStr">
        <is>
          <t>동진쎄미켐</t>
        </is>
      </c>
      <c r="D1034" s="32" t="inlineStr">
        <is>
          <t>dongjin_semichem</t>
        </is>
      </c>
      <c r="E1034" s="32" t="inlineStr">
        <is>
          <t>005290</t>
        </is>
      </c>
      <c r="F1034" s="32" t="inlineStr">
        <is>
          <t>2025</t>
        </is>
      </c>
      <c r="G1034" s="32" t="inlineStr">
        <is>
          <t>CFS</t>
        </is>
      </c>
      <c r="H1034" s="32" t="inlineStr">
        <is>
          <t>SCE</t>
        </is>
      </c>
      <c r="I1034" s="32" t="inlineStr">
        <is>
          <t>자본변동표</t>
        </is>
      </c>
      <c r="J1034" s="32" t="inlineStr">
        <is>
          <t>ifrs-full_DividendsPaid</t>
        </is>
      </c>
      <c r="K1034" s="32" t="inlineStr">
        <is>
          <t>배당</t>
        </is>
      </c>
      <c r="L1034" s="32" t="inlineStr">
        <is>
          <t>자본 [구성요소]|지배기업의 소유주에게 귀속되는 지분 [구성요소]|이익잉여금 [구성요소]</t>
        </is>
      </c>
      <c r="M1034" s="32" t="inlineStr">
        <is>
          <t>제 53 기</t>
        </is>
      </c>
      <c r="N1034" s="32" t="inlineStr">
        <is>
          <t>10282898800.0</t>
        </is>
      </c>
      <c r="O1034" s="32" t="inlineStr">
        <is>
          <t>6169739280.0</t>
        </is>
      </c>
      <c r="P1034" s="32" t="inlineStr">
        <is>
          <t>KRW</t>
        </is>
      </c>
      <c r="Q1034" s="32" t="inlineStr">
        <is>
          <t>6</t>
        </is>
      </c>
    </row>
    <row r="1035" ht="24" customHeight="1">
      <c r="A1035" s="27" t="inlineStr">
        <is>
          <t>OpenDART_fnlttSinglAcntAll</t>
        </is>
      </c>
      <c r="B1035" s="27" t="inlineStr">
        <is>
          <t>00118804</t>
        </is>
      </c>
      <c r="C1035" s="27" t="inlineStr">
        <is>
          <t>동진쎄미켐</t>
        </is>
      </c>
      <c r="D1035" s="27" t="inlineStr">
        <is>
          <t>dongjin_semichem</t>
        </is>
      </c>
      <c r="E1035" s="27" t="inlineStr">
        <is>
          <t>005290</t>
        </is>
      </c>
      <c r="F1035" s="27" t="inlineStr">
        <is>
          <t>2025</t>
        </is>
      </c>
      <c r="G1035" s="27" t="inlineStr">
        <is>
          <t>CFS</t>
        </is>
      </c>
      <c r="H1035" s="27" t="inlineStr">
        <is>
          <t>SCE</t>
        </is>
      </c>
      <c r="I1035" s="27" t="inlineStr">
        <is>
          <t>자본변동표</t>
        </is>
      </c>
      <c r="J1035" s="27" t="inlineStr">
        <is>
          <t>ifrs-full_DividendsPaid</t>
        </is>
      </c>
      <c r="K1035" s="27" t="inlineStr">
        <is>
          <t>배당</t>
        </is>
      </c>
      <c r="L1035" s="27" t="inlineStr">
        <is>
          <t>자본 [구성요소]|지배기업의 소유주에게 귀속되는 지분 [구성요소]|자본금 [구성요소]</t>
        </is>
      </c>
      <c r="M1035" s="27" t="inlineStr">
        <is>
          <t>제 53 기</t>
        </is>
      </c>
      <c r="N1035" s="27" t="inlineStr">
        <is>
          <t>0.0</t>
        </is>
      </c>
      <c r="O1035" s="27" t="inlineStr">
        <is>
          <t>0.0</t>
        </is>
      </c>
      <c r="P1035" s="27" t="inlineStr">
        <is>
          <t>KRW</t>
        </is>
      </c>
      <c r="Q1035" s="27" t="inlineStr">
        <is>
          <t>6</t>
        </is>
      </c>
    </row>
    <row r="1036" ht="24" customHeight="1">
      <c r="A1036" s="32" t="inlineStr">
        <is>
          <t>OpenDART_fnlttSinglAcntAll</t>
        </is>
      </c>
      <c r="B1036" s="32" t="inlineStr">
        <is>
          <t>00118804</t>
        </is>
      </c>
      <c r="C1036" s="32" t="inlineStr">
        <is>
          <t>동진쎄미켐</t>
        </is>
      </c>
      <c r="D1036" s="32" t="inlineStr">
        <is>
          <t>dongjin_semichem</t>
        </is>
      </c>
      <c r="E1036" s="32" t="inlineStr">
        <is>
          <t>005290</t>
        </is>
      </c>
      <c r="F1036" s="32" t="inlineStr">
        <is>
          <t>2025</t>
        </is>
      </c>
      <c r="G1036" s="32" t="inlineStr">
        <is>
          <t>CFS</t>
        </is>
      </c>
      <c r="H1036" s="32" t="inlineStr">
        <is>
          <t>SCE</t>
        </is>
      </c>
      <c r="I1036" s="32" t="inlineStr">
        <is>
          <t>자본변동표</t>
        </is>
      </c>
      <c r="J1036" s="32" t="inlineStr">
        <is>
          <t>ifrs-full_DividendsPaid</t>
        </is>
      </c>
      <c r="K1036" s="32" t="inlineStr">
        <is>
          <t>배당</t>
        </is>
      </c>
      <c r="L1036" s="32" t="inlineStr">
        <is>
          <t>자본 [구성요소]|지배기업의 소유주에게 귀속되는 지분 [구성요소]|추가납입자본 [구성요소]</t>
        </is>
      </c>
      <c r="M1036" s="32" t="inlineStr">
        <is>
          <t>제 53 기</t>
        </is>
      </c>
      <c r="N1036" s="32" t="inlineStr">
        <is>
          <t>0.0</t>
        </is>
      </c>
      <c r="O1036" s="32" t="inlineStr">
        <is>
          <t>0.0</t>
        </is>
      </c>
      <c r="P1036" s="32" t="inlineStr">
        <is>
          <t>KRW</t>
        </is>
      </c>
      <c r="Q1036" s="32" t="inlineStr">
        <is>
          <t>6</t>
        </is>
      </c>
    </row>
    <row r="1037" ht="24" customHeight="1">
      <c r="A1037" s="27" t="inlineStr">
        <is>
          <t>OpenDART_fnlttSinglAcntAll</t>
        </is>
      </c>
      <c r="B1037" s="27" t="inlineStr">
        <is>
          <t>00118804</t>
        </is>
      </c>
      <c r="C1037" s="27" t="inlineStr">
        <is>
          <t>동진쎄미켐</t>
        </is>
      </c>
      <c r="D1037" s="27" t="inlineStr">
        <is>
          <t>dongjin_semichem</t>
        </is>
      </c>
      <c r="E1037" s="27" t="inlineStr">
        <is>
          <t>005290</t>
        </is>
      </c>
      <c r="F1037" s="27" t="inlineStr">
        <is>
          <t>2025</t>
        </is>
      </c>
      <c r="G1037" s="27" t="inlineStr">
        <is>
          <t>CFS</t>
        </is>
      </c>
      <c r="H1037" s="27" t="inlineStr">
        <is>
          <t>SCE</t>
        </is>
      </c>
      <c r="I1037" s="27" t="inlineStr">
        <is>
          <t>자본변동표</t>
        </is>
      </c>
      <c r="J1037" s="27" t="inlineStr">
        <is>
          <t>ifrs-full_Equity</t>
        </is>
      </c>
      <c r="K1037" s="27" t="inlineStr">
        <is>
          <t>자본총계</t>
        </is>
      </c>
      <c r="L1037" s="27" t="inlineStr">
        <is>
          <t>자본 [구성요소]|지배기업의 소유주에게 귀속되는 지분 [구성요소]</t>
        </is>
      </c>
      <c r="M1037" s="27" t="inlineStr">
        <is>
          <t>제 53 기</t>
        </is>
      </c>
      <c r="N1037" s="27" t="inlineStr">
        <is>
          <t>1083840059798.0</t>
        </is>
      </c>
      <c r="O1037" s="27" t="inlineStr">
        <is>
          <t>997465968229.0</t>
        </is>
      </c>
      <c r="P1037" s="27" t="inlineStr">
        <is>
          <t>KRW</t>
        </is>
      </c>
      <c r="Q1037" s="27" t="inlineStr">
        <is>
          <t>7</t>
        </is>
      </c>
    </row>
    <row r="1038" ht="24" customHeight="1">
      <c r="A1038" s="32" t="inlineStr">
        <is>
          <t>OpenDART_fnlttSinglAcntAll</t>
        </is>
      </c>
      <c r="B1038" s="32" t="inlineStr">
        <is>
          <t>00118804</t>
        </is>
      </c>
      <c r="C1038" s="32" t="inlineStr">
        <is>
          <t>동진쎄미켐</t>
        </is>
      </c>
      <c r="D1038" s="32" t="inlineStr">
        <is>
          <t>dongjin_semichem</t>
        </is>
      </c>
      <c r="E1038" s="32" t="inlineStr">
        <is>
          <t>005290</t>
        </is>
      </c>
      <c r="F1038" s="32" t="inlineStr">
        <is>
          <t>2025</t>
        </is>
      </c>
      <c r="G1038" s="32" t="inlineStr">
        <is>
          <t>CFS</t>
        </is>
      </c>
      <c r="H1038" s="32" t="inlineStr">
        <is>
          <t>SCE</t>
        </is>
      </c>
      <c r="I1038" s="32" t="inlineStr">
        <is>
          <t>자본변동표</t>
        </is>
      </c>
      <c r="J1038" s="32" t="inlineStr">
        <is>
          <t>ifrs-full_Equity</t>
        </is>
      </c>
      <c r="K1038" s="32" t="inlineStr">
        <is>
          <t>자본총계</t>
        </is>
      </c>
      <c r="L1038" s="32" t="inlineStr">
        <is>
          <t>자본 [구성요소]|비지배지분 [구성요소]</t>
        </is>
      </c>
      <c r="M1038" s="32" t="inlineStr">
        <is>
          <t>제 53 기</t>
        </is>
      </c>
      <c r="N1038" s="32" t="inlineStr">
        <is>
          <t>17740472575.0</t>
        </is>
      </c>
      <c r="O1038" s="32" t="inlineStr">
        <is>
          <t>22964632342.0</t>
        </is>
      </c>
      <c r="P1038" s="32" t="inlineStr">
        <is>
          <t>KRW</t>
        </is>
      </c>
      <c r="Q1038" s="32" t="inlineStr">
        <is>
          <t>7</t>
        </is>
      </c>
    </row>
    <row r="1039" ht="24" customHeight="1">
      <c r="A1039" s="27" t="inlineStr">
        <is>
          <t>OpenDART_fnlttSinglAcntAll</t>
        </is>
      </c>
      <c r="B1039" s="27" t="inlineStr">
        <is>
          <t>00118804</t>
        </is>
      </c>
      <c r="C1039" s="27" t="inlineStr">
        <is>
          <t>동진쎄미켐</t>
        </is>
      </c>
      <c r="D1039" s="27" t="inlineStr">
        <is>
          <t>dongjin_semichem</t>
        </is>
      </c>
      <c r="E1039" s="27" t="inlineStr">
        <is>
          <t>005290</t>
        </is>
      </c>
      <c r="F1039" s="27" t="inlineStr">
        <is>
          <t>2025</t>
        </is>
      </c>
      <c r="G1039" s="27" t="inlineStr">
        <is>
          <t>CFS</t>
        </is>
      </c>
      <c r="H1039" s="27" t="inlineStr">
        <is>
          <t>SCE</t>
        </is>
      </c>
      <c r="I1039" s="27" t="inlineStr">
        <is>
          <t>자본변동표</t>
        </is>
      </c>
      <c r="J1039" s="27" t="inlineStr">
        <is>
          <t>ifrs-full_Equity</t>
        </is>
      </c>
      <c r="K1039" s="27" t="inlineStr">
        <is>
          <t>자본총계</t>
        </is>
      </c>
      <c r="L1039" s="27" t="inlineStr">
        <is>
          <t>연결재무제표 [member]</t>
        </is>
      </c>
      <c r="M1039" s="27" t="inlineStr">
        <is>
          <t>제 53 기</t>
        </is>
      </c>
      <c r="N1039" s="27" t="inlineStr">
        <is>
          <t>1101580532373.0</t>
        </is>
      </c>
      <c r="O1039" s="27" t="inlineStr">
        <is>
          <t>1020430600571.0</t>
        </is>
      </c>
      <c r="P1039" s="27" t="inlineStr">
        <is>
          <t>KRW</t>
        </is>
      </c>
      <c r="Q1039" s="27" t="inlineStr">
        <is>
          <t>7</t>
        </is>
      </c>
    </row>
    <row r="1040" ht="24" customHeight="1">
      <c r="A1040" s="32" t="inlineStr">
        <is>
          <t>OpenDART_fnlttSinglAcntAll</t>
        </is>
      </c>
      <c r="B1040" s="32" t="inlineStr">
        <is>
          <t>00118804</t>
        </is>
      </c>
      <c r="C1040" s="32" t="inlineStr">
        <is>
          <t>동진쎄미켐</t>
        </is>
      </c>
      <c r="D1040" s="32" t="inlineStr">
        <is>
          <t>dongjin_semichem</t>
        </is>
      </c>
      <c r="E1040" s="32" t="inlineStr">
        <is>
          <t>005290</t>
        </is>
      </c>
      <c r="F1040" s="32" t="inlineStr">
        <is>
          <t>2025</t>
        </is>
      </c>
      <c r="G1040" s="32" t="inlineStr">
        <is>
          <t>CFS</t>
        </is>
      </c>
      <c r="H1040" s="32" t="inlineStr">
        <is>
          <t>SCE</t>
        </is>
      </c>
      <c r="I1040" s="32" t="inlineStr">
        <is>
          <t>자본변동표</t>
        </is>
      </c>
      <c r="J1040" s="32" t="inlineStr">
        <is>
          <t>ifrs-full_Equity</t>
        </is>
      </c>
      <c r="K1040" s="32" t="inlineStr">
        <is>
          <t>자본총계</t>
        </is>
      </c>
      <c r="L1040" s="32" t="inlineStr">
        <is>
          <t>자본 [구성요소]|지배기업의 소유주에게 귀속되는 지분 [구성요소]|기타자본구성요소 [구성요소]</t>
        </is>
      </c>
      <c r="M1040" s="32" t="inlineStr">
        <is>
          <t>제 53 기</t>
        </is>
      </c>
      <c r="N1040" s="32" t="inlineStr">
        <is>
          <t>76129466419.0</t>
        </is>
      </c>
      <c r="O1040" s="32" t="inlineStr">
        <is>
          <t>74207322839.0</t>
        </is>
      </c>
      <c r="P1040" s="32" t="inlineStr">
        <is>
          <t>KRW</t>
        </is>
      </c>
      <c r="Q1040" s="32" t="inlineStr">
        <is>
          <t>7</t>
        </is>
      </c>
    </row>
    <row r="1041" ht="24" customHeight="1">
      <c r="A1041" s="27" t="inlineStr">
        <is>
          <t>OpenDART_fnlttSinglAcntAll</t>
        </is>
      </c>
      <c r="B1041" s="27" t="inlineStr">
        <is>
          <t>00118804</t>
        </is>
      </c>
      <c r="C1041" s="27" t="inlineStr">
        <is>
          <t>동진쎄미켐</t>
        </is>
      </c>
      <c r="D1041" s="27" t="inlineStr">
        <is>
          <t>dongjin_semichem</t>
        </is>
      </c>
      <c r="E1041" s="27" t="inlineStr">
        <is>
          <t>005290</t>
        </is>
      </c>
      <c r="F1041" s="27" t="inlineStr">
        <is>
          <t>2025</t>
        </is>
      </c>
      <c r="G1041" s="27" t="inlineStr">
        <is>
          <t>CFS</t>
        </is>
      </c>
      <c r="H1041" s="27" t="inlineStr">
        <is>
          <t>SCE</t>
        </is>
      </c>
      <c r="I1041" s="27" t="inlineStr">
        <is>
          <t>자본변동표</t>
        </is>
      </c>
      <c r="J1041" s="27" t="inlineStr">
        <is>
          <t>ifrs-full_Equity</t>
        </is>
      </c>
      <c r="K1041" s="27" t="inlineStr">
        <is>
          <t>자본총계</t>
        </is>
      </c>
      <c r="L1041" s="27" t="inlineStr">
        <is>
          <t>자본 [구성요소]|지배기업의 소유주에게 귀속되는 지분 [구성요소]|추가납입자본 [구성요소]</t>
        </is>
      </c>
      <c r="M1041" s="27" t="inlineStr">
        <is>
          <t>제 53 기</t>
        </is>
      </c>
      <c r="N1041" s="27" t="inlineStr">
        <is>
          <t>120394123663.0</t>
        </is>
      </c>
      <c r="O1041" s="27" t="inlineStr">
        <is>
          <t>121997280919.0</t>
        </is>
      </c>
      <c r="P1041" s="27" t="inlineStr">
        <is>
          <t>KRW</t>
        </is>
      </c>
      <c r="Q1041" s="27" t="inlineStr">
        <is>
          <t>7</t>
        </is>
      </c>
    </row>
    <row r="1042" ht="24" customHeight="1">
      <c r="A1042" s="32" t="inlineStr">
        <is>
          <t>OpenDART_fnlttSinglAcntAll</t>
        </is>
      </c>
      <c r="B1042" s="32" t="inlineStr">
        <is>
          <t>00118804</t>
        </is>
      </c>
      <c r="C1042" s="32" t="inlineStr">
        <is>
          <t>동진쎄미켐</t>
        </is>
      </c>
      <c r="D1042" s="32" t="inlineStr">
        <is>
          <t>dongjin_semichem</t>
        </is>
      </c>
      <c r="E1042" s="32" t="inlineStr">
        <is>
          <t>005290</t>
        </is>
      </c>
      <c r="F1042" s="32" t="inlineStr">
        <is>
          <t>2025</t>
        </is>
      </c>
      <c r="G1042" s="32" t="inlineStr">
        <is>
          <t>CFS</t>
        </is>
      </c>
      <c r="H1042" s="32" t="inlineStr">
        <is>
          <t>SCE</t>
        </is>
      </c>
      <c r="I1042" s="32" t="inlineStr">
        <is>
          <t>자본변동표</t>
        </is>
      </c>
      <c r="J1042" s="32" t="inlineStr">
        <is>
          <t>ifrs-full_Equity</t>
        </is>
      </c>
      <c r="K1042" s="32" t="inlineStr">
        <is>
          <t>자본총계</t>
        </is>
      </c>
      <c r="L1042" s="32" t="inlineStr">
        <is>
          <t>자본 [구성요소]|지배기업의 소유주에게 귀속되는 지분 [구성요소]|자본금 [구성요소]</t>
        </is>
      </c>
      <c r="M1042" s="32" t="inlineStr">
        <is>
          <t>제 53 기</t>
        </is>
      </c>
      <c r="N1042" s="32" t="inlineStr">
        <is>
          <t>25707247000.0</t>
        </is>
      </c>
      <c r="O1042" s="32" t="inlineStr">
        <is>
          <t>25707247000.0</t>
        </is>
      </c>
      <c r="P1042" s="32" t="inlineStr">
        <is>
          <t>KRW</t>
        </is>
      </c>
      <c r="Q1042" s="32" t="inlineStr">
        <is>
          <t>7</t>
        </is>
      </c>
    </row>
    <row r="1043" ht="24" customHeight="1">
      <c r="A1043" s="27" t="inlineStr">
        <is>
          <t>OpenDART_fnlttSinglAcntAll</t>
        </is>
      </c>
      <c r="B1043" s="27" t="inlineStr">
        <is>
          <t>00118804</t>
        </is>
      </c>
      <c r="C1043" s="27" t="inlineStr">
        <is>
          <t>동진쎄미켐</t>
        </is>
      </c>
      <c r="D1043" s="27" t="inlineStr">
        <is>
          <t>dongjin_semichem</t>
        </is>
      </c>
      <c r="E1043" s="27" t="inlineStr">
        <is>
          <t>005290</t>
        </is>
      </c>
      <c r="F1043" s="27" t="inlineStr">
        <is>
          <t>2025</t>
        </is>
      </c>
      <c r="G1043" s="27" t="inlineStr">
        <is>
          <t>CFS</t>
        </is>
      </c>
      <c r="H1043" s="27" t="inlineStr">
        <is>
          <t>SCE</t>
        </is>
      </c>
      <c r="I1043" s="27" t="inlineStr">
        <is>
          <t>자본변동표</t>
        </is>
      </c>
      <c r="J1043" s="27" t="inlineStr">
        <is>
          <t>ifrs-full_Equity</t>
        </is>
      </c>
      <c r="K1043" s="27" t="inlineStr">
        <is>
          <t>자본총계</t>
        </is>
      </c>
      <c r="L1043" s="27" t="inlineStr">
        <is>
          <t>자본 [구성요소]|지배기업의 소유주에게 귀속되는 지분 [구성요소]|이익잉여금 [구성요소]</t>
        </is>
      </c>
      <c r="M1043" s="27" t="inlineStr">
        <is>
          <t>제 53 기</t>
        </is>
      </c>
      <c r="N1043" s="27" t="inlineStr">
        <is>
          <t>861609222716.0</t>
        </is>
      </c>
      <c r="O1043" s="27" t="inlineStr">
        <is>
          <t>775554117471.0</t>
        </is>
      </c>
      <c r="P1043" s="27" t="inlineStr">
        <is>
          <t>KRW</t>
        </is>
      </c>
      <c r="Q1043" s="27" t="inlineStr">
        <is>
          <t>7</t>
        </is>
      </c>
    </row>
    <row r="1044" ht="24" customHeight="1">
      <c r="A1044" s="32" t="inlineStr">
        <is>
          <t>OpenDART_fnlttSinglAcntAll</t>
        </is>
      </c>
      <c r="B1044" s="32" t="inlineStr">
        <is>
          <t>00118804</t>
        </is>
      </c>
      <c r="C1044" s="32" t="inlineStr">
        <is>
          <t>동진쎄미켐</t>
        </is>
      </c>
      <c r="D1044" s="32" t="inlineStr">
        <is>
          <t>dongjin_semichem</t>
        </is>
      </c>
      <c r="E1044" s="32" t="inlineStr">
        <is>
          <t>005290</t>
        </is>
      </c>
      <c r="F1044" s="32" t="inlineStr">
        <is>
          <t>2025</t>
        </is>
      </c>
      <c r="G1044" s="32" t="inlineStr">
        <is>
          <t>CFS</t>
        </is>
      </c>
      <c r="H1044" s="32" t="inlineStr">
        <is>
          <t>SCE</t>
        </is>
      </c>
      <c r="I1044" s="32" t="inlineStr">
        <is>
          <t>자본변동표</t>
        </is>
      </c>
      <c r="J1044" s="32" t="inlineStr">
        <is>
          <t>ifrs-full_IncomeTaxRelatingToChangesInRevaluationSurplusOfOtherComprehensiveIncome</t>
        </is>
      </c>
      <c r="K1044" s="32" t="inlineStr">
        <is>
          <t>유형자산평가</t>
        </is>
      </c>
      <c r="L1044" s="32" t="inlineStr">
        <is>
          <t>자본 [구성요소]|지배기업의 소유주에게 귀속되는 지분 [구성요소]|자본금 [구성요소]</t>
        </is>
      </c>
      <c r="M1044" s="32" t="inlineStr">
        <is>
          <t>제 53 기</t>
        </is>
      </c>
      <c r="N1044" s="32" t="inlineStr">
        <is>
          <t>0.0</t>
        </is>
      </c>
      <c r="O1044" s="32" t="inlineStr">
        <is>
          <t>0.0</t>
        </is>
      </c>
      <c r="P1044" s="32" t="inlineStr">
        <is>
          <t>KRW</t>
        </is>
      </c>
      <c r="Q1044" s="32" t="inlineStr">
        <is>
          <t>8</t>
        </is>
      </c>
    </row>
    <row r="1045" ht="24" customHeight="1">
      <c r="A1045" s="27" t="inlineStr">
        <is>
          <t>OpenDART_fnlttSinglAcntAll</t>
        </is>
      </c>
      <c r="B1045" s="27" t="inlineStr">
        <is>
          <t>00118804</t>
        </is>
      </c>
      <c r="C1045" s="27" t="inlineStr">
        <is>
          <t>동진쎄미켐</t>
        </is>
      </c>
      <c r="D1045" s="27" t="inlineStr">
        <is>
          <t>dongjin_semichem</t>
        </is>
      </c>
      <c r="E1045" s="27" t="inlineStr">
        <is>
          <t>005290</t>
        </is>
      </c>
      <c r="F1045" s="27" t="inlineStr">
        <is>
          <t>2025</t>
        </is>
      </c>
      <c r="G1045" s="27" t="inlineStr">
        <is>
          <t>CFS</t>
        </is>
      </c>
      <c r="H1045" s="27" t="inlineStr">
        <is>
          <t>SCE</t>
        </is>
      </c>
      <c r="I1045" s="27" t="inlineStr">
        <is>
          <t>자본변동표</t>
        </is>
      </c>
      <c r="J1045" s="27" t="inlineStr">
        <is>
          <t>ifrs-full_IncomeTaxRelatingToChangesInRevaluationSurplusOfOtherComprehensiveIncome</t>
        </is>
      </c>
      <c r="K1045" s="27" t="inlineStr">
        <is>
          <t>유형자산평가</t>
        </is>
      </c>
      <c r="L1045" s="27" t="inlineStr">
        <is>
          <t>자본 [구성요소]|지배기업의 소유주에게 귀속되는 지분 [구성요소]|이익잉여금 [구성요소]</t>
        </is>
      </c>
      <c r="M1045" s="27" t="inlineStr">
        <is>
          <t>제 53 기</t>
        </is>
      </c>
      <c r="N1045" s="27" t="inlineStr">
        <is>
          <t>0.0</t>
        </is>
      </c>
      <c r="O1045" s="27" t="inlineStr">
        <is>
          <t>0.0</t>
        </is>
      </c>
      <c r="P1045" s="27" t="inlineStr">
        <is>
          <t>KRW</t>
        </is>
      </c>
      <c r="Q1045" s="27" t="inlineStr">
        <is>
          <t>8</t>
        </is>
      </c>
    </row>
    <row r="1046" ht="24" customHeight="1">
      <c r="A1046" s="32" t="inlineStr">
        <is>
          <t>OpenDART_fnlttSinglAcntAll</t>
        </is>
      </c>
      <c r="B1046" s="32" t="inlineStr">
        <is>
          <t>00118804</t>
        </is>
      </c>
      <c r="C1046" s="32" t="inlineStr">
        <is>
          <t>동진쎄미켐</t>
        </is>
      </c>
      <c r="D1046" s="32" t="inlineStr">
        <is>
          <t>dongjin_semichem</t>
        </is>
      </c>
      <c r="E1046" s="32" t="inlineStr">
        <is>
          <t>005290</t>
        </is>
      </c>
      <c r="F1046" s="32" t="inlineStr">
        <is>
          <t>2025</t>
        </is>
      </c>
      <c r="G1046" s="32" t="inlineStr">
        <is>
          <t>CFS</t>
        </is>
      </c>
      <c r="H1046" s="32" t="inlineStr">
        <is>
          <t>SCE</t>
        </is>
      </c>
      <c r="I1046" s="32" t="inlineStr">
        <is>
          <t>자본변동표</t>
        </is>
      </c>
      <c r="J1046" s="32" t="inlineStr">
        <is>
          <t>ifrs-full_IncomeTaxRelatingToChangesInRevaluationSurplusOfOtherComprehensiveIncome</t>
        </is>
      </c>
      <c r="K1046" s="32" t="inlineStr">
        <is>
          <t>유형자산평가</t>
        </is>
      </c>
      <c r="L1046" s="32" t="inlineStr">
        <is>
          <t>자본 [구성요소]|지배기업의 소유주에게 귀속되는 지분 [구성요소]|기타자본구성요소 [구성요소]</t>
        </is>
      </c>
      <c r="M1046" s="32" t="inlineStr">
        <is>
          <t>제 53 기</t>
        </is>
      </c>
      <c r="N1046" s="32" t="inlineStr">
        <is>
          <t>-274395545.0</t>
        </is>
      </c>
      <c r="O1046" s="32" t="inlineStr">
        <is>
          <t>0.0</t>
        </is>
      </c>
      <c r="P1046" s="32" t="inlineStr">
        <is>
          <t>KRW</t>
        </is>
      </c>
      <c r="Q1046" s="32" t="inlineStr">
        <is>
          <t>8</t>
        </is>
      </c>
    </row>
    <row r="1047" ht="24" customHeight="1">
      <c r="A1047" s="27" t="inlineStr">
        <is>
          <t>OpenDART_fnlttSinglAcntAll</t>
        </is>
      </c>
      <c r="B1047" s="27" t="inlineStr">
        <is>
          <t>00118804</t>
        </is>
      </c>
      <c r="C1047" s="27" t="inlineStr">
        <is>
          <t>동진쎄미켐</t>
        </is>
      </c>
      <c r="D1047" s="27" t="inlineStr">
        <is>
          <t>dongjin_semichem</t>
        </is>
      </c>
      <c r="E1047" s="27" t="inlineStr">
        <is>
          <t>005290</t>
        </is>
      </c>
      <c r="F1047" s="27" t="inlineStr">
        <is>
          <t>2025</t>
        </is>
      </c>
      <c r="G1047" s="27" t="inlineStr">
        <is>
          <t>CFS</t>
        </is>
      </c>
      <c r="H1047" s="27" t="inlineStr">
        <is>
          <t>SCE</t>
        </is>
      </c>
      <c r="I1047" s="27" t="inlineStr">
        <is>
          <t>자본변동표</t>
        </is>
      </c>
      <c r="J1047" s="27" t="inlineStr">
        <is>
          <t>ifrs-full_IncomeTaxRelatingToChangesInRevaluationSurplusOfOtherComprehensiveIncome</t>
        </is>
      </c>
      <c r="K1047" s="27" t="inlineStr">
        <is>
          <t>유형자산평가</t>
        </is>
      </c>
      <c r="L1047" s="27" t="inlineStr">
        <is>
          <t>자본 [구성요소]|지배기업의 소유주에게 귀속되는 지분 [구성요소]</t>
        </is>
      </c>
      <c r="M1047" s="27" t="inlineStr">
        <is>
          <t>제 53 기</t>
        </is>
      </c>
      <c r="N1047" s="27" t="inlineStr">
        <is>
          <t>-274395545.0</t>
        </is>
      </c>
      <c r="O1047" s="27" t="inlineStr">
        <is>
          <t>0.0</t>
        </is>
      </c>
      <c r="P1047" s="27" t="inlineStr">
        <is>
          <t>KRW</t>
        </is>
      </c>
      <c r="Q1047" s="27" t="inlineStr">
        <is>
          <t>8</t>
        </is>
      </c>
    </row>
    <row r="1048" ht="24" customHeight="1">
      <c r="A1048" s="32" t="inlineStr">
        <is>
          <t>OpenDART_fnlttSinglAcntAll</t>
        </is>
      </c>
      <c r="B1048" s="32" t="inlineStr">
        <is>
          <t>00118804</t>
        </is>
      </c>
      <c r="C1048" s="32" t="inlineStr">
        <is>
          <t>동진쎄미켐</t>
        </is>
      </c>
      <c r="D1048" s="32" t="inlineStr">
        <is>
          <t>dongjin_semichem</t>
        </is>
      </c>
      <c r="E1048" s="32" t="inlineStr">
        <is>
          <t>005290</t>
        </is>
      </c>
      <c r="F1048" s="32" t="inlineStr">
        <is>
          <t>2025</t>
        </is>
      </c>
      <c r="G1048" s="32" t="inlineStr">
        <is>
          <t>CFS</t>
        </is>
      </c>
      <c r="H1048" s="32" t="inlineStr">
        <is>
          <t>SCE</t>
        </is>
      </c>
      <c r="I1048" s="32" t="inlineStr">
        <is>
          <t>자본변동표</t>
        </is>
      </c>
      <c r="J1048" s="32" t="inlineStr">
        <is>
          <t>ifrs-full_IncomeTaxRelatingToChangesInRevaluationSurplusOfOtherComprehensiveIncome</t>
        </is>
      </c>
      <c r="K1048" s="32" t="inlineStr">
        <is>
          <t>유형자산평가</t>
        </is>
      </c>
      <c r="L1048" s="32" t="inlineStr">
        <is>
          <t>자본 [구성요소]|비지배지분 [구성요소]</t>
        </is>
      </c>
      <c r="M1048" s="32" t="inlineStr">
        <is>
          <t>제 53 기</t>
        </is>
      </c>
      <c r="N1048" s="32" t="inlineStr">
        <is>
          <t>0.0</t>
        </is>
      </c>
      <c r="O1048" s="32" t="inlineStr">
        <is>
          <t>0.0</t>
        </is>
      </c>
      <c r="P1048" s="32" t="inlineStr">
        <is>
          <t>KRW</t>
        </is>
      </c>
      <c r="Q1048" s="32" t="inlineStr">
        <is>
          <t>8</t>
        </is>
      </c>
    </row>
    <row r="1049" ht="24" customHeight="1">
      <c r="A1049" s="27" t="inlineStr">
        <is>
          <t>OpenDART_fnlttSinglAcntAll</t>
        </is>
      </c>
      <c r="B1049" s="27" t="inlineStr">
        <is>
          <t>00118804</t>
        </is>
      </c>
      <c r="C1049" s="27" t="inlineStr">
        <is>
          <t>동진쎄미켐</t>
        </is>
      </c>
      <c r="D1049" s="27" t="inlineStr">
        <is>
          <t>dongjin_semichem</t>
        </is>
      </c>
      <c r="E1049" s="27" t="inlineStr">
        <is>
          <t>005290</t>
        </is>
      </c>
      <c r="F1049" s="27" t="inlineStr">
        <is>
          <t>2025</t>
        </is>
      </c>
      <c r="G1049" s="27" t="inlineStr">
        <is>
          <t>CFS</t>
        </is>
      </c>
      <c r="H1049" s="27" t="inlineStr">
        <is>
          <t>SCE</t>
        </is>
      </c>
      <c r="I1049" s="27" t="inlineStr">
        <is>
          <t>자본변동표</t>
        </is>
      </c>
      <c r="J1049" s="27" t="inlineStr">
        <is>
          <t>ifrs-full_IncomeTaxRelatingToChangesInRevaluationSurplusOfOtherComprehensiveIncome</t>
        </is>
      </c>
      <c r="K1049" s="27" t="inlineStr">
        <is>
          <t>유형자산평가</t>
        </is>
      </c>
      <c r="L1049" s="27" t="inlineStr">
        <is>
          <t>연결재무제표 [member]</t>
        </is>
      </c>
      <c r="M1049" s="27" t="inlineStr">
        <is>
          <t>제 53 기</t>
        </is>
      </c>
      <c r="N1049" s="27" t="inlineStr">
        <is>
          <t>-274395545.0</t>
        </is>
      </c>
      <c r="O1049" s="27" t="inlineStr">
        <is>
          <t>0.0</t>
        </is>
      </c>
      <c r="P1049" s="27" t="inlineStr">
        <is>
          <t>KRW</t>
        </is>
      </c>
      <c r="Q1049" s="27" t="inlineStr">
        <is>
          <t>8</t>
        </is>
      </c>
    </row>
    <row r="1050" ht="24" customHeight="1">
      <c r="A1050" s="32" t="inlineStr">
        <is>
          <t>OpenDART_fnlttSinglAcntAll</t>
        </is>
      </c>
      <c r="B1050" s="32" t="inlineStr">
        <is>
          <t>00118804</t>
        </is>
      </c>
      <c r="C1050" s="32" t="inlineStr">
        <is>
          <t>동진쎄미켐</t>
        </is>
      </c>
      <c r="D1050" s="32" t="inlineStr">
        <is>
          <t>dongjin_semichem</t>
        </is>
      </c>
      <c r="E1050" s="32" t="inlineStr">
        <is>
          <t>005290</t>
        </is>
      </c>
      <c r="F1050" s="32" t="inlineStr">
        <is>
          <t>2025</t>
        </is>
      </c>
      <c r="G1050" s="32" t="inlineStr">
        <is>
          <t>CFS</t>
        </is>
      </c>
      <c r="H1050" s="32" t="inlineStr">
        <is>
          <t>SCE</t>
        </is>
      </c>
      <c r="I1050" s="32" t="inlineStr">
        <is>
          <t>자본변동표</t>
        </is>
      </c>
      <c r="J1050" s="32" t="inlineStr">
        <is>
          <t>ifrs-full_IncomeTaxRelatingToChangesInRevaluationSurplusOfOtherComprehensiveIncome</t>
        </is>
      </c>
      <c r="K1050" s="32" t="inlineStr">
        <is>
          <t>유형자산평가</t>
        </is>
      </c>
      <c r="L1050" s="32" t="inlineStr">
        <is>
          <t>자본 [구성요소]|지배기업의 소유주에게 귀속되는 지분 [구성요소]|추가납입자본 [구성요소]</t>
        </is>
      </c>
      <c r="M1050" s="32" t="inlineStr">
        <is>
          <t>제 53 기</t>
        </is>
      </c>
      <c r="N1050" s="32" t="inlineStr">
        <is>
          <t>0.0</t>
        </is>
      </c>
      <c r="O1050" s="32" t="inlineStr">
        <is>
          <t>0.0</t>
        </is>
      </c>
      <c r="P1050" s="32" t="inlineStr">
        <is>
          <t>KRW</t>
        </is>
      </c>
      <c r="Q1050" s="32" t="inlineStr">
        <is>
          <t>8</t>
        </is>
      </c>
    </row>
    <row r="1051" ht="24" customHeight="1">
      <c r="A1051" s="27" t="inlineStr">
        <is>
          <t>OpenDART_fnlttSinglAcntAll</t>
        </is>
      </c>
      <c r="B1051" s="27" t="inlineStr">
        <is>
          <t>00118804</t>
        </is>
      </c>
      <c r="C1051" s="27" t="inlineStr">
        <is>
          <t>동진쎄미켐</t>
        </is>
      </c>
      <c r="D1051" s="27" t="inlineStr">
        <is>
          <t>dongjin_semichem</t>
        </is>
      </c>
      <c r="E1051" s="27" t="inlineStr">
        <is>
          <t>005290</t>
        </is>
      </c>
      <c r="F1051" s="27" t="inlineStr">
        <is>
          <t>2025</t>
        </is>
      </c>
      <c r="G1051" s="27" t="inlineStr">
        <is>
          <t>CFS</t>
        </is>
      </c>
      <c r="H1051" s="27" t="inlineStr">
        <is>
          <t>SCE</t>
        </is>
      </c>
      <c r="I1051" s="27" t="inlineStr">
        <is>
          <t>자본변동표</t>
        </is>
      </c>
      <c r="J1051" s="27" t="inlineStr">
        <is>
          <t>ifrs-full_IncreaseDecreaseThroughChangesInOwnershipInterestsInSubsidiariesThatDoNotResultInLossOfControl</t>
        </is>
      </c>
      <c r="K1051" s="27" t="inlineStr">
        <is>
          <t>종속기업주식취득</t>
        </is>
      </c>
      <c r="L1051" s="27" t="inlineStr">
        <is>
          <t>자본 [구성요소]|지배기업의 소유주에게 귀속되는 지분 [구성요소]|자본금 [구성요소]</t>
        </is>
      </c>
      <c r="M1051" s="27" t="inlineStr">
        <is>
          <t>제 53 기</t>
        </is>
      </c>
      <c r="N1051" s="27" t="inlineStr">
        <is>
          <t>0.0</t>
        </is>
      </c>
      <c r="O1051" s="27" t="inlineStr">
        <is>
          <t>0.0</t>
        </is>
      </c>
      <c r="P1051" s="27" t="inlineStr">
        <is>
          <t>KRW</t>
        </is>
      </c>
      <c r="Q1051" s="27" t="inlineStr">
        <is>
          <t>9</t>
        </is>
      </c>
    </row>
    <row r="1052" ht="24" customHeight="1">
      <c r="A1052" s="32" t="inlineStr">
        <is>
          <t>OpenDART_fnlttSinglAcntAll</t>
        </is>
      </c>
      <c r="B1052" s="32" t="inlineStr">
        <is>
          <t>00118804</t>
        </is>
      </c>
      <c r="C1052" s="32" t="inlineStr">
        <is>
          <t>동진쎄미켐</t>
        </is>
      </c>
      <c r="D1052" s="32" t="inlineStr">
        <is>
          <t>dongjin_semichem</t>
        </is>
      </c>
      <c r="E1052" s="32" t="inlineStr">
        <is>
          <t>005290</t>
        </is>
      </c>
      <c r="F1052" s="32" t="inlineStr">
        <is>
          <t>2025</t>
        </is>
      </c>
      <c r="G1052" s="32" t="inlineStr">
        <is>
          <t>CFS</t>
        </is>
      </c>
      <c r="H1052" s="32" t="inlineStr">
        <is>
          <t>SCE</t>
        </is>
      </c>
      <c r="I1052" s="32" t="inlineStr">
        <is>
          <t>자본변동표</t>
        </is>
      </c>
      <c r="J1052" s="32" t="inlineStr">
        <is>
          <t>ifrs-full_IncreaseDecreaseThroughChangesInOwnershipInterestsInSubsidiariesThatDoNotResultInLossOfControl</t>
        </is>
      </c>
      <c r="K1052" s="32" t="inlineStr">
        <is>
          <t>종속기업주식취득</t>
        </is>
      </c>
      <c r="L1052" s="32" t="inlineStr">
        <is>
          <t>자본 [구성요소]|지배기업의 소유주에게 귀속되는 지분 [구성요소]|이익잉여금 [구성요소]</t>
        </is>
      </c>
      <c r="M1052" s="32" t="inlineStr">
        <is>
          <t>제 53 기</t>
        </is>
      </c>
      <c r="N1052" s="32" t="inlineStr">
        <is>
          <t>0.0</t>
        </is>
      </c>
      <c r="O1052" s="32" t="inlineStr">
        <is>
          <t>0.0</t>
        </is>
      </c>
      <c r="P1052" s="32" t="inlineStr">
        <is>
          <t>KRW</t>
        </is>
      </c>
      <c r="Q1052" s="32" t="inlineStr">
        <is>
          <t>9</t>
        </is>
      </c>
    </row>
    <row r="1053" ht="24" customHeight="1">
      <c r="A1053" s="27" t="inlineStr">
        <is>
          <t>OpenDART_fnlttSinglAcntAll</t>
        </is>
      </c>
      <c r="B1053" s="27" t="inlineStr">
        <is>
          <t>00118804</t>
        </is>
      </c>
      <c r="C1053" s="27" t="inlineStr">
        <is>
          <t>동진쎄미켐</t>
        </is>
      </c>
      <c r="D1053" s="27" t="inlineStr">
        <is>
          <t>dongjin_semichem</t>
        </is>
      </c>
      <c r="E1053" s="27" t="inlineStr">
        <is>
          <t>005290</t>
        </is>
      </c>
      <c r="F1053" s="27" t="inlineStr">
        <is>
          <t>2025</t>
        </is>
      </c>
      <c r="G1053" s="27" t="inlineStr">
        <is>
          <t>CFS</t>
        </is>
      </c>
      <c r="H1053" s="27" t="inlineStr">
        <is>
          <t>SCE</t>
        </is>
      </c>
      <c r="I1053" s="27" t="inlineStr">
        <is>
          <t>자본변동표</t>
        </is>
      </c>
      <c r="J1053" s="27" t="inlineStr">
        <is>
          <t>ifrs-full_IncreaseDecreaseThroughChangesInOwnershipInterestsInSubsidiariesThatDoNotResultInLossOfControl</t>
        </is>
      </c>
      <c r="K1053" s="27" t="inlineStr">
        <is>
          <t>종속기업주식취득</t>
        </is>
      </c>
      <c r="L1053" s="27" t="inlineStr">
        <is>
          <t>자본 [구성요소]|지배기업의 소유주에게 귀속되는 지분 [구성요소]|기타자본구성요소 [구성요소]</t>
        </is>
      </c>
      <c r="M1053" s="27" t="inlineStr">
        <is>
          <t>제 53 기</t>
        </is>
      </c>
      <c r="N1053" s="27" t="inlineStr">
        <is>
          <t>0.0</t>
        </is>
      </c>
      <c r="O1053" s="27" t="inlineStr">
        <is>
          <t>0.0</t>
        </is>
      </c>
      <c r="P1053" s="27" t="inlineStr">
        <is>
          <t>KRW</t>
        </is>
      </c>
      <c r="Q1053" s="27" t="inlineStr">
        <is>
          <t>9</t>
        </is>
      </c>
    </row>
    <row r="1054" ht="24" customHeight="1">
      <c r="A1054" s="32" t="inlineStr">
        <is>
          <t>OpenDART_fnlttSinglAcntAll</t>
        </is>
      </c>
      <c r="B1054" s="32" t="inlineStr">
        <is>
          <t>00118804</t>
        </is>
      </c>
      <c r="C1054" s="32" t="inlineStr">
        <is>
          <t>동진쎄미켐</t>
        </is>
      </c>
      <c r="D1054" s="32" t="inlineStr">
        <is>
          <t>dongjin_semichem</t>
        </is>
      </c>
      <c r="E1054" s="32" t="inlineStr">
        <is>
          <t>005290</t>
        </is>
      </c>
      <c r="F1054" s="32" t="inlineStr">
        <is>
          <t>2025</t>
        </is>
      </c>
      <c r="G1054" s="32" t="inlineStr">
        <is>
          <t>CFS</t>
        </is>
      </c>
      <c r="H1054" s="32" t="inlineStr">
        <is>
          <t>SCE</t>
        </is>
      </c>
      <c r="I1054" s="32" t="inlineStr">
        <is>
          <t>자본변동표</t>
        </is>
      </c>
      <c r="J1054" s="32" t="inlineStr">
        <is>
          <t>ifrs-full_IncreaseDecreaseThroughChangesInOwnershipInterestsInSubsidiariesThatDoNotResultInLossOfControl</t>
        </is>
      </c>
      <c r="K1054" s="32" t="inlineStr">
        <is>
          <t>종속기업주식취득</t>
        </is>
      </c>
      <c r="L1054" s="32" t="inlineStr">
        <is>
          <t>자본 [구성요소]|지배기업의 소유주에게 귀속되는 지분 [구성요소]</t>
        </is>
      </c>
      <c r="M1054" s="32" t="inlineStr">
        <is>
          <t>제 53 기</t>
        </is>
      </c>
      <c r="N1054" s="32" t="inlineStr">
        <is>
          <t>-499875336.0</t>
        </is>
      </c>
      <c r="O1054" s="32" t="inlineStr">
        <is>
          <t>196865266.0</t>
        </is>
      </c>
      <c r="P1054" s="32" t="inlineStr">
        <is>
          <t>KRW</t>
        </is>
      </c>
      <c r="Q1054" s="32" t="inlineStr">
        <is>
          <t>9</t>
        </is>
      </c>
    </row>
    <row r="1055" ht="24" customHeight="1">
      <c r="A1055" s="27" t="inlineStr">
        <is>
          <t>OpenDART_fnlttSinglAcntAll</t>
        </is>
      </c>
      <c r="B1055" s="27" t="inlineStr">
        <is>
          <t>00118804</t>
        </is>
      </c>
      <c r="C1055" s="27" t="inlineStr">
        <is>
          <t>동진쎄미켐</t>
        </is>
      </c>
      <c r="D1055" s="27" t="inlineStr">
        <is>
          <t>dongjin_semichem</t>
        </is>
      </c>
      <c r="E1055" s="27" t="inlineStr">
        <is>
          <t>005290</t>
        </is>
      </c>
      <c r="F1055" s="27" t="inlineStr">
        <is>
          <t>2025</t>
        </is>
      </c>
      <c r="G1055" s="27" t="inlineStr">
        <is>
          <t>CFS</t>
        </is>
      </c>
      <c r="H1055" s="27" t="inlineStr">
        <is>
          <t>SCE</t>
        </is>
      </c>
      <c r="I1055" s="27" t="inlineStr">
        <is>
          <t>자본변동표</t>
        </is>
      </c>
      <c r="J1055" s="27" t="inlineStr">
        <is>
          <t>ifrs-full_IncreaseDecreaseThroughChangesInOwnershipInterestsInSubsidiariesThatDoNotResultInLossOfControl</t>
        </is>
      </c>
      <c r="K1055" s="27" t="inlineStr">
        <is>
          <t>종속기업주식취득</t>
        </is>
      </c>
      <c r="L1055" s="27" t="inlineStr">
        <is>
          <t>자본 [구성요소]|비지배지분 [구성요소]</t>
        </is>
      </c>
      <c r="M1055" s="27" t="inlineStr">
        <is>
          <t>제 53 기</t>
        </is>
      </c>
      <c r="N1055" s="27" t="inlineStr">
        <is>
          <t>499875336.0</t>
        </is>
      </c>
      <c r="O1055" s="27" t="inlineStr">
        <is>
          <t>-196865266.0</t>
        </is>
      </c>
      <c r="P1055" s="27" t="inlineStr">
        <is>
          <t>KRW</t>
        </is>
      </c>
      <c r="Q1055" s="27" t="inlineStr">
        <is>
          <t>9</t>
        </is>
      </c>
    </row>
    <row r="1056" ht="24" customHeight="1">
      <c r="A1056" s="32" t="inlineStr">
        <is>
          <t>OpenDART_fnlttSinglAcntAll</t>
        </is>
      </c>
      <c r="B1056" s="32" t="inlineStr">
        <is>
          <t>00118804</t>
        </is>
      </c>
      <c r="C1056" s="32" t="inlineStr">
        <is>
          <t>동진쎄미켐</t>
        </is>
      </c>
      <c r="D1056" s="32" t="inlineStr">
        <is>
          <t>dongjin_semichem</t>
        </is>
      </c>
      <c r="E1056" s="32" t="inlineStr">
        <is>
          <t>005290</t>
        </is>
      </c>
      <c r="F1056" s="32" t="inlineStr">
        <is>
          <t>2025</t>
        </is>
      </c>
      <c r="G1056" s="32" t="inlineStr">
        <is>
          <t>CFS</t>
        </is>
      </c>
      <c r="H1056" s="32" t="inlineStr">
        <is>
          <t>SCE</t>
        </is>
      </c>
      <c r="I1056" s="32" t="inlineStr">
        <is>
          <t>자본변동표</t>
        </is>
      </c>
      <c r="J1056" s="32" t="inlineStr">
        <is>
          <t>ifrs-full_IncreaseDecreaseThroughChangesInOwnershipInterestsInSubsidiariesThatDoNotResultInLossOfControl</t>
        </is>
      </c>
      <c r="K1056" s="32" t="inlineStr">
        <is>
          <t>종속기업주식취득</t>
        </is>
      </c>
      <c r="L1056" s="32" t="inlineStr">
        <is>
          <t>연결재무제표 [member]</t>
        </is>
      </c>
      <c r="M1056" s="32" t="inlineStr">
        <is>
          <t>제 53 기</t>
        </is>
      </c>
      <c r="N1056" s="32" t="inlineStr">
        <is>
          <t>0.0</t>
        </is>
      </c>
      <c r="O1056" s="32" t="inlineStr">
        <is>
          <t>0.0</t>
        </is>
      </c>
      <c r="P1056" s="32" t="inlineStr">
        <is>
          <t>KRW</t>
        </is>
      </c>
      <c r="Q1056" s="32" t="inlineStr">
        <is>
          <t>9</t>
        </is>
      </c>
    </row>
    <row r="1057" ht="24" customHeight="1">
      <c r="A1057" s="27" t="inlineStr">
        <is>
          <t>OpenDART_fnlttSinglAcntAll</t>
        </is>
      </c>
      <c r="B1057" s="27" t="inlineStr">
        <is>
          <t>00118804</t>
        </is>
      </c>
      <c r="C1057" s="27" t="inlineStr">
        <is>
          <t>동진쎄미켐</t>
        </is>
      </c>
      <c r="D1057" s="27" t="inlineStr">
        <is>
          <t>dongjin_semichem</t>
        </is>
      </c>
      <c r="E1057" s="27" t="inlineStr">
        <is>
          <t>005290</t>
        </is>
      </c>
      <c r="F1057" s="27" t="inlineStr">
        <is>
          <t>2025</t>
        </is>
      </c>
      <c r="G1057" s="27" t="inlineStr">
        <is>
          <t>CFS</t>
        </is>
      </c>
      <c r="H1057" s="27" t="inlineStr">
        <is>
          <t>SCE</t>
        </is>
      </c>
      <c r="I1057" s="27" t="inlineStr">
        <is>
          <t>자본변동표</t>
        </is>
      </c>
      <c r="J1057" s="27" t="inlineStr">
        <is>
          <t>ifrs-full_IncreaseDecreaseThroughChangesInOwnershipInterestsInSubsidiariesThatDoNotResultInLossOfControl</t>
        </is>
      </c>
      <c r="K1057" s="27" t="inlineStr">
        <is>
          <t>종속기업주식취득</t>
        </is>
      </c>
      <c r="L1057" s="27" t="inlineStr">
        <is>
          <t>자본 [구성요소]|지배기업의 소유주에게 귀속되는 지분 [구성요소]|추가납입자본 [구성요소]</t>
        </is>
      </c>
      <c r="M1057" s="27" t="inlineStr">
        <is>
          <t>제 53 기</t>
        </is>
      </c>
      <c r="N1057" s="27" t="inlineStr">
        <is>
          <t>-499875336.0</t>
        </is>
      </c>
      <c r="O1057" s="27" t="inlineStr">
        <is>
          <t>196865266.0</t>
        </is>
      </c>
      <c r="P1057" s="27" t="inlineStr">
        <is>
          <t>KRW</t>
        </is>
      </c>
      <c r="Q1057" s="27" t="inlineStr">
        <is>
          <t>9</t>
        </is>
      </c>
    </row>
    <row r="1058" ht="24" customHeight="1">
      <c r="A1058" s="32" t="inlineStr">
        <is>
          <t>OpenDART_fnlttSinglAcntAll</t>
        </is>
      </c>
      <c r="B1058" s="32" t="inlineStr">
        <is>
          <t>00118804</t>
        </is>
      </c>
      <c r="C1058" s="32" t="inlineStr">
        <is>
          <t>동진쎄미켐</t>
        </is>
      </c>
      <c r="D1058" s="32" t="inlineStr">
        <is>
          <t>dongjin_semichem</t>
        </is>
      </c>
      <c r="E1058" s="32" t="inlineStr">
        <is>
          <t>005290</t>
        </is>
      </c>
      <c r="F1058" s="32" t="inlineStr">
        <is>
          <t>2025</t>
        </is>
      </c>
      <c r="G1058" s="32" t="inlineStr">
        <is>
          <t>CFS</t>
        </is>
      </c>
      <c r="H1058" s="32" t="inlineStr">
        <is>
          <t>SCE</t>
        </is>
      </c>
      <c r="I1058" s="32" t="inlineStr">
        <is>
          <t>자본변동표</t>
        </is>
      </c>
      <c r="J1058" s="32" t="inlineStr">
        <is>
          <t>ifrs-full_IncreaseDecreaseThroughDisposalOfSubsidiary</t>
        </is>
      </c>
      <c r="K1058" s="32" t="inlineStr">
        <is>
          <t>종속기업주식청산</t>
        </is>
      </c>
      <c r="L1058" s="32" t="inlineStr">
        <is>
          <t>연결재무제표 [member]</t>
        </is>
      </c>
      <c r="M1058" s="32" t="inlineStr">
        <is>
          <t>제 53 기</t>
        </is>
      </c>
      <c r="N1058" s="32" t="inlineStr">
        <is>
          <t>48835658.0</t>
        </is>
      </c>
      <c r="O1058" s="32" t="inlineStr">
        <is>
          <t>0.0</t>
        </is>
      </c>
      <c r="P1058" s="32" t="inlineStr">
        <is>
          <t>KRW</t>
        </is>
      </c>
      <c r="Q1058" s="32" t="inlineStr">
        <is>
          <t>10</t>
        </is>
      </c>
    </row>
    <row r="1059" ht="24" customHeight="1">
      <c r="A1059" s="27" t="inlineStr">
        <is>
          <t>OpenDART_fnlttSinglAcntAll</t>
        </is>
      </c>
      <c r="B1059" s="27" t="inlineStr">
        <is>
          <t>00118804</t>
        </is>
      </c>
      <c r="C1059" s="27" t="inlineStr">
        <is>
          <t>동진쎄미켐</t>
        </is>
      </c>
      <c r="D1059" s="27" t="inlineStr">
        <is>
          <t>dongjin_semichem</t>
        </is>
      </c>
      <c r="E1059" s="27" t="inlineStr">
        <is>
          <t>005290</t>
        </is>
      </c>
      <c r="F1059" s="27" t="inlineStr">
        <is>
          <t>2025</t>
        </is>
      </c>
      <c r="G1059" s="27" t="inlineStr">
        <is>
          <t>CFS</t>
        </is>
      </c>
      <c r="H1059" s="27" t="inlineStr">
        <is>
          <t>SCE</t>
        </is>
      </c>
      <c r="I1059" s="27" t="inlineStr">
        <is>
          <t>자본변동표</t>
        </is>
      </c>
      <c r="J1059" s="27" t="inlineStr">
        <is>
          <t>ifrs-full_IncreaseDecreaseThroughDisposalOfSubsidiary</t>
        </is>
      </c>
      <c r="K1059" s="27" t="inlineStr">
        <is>
          <t>종속기업주식청산</t>
        </is>
      </c>
      <c r="L1059" s="27" t="inlineStr">
        <is>
          <t>자본 [구성요소]|비지배지분 [구성요소]</t>
        </is>
      </c>
      <c r="M1059" s="27" t="inlineStr">
        <is>
          <t>제 53 기</t>
        </is>
      </c>
      <c r="N1059" s="27" t="inlineStr">
        <is>
          <t>48835658.0</t>
        </is>
      </c>
      <c r="O1059" s="27" t="inlineStr">
        <is>
          <t>0.0</t>
        </is>
      </c>
      <c r="P1059" s="27" t="inlineStr">
        <is>
          <t>KRW</t>
        </is>
      </c>
      <c r="Q1059" s="27" t="inlineStr">
        <is>
          <t>10</t>
        </is>
      </c>
    </row>
    <row r="1060" ht="24" customHeight="1">
      <c r="A1060" s="32" t="inlineStr">
        <is>
          <t>OpenDART_fnlttSinglAcntAll</t>
        </is>
      </c>
      <c r="B1060" s="32" t="inlineStr">
        <is>
          <t>00118804</t>
        </is>
      </c>
      <c r="C1060" s="32" t="inlineStr">
        <is>
          <t>동진쎄미켐</t>
        </is>
      </c>
      <c r="D1060" s="32" t="inlineStr">
        <is>
          <t>dongjin_semichem</t>
        </is>
      </c>
      <c r="E1060" s="32" t="inlineStr">
        <is>
          <t>005290</t>
        </is>
      </c>
      <c r="F1060" s="32" t="inlineStr">
        <is>
          <t>2025</t>
        </is>
      </c>
      <c r="G1060" s="32" t="inlineStr">
        <is>
          <t>CFS</t>
        </is>
      </c>
      <c r="H1060" s="32" t="inlineStr">
        <is>
          <t>SCE</t>
        </is>
      </c>
      <c r="I1060" s="32" t="inlineStr">
        <is>
          <t>자본변동표</t>
        </is>
      </c>
      <c r="J1060" s="32" t="inlineStr">
        <is>
          <t>ifrs-full_IncreaseDecreaseThroughDisposalOfSubsidiary</t>
        </is>
      </c>
      <c r="K1060" s="32" t="inlineStr">
        <is>
          <t>종속기업주식청산</t>
        </is>
      </c>
      <c r="L1060" s="32" t="inlineStr">
        <is>
          <t>자본 [구성요소]|지배기업의 소유주에게 귀속되는 지분 [구성요소]</t>
        </is>
      </c>
      <c r="M1060" s="32" t="inlineStr">
        <is>
          <t>제 53 기</t>
        </is>
      </c>
      <c r="N1060" s="32" t="inlineStr">
        <is>
          <t>0.0</t>
        </is>
      </c>
      <c r="O1060" s="32" t="inlineStr">
        <is>
          <t>0.0</t>
        </is>
      </c>
      <c r="P1060" s="32" t="inlineStr">
        <is>
          <t>KRW</t>
        </is>
      </c>
      <c r="Q1060" s="32" t="inlineStr">
        <is>
          <t>10</t>
        </is>
      </c>
    </row>
    <row r="1061" ht="24" customHeight="1">
      <c r="A1061" s="27" t="inlineStr">
        <is>
          <t>OpenDART_fnlttSinglAcntAll</t>
        </is>
      </c>
      <c r="B1061" s="27" t="inlineStr">
        <is>
          <t>00118804</t>
        </is>
      </c>
      <c r="C1061" s="27" t="inlineStr">
        <is>
          <t>동진쎄미켐</t>
        </is>
      </c>
      <c r="D1061" s="27" t="inlineStr">
        <is>
          <t>dongjin_semichem</t>
        </is>
      </c>
      <c r="E1061" s="27" t="inlineStr">
        <is>
          <t>005290</t>
        </is>
      </c>
      <c r="F1061" s="27" t="inlineStr">
        <is>
          <t>2025</t>
        </is>
      </c>
      <c r="G1061" s="27" t="inlineStr">
        <is>
          <t>CFS</t>
        </is>
      </c>
      <c r="H1061" s="27" t="inlineStr">
        <is>
          <t>SCE</t>
        </is>
      </c>
      <c r="I1061" s="27" t="inlineStr">
        <is>
          <t>자본변동표</t>
        </is>
      </c>
      <c r="J1061" s="27" t="inlineStr">
        <is>
          <t>ifrs-full_IncreaseDecreaseThroughDisposalOfSubsidiary</t>
        </is>
      </c>
      <c r="K1061" s="27" t="inlineStr">
        <is>
          <t>종속기업주식청산</t>
        </is>
      </c>
      <c r="L1061" s="27" t="inlineStr">
        <is>
          <t>자본 [구성요소]|지배기업의 소유주에게 귀속되는 지분 [구성요소]|기타자본구성요소 [구성요소]</t>
        </is>
      </c>
      <c r="M1061" s="27" t="inlineStr">
        <is>
          <t>제 53 기</t>
        </is>
      </c>
      <c r="N1061" s="27" t="inlineStr">
        <is>
          <t>0.0</t>
        </is>
      </c>
      <c r="O1061" s="27" t="inlineStr">
        <is>
          <t>0.0</t>
        </is>
      </c>
      <c r="P1061" s="27" t="inlineStr">
        <is>
          <t>KRW</t>
        </is>
      </c>
      <c r="Q1061" s="27" t="inlineStr">
        <is>
          <t>10</t>
        </is>
      </c>
    </row>
    <row r="1062" ht="24" customHeight="1">
      <c r="A1062" s="32" t="inlineStr">
        <is>
          <t>OpenDART_fnlttSinglAcntAll</t>
        </is>
      </c>
      <c r="B1062" s="32" t="inlineStr">
        <is>
          <t>00118804</t>
        </is>
      </c>
      <c r="C1062" s="32" t="inlineStr">
        <is>
          <t>동진쎄미켐</t>
        </is>
      </c>
      <c r="D1062" s="32" t="inlineStr">
        <is>
          <t>dongjin_semichem</t>
        </is>
      </c>
      <c r="E1062" s="32" t="inlineStr">
        <is>
          <t>005290</t>
        </is>
      </c>
      <c r="F1062" s="32" t="inlineStr">
        <is>
          <t>2025</t>
        </is>
      </c>
      <c r="G1062" s="32" t="inlineStr">
        <is>
          <t>CFS</t>
        </is>
      </c>
      <c r="H1062" s="32" t="inlineStr">
        <is>
          <t>SCE</t>
        </is>
      </c>
      <c r="I1062" s="32" t="inlineStr">
        <is>
          <t>자본변동표</t>
        </is>
      </c>
      <c r="J1062" s="32" t="inlineStr">
        <is>
          <t>ifrs-full_IncreaseDecreaseThroughDisposalOfSubsidiary</t>
        </is>
      </c>
      <c r="K1062" s="32" t="inlineStr">
        <is>
          <t>종속기업주식청산</t>
        </is>
      </c>
      <c r="L1062" s="32" t="inlineStr">
        <is>
          <t>자본 [구성요소]|지배기업의 소유주에게 귀속되는 지분 [구성요소]|이익잉여금 [구성요소]</t>
        </is>
      </c>
      <c r="M1062" s="32" t="inlineStr">
        <is>
          <t>제 53 기</t>
        </is>
      </c>
      <c r="N1062" s="32" t="inlineStr">
        <is>
          <t>0.0</t>
        </is>
      </c>
      <c r="O1062" s="32" t="inlineStr">
        <is>
          <t>0.0</t>
        </is>
      </c>
      <c r="P1062" s="32" t="inlineStr">
        <is>
          <t>KRW</t>
        </is>
      </c>
      <c r="Q1062" s="32" t="inlineStr">
        <is>
          <t>10</t>
        </is>
      </c>
    </row>
    <row r="1063" ht="24" customHeight="1">
      <c r="A1063" s="27" t="inlineStr">
        <is>
          <t>OpenDART_fnlttSinglAcntAll</t>
        </is>
      </c>
      <c r="B1063" s="27" t="inlineStr">
        <is>
          <t>00118804</t>
        </is>
      </c>
      <c r="C1063" s="27" t="inlineStr">
        <is>
          <t>동진쎄미켐</t>
        </is>
      </c>
      <c r="D1063" s="27" t="inlineStr">
        <is>
          <t>dongjin_semichem</t>
        </is>
      </c>
      <c r="E1063" s="27" t="inlineStr">
        <is>
          <t>005290</t>
        </is>
      </c>
      <c r="F1063" s="27" t="inlineStr">
        <is>
          <t>2025</t>
        </is>
      </c>
      <c r="G1063" s="27" t="inlineStr">
        <is>
          <t>CFS</t>
        </is>
      </c>
      <c r="H1063" s="27" t="inlineStr">
        <is>
          <t>SCE</t>
        </is>
      </c>
      <c r="I1063" s="27" t="inlineStr">
        <is>
          <t>자본변동표</t>
        </is>
      </c>
      <c r="J1063" s="27" t="inlineStr">
        <is>
          <t>ifrs-full_IncreaseDecreaseThroughDisposalOfSubsidiary</t>
        </is>
      </c>
      <c r="K1063" s="27" t="inlineStr">
        <is>
          <t>종속기업주식청산</t>
        </is>
      </c>
      <c r="L1063" s="27" t="inlineStr">
        <is>
          <t>자본 [구성요소]|지배기업의 소유주에게 귀속되는 지분 [구성요소]|자본금 [구성요소]</t>
        </is>
      </c>
      <c r="M1063" s="27" t="inlineStr">
        <is>
          <t>제 53 기</t>
        </is>
      </c>
      <c r="N1063" s="27" t="inlineStr">
        <is>
          <t>0.0</t>
        </is>
      </c>
      <c r="O1063" s="27" t="inlineStr">
        <is>
          <t>0.0</t>
        </is>
      </c>
      <c r="P1063" s="27" t="inlineStr">
        <is>
          <t>KRW</t>
        </is>
      </c>
      <c r="Q1063" s="27" t="inlineStr">
        <is>
          <t>10</t>
        </is>
      </c>
    </row>
    <row r="1064" ht="24" customHeight="1">
      <c r="A1064" s="32" t="inlineStr">
        <is>
          <t>OpenDART_fnlttSinglAcntAll</t>
        </is>
      </c>
      <c r="B1064" s="32" t="inlineStr">
        <is>
          <t>00118804</t>
        </is>
      </c>
      <c r="C1064" s="32" t="inlineStr">
        <is>
          <t>동진쎄미켐</t>
        </is>
      </c>
      <c r="D1064" s="32" t="inlineStr">
        <is>
          <t>dongjin_semichem</t>
        </is>
      </c>
      <c r="E1064" s="32" t="inlineStr">
        <is>
          <t>005290</t>
        </is>
      </c>
      <c r="F1064" s="32" t="inlineStr">
        <is>
          <t>2025</t>
        </is>
      </c>
      <c r="G1064" s="32" t="inlineStr">
        <is>
          <t>CFS</t>
        </is>
      </c>
      <c r="H1064" s="32" t="inlineStr">
        <is>
          <t>SCE</t>
        </is>
      </c>
      <c r="I1064" s="32" t="inlineStr">
        <is>
          <t>자본변동표</t>
        </is>
      </c>
      <c r="J1064" s="32" t="inlineStr">
        <is>
          <t>ifrs-full_IncreaseDecreaseThroughDisposalOfSubsidiary</t>
        </is>
      </c>
      <c r="K1064" s="32" t="inlineStr">
        <is>
          <t>종속기업주식청산</t>
        </is>
      </c>
      <c r="L1064" s="32" t="inlineStr">
        <is>
          <t>자본 [구성요소]|지배기업의 소유주에게 귀속되는 지분 [구성요소]|추가납입자본 [구성요소]</t>
        </is>
      </c>
      <c r="M1064" s="32" t="inlineStr">
        <is>
          <t>제 53 기</t>
        </is>
      </c>
      <c r="N1064" s="32" t="inlineStr">
        <is>
          <t>0.0</t>
        </is>
      </c>
      <c r="O1064" s="32" t="inlineStr">
        <is>
          <t>0.0</t>
        </is>
      </c>
      <c r="P1064" s="32" t="inlineStr">
        <is>
          <t>KRW</t>
        </is>
      </c>
      <c r="Q1064" s="32" t="inlineStr">
        <is>
          <t>10</t>
        </is>
      </c>
    </row>
    <row r="1065" ht="24" customHeight="1">
      <c r="A1065" s="27" t="inlineStr">
        <is>
          <t>OpenDART_fnlttSinglAcntAll</t>
        </is>
      </c>
      <c r="B1065" s="27" t="inlineStr">
        <is>
          <t>00118804</t>
        </is>
      </c>
      <c r="C1065" s="27" t="inlineStr">
        <is>
          <t>동진쎄미켐</t>
        </is>
      </c>
      <c r="D1065" s="27" t="inlineStr">
        <is>
          <t>dongjin_semichem</t>
        </is>
      </c>
      <c r="E1065" s="27" t="inlineStr">
        <is>
          <t>005290</t>
        </is>
      </c>
      <c r="F1065" s="27" t="inlineStr">
        <is>
          <t>2025</t>
        </is>
      </c>
      <c r="G1065" s="27" t="inlineStr">
        <is>
          <t>CFS</t>
        </is>
      </c>
      <c r="H1065" s="27" t="inlineStr">
        <is>
          <t>SCE</t>
        </is>
      </c>
      <c r="I1065" s="27" t="inlineStr">
        <is>
          <t>자본변동표</t>
        </is>
      </c>
      <c r="J1065" s="27" t="inlineStr">
        <is>
          <t>ifrs-full_IssueOfEquity</t>
        </is>
      </c>
      <c r="K1065" s="27" t="inlineStr">
        <is>
          <t>유상증자</t>
        </is>
      </c>
      <c r="L1065" s="27" t="inlineStr">
        <is>
          <t>연결재무제표 [member]</t>
        </is>
      </c>
      <c r="M1065" s="27" t="inlineStr">
        <is>
          <t>제 53 기</t>
        </is>
      </c>
      <c r="N1065" s="27" t="inlineStr">
        <is>
          <t>0.0</t>
        </is>
      </c>
      <c r="O1065" s="27" t="inlineStr">
        <is>
          <t>-1005035.0</t>
        </is>
      </c>
      <c r="P1065" s="27" t="inlineStr">
        <is>
          <t>KRW</t>
        </is>
      </c>
      <c r="Q1065" s="27" t="inlineStr">
        <is>
          <t>11</t>
        </is>
      </c>
    </row>
    <row r="1066" ht="24" customHeight="1">
      <c r="A1066" s="32" t="inlineStr">
        <is>
          <t>OpenDART_fnlttSinglAcntAll</t>
        </is>
      </c>
      <c r="B1066" s="32" t="inlineStr">
        <is>
          <t>00118804</t>
        </is>
      </c>
      <c r="C1066" s="32" t="inlineStr">
        <is>
          <t>동진쎄미켐</t>
        </is>
      </c>
      <c r="D1066" s="32" t="inlineStr">
        <is>
          <t>dongjin_semichem</t>
        </is>
      </c>
      <c r="E1066" s="32" t="inlineStr">
        <is>
          <t>005290</t>
        </is>
      </c>
      <c r="F1066" s="32" t="inlineStr">
        <is>
          <t>2025</t>
        </is>
      </c>
      <c r="G1066" s="32" t="inlineStr">
        <is>
          <t>CFS</t>
        </is>
      </c>
      <c r="H1066" s="32" t="inlineStr">
        <is>
          <t>SCE</t>
        </is>
      </c>
      <c r="I1066" s="32" t="inlineStr">
        <is>
          <t>자본변동표</t>
        </is>
      </c>
      <c r="J1066" s="32" t="inlineStr">
        <is>
          <t>ifrs-full_IssueOfEquity</t>
        </is>
      </c>
      <c r="K1066" s="32" t="inlineStr">
        <is>
          <t>유상증자</t>
        </is>
      </c>
      <c r="L1066" s="32" t="inlineStr">
        <is>
          <t>자본 [구성요소]|비지배지분 [구성요소]</t>
        </is>
      </c>
      <c r="M1066" s="32" t="inlineStr">
        <is>
          <t>제 53 기</t>
        </is>
      </c>
      <c r="N1066" s="32" t="inlineStr">
        <is>
          <t>0.0</t>
        </is>
      </c>
      <c r="O1066" s="32" t="inlineStr">
        <is>
          <t>-1005035.0</t>
        </is>
      </c>
      <c r="P1066" s="32" t="inlineStr">
        <is>
          <t>KRW</t>
        </is>
      </c>
      <c r="Q1066" s="32" t="inlineStr">
        <is>
          <t>11</t>
        </is>
      </c>
    </row>
    <row r="1067" ht="24" customHeight="1">
      <c r="A1067" s="27" t="inlineStr">
        <is>
          <t>OpenDART_fnlttSinglAcntAll</t>
        </is>
      </c>
      <c r="B1067" s="27" t="inlineStr">
        <is>
          <t>00118804</t>
        </is>
      </c>
      <c r="C1067" s="27" t="inlineStr">
        <is>
          <t>동진쎄미켐</t>
        </is>
      </c>
      <c r="D1067" s="27" t="inlineStr">
        <is>
          <t>dongjin_semichem</t>
        </is>
      </c>
      <c r="E1067" s="27" t="inlineStr">
        <is>
          <t>005290</t>
        </is>
      </c>
      <c r="F1067" s="27" t="inlineStr">
        <is>
          <t>2025</t>
        </is>
      </c>
      <c r="G1067" s="27" t="inlineStr">
        <is>
          <t>CFS</t>
        </is>
      </c>
      <c r="H1067" s="27" t="inlineStr">
        <is>
          <t>SCE</t>
        </is>
      </c>
      <c r="I1067" s="27" t="inlineStr">
        <is>
          <t>자본변동표</t>
        </is>
      </c>
      <c r="J1067" s="27" t="inlineStr">
        <is>
          <t>ifrs-full_IssueOfEquity</t>
        </is>
      </c>
      <c r="K1067" s="27" t="inlineStr">
        <is>
          <t>유상증자</t>
        </is>
      </c>
      <c r="L1067" s="27" t="inlineStr">
        <is>
          <t>자본 [구성요소]|지배기업의 소유주에게 귀속되는 지분 [구성요소]</t>
        </is>
      </c>
      <c r="M1067" s="27" t="inlineStr">
        <is>
          <t>제 53 기</t>
        </is>
      </c>
      <c r="N1067" s="27" t="inlineStr">
        <is>
          <t>0.0</t>
        </is>
      </c>
      <c r="O1067" s="27" t="inlineStr">
        <is>
          <t>0.0</t>
        </is>
      </c>
      <c r="P1067" s="27" t="inlineStr">
        <is>
          <t>KRW</t>
        </is>
      </c>
      <c r="Q1067" s="27" t="inlineStr">
        <is>
          <t>11</t>
        </is>
      </c>
    </row>
    <row r="1068" ht="24" customHeight="1">
      <c r="A1068" s="32" t="inlineStr">
        <is>
          <t>OpenDART_fnlttSinglAcntAll</t>
        </is>
      </c>
      <c r="B1068" s="32" t="inlineStr">
        <is>
          <t>00118804</t>
        </is>
      </c>
      <c r="C1068" s="32" t="inlineStr">
        <is>
          <t>동진쎄미켐</t>
        </is>
      </c>
      <c r="D1068" s="32" t="inlineStr">
        <is>
          <t>dongjin_semichem</t>
        </is>
      </c>
      <c r="E1068" s="32" t="inlineStr">
        <is>
          <t>005290</t>
        </is>
      </c>
      <c r="F1068" s="32" t="inlineStr">
        <is>
          <t>2025</t>
        </is>
      </c>
      <c r="G1068" s="32" t="inlineStr">
        <is>
          <t>CFS</t>
        </is>
      </c>
      <c r="H1068" s="32" t="inlineStr">
        <is>
          <t>SCE</t>
        </is>
      </c>
      <c r="I1068" s="32" t="inlineStr">
        <is>
          <t>자본변동표</t>
        </is>
      </c>
      <c r="J1068" s="32" t="inlineStr">
        <is>
          <t>ifrs-full_IssueOfEquity</t>
        </is>
      </c>
      <c r="K1068" s="32" t="inlineStr">
        <is>
          <t>유상증자</t>
        </is>
      </c>
      <c r="L1068" s="32" t="inlineStr">
        <is>
          <t>자본 [구성요소]|지배기업의 소유주에게 귀속되는 지분 [구성요소]|자본금 [구성요소]</t>
        </is>
      </c>
      <c r="M1068" s="32" t="inlineStr">
        <is>
          <t>제 53 기</t>
        </is>
      </c>
      <c r="N1068" s="32" t="inlineStr">
        <is>
          <t>0.0</t>
        </is>
      </c>
      <c r="O1068" s="32" t="inlineStr">
        <is>
          <t>0.0</t>
        </is>
      </c>
      <c r="P1068" s="32" t="inlineStr">
        <is>
          <t>KRW</t>
        </is>
      </c>
      <c r="Q1068" s="32" t="inlineStr">
        <is>
          <t>11</t>
        </is>
      </c>
    </row>
    <row r="1069" ht="24" customHeight="1">
      <c r="A1069" s="27" t="inlineStr">
        <is>
          <t>OpenDART_fnlttSinglAcntAll</t>
        </is>
      </c>
      <c r="B1069" s="27" t="inlineStr">
        <is>
          <t>00118804</t>
        </is>
      </c>
      <c r="C1069" s="27" t="inlineStr">
        <is>
          <t>동진쎄미켐</t>
        </is>
      </c>
      <c r="D1069" s="27" t="inlineStr">
        <is>
          <t>dongjin_semichem</t>
        </is>
      </c>
      <c r="E1069" s="27" t="inlineStr">
        <is>
          <t>005290</t>
        </is>
      </c>
      <c r="F1069" s="27" t="inlineStr">
        <is>
          <t>2025</t>
        </is>
      </c>
      <c r="G1069" s="27" t="inlineStr">
        <is>
          <t>CFS</t>
        </is>
      </c>
      <c r="H1069" s="27" t="inlineStr">
        <is>
          <t>SCE</t>
        </is>
      </c>
      <c r="I1069" s="27" t="inlineStr">
        <is>
          <t>자본변동표</t>
        </is>
      </c>
      <c r="J1069" s="27" t="inlineStr">
        <is>
          <t>ifrs-full_IssueOfEquity</t>
        </is>
      </c>
      <c r="K1069" s="27" t="inlineStr">
        <is>
          <t>유상증자</t>
        </is>
      </c>
      <c r="L1069" s="27" t="inlineStr">
        <is>
          <t>자본 [구성요소]|지배기업의 소유주에게 귀속되는 지분 [구성요소]|이익잉여금 [구성요소]</t>
        </is>
      </c>
      <c r="M1069" s="27" t="inlineStr">
        <is>
          <t>제 53 기</t>
        </is>
      </c>
      <c r="N1069" s="27" t="inlineStr">
        <is>
          <t>0.0</t>
        </is>
      </c>
      <c r="O1069" s="27" t="inlineStr">
        <is>
          <t>0.0</t>
        </is>
      </c>
      <c r="P1069" s="27" t="inlineStr">
        <is>
          <t>KRW</t>
        </is>
      </c>
      <c r="Q1069" s="27" t="inlineStr">
        <is>
          <t>11</t>
        </is>
      </c>
    </row>
    <row r="1070" ht="24" customHeight="1">
      <c r="A1070" s="32" t="inlineStr">
        <is>
          <t>OpenDART_fnlttSinglAcntAll</t>
        </is>
      </c>
      <c r="B1070" s="32" t="inlineStr">
        <is>
          <t>00118804</t>
        </is>
      </c>
      <c r="C1070" s="32" t="inlineStr">
        <is>
          <t>동진쎄미켐</t>
        </is>
      </c>
      <c r="D1070" s="32" t="inlineStr">
        <is>
          <t>dongjin_semichem</t>
        </is>
      </c>
      <c r="E1070" s="32" t="inlineStr">
        <is>
          <t>005290</t>
        </is>
      </c>
      <c r="F1070" s="32" t="inlineStr">
        <is>
          <t>2025</t>
        </is>
      </c>
      <c r="G1070" s="32" t="inlineStr">
        <is>
          <t>CFS</t>
        </is>
      </c>
      <c r="H1070" s="32" t="inlineStr">
        <is>
          <t>SCE</t>
        </is>
      </c>
      <c r="I1070" s="32" t="inlineStr">
        <is>
          <t>자본변동표</t>
        </is>
      </c>
      <c r="J1070" s="32" t="inlineStr">
        <is>
          <t>ifrs-full_IssueOfEquity</t>
        </is>
      </c>
      <c r="K1070" s="32" t="inlineStr">
        <is>
          <t>유상증자</t>
        </is>
      </c>
      <c r="L1070" s="32" t="inlineStr">
        <is>
          <t>자본 [구성요소]|지배기업의 소유주에게 귀속되는 지분 [구성요소]|기타자본구성요소 [구성요소]</t>
        </is>
      </c>
      <c r="M1070" s="32" t="inlineStr">
        <is>
          <t>제 53 기</t>
        </is>
      </c>
      <c r="N1070" s="32" t="inlineStr">
        <is>
          <t>0.0</t>
        </is>
      </c>
      <c r="O1070" s="32" t="inlineStr">
        <is>
          <t>0.0</t>
        </is>
      </c>
      <c r="P1070" s="32" t="inlineStr">
        <is>
          <t>KRW</t>
        </is>
      </c>
      <c r="Q1070" s="32" t="inlineStr">
        <is>
          <t>11</t>
        </is>
      </c>
    </row>
    <row r="1071" ht="24" customHeight="1">
      <c r="A1071" s="27" t="inlineStr">
        <is>
          <t>OpenDART_fnlttSinglAcntAll</t>
        </is>
      </c>
      <c r="B1071" s="27" t="inlineStr">
        <is>
          <t>00118804</t>
        </is>
      </c>
      <c r="C1071" s="27" t="inlineStr">
        <is>
          <t>동진쎄미켐</t>
        </is>
      </c>
      <c r="D1071" s="27" t="inlineStr">
        <is>
          <t>dongjin_semichem</t>
        </is>
      </c>
      <c r="E1071" s="27" t="inlineStr">
        <is>
          <t>005290</t>
        </is>
      </c>
      <c r="F1071" s="27" t="inlineStr">
        <is>
          <t>2025</t>
        </is>
      </c>
      <c r="G1071" s="27" t="inlineStr">
        <is>
          <t>CFS</t>
        </is>
      </c>
      <c r="H1071" s="27" t="inlineStr">
        <is>
          <t>SCE</t>
        </is>
      </c>
      <c r="I1071" s="27" t="inlineStr">
        <is>
          <t>자본변동표</t>
        </is>
      </c>
      <c r="J1071" s="27" t="inlineStr">
        <is>
          <t>ifrs-full_IssueOfEquity</t>
        </is>
      </c>
      <c r="K1071" s="27" t="inlineStr">
        <is>
          <t>유상증자</t>
        </is>
      </c>
      <c r="L1071" s="27" t="inlineStr">
        <is>
          <t>자본 [구성요소]|지배기업의 소유주에게 귀속되는 지분 [구성요소]|추가납입자본 [구성요소]</t>
        </is>
      </c>
      <c r="M1071" s="27" t="inlineStr">
        <is>
          <t>제 53 기</t>
        </is>
      </c>
      <c r="N1071" s="27" t="inlineStr">
        <is>
          <t>0.0</t>
        </is>
      </c>
      <c r="O1071" s="27" t="inlineStr">
        <is>
          <t>0.0</t>
        </is>
      </c>
      <c r="P1071" s="27" t="inlineStr">
        <is>
          <t>KRW</t>
        </is>
      </c>
      <c r="Q1071" s="27" t="inlineStr">
        <is>
          <t>11</t>
        </is>
      </c>
    </row>
    <row r="1072" ht="24" customHeight="1">
      <c r="A1072" s="32" t="inlineStr">
        <is>
          <t>OpenDART_fnlttSinglAcntAll</t>
        </is>
      </c>
      <c r="B1072" s="32" t="inlineStr">
        <is>
          <t>00118804</t>
        </is>
      </c>
      <c r="C1072" s="32" t="inlineStr">
        <is>
          <t>동진쎄미켐</t>
        </is>
      </c>
      <c r="D1072" s="32" t="inlineStr">
        <is>
          <t>dongjin_semichem</t>
        </is>
      </c>
      <c r="E1072" s="32" t="inlineStr">
        <is>
          <t>005290</t>
        </is>
      </c>
      <c r="F1072" s="32" t="inlineStr">
        <is>
          <t>2025</t>
        </is>
      </c>
      <c r="G1072" s="32" t="inlineStr">
        <is>
          <t>CFS</t>
        </is>
      </c>
      <c r="H1072" s="32" t="inlineStr">
        <is>
          <t>SCE</t>
        </is>
      </c>
      <c r="I1072" s="32" t="inlineStr">
        <is>
          <t>자본변동표</t>
        </is>
      </c>
      <c r="J1072" s="32" t="inlineStr">
        <is>
          <t>ifrs-full_OtherComprehensiveIncomeNetOfTaxExchangeDifferencesOnTranslation</t>
        </is>
      </c>
      <c r="K1072" s="32" t="inlineStr">
        <is>
          <t>해외사업장환산 외환차이</t>
        </is>
      </c>
      <c r="L1072" s="32" t="inlineStr">
        <is>
          <t>자본 [구성요소]|비지배지분 [구성요소]</t>
        </is>
      </c>
      <c r="M1072" s="32" t="inlineStr">
        <is>
          <t>제 53 기</t>
        </is>
      </c>
      <c r="N1072" s="32" t="inlineStr">
        <is>
          <t>-720950047.0</t>
        </is>
      </c>
      <c r="O1072" s="32" t="inlineStr">
        <is>
          <t>4097773217.0</t>
        </is>
      </c>
      <c r="P1072" s="32" t="inlineStr">
        <is>
          <t>KRW</t>
        </is>
      </c>
      <c r="Q1072" s="32" t="inlineStr">
        <is>
          <t>12</t>
        </is>
      </c>
    </row>
    <row r="1073" ht="24" customHeight="1">
      <c r="A1073" s="27" t="inlineStr">
        <is>
          <t>OpenDART_fnlttSinglAcntAll</t>
        </is>
      </c>
      <c r="B1073" s="27" t="inlineStr">
        <is>
          <t>00118804</t>
        </is>
      </c>
      <c r="C1073" s="27" t="inlineStr">
        <is>
          <t>동진쎄미켐</t>
        </is>
      </c>
      <c r="D1073" s="27" t="inlineStr">
        <is>
          <t>dongjin_semichem</t>
        </is>
      </c>
      <c r="E1073" s="27" t="inlineStr">
        <is>
          <t>005290</t>
        </is>
      </c>
      <c r="F1073" s="27" t="inlineStr">
        <is>
          <t>2025</t>
        </is>
      </c>
      <c r="G1073" s="27" t="inlineStr">
        <is>
          <t>CFS</t>
        </is>
      </c>
      <c r="H1073" s="27" t="inlineStr">
        <is>
          <t>SCE</t>
        </is>
      </c>
      <c r="I1073" s="27" t="inlineStr">
        <is>
          <t>자본변동표</t>
        </is>
      </c>
      <c r="J1073" s="27" t="inlineStr">
        <is>
          <t>ifrs-full_OtherComprehensiveIncomeNetOfTaxExchangeDifferencesOnTranslation</t>
        </is>
      </c>
      <c r="K1073" s="27" t="inlineStr">
        <is>
          <t>해외사업장환산 외환차이</t>
        </is>
      </c>
      <c r="L1073" s="27" t="inlineStr">
        <is>
          <t>자본 [구성요소]|지배기업의 소유주에게 귀속되는 지분 [구성요소]</t>
        </is>
      </c>
      <c r="M1073" s="27" t="inlineStr">
        <is>
          <t>제 53 기</t>
        </is>
      </c>
      <c r="N1073" s="27" t="inlineStr">
        <is>
          <t>2180334844.0</t>
        </is>
      </c>
      <c r="O1073" s="27" t="inlineStr">
        <is>
          <t>45645371086.0</t>
        </is>
      </c>
      <c r="P1073" s="27" t="inlineStr">
        <is>
          <t>KRW</t>
        </is>
      </c>
      <c r="Q1073" s="27" t="inlineStr">
        <is>
          <t>12</t>
        </is>
      </c>
    </row>
    <row r="1074" ht="24" customHeight="1">
      <c r="A1074" s="32" t="inlineStr">
        <is>
          <t>OpenDART_fnlttSinglAcntAll</t>
        </is>
      </c>
      <c r="B1074" s="32" t="inlineStr">
        <is>
          <t>00118804</t>
        </is>
      </c>
      <c r="C1074" s="32" t="inlineStr">
        <is>
          <t>동진쎄미켐</t>
        </is>
      </c>
      <c r="D1074" s="32" t="inlineStr">
        <is>
          <t>dongjin_semichem</t>
        </is>
      </c>
      <c r="E1074" s="32" t="inlineStr">
        <is>
          <t>005290</t>
        </is>
      </c>
      <c r="F1074" s="32" t="inlineStr">
        <is>
          <t>2025</t>
        </is>
      </c>
      <c r="G1074" s="32" t="inlineStr">
        <is>
          <t>CFS</t>
        </is>
      </c>
      <c r="H1074" s="32" t="inlineStr">
        <is>
          <t>SCE</t>
        </is>
      </c>
      <c r="I1074" s="32" t="inlineStr">
        <is>
          <t>자본변동표</t>
        </is>
      </c>
      <c r="J1074" s="32" t="inlineStr">
        <is>
          <t>ifrs-full_OtherComprehensiveIncomeNetOfTaxExchangeDifferencesOnTranslation</t>
        </is>
      </c>
      <c r="K1074" s="32" t="inlineStr">
        <is>
          <t>해외사업장환산 외환차이</t>
        </is>
      </c>
      <c r="L1074" s="32" t="inlineStr">
        <is>
          <t>자본 [구성요소]|지배기업의 소유주에게 귀속되는 지분 [구성요소]|기타자본구성요소 [구성요소]</t>
        </is>
      </c>
      <c r="M1074" s="32" t="inlineStr">
        <is>
          <t>제 53 기</t>
        </is>
      </c>
      <c r="N1074" s="32" t="inlineStr">
        <is>
          <t>2180334844.0</t>
        </is>
      </c>
      <c r="O1074" s="32" t="inlineStr">
        <is>
          <t>45645371086.0</t>
        </is>
      </c>
      <c r="P1074" s="32" t="inlineStr">
        <is>
          <t>KRW</t>
        </is>
      </c>
      <c r="Q1074" s="32" t="inlineStr">
        <is>
          <t>12</t>
        </is>
      </c>
    </row>
    <row r="1075" ht="24" customHeight="1">
      <c r="A1075" s="27" t="inlineStr">
        <is>
          <t>OpenDART_fnlttSinglAcntAll</t>
        </is>
      </c>
      <c r="B1075" s="27" t="inlineStr">
        <is>
          <t>00118804</t>
        </is>
      </c>
      <c r="C1075" s="27" t="inlineStr">
        <is>
          <t>동진쎄미켐</t>
        </is>
      </c>
      <c r="D1075" s="27" t="inlineStr">
        <is>
          <t>dongjin_semichem</t>
        </is>
      </c>
      <c r="E1075" s="27" t="inlineStr">
        <is>
          <t>005290</t>
        </is>
      </c>
      <c r="F1075" s="27" t="inlineStr">
        <is>
          <t>2025</t>
        </is>
      </c>
      <c r="G1075" s="27" t="inlineStr">
        <is>
          <t>CFS</t>
        </is>
      </c>
      <c r="H1075" s="27" t="inlineStr">
        <is>
          <t>SCE</t>
        </is>
      </c>
      <c r="I1075" s="27" t="inlineStr">
        <is>
          <t>자본변동표</t>
        </is>
      </c>
      <c r="J1075" s="27" t="inlineStr">
        <is>
          <t>ifrs-full_OtherComprehensiveIncomeNetOfTaxExchangeDifferencesOnTranslation</t>
        </is>
      </c>
      <c r="K1075" s="27" t="inlineStr">
        <is>
          <t>해외사업장환산 외환차이</t>
        </is>
      </c>
      <c r="L1075" s="27" t="inlineStr">
        <is>
          <t>자본 [구성요소]|지배기업의 소유주에게 귀속되는 지분 [구성요소]|이익잉여금 [구성요소]</t>
        </is>
      </c>
      <c r="M1075" s="27" t="inlineStr">
        <is>
          <t>제 53 기</t>
        </is>
      </c>
      <c r="N1075" s="27" t="inlineStr">
        <is>
          <t>0.0</t>
        </is>
      </c>
      <c r="O1075" s="27" t="inlineStr">
        <is>
          <t>0.0</t>
        </is>
      </c>
      <c r="P1075" s="27" t="inlineStr">
        <is>
          <t>KRW</t>
        </is>
      </c>
      <c r="Q1075" s="27" t="inlineStr">
        <is>
          <t>12</t>
        </is>
      </c>
    </row>
    <row r="1076" ht="24" customHeight="1">
      <c r="A1076" s="32" t="inlineStr">
        <is>
          <t>OpenDART_fnlttSinglAcntAll</t>
        </is>
      </c>
      <c r="B1076" s="32" t="inlineStr">
        <is>
          <t>00118804</t>
        </is>
      </c>
      <c r="C1076" s="32" t="inlineStr">
        <is>
          <t>동진쎄미켐</t>
        </is>
      </c>
      <c r="D1076" s="32" t="inlineStr">
        <is>
          <t>dongjin_semichem</t>
        </is>
      </c>
      <c r="E1076" s="32" t="inlineStr">
        <is>
          <t>005290</t>
        </is>
      </c>
      <c r="F1076" s="32" t="inlineStr">
        <is>
          <t>2025</t>
        </is>
      </c>
      <c r="G1076" s="32" t="inlineStr">
        <is>
          <t>CFS</t>
        </is>
      </c>
      <c r="H1076" s="32" t="inlineStr">
        <is>
          <t>SCE</t>
        </is>
      </c>
      <c r="I1076" s="32" t="inlineStr">
        <is>
          <t>자본변동표</t>
        </is>
      </c>
      <c r="J1076" s="32" t="inlineStr">
        <is>
          <t>ifrs-full_OtherComprehensiveIncomeNetOfTaxExchangeDifferencesOnTranslation</t>
        </is>
      </c>
      <c r="K1076" s="32" t="inlineStr">
        <is>
          <t>해외사업장환산 외환차이</t>
        </is>
      </c>
      <c r="L1076" s="32" t="inlineStr">
        <is>
          <t>자본 [구성요소]|지배기업의 소유주에게 귀속되는 지분 [구성요소]|자본금 [구성요소]</t>
        </is>
      </c>
      <c r="M1076" s="32" t="inlineStr">
        <is>
          <t>제 53 기</t>
        </is>
      </c>
      <c r="N1076" s="32" t="inlineStr">
        <is>
          <t>0.0</t>
        </is>
      </c>
      <c r="O1076" s="32" t="inlineStr">
        <is>
          <t>0.0</t>
        </is>
      </c>
      <c r="P1076" s="32" t="inlineStr">
        <is>
          <t>KRW</t>
        </is>
      </c>
      <c r="Q1076" s="32" t="inlineStr">
        <is>
          <t>12</t>
        </is>
      </c>
    </row>
    <row r="1077" ht="24" customHeight="1">
      <c r="A1077" s="27" t="inlineStr">
        <is>
          <t>OpenDART_fnlttSinglAcntAll</t>
        </is>
      </c>
      <c r="B1077" s="27" t="inlineStr">
        <is>
          <t>00118804</t>
        </is>
      </c>
      <c r="C1077" s="27" t="inlineStr">
        <is>
          <t>동진쎄미켐</t>
        </is>
      </c>
      <c r="D1077" s="27" t="inlineStr">
        <is>
          <t>dongjin_semichem</t>
        </is>
      </c>
      <c r="E1077" s="27" t="inlineStr">
        <is>
          <t>005290</t>
        </is>
      </c>
      <c r="F1077" s="27" t="inlineStr">
        <is>
          <t>2025</t>
        </is>
      </c>
      <c r="G1077" s="27" t="inlineStr">
        <is>
          <t>CFS</t>
        </is>
      </c>
      <c r="H1077" s="27" t="inlineStr">
        <is>
          <t>SCE</t>
        </is>
      </c>
      <c r="I1077" s="27" t="inlineStr">
        <is>
          <t>자본변동표</t>
        </is>
      </c>
      <c r="J1077" s="27" t="inlineStr">
        <is>
          <t>ifrs-full_OtherComprehensiveIncomeNetOfTaxExchangeDifferencesOnTranslation</t>
        </is>
      </c>
      <c r="K1077" s="27" t="inlineStr">
        <is>
          <t>해외사업장환산 외환차이</t>
        </is>
      </c>
      <c r="L1077" s="27" t="inlineStr">
        <is>
          <t>자본 [구성요소]|지배기업의 소유주에게 귀속되는 지분 [구성요소]|추가납입자본 [구성요소]</t>
        </is>
      </c>
      <c r="M1077" s="27" t="inlineStr">
        <is>
          <t>제 53 기</t>
        </is>
      </c>
      <c r="N1077" s="27" t="inlineStr">
        <is>
          <t>0.0</t>
        </is>
      </c>
      <c r="O1077" s="27" t="inlineStr">
        <is>
          <t>0.0</t>
        </is>
      </c>
      <c r="P1077" s="27" t="inlineStr">
        <is>
          <t>KRW</t>
        </is>
      </c>
      <c r="Q1077" s="27" t="inlineStr">
        <is>
          <t>12</t>
        </is>
      </c>
    </row>
    <row r="1078" ht="24" customHeight="1">
      <c r="A1078" s="32" t="inlineStr">
        <is>
          <t>OpenDART_fnlttSinglAcntAll</t>
        </is>
      </c>
      <c r="B1078" s="32" t="inlineStr">
        <is>
          <t>00118804</t>
        </is>
      </c>
      <c r="C1078" s="32" t="inlineStr">
        <is>
          <t>동진쎄미켐</t>
        </is>
      </c>
      <c r="D1078" s="32" t="inlineStr">
        <is>
          <t>dongjin_semichem</t>
        </is>
      </c>
      <c r="E1078" s="32" t="inlineStr">
        <is>
          <t>005290</t>
        </is>
      </c>
      <c r="F1078" s="32" t="inlineStr">
        <is>
          <t>2025</t>
        </is>
      </c>
      <c r="G1078" s="32" t="inlineStr">
        <is>
          <t>CFS</t>
        </is>
      </c>
      <c r="H1078" s="32" t="inlineStr">
        <is>
          <t>SCE</t>
        </is>
      </c>
      <c r="I1078" s="32" t="inlineStr">
        <is>
          <t>자본변동표</t>
        </is>
      </c>
      <c r="J1078" s="32" t="inlineStr">
        <is>
          <t>ifrs-full_OtherComprehensiveIncomeNetOfTaxExchangeDifferencesOnTranslation</t>
        </is>
      </c>
      <c r="K1078" s="32" t="inlineStr">
        <is>
          <t>해외사업장환산 외환차이</t>
        </is>
      </c>
      <c r="L1078" s="32" t="inlineStr">
        <is>
          <t>연결재무제표 [member]</t>
        </is>
      </c>
      <c r="M1078" s="32" t="inlineStr">
        <is>
          <t>제 53 기</t>
        </is>
      </c>
      <c r="N1078" s="32" t="inlineStr">
        <is>
          <t>1459384797.0</t>
        </is>
      </c>
      <c r="O1078" s="32" t="inlineStr">
        <is>
          <t>49743144303.0</t>
        </is>
      </c>
      <c r="P1078" s="32" t="inlineStr">
        <is>
          <t>KRW</t>
        </is>
      </c>
      <c r="Q1078" s="32" t="inlineStr">
        <is>
          <t>12</t>
        </is>
      </c>
    </row>
    <row r="1079" ht="24" customHeight="1">
      <c r="A1079" s="27" t="inlineStr">
        <is>
          <t>OpenDART_fnlttSinglAcntAll</t>
        </is>
      </c>
      <c r="B1079" s="27" t="inlineStr">
        <is>
          <t>00118804</t>
        </is>
      </c>
      <c r="C1079" s="27" t="inlineStr">
        <is>
          <t>동진쎄미켐</t>
        </is>
      </c>
      <c r="D1079" s="27" t="inlineStr">
        <is>
          <t>dongjin_semichem</t>
        </is>
      </c>
      <c r="E1079" s="27" t="inlineStr">
        <is>
          <t>005290</t>
        </is>
      </c>
      <c r="F1079" s="27" t="inlineStr">
        <is>
          <t>2025</t>
        </is>
      </c>
      <c r="G1079" s="27" t="inlineStr">
        <is>
          <t>CFS</t>
        </is>
      </c>
      <c r="H1079" s="27" t="inlineStr">
        <is>
          <t>SCE</t>
        </is>
      </c>
      <c r="I1079" s="27" t="inlineStr">
        <is>
          <t>자본변동표</t>
        </is>
      </c>
      <c r="J1079" s="27" t="inlineStr">
        <is>
          <t>ifrs-full_OtherComprehensiveIncomeNetOfTaxGainsLossesOnRemeasurementsOfDefinedBenefitPlans</t>
        </is>
      </c>
      <c r="K1079" s="27" t="inlineStr">
        <is>
          <t>순확정급여부채 재측정요소</t>
        </is>
      </c>
      <c r="L1079" s="27" t="inlineStr">
        <is>
          <t>자본 [구성요소]|지배기업의 소유주에게 귀속되는 지분 [구성요소]</t>
        </is>
      </c>
      <c r="M1079" s="27" t="inlineStr">
        <is>
          <t>제 53 기</t>
        </is>
      </c>
      <c r="N1079" s="27" t="inlineStr">
        <is>
          <t>-2731885846.0</t>
        </is>
      </c>
      <c r="O1079" s="27" t="inlineStr">
        <is>
          <t>-2050514158.0</t>
        </is>
      </c>
      <c r="P1079" s="27" t="inlineStr">
        <is>
          <t>KRW</t>
        </is>
      </c>
      <c r="Q1079" s="27" t="inlineStr">
        <is>
          <t>13</t>
        </is>
      </c>
    </row>
    <row r="1080" ht="24" customHeight="1">
      <c r="A1080" s="32" t="inlineStr">
        <is>
          <t>OpenDART_fnlttSinglAcntAll</t>
        </is>
      </c>
      <c r="B1080" s="32" t="inlineStr">
        <is>
          <t>00118804</t>
        </is>
      </c>
      <c r="C1080" s="32" t="inlineStr">
        <is>
          <t>동진쎄미켐</t>
        </is>
      </c>
      <c r="D1080" s="32" t="inlineStr">
        <is>
          <t>dongjin_semichem</t>
        </is>
      </c>
      <c r="E1080" s="32" t="inlineStr">
        <is>
          <t>005290</t>
        </is>
      </c>
      <c r="F1080" s="32" t="inlineStr">
        <is>
          <t>2025</t>
        </is>
      </c>
      <c r="G1080" s="32" t="inlineStr">
        <is>
          <t>CFS</t>
        </is>
      </c>
      <c r="H1080" s="32" t="inlineStr">
        <is>
          <t>SCE</t>
        </is>
      </c>
      <c r="I1080" s="32" t="inlineStr">
        <is>
          <t>자본변동표</t>
        </is>
      </c>
      <c r="J1080" s="32" t="inlineStr">
        <is>
          <t>ifrs-full_OtherComprehensiveIncomeNetOfTaxGainsLossesOnRemeasurementsOfDefinedBenefitPlans</t>
        </is>
      </c>
      <c r="K1080" s="32" t="inlineStr">
        <is>
          <t>순확정급여부채 재측정요소</t>
        </is>
      </c>
      <c r="L1080" s="32" t="inlineStr">
        <is>
          <t>자본 [구성요소]|비지배지분 [구성요소]</t>
        </is>
      </c>
      <c r="M1080" s="32" t="inlineStr">
        <is>
          <t>제 53 기</t>
        </is>
      </c>
      <c r="N1080" s="32" t="inlineStr">
        <is>
          <t>0.0</t>
        </is>
      </c>
      <c r="O1080" s="32" t="inlineStr">
        <is>
          <t>0.0</t>
        </is>
      </c>
      <c r="P1080" s="32" t="inlineStr">
        <is>
          <t>KRW</t>
        </is>
      </c>
      <c r="Q1080" s="32" t="inlineStr">
        <is>
          <t>13</t>
        </is>
      </c>
    </row>
    <row r="1081" ht="24" customHeight="1">
      <c r="A1081" s="27" t="inlineStr">
        <is>
          <t>OpenDART_fnlttSinglAcntAll</t>
        </is>
      </c>
      <c r="B1081" s="27" t="inlineStr">
        <is>
          <t>00118804</t>
        </is>
      </c>
      <c r="C1081" s="27" t="inlineStr">
        <is>
          <t>동진쎄미켐</t>
        </is>
      </c>
      <c r="D1081" s="27" t="inlineStr">
        <is>
          <t>dongjin_semichem</t>
        </is>
      </c>
      <c r="E1081" s="27" t="inlineStr">
        <is>
          <t>005290</t>
        </is>
      </c>
      <c r="F1081" s="27" t="inlineStr">
        <is>
          <t>2025</t>
        </is>
      </c>
      <c r="G1081" s="27" t="inlineStr">
        <is>
          <t>CFS</t>
        </is>
      </c>
      <c r="H1081" s="27" t="inlineStr">
        <is>
          <t>SCE</t>
        </is>
      </c>
      <c r="I1081" s="27" t="inlineStr">
        <is>
          <t>자본변동표</t>
        </is>
      </c>
      <c r="J1081" s="27" t="inlineStr">
        <is>
          <t>ifrs-full_OtherComprehensiveIncomeNetOfTaxGainsLossesOnRemeasurementsOfDefinedBenefitPlans</t>
        </is>
      </c>
      <c r="K1081" s="27" t="inlineStr">
        <is>
          <t>순확정급여부채 재측정요소</t>
        </is>
      </c>
      <c r="L1081" s="27" t="inlineStr">
        <is>
          <t>연결재무제표 [member]</t>
        </is>
      </c>
      <c r="M1081" s="27" t="inlineStr">
        <is>
          <t>제 53 기</t>
        </is>
      </c>
      <c r="N1081" s="27" t="inlineStr">
        <is>
          <t>-2731885846.0</t>
        </is>
      </c>
      <c r="O1081" s="27" t="inlineStr">
        <is>
          <t>-2050514158.0</t>
        </is>
      </c>
      <c r="P1081" s="27" t="inlineStr">
        <is>
          <t>KRW</t>
        </is>
      </c>
      <c r="Q1081" s="27" t="inlineStr">
        <is>
          <t>13</t>
        </is>
      </c>
    </row>
    <row r="1082" ht="24" customHeight="1">
      <c r="A1082" s="32" t="inlineStr">
        <is>
          <t>OpenDART_fnlttSinglAcntAll</t>
        </is>
      </c>
      <c r="B1082" s="32" t="inlineStr">
        <is>
          <t>00118804</t>
        </is>
      </c>
      <c r="C1082" s="32" t="inlineStr">
        <is>
          <t>동진쎄미켐</t>
        </is>
      </c>
      <c r="D1082" s="32" t="inlineStr">
        <is>
          <t>dongjin_semichem</t>
        </is>
      </c>
      <c r="E1082" s="32" t="inlineStr">
        <is>
          <t>005290</t>
        </is>
      </c>
      <c r="F1082" s="32" t="inlineStr">
        <is>
          <t>2025</t>
        </is>
      </c>
      <c r="G1082" s="32" t="inlineStr">
        <is>
          <t>CFS</t>
        </is>
      </c>
      <c r="H1082" s="32" t="inlineStr">
        <is>
          <t>SCE</t>
        </is>
      </c>
      <c r="I1082" s="32" t="inlineStr">
        <is>
          <t>자본변동표</t>
        </is>
      </c>
      <c r="J1082" s="32" t="inlineStr">
        <is>
          <t>ifrs-full_OtherComprehensiveIncomeNetOfTaxGainsLossesOnRemeasurementsOfDefinedBenefitPlans</t>
        </is>
      </c>
      <c r="K1082" s="32" t="inlineStr">
        <is>
          <t>순확정급여부채 재측정요소</t>
        </is>
      </c>
      <c r="L1082" s="32" t="inlineStr">
        <is>
          <t>자본 [구성요소]|지배기업의 소유주에게 귀속되는 지분 [구성요소]|기타자본구성요소 [구성요소]</t>
        </is>
      </c>
      <c r="M1082" s="32" t="inlineStr">
        <is>
          <t>제 53 기</t>
        </is>
      </c>
      <c r="N1082" s="32" t="inlineStr">
        <is>
          <t>0.0</t>
        </is>
      </c>
      <c r="O1082" s="32" t="inlineStr">
        <is>
          <t>0.0</t>
        </is>
      </c>
      <c r="P1082" s="32" t="inlineStr">
        <is>
          <t>KRW</t>
        </is>
      </c>
      <c r="Q1082" s="32" t="inlineStr">
        <is>
          <t>13</t>
        </is>
      </c>
    </row>
    <row r="1083" ht="24" customHeight="1">
      <c r="A1083" s="27" t="inlineStr">
        <is>
          <t>OpenDART_fnlttSinglAcntAll</t>
        </is>
      </c>
      <c r="B1083" s="27" t="inlineStr">
        <is>
          <t>00118804</t>
        </is>
      </c>
      <c r="C1083" s="27" t="inlineStr">
        <is>
          <t>동진쎄미켐</t>
        </is>
      </c>
      <c r="D1083" s="27" t="inlineStr">
        <is>
          <t>dongjin_semichem</t>
        </is>
      </c>
      <c r="E1083" s="27" t="inlineStr">
        <is>
          <t>005290</t>
        </is>
      </c>
      <c r="F1083" s="27" t="inlineStr">
        <is>
          <t>2025</t>
        </is>
      </c>
      <c r="G1083" s="27" t="inlineStr">
        <is>
          <t>CFS</t>
        </is>
      </c>
      <c r="H1083" s="27" t="inlineStr">
        <is>
          <t>SCE</t>
        </is>
      </c>
      <c r="I1083" s="27" t="inlineStr">
        <is>
          <t>자본변동표</t>
        </is>
      </c>
      <c r="J1083" s="27" t="inlineStr">
        <is>
          <t>ifrs-full_OtherComprehensiveIncomeNetOfTaxGainsLossesOnRemeasurementsOfDefinedBenefitPlans</t>
        </is>
      </c>
      <c r="K1083" s="27" t="inlineStr">
        <is>
          <t>순확정급여부채 재측정요소</t>
        </is>
      </c>
      <c r="L1083" s="27" t="inlineStr">
        <is>
          <t>자본 [구성요소]|지배기업의 소유주에게 귀속되는 지분 [구성요소]|이익잉여금 [구성요소]</t>
        </is>
      </c>
      <c r="M1083" s="27" t="inlineStr">
        <is>
          <t>제 53 기</t>
        </is>
      </c>
      <c r="N1083" s="27" t="inlineStr">
        <is>
          <t>-2731885846.0</t>
        </is>
      </c>
      <c r="O1083" s="27" t="inlineStr">
        <is>
          <t>-2050514158.0</t>
        </is>
      </c>
      <c r="P1083" s="27" t="inlineStr">
        <is>
          <t>KRW</t>
        </is>
      </c>
      <c r="Q1083" s="27" t="inlineStr">
        <is>
          <t>13</t>
        </is>
      </c>
    </row>
    <row r="1084" ht="24" customHeight="1">
      <c r="A1084" s="32" t="inlineStr">
        <is>
          <t>OpenDART_fnlttSinglAcntAll</t>
        </is>
      </c>
      <c r="B1084" s="32" t="inlineStr">
        <is>
          <t>00118804</t>
        </is>
      </c>
      <c r="C1084" s="32" t="inlineStr">
        <is>
          <t>동진쎄미켐</t>
        </is>
      </c>
      <c r="D1084" s="32" t="inlineStr">
        <is>
          <t>dongjin_semichem</t>
        </is>
      </c>
      <c r="E1084" s="32" t="inlineStr">
        <is>
          <t>005290</t>
        </is>
      </c>
      <c r="F1084" s="32" t="inlineStr">
        <is>
          <t>2025</t>
        </is>
      </c>
      <c r="G1084" s="32" t="inlineStr">
        <is>
          <t>CFS</t>
        </is>
      </c>
      <c r="H1084" s="32" t="inlineStr">
        <is>
          <t>SCE</t>
        </is>
      </c>
      <c r="I1084" s="32" t="inlineStr">
        <is>
          <t>자본변동표</t>
        </is>
      </c>
      <c r="J1084" s="32" t="inlineStr">
        <is>
          <t>ifrs-full_OtherComprehensiveIncomeNetOfTaxGainsLossesOnRemeasurementsOfDefinedBenefitPlans</t>
        </is>
      </c>
      <c r="K1084" s="32" t="inlineStr">
        <is>
          <t>순확정급여부채 재측정요소</t>
        </is>
      </c>
      <c r="L1084" s="32" t="inlineStr">
        <is>
          <t>자본 [구성요소]|지배기업의 소유주에게 귀속되는 지분 [구성요소]|자본금 [구성요소]</t>
        </is>
      </c>
      <c r="M1084" s="32" t="inlineStr">
        <is>
          <t>제 53 기</t>
        </is>
      </c>
      <c r="N1084" s="32" t="inlineStr">
        <is>
          <t>0.0</t>
        </is>
      </c>
      <c r="O1084" s="32" t="inlineStr">
        <is>
          <t>0.0</t>
        </is>
      </c>
      <c r="P1084" s="32" t="inlineStr">
        <is>
          <t>KRW</t>
        </is>
      </c>
      <c r="Q1084" s="32" t="inlineStr">
        <is>
          <t>13</t>
        </is>
      </c>
    </row>
    <row r="1085" ht="24" customHeight="1">
      <c r="A1085" s="27" t="inlineStr">
        <is>
          <t>OpenDART_fnlttSinglAcntAll</t>
        </is>
      </c>
      <c r="B1085" s="27" t="inlineStr">
        <is>
          <t>00118804</t>
        </is>
      </c>
      <c r="C1085" s="27" t="inlineStr">
        <is>
          <t>동진쎄미켐</t>
        </is>
      </c>
      <c r="D1085" s="27" t="inlineStr">
        <is>
          <t>dongjin_semichem</t>
        </is>
      </c>
      <c r="E1085" s="27" t="inlineStr">
        <is>
          <t>005290</t>
        </is>
      </c>
      <c r="F1085" s="27" t="inlineStr">
        <is>
          <t>2025</t>
        </is>
      </c>
      <c r="G1085" s="27" t="inlineStr">
        <is>
          <t>CFS</t>
        </is>
      </c>
      <c r="H1085" s="27" t="inlineStr">
        <is>
          <t>SCE</t>
        </is>
      </c>
      <c r="I1085" s="27" t="inlineStr">
        <is>
          <t>자본변동표</t>
        </is>
      </c>
      <c r="J1085" s="27" t="inlineStr">
        <is>
          <t>ifrs-full_OtherComprehensiveIncomeNetOfTaxGainsLossesOnRemeasurementsOfDefinedBenefitPlans</t>
        </is>
      </c>
      <c r="K1085" s="27" t="inlineStr">
        <is>
          <t>순확정급여부채 재측정요소</t>
        </is>
      </c>
      <c r="L1085" s="27" t="inlineStr">
        <is>
          <t>자본 [구성요소]|지배기업의 소유주에게 귀속되는 지분 [구성요소]|추가납입자본 [구성요소]</t>
        </is>
      </c>
      <c r="M1085" s="27" t="inlineStr">
        <is>
          <t>제 53 기</t>
        </is>
      </c>
      <c r="N1085" s="27" t="inlineStr">
        <is>
          <t>0.0</t>
        </is>
      </c>
      <c r="O1085" s="27" t="inlineStr">
        <is>
          <t>0.0</t>
        </is>
      </c>
      <c r="P1085" s="27" t="inlineStr">
        <is>
          <t>KRW</t>
        </is>
      </c>
      <c r="Q1085" s="27" t="inlineStr">
        <is>
          <t>13</t>
        </is>
      </c>
    </row>
    <row r="1086" ht="24" customHeight="1">
      <c r="A1086" s="32" t="inlineStr">
        <is>
          <t>OpenDART_fnlttSinglAcntAll</t>
        </is>
      </c>
      <c r="B1086" s="32" t="inlineStr">
        <is>
          <t>00118804</t>
        </is>
      </c>
      <c r="C1086" s="32" t="inlineStr">
        <is>
          <t>동진쎄미켐</t>
        </is>
      </c>
      <c r="D1086" s="32" t="inlineStr">
        <is>
          <t>dongjin_semichem</t>
        </is>
      </c>
      <c r="E1086" s="32" t="inlineStr">
        <is>
          <t>005290</t>
        </is>
      </c>
      <c r="F1086" s="32" t="inlineStr">
        <is>
          <t>2025</t>
        </is>
      </c>
      <c r="G1086" s="32" t="inlineStr">
        <is>
          <t>CFS</t>
        </is>
      </c>
      <c r="H1086" s="32" t="inlineStr">
        <is>
          <t>SCE</t>
        </is>
      </c>
      <c r="I1086" s="32" t="inlineStr">
        <is>
          <t>자본변동표</t>
        </is>
      </c>
      <c r="J1086" s="32" t="inlineStr">
        <is>
          <t>ifrs-full_ProfitLoss</t>
        </is>
      </c>
      <c r="K1086" s="32" t="inlineStr">
        <is>
          <t>당기순이익</t>
        </is>
      </c>
      <c r="L1086" s="32" t="inlineStr">
        <is>
          <t>자본 [구성요소]|지배기업의 소유주에게 귀속되는 지분 [구성요소]</t>
        </is>
      </c>
      <c r="M1086" s="32" t="inlineStr">
        <is>
          <t>제 53 기</t>
        </is>
      </c>
      <c r="N1086" s="32" t="inlineStr">
        <is>
          <t>99069889891.0</t>
        </is>
      </c>
      <c r="O1086" s="32" t="inlineStr">
        <is>
          <t>154781909686.0</t>
        </is>
      </c>
      <c r="P1086" s="32" t="inlineStr">
        <is>
          <t>KRW</t>
        </is>
      </c>
      <c r="Q1086" s="32" t="inlineStr">
        <is>
          <t>14</t>
        </is>
      </c>
    </row>
    <row r="1087" ht="24" customHeight="1">
      <c r="A1087" s="27" t="inlineStr">
        <is>
          <t>OpenDART_fnlttSinglAcntAll</t>
        </is>
      </c>
      <c r="B1087" s="27" t="inlineStr">
        <is>
          <t>00118804</t>
        </is>
      </c>
      <c r="C1087" s="27" t="inlineStr">
        <is>
          <t>동진쎄미켐</t>
        </is>
      </c>
      <c r="D1087" s="27" t="inlineStr">
        <is>
          <t>dongjin_semichem</t>
        </is>
      </c>
      <c r="E1087" s="27" t="inlineStr">
        <is>
          <t>005290</t>
        </is>
      </c>
      <c r="F1087" s="27" t="inlineStr">
        <is>
          <t>2025</t>
        </is>
      </c>
      <c r="G1087" s="27" t="inlineStr">
        <is>
          <t>CFS</t>
        </is>
      </c>
      <c r="H1087" s="27" t="inlineStr">
        <is>
          <t>SCE</t>
        </is>
      </c>
      <c r="I1087" s="27" t="inlineStr">
        <is>
          <t>자본변동표</t>
        </is>
      </c>
      <c r="J1087" s="27" t="inlineStr">
        <is>
          <t>ifrs-full_ProfitLoss</t>
        </is>
      </c>
      <c r="K1087" s="27" t="inlineStr">
        <is>
          <t>당기순이익</t>
        </is>
      </c>
      <c r="L1087" s="27" t="inlineStr">
        <is>
          <t>자본 [구성요소]|비지배지분 [구성요소]</t>
        </is>
      </c>
      <c r="M1087" s="27" t="inlineStr">
        <is>
          <t>제 53 기</t>
        </is>
      </c>
      <c r="N1087" s="27" t="inlineStr">
        <is>
          <t>-4977664046.0</t>
        </is>
      </c>
      <c r="O1087" s="27" t="inlineStr">
        <is>
          <t>-11297349941.0</t>
        </is>
      </c>
      <c r="P1087" s="27" t="inlineStr">
        <is>
          <t>KRW</t>
        </is>
      </c>
      <c r="Q1087" s="27" t="inlineStr">
        <is>
          <t>14</t>
        </is>
      </c>
    </row>
    <row r="1088" ht="24" customHeight="1">
      <c r="A1088" s="32" t="inlineStr">
        <is>
          <t>OpenDART_fnlttSinglAcntAll</t>
        </is>
      </c>
      <c r="B1088" s="32" t="inlineStr">
        <is>
          <t>00118804</t>
        </is>
      </c>
      <c r="C1088" s="32" t="inlineStr">
        <is>
          <t>동진쎄미켐</t>
        </is>
      </c>
      <c r="D1088" s="32" t="inlineStr">
        <is>
          <t>dongjin_semichem</t>
        </is>
      </c>
      <c r="E1088" s="32" t="inlineStr">
        <is>
          <t>005290</t>
        </is>
      </c>
      <c r="F1088" s="32" t="inlineStr">
        <is>
          <t>2025</t>
        </is>
      </c>
      <c r="G1088" s="32" t="inlineStr">
        <is>
          <t>CFS</t>
        </is>
      </c>
      <c r="H1088" s="32" t="inlineStr">
        <is>
          <t>SCE</t>
        </is>
      </c>
      <c r="I1088" s="32" t="inlineStr">
        <is>
          <t>자본변동표</t>
        </is>
      </c>
      <c r="J1088" s="32" t="inlineStr">
        <is>
          <t>ifrs-full_ProfitLoss</t>
        </is>
      </c>
      <c r="K1088" s="32" t="inlineStr">
        <is>
          <t>당기순이익</t>
        </is>
      </c>
      <c r="L1088" s="32" t="inlineStr">
        <is>
          <t>연결재무제표 [member]</t>
        </is>
      </c>
      <c r="M1088" s="32" t="inlineStr">
        <is>
          <t>제 53 기</t>
        </is>
      </c>
      <c r="N1088" s="32" t="inlineStr">
        <is>
          <t>94092225845.0</t>
        </is>
      </c>
      <c r="O1088" s="32" t="inlineStr">
        <is>
          <t>143484559745.0</t>
        </is>
      </c>
      <c r="P1088" s="32" t="inlineStr">
        <is>
          <t>KRW</t>
        </is>
      </c>
      <c r="Q1088" s="32" t="inlineStr">
        <is>
          <t>14</t>
        </is>
      </c>
    </row>
    <row r="1089" ht="24" customHeight="1">
      <c r="A1089" s="27" t="inlineStr">
        <is>
          <t>OpenDART_fnlttSinglAcntAll</t>
        </is>
      </c>
      <c r="B1089" s="27" t="inlineStr">
        <is>
          <t>00118804</t>
        </is>
      </c>
      <c r="C1089" s="27" t="inlineStr">
        <is>
          <t>동진쎄미켐</t>
        </is>
      </c>
      <c r="D1089" s="27" t="inlineStr">
        <is>
          <t>dongjin_semichem</t>
        </is>
      </c>
      <c r="E1089" s="27" t="inlineStr">
        <is>
          <t>005290</t>
        </is>
      </c>
      <c r="F1089" s="27" t="inlineStr">
        <is>
          <t>2025</t>
        </is>
      </c>
      <c r="G1089" s="27" t="inlineStr">
        <is>
          <t>CFS</t>
        </is>
      </c>
      <c r="H1089" s="27" t="inlineStr">
        <is>
          <t>SCE</t>
        </is>
      </c>
      <c r="I1089" s="27" t="inlineStr">
        <is>
          <t>자본변동표</t>
        </is>
      </c>
      <c r="J1089" s="27" t="inlineStr">
        <is>
          <t>ifrs-full_ProfitLoss</t>
        </is>
      </c>
      <c r="K1089" s="27" t="inlineStr">
        <is>
          <t>당기순이익</t>
        </is>
      </c>
      <c r="L1089" s="27" t="inlineStr">
        <is>
          <t>자본 [구성요소]|지배기업의 소유주에게 귀속되는 지분 [구성요소]|기타자본구성요소 [구성요소]</t>
        </is>
      </c>
      <c r="M1089" s="27" t="inlineStr">
        <is>
          <t>제 53 기</t>
        </is>
      </c>
      <c r="N1089" s="27" t="inlineStr">
        <is>
          <t>0.0</t>
        </is>
      </c>
      <c r="O1089" s="27" t="inlineStr">
        <is>
          <t>0.0</t>
        </is>
      </c>
      <c r="P1089" s="27" t="inlineStr">
        <is>
          <t>KRW</t>
        </is>
      </c>
      <c r="Q1089" s="27" t="inlineStr">
        <is>
          <t>14</t>
        </is>
      </c>
    </row>
    <row r="1090" ht="24" customHeight="1">
      <c r="A1090" s="32" t="inlineStr">
        <is>
          <t>OpenDART_fnlttSinglAcntAll</t>
        </is>
      </c>
      <c r="B1090" s="32" t="inlineStr">
        <is>
          <t>00118804</t>
        </is>
      </c>
      <c r="C1090" s="32" t="inlineStr">
        <is>
          <t>동진쎄미켐</t>
        </is>
      </c>
      <c r="D1090" s="32" t="inlineStr">
        <is>
          <t>dongjin_semichem</t>
        </is>
      </c>
      <c r="E1090" s="32" t="inlineStr">
        <is>
          <t>005290</t>
        </is>
      </c>
      <c r="F1090" s="32" t="inlineStr">
        <is>
          <t>2025</t>
        </is>
      </c>
      <c r="G1090" s="32" t="inlineStr">
        <is>
          <t>CFS</t>
        </is>
      </c>
      <c r="H1090" s="32" t="inlineStr">
        <is>
          <t>SCE</t>
        </is>
      </c>
      <c r="I1090" s="32" t="inlineStr">
        <is>
          <t>자본변동표</t>
        </is>
      </c>
      <c r="J1090" s="32" t="inlineStr">
        <is>
          <t>ifrs-full_ProfitLoss</t>
        </is>
      </c>
      <c r="K1090" s="32" t="inlineStr">
        <is>
          <t>당기순이익</t>
        </is>
      </c>
      <c r="L1090" s="32" t="inlineStr">
        <is>
          <t>자본 [구성요소]|지배기업의 소유주에게 귀속되는 지분 [구성요소]|추가납입자본 [구성요소]</t>
        </is>
      </c>
      <c r="M1090" s="32" t="inlineStr">
        <is>
          <t>제 53 기</t>
        </is>
      </c>
      <c r="N1090" s="32" t="inlineStr">
        <is>
          <t>0.0</t>
        </is>
      </c>
      <c r="O1090" s="32" t="inlineStr">
        <is>
          <t>0.0</t>
        </is>
      </c>
      <c r="P1090" s="32" t="inlineStr">
        <is>
          <t>KRW</t>
        </is>
      </c>
      <c r="Q1090" s="32" t="inlineStr">
        <is>
          <t>14</t>
        </is>
      </c>
    </row>
    <row r="1091" ht="24" customHeight="1">
      <c r="A1091" s="27" t="inlineStr">
        <is>
          <t>OpenDART_fnlttSinglAcntAll</t>
        </is>
      </c>
      <c r="B1091" s="27" t="inlineStr">
        <is>
          <t>00118804</t>
        </is>
      </c>
      <c r="C1091" s="27" t="inlineStr">
        <is>
          <t>동진쎄미켐</t>
        </is>
      </c>
      <c r="D1091" s="27" t="inlineStr">
        <is>
          <t>dongjin_semichem</t>
        </is>
      </c>
      <c r="E1091" s="27" t="inlineStr">
        <is>
          <t>005290</t>
        </is>
      </c>
      <c r="F1091" s="27" t="inlineStr">
        <is>
          <t>2025</t>
        </is>
      </c>
      <c r="G1091" s="27" t="inlineStr">
        <is>
          <t>CFS</t>
        </is>
      </c>
      <c r="H1091" s="27" t="inlineStr">
        <is>
          <t>SCE</t>
        </is>
      </c>
      <c r="I1091" s="27" t="inlineStr">
        <is>
          <t>자본변동표</t>
        </is>
      </c>
      <c r="J1091" s="27" t="inlineStr">
        <is>
          <t>ifrs-full_ProfitLoss</t>
        </is>
      </c>
      <c r="K1091" s="27" t="inlineStr">
        <is>
          <t>당기순이익</t>
        </is>
      </c>
      <c r="L1091" s="27" t="inlineStr">
        <is>
          <t>자본 [구성요소]|지배기업의 소유주에게 귀속되는 지분 [구성요소]|자본금 [구성요소]</t>
        </is>
      </c>
      <c r="M1091" s="27" t="inlineStr">
        <is>
          <t>제 53 기</t>
        </is>
      </c>
      <c r="N1091" s="27" t="inlineStr">
        <is>
          <t>0.0</t>
        </is>
      </c>
      <c r="O1091" s="27" t="inlineStr">
        <is>
          <t>0.0</t>
        </is>
      </c>
      <c r="P1091" s="27" t="inlineStr">
        <is>
          <t>KRW</t>
        </is>
      </c>
      <c r="Q1091" s="27" t="inlineStr">
        <is>
          <t>14</t>
        </is>
      </c>
    </row>
    <row r="1092" ht="24" customHeight="1">
      <c r="A1092" s="32" t="inlineStr">
        <is>
          <t>OpenDART_fnlttSinglAcntAll</t>
        </is>
      </c>
      <c r="B1092" s="32" t="inlineStr">
        <is>
          <t>00118804</t>
        </is>
      </c>
      <c r="C1092" s="32" t="inlineStr">
        <is>
          <t>동진쎄미켐</t>
        </is>
      </c>
      <c r="D1092" s="32" t="inlineStr">
        <is>
          <t>dongjin_semichem</t>
        </is>
      </c>
      <c r="E1092" s="32" t="inlineStr">
        <is>
          <t>005290</t>
        </is>
      </c>
      <c r="F1092" s="32" t="inlineStr">
        <is>
          <t>2025</t>
        </is>
      </c>
      <c r="G1092" s="32" t="inlineStr">
        <is>
          <t>CFS</t>
        </is>
      </c>
      <c r="H1092" s="32" t="inlineStr">
        <is>
          <t>SCE</t>
        </is>
      </c>
      <c r="I1092" s="32" t="inlineStr">
        <is>
          <t>자본변동표</t>
        </is>
      </c>
      <c r="J1092" s="32" t="inlineStr">
        <is>
          <t>ifrs-full_ProfitLoss</t>
        </is>
      </c>
      <c r="K1092" s="32" t="inlineStr">
        <is>
          <t>당기순이익</t>
        </is>
      </c>
      <c r="L1092" s="32" t="inlineStr">
        <is>
          <t>자본 [구성요소]|지배기업의 소유주에게 귀속되는 지분 [구성요소]|이익잉여금 [구성요소]</t>
        </is>
      </c>
      <c r="M1092" s="32" t="inlineStr">
        <is>
          <t>제 53 기</t>
        </is>
      </c>
      <c r="N1092" s="32" t="inlineStr">
        <is>
          <t>99069889891.0</t>
        </is>
      </c>
      <c r="O1092" s="32" t="inlineStr">
        <is>
          <t>154781909686.0</t>
        </is>
      </c>
      <c r="P1092" s="32" t="inlineStr">
        <is>
          <t>KRW</t>
        </is>
      </c>
      <c r="Q1092" s="32" t="inlineStr">
        <is>
          <t>14</t>
        </is>
      </c>
    </row>
    <row r="1093" ht="24" customHeight="1">
      <c r="A1093" s="27" t="inlineStr">
        <is>
          <t>OpenDART_fnlttSinglAcntAll</t>
        </is>
      </c>
      <c r="B1093" s="27" t="inlineStr">
        <is>
          <t>00118804</t>
        </is>
      </c>
      <c r="C1093" s="27" t="inlineStr">
        <is>
          <t>동진쎄미켐</t>
        </is>
      </c>
      <c r="D1093" s="27" t="inlineStr">
        <is>
          <t>dongjin_semichem</t>
        </is>
      </c>
      <c r="E1093" s="27" t="inlineStr">
        <is>
          <t>005290</t>
        </is>
      </c>
      <c r="F1093" s="27" t="inlineStr">
        <is>
          <t>2025</t>
        </is>
      </c>
      <c r="G1093" s="27" t="inlineStr">
        <is>
          <t>CFS</t>
        </is>
      </c>
      <c r="H1093" s="27" t="inlineStr">
        <is>
          <t>SCE</t>
        </is>
      </c>
      <c r="I1093" s="27" t="inlineStr">
        <is>
          <t>자본변동표</t>
        </is>
      </c>
      <c r="J1093" s="27" t="inlineStr">
        <is>
          <t>ifrs-full_ShareOfOtherComprehensiveIncomeOfAssociatesAndJointVenturesAccountedForUsingEquityMethod</t>
        </is>
      </c>
      <c r="K1093" s="27" t="inlineStr">
        <is>
          <t>관계기업 기타포괄손익에 대한 지분</t>
        </is>
      </c>
      <c r="L1093" s="27" t="inlineStr">
        <is>
          <t>연결재무제표 [member]</t>
        </is>
      </c>
      <c r="M1093" s="27" t="inlineStr">
        <is>
          <t>제 53 기</t>
        </is>
      </c>
      <c r="N1093" s="27" t="inlineStr">
        <is>
          <t>16204281.0</t>
        </is>
      </c>
      <c r="O1093" s="27" t="inlineStr">
        <is>
          <t>9724414.0</t>
        </is>
      </c>
      <c r="P1093" s="27" t="inlineStr">
        <is>
          <t>KRW</t>
        </is>
      </c>
      <c r="Q1093" s="27" t="inlineStr">
        <is>
          <t>15</t>
        </is>
      </c>
    </row>
    <row r="1094" ht="24" customHeight="1">
      <c r="A1094" s="32" t="inlineStr">
        <is>
          <t>OpenDART_fnlttSinglAcntAll</t>
        </is>
      </c>
      <c r="B1094" s="32" t="inlineStr">
        <is>
          <t>00118804</t>
        </is>
      </c>
      <c r="C1094" s="32" t="inlineStr">
        <is>
          <t>동진쎄미켐</t>
        </is>
      </c>
      <c r="D1094" s="32" t="inlineStr">
        <is>
          <t>dongjin_semichem</t>
        </is>
      </c>
      <c r="E1094" s="32" t="inlineStr">
        <is>
          <t>005290</t>
        </is>
      </c>
      <c r="F1094" s="32" t="inlineStr">
        <is>
          <t>2025</t>
        </is>
      </c>
      <c r="G1094" s="32" t="inlineStr">
        <is>
          <t>CFS</t>
        </is>
      </c>
      <c r="H1094" s="32" t="inlineStr">
        <is>
          <t>SCE</t>
        </is>
      </c>
      <c r="I1094" s="32" t="inlineStr">
        <is>
          <t>자본변동표</t>
        </is>
      </c>
      <c r="J1094" s="32" t="inlineStr">
        <is>
          <t>ifrs-full_ShareOfOtherComprehensiveIncomeOfAssociatesAndJointVenturesAccountedForUsingEquityMethod</t>
        </is>
      </c>
      <c r="K1094" s="32" t="inlineStr">
        <is>
          <t>관계기업 기타포괄손익에 대한 지분</t>
        </is>
      </c>
      <c r="L1094" s="32" t="inlineStr">
        <is>
          <t>자본 [구성요소]|비지배지분 [구성요소]</t>
        </is>
      </c>
      <c r="M1094" s="32" t="inlineStr">
        <is>
          <t>제 53 기</t>
        </is>
      </c>
      <c r="N1094" s="32" t="inlineStr">
        <is>
          <t>0.0</t>
        </is>
      </c>
      <c r="O1094" s="32" t="inlineStr">
        <is>
          <t>0.0</t>
        </is>
      </c>
      <c r="P1094" s="32" t="inlineStr">
        <is>
          <t>KRW</t>
        </is>
      </c>
      <c r="Q1094" s="32" t="inlineStr">
        <is>
          <t>15</t>
        </is>
      </c>
    </row>
    <row r="1095" ht="24" customHeight="1">
      <c r="A1095" s="27" t="inlineStr">
        <is>
          <t>OpenDART_fnlttSinglAcntAll</t>
        </is>
      </c>
      <c r="B1095" s="27" t="inlineStr">
        <is>
          <t>00118804</t>
        </is>
      </c>
      <c r="C1095" s="27" t="inlineStr">
        <is>
          <t>동진쎄미켐</t>
        </is>
      </c>
      <c r="D1095" s="27" t="inlineStr">
        <is>
          <t>dongjin_semichem</t>
        </is>
      </c>
      <c r="E1095" s="27" t="inlineStr">
        <is>
          <t>005290</t>
        </is>
      </c>
      <c r="F1095" s="27" t="inlineStr">
        <is>
          <t>2025</t>
        </is>
      </c>
      <c r="G1095" s="27" t="inlineStr">
        <is>
          <t>CFS</t>
        </is>
      </c>
      <c r="H1095" s="27" t="inlineStr">
        <is>
          <t>SCE</t>
        </is>
      </c>
      <c r="I1095" s="27" t="inlineStr">
        <is>
          <t>자본변동표</t>
        </is>
      </c>
      <c r="J1095" s="27" t="inlineStr">
        <is>
          <t>ifrs-full_ShareOfOtherComprehensiveIncomeOfAssociatesAndJointVenturesAccountedForUsingEquityMethod</t>
        </is>
      </c>
      <c r="K1095" s="27" t="inlineStr">
        <is>
          <t>관계기업 기타포괄손익에 대한 지분</t>
        </is>
      </c>
      <c r="L1095" s="27" t="inlineStr">
        <is>
          <t>자본 [구성요소]|지배기업의 소유주에게 귀속되는 지분 [구성요소]</t>
        </is>
      </c>
      <c r="M1095" s="27" t="inlineStr">
        <is>
          <t>제 53 기</t>
        </is>
      </c>
      <c r="N1095" s="27" t="inlineStr">
        <is>
          <t>16204281.0</t>
        </is>
      </c>
      <c r="O1095" s="27" t="inlineStr">
        <is>
          <t>9724414.0</t>
        </is>
      </c>
      <c r="P1095" s="27" t="inlineStr">
        <is>
          <t>KRW</t>
        </is>
      </c>
      <c r="Q1095" s="27" t="inlineStr">
        <is>
          <t>15</t>
        </is>
      </c>
    </row>
    <row r="1096" ht="24" customHeight="1">
      <c r="A1096" s="32" t="inlineStr">
        <is>
          <t>OpenDART_fnlttSinglAcntAll</t>
        </is>
      </c>
      <c r="B1096" s="32" t="inlineStr">
        <is>
          <t>00118804</t>
        </is>
      </c>
      <c r="C1096" s="32" t="inlineStr">
        <is>
          <t>동진쎄미켐</t>
        </is>
      </c>
      <c r="D1096" s="32" t="inlineStr">
        <is>
          <t>dongjin_semichem</t>
        </is>
      </c>
      <c r="E1096" s="32" t="inlineStr">
        <is>
          <t>005290</t>
        </is>
      </c>
      <c r="F1096" s="32" t="inlineStr">
        <is>
          <t>2025</t>
        </is>
      </c>
      <c r="G1096" s="32" t="inlineStr">
        <is>
          <t>CFS</t>
        </is>
      </c>
      <c r="H1096" s="32" t="inlineStr">
        <is>
          <t>SCE</t>
        </is>
      </c>
      <c r="I1096" s="32" t="inlineStr">
        <is>
          <t>자본변동표</t>
        </is>
      </c>
      <c r="J1096" s="32" t="inlineStr">
        <is>
          <t>ifrs-full_ShareOfOtherComprehensiveIncomeOfAssociatesAndJointVenturesAccountedForUsingEquityMethod</t>
        </is>
      </c>
      <c r="K1096" s="32" t="inlineStr">
        <is>
          <t>관계기업 기타포괄손익에 대한 지분</t>
        </is>
      </c>
      <c r="L1096" s="32" t="inlineStr">
        <is>
          <t>자본 [구성요소]|지배기업의 소유주에게 귀속되는 지분 [구성요소]|자본금 [구성요소]</t>
        </is>
      </c>
      <c r="M1096" s="32" t="inlineStr">
        <is>
          <t>제 53 기</t>
        </is>
      </c>
      <c r="N1096" s="32" t="inlineStr">
        <is>
          <t>0.0</t>
        </is>
      </c>
      <c r="O1096" s="32" t="inlineStr">
        <is>
          <t>0.0</t>
        </is>
      </c>
      <c r="P1096" s="32" t="inlineStr">
        <is>
          <t>KRW</t>
        </is>
      </c>
      <c r="Q1096" s="32" t="inlineStr">
        <is>
          <t>15</t>
        </is>
      </c>
    </row>
    <row r="1097" ht="24" customHeight="1">
      <c r="A1097" s="27" t="inlineStr">
        <is>
          <t>OpenDART_fnlttSinglAcntAll</t>
        </is>
      </c>
      <c r="B1097" s="27" t="inlineStr">
        <is>
          <t>00118804</t>
        </is>
      </c>
      <c r="C1097" s="27" t="inlineStr">
        <is>
          <t>동진쎄미켐</t>
        </is>
      </c>
      <c r="D1097" s="27" t="inlineStr">
        <is>
          <t>dongjin_semichem</t>
        </is>
      </c>
      <c r="E1097" s="27" t="inlineStr">
        <is>
          <t>005290</t>
        </is>
      </c>
      <c r="F1097" s="27" t="inlineStr">
        <is>
          <t>2025</t>
        </is>
      </c>
      <c r="G1097" s="27" t="inlineStr">
        <is>
          <t>CFS</t>
        </is>
      </c>
      <c r="H1097" s="27" t="inlineStr">
        <is>
          <t>SCE</t>
        </is>
      </c>
      <c r="I1097" s="27" t="inlineStr">
        <is>
          <t>자본변동표</t>
        </is>
      </c>
      <c r="J1097" s="27" t="inlineStr">
        <is>
          <t>ifrs-full_ShareOfOtherComprehensiveIncomeOfAssociatesAndJointVenturesAccountedForUsingEquityMethod</t>
        </is>
      </c>
      <c r="K1097" s="27" t="inlineStr">
        <is>
          <t>관계기업 기타포괄손익에 대한 지분</t>
        </is>
      </c>
      <c r="L1097" s="27" t="inlineStr">
        <is>
          <t>자본 [구성요소]|지배기업의 소유주에게 귀속되는 지분 [구성요소]|이익잉여금 [구성요소]</t>
        </is>
      </c>
      <c r="M1097" s="27" t="inlineStr">
        <is>
          <t>제 53 기</t>
        </is>
      </c>
      <c r="N1097" s="27" t="inlineStr">
        <is>
          <t>0.0</t>
        </is>
      </c>
      <c r="O1097" s="27" t="inlineStr">
        <is>
          <t>0.0</t>
        </is>
      </c>
      <c r="P1097" s="27" t="inlineStr">
        <is>
          <t>KRW</t>
        </is>
      </c>
      <c r="Q1097" s="27" t="inlineStr">
        <is>
          <t>15</t>
        </is>
      </c>
    </row>
    <row r="1098" ht="24" customHeight="1">
      <c r="A1098" s="32" t="inlineStr">
        <is>
          <t>OpenDART_fnlttSinglAcntAll</t>
        </is>
      </c>
      <c r="B1098" s="32" t="inlineStr">
        <is>
          <t>00118804</t>
        </is>
      </c>
      <c r="C1098" s="32" t="inlineStr">
        <is>
          <t>동진쎄미켐</t>
        </is>
      </c>
      <c r="D1098" s="32" t="inlineStr">
        <is>
          <t>dongjin_semichem</t>
        </is>
      </c>
      <c r="E1098" s="32" t="inlineStr">
        <is>
          <t>005290</t>
        </is>
      </c>
      <c r="F1098" s="32" t="inlineStr">
        <is>
          <t>2025</t>
        </is>
      </c>
      <c r="G1098" s="32" t="inlineStr">
        <is>
          <t>CFS</t>
        </is>
      </c>
      <c r="H1098" s="32" t="inlineStr">
        <is>
          <t>SCE</t>
        </is>
      </c>
      <c r="I1098" s="32" t="inlineStr">
        <is>
          <t>자본변동표</t>
        </is>
      </c>
      <c r="J1098" s="32" t="inlineStr">
        <is>
          <t>ifrs-full_ShareOfOtherComprehensiveIncomeOfAssociatesAndJointVenturesAccountedForUsingEquityMethod</t>
        </is>
      </c>
      <c r="K1098" s="32" t="inlineStr">
        <is>
          <t>관계기업 기타포괄손익에 대한 지분</t>
        </is>
      </c>
      <c r="L1098" s="32" t="inlineStr">
        <is>
          <t>자본 [구성요소]|지배기업의 소유주에게 귀속되는 지분 [구성요소]|기타자본구성요소 [구성요소]</t>
        </is>
      </c>
      <c r="M1098" s="32" t="inlineStr">
        <is>
          <t>제 53 기</t>
        </is>
      </c>
      <c r="N1098" s="32" t="inlineStr">
        <is>
          <t>16204281.0</t>
        </is>
      </c>
      <c r="O1098" s="32" t="inlineStr">
        <is>
          <t>9724414.0</t>
        </is>
      </c>
      <c r="P1098" s="32" t="inlineStr">
        <is>
          <t>KRW</t>
        </is>
      </c>
      <c r="Q1098" s="32" t="inlineStr">
        <is>
          <t>15</t>
        </is>
      </c>
    </row>
    <row r="1099" ht="24" customHeight="1">
      <c r="A1099" s="27" t="inlineStr">
        <is>
          <t>OpenDART_fnlttSinglAcntAll</t>
        </is>
      </c>
      <c r="B1099" s="27" t="inlineStr">
        <is>
          <t>00118804</t>
        </is>
      </c>
      <c r="C1099" s="27" t="inlineStr">
        <is>
          <t>동진쎄미켐</t>
        </is>
      </c>
      <c r="D1099" s="27" t="inlineStr">
        <is>
          <t>dongjin_semichem</t>
        </is>
      </c>
      <c r="E1099" s="27" t="inlineStr">
        <is>
          <t>005290</t>
        </is>
      </c>
      <c r="F1099" s="27" t="inlineStr">
        <is>
          <t>2025</t>
        </is>
      </c>
      <c r="G1099" s="27" t="inlineStr">
        <is>
          <t>CFS</t>
        </is>
      </c>
      <c r="H1099" s="27" t="inlineStr">
        <is>
          <t>SCE</t>
        </is>
      </c>
      <c r="I1099" s="27" t="inlineStr">
        <is>
          <t>자본변동표</t>
        </is>
      </c>
      <c r="J1099" s="27" t="inlineStr">
        <is>
          <t>ifrs-full_ShareOfOtherComprehensiveIncomeOfAssociatesAndJointVenturesAccountedForUsingEquityMethod</t>
        </is>
      </c>
      <c r="K1099" s="27" t="inlineStr">
        <is>
          <t>관계기업 기타포괄손익에 대한 지분</t>
        </is>
      </c>
      <c r="L1099" s="27" t="inlineStr">
        <is>
          <t>자본 [구성요소]|지배기업의 소유주에게 귀속되는 지분 [구성요소]|추가납입자본 [구성요소]</t>
        </is>
      </c>
      <c r="M1099" s="27" t="inlineStr">
        <is>
          <t>제 53 기</t>
        </is>
      </c>
      <c r="N1099" s="27" t="inlineStr">
        <is>
          <t>0.0</t>
        </is>
      </c>
      <c r="O1099" s="27" t="inlineStr">
        <is>
          <t>0.0</t>
        </is>
      </c>
      <c r="P1099" s="27" t="inlineStr">
        <is>
          <t>KRW</t>
        </is>
      </c>
      <c r="Q1099" s="27" t="inlineStr">
        <is>
          <t>15</t>
        </is>
      </c>
    </row>
  </sheetData>
  <autoFilter ref="A2:Q1099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9" t="inlineStr">
        <is>
          <t>주가 데이터·기술적 지표</t>
        </is>
      </c>
    </row>
    <row r="2" ht="28" customHeight="1">
      <c r="A2" s="20" t="inlineStr">
        <is>
          <t>Valuation Agent 전용 주가 intake: 종가·이동평균·수익률·MDD·롤링 변동성</t>
        </is>
      </c>
    </row>
    <row r="3" ht="24" customHeight="1"/>
    <row r="4" ht="24" customHeight="1">
      <c r="A4" s="25" t="inlineStr">
        <is>
          <t>주가 요약</t>
        </is>
      </c>
    </row>
    <row r="5" ht="24" customHeight="1">
      <c r="A5" s="28" t="inlineStr">
        <is>
          <t>항목</t>
        </is>
      </c>
      <c r="B5" s="28" t="inlineStr">
        <is>
          <t>값</t>
        </is>
      </c>
      <c r="C5" s="28" t="inlineStr">
        <is>
          <t>비고</t>
        </is>
      </c>
    </row>
    <row r="6" ht="24" customHeight="1">
      <c r="A6" s="27" t="inlineStr">
        <is>
          <t>데이터 행 수</t>
        </is>
      </c>
      <c r="B6" s="33" t="n">
        <v>1221</v>
      </c>
      <c r="C6" s="27" t="inlineStr">
        <is>
          <t>valuation_price_history.csv 기준</t>
        </is>
      </c>
    </row>
    <row r="7" ht="24" customHeight="1">
      <c r="A7" s="32" t="inlineStr">
        <is>
          <t>수집 시작일</t>
        </is>
      </c>
      <c r="B7" s="32" t="inlineStr">
        <is>
          <t>2021-05-20</t>
        </is>
      </c>
      <c r="C7" s="32" t="inlineStr">
        <is>
          <t>가격 데이터 시작</t>
        </is>
      </c>
    </row>
    <row r="8" ht="24" customHeight="1">
      <c r="A8" s="27" t="inlineStr">
        <is>
          <t>수집 종료일</t>
        </is>
      </c>
      <c r="B8" s="27" t="inlineStr">
        <is>
          <t>2026-05-20</t>
        </is>
      </c>
      <c r="C8" s="27" t="inlineStr">
        <is>
          <t>가격 데이터 종료</t>
        </is>
      </c>
    </row>
    <row r="9" ht="24" customHeight="1">
      <c r="A9" s="32" t="inlineStr">
        <is>
          <t>현재가</t>
        </is>
      </c>
      <c r="B9" s="34" t="n">
        <v>54300</v>
      </c>
      <c r="C9" s="32" t="inlineStr">
        <is>
          <t>최근 종가</t>
        </is>
      </c>
    </row>
    <row r="10" ht="24" customHeight="1">
      <c r="A10" s="27" t="inlineStr">
        <is>
          <t>1년 수익률</t>
        </is>
      </c>
      <c r="B10" s="33" t="n">
        <v>0.8100000000000001</v>
      </c>
      <c r="C10" s="27" t="inlineStr">
        <is>
          <t>최근 약 1년</t>
        </is>
      </c>
    </row>
    <row r="11" ht="24" customHeight="1">
      <c r="A11" s="32" t="inlineStr">
        <is>
          <t>연환산 변동성</t>
        </is>
      </c>
      <c r="B11" s="34" t="n">
        <v>0.5127024634609597</v>
      </c>
      <c r="C11" s="32" t="inlineStr">
        <is>
          <t>일수익률 × √252</t>
        </is>
      </c>
    </row>
    <row r="12" ht="24" customHeight="1">
      <c r="A12" s="27" t="inlineStr">
        <is>
          <t>MDD</t>
        </is>
      </c>
      <c r="B12" s="33" t="n">
        <v>-0.6</v>
      </c>
      <c r="C12" s="27" t="inlineStr">
        <is>
          <t>기간 중 최대 낙폭</t>
        </is>
      </c>
    </row>
    <row r="13" ht="24" customHeight="1">
      <c r="A13" s="32" t="inlineStr">
        <is>
          <t>52주 고가</t>
        </is>
      </c>
      <c r="B13" s="34" t="n">
        <v>63200</v>
      </c>
      <c r="C13" s="32" t="inlineStr">
        <is>
          <t>최근 252거래일</t>
        </is>
      </c>
    </row>
    <row r="14" ht="24" customHeight="1">
      <c r="A14" s="27" t="inlineStr">
        <is>
          <t>52주 저가</t>
        </is>
      </c>
      <c r="B14" s="33" t="n">
        <v>27600</v>
      </c>
      <c r="C14" s="27" t="inlineStr">
        <is>
          <t>최근 252거래일</t>
        </is>
      </c>
    </row>
    <row r="15" ht="24" customHeight="1">
      <c r="A15" s="32" t="inlineStr">
        <is>
          <t>발행주식 수</t>
        </is>
      </c>
      <c r="B15" s="34" t="n">
        <v>51414494</v>
      </c>
      <c r="C15" s="32" t="inlineStr">
        <is>
          <t>DART stockTotqySttus</t>
        </is>
      </c>
    </row>
    <row r="16" ht="24" customHeight="1">
      <c r="A16" s="27" t="inlineStr">
        <is>
          <t>시가총액</t>
        </is>
      </c>
      <c r="B16" s="33" t="n">
        <v>2791807024200</v>
      </c>
      <c r="C16" s="27" t="inlineStr">
        <is>
          <t>현재가 × 발행주식 수</t>
        </is>
      </c>
    </row>
    <row r="17" ht="24" customHeight="1">
      <c r="A17" s="25" t="inlineStr">
        <is>
          <t>최근 주가 원천 데이터</t>
        </is>
      </c>
      <c r="B17" s="35" t="n"/>
      <c r="C17" s="35" t="n"/>
      <c r="D17" s="35" t="n"/>
      <c r="E17" s="35" t="n"/>
      <c r="F17" s="36" t="n"/>
    </row>
    <row r="18" ht="24" customHeight="1">
      <c r="A18" s="28" t="inlineStr">
        <is>
          <t>일자</t>
        </is>
      </c>
      <c r="B18" s="37" t="inlineStr">
        <is>
          <t>시가</t>
        </is>
      </c>
      <c r="C18" s="28" t="inlineStr">
        <is>
          <t>고가</t>
        </is>
      </c>
      <c r="D18" s="28" t="inlineStr">
        <is>
          <t>저가</t>
        </is>
      </c>
      <c r="E18" s="28" t="inlineStr">
        <is>
          <t>종가</t>
        </is>
      </c>
      <c r="F18" s="28" t="inlineStr">
        <is>
          <t>수정종가</t>
        </is>
      </c>
      <c r="G18" s="28" t="inlineStr">
        <is>
          <t>거래량</t>
        </is>
      </c>
      <c r="H18" s="28" t="inlineStr">
        <is>
          <t>일수익률</t>
        </is>
      </c>
      <c r="I18" s="28" t="inlineStr">
        <is>
          <t>드로다운</t>
        </is>
      </c>
      <c r="J18" s="28" t="inlineStr">
        <is>
          <t>20일선</t>
        </is>
      </c>
      <c r="K18" s="28" t="inlineStr">
        <is>
          <t>60일선</t>
        </is>
      </c>
      <c r="L18" s="28" t="inlineStr">
        <is>
          <t>120일선</t>
        </is>
      </c>
      <c r="M18" s="28" t="inlineStr">
        <is>
          <t>20일 변동성</t>
        </is>
      </c>
      <c r="N18" s="28" t="inlineStr">
        <is>
          <t>60일 변동성</t>
        </is>
      </c>
      <c r="O18" s="28" t="inlineStr">
        <is>
          <t>20일 수익률</t>
        </is>
      </c>
      <c r="P18" s="28" t="inlineStr">
        <is>
          <t>60일 수익률</t>
        </is>
      </c>
      <c r="Q18" s="28" t="inlineStr">
        <is>
          <t>120일 수익률</t>
        </is>
      </c>
      <c r="R18" s="28" t="inlineStr">
        <is>
          <t>20일선 괴리</t>
        </is>
      </c>
      <c r="S18" s="28" t="inlineStr">
        <is>
          <t>60일선 괴리</t>
        </is>
      </c>
      <c r="T18" s="28" t="inlineStr">
        <is>
          <t>120일선 괴리</t>
        </is>
      </c>
      <c r="U18" s="28" t="inlineStr">
        <is>
          <t>52주 고가</t>
        </is>
      </c>
      <c r="V18" s="28" t="inlineStr">
        <is>
          <t>52주 저가</t>
        </is>
      </c>
      <c r="W18" s="28" t="inlineStr">
        <is>
          <t>52주 고가 대비</t>
        </is>
      </c>
      <c r="X18" s="28" t="inlineStr">
        <is>
          <t>52주 저가 대비</t>
        </is>
      </c>
      <c r="Y18" s="28" t="inlineStr">
        <is>
          <t>발행주식 수</t>
        </is>
      </c>
      <c r="Z18" s="28" t="inlineStr">
        <is>
          <t>시가총액</t>
        </is>
      </c>
      <c r="AA18" s="28" t="inlineStr">
        <is>
          <t>거래대금</t>
        </is>
      </c>
      <c r="AB18" s="28" t="inlineStr">
        <is>
          <t>20일 평균 거래대금</t>
        </is>
      </c>
      <c r="AC18" s="28" t="inlineStr">
        <is>
          <t>거래회전율</t>
        </is>
      </c>
      <c r="AD18" s="28" t="inlineStr">
        <is>
          <t>출처</t>
        </is>
      </c>
      <c r="AE18" s="28" t="inlineStr">
        <is>
          <t>티커</t>
        </is>
      </c>
    </row>
    <row r="19" ht="24" customHeight="1">
      <c r="A19" s="27" t="inlineStr">
        <is>
          <t>2023-07-03</t>
        </is>
      </c>
      <c r="B19" s="33" t="n">
        <v>42500</v>
      </c>
      <c r="C19" s="33" t="n">
        <v>42600</v>
      </c>
      <c r="D19" s="33" t="n">
        <v>41100</v>
      </c>
      <c r="E19" s="33" t="n">
        <v>41550</v>
      </c>
      <c r="F19" s="33" t="n">
        <v>40754.5625</v>
      </c>
      <c r="G19" s="33" t="n">
        <v>1724858</v>
      </c>
      <c r="H19" s="38" t="n">
        <v>-0.01306413301662712</v>
      </c>
      <c r="I19" s="38" t="n">
        <v>-0.1852941176470588</v>
      </c>
      <c r="J19" s="33" t="n">
        <v>38107.5</v>
      </c>
      <c r="K19" s="33" t="n">
        <v>34351.66666666666</v>
      </c>
      <c r="L19" s="33" t="n">
        <v>33970.41666666666</v>
      </c>
      <c r="M19" s="38" t="n">
        <v>0.546312195011613</v>
      </c>
      <c r="N19" s="38" t="n">
        <v>0.5449388220182656</v>
      </c>
      <c r="O19" s="38" t="n">
        <v>0.1021220159151193</v>
      </c>
      <c r="P19" s="38" t="n">
        <v>0.3424878836833603</v>
      </c>
      <c r="Q19" s="38" t="n">
        <v>0.3232484076433122</v>
      </c>
      <c r="R19" s="38" t="n">
        <v>0.0903365479236371</v>
      </c>
      <c r="S19" s="38" t="n">
        <v>0.2095482994517492</v>
      </c>
      <c r="T19" s="38" t="n">
        <v>0.2231230605060777</v>
      </c>
      <c r="U19" s="33" t="n">
        <v>42100</v>
      </c>
      <c r="V19" s="33" t="n">
        <v>26300</v>
      </c>
      <c r="W19" s="38" t="n">
        <v>-0.01306413301662712</v>
      </c>
      <c r="X19" s="38" t="n">
        <v>0.5798479087452471</v>
      </c>
      <c r="Y19" s="33" t="n">
        <v>51414494</v>
      </c>
      <c r="Z19" s="33" t="n">
        <v>2136272225700</v>
      </c>
      <c r="AA19" s="33" t="n">
        <v>71667849900</v>
      </c>
      <c r="AB19" s="33" t="n">
        <v>43744286257.5</v>
      </c>
      <c r="AC19" s="38" t="n">
        <v>0.03354808859929653</v>
      </c>
      <c r="AD19" s="27" t="inlineStr">
        <is>
          <t>yfinance_download</t>
        </is>
      </c>
      <c r="AE19" s="27" t="inlineStr">
        <is>
          <t>005290.KQ</t>
        </is>
      </c>
    </row>
    <row r="20" ht="24" customHeight="1">
      <c r="A20" s="32" t="inlineStr">
        <is>
          <t>2023-07-04</t>
        </is>
      </c>
      <c r="B20" s="34" t="n">
        <v>41950</v>
      </c>
      <c r="C20" s="34" t="n">
        <v>42250</v>
      </c>
      <c r="D20" s="34" t="n">
        <v>41100</v>
      </c>
      <c r="E20" s="34" t="n">
        <v>41750</v>
      </c>
      <c r="F20" s="34" t="n">
        <v>40950.734375</v>
      </c>
      <c r="G20" s="34" t="n">
        <v>1226259</v>
      </c>
      <c r="H20" s="39" t="n">
        <v>0.004813477737665384</v>
      </c>
      <c r="I20" s="39" t="n">
        <v>-0.1813725490196079</v>
      </c>
      <c r="J20" s="34" t="n">
        <v>38302.5</v>
      </c>
      <c r="K20" s="34" t="n">
        <v>34524.16666666666</v>
      </c>
      <c r="L20" s="34" t="n">
        <v>34047.91666666666</v>
      </c>
      <c r="M20" s="39" t="n">
        <v>0.5462909907794542</v>
      </c>
      <c r="N20" s="39" t="n">
        <v>0.5446123861740572</v>
      </c>
      <c r="O20" s="39" t="n">
        <v>0.1030383091149274</v>
      </c>
      <c r="P20" s="39" t="n">
        <v>0.3296178343949046</v>
      </c>
      <c r="Q20" s="39" t="n">
        <v>0.2865947611710324</v>
      </c>
      <c r="R20" s="39" t="n">
        <v>0.09000717968800998</v>
      </c>
      <c r="S20" s="39" t="n">
        <v>0.2092978348499843</v>
      </c>
      <c r="T20" s="39" t="n">
        <v>0.226213057578168</v>
      </c>
      <c r="U20" s="34" t="n">
        <v>42100</v>
      </c>
      <c r="V20" s="34" t="n">
        <v>26300</v>
      </c>
      <c r="W20" s="39" t="n">
        <v>-0.008313539192399078</v>
      </c>
      <c r="X20" s="39" t="n">
        <v>0.5874524714828897</v>
      </c>
      <c r="Y20" s="34" t="n">
        <v>51414494</v>
      </c>
      <c r="Z20" s="34" t="n">
        <v>2146555124500</v>
      </c>
      <c r="AA20" s="34" t="n">
        <v>51196313250</v>
      </c>
      <c r="AB20" s="34" t="n">
        <v>45400773820</v>
      </c>
      <c r="AC20" s="39" t="n">
        <v>0.02385045353164421</v>
      </c>
      <c r="AD20" s="32" t="inlineStr">
        <is>
          <t>yfinance_download</t>
        </is>
      </c>
      <c r="AE20" s="32" t="inlineStr">
        <is>
          <t>005290.KQ</t>
        </is>
      </c>
    </row>
    <row r="21" ht="24" customHeight="1">
      <c r="A21" s="27" t="inlineStr">
        <is>
          <t>2023-07-05</t>
        </is>
      </c>
      <c r="B21" s="33" t="n">
        <v>41750</v>
      </c>
      <c r="C21" s="33" t="n">
        <v>42000</v>
      </c>
      <c r="D21" s="33" t="n">
        <v>40700</v>
      </c>
      <c r="E21" s="33" t="n">
        <v>41300</v>
      </c>
      <c r="F21" s="33" t="n">
        <v>40509.34765625</v>
      </c>
      <c r="G21" s="33" t="n">
        <v>1054215</v>
      </c>
      <c r="H21" s="38" t="n">
        <v>-0.01077844311377241</v>
      </c>
      <c r="I21" s="38" t="n">
        <v>-0.1901960784313725</v>
      </c>
      <c r="J21" s="33" t="n">
        <v>38495</v>
      </c>
      <c r="K21" s="33" t="n">
        <v>34697.5</v>
      </c>
      <c r="L21" s="33" t="n">
        <v>34120.83333333334</v>
      </c>
      <c r="M21" s="38" t="n">
        <v>0.5463733912226157</v>
      </c>
      <c r="N21" s="38" t="n">
        <v>0.5438569500302757</v>
      </c>
      <c r="O21" s="38" t="n">
        <v>0.1028037383177569</v>
      </c>
      <c r="P21" s="38" t="n">
        <v>0.3365695792880259</v>
      </c>
      <c r="Q21" s="38" t="n">
        <v>0.2688172043010753</v>
      </c>
      <c r="R21" s="38" t="n">
        <v>0.0728666060527341</v>
      </c>
      <c r="S21" s="38" t="n">
        <v>0.1902874846890987</v>
      </c>
      <c r="T21" s="38" t="n">
        <v>0.2104042007571132</v>
      </c>
      <c r="U21" s="33" t="n">
        <v>42100</v>
      </c>
      <c r="V21" s="33" t="n">
        <v>26300</v>
      </c>
      <c r="W21" s="38" t="n">
        <v>-0.01900237529691207</v>
      </c>
      <c r="X21" s="38" t="n">
        <v>0.5703422053231939</v>
      </c>
      <c r="Y21" s="33" t="n">
        <v>51414494</v>
      </c>
      <c r="Z21" s="33" t="n">
        <v>2123418602200</v>
      </c>
      <c r="AA21" s="33" t="n">
        <v>43539079500</v>
      </c>
      <c r="AB21" s="33" t="n">
        <v>46649699942.5</v>
      </c>
      <c r="AC21" s="38" t="n">
        <v>0.02050423757938763</v>
      </c>
      <c r="AD21" s="27" t="inlineStr">
        <is>
          <t>yfinance_download</t>
        </is>
      </c>
      <c r="AE21" s="27" t="inlineStr">
        <is>
          <t>005290.KQ</t>
        </is>
      </c>
    </row>
    <row r="22" ht="24" customHeight="1">
      <c r="A22" s="32" t="inlineStr">
        <is>
          <t>2023-07-06</t>
        </is>
      </c>
      <c r="B22" s="34" t="n">
        <v>40900</v>
      </c>
      <c r="C22" s="34" t="n">
        <v>41300</v>
      </c>
      <c r="D22" s="34" t="n">
        <v>39250</v>
      </c>
      <c r="E22" s="34" t="n">
        <v>39400</v>
      </c>
      <c r="F22" s="34" t="n">
        <v>38645.72265625</v>
      </c>
      <c r="G22" s="34" t="n">
        <v>1333501</v>
      </c>
      <c r="H22" s="39" t="n">
        <v>-0.04600484261501214</v>
      </c>
      <c r="I22" s="39" t="n">
        <v>-0.2274509803921568</v>
      </c>
      <c r="J22" s="34" t="n">
        <v>38592.5</v>
      </c>
      <c r="K22" s="34" t="n">
        <v>34812.5</v>
      </c>
      <c r="L22" s="34" t="n">
        <v>34182.91666666666</v>
      </c>
      <c r="M22" s="39" t="n">
        <v>0.5760602376936869</v>
      </c>
      <c r="N22" s="39" t="n">
        <v>0.5451593600681297</v>
      </c>
      <c r="O22" s="39" t="n">
        <v>0.05206942590120156</v>
      </c>
      <c r="P22" s="39" t="n">
        <v>0.2123076923076923</v>
      </c>
      <c r="Q22" s="39" t="n">
        <v>0.2331768388106417</v>
      </c>
      <c r="R22" s="39" t="n">
        <v>0.02092375461553408</v>
      </c>
      <c r="S22" s="39" t="n">
        <v>0.1317773788150809</v>
      </c>
      <c r="T22" s="39" t="n">
        <v>0.1526225331854363</v>
      </c>
      <c r="U22" s="34" t="n">
        <v>42100</v>
      </c>
      <c r="V22" s="34" t="n">
        <v>26300</v>
      </c>
      <c r="W22" s="39" t="n">
        <v>-0.06413301662707838</v>
      </c>
      <c r="X22" s="39" t="n">
        <v>0.4980988593155893</v>
      </c>
      <c r="Y22" s="34" t="n">
        <v>51414494</v>
      </c>
      <c r="Z22" s="34" t="n">
        <v>2025731063600</v>
      </c>
      <c r="AA22" s="34" t="n">
        <v>52539939400</v>
      </c>
      <c r="AB22" s="34" t="n">
        <v>47891754717.5</v>
      </c>
      <c r="AC22" s="39" t="n">
        <v>0.02593628559293027</v>
      </c>
      <c r="AD22" s="32" t="inlineStr">
        <is>
          <t>yfinance_download</t>
        </is>
      </c>
      <c r="AE22" s="32" t="inlineStr">
        <is>
          <t>005290.KQ</t>
        </is>
      </c>
    </row>
    <row r="23" ht="24" customHeight="1">
      <c r="A23" s="27" t="inlineStr">
        <is>
          <t>2023-07-07</t>
        </is>
      </c>
      <c r="B23" s="33" t="n">
        <v>39200</v>
      </c>
      <c r="C23" s="33" t="n">
        <v>40400</v>
      </c>
      <c r="D23" s="33" t="n">
        <v>38800</v>
      </c>
      <c r="E23" s="33" t="n">
        <v>39950</v>
      </c>
      <c r="F23" s="33" t="n">
        <v>39185.19140625</v>
      </c>
      <c r="G23" s="33" t="n">
        <v>1025242</v>
      </c>
      <c r="H23" s="38" t="n">
        <v>0.01395939086294407</v>
      </c>
      <c r="I23" s="38" t="n">
        <v>-0.2166666666666667</v>
      </c>
      <c r="J23" s="33" t="n">
        <v>38695</v>
      </c>
      <c r="K23" s="33" t="n">
        <v>34942.5</v>
      </c>
      <c r="L23" s="33" t="n">
        <v>34246.25</v>
      </c>
      <c r="M23" s="38" t="n">
        <v>0.5764979596845463</v>
      </c>
      <c r="N23" s="38" t="n">
        <v>0.544697738877279</v>
      </c>
      <c r="O23" s="38" t="n">
        <v>0.05408970976253302</v>
      </c>
      <c r="P23" s="38" t="n">
        <v>0.2426127527216173</v>
      </c>
      <c r="Q23" s="38" t="n">
        <v>0.2349304482225656</v>
      </c>
      <c r="R23" s="38" t="n">
        <v>0.03243313089546462</v>
      </c>
      <c r="S23" s="38" t="n">
        <v>0.1433068612720898</v>
      </c>
      <c r="T23" s="38" t="n">
        <v>0.1665510822352811</v>
      </c>
      <c r="U23" s="33" t="n">
        <v>42100</v>
      </c>
      <c r="V23" s="33" t="n">
        <v>26300</v>
      </c>
      <c r="W23" s="38" t="n">
        <v>-0.05106888361045125</v>
      </c>
      <c r="X23" s="38" t="n">
        <v>0.5190114068441065</v>
      </c>
      <c r="Y23" s="33" t="n">
        <v>51414494</v>
      </c>
      <c r="Z23" s="33" t="n">
        <v>2054009035300</v>
      </c>
      <c r="AA23" s="33" t="n">
        <v>40958417900</v>
      </c>
      <c r="AB23" s="33" t="n">
        <v>48388227742.5</v>
      </c>
      <c r="AC23" s="38" t="n">
        <v>0.0199407194399307</v>
      </c>
      <c r="AD23" s="27" t="inlineStr">
        <is>
          <t>yfinance_download</t>
        </is>
      </c>
      <c r="AE23" s="27" t="inlineStr">
        <is>
          <t>005290.KQ</t>
        </is>
      </c>
    </row>
    <row r="24" ht="24" customHeight="1">
      <c r="A24" s="32" t="inlineStr">
        <is>
          <t>2023-07-10</t>
        </is>
      </c>
      <c r="B24" s="34" t="n">
        <v>39450</v>
      </c>
      <c r="C24" s="34" t="n">
        <v>39800</v>
      </c>
      <c r="D24" s="34" t="n">
        <v>36650</v>
      </c>
      <c r="E24" s="34" t="n">
        <v>36850</v>
      </c>
      <c r="F24" s="34" t="n">
        <v>36144.5390625</v>
      </c>
      <c r="G24" s="34" t="n">
        <v>2169610</v>
      </c>
      <c r="H24" s="39" t="n">
        <v>-0.07759699624530658</v>
      </c>
      <c r="I24" s="39" t="n">
        <v>-0.2774509803921569</v>
      </c>
      <c r="J24" s="34" t="n">
        <v>38690</v>
      </c>
      <c r="K24" s="34" t="n">
        <v>35006.66666666666</v>
      </c>
      <c r="L24" s="34" t="n">
        <v>34286.66666666666</v>
      </c>
      <c r="M24" s="39" t="n">
        <v>0.6376334298847904</v>
      </c>
      <c r="N24" s="39" t="n">
        <v>0.5677807328565616</v>
      </c>
      <c r="O24" s="39" t="n">
        <v>-0.002706359945872761</v>
      </c>
      <c r="P24" s="39" t="n">
        <v>0.1166666666666667</v>
      </c>
      <c r="Q24" s="39" t="n">
        <v>0.1515625</v>
      </c>
      <c r="R24" s="39" t="n">
        <v>-0.04755750840010342</v>
      </c>
      <c r="S24" s="39" t="n">
        <v>0.05265663683107991</v>
      </c>
      <c r="T24" s="39" t="n">
        <v>0.07476181217188427</v>
      </c>
      <c r="U24" s="34" t="n">
        <v>42100</v>
      </c>
      <c r="V24" s="34" t="n">
        <v>26300</v>
      </c>
      <c r="W24" s="39" t="n">
        <v>-0.1247030878859857</v>
      </c>
      <c r="X24" s="39" t="n">
        <v>0.4011406844106464</v>
      </c>
      <c r="Y24" s="34" t="n">
        <v>51414494</v>
      </c>
      <c r="Z24" s="34" t="n">
        <v>1894624103900</v>
      </c>
      <c r="AA24" s="34" t="n">
        <v>79950128500</v>
      </c>
      <c r="AB24" s="34" t="n">
        <v>50898856930</v>
      </c>
      <c r="AC24" s="39" t="n">
        <v>0.04219841198865051</v>
      </c>
      <c r="AD24" s="32" t="inlineStr">
        <is>
          <t>yfinance_download</t>
        </is>
      </c>
      <c r="AE24" s="32" t="inlineStr">
        <is>
          <t>005290.KQ</t>
        </is>
      </c>
    </row>
    <row r="25" ht="24" customHeight="1">
      <c r="A25" s="27" t="inlineStr">
        <is>
          <t>2023-07-12</t>
        </is>
      </c>
      <c r="B25" s="33" t="n">
        <v>39000</v>
      </c>
      <c r="C25" s="33" t="n">
        <v>40900</v>
      </c>
      <c r="D25" s="33" t="n">
        <v>39000</v>
      </c>
      <c r="E25" s="33" t="n">
        <v>39600</v>
      </c>
      <c r="F25" s="33" t="n">
        <v>38841.890625</v>
      </c>
      <c r="G25" s="33" t="n">
        <v>2268198</v>
      </c>
      <c r="H25" s="38" t="n">
        <v>0.07462686567164178</v>
      </c>
      <c r="I25" s="38" t="n">
        <v>-0.2235294117647059</v>
      </c>
      <c r="J25" s="33" t="n">
        <v>38802.5</v>
      </c>
      <c r="K25" s="33" t="n">
        <v>35127.5</v>
      </c>
      <c r="L25" s="33" t="n">
        <v>34351.25</v>
      </c>
      <c r="M25" s="38" t="n">
        <v>0.6892986734918094</v>
      </c>
      <c r="N25" s="38" t="n">
        <v>0.584720706916553</v>
      </c>
      <c r="O25" s="38" t="n">
        <v>0.06024096385542177</v>
      </c>
      <c r="P25" s="38" t="n">
        <v>0.2241112828438949</v>
      </c>
      <c r="Q25" s="38" t="n">
        <v>0.2433281004709575</v>
      </c>
      <c r="R25" s="38" t="n">
        <v>0.02055279943302613</v>
      </c>
      <c r="S25" s="38" t="n">
        <v>0.1273218987972387</v>
      </c>
      <c r="T25" s="38" t="n">
        <v>0.1527964775663186</v>
      </c>
      <c r="U25" s="33" t="n">
        <v>42100</v>
      </c>
      <c r="V25" s="33" t="n">
        <v>26300</v>
      </c>
      <c r="W25" s="38" t="n">
        <v>-0.05938242280285033</v>
      </c>
      <c r="X25" s="38" t="n">
        <v>0.5057034220532319</v>
      </c>
      <c r="Y25" s="33" t="n">
        <v>51414494</v>
      </c>
      <c r="Z25" s="33" t="n">
        <v>2036013962400</v>
      </c>
      <c r="AA25" s="33" t="n">
        <v>89820640800</v>
      </c>
      <c r="AB25" s="33" t="n">
        <v>53963886512.5</v>
      </c>
      <c r="AC25" s="38" t="n">
        <v>0.04411592575432134</v>
      </c>
      <c r="AD25" s="27" t="inlineStr">
        <is>
          <t>yfinance_download</t>
        </is>
      </c>
      <c r="AE25" s="27" t="inlineStr">
        <is>
          <t>005290.KQ</t>
        </is>
      </c>
    </row>
    <row r="26" ht="24" customHeight="1">
      <c r="A26" s="32" t="inlineStr">
        <is>
          <t>2023-07-13</t>
        </is>
      </c>
      <c r="B26" s="34" t="n">
        <v>39850</v>
      </c>
      <c r="C26" s="34" t="n">
        <v>40650</v>
      </c>
      <c r="D26" s="34" t="n">
        <v>39250</v>
      </c>
      <c r="E26" s="34" t="n">
        <v>40250</v>
      </c>
      <c r="F26" s="34" t="n">
        <v>39479.44921875</v>
      </c>
      <c r="G26" s="34" t="n">
        <v>1142364</v>
      </c>
      <c r="H26" s="39" t="n">
        <v>0.01641414141414144</v>
      </c>
      <c r="I26" s="39" t="n">
        <v>-0.2107843137254902</v>
      </c>
      <c r="J26" s="34" t="n">
        <v>38982.5</v>
      </c>
      <c r="K26" s="34" t="n">
        <v>35260.83333333334</v>
      </c>
      <c r="L26" s="34" t="n">
        <v>34424.16666666666</v>
      </c>
      <c r="M26" s="39" t="n">
        <v>0.6853259866778284</v>
      </c>
      <c r="N26" s="39" t="n">
        <v>0.585073665040689</v>
      </c>
      <c r="O26" s="39" t="n">
        <v>0.09822646657571621</v>
      </c>
      <c r="P26" s="39" t="n">
        <v>0.248062015503876</v>
      </c>
      <c r="Q26" s="39" t="n">
        <v>0.2777777777777777</v>
      </c>
      <c r="R26" s="39" t="n">
        <v>0.0325145898800745</v>
      </c>
      <c r="S26" s="39" t="n">
        <v>0.1414931581310708</v>
      </c>
      <c r="T26" s="39" t="n">
        <v>0.1692367280737854</v>
      </c>
      <c r="U26" s="34" t="n">
        <v>42100</v>
      </c>
      <c r="V26" s="34" t="n">
        <v>26300</v>
      </c>
      <c r="W26" s="39" t="n">
        <v>-0.0439429928741093</v>
      </c>
      <c r="X26" s="39" t="n">
        <v>0.5304182509505704</v>
      </c>
      <c r="Y26" s="34" t="n">
        <v>51414494</v>
      </c>
      <c r="Z26" s="34" t="n">
        <v>2069433383500</v>
      </c>
      <c r="AA26" s="34" t="n">
        <v>45980151000</v>
      </c>
      <c r="AB26" s="34" t="n">
        <v>54922359840</v>
      </c>
      <c r="AC26" s="39" t="n">
        <v>0.02221871521287363</v>
      </c>
      <c r="AD26" s="32" t="inlineStr">
        <is>
          <t>yfinance_download</t>
        </is>
      </c>
      <c r="AE26" s="32" t="inlineStr">
        <is>
          <t>005290.KQ</t>
        </is>
      </c>
    </row>
    <row r="27" ht="24" customHeight="1">
      <c r="A27" s="27" t="inlineStr">
        <is>
          <t>2023-07-14</t>
        </is>
      </c>
      <c r="B27" s="33" t="n">
        <v>40700</v>
      </c>
      <c r="C27" s="33" t="n">
        <v>42250</v>
      </c>
      <c r="D27" s="33" t="n">
        <v>39800</v>
      </c>
      <c r="E27" s="33" t="n">
        <v>40550</v>
      </c>
      <c r="F27" s="33" t="n">
        <v>39773.70703125</v>
      </c>
      <c r="G27" s="33" t="n">
        <v>2302065</v>
      </c>
      <c r="H27" s="38" t="n">
        <v>0.007453416149068248</v>
      </c>
      <c r="I27" s="38" t="n">
        <v>-0.2049019607843138</v>
      </c>
      <c r="J27" s="33" t="n">
        <v>39080</v>
      </c>
      <c r="K27" s="33" t="n">
        <v>35400.83333333334</v>
      </c>
      <c r="L27" s="33" t="n">
        <v>34504.16666666666</v>
      </c>
      <c r="M27" s="38" t="n">
        <v>0.6619933922064826</v>
      </c>
      <c r="N27" s="38" t="n">
        <v>0.5848996908362287</v>
      </c>
      <c r="O27" s="38" t="n">
        <v>0.05051813471502586</v>
      </c>
      <c r="P27" s="38" t="n">
        <v>0.2612752721617417</v>
      </c>
      <c r="Q27" s="38" t="n">
        <v>0.3101777059773829</v>
      </c>
      <c r="R27" s="38" t="n">
        <v>0.03761514841351077</v>
      </c>
      <c r="S27" s="38" t="n">
        <v>0.1454532614580635</v>
      </c>
      <c r="T27" s="38" t="n">
        <v>0.1752203840115929</v>
      </c>
      <c r="U27" s="33" t="n">
        <v>42100</v>
      </c>
      <c r="V27" s="33" t="n">
        <v>26300</v>
      </c>
      <c r="W27" s="38" t="n">
        <v>-0.03681710213776723</v>
      </c>
      <c r="X27" s="38" t="n">
        <v>0.5418250950570342</v>
      </c>
      <c r="Y27" s="33" t="n">
        <v>51414494</v>
      </c>
      <c r="Z27" s="33" t="n">
        <v>2084857731700</v>
      </c>
      <c r="AA27" s="33" t="n">
        <v>93348735750</v>
      </c>
      <c r="AB27" s="33" t="n">
        <v>56748799957.5</v>
      </c>
      <c r="AC27" s="38" t="n">
        <v>0.04477463106026094</v>
      </c>
      <c r="AD27" s="27" t="inlineStr">
        <is>
          <t>yfinance_download</t>
        </is>
      </c>
      <c r="AE27" s="27" t="inlineStr">
        <is>
          <t>005290.KQ</t>
        </is>
      </c>
    </row>
    <row r="28" ht="24" customHeight="1">
      <c r="A28" s="32" t="inlineStr">
        <is>
          <t>2023-07-17</t>
        </is>
      </c>
      <c r="B28" s="34" t="n">
        <v>40100</v>
      </c>
      <c r="C28" s="34" t="n">
        <v>40850</v>
      </c>
      <c r="D28" s="34" t="n">
        <v>39100</v>
      </c>
      <c r="E28" s="34" t="n">
        <v>40150</v>
      </c>
      <c r="F28" s="34" t="n">
        <v>39381.36328125</v>
      </c>
      <c r="G28" s="34" t="n">
        <v>925234</v>
      </c>
      <c r="H28" s="39" t="n">
        <v>-0.009864364981504337</v>
      </c>
      <c r="I28" s="39" t="n">
        <v>-0.2127450980392157</v>
      </c>
      <c r="J28" s="34" t="n">
        <v>39212.5</v>
      </c>
      <c r="K28" s="34" t="n">
        <v>35535</v>
      </c>
      <c r="L28" s="34" t="n">
        <v>34579.58333333334</v>
      </c>
      <c r="M28" s="39" t="n">
        <v>0.65337711780871</v>
      </c>
      <c r="N28" s="39" t="n">
        <v>0.5855159942105731</v>
      </c>
      <c r="O28" s="39" t="n">
        <v>0.07066666666666666</v>
      </c>
      <c r="P28" s="39" t="n">
        <v>0.2507788161993769</v>
      </c>
      <c r="Q28" s="39" t="n">
        <v>0.2909967845659165</v>
      </c>
      <c r="R28" s="39" t="n">
        <v>0.02390819254064391</v>
      </c>
      <c r="S28" s="39" t="n">
        <v>0.1298719572252709</v>
      </c>
      <c r="T28" s="39" t="n">
        <v>0.1610897567206082</v>
      </c>
      <c r="U28" s="34" t="n">
        <v>42100</v>
      </c>
      <c r="V28" s="34" t="n">
        <v>26300</v>
      </c>
      <c r="W28" s="39" t="n">
        <v>-0.04631828978622332</v>
      </c>
      <c r="X28" s="39" t="n">
        <v>0.5266159695817489</v>
      </c>
      <c r="Y28" s="34" t="n">
        <v>51414494</v>
      </c>
      <c r="Z28" s="34" t="n">
        <v>2064291934100</v>
      </c>
      <c r="AA28" s="34" t="n">
        <v>37148145100</v>
      </c>
      <c r="AB28" s="34" t="n">
        <v>57210807837.5</v>
      </c>
      <c r="AC28" s="39" t="n">
        <v>0.01799558700315129</v>
      </c>
      <c r="AD28" s="32" t="inlineStr">
        <is>
          <t>yfinance_download</t>
        </is>
      </c>
      <c r="AE28" s="32" t="inlineStr">
        <is>
          <t>005290.KQ</t>
        </is>
      </c>
    </row>
    <row r="29" ht="24" customHeight="1">
      <c r="A29" s="27" t="inlineStr">
        <is>
          <t>2023-07-18</t>
        </is>
      </c>
      <c r="B29" s="33" t="n">
        <v>40750</v>
      </c>
      <c r="C29" s="33" t="n">
        <v>40850</v>
      </c>
      <c r="D29" s="33" t="n">
        <v>38850</v>
      </c>
      <c r="E29" s="33" t="n">
        <v>39950</v>
      </c>
      <c r="F29" s="33" t="n">
        <v>39185.19140625</v>
      </c>
      <c r="G29" s="33" t="n">
        <v>871153</v>
      </c>
      <c r="H29" s="38" t="n">
        <v>-0.00498132004981322</v>
      </c>
      <c r="I29" s="38" t="n">
        <v>-0.2166666666666667</v>
      </c>
      <c r="J29" s="33" t="n">
        <v>39290</v>
      </c>
      <c r="K29" s="33" t="n">
        <v>35677.5</v>
      </c>
      <c r="L29" s="33" t="n">
        <v>34654.58333333334</v>
      </c>
      <c r="M29" s="38" t="n">
        <v>0.6498266003820122</v>
      </c>
      <c r="N29" s="38" t="n">
        <v>0.5833126632494213</v>
      </c>
      <c r="O29" s="38" t="n">
        <v>0.04036458333333326</v>
      </c>
      <c r="P29" s="38" t="n">
        <v>0.2722929936305734</v>
      </c>
      <c r="Q29" s="38" t="n">
        <v>0.2907915993537964</v>
      </c>
      <c r="R29" s="38" t="n">
        <v>0.0167981674726394</v>
      </c>
      <c r="S29" s="38" t="n">
        <v>0.1197533459463247</v>
      </c>
      <c r="T29" s="38" t="n">
        <v>0.1528056654362697</v>
      </c>
      <c r="U29" s="33" t="n">
        <v>42100</v>
      </c>
      <c r="V29" s="33" t="n">
        <v>26300</v>
      </c>
      <c r="W29" s="38" t="n">
        <v>-0.05106888361045125</v>
      </c>
      <c r="X29" s="38" t="n">
        <v>0.5190114068441065</v>
      </c>
      <c r="Y29" s="33" t="n">
        <v>51414494</v>
      </c>
      <c r="Z29" s="33" t="n">
        <v>2054009035300</v>
      </c>
      <c r="AA29" s="33" t="n">
        <v>34802562350</v>
      </c>
      <c r="AB29" s="33" t="n">
        <v>57409379475</v>
      </c>
      <c r="AC29" s="38" t="n">
        <v>0.01694372407905055</v>
      </c>
      <c r="AD29" s="27" t="inlineStr">
        <is>
          <t>yfinance_download</t>
        </is>
      </c>
      <c r="AE29" s="27" t="inlineStr">
        <is>
          <t>005290.KQ</t>
        </is>
      </c>
    </row>
    <row r="30" ht="24" customHeight="1">
      <c r="A30" s="32" t="inlineStr">
        <is>
          <t>2023-07-19</t>
        </is>
      </c>
      <c r="B30" s="34" t="n">
        <v>40350</v>
      </c>
      <c r="C30" s="34" t="n">
        <v>43250</v>
      </c>
      <c r="D30" s="34" t="n">
        <v>38900</v>
      </c>
      <c r="E30" s="34" t="n">
        <v>40050</v>
      </c>
      <c r="F30" s="34" t="n">
        <v>39283.27734375</v>
      </c>
      <c r="G30" s="34" t="n">
        <v>3207493</v>
      </c>
      <c r="H30" s="39" t="n">
        <v>0.002503128911139019</v>
      </c>
      <c r="I30" s="39" t="n">
        <v>-0.2147058823529412</v>
      </c>
      <c r="J30" s="34" t="n">
        <v>39365</v>
      </c>
      <c r="K30" s="34" t="n">
        <v>35820.83333333334</v>
      </c>
      <c r="L30" s="34" t="n">
        <v>34727.5</v>
      </c>
      <c r="M30" s="39" t="n">
        <v>0.6498130330443078</v>
      </c>
      <c r="N30" s="39" t="n">
        <v>0.5832951656022909</v>
      </c>
      <c r="O30" s="39" t="n">
        <v>0.03891050583657596</v>
      </c>
      <c r="P30" s="39" t="n">
        <v>0.2734499205087439</v>
      </c>
      <c r="Q30" s="39" t="n">
        <v>0.279552715654952</v>
      </c>
      <c r="R30" s="39" t="n">
        <v>0.01740124476057403</v>
      </c>
      <c r="S30" s="39" t="n">
        <v>0.118064441084099</v>
      </c>
      <c r="T30" s="39" t="n">
        <v>0.1532647037650277</v>
      </c>
      <c r="U30" s="34" t="n">
        <v>42100</v>
      </c>
      <c r="V30" s="34" t="n">
        <v>26300</v>
      </c>
      <c r="W30" s="39" t="n">
        <v>-0.04869358669833734</v>
      </c>
      <c r="X30" s="39" t="n">
        <v>0.5228136882129277</v>
      </c>
      <c r="Y30" s="34" t="n">
        <v>51414494</v>
      </c>
      <c r="Z30" s="34" t="n">
        <v>2059150484700</v>
      </c>
      <c r="AA30" s="34" t="n">
        <v>128460094650</v>
      </c>
      <c r="AB30" s="34" t="n">
        <v>62183190150</v>
      </c>
      <c r="AC30" s="39" t="n">
        <v>0.06238499595075272</v>
      </c>
      <c r="AD30" s="32" t="inlineStr">
        <is>
          <t>yfinance_download</t>
        </is>
      </c>
      <c r="AE30" s="32" t="inlineStr">
        <is>
          <t>005290.KQ</t>
        </is>
      </c>
    </row>
    <row r="31" ht="24" customHeight="1">
      <c r="A31" s="27" t="inlineStr">
        <is>
          <t>2023-07-20</t>
        </is>
      </c>
      <c r="B31" s="33" t="n">
        <v>39400</v>
      </c>
      <c r="C31" s="33" t="n">
        <v>40050</v>
      </c>
      <c r="D31" s="33" t="n">
        <v>38550</v>
      </c>
      <c r="E31" s="33" t="n">
        <v>39600</v>
      </c>
      <c r="F31" s="33" t="n">
        <v>38841.890625</v>
      </c>
      <c r="G31" s="33" t="n">
        <v>929972</v>
      </c>
      <c r="H31" s="38" t="n">
        <v>-0.0112359550561798</v>
      </c>
      <c r="I31" s="38" t="n">
        <v>-0.2235294117647059</v>
      </c>
      <c r="J31" s="33" t="n">
        <v>39500</v>
      </c>
      <c r="K31" s="33" t="n">
        <v>35969.16666666666</v>
      </c>
      <c r="L31" s="33" t="n">
        <v>34782.91666666666</v>
      </c>
      <c r="M31" s="38" t="n">
        <v>0.6298536303633376</v>
      </c>
      <c r="N31" s="38" t="n">
        <v>0.5812297810400102</v>
      </c>
      <c r="O31" s="38" t="n">
        <v>0.07317073170731714</v>
      </c>
      <c r="P31" s="38" t="n">
        <v>0.2899022801302931</v>
      </c>
      <c r="Q31" s="38" t="n">
        <v>0.2018209408194234</v>
      </c>
      <c r="R31" s="38" t="n">
        <v>0.002531645569620267</v>
      </c>
      <c r="S31" s="38" t="n">
        <v>0.1009429372379123</v>
      </c>
      <c r="T31" s="38" t="n">
        <v>0.1384899196205034</v>
      </c>
      <c r="U31" s="33" t="n">
        <v>42100</v>
      </c>
      <c r="V31" s="33" t="n">
        <v>26300</v>
      </c>
      <c r="W31" s="38" t="n">
        <v>-0.05938242280285033</v>
      </c>
      <c r="X31" s="38" t="n">
        <v>0.5057034220532319</v>
      </c>
      <c r="Y31" s="33" t="n">
        <v>51414494</v>
      </c>
      <c r="Z31" s="33" t="n">
        <v>2036013962400</v>
      </c>
      <c r="AA31" s="33" t="n">
        <v>36826891200</v>
      </c>
      <c r="AB31" s="33" t="n">
        <v>62602833060</v>
      </c>
      <c r="AC31" s="38" t="n">
        <v>0.01808774000576569</v>
      </c>
      <c r="AD31" s="27" t="inlineStr">
        <is>
          <t>yfinance_download</t>
        </is>
      </c>
      <c r="AE31" s="27" t="inlineStr">
        <is>
          <t>005290.KQ</t>
        </is>
      </c>
    </row>
    <row r="32" ht="24" customHeight="1">
      <c r="A32" s="32" t="inlineStr">
        <is>
          <t>2023-07-21</t>
        </is>
      </c>
      <c r="B32" s="34" t="n">
        <v>38450</v>
      </c>
      <c r="C32" s="34" t="n">
        <v>39150</v>
      </c>
      <c r="D32" s="34" t="n">
        <v>38050</v>
      </c>
      <c r="E32" s="34" t="n">
        <v>38300</v>
      </c>
      <c r="F32" s="34" t="n">
        <v>37566.77734375</v>
      </c>
      <c r="G32" s="34" t="n">
        <v>931330</v>
      </c>
      <c r="H32" s="39" t="n">
        <v>-0.03282828282828287</v>
      </c>
      <c r="I32" s="39" t="n">
        <v>-0.2490196078431373</v>
      </c>
      <c r="J32" s="34" t="n">
        <v>39607.5</v>
      </c>
      <c r="K32" s="34" t="n">
        <v>36100</v>
      </c>
      <c r="L32" s="34" t="n">
        <v>34824.58333333334</v>
      </c>
      <c r="M32" s="39" t="n">
        <v>0.6378432029663257</v>
      </c>
      <c r="N32" s="39" t="n">
        <v>0.5857776609569092</v>
      </c>
      <c r="O32" s="39" t="n">
        <v>0.05947441217150762</v>
      </c>
      <c r="P32" s="39" t="n">
        <v>0.2577996715927751</v>
      </c>
      <c r="Q32" s="39" t="n">
        <v>0.1501501501501501</v>
      </c>
      <c r="R32" s="39" t="n">
        <v>-0.03301142460392603</v>
      </c>
      <c r="S32" s="39" t="n">
        <v>0.06094182825484773</v>
      </c>
      <c r="T32" s="39" t="n">
        <v>0.09979779609710571</v>
      </c>
      <c r="U32" s="34" t="n">
        <v>42100</v>
      </c>
      <c r="V32" s="34" t="n">
        <v>26300</v>
      </c>
      <c r="W32" s="39" t="n">
        <v>-0.09026128266033251</v>
      </c>
      <c r="X32" s="39" t="n">
        <v>0.456273764258555</v>
      </c>
      <c r="Y32" s="34" t="n">
        <v>51414494</v>
      </c>
      <c r="Z32" s="34" t="n">
        <v>1969175120200</v>
      </c>
      <c r="AA32" s="34" t="n">
        <v>35669939000</v>
      </c>
      <c r="AB32" s="34" t="n">
        <v>63074075972.5</v>
      </c>
      <c r="AC32" s="39" t="n">
        <v>0.01811415279123432</v>
      </c>
      <c r="AD32" s="32" t="inlineStr">
        <is>
          <t>yfinance_download</t>
        </is>
      </c>
      <c r="AE32" s="32" t="inlineStr">
        <is>
          <t>005290.KQ</t>
        </is>
      </c>
    </row>
    <row r="33" ht="24" customHeight="1">
      <c r="A33" s="27" t="inlineStr">
        <is>
          <t>2023-07-24</t>
        </is>
      </c>
      <c r="B33" s="33" t="n">
        <v>37900</v>
      </c>
      <c r="C33" s="33" t="n">
        <v>39200</v>
      </c>
      <c r="D33" s="33" t="n">
        <v>37900</v>
      </c>
      <c r="E33" s="33" t="n">
        <v>39050</v>
      </c>
      <c r="F33" s="33" t="n">
        <v>38302.421875</v>
      </c>
      <c r="G33" s="33" t="n">
        <v>823372</v>
      </c>
      <c r="H33" s="38" t="n">
        <v>0.01958224543080944</v>
      </c>
      <c r="I33" s="38" t="n">
        <v>-0.234313725490196</v>
      </c>
      <c r="J33" s="33" t="n">
        <v>39752.5</v>
      </c>
      <c r="K33" s="33" t="n">
        <v>36249.16666666666</v>
      </c>
      <c r="L33" s="33" t="n">
        <v>34875.83333333334</v>
      </c>
      <c r="M33" s="38" t="n">
        <v>0.640140728594793</v>
      </c>
      <c r="N33" s="38" t="n">
        <v>0.5856206571873235</v>
      </c>
      <c r="O33" s="38" t="n">
        <v>0.08022130013831252</v>
      </c>
      <c r="P33" s="38" t="n">
        <v>0.2973421926910298</v>
      </c>
      <c r="Q33" s="38" t="n">
        <v>0.1869300911854104</v>
      </c>
      <c r="R33" s="38" t="n">
        <v>-0.01767184453807935</v>
      </c>
      <c r="S33" s="38" t="n">
        <v>0.07726614404928855</v>
      </c>
      <c r="T33" s="38" t="n">
        <v>0.1196865068935031</v>
      </c>
      <c r="U33" s="33" t="n">
        <v>42100</v>
      </c>
      <c r="V33" s="33" t="n">
        <v>26300</v>
      </c>
      <c r="W33" s="38" t="n">
        <v>-0.07244655581947745</v>
      </c>
      <c r="X33" s="38" t="n">
        <v>0.4847908745247149</v>
      </c>
      <c r="Y33" s="33" t="n">
        <v>51414494</v>
      </c>
      <c r="Z33" s="33" t="n">
        <v>2007735990700</v>
      </c>
      <c r="AA33" s="33" t="n">
        <v>32152676600</v>
      </c>
      <c r="AB33" s="33" t="n">
        <v>63850015790</v>
      </c>
      <c r="AC33" s="38" t="n">
        <v>0.01601439469578364</v>
      </c>
      <c r="AD33" s="27" t="inlineStr">
        <is>
          <t>yfinance_download</t>
        </is>
      </c>
      <c r="AE33" s="27" t="inlineStr">
        <is>
          <t>005290.KQ</t>
        </is>
      </c>
    </row>
    <row r="34" ht="24" customHeight="1">
      <c r="A34" s="32" t="inlineStr">
        <is>
          <t>2023-07-25</t>
        </is>
      </c>
      <c r="B34" s="34" t="n">
        <v>39200</v>
      </c>
      <c r="C34" s="34" t="n">
        <v>40800</v>
      </c>
      <c r="D34" s="34" t="n">
        <v>38850</v>
      </c>
      <c r="E34" s="34" t="n">
        <v>39500</v>
      </c>
      <c r="F34" s="34" t="n">
        <v>38743.80859375</v>
      </c>
      <c r="G34" s="34" t="n">
        <v>1388073</v>
      </c>
      <c r="H34" s="39" t="n">
        <v>0.01152368758002553</v>
      </c>
      <c r="I34" s="39" t="n">
        <v>-0.2254901960784313</v>
      </c>
      <c r="J34" s="34" t="n">
        <v>39770</v>
      </c>
      <c r="K34" s="34" t="n">
        <v>36412.5</v>
      </c>
      <c r="L34" s="34" t="n">
        <v>34934.16666666666</v>
      </c>
      <c r="M34" s="39" t="n">
        <v>0.5706010139887018</v>
      </c>
      <c r="N34" s="39" t="n">
        <v>0.5845183796775422</v>
      </c>
      <c r="O34" s="39" t="n">
        <v>0.008939974457215838</v>
      </c>
      <c r="P34" s="39" t="n">
        <v>0.32996632996633</v>
      </c>
      <c r="Q34" s="39" t="n">
        <v>0.2153846153846153</v>
      </c>
      <c r="R34" s="39" t="n">
        <v>-0.006789036962534523</v>
      </c>
      <c r="S34" s="39" t="n">
        <v>0.08479231033298995</v>
      </c>
      <c r="T34" s="39" t="n">
        <v>0.130698218076859</v>
      </c>
      <c r="U34" s="34" t="n">
        <v>42100</v>
      </c>
      <c r="V34" s="34" t="n">
        <v>26300</v>
      </c>
      <c r="W34" s="39" t="n">
        <v>-0.06175771971496435</v>
      </c>
      <c r="X34" s="39" t="n">
        <v>0.5019011406844107</v>
      </c>
      <c r="Y34" s="34" t="n">
        <v>51414494</v>
      </c>
      <c r="Z34" s="34" t="n">
        <v>2030872513000</v>
      </c>
      <c r="AA34" s="34" t="n">
        <v>54828883500</v>
      </c>
      <c r="AB34" s="34" t="n">
        <v>61323751122.5</v>
      </c>
      <c r="AC34" s="39" t="n">
        <v>0.0269976983533087</v>
      </c>
      <c r="AD34" s="32" t="inlineStr">
        <is>
          <t>yfinance_download</t>
        </is>
      </c>
      <c r="AE34" s="32" t="inlineStr">
        <is>
          <t>005290.KQ</t>
        </is>
      </c>
    </row>
    <row r="35" ht="24" customHeight="1">
      <c r="A35" s="27" t="inlineStr">
        <is>
          <t>2023-07-26</t>
        </is>
      </c>
      <c r="B35" s="33" t="n">
        <v>40000</v>
      </c>
      <c r="C35" s="33" t="n">
        <v>40000</v>
      </c>
      <c r="D35" s="33" t="n">
        <v>37950</v>
      </c>
      <c r="E35" s="33" t="n">
        <v>38400</v>
      </c>
      <c r="F35" s="33" t="n">
        <v>37664.8671875</v>
      </c>
      <c r="G35" s="33" t="n">
        <v>1381570</v>
      </c>
      <c r="H35" s="38" t="n">
        <v>-0.02784810126582282</v>
      </c>
      <c r="I35" s="38" t="n">
        <v>-0.2470588235294118</v>
      </c>
      <c r="J35" s="33" t="n">
        <v>39752.5</v>
      </c>
      <c r="K35" s="33" t="n">
        <v>36560.83333333334</v>
      </c>
      <c r="L35" s="33" t="n">
        <v>34975.83333333334</v>
      </c>
      <c r="M35" s="38" t="n">
        <v>0.5785965841624625</v>
      </c>
      <c r="N35" s="38" t="n">
        <v>0.5879832815270754</v>
      </c>
      <c r="O35" s="38" t="n">
        <v>-0.00903225806451613</v>
      </c>
      <c r="P35" s="38" t="n">
        <v>0.3016949152542372</v>
      </c>
      <c r="Q35" s="38" t="n">
        <v>0.1497005988023952</v>
      </c>
      <c r="R35" s="38" t="n">
        <v>-0.03402301742028802</v>
      </c>
      <c r="S35" s="38" t="n">
        <v>0.0503042873749231</v>
      </c>
      <c r="T35" s="38" t="n">
        <v>0.09790093159562541</v>
      </c>
      <c r="U35" s="33" t="n">
        <v>42100</v>
      </c>
      <c r="V35" s="33" t="n">
        <v>26300</v>
      </c>
      <c r="W35" s="38" t="n">
        <v>-0.08788598574821849</v>
      </c>
      <c r="X35" s="38" t="n">
        <v>0.4600760456273765</v>
      </c>
      <c r="Y35" s="33" t="n">
        <v>51414494</v>
      </c>
      <c r="Z35" s="33" t="n">
        <v>1974316569600</v>
      </c>
      <c r="AA35" s="33" t="n">
        <v>53052288000</v>
      </c>
      <c r="AB35" s="33" t="n">
        <v>62337548585</v>
      </c>
      <c r="AC35" s="38" t="n">
        <v>0.02687121650949244</v>
      </c>
      <c r="AD35" s="27" t="inlineStr">
        <is>
          <t>yfinance_download</t>
        </is>
      </c>
      <c r="AE35" s="27" t="inlineStr">
        <is>
          <t>005290.KQ</t>
        </is>
      </c>
    </row>
    <row r="36" ht="24" customHeight="1">
      <c r="A36" s="32" t="inlineStr">
        <is>
          <t>2023-07-27</t>
        </is>
      </c>
      <c r="B36" s="34" t="n">
        <v>38500</v>
      </c>
      <c r="C36" s="34" t="n">
        <v>40350</v>
      </c>
      <c r="D36" s="34" t="n">
        <v>38200</v>
      </c>
      <c r="E36" s="34" t="n">
        <v>39500</v>
      </c>
      <c r="F36" s="34" t="n">
        <v>38743.80859375</v>
      </c>
      <c r="G36" s="34" t="n">
        <v>1254503</v>
      </c>
      <c r="H36" s="39" t="n">
        <v>0.02864583333333326</v>
      </c>
      <c r="I36" s="39" t="n">
        <v>-0.2254901960784313</v>
      </c>
      <c r="J36" s="34" t="n">
        <v>39840</v>
      </c>
      <c r="K36" s="34" t="n">
        <v>36717.5</v>
      </c>
      <c r="L36" s="34" t="n">
        <v>35014.58333333334</v>
      </c>
      <c r="M36" s="39" t="n">
        <v>0.5784530504188687</v>
      </c>
      <c r="N36" s="39" t="n">
        <v>0.5891506931095742</v>
      </c>
      <c r="O36" s="39" t="n">
        <v>0.04635761589403975</v>
      </c>
      <c r="P36" s="39" t="n">
        <v>0.3122923588039868</v>
      </c>
      <c r="Q36" s="39" t="n">
        <v>0.1334289813486371</v>
      </c>
      <c r="R36" s="39" t="n">
        <v>-0.008534136546184734</v>
      </c>
      <c r="S36" s="39" t="n">
        <v>0.07578130319330012</v>
      </c>
      <c r="T36" s="39" t="n">
        <v>0.1281013863271254</v>
      </c>
      <c r="U36" s="34" t="n">
        <v>42100</v>
      </c>
      <c r="V36" s="34" t="n">
        <v>26300</v>
      </c>
      <c r="W36" s="39" t="n">
        <v>-0.06175771971496435</v>
      </c>
      <c r="X36" s="39" t="n">
        <v>0.5019011406844107</v>
      </c>
      <c r="Y36" s="34" t="n">
        <v>51414494</v>
      </c>
      <c r="Z36" s="34" t="n">
        <v>2030872513000</v>
      </c>
      <c r="AA36" s="34" t="n">
        <v>49552868500</v>
      </c>
      <c r="AB36" s="34" t="n">
        <v>63215362110</v>
      </c>
      <c r="AC36" s="39" t="n">
        <v>0.02439979278994752</v>
      </c>
      <c r="AD36" s="32" t="inlineStr">
        <is>
          <t>yfinance_download</t>
        </is>
      </c>
      <c r="AE36" s="32" t="inlineStr">
        <is>
          <t>005290.KQ</t>
        </is>
      </c>
    </row>
    <row r="37" ht="24" customHeight="1">
      <c r="A37" s="27" t="inlineStr">
        <is>
          <t>2023-07-28</t>
        </is>
      </c>
      <c r="B37" s="33" t="n">
        <v>39600</v>
      </c>
      <c r="C37" s="33" t="n">
        <v>41450</v>
      </c>
      <c r="D37" s="33" t="n">
        <v>39600</v>
      </c>
      <c r="E37" s="33" t="n">
        <v>41100</v>
      </c>
      <c r="F37" s="33" t="n">
        <v>40313.17578125</v>
      </c>
      <c r="G37" s="33" t="n">
        <v>1880730</v>
      </c>
      <c r="H37" s="38" t="n">
        <v>0.04050632911392404</v>
      </c>
      <c r="I37" s="38" t="n">
        <v>-0.1941176470588235</v>
      </c>
      <c r="J37" s="33" t="n">
        <v>39945</v>
      </c>
      <c r="K37" s="33" t="n">
        <v>36911.66666666666</v>
      </c>
      <c r="L37" s="33" t="n">
        <v>35063.75</v>
      </c>
      <c r="M37" s="38" t="n">
        <v>0.584143039233888</v>
      </c>
      <c r="N37" s="38" t="n">
        <v>0.5908332063066846</v>
      </c>
      <c r="O37" s="38" t="n">
        <v>0.05384615384615388</v>
      </c>
      <c r="P37" s="38" t="n">
        <v>0.3955857385398982</v>
      </c>
      <c r="Q37" s="38" t="n">
        <v>0.1676136363636365</v>
      </c>
      <c r="R37" s="38" t="n">
        <v>0.02891475779196395</v>
      </c>
      <c r="S37" s="38" t="n">
        <v>0.1134690928793969</v>
      </c>
      <c r="T37" s="38" t="n">
        <v>0.1721507254643329</v>
      </c>
      <c r="U37" s="33" t="n">
        <v>42100</v>
      </c>
      <c r="V37" s="33" t="n">
        <v>26300</v>
      </c>
      <c r="W37" s="38" t="n">
        <v>-0.02375296912114011</v>
      </c>
      <c r="X37" s="38" t="n">
        <v>0.5627376425855513</v>
      </c>
      <c r="Y37" s="33" t="n">
        <v>51414494</v>
      </c>
      <c r="Z37" s="33" t="n">
        <v>2113135703400</v>
      </c>
      <c r="AA37" s="33" t="n">
        <v>77298003000</v>
      </c>
      <c r="AB37" s="33" t="n">
        <v>65150199060</v>
      </c>
      <c r="AC37" s="38" t="n">
        <v>0.03657976289720949</v>
      </c>
      <c r="AD37" s="27" t="inlineStr">
        <is>
          <t>yfinance_download</t>
        </is>
      </c>
      <c r="AE37" s="27" t="inlineStr">
        <is>
          <t>005290.KQ</t>
        </is>
      </c>
    </row>
    <row r="38" ht="24" customHeight="1">
      <c r="A38" s="32" t="inlineStr">
        <is>
          <t>2023-07-31</t>
        </is>
      </c>
      <c r="B38" s="34" t="n">
        <v>42050</v>
      </c>
      <c r="C38" s="34" t="n">
        <v>44900</v>
      </c>
      <c r="D38" s="34" t="n">
        <v>41500</v>
      </c>
      <c r="E38" s="34" t="n">
        <v>42350</v>
      </c>
      <c r="F38" s="34" t="n">
        <v>41539.24609375</v>
      </c>
      <c r="G38" s="34" t="n">
        <v>3915236</v>
      </c>
      <c r="H38" s="39" t="n">
        <v>0.03041362530413627</v>
      </c>
      <c r="I38" s="39" t="n">
        <v>-0.1696078431372549</v>
      </c>
      <c r="J38" s="34" t="n">
        <v>39957.5</v>
      </c>
      <c r="K38" s="34" t="n">
        <v>37123.33333333334</v>
      </c>
      <c r="L38" s="34" t="n">
        <v>35125.83333333334</v>
      </c>
      <c r="M38" s="39" t="n">
        <v>0.5218677425324942</v>
      </c>
      <c r="N38" s="39" t="n">
        <v>0.5929086164313107</v>
      </c>
      <c r="O38" s="39" t="n">
        <v>0.005938242280284944</v>
      </c>
      <c r="P38" s="39" t="n">
        <v>0.4283305227655987</v>
      </c>
      <c r="Q38" s="39" t="n">
        <v>0.2134670487106016</v>
      </c>
      <c r="R38" s="39" t="n">
        <v>0.05987611837577433</v>
      </c>
      <c r="S38" s="39" t="n">
        <v>0.140791954745443</v>
      </c>
      <c r="T38" s="39" t="n">
        <v>0.2056653460178879</v>
      </c>
      <c r="U38" s="34" t="n">
        <v>42350</v>
      </c>
      <c r="V38" s="34" t="n">
        <v>26300</v>
      </c>
      <c r="W38" s="39" t="n">
        <v>0</v>
      </c>
      <c r="X38" s="39" t="n">
        <v>0.6102661596958174</v>
      </c>
      <c r="Y38" s="34" t="n">
        <v>51414494</v>
      </c>
      <c r="Z38" s="34" t="n">
        <v>2177403820900</v>
      </c>
      <c r="AA38" s="34" t="n">
        <v>165810244600</v>
      </c>
      <c r="AB38" s="34" t="n">
        <v>63730192625</v>
      </c>
      <c r="AC38" s="39" t="n">
        <v>0.0761504333777942</v>
      </c>
      <c r="AD38" s="32" t="inlineStr">
        <is>
          <t>yfinance_download</t>
        </is>
      </c>
      <c r="AE38" s="32" t="inlineStr">
        <is>
          <t>005290.KQ</t>
        </is>
      </c>
    </row>
    <row r="39" ht="24" customHeight="1">
      <c r="A39" s="27" t="inlineStr">
        <is>
          <t>2023-08-01</t>
        </is>
      </c>
      <c r="B39" s="33" t="n">
        <v>42150</v>
      </c>
      <c r="C39" s="33" t="n">
        <v>42500</v>
      </c>
      <c r="D39" s="33" t="n">
        <v>40350</v>
      </c>
      <c r="E39" s="33" t="n">
        <v>40850</v>
      </c>
      <c r="F39" s="33" t="n">
        <v>40067.9609375</v>
      </c>
      <c r="G39" s="33" t="n">
        <v>1771338</v>
      </c>
      <c r="H39" s="38" t="n">
        <v>-0.0354191263282172</v>
      </c>
      <c r="I39" s="38" t="n">
        <v>-0.1990196078431372</v>
      </c>
      <c r="J39" s="33" t="n">
        <v>39922.5</v>
      </c>
      <c r="K39" s="33" t="n">
        <v>37310.83333333334</v>
      </c>
      <c r="L39" s="33" t="n">
        <v>35179.16666666666</v>
      </c>
      <c r="M39" s="38" t="n">
        <v>0.5356035978301162</v>
      </c>
      <c r="N39" s="38" t="n">
        <v>0.5989279326910937</v>
      </c>
      <c r="O39" s="38" t="n">
        <v>-0.01684717208182918</v>
      </c>
      <c r="P39" s="38" t="n">
        <v>0.3800675675675675</v>
      </c>
      <c r="Q39" s="38" t="n">
        <v>0.1857764876632801</v>
      </c>
      <c r="R39" s="38" t="n">
        <v>0.0232325129939257</v>
      </c>
      <c r="S39" s="38" t="n">
        <v>0.09485627498715732</v>
      </c>
      <c r="T39" s="38" t="n">
        <v>0.161198626080777</v>
      </c>
      <c r="U39" s="33" t="n">
        <v>42350</v>
      </c>
      <c r="V39" s="33" t="n">
        <v>26300</v>
      </c>
      <c r="W39" s="38" t="n">
        <v>-0.0354191263282172</v>
      </c>
      <c r="X39" s="38" t="n">
        <v>0.5532319391634981</v>
      </c>
      <c r="Y39" s="33" t="n">
        <v>51414494</v>
      </c>
      <c r="Z39" s="33" t="n">
        <v>2100282079900</v>
      </c>
      <c r="AA39" s="33" t="n">
        <v>72359157300</v>
      </c>
      <c r="AB39" s="33" t="n">
        <v>63764757995</v>
      </c>
      <c r="AC39" s="38" t="n">
        <v>0.03445211383389283</v>
      </c>
      <c r="AD39" s="27" t="inlineStr">
        <is>
          <t>yfinance_download</t>
        </is>
      </c>
      <c r="AE39" s="27" t="inlineStr">
        <is>
          <t>005290.KQ</t>
        </is>
      </c>
    </row>
    <row r="40" ht="24" customHeight="1">
      <c r="A40" s="32" t="inlineStr">
        <is>
          <t>2023-08-02</t>
        </is>
      </c>
      <c r="B40" s="34" t="n">
        <v>40350</v>
      </c>
      <c r="C40" s="34" t="n">
        <v>40600</v>
      </c>
      <c r="D40" s="34" t="n">
        <v>38600</v>
      </c>
      <c r="E40" s="34" t="n">
        <v>39050</v>
      </c>
      <c r="F40" s="34" t="n">
        <v>38302.421875</v>
      </c>
      <c r="G40" s="34" t="n">
        <v>1318837</v>
      </c>
      <c r="H40" s="39" t="n">
        <v>-0.04406364749082003</v>
      </c>
      <c r="I40" s="39" t="n">
        <v>-0.234313725490196</v>
      </c>
      <c r="J40" s="34" t="n">
        <v>39787.5</v>
      </c>
      <c r="K40" s="34" t="n">
        <v>37471.66666666666</v>
      </c>
      <c r="L40" s="34" t="n">
        <v>35208.75</v>
      </c>
      <c r="M40" s="39" t="n">
        <v>0.5570772181449046</v>
      </c>
      <c r="N40" s="39" t="n">
        <v>0.6071618920950576</v>
      </c>
      <c r="O40" s="39" t="n">
        <v>-0.06467065868263477</v>
      </c>
      <c r="P40" s="39" t="n">
        <v>0.3282312925170068</v>
      </c>
      <c r="Q40" s="39" t="n">
        <v>0.1000000000000001</v>
      </c>
      <c r="R40" s="39" t="n">
        <v>-0.01853597235312598</v>
      </c>
      <c r="S40" s="39" t="n">
        <v>0.04212071342792334</v>
      </c>
      <c r="T40" s="39" t="n">
        <v>0.109099300599993</v>
      </c>
      <c r="U40" s="34" t="n">
        <v>42350</v>
      </c>
      <c r="V40" s="34" t="n">
        <v>26300</v>
      </c>
      <c r="W40" s="39" t="n">
        <v>-0.07792207792207795</v>
      </c>
      <c r="X40" s="39" t="n">
        <v>0.4847908745247149</v>
      </c>
      <c r="Y40" s="34" t="n">
        <v>51414494</v>
      </c>
      <c r="Z40" s="34" t="n">
        <v>2007735990700</v>
      </c>
      <c r="AA40" s="34" t="n">
        <v>51500584850</v>
      </c>
      <c r="AB40" s="34" t="n">
        <v>63779971575</v>
      </c>
      <c r="AC40" s="39" t="n">
        <v>0.02565107418931323</v>
      </c>
      <c r="AD40" s="32" t="inlineStr">
        <is>
          <t>yfinance_download</t>
        </is>
      </c>
      <c r="AE40" s="32" t="inlineStr">
        <is>
          <t>005290.KQ</t>
        </is>
      </c>
    </row>
    <row r="41" ht="24" customHeight="1">
      <c r="A41" s="27" t="inlineStr">
        <is>
          <t>2023-08-03</t>
        </is>
      </c>
      <c r="B41" s="33" t="n">
        <v>38850</v>
      </c>
      <c r="C41" s="33" t="n">
        <v>39200</v>
      </c>
      <c r="D41" s="33" t="n">
        <v>37900</v>
      </c>
      <c r="E41" s="33" t="n">
        <v>38600</v>
      </c>
      <c r="F41" s="33" t="n">
        <v>37861.0390625</v>
      </c>
      <c r="G41" s="33" t="n">
        <v>1060884</v>
      </c>
      <c r="H41" s="38" t="n">
        <v>-0.01152368758002564</v>
      </c>
      <c r="I41" s="38" t="n">
        <v>-0.2431372549019608</v>
      </c>
      <c r="J41" s="33" t="n">
        <v>39652.5</v>
      </c>
      <c r="K41" s="33" t="n">
        <v>37588.33333333334</v>
      </c>
      <c r="L41" s="33" t="n">
        <v>35231.25</v>
      </c>
      <c r="M41" s="38" t="n">
        <v>0.5572259356653724</v>
      </c>
      <c r="N41" s="38" t="n">
        <v>0.590574856489402</v>
      </c>
      <c r="O41" s="38" t="n">
        <v>-0.06537530266343827</v>
      </c>
      <c r="P41" s="38" t="n">
        <v>0.2215189873417722</v>
      </c>
      <c r="Q41" s="38" t="n">
        <v>0.07520891364902504</v>
      </c>
      <c r="R41" s="38" t="n">
        <v>-0.02654309312149294</v>
      </c>
      <c r="S41" s="38" t="n">
        <v>0.02691437946171238</v>
      </c>
      <c r="T41" s="38" t="n">
        <v>0.09561823665070079</v>
      </c>
      <c r="U41" s="33" t="n">
        <v>42350</v>
      </c>
      <c r="V41" s="33" t="n">
        <v>26300</v>
      </c>
      <c r="W41" s="38" t="n">
        <v>-0.08854781582054305</v>
      </c>
      <c r="X41" s="38" t="n">
        <v>0.4676806083650189</v>
      </c>
      <c r="Y41" s="33" t="n">
        <v>51414494</v>
      </c>
      <c r="Z41" s="33" t="n">
        <v>1984599468400</v>
      </c>
      <c r="AA41" s="33" t="n">
        <v>40950122400</v>
      </c>
      <c r="AB41" s="33" t="n">
        <v>63650523720</v>
      </c>
      <c r="AC41" s="38" t="n">
        <v>0.02063394808475602</v>
      </c>
      <c r="AD41" s="27" t="inlineStr">
        <is>
          <t>yfinance_download</t>
        </is>
      </c>
      <c r="AE41" s="27" t="inlineStr">
        <is>
          <t>005290.KQ</t>
        </is>
      </c>
    </row>
    <row r="42" ht="24" customHeight="1">
      <c r="A42" s="32" t="inlineStr">
        <is>
          <t>2023-08-04</t>
        </is>
      </c>
      <c r="B42" s="34" t="n">
        <v>38500</v>
      </c>
      <c r="C42" s="34" t="n">
        <v>39350</v>
      </c>
      <c r="D42" s="34" t="n">
        <v>37750</v>
      </c>
      <c r="E42" s="34" t="n">
        <v>37800</v>
      </c>
      <c r="F42" s="34" t="n">
        <v>37076.3515625</v>
      </c>
      <c r="G42" s="34" t="n">
        <v>856940</v>
      </c>
      <c r="H42" s="39" t="n">
        <v>-0.02072538860103623</v>
      </c>
      <c r="I42" s="39" t="n">
        <v>-0.2588235294117647</v>
      </c>
      <c r="J42" s="34" t="n">
        <v>39572.5</v>
      </c>
      <c r="K42" s="34" t="n">
        <v>37716.66666666666</v>
      </c>
      <c r="L42" s="34" t="n">
        <v>35240.41666666666</v>
      </c>
      <c r="M42" s="39" t="n">
        <v>0.5381190226378553</v>
      </c>
      <c r="N42" s="39" t="n">
        <v>0.5831160014500582</v>
      </c>
      <c r="O42" s="39" t="n">
        <v>-0.04060913705583757</v>
      </c>
      <c r="P42" s="39" t="n">
        <v>0.2558139534883721</v>
      </c>
      <c r="Q42" s="39" t="n">
        <v>0.02997275204359684</v>
      </c>
      <c r="R42" s="39" t="n">
        <v>-0.04479120601427755</v>
      </c>
      <c r="S42" s="39" t="n">
        <v>0.002209456473707627</v>
      </c>
      <c r="T42" s="39" t="n">
        <v>0.07263203944334751</v>
      </c>
      <c r="U42" s="34" t="n">
        <v>42350</v>
      </c>
      <c r="V42" s="34" t="n">
        <v>26300</v>
      </c>
      <c r="W42" s="39" t="n">
        <v>-0.1074380165289256</v>
      </c>
      <c r="X42" s="39" t="n">
        <v>0.4372623574144487</v>
      </c>
      <c r="Y42" s="34" t="n">
        <v>51414494</v>
      </c>
      <c r="Z42" s="34" t="n">
        <v>1943467873200</v>
      </c>
      <c r="AA42" s="34" t="n">
        <v>32392332000</v>
      </c>
      <c r="AB42" s="34" t="n">
        <v>62643143350</v>
      </c>
      <c r="AC42" s="39" t="n">
        <v>0.01666728452097574</v>
      </c>
      <c r="AD42" s="32" t="inlineStr">
        <is>
          <t>yfinance_download</t>
        </is>
      </c>
      <c r="AE42" s="32" t="inlineStr">
        <is>
          <t>005290.KQ</t>
        </is>
      </c>
    </row>
    <row r="43" ht="24" customHeight="1">
      <c r="A43" s="27" t="inlineStr">
        <is>
          <t>2023-08-07</t>
        </is>
      </c>
      <c r="B43" s="33" t="n">
        <v>37950</v>
      </c>
      <c r="C43" s="33" t="n">
        <v>38800</v>
      </c>
      <c r="D43" s="33" t="n">
        <v>37200</v>
      </c>
      <c r="E43" s="33" t="n">
        <v>37850</v>
      </c>
      <c r="F43" s="33" t="n">
        <v>37125.39453125</v>
      </c>
      <c r="G43" s="33" t="n">
        <v>927144</v>
      </c>
      <c r="H43" s="38" t="n">
        <v>0.001322751322751392</v>
      </c>
      <c r="I43" s="38" t="n">
        <v>-0.2578431372549019</v>
      </c>
      <c r="J43" s="33" t="n">
        <v>39467.5</v>
      </c>
      <c r="K43" s="33" t="n">
        <v>37833.33333333334</v>
      </c>
      <c r="L43" s="33" t="n">
        <v>35252.91666666666</v>
      </c>
      <c r="M43" s="38" t="n">
        <v>0.5351582829570594</v>
      </c>
      <c r="N43" s="38" t="n">
        <v>0.5815811562220387</v>
      </c>
      <c r="O43" s="38" t="n">
        <v>-0.05256570713391739</v>
      </c>
      <c r="P43" s="38" t="n">
        <v>0.2269043760129659</v>
      </c>
      <c r="Q43" s="38" t="n">
        <v>0.04126547455295726</v>
      </c>
      <c r="R43" s="38" t="n">
        <v>-0.04098308735035161</v>
      </c>
      <c r="S43" s="38" t="n">
        <v>0.0004405286343611703</v>
      </c>
      <c r="T43" s="38" t="n">
        <v>0.07367002730270555</v>
      </c>
      <c r="U43" s="33" t="n">
        <v>42350</v>
      </c>
      <c r="V43" s="33" t="n">
        <v>26300</v>
      </c>
      <c r="W43" s="38" t="n">
        <v>-0.1062573789846517</v>
      </c>
      <c r="X43" s="38" t="n">
        <v>0.4391634980988592</v>
      </c>
      <c r="Y43" s="33" t="n">
        <v>51414494</v>
      </c>
      <c r="Z43" s="33" t="n">
        <v>1946038597900</v>
      </c>
      <c r="AA43" s="33" t="n">
        <v>35092400400</v>
      </c>
      <c r="AB43" s="33" t="n">
        <v>62349842475</v>
      </c>
      <c r="AC43" s="38" t="n">
        <v>0.01803273606076917</v>
      </c>
      <c r="AD43" s="27" t="inlineStr">
        <is>
          <t>yfinance_download</t>
        </is>
      </c>
      <c r="AE43" s="27" t="inlineStr">
        <is>
          <t>005290.KQ</t>
        </is>
      </c>
    </row>
    <row r="44" ht="24" customHeight="1">
      <c r="A44" s="32" t="inlineStr">
        <is>
          <t>2023-08-08</t>
        </is>
      </c>
      <c r="B44" s="34" t="n">
        <v>38150</v>
      </c>
      <c r="C44" s="34" t="n">
        <v>38250</v>
      </c>
      <c r="D44" s="34" t="n">
        <v>36250</v>
      </c>
      <c r="E44" s="34" t="n">
        <v>36450</v>
      </c>
      <c r="F44" s="34" t="n">
        <v>35752.1953125</v>
      </c>
      <c r="G44" s="34" t="n">
        <v>984525</v>
      </c>
      <c r="H44" s="39" t="n">
        <v>-0.03698811096433285</v>
      </c>
      <c r="I44" s="39" t="n">
        <v>-0.2852941176470588</v>
      </c>
      <c r="J44" s="34" t="n">
        <v>39447.5</v>
      </c>
      <c r="K44" s="34" t="n">
        <v>37935</v>
      </c>
      <c r="L44" s="34" t="n">
        <v>35251.25</v>
      </c>
      <c r="M44" s="39" t="n">
        <v>0.4752958122582422</v>
      </c>
      <c r="N44" s="39" t="n">
        <v>0.586214172777927</v>
      </c>
      <c r="O44" s="39" t="n">
        <v>-0.01085481682496603</v>
      </c>
      <c r="P44" s="39" t="n">
        <v>0.200988467874794</v>
      </c>
      <c r="Q44" s="39" t="n">
        <v>-0.00545702592087316</v>
      </c>
      <c r="R44" s="39" t="n">
        <v>-0.07598707142404459</v>
      </c>
      <c r="S44" s="39" t="n">
        <v>-0.03914590747330959</v>
      </c>
      <c r="T44" s="39" t="n">
        <v>0.03400588631608814</v>
      </c>
      <c r="U44" s="34" t="n">
        <v>42350</v>
      </c>
      <c r="V44" s="34" t="n">
        <v>26300</v>
      </c>
      <c r="W44" s="39" t="n">
        <v>-0.1393152302243211</v>
      </c>
      <c r="X44" s="39" t="n">
        <v>0.3859315589353611</v>
      </c>
      <c r="Y44" s="34" t="n">
        <v>51414494</v>
      </c>
      <c r="Z44" s="34" t="n">
        <v>1874058306300</v>
      </c>
      <c r="AA44" s="34" t="n">
        <v>35885936250</v>
      </c>
      <c r="AB44" s="34" t="n">
        <v>60146632862.5</v>
      </c>
      <c r="AC44" s="39" t="n">
        <v>0.01914878322054478</v>
      </c>
      <c r="AD44" s="32" t="inlineStr">
        <is>
          <t>yfinance_download</t>
        </is>
      </c>
      <c r="AE44" s="32" t="inlineStr">
        <is>
          <t>005290.KQ</t>
        </is>
      </c>
    </row>
    <row r="45" ht="24" customHeight="1">
      <c r="A45" s="27" t="inlineStr">
        <is>
          <t>2023-08-09</t>
        </is>
      </c>
      <c r="B45" s="33" t="n">
        <v>36350</v>
      </c>
      <c r="C45" s="33" t="n">
        <v>37150</v>
      </c>
      <c r="D45" s="33" t="n">
        <v>36150</v>
      </c>
      <c r="E45" s="33" t="n">
        <v>37050</v>
      </c>
      <c r="F45" s="33" t="n">
        <v>36340.7109375</v>
      </c>
      <c r="G45" s="33" t="n">
        <v>496280</v>
      </c>
      <c r="H45" s="38" t="n">
        <v>0.01646090534979416</v>
      </c>
      <c r="I45" s="38" t="n">
        <v>-0.2735294117647059</v>
      </c>
      <c r="J45" s="33" t="n">
        <v>39320</v>
      </c>
      <c r="K45" s="33" t="n">
        <v>38046.66666666666</v>
      </c>
      <c r="L45" s="33" t="n">
        <v>35253.75</v>
      </c>
      <c r="M45" s="38" t="n">
        <v>0.3914073492464842</v>
      </c>
      <c r="N45" s="38" t="n">
        <v>0.5867399464647732</v>
      </c>
      <c r="O45" s="38" t="n">
        <v>-0.06439393939393945</v>
      </c>
      <c r="P45" s="38" t="n">
        <v>0.2207578253706755</v>
      </c>
      <c r="Q45" s="38" t="n">
        <v>0.008163265306122547</v>
      </c>
      <c r="R45" s="38" t="n">
        <v>-0.05773143438453709</v>
      </c>
      <c r="S45" s="38" t="n">
        <v>-0.02619589977220949</v>
      </c>
      <c r="T45" s="38" t="n">
        <v>0.05095202638017238</v>
      </c>
      <c r="U45" s="33" t="n">
        <v>42350</v>
      </c>
      <c r="V45" s="33" t="n">
        <v>26300</v>
      </c>
      <c r="W45" s="38" t="n">
        <v>-0.1251475796930342</v>
      </c>
      <c r="X45" s="38" t="n">
        <v>0.4087452471482891</v>
      </c>
      <c r="Y45" s="33" t="n">
        <v>51414494</v>
      </c>
      <c r="Z45" s="33" t="n">
        <v>1904907002700</v>
      </c>
      <c r="AA45" s="33" t="n">
        <v>18387174000</v>
      </c>
      <c r="AB45" s="33" t="n">
        <v>56574959522.5</v>
      </c>
      <c r="AC45" s="38" t="n">
        <v>0.00965253105476444</v>
      </c>
      <c r="AD45" s="27" t="inlineStr">
        <is>
          <t>yfinance_download</t>
        </is>
      </c>
      <c r="AE45" s="27" t="inlineStr">
        <is>
          <t>005290.KQ</t>
        </is>
      </c>
    </row>
    <row r="46" ht="24" customHeight="1">
      <c r="A46" s="32" t="inlineStr">
        <is>
          <t>2023-08-10</t>
        </is>
      </c>
      <c r="B46" s="34" t="n">
        <v>36350</v>
      </c>
      <c r="C46" s="34" t="n">
        <v>36400</v>
      </c>
      <c r="D46" s="34" t="n">
        <v>35250</v>
      </c>
      <c r="E46" s="34" t="n">
        <v>36200</v>
      </c>
      <c r="F46" s="34" t="n">
        <v>35506.984375</v>
      </c>
      <c r="G46" s="34" t="n">
        <v>864600</v>
      </c>
      <c r="H46" s="39" t="n">
        <v>-0.02294197031039136</v>
      </c>
      <c r="I46" s="39" t="n">
        <v>-0.2901960784313725</v>
      </c>
      <c r="J46" s="34" t="n">
        <v>39117.5</v>
      </c>
      <c r="K46" s="34" t="n">
        <v>38145.83333333334</v>
      </c>
      <c r="L46" s="34" t="n">
        <v>35251.66666666666</v>
      </c>
      <c r="M46" s="39" t="n">
        <v>0.3904024020267109</v>
      </c>
      <c r="N46" s="39" t="n">
        <v>0.5891572542028124</v>
      </c>
      <c r="O46" s="39" t="n">
        <v>-0.1006211180124224</v>
      </c>
      <c r="P46" s="39" t="n">
        <v>0.1966942148760331</v>
      </c>
      <c r="Q46" s="39" t="n">
        <v>-0.006858710562414272</v>
      </c>
      <c r="R46" s="39" t="n">
        <v>-0.07458298715408707</v>
      </c>
      <c r="S46" s="39" t="n">
        <v>-0.05101037684325516</v>
      </c>
      <c r="T46" s="39" t="n">
        <v>0.02690180133327047</v>
      </c>
      <c r="U46" s="34" t="n">
        <v>42350</v>
      </c>
      <c r="V46" s="34" t="n">
        <v>26300</v>
      </c>
      <c r="W46" s="39" t="n">
        <v>-0.1452184179456907</v>
      </c>
      <c r="X46" s="39" t="n">
        <v>0.376425855513308</v>
      </c>
      <c r="Y46" s="34" t="n">
        <v>51414494</v>
      </c>
      <c r="Z46" s="34" t="n">
        <v>1861204682800</v>
      </c>
      <c r="AA46" s="34" t="n">
        <v>31298520000</v>
      </c>
      <c r="AB46" s="34" t="n">
        <v>55840877972.5</v>
      </c>
      <c r="AC46" s="39" t="n">
        <v>0.01681626974681497</v>
      </c>
      <c r="AD46" s="32" t="inlineStr">
        <is>
          <t>yfinance_download</t>
        </is>
      </c>
      <c r="AE46" s="32" t="inlineStr">
        <is>
          <t>005290.KQ</t>
        </is>
      </c>
    </row>
    <row r="47" ht="24" customHeight="1">
      <c r="A47" s="27" t="inlineStr">
        <is>
          <t>2023-08-11</t>
        </is>
      </c>
      <c r="B47" s="33" t="n">
        <v>36050</v>
      </c>
      <c r="C47" s="33" t="n">
        <v>36650</v>
      </c>
      <c r="D47" s="33" t="n">
        <v>35850</v>
      </c>
      <c r="E47" s="33" t="n">
        <v>36250</v>
      </c>
      <c r="F47" s="33" t="n">
        <v>35556.0234375</v>
      </c>
      <c r="G47" s="33" t="n">
        <v>432741</v>
      </c>
      <c r="H47" s="38" t="n">
        <v>0.001381215469613339</v>
      </c>
      <c r="I47" s="38" t="n">
        <v>-0.2892156862745098</v>
      </c>
      <c r="J47" s="33" t="n">
        <v>38902.5</v>
      </c>
      <c r="K47" s="33" t="n">
        <v>38250.83333333334</v>
      </c>
      <c r="L47" s="33" t="n">
        <v>35237.5</v>
      </c>
      <c r="M47" s="38" t="n">
        <v>0.3884232777983893</v>
      </c>
      <c r="N47" s="38" t="n">
        <v>0.5885002412660065</v>
      </c>
      <c r="O47" s="38" t="n">
        <v>-0.1060419235511714</v>
      </c>
      <c r="P47" s="38" t="n">
        <v>0.2103505843071787</v>
      </c>
      <c r="Q47" s="38" t="n">
        <v>-0.04479578392621875</v>
      </c>
      <c r="R47" s="38" t="n">
        <v>-0.06818327870959451</v>
      </c>
      <c r="S47" s="38" t="n">
        <v>-0.05230822857889816</v>
      </c>
      <c r="T47" s="38" t="n">
        <v>0.02873359347286275</v>
      </c>
      <c r="U47" s="33" t="n">
        <v>42350</v>
      </c>
      <c r="V47" s="33" t="n">
        <v>26300</v>
      </c>
      <c r="W47" s="38" t="n">
        <v>-0.1440377804014168</v>
      </c>
      <c r="X47" s="38" t="n">
        <v>0.3783269961977187</v>
      </c>
      <c r="Y47" s="33" t="n">
        <v>51414494</v>
      </c>
      <c r="Z47" s="33" t="n">
        <v>1863775407500</v>
      </c>
      <c r="AA47" s="33" t="n">
        <v>15686861250</v>
      </c>
      <c r="AB47" s="33" t="n">
        <v>51957784247.5</v>
      </c>
      <c r="AC47" s="38" t="n">
        <v>0.008416712221265856</v>
      </c>
      <c r="AD47" s="27" t="inlineStr">
        <is>
          <t>yfinance_download</t>
        </is>
      </c>
      <c r="AE47" s="27" t="inlineStr">
        <is>
          <t>005290.KQ</t>
        </is>
      </c>
    </row>
    <row r="48" ht="24" customHeight="1">
      <c r="A48" s="32" t="inlineStr">
        <is>
          <t>2023-08-14</t>
        </is>
      </c>
      <c r="B48" s="34" t="n">
        <v>36000</v>
      </c>
      <c r="C48" s="34" t="n">
        <v>36000</v>
      </c>
      <c r="D48" s="34" t="n">
        <v>35000</v>
      </c>
      <c r="E48" s="34" t="n">
        <v>35900</v>
      </c>
      <c r="F48" s="34" t="n">
        <v>35212.7265625</v>
      </c>
      <c r="G48" s="34" t="n">
        <v>417442</v>
      </c>
      <c r="H48" s="39" t="n">
        <v>-0.009655172413793101</v>
      </c>
      <c r="I48" s="39" t="n">
        <v>-0.296078431372549</v>
      </c>
      <c r="J48" s="34" t="n">
        <v>38690</v>
      </c>
      <c r="K48" s="34" t="n">
        <v>38340</v>
      </c>
      <c r="L48" s="34" t="n">
        <v>35224.58333333334</v>
      </c>
      <c r="M48" s="39" t="n">
        <v>0.3883914111272805</v>
      </c>
      <c r="N48" s="39" t="n">
        <v>0.5881567181725267</v>
      </c>
      <c r="O48" s="39" t="n">
        <v>-0.1058530510585305</v>
      </c>
      <c r="P48" s="39" t="n">
        <v>0.1751227495908347</v>
      </c>
      <c r="Q48" s="39" t="n">
        <v>-0.04138851802403209</v>
      </c>
      <c r="R48" s="39" t="n">
        <v>-0.07211165675885245</v>
      </c>
      <c r="S48" s="39" t="n">
        <v>-0.06364110589462701</v>
      </c>
      <c r="T48" s="39" t="n">
        <v>0.01917458214551848</v>
      </c>
      <c r="U48" s="34" t="n">
        <v>42350</v>
      </c>
      <c r="V48" s="34" t="n">
        <v>26300</v>
      </c>
      <c r="W48" s="39" t="n">
        <v>-0.1523022432113341</v>
      </c>
      <c r="X48" s="39" t="n">
        <v>0.3650190114068441</v>
      </c>
      <c r="Y48" s="34" t="n">
        <v>51414494</v>
      </c>
      <c r="Z48" s="34" t="n">
        <v>1845780334600</v>
      </c>
      <c r="AA48" s="34" t="n">
        <v>14986167800</v>
      </c>
      <c r="AB48" s="34" t="n">
        <v>50849685382.5</v>
      </c>
      <c r="AC48" s="39" t="n">
        <v>0.008119150214723498</v>
      </c>
      <c r="AD48" s="32" t="inlineStr">
        <is>
          <t>yfinance_download</t>
        </is>
      </c>
      <c r="AE48" s="32" t="inlineStr">
        <is>
          <t>005290.KQ</t>
        </is>
      </c>
    </row>
    <row r="49" ht="24" customHeight="1">
      <c r="A49" s="27" t="inlineStr">
        <is>
          <t>2023-08-16</t>
        </is>
      </c>
      <c r="B49" s="33" t="n">
        <v>35950</v>
      </c>
      <c r="C49" s="33" t="n">
        <v>36300</v>
      </c>
      <c r="D49" s="33" t="n">
        <v>35150</v>
      </c>
      <c r="E49" s="33" t="n">
        <v>35450</v>
      </c>
      <c r="F49" s="33" t="n">
        <v>34771.33984375</v>
      </c>
      <c r="G49" s="33" t="n">
        <v>531085</v>
      </c>
      <c r="H49" s="38" t="n">
        <v>-0.01253481894150421</v>
      </c>
      <c r="I49" s="38" t="n">
        <v>-0.3049019607843138</v>
      </c>
      <c r="J49" s="33" t="n">
        <v>38465</v>
      </c>
      <c r="K49" s="33" t="n">
        <v>38417.5</v>
      </c>
      <c r="L49" s="33" t="n">
        <v>35205</v>
      </c>
      <c r="M49" s="38" t="n">
        <v>0.3892354361539939</v>
      </c>
      <c r="N49" s="38" t="n">
        <v>0.5889612502867462</v>
      </c>
      <c r="O49" s="38" t="n">
        <v>-0.1126408010012515</v>
      </c>
      <c r="P49" s="38" t="n">
        <v>0.150974025974026</v>
      </c>
      <c r="Q49" s="38" t="n">
        <v>-0.06216931216931221</v>
      </c>
      <c r="R49" s="38" t="n">
        <v>-0.07838294553490188</v>
      </c>
      <c r="S49" s="38" t="n">
        <v>-0.07724344374308578</v>
      </c>
      <c r="T49" s="38" t="n">
        <v>0.006959238744496554</v>
      </c>
      <c r="U49" s="33" t="n">
        <v>42350</v>
      </c>
      <c r="V49" s="33" t="n">
        <v>26300</v>
      </c>
      <c r="W49" s="38" t="n">
        <v>-0.1629279811097993</v>
      </c>
      <c r="X49" s="38" t="n">
        <v>0.3479087452471483</v>
      </c>
      <c r="Y49" s="33" t="n">
        <v>51414494</v>
      </c>
      <c r="Z49" s="33" t="n">
        <v>1822643812300</v>
      </c>
      <c r="AA49" s="33" t="n">
        <v>18826963250</v>
      </c>
      <c r="AB49" s="33" t="n">
        <v>50050905427.5</v>
      </c>
      <c r="AC49" s="38" t="n">
        <v>0.01032948024345042</v>
      </c>
      <c r="AD49" s="27" t="inlineStr">
        <is>
          <t>yfinance_download</t>
        </is>
      </c>
      <c r="AE49" s="27" t="inlineStr">
        <is>
          <t>005290.KQ</t>
        </is>
      </c>
    </row>
    <row r="50" ht="24" customHeight="1">
      <c r="A50" s="32" t="inlineStr">
        <is>
          <t>2023-08-17</t>
        </is>
      </c>
      <c r="B50" s="34" t="n">
        <v>34950</v>
      </c>
      <c r="C50" s="34" t="n">
        <v>36350</v>
      </c>
      <c r="D50" s="34" t="n">
        <v>34750</v>
      </c>
      <c r="E50" s="34" t="n">
        <v>36300</v>
      </c>
      <c r="F50" s="34" t="n">
        <v>35605.0703125</v>
      </c>
      <c r="G50" s="34" t="n">
        <v>557003</v>
      </c>
      <c r="H50" s="39" t="n">
        <v>0.02397743300423127</v>
      </c>
      <c r="I50" s="39" t="n">
        <v>-0.288235294117647</v>
      </c>
      <c r="J50" s="34" t="n">
        <v>38277.5</v>
      </c>
      <c r="K50" s="34" t="n">
        <v>38435.83333333334</v>
      </c>
      <c r="L50" s="34" t="n">
        <v>35204.58333333334</v>
      </c>
      <c r="M50" s="39" t="n">
        <v>0.4024562752561315</v>
      </c>
      <c r="N50" s="39" t="n">
        <v>0.5140106994253844</v>
      </c>
      <c r="O50" s="39" t="n">
        <v>-0.09363295880149813</v>
      </c>
      <c r="P50" s="39" t="n">
        <v>0.03125</v>
      </c>
      <c r="Q50" s="39" t="n">
        <v>-0.001375515818431872</v>
      </c>
      <c r="R50" s="39" t="n">
        <v>-0.05166220364443863</v>
      </c>
      <c r="S50" s="39" t="n">
        <v>-0.05556880515144291</v>
      </c>
      <c r="T50" s="39" t="n">
        <v>0.03111574013800289</v>
      </c>
      <c r="U50" s="34" t="n">
        <v>42350</v>
      </c>
      <c r="V50" s="34" t="n">
        <v>26300</v>
      </c>
      <c r="W50" s="39" t="n">
        <v>-0.1428571428571429</v>
      </c>
      <c r="X50" s="39" t="n">
        <v>0.3802281368821292</v>
      </c>
      <c r="Y50" s="34" t="n">
        <v>51414494</v>
      </c>
      <c r="Z50" s="34" t="n">
        <v>1866346132200</v>
      </c>
      <c r="AA50" s="34" t="n">
        <v>20219208900</v>
      </c>
      <c r="AB50" s="34" t="n">
        <v>44638861140</v>
      </c>
      <c r="AC50" s="39" t="n">
        <v>0.01083357934048714</v>
      </c>
      <c r="AD50" s="32" t="inlineStr">
        <is>
          <t>yfinance_download</t>
        </is>
      </c>
      <c r="AE50" s="32" t="inlineStr">
        <is>
          <t>005290.KQ</t>
        </is>
      </c>
    </row>
    <row r="51" ht="24" customHeight="1">
      <c r="A51" s="27" t="inlineStr">
        <is>
          <t>2023-08-18</t>
        </is>
      </c>
      <c r="B51" s="33" t="n">
        <v>35750</v>
      </c>
      <c r="C51" s="33" t="n">
        <v>37050</v>
      </c>
      <c r="D51" s="33" t="n">
        <v>35250</v>
      </c>
      <c r="E51" s="33" t="n">
        <v>36100</v>
      </c>
      <c r="F51" s="33" t="n">
        <v>35408.89453125</v>
      </c>
      <c r="G51" s="33" t="n">
        <v>713092</v>
      </c>
      <c r="H51" s="38" t="n">
        <v>-0.005509641873278182</v>
      </c>
      <c r="I51" s="38" t="n">
        <v>-0.292156862745098</v>
      </c>
      <c r="J51" s="33" t="n">
        <v>38102.5</v>
      </c>
      <c r="K51" s="33" t="n">
        <v>38422.5</v>
      </c>
      <c r="L51" s="33" t="n">
        <v>35204.58333333334</v>
      </c>
      <c r="M51" s="38" t="n">
        <v>0.4017161306724</v>
      </c>
      <c r="N51" s="38" t="n">
        <v>0.5046163222900293</v>
      </c>
      <c r="O51" s="38" t="n">
        <v>-0.08838383838383834</v>
      </c>
      <c r="P51" s="38" t="n">
        <v>-0.02168021680216803</v>
      </c>
      <c r="Q51" s="38" t="n">
        <v>0</v>
      </c>
      <c r="R51" s="38" t="n">
        <v>-0.05255560658749425</v>
      </c>
      <c r="S51" s="38" t="n">
        <v>-0.06044635304834411</v>
      </c>
      <c r="T51" s="38" t="n">
        <v>0.02543466167994213</v>
      </c>
      <c r="U51" s="33" t="n">
        <v>42350</v>
      </c>
      <c r="V51" s="33" t="n">
        <v>26300</v>
      </c>
      <c r="W51" s="38" t="n">
        <v>-0.1475796930342385</v>
      </c>
      <c r="X51" s="38" t="n">
        <v>0.3726235741444868</v>
      </c>
      <c r="Y51" s="33" t="n">
        <v>51414494</v>
      </c>
      <c r="Z51" s="33" t="n">
        <v>1856063233400</v>
      </c>
      <c r="AA51" s="33" t="n">
        <v>25742621200</v>
      </c>
      <c r="AB51" s="33" t="n">
        <v>44084647640</v>
      </c>
      <c r="AC51" s="38" t="n">
        <v>0.01386947423813993</v>
      </c>
      <c r="AD51" s="27" t="inlineStr">
        <is>
          <t>yfinance_download</t>
        </is>
      </c>
      <c r="AE51" s="27" t="inlineStr">
        <is>
          <t>005290.KQ</t>
        </is>
      </c>
    </row>
    <row r="52" ht="24" customHeight="1">
      <c r="A52" s="32" t="inlineStr">
        <is>
          <t>2023-08-21</t>
        </is>
      </c>
      <c r="B52" s="34" t="n">
        <v>36450</v>
      </c>
      <c r="C52" s="34" t="n">
        <v>36700</v>
      </c>
      <c r="D52" s="34" t="n">
        <v>35800</v>
      </c>
      <c r="E52" s="34" t="n">
        <v>36250</v>
      </c>
      <c r="F52" s="34" t="n">
        <v>35556.0234375</v>
      </c>
      <c r="G52" s="34" t="n">
        <v>523669</v>
      </c>
      <c r="H52" s="39" t="n">
        <v>0.004155124653739684</v>
      </c>
      <c r="I52" s="39" t="n">
        <v>-0.2892156862745098</v>
      </c>
      <c r="J52" s="34" t="n">
        <v>38000</v>
      </c>
      <c r="K52" s="34" t="n">
        <v>38412.5</v>
      </c>
      <c r="L52" s="34" t="n">
        <v>35204.16666666666</v>
      </c>
      <c r="M52" s="39" t="n">
        <v>0.3881153998121141</v>
      </c>
      <c r="N52" s="39" t="n">
        <v>0.5046736679093653</v>
      </c>
      <c r="O52" s="39" t="n">
        <v>-0.05352480417754568</v>
      </c>
      <c r="P52" s="39" t="n">
        <v>-0.01628222523744915</v>
      </c>
      <c r="Q52" s="39" t="n">
        <v>-0.001377410468319518</v>
      </c>
      <c r="R52" s="39" t="n">
        <v>-0.04605263157894735</v>
      </c>
      <c r="S52" s="39" t="n">
        <v>-0.0562967783924504</v>
      </c>
      <c r="T52" s="39" t="n">
        <v>0.02970765771097184</v>
      </c>
      <c r="U52" s="34" t="n">
        <v>42350</v>
      </c>
      <c r="V52" s="34" t="n">
        <v>26300</v>
      </c>
      <c r="W52" s="39" t="n">
        <v>-0.1440377804014168</v>
      </c>
      <c r="X52" s="39" t="n">
        <v>0.3783269961977187</v>
      </c>
      <c r="Y52" s="34" t="n">
        <v>51414494</v>
      </c>
      <c r="Z52" s="34" t="n">
        <v>1863775407500</v>
      </c>
      <c r="AA52" s="34" t="n">
        <v>18983001250</v>
      </c>
      <c r="AB52" s="34" t="n">
        <v>43250300752.5</v>
      </c>
      <c r="AC52" s="39" t="n">
        <v>0.01018524076109745</v>
      </c>
      <c r="AD52" s="32" t="inlineStr">
        <is>
          <t>yfinance_download</t>
        </is>
      </c>
      <c r="AE52" s="32" t="inlineStr">
        <is>
          <t>005290.KQ</t>
        </is>
      </c>
    </row>
    <row r="53" ht="24" customHeight="1">
      <c r="A53" s="27" t="inlineStr">
        <is>
          <t>2023-08-22</t>
        </is>
      </c>
      <c r="B53" s="33" t="n">
        <v>37000</v>
      </c>
      <c r="C53" s="33" t="n">
        <v>37150</v>
      </c>
      <c r="D53" s="33" t="n">
        <v>35200</v>
      </c>
      <c r="E53" s="33" t="n">
        <v>35350</v>
      </c>
      <c r="F53" s="33" t="n">
        <v>34673.25390625</v>
      </c>
      <c r="G53" s="33" t="n">
        <v>711865</v>
      </c>
      <c r="H53" s="38" t="n">
        <v>-0.02482758620689651</v>
      </c>
      <c r="I53" s="38" t="n">
        <v>-0.3068627450980392</v>
      </c>
      <c r="J53" s="33" t="n">
        <v>37815</v>
      </c>
      <c r="K53" s="33" t="n">
        <v>38388.33333333334</v>
      </c>
      <c r="L53" s="33" t="n">
        <v>35201.25</v>
      </c>
      <c r="M53" s="38" t="n">
        <v>0.38667157337384</v>
      </c>
      <c r="N53" s="38" t="n">
        <v>0.5072717281621705</v>
      </c>
      <c r="O53" s="38" t="n">
        <v>-0.09475032010243278</v>
      </c>
      <c r="P53" s="38" t="n">
        <v>-0.03940217391304346</v>
      </c>
      <c r="Q53" s="38" t="n">
        <v>-0.009803921568627416</v>
      </c>
      <c r="R53" s="38" t="n">
        <v>-0.06518577284146498</v>
      </c>
      <c r="S53" s="38" t="n">
        <v>-0.07914731038075806</v>
      </c>
      <c r="T53" s="38" t="n">
        <v>0.004225702212279359</v>
      </c>
      <c r="U53" s="33" t="n">
        <v>42350</v>
      </c>
      <c r="V53" s="33" t="n">
        <v>26300</v>
      </c>
      <c r="W53" s="38" t="n">
        <v>-0.1652892561983471</v>
      </c>
      <c r="X53" s="38" t="n">
        <v>0.3441064638783271</v>
      </c>
      <c r="Y53" s="33" t="n">
        <v>51414494</v>
      </c>
      <c r="Z53" s="33" t="n">
        <v>1817502362900</v>
      </c>
      <c r="AA53" s="33" t="n">
        <v>25164427750</v>
      </c>
      <c r="AB53" s="33" t="n">
        <v>42900888310</v>
      </c>
      <c r="AC53" s="38" t="n">
        <v>0.01384560937232991</v>
      </c>
      <c r="AD53" s="27" t="inlineStr">
        <is>
          <t>yfinance_download</t>
        </is>
      </c>
      <c r="AE53" s="27" t="inlineStr">
        <is>
          <t>005290.KQ</t>
        </is>
      </c>
    </row>
    <row r="54" ht="24" customHeight="1">
      <c r="A54" s="32" t="inlineStr">
        <is>
          <t>2023-08-23</t>
        </is>
      </c>
      <c r="B54" s="34" t="n">
        <v>35050</v>
      </c>
      <c r="C54" s="34" t="n">
        <v>35400</v>
      </c>
      <c r="D54" s="34" t="n">
        <v>33800</v>
      </c>
      <c r="E54" s="34" t="n">
        <v>34050</v>
      </c>
      <c r="F54" s="34" t="n">
        <v>33398.140625</v>
      </c>
      <c r="G54" s="34" t="n">
        <v>890707</v>
      </c>
      <c r="H54" s="39" t="n">
        <v>-0.03677510608203682</v>
      </c>
      <c r="I54" s="39" t="n">
        <v>-0.3323529411764706</v>
      </c>
      <c r="J54" s="34" t="n">
        <v>37542.5</v>
      </c>
      <c r="K54" s="34" t="n">
        <v>38361.66666666666</v>
      </c>
      <c r="L54" s="34" t="n">
        <v>35191.66666666666</v>
      </c>
      <c r="M54" s="39" t="n">
        <v>0.3976740361546284</v>
      </c>
      <c r="N54" s="39" t="n">
        <v>0.5088413202803281</v>
      </c>
      <c r="O54" s="39" t="n">
        <v>-0.1379746835443038</v>
      </c>
      <c r="P54" s="39" t="n">
        <v>-0.04488078541374474</v>
      </c>
      <c r="Q54" s="39" t="n">
        <v>-0.03267045454545459</v>
      </c>
      <c r="R54" s="39" t="n">
        <v>-0.09302790171139375</v>
      </c>
      <c r="S54" s="39" t="n">
        <v>-0.1123951861667463</v>
      </c>
      <c r="T54" s="39" t="n">
        <v>-0.0324413923750887</v>
      </c>
      <c r="U54" s="34" t="n">
        <v>42350</v>
      </c>
      <c r="V54" s="34" t="n">
        <v>26300</v>
      </c>
      <c r="W54" s="39" t="n">
        <v>-0.1959858323494688</v>
      </c>
      <c r="X54" s="39" t="n">
        <v>0.2946768060836502</v>
      </c>
      <c r="Y54" s="34" t="n">
        <v>51414494</v>
      </c>
      <c r="Z54" s="34" t="n">
        <v>1750663520700</v>
      </c>
      <c r="AA54" s="34" t="n">
        <v>30328573350</v>
      </c>
      <c r="AB54" s="34" t="n">
        <v>41675872802.5</v>
      </c>
      <c r="AC54" s="39" t="n">
        <v>0.01732404485007671</v>
      </c>
      <c r="AD54" s="32" t="inlineStr">
        <is>
          <t>yfinance_download</t>
        </is>
      </c>
      <c r="AE54" s="32" t="inlineStr">
        <is>
          <t>005290.KQ</t>
        </is>
      </c>
    </row>
    <row r="55" ht="24" customHeight="1">
      <c r="A55" s="27" t="inlineStr">
        <is>
          <t>2023-08-24</t>
        </is>
      </c>
      <c r="B55" s="33" t="n">
        <v>34650</v>
      </c>
      <c r="C55" s="33" t="n">
        <v>35350</v>
      </c>
      <c r="D55" s="33" t="n">
        <v>34600</v>
      </c>
      <c r="E55" s="33" t="n">
        <v>34850</v>
      </c>
      <c r="F55" s="33" t="n">
        <v>34182.82421875</v>
      </c>
      <c r="G55" s="33" t="n">
        <v>679565</v>
      </c>
      <c r="H55" s="38" t="n">
        <v>0.02349486049926575</v>
      </c>
      <c r="I55" s="38" t="n">
        <v>-0.3166666666666667</v>
      </c>
      <c r="J55" s="33" t="n">
        <v>37365</v>
      </c>
      <c r="K55" s="33" t="n">
        <v>38297.5</v>
      </c>
      <c r="L55" s="33" t="n">
        <v>35185</v>
      </c>
      <c r="M55" s="38" t="n">
        <v>0.4038543933923768</v>
      </c>
      <c r="N55" s="38" t="n">
        <v>0.4791645456400626</v>
      </c>
      <c r="O55" s="38" t="n">
        <v>-0.09244791666666663</v>
      </c>
      <c r="P55" s="38" t="n">
        <v>-0.09948320413436695</v>
      </c>
      <c r="Q55" s="38" t="n">
        <v>-0.02244039270687237</v>
      </c>
      <c r="R55" s="38" t="n">
        <v>-0.06730897899103438</v>
      </c>
      <c r="S55" s="38" t="n">
        <v>-0.09001893073960443</v>
      </c>
      <c r="T55" s="38" t="n">
        <v>-0.009521102742646059</v>
      </c>
      <c r="U55" s="33" t="n">
        <v>42350</v>
      </c>
      <c r="V55" s="33" t="n">
        <v>26300</v>
      </c>
      <c r="W55" s="38" t="n">
        <v>-0.1770956316410862</v>
      </c>
      <c r="X55" s="38" t="n">
        <v>0.3250950570342206</v>
      </c>
      <c r="Y55" s="33" t="n">
        <v>51414494</v>
      </c>
      <c r="Z55" s="33" t="n">
        <v>1791795115900</v>
      </c>
      <c r="AA55" s="33" t="n">
        <v>23682840250</v>
      </c>
      <c r="AB55" s="33" t="n">
        <v>40207400415</v>
      </c>
      <c r="AC55" s="38" t="n">
        <v>0.01321738185345167</v>
      </c>
      <c r="AD55" s="27" t="inlineStr">
        <is>
          <t>yfinance_download</t>
        </is>
      </c>
      <c r="AE55" s="27" t="inlineStr">
        <is>
          <t>005290.KQ</t>
        </is>
      </c>
    </row>
    <row r="56" ht="24" customHeight="1">
      <c r="A56" s="32" t="inlineStr">
        <is>
          <t>2023-08-25</t>
        </is>
      </c>
      <c r="B56" s="34" t="n">
        <v>34000</v>
      </c>
      <c r="C56" s="34" t="n">
        <v>34100</v>
      </c>
      <c r="D56" s="34" t="n">
        <v>33200</v>
      </c>
      <c r="E56" s="34" t="n">
        <v>33600</v>
      </c>
      <c r="F56" s="34" t="n">
        <v>32956.7578125</v>
      </c>
      <c r="G56" s="34" t="n">
        <v>753967</v>
      </c>
      <c r="H56" s="39" t="n">
        <v>-0.03586800573888094</v>
      </c>
      <c r="I56" s="39" t="n">
        <v>-0.3411764705882353</v>
      </c>
      <c r="J56" s="34" t="n">
        <v>37070</v>
      </c>
      <c r="K56" s="34" t="n">
        <v>38206.66666666666</v>
      </c>
      <c r="L56" s="34" t="n">
        <v>35175</v>
      </c>
      <c r="M56" s="39" t="n">
        <v>0.3984535170418019</v>
      </c>
      <c r="N56" s="39" t="n">
        <v>0.4838402986631103</v>
      </c>
      <c r="O56" s="39" t="n">
        <v>-0.149367088607595</v>
      </c>
      <c r="P56" s="39" t="n">
        <v>-0.1395646606914213</v>
      </c>
      <c r="Q56" s="39" t="n">
        <v>-0.03448275862068961</v>
      </c>
      <c r="R56" s="39" t="n">
        <v>-0.0936066900458592</v>
      </c>
      <c r="S56" s="39" t="n">
        <v>-0.1205723259466062</v>
      </c>
      <c r="T56" s="39" t="n">
        <v>-0.04477611940298509</v>
      </c>
      <c r="U56" s="34" t="n">
        <v>42350</v>
      </c>
      <c r="V56" s="34" t="n">
        <v>26300</v>
      </c>
      <c r="W56" s="39" t="n">
        <v>-0.2066115702479339</v>
      </c>
      <c r="X56" s="39" t="n">
        <v>0.2775665399239544</v>
      </c>
      <c r="Y56" s="34" t="n">
        <v>51414494</v>
      </c>
      <c r="Z56" s="34" t="n">
        <v>1727526998400</v>
      </c>
      <c r="AA56" s="34" t="n">
        <v>25333291200</v>
      </c>
      <c r="AB56" s="34" t="n">
        <v>38996421550</v>
      </c>
      <c r="AC56" s="39" t="n">
        <v>0.01466448352093089</v>
      </c>
      <c r="AD56" s="32" t="inlineStr">
        <is>
          <t>yfinance_download</t>
        </is>
      </c>
      <c r="AE56" s="32" t="inlineStr">
        <is>
          <t>005290.KQ</t>
        </is>
      </c>
    </row>
    <row r="57" ht="24" customHeight="1">
      <c r="A57" s="27" t="inlineStr">
        <is>
          <t>2023-08-28</t>
        </is>
      </c>
      <c r="B57" s="33" t="n">
        <v>33900</v>
      </c>
      <c r="C57" s="33" t="n">
        <v>33950</v>
      </c>
      <c r="D57" s="33" t="n">
        <v>33400</v>
      </c>
      <c r="E57" s="33" t="n">
        <v>33550</v>
      </c>
      <c r="F57" s="33" t="n">
        <v>32907.71484375</v>
      </c>
      <c r="G57" s="33" t="n">
        <v>371094</v>
      </c>
      <c r="H57" s="38" t="n">
        <v>-0.001488095238095233</v>
      </c>
      <c r="I57" s="38" t="n">
        <v>-0.342156862745098</v>
      </c>
      <c r="J57" s="33" t="n">
        <v>36692.5</v>
      </c>
      <c r="K57" s="33" t="n">
        <v>38126.66666666666</v>
      </c>
      <c r="L57" s="33" t="n">
        <v>35156.25</v>
      </c>
      <c r="M57" s="38" t="n">
        <v>0.3566840710833528</v>
      </c>
      <c r="N57" s="38" t="n">
        <v>0.4827079982531687</v>
      </c>
      <c r="O57" s="38" t="n">
        <v>-0.183698296836983</v>
      </c>
      <c r="P57" s="38" t="n">
        <v>-0.1251629726205997</v>
      </c>
      <c r="Q57" s="38" t="n">
        <v>-0.06284916201117319</v>
      </c>
      <c r="R57" s="38" t="n">
        <v>-0.08564420521905025</v>
      </c>
      <c r="S57" s="38" t="n">
        <v>-0.1200384682636824</v>
      </c>
      <c r="T57" s="38" t="n">
        <v>-0.04568888888888889</v>
      </c>
      <c r="U57" s="33" t="n">
        <v>42350</v>
      </c>
      <c r="V57" s="33" t="n">
        <v>26300</v>
      </c>
      <c r="W57" s="38" t="n">
        <v>-0.2077922077922078</v>
      </c>
      <c r="X57" s="38" t="n">
        <v>0.2756653992395437</v>
      </c>
      <c r="Y57" s="33" t="n">
        <v>51414494</v>
      </c>
      <c r="Z57" s="33" t="n">
        <v>1724956273700</v>
      </c>
      <c r="AA57" s="33" t="n">
        <v>12450203700</v>
      </c>
      <c r="AB57" s="33" t="n">
        <v>35754031585</v>
      </c>
      <c r="AC57" s="38" t="n">
        <v>0.007217692349554194</v>
      </c>
      <c r="AD57" s="27" t="inlineStr">
        <is>
          <t>yfinance_download</t>
        </is>
      </c>
      <c r="AE57" s="27" t="inlineStr">
        <is>
          <t>005290.KQ</t>
        </is>
      </c>
    </row>
    <row r="58" ht="24" customHeight="1">
      <c r="A58" s="32" t="inlineStr">
        <is>
          <t>2023-08-29</t>
        </is>
      </c>
      <c r="B58" s="34" t="n">
        <v>33650</v>
      </c>
      <c r="C58" s="34" t="n">
        <v>34050</v>
      </c>
      <c r="D58" s="34" t="n">
        <v>33550</v>
      </c>
      <c r="E58" s="34" t="n">
        <v>33950</v>
      </c>
      <c r="F58" s="34" t="n">
        <v>33300.05859375</v>
      </c>
      <c r="G58" s="34" t="n">
        <v>424845</v>
      </c>
      <c r="H58" s="39" t="n">
        <v>0.01192250372578241</v>
      </c>
      <c r="I58" s="39" t="n">
        <v>-0.3343137254901961</v>
      </c>
      <c r="J58" s="34" t="n">
        <v>36272.5</v>
      </c>
      <c r="K58" s="34" t="n">
        <v>38048.33333333334</v>
      </c>
      <c r="L58" s="34" t="n">
        <v>35127.5</v>
      </c>
      <c r="M58" s="39" t="n">
        <v>0.3343345180533593</v>
      </c>
      <c r="N58" s="39" t="n">
        <v>0.4831291417479474</v>
      </c>
      <c r="O58" s="39" t="n">
        <v>-0.1983471074380165</v>
      </c>
      <c r="P58" s="39" t="n">
        <v>-0.1216041397153945</v>
      </c>
      <c r="Q58" s="39" t="n">
        <v>-0.09224598930481287</v>
      </c>
      <c r="R58" s="39" t="n">
        <v>-0.06402922324074711</v>
      </c>
      <c r="S58" s="39" t="n">
        <v>-0.107713872705769</v>
      </c>
      <c r="T58" s="39" t="n">
        <v>-0.03352074585438758</v>
      </c>
      <c r="U58" s="34" t="n">
        <v>42350</v>
      </c>
      <c r="V58" s="34" t="n">
        <v>26300</v>
      </c>
      <c r="W58" s="39" t="n">
        <v>-0.1983471074380165</v>
      </c>
      <c r="X58" s="39" t="n">
        <v>0.290874524714829</v>
      </c>
      <c r="Y58" s="34" t="n">
        <v>51414494</v>
      </c>
      <c r="Z58" s="34" t="n">
        <v>1745522071300</v>
      </c>
      <c r="AA58" s="34" t="n">
        <v>14423487750</v>
      </c>
      <c r="AB58" s="34" t="n">
        <v>28184693742.5</v>
      </c>
      <c r="AC58" s="39" t="n">
        <v>0.008263136850087447</v>
      </c>
      <c r="AD58" s="32" t="inlineStr">
        <is>
          <t>yfinance_download</t>
        </is>
      </c>
      <c r="AE58" s="32" t="inlineStr">
        <is>
          <t>005290.KQ</t>
        </is>
      </c>
    </row>
    <row r="59" ht="24" customHeight="1">
      <c r="A59" s="27" t="inlineStr">
        <is>
          <t>2023-08-30</t>
        </is>
      </c>
      <c r="B59" s="33" t="n">
        <v>34500</v>
      </c>
      <c r="C59" s="33" t="n">
        <v>34900</v>
      </c>
      <c r="D59" s="33" t="n">
        <v>34000</v>
      </c>
      <c r="E59" s="33" t="n">
        <v>34100</v>
      </c>
      <c r="F59" s="33" t="n">
        <v>33447.1875</v>
      </c>
      <c r="G59" s="33" t="n">
        <v>478711</v>
      </c>
      <c r="H59" s="38" t="n">
        <v>0.004418262150220897</v>
      </c>
      <c r="I59" s="38" t="n">
        <v>-0.3313725490196079</v>
      </c>
      <c r="J59" s="33" t="n">
        <v>35935</v>
      </c>
      <c r="K59" s="33" t="n">
        <v>37988.33333333334</v>
      </c>
      <c r="L59" s="33" t="n">
        <v>35119.16666666666</v>
      </c>
      <c r="M59" s="38" t="n">
        <v>0.3251755761985497</v>
      </c>
      <c r="N59" s="38" t="n">
        <v>0.480915574781614</v>
      </c>
      <c r="O59" s="38" t="n">
        <v>-0.1652386780905752</v>
      </c>
      <c r="P59" s="38" t="n">
        <v>-0.0954907161803713</v>
      </c>
      <c r="Q59" s="38" t="n">
        <v>-0.02849002849002846</v>
      </c>
      <c r="R59" s="38" t="n">
        <v>-0.05106442187282589</v>
      </c>
      <c r="S59" s="38" t="n">
        <v>-0.1023559864870794</v>
      </c>
      <c r="T59" s="38" t="n">
        <v>-0.02902024060935382</v>
      </c>
      <c r="U59" s="33" t="n">
        <v>42350</v>
      </c>
      <c r="V59" s="33" t="n">
        <v>26300</v>
      </c>
      <c r="W59" s="38" t="n">
        <v>-0.1948051948051948</v>
      </c>
      <c r="X59" s="38" t="n">
        <v>0.2965779467680609</v>
      </c>
      <c r="Y59" s="33" t="n">
        <v>51414494</v>
      </c>
      <c r="Z59" s="33" t="n">
        <v>1753234245400</v>
      </c>
      <c r="AA59" s="33" t="n">
        <v>16324045100</v>
      </c>
      <c r="AB59" s="33" t="n">
        <v>25382938132.5</v>
      </c>
      <c r="AC59" s="38" t="n">
        <v>0.009310818073985129</v>
      </c>
      <c r="AD59" s="27" t="inlineStr">
        <is>
          <t>yfinance_download</t>
        </is>
      </c>
      <c r="AE59" s="27" t="inlineStr">
        <is>
          <t>005290.KQ</t>
        </is>
      </c>
    </row>
    <row r="60" ht="24" customHeight="1">
      <c r="A60" s="32" t="inlineStr">
        <is>
          <t>2023-08-31</t>
        </is>
      </c>
      <c r="B60" s="34" t="n">
        <v>34100</v>
      </c>
      <c r="C60" s="34" t="n">
        <v>34300</v>
      </c>
      <c r="D60" s="34" t="n">
        <v>33400</v>
      </c>
      <c r="E60" s="34" t="n">
        <v>34100</v>
      </c>
      <c r="F60" s="34" t="n">
        <v>33447.1875</v>
      </c>
      <c r="G60" s="34" t="n">
        <v>536852</v>
      </c>
      <c r="H60" s="39" t="n">
        <v>0</v>
      </c>
      <c r="I60" s="39" t="n">
        <v>-0.3313725490196079</v>
      </c>
      <c r="J60" s="34" t="n">
        <v>35687.5</v>
      </c>
      <c r="K60" s="34" t="n">
        <v>37925.83333333334</v>
      </c>
      <c r="L60" s="34" t="n">
        <v>35127.5</v>
      </c>
      <c r="M60" s="39" t="n">
        <v>0.298281828145425</v>
      </c>
      <c r="N60" s="39" t="n">
        <v>0.4808008313346565</v>
      </c>
      <c r="O60" s="39" t="n">
        <v>-0.1267605633802817</v>
      </c>
      <c r="P60" s="39" t="n">
        <v>-0.0990752972258917</v>
      </c>
      <c r="Q60" s="39" t="n">
        <v>0.03021148036253773</v>
      </c>
      <c r="R60" s="39" t="n">
        <v>-0.04448336252189145</v>
      </c>
      <c r="S60" s="39" t="n">
        <v>-0.100876711124783</v>
      </c>
      <c r="T60" s="39" t="n">
        <v>-0.02925058714682227</v>
      </c>
      <c r="U60" s="34" t="n">
        <v>42350</v>
      </c>
      <c r="V60" s="34" t="n">
        <v>26300</v>
      </c>
      <c r="W60" s="39" t="n">
        <v>-0.1948051948051948</v>
      </c>
      <c r="X60" s="39" t="n">
        <v>0.2965779467680609</v>
      </c>
      <c r="Y60" s="34" t="n">
        <v>51414494</v>
      </c>
      <c r="Z60" s="34" t="n">
        <v>1753234245400</v>
      </c>
      <c r="AA60" s="34" t="n">
        <v>18306653200</v>
      </c>
      <c r="AB60" s="34" t="n">
        <v>23723241550</v>
      </c>
      <c r="AC60" s="39" t="n">
        <v>0.01044164705773434</v>
      </c>
      <c r="AD60" s="32" t="inlineStr">
        <is>
          <t>yfinance_download</t>
        </is>
      </c>
      <c r="AE60" s="32" t="inlineStr">
        <is>
          <t>005290.KQ</t>
        </is>
      </c>
    </row>
    <row r="61" ht="24" customHeight="1">
      <c r="A61" s="27" t="inlineStr">
        <is>
          <t>2023-09-01</t>
        </is>
      </c>
      <c r="B61" s="33" t="n">
        <v>34200</v>
      </c>
      <c r="C61" s="33" t="n">
        <v>35600</v>
      </c>
      <c r="D61" s="33" t="n">
        <v>33750</v>
      </c>
      <c r="E61" s="33" t="n">
        <v>35350</v>
      </c>
      <c r="F61" s="33" t="n">
        <v>34673.25390625</v>
      </c>
      <c r="G61" s="33" t="n">
        <v>1011920</v>
      </c>
      <c r="H61" s="38" t="n">
        <v>0.03665689149560114</v>
      </c>
      <c r="I61" s="38" t="n">
        <v>-0.3068627450980392</v>
      </c>
      <c r="J61" s="33" t="n">
        <v>35525</v>
      </c>
      <c r="K61" s="33" t="n">
        <v>37890.83333333334</v>
      </c>
      <c r="L61" s="33" t="n">
        <v>35159.16666666666</v>
      </c>
      <c r="M61" s="38" t="n">
        <v>0.3345290300108327</v>
      </c>
      <c r="N61" s="38" t="n">
        <v>0.4866144008597926</v>
      </c>
      <c r="O61" s="38" t="n">
        <v>-0.08419689119170981</v>
      </c>
      <c r="P61" s="38" t="n">
        <v>-0.05607476635514019</v>
      </c>
      <c r="Q61" s="38" t="n">
        <v>0.1204437400950871</v>
      </c>
      <c r="R61" s="38" t="n">
        <v>-0.00492610837438423</v>
      </c>
      <c r="S61" s="38" t="n">
        <v>-0.06705667597703935</v>
      </c>
      <c r="T61" s="38" t="n">
        <v>0.005427697850252544</v>
      </c>
      <c r="U61" s="33" t="n">
        <v>42350</v>
      </c>
      <c r="V61" s="33" t="n">
        <v>26300</v>
      </c>
      <c r="W61" s="38" t="n">
        <v>-0.1652892561983471</v>
      </c>
      <c r="X61" s="38" t="n">
        <v>0.3441064638783271</v>
      </c>
      <c r="Y61" s="33" t="n">
        <v>51414494</v>
      </c>
      <c r="Z61" s="33" t="n">
        <v>1817502362900</v>
      </c>
      <c r="AA61" s="33" t="n">
        <v>35771372000</v>
      </c>
      <c r="AB61" s="33" t="n">
        <v>23464304030</v>
      </c>
      <c r="AC61" s="38" t="n">
        <v>0.0196816096254881</v>
      </c>
      <c r="AD61" s="27" t="inlineStr">
        <is>
          <t>yfinance_download</t>
        </is>
      </c>
      <c r="AE61" s="27" t="inlineStr">
        <is>
          <t>005290.KQ</t>
        </is>
      </c>
    </row>
    <row r="62" ht="24" customHeight="1">
      <c r="A62" s="32" t="inlineStr">
        <is>
          <t>2023-09-04</t>
        </is>
      </c>
      <c r="B62" s="34" t="n">
        <v>35700</v>
      </c>
      <c r="C62" s="34" t="n">
        <v>35800</v>
      </c>
      <c r="D62" s="34" t="n">
        <v>34800</v>
      </c>
      <c r="E62" s="34" t="n">
        <v>35300</v>
      </c>
      <c r="F62" s="34" t="n">
        <v>34624.2109375</v>
      </c>
      <c r="G62" s="34" t="n">
        <v>491066</v>
      </c>
      <c r="H62" s="39" t="n">
        <v>-0.001414427157001463</v>
      </c>
      <c r="I62" s="39" t="n">
        <v>-0.307843137254902</v>
      </c>
      <c r="J62" s="34" t="n">
        <v>35400</v>
      </c>
      <c r="K62" s="34" t="n">
        <v>37855</v>
      </c>
      <c r="L62" s="34" t="n">
        <v>35187.5</v>
      </c>
      <c r="M62" s="39" t="n">
        <v>0.3288329022751931</v>
      </c>
      <c r="N62" s="39" t="n">
        <v>0.4866167846421254</v>
      </c>
      <c r="O62" s="39" t="n">
        <v>-0.06613756613756616</v>
      </c>
      <c r="P62" s="39" t="n">
        <v>-0.0574098798397864</v>
      </c>
      <c r="Q62" s="39" t="n">
        <v>0.1065830721003134</v>
      </c>
      <c r="R62" s="39" t="n">
        <v>-0.002824858757062176</v>
      </c>
      <c r="S62" s="39" t="n">
        <v>-0.06749438647470607</v>
      </c>
      <c r="T62" s="39" t="n">
        <v>0.003197158081705176</v>
      </c>
      <c r="U62" s="34" t="n">
        <v>42350</v>
      </c>
      <c r="V62" s="34" t="n">
        <v>26300</v>
      </c>
      <c r="W62" s="39" t="n">
        <v>-0.166469893742621</v>
      </c>
      <c r="X62" s="39" t="n">
        <v>0.3422053231939164</v>
      </c>
      <c r="Y62" s="34" t="n">
        <v>51414494</v>
      </c>
      <c r="Z62" s="34" t="n">
        <v>1814931638200</v>
      </c>
      <c r="AA62" s="34" t="n">
        <v>17334629800</v>
      </c>
      <c r="AB62" s="34" t="n">
        <v>22711418920</v>
      </c>
      <c r="AC62" s="39" t="n">
        <v>0.009551119962398151</v>
      </c>
      <c r="AD62" s="32" t="inlineStr">
        <is>
          <t>yfinance_download</t>
        </is>
      </c>
      <c r="AE62" s="32" t="inlineStr">
        <is>
          <t>005290.KQ</t>
        </is>
      </c>
    </row>
    <row r="63" ht="24" customHeight="1">
      <c r="A63" s="27" t="inlineStr">
        <is>
          <t>2023-09-05</t>
        </is>
      </c>
      <c r="B63" s="33" t="n">
        <v>35400</v>
      </c>
      <c r="C63" s="33" t="n">
        <v>35600</v>
      </c>
      <c r="D63" s="33" t="n">
        <v>34900</v>
      </c>
      <c r="E63" s="33" t="n">
        <v>35350</v>
      </c>
      <c r="F63" s="33" t="n">
        <v>34673.25390625</v>
      </c>
      <c r="G63" s="33" t="n">
        <v>373839</v>
      </c>
      <c r="H63" s="38" t="n">
        <v>0.00141643059490093</v>
      </c>
      <c r="I63" s="38" t="n">
        <v>-0.3068627450980392</v>
      </c>
      <c r="J63" s="33" t="n">
        <v>35275</v>
      </c>
      <c r="K63" s="33" t="n">
        <v>37812.5</v>
      </c>
      <c r="L63" s="33" t="n">
        <v>35221.66666666666</v>
      </c>
      <c r="M63" s="38" t="n">
        <v>0.3288501992400962</v>
      </c>
      <c r="N63" s="38" t="n">
        <v>0.4859342089218545</v>
      </c>
      <c r="O63" s="38" t="n">
        <v>-0.06605019815059443</v>
      </c>
      <c r="P63" s="38" t="n">
        <v>-0.06728232189973615</v>
      </c>
      <c r="Q63" s="38" t="n">
        <v>0.1312</v>
      </c>
      <c r="R63" s="38" t="n">
        <v>0.002126151665485576</v>
      </c>
      <c r="S63" s="38" t="n">
        <v>-0.06512396694214873</v>
      </c>
      <c r="T63" s="38" t="n">
        <v>0.003643590592911528</v>
      </c>
      <c r="U63" s="33" t="n">
        <v>42350</v>
      </c>
      <c r="V63" s="33" t="n">
        <v>26300</v>
      </c>
      <c r="W63" s="38" t="n">
        <v>-0.1652892561983471</v>
      </c>
      <c r="X63" s="38" t="n">
        <v>0.3441064638783271</v>
      </c>
      <c r="Y63" s="33" t="n">
        <v>51414494</v>
      </c>
      <c r="Z63" s="33" t="n">
        <v>1817502362900</v>
      </c>
      <c r="AA63" s="33" t="n">
        <v>13215208650</v>
      </c>
      <c r="AB63" s="33" t="n">
        <v>21617559332.5</v>
      </c>
      <c r="AC63" s="38" t="n">
        <v>0.007271081963774651</v>
      </c>
      <c r="AD63" s="27" t="inlineStr">
        <is>
          <t>yfinance_download</t>
        </is>
      </c>
      <c r="AE63" s="27" t="inlineStr">
        <is>
          <t>005290.KQ</t>
        </is>
      </c>
    </row>
    <row r="64" ht="24" customHeight="1">
      <c r="A64" s="32" t="inlineStr">
        <is>
          <t>2023-09-06</t>
        </is>
      </c>
      <c r="B64" s="34" t="n">
        <v>35400</v>
      </c>
      <c r="C64" s="34" t="n">
        <v>35400</v>
      </c>
      <c r="D64" s="34" t="n">
        <v>34350</v>
      </c>
      <c r="E64" s="34" t="n">
        <v>34500</v>
      </c>
      <c r="F64" s="34" t="n">
        <v>33839.52734375</v>
      </c>
      <c r="G64" s="34" t="n">
        <v>410146</v>
      </c>
      <c r="H64" s="39" t="n">
        <v>-0.0240452616690241</v>
      </c>
      <c r="I64" s="39" t="n">
        <v>-0.3235294117647058</v>
      </c>
      <c r="J64" s="34" t="n">
        <v>35177.5</v>
      </c>
      <c r="K64" s="34" t="n">
        <v>37771.66666666666</v>
      </c>
      <c r="L64" s="34" t="n">
        <v>35261.66666666666</v>
      </c>
      <c r="M64" s="39" t="n">
        <v>0.3140937432988887</v>
      </c>
      <c r="N64" s="39" t="n">
        <v>0.4857200952467771</v>
      </c>
      <c r="O64" s="39" t="n">
        <v>-0.05349794238683125</v>
      </c>
      <c r="P64" s="39" t="n">
        <v>-0.06630581867388363</v>
      </c>
      <c r="Q64" s="39" t="n">
        <v>0.1616161616161615</v>
      </c>
      <c r="R64" s="39" t="n">
        <v>-0.01925946983156845</v>
      </c>
      <c r="S64" s="39" t="n">
        <v>-0.08661695274235537</v>
      </c>
      <c r="T64" s="39" t="n">
        <v>-0.02160041593798734</v>
      </c>
      <c r="U64" s="34" t="n">
        <v>42350</v>
      </c>
      <c r="V64" s="34" t="n">
        <v>26300</v>
      </c>
      <c r="W64" s="39" t="n">
        <v>-0.1853600944510035</v>
      </c>
      <c r="X64" s="39" t="n">
        <v>0.311787072243346</v>
      </c>
      <c r="Y64" s="34" t="n">
        <v>51414494</v>
      </c>
      <c r="Z64" s="34" t="n">
        <v>1773800043000</v>
      </c>
      <c r="AA64" s="34" t="n">
        <v>14150037000</v>
      </c>
      <c r="AB64" s="34" t="n">
        <v>20530764370</v>
      </c>
      <c r="AC64" s="39" t="n">
        <v>0.007977244704576884</v>
      </c>
      <c r="AD64" s="32" t="inlineStr">
        <is>
          <t>yfinance_download</t>
        </is>
      </c>
      <c r="AE64" s="32" t="inlineStr">
        <is>
          <t>005290.KQ</t>
        </is>
      </c>
    </row>
    <row r="65" ht="24" customHeight="1">
      <c r="A65" s="27" t="inlineStr">
        <is>
          <t>2023-09-07</t>
        </is>
      </c>
      <c r="B65" s="33" t="n">
        <v>34200</v>
      </c>
      <c r="C65" s="33" t="n">
        <v>34800</v>
      </c>
      <c r="D65" s="33" t="n">
        <v>34000</v>
      </c>
      <c r="E65" s="33" t="n">
        <v>34600</v>
      </c>
      <c r="F65" s="33" t="n">
        <v>33937.61328125</v>
      </c>
      <c r="G65" s="33" t="n">
        <v>399088</v>
      </c>
      <c r="H65" s="38" t="n">
        <v>0.002898550724637738</v>
      </c>
      <c r="I65" s="38" t="n">
        <v>-0.3215686274509804</v>
      </c>
      <c r="J65" s="33" t="n">
        <v>35055</v>
      </c>
      <c r="K65" s="33" t="n">
        <v>37725.83333333334</v>
      </c>
      <c r="L65" s="33" t="n">
        <v>35298.75</v>
      </c>
      <c r="M65" s="38" t="n">
        <v>0.3068060746599043</v>
      </c>
      <c r="N65" s="38" t="n">
        <v>0.4851890212519938</v>
      </c>
      <c r="O65" s="38" t="n">
        <v>-0.06612685560053977</v>
      </c>
      <c r="P65" s="38" t="n">
        <v>-0.07362784471218209</v>
      </c>
      <c r="Q65" s="38" t="n">
        <v>0.1475953565505805</v>
      </c>
      <c r="R65" s="38" t="n">
        <v>-0.01297960348024529</v>
      </c>
      <c r="S65" s="38" t="n">
        <v>-0.08285657484924125</v>
      </c>
      <c r="T65" s="38" t="n">
        <v>-0.0197953185311095</v>
      </c>
      <c r="U65" s="33" t="n">
        <v>42350</v>
      </c>
      <c r="V65" s="33" t="n">
        <v>26300</v>
      </c>
      <c r="W65" s="38" t="n">
        <v>-0.1829988193624558</v>
      </c>
      <c r="X65" s="38" t="n">
        <v>0.3155893536121672</v>
      </c>
      <c r="Y65" s="33" t="n">
        <v>51414494</v>
      </c>
      <c r="Z65" s="33" t="n">
        <v>1778941492400</v>
      </c>
      <c r="AA65" s="33" t="n">
        <v>13808444800</v>
      </c>
      <c r="AB65" s="33" t="n">
        <v>20301827910</v>
      </c>
      <c r="AC65" s="38" t="n">
        <v>0.007762169165760923</v>
      </c>
      <c r="AD65" s="27" t="inlineStr">
        <is>
          <t>yfinance_download</t>
        </is>
      </c>
      <c r="AE65" s="27" t="inlineStr">
        <is>
          <t>005290.KQ</t>
        </is>
      </c>
    </row>
    <row r="66" ht="24" customHeight="1">
      <c r="A66" s="32" t="inlineStr">
        <is>
          <t>2023-09-08</t>
        </is>
      </c>
      <c r="B66" s="34" t="n">
        <v>34800</v>
      </c>
      <c r="C66" s="34" t="n">
        <v>34850</v>
      </c>
      <c r="D66" s="34" t="n">
        <v>33800</v>
      </c>
      <c r="E66" s="34" t="n">
        <v>34200</v>
      </c>
      <c r="F66" s="34" t="n">
        <v>33545.26953125</v>
      </c>
      <c r="G66" s="34" t="n">
        <v>399681</v>
      </c>
      <c r="H66" s="39" t="n">
        <v>-0.01156069364161849</v>
      </c>
      <c r="I66" s="39" t="n">
        <v>-0.3294117647058824</v>
      </c>
      <c r="J66" s="34" t="n">
        <v>34955</v>
      </c>
      <c r="K66" s="34" t="n">
        <v>37685</v>
      </c>
      <c r="L66" s="34" t="n">
        <v>35323.75</v>
      </c>
      <c r="M66" s="39" t="n">
        <v>0.2996882960374207</v>
      </c>
      <c r="N66" s="39" t="n">
        <v>0.4842783632307308</v>
      </c>
      <c r="O66" s="39" t="n">
        <v>-0.05524861878453036</v>
      </c>
      <c r="P66" s="39" t="n">
        <v>-0.06684856753069579</v>
      </c>
      <c r="Q66" s="39" t="n">
        <v>0.09615384615384626</v>
      </c>
      <c r="R66" s="39" t="n">
        <v>-0.02159919897010443</v>
      </c>
      <c r="S66" s="39" t="n">
        <v>-0.09247711290964578</v>
      </c>
      <c r="T66" s="39" t="n">
        <v>-0.03181287377472664</v>
      </c>
      <c r="U66" s="34" t="n">
        <v>42350</v>
      </c>
      <c r="V66" s="34" t="n">
        <v>26300</v>
      </c>
      <c r="W66" s="39" t="n">
        <v>-0.192443919716647</v>
      </c>
      <c r="X66" s="39" t="n">
        <v>0.3003802281368821</v>
      </c>
      <c r="Y66" s="34" t="n">
        <v>51414494</v>
      </c>
      <c r="Z66" s="34" t="n">
        <v>1758375694800</v>
      </c>
      <c r="AA66" s="34" t="n">
        <v>13669090200</v>
      </c>
      <c r="AB66" s="34" t="n">
        <v>19420356420</v>
      </c>
      <c r="AC66" s="39" t="n">
        <v>0.007773702878414013</v>
      </c>
      <c r="AD66" s="32" t="inlineStr">
        <is>
          <t>yfinance_download</t>
        </is>
      </c>
      <c r="AE66" s="32" t="inlineStr">
        <is>
          <t>005290.KQ</t>
        </is>
      </c>
    </row>
    <row r="67" ht="24" customHeight="1">
      <c r="A67" s="27" t="inlineStr">
        <is>
          <t>2023-09-11</t>
        </is>
      </c>
      <c r="B67" s="33" t="n">
        <v>34200</v>
      </c>
      <c r="C67" s="33" t="n">
        <v>34250</v>
      </c>
      <c r="D67" s="33" t="n">
        <v>33500</v>
      </c>
      <c r="E67" s="33" t="n">
        <v>33800</v>
      </c>
      <c r="F67" s="33" t="n">
        <v>33152.92578125</v>
      </c>
      <c r="G67" s="33" t="n">
        <v>316566</v>
      </c>
      <c r="H67" s="38" t="n">
        <v>-0.01169590643274854</v>
      </c>
      <c r="I67" s="38" t="n">
        <v>-0.3372549019607843</v>
      </c>
      <c r="J67" s="33" t="n">
        <v>34832.5</v>
      </c>
      <c r="K67" s="33" t="n">
        <v>37605</v>
      </c>
      <c r="L67" s="33" t="n">
        <v>35343.75</v>
      </c>
      <c r="M67" s="38" t="n">
        <v>0.3009372590334718</v>
      </c>
      <c r="N67" s="38" t="n">
        <v>0.4715200565785903</v>
      </c>
      <c r="O67" s="38" t="n">
        <v>-0.0675862068965517</v>
      </c>
      <c r="P67" s="38" t="n">
        <v>-0.1243523316062176</v>
      </c>
      <c r="Q67" s="38" t="n">
        <v>0.07643312101910826</v>
      </c>
      <c r="R67" s="38" t="n">
        <v>-0.0296418574607048</v>
      </c>
      <c r="S67" s="38" t="n">
        <v>-0.1011833532774897</v>
      </c>
      <c r="T67" s="38" t="n">
        <v>-0.04367816091954024</v>
      </c>
      <c r="U67" s="33" t="n">
        <v>42350</v>
      </c>
      <c r="V67" s="33" t="n">
        <v>26300</v>
      </c>
      <c r="W67" s="38" t="n">
        <v>-0.2018890200708382</v>
      </c>
      <c r="X67" s="38" t="n">
        <v>0.2851711026615971</v>
      </c>
      <c r="Y67" s="33" t="n">
        <v>51414494</v>
      </c>
      <c r="Z67" s="33" t="n">
        <v>1737809897200</v>
      </c>
      <c r="AA67" s="33" t="n">
        <v>10699930800</v>
      </c>
      <c r="AB67" s="33" t="n">
        <v>19171009897.5</v>
      </c>
      <c r="AC67" s="38" t="n">
        <v>0.006157135378984767</v>
      </c>
      <c r="AD67" s="27" t="inlineStr">
        <is>
          <t>yfinance_download</t>
        </is>
      </c>
      <c r="AE67" s="27" t="inlineStr">
        <is>
          <t>005290.KQ</t>
        </is>
      </c>
    </row>
    <row r="68" ht="24" customHeight="1">
      <c r="A68" s="32" t="inlineStr">
        <is>
          <t>2023-09-12</t>
        </is>
      </c>
      <c r="B68" s="34" t="n">
        <v>34050</v>
      </c>
      <c r="C68" s="34" t="n">
        <v>34300</v>
      </c>
      <c r="D68" s="34" t="n">
        <v>33550</v>
      </c>
      <c r="E68" s="34" t="n">
        <v>34100</v>
      </c>
      <c r="F68" s="34" t="n">
        <v>33447.1875</v>
      </c>
      <c r="G68" s="34" t="n">
        <v>339042</v>
      </c>
      <c r="H68" s="39" t="n">
        <v>0.008875739644970349</v>
      </c>
      <c r="I68" s="39" t="n">
        <v>-0.3313725490196079</v>
      </c>
      <c r="J68" s="34" t="n">
        <v>34742.5</v>
      </c>
      <c r="K68" s="34" t="n">
        <v>37548.33333333334</v>
      </c>
      <c r="L68" s="34" t="n">
        <v>35367.5</v>
      </c>
      <c r="M68" s="39" t="n">
        <v>0.302946796831064</v>
      </c>
      <c r="N68" s="39" t="n">
        <v>0.4686876278507467</v>
      </c>
      <c r="O68" s="39" t="n">
        <v>-0.05013927576601673</v>
      </c>
      <c r="P68" s="39" t="n">
        <v>-0.09066666666666667</v>
      </c>
      <c r="Q68" s="39" t="n">
        <v>0.09119999999999995</v>
      </c>
      <c r="R68" s="39" t="n">
        <v>-0.01849319997121679</v>
      </c>
      <c r="S68" s="39" t="n">
        <v>-0.09183718762483917</v>
      </c>
      <c r="T68" s="39" t="n">
        <v>-0.03583798685233619</v>
      </c>
      <c r="U68" s="34" t="n">
        <v>42350</v>
      </c>
      <c r="V68" s="34" t="n">
        <v>26300</v>
      </c>
      <c r="W68" s="39" t="n">
        <v>-0.1948051948051948</v>
      </c>
      <c r="X68" s="39" t="n">
        <v>0.2965779467680609</v>
      </c>
      <c r="Y68" s="34" t="n">
        <v>51414494</v>
      </c>
      <c r="Z68" s="34" t="n">
        <v>1753234245400</v>
      </c>
      <c r="AA68" s="34" t="n">
        <v>11561332200</v>
      </c>
      <c r="AB68" s="34" t="n">
        <v>18999768117.5</v>
      </c>
      <c r="AC68" s="39" t="n">
        <v>0.006594288373235765</v>
      </c>
      <c r="AD68" s="32" t="inlineStr">
        <is>
          <t>yfinance_download</t>
        </is>
      </c>
      <c r="AE68" s="32" t="inlineStr">
        <is>
          <t>005290.KQ</t>
        </is>
      </c>
    </row>
    <row r="69" ht="24" customHeight="1">
      <c r="A69" s="27" t="inlineStr">
        <is>
          <t>2023-09-13</t>
        </is>
      </c>
      <c r="B69" s="33" t="n">
        <v>33900</v>
      </c>
      <c r="C69" s="33" t="n">
        <v>34800</v>
      </c>
      <c r="D69" s="33" t="n">
        <v>33500</v>
      </c>
      <c r="E69" s="33" t="n">
        <v>33600</v>
      </c>
      <c r="F69" s="33" t="n">
        <v>32956.7578125</v>
      </c>
      <c r="G69" s="33" t="n">
        <v>440631</v>
      </c>
      <c r="H69" s="38" t="n">
        <v>-0.01466275659824046</v>
      </c>
      <c r="I69" s="38" t="n">
        <v>-0.3411764705882353</v>
      </c>
      <c r="J69" s="33" t="n">
        <v>34650</v>
      </c>
      <c r="K69" s="33" t="n">
        <v>37468.33333333334</v>
      </c>
      <c r="L69" s="33" t="n">
        <v>35389.16666666666</v>
      </c>
      <c r="M69" s="38" t="n">
        <v>0.3039838172710746</v>
      </c>
      <c r="N69" s="38" t="n">
        <v>0.4665161868131211</v>
      </c>
      <c r="O69" s="38" t="n">
        <v>-0.05218617771509171</v>
      </c>
      <c r="P69" s="38" t="n">
        <v>-0.125</v>
      </c>
      <c r="Q69" s="38" t="n">
        <v>0.08387096774193559</v>
      </c>
      <c r="R69" s="38" t="n">
        <v>-0.03030303030303028</v>
      </c>
      <c r="S69" s="38" t="n">
        <v>-0.1032427383123528</v>
      </c>
      <c r="T69" s="38" t="n">
        <v>-0.05055690300704074</v>
      </c>
      <c r="U69" s="33" t="n">
        <v>42350</v>
      </c>
      <c r="V69" s="33" t="n">
        <v>26300</v>
      </c>
      <c r="W69" s="38" t="n">
        <v>-0.2066115702479339</v>
      </c>
      <c r="X69" s="38" t="n">
        <v>0.2775665399239544</v>
      </c>
      <c r="Y69" s="33" t="n">
        <v>51414494</v>
      </c>
      <c r="Z69" s="33" t="n">
        <v>1727526998400</v>
      </c>
      <c r="AA69" s="33" t="n">
        <v>14805201600</v>
      </c>
      <c r="AB69" s="33" t="n">
        <v>18798680035</v>
      </c>
      <c r="AC69" s="38" t="n">
        <v>0.008570170893833945</v>
      </c>
      <c r="AD69" s="27" t="inlineStr">
        <is>
          <t>yfinance_download</t>
        </is>
      </c>
      <c r="AE69" s="27" t="inlineStr">
        <is>
          <t>005290.KQ</t>
        </is>
      </c>
    </row>
    <row r="70" ht="24" customHeight="1">
      <c r="A70" s="32" t="inlineStr">
        <is>
          <t>2023-09-14</t>
        </is>
      </c>
      <c r="B70" s="34" t="n">
        <v>33900</v>
      </c>
      <c r="C70" s="34" t="n">
        <v>36100</v>
      </c>
      <c r="D70" s="34" t="n">
        <v>33700</v>
      </c>
      <c r="E70" s="34" t="n">
        <v>36000</v>
      </c>
      <c r="F70" s="34" t="n">
        <v>35310.80859375</v>
      </c>
      <c r="G70" s="34" t="n">
        <v>1079340</v>
      </c>
      <c r="H70" s="39" t="n">
        <v>0.0714285714285714</v>
      </c>
      <c r="I70" s="39" t="n">
        <v>-0.2941176470588235</v>
      </c>
      <c r="J70" s="34" t="n">
        <v>34635</v>
      </c>
      <c r="K70" s="34" t="n">
        <v>37425.83333333334</v>
      </c>
      <c r="L70" s="34" t="n">
        <v>35429.58333333334</v>
      </c>
      <c r="M70" s="39" t="n">
        <v>0.3925629831060382</v>
      </c>
      <c r="N70" s="39" t="n">
        <v>0.4899785058178048</v>
      </c>
      <c r="O70" s="39" t="n">
        <v>-0.008264462809917328</v>
      </c>
      <c r="P70" s="39" t="n">
        <v>-0.06614785992217898</v>
      </c>
      <c r="Q70" s="39" t="n">
        <v>0.1556982343499198</v>
      </c>
      <c r="R70" s="39" t="n">
        <v>0.03941100043308787</v>
      </c>
      <c r="S70" s="39" t="n">
        <v>-0.03809757075104103</v>
      </c>
      <c r="T70" s="39" t="n">
        <v>0.01610001058437494</v>
      </c>
      <c r="U70" s="34" t="n">
        <v>42350</v>
      </c>
      <c r="V70" s="34" t="n">
        <v>26300</v>
      </c>
      <c r="W70" s="39" t="n">
        <v>-0.1499409681227863</v>
      </c>
      <c r="X70" s="39" t="n">
        <v>0.3688212927756653</v>
      </c>
      <c r="Y70" s="34" t="n">
        <v>51414494</v>
      </c>
      <c r="Z70" s="34" t="n">
        <v>1850921784000</v>
      </c>
      <c r="AA70" s="34" t="n">
        <v>38856240000</v>
      </c>
      <c r="AB70" s="34" t="n">
        <v>19730531590</v>
      </c>
      <c r="AC70" s="39" t="n">
        <v>0.020992913010094</v>
      </c>
      <c r="AD70" s="32" t="inlineStr">
        <is>
          <t>yfinance_download</t>
        </is>
      </c>
      <c r="AE70" s="32" t="inlineStr">
        <is>
          <t>005290.KQ</t>
        </is>
      </c>
    </row>
    <row r="71" ht="24" customHeight="1">
      <c r="A71" s="27" t="inlineStr">
        <is>
          <t>2023-09-15</t>
        </is>
      </c>
      <c r="B71" s="33" t="n">
        <v>35950</v>
      </c>
      <c r="C71" s="33" t="n">
        <v>36300</v>
      </c>
      <c r="D71" s="33" t="n">
        <v>35500</v>
      </c>
      <c r="E71" s="33" t="n">
        <v>35800</v>
      </c>
      <c r="F71" s="33" t="n">
        <v>35114.640625</v>
      </c>
      <c r="G71" s="33" t="n">
        <v>530792</v>
      </c>
      <c r="H71" s="38" t="n">
        <v>-0.005555555555555536</v>
      </c>
      <c r="I71" s="38" t="n">
        <v>-0.2980392156862746</v>
      </c>
      <c r="J71" s="33" t="n">
        <v>34620</v>
      </c>
      <c r="K71" s="33" t="n">
        <v>37407.5</v>
      </c>
      <c r="L71" s="33" t="n">
        <v>35472.91666666666</v>
      </c>
      <c r="M71" s="38" t="n">
        <v>0.392571363486128</v>
      </c>
      <c r="N71" s="38" t="n">
        <v>0.4821853120929538</v>
      </c>
      <c r="O71" s="38" t="n">
        <v>-0.008310249307479256</v>
      </c>
      <c r="P71" s="38" t="n">
        <v>-0.02981029810298108</v>
      </c>
      <c r="Q71" s="38" t="n">
        <v>0.1699346405228759</v>
      </c>
      <c r="R71" s="38" t="n">
        <v>0.03408434430964769</v>
      </c>
      <c r="S71" s="38" t="n">
        <v>-0.04297266590924276</v>
      </c>
      <c r="T71" s="38" t="n">
        <v>0.009220649556586746</v>
      </c>
      <c r="U71" s="33" t="n">
        <v>42350</v>
      </c>
      <c r="V71" s="33" t="n">
        <v>26300</v>
      </c>
      <c r="W71" s="38" t="n">
        <v>-0.1546635182998819</v>
      </c>
      <c r="X71" s="38" t="n">
        <v>0.3612167300380229</v>
      </c>
      <c r="Y71" s="33" t="n">
        <v>51414494</v>
      </c>
      <c r="Z71" s="33" t="n">
        <v>1840638885200</v>
      </c>
      <c r="AA71" s="33" t="n">
        <v>19002353600</v>
      </c>
      <c r="AB71" s="33" t="n">
        <v>19393518210</v>
      </c>
      <c r="AC71" s="38" t="n">
        <v>0.01032378146131322</v>
      </c>
      <c r="AD71" s="27" t="inlineStr">
        <is>
          <t>yfinance_download</t>
        </is>
      </c>
      <c r="AE71" s="27" t="inlineStr">
        <is>
          <t>005290.KQ</t>
        </is>
      </c>
    </row>
    <row r="72" ht="24" customHeight="1">
      <c r="A72" s="32" t="inlineStr">
        <is>
          <t>2023-09-18</t>
        </is>
      </c>
      <c r="B72" s="34" t="n">
        <v>35100</v>
      </c>
      <c r="C72" s="34" t="n">
        <v>35550</v>
      </c>
      <c r="D72" s="34" t="n">
        <v>34850</v>
      </c>
      <c r="E72" s="34" t="n">
        <v>34950</v>
      </c>
      <c r="F72" s="34" t="n">
        <v>34280.91015625</v>
      </c>
      <c r="G72" s="34" t="n">
        <v>428288</v>
      </c>
      <c r="H72" s="39" t="n">
        <v>-0.02374301675977653</v>
      </c>
      <c r="I72" s="39" t="n">
        <v>-0.3147058823529412</v>
      </c>
      <c r="J72" s="34" t="n">
        <v>34555</v>
      </c>
      <c r="K72" s="34" t="n">
        <v>37387.5</v>
      </c>
      <c r="L72" s="34" t="n">
        <v>35496.66666666666</v>
      </c>
      <c r="M72" s="39" t="n">
        <v>0.4009324305420082</v>
      </c>
      <c r="N72" s="39" t="n">
        <v>0.4828493741529365</v>
      </c>
      <c r="O72" s="39" t="n">
        <v>-0.03586206896551725</v>
      </c>
      <c r="P72" s="39" t="n">
        <v>-0.03319502074688796</v>
      </c>
      <c r="Q72" s="39" t="n">
        <v>0.08878504672897192</v>
      </c>
      <c r="R72" s="39" t="n">
        <v>0.01143105194617267</v>
      </c>
      <c r="S72" s="39" t="n">
        <v>-0.06519558676028081</v>
      </c>
      <c r="T72" s="39" t="n">
        <v>-0.01540050708986751</v>
      </c>
      <c r="U72" s="34" t="n">
        <v>42350</v>
      </c>
      <c r="V72" s="34" t="n">
        <v>26300</v>
      </c>
      <c r="W72" s="39" t="n">
        <v>-0.1747343565525383</v>
      </c>
      <c r="X72" s="39" t="n">
        <v>0.3288973384030418</v>
      </c>
      <c r="Y72" s="34" t="n">
        <v>51414494</v>
      </c>
      <c r="Z72" s="34" t="n">
        <v>1796936565300</v>
      </c>
      <c r="AA72" s="34" t="n">
        <v>14968665600</v>
      </c>
      <c r="AB72" s="34" t="n">
        <v>19192801427.5</v>
      </c>
      <c r="AC72" s="39" t="n">
        <v>0.008330102402641558</v>
      </c>
      <c r="AD72" s="32" t="inlineStr">
        <is>
          <t>yfinance_download</t>
        </is>
      </c>
      <c r="AE72" s="32" t="inlineStr">
        <is>
          <t>005290.KQ</t>
        </is>
      </c>
    </row>
    <row r="73" ht="24" customHeight="1">
      <c r="A73" s="27" t="inlineStr">
        <is>
          <t>2023-09-19</t>
        </is>
      </c>
      <c r="B73" s="33" t="n">
        <v>35000</v>
      </c>
      <c r="C73" s="33" t="n">
        <v>35500</v>
      </c>
      <c r="D73" s="33" t="n">
        <v>34650</v>
      </c>
      <c r="E73" s="33" t="n">
        <v>34800</v>
      </c>
      <c r="F73" s="33" t="n">
        <v>34133.78515625</v>
      </c>
      <c r="G73" s="33" t="n">
        <v>297594</v>
      </c>
      <c r="H73" s="38" t="n">
        <v>-0.004291845493562207</v>
      </c>
      <c r="I73" s="38" t="n">
        <v>-0.3176470588235294</v>
      </c>
      <c r="J73" s="33" t="n">
        <v>34527.5</v>
      </c>
      <c r="K73" s="33" t="n">
        <v>37365</v>
      </c>
      <c r="L73" s="33" t="n">
        <v>35518.75</v>
      </c>
      <c r="M73" s="38" t="n">
        <v>0.3916213989281899</v>
      </c>
      <c r="N73" s="38" t="n">
        <v>0.4829251865060586</v>
      </c>
      <c r="O73" s="38" t="n">
        <v>-0.01555869872701554</v>
      </c>
      <c r="P73" s="38" t="n">
        <v>-0.03734439834024894</v>
      </c>
      <c r="Q73" s="38" t="n">
        <v>0.08242612752721623</v>
      </c>
      <c r="R73" s="38" t="n">
        <v>0.007892259792918743</v>
      </c>
      <c r="S73" s="38" t="n">
        <v>-0.06864712966680053</v>
      </c>
      <c r="T73" s="38" t="n">
        <v>-0.02023579095548123</v>
      </c>
      <c r="U73" s="33" t="n">
        <v>42350</v>
      </c>
      <c r="V73" s="33" t="n">
        <v>26300</v>
      </c>
      <c r="W73" s="38" t="n">
        <v>-0.1782762691853601</v>
      </c>
      <c r="X73" s="38" t="n">
        <v>0.3231939163498099</v>
      </c>
      <c r="Y73" s="33" t="n">
        <v>51414494</v>
      </c>
      <c r="Z73" s="33" t="n">
        <v>1789224391200</v>
      </c>
      <c r="AA73" s="33" t="n">
        <v>10356271200</v>
      </c>
      <c r="AB73" s="33" t="n">
        <v>18452393600</v>
      </c>
      <c r="AC73" s="38" t="n">
        <v>0.005788134373159444</v>
      </c>
      <c r="AD73" s="27" t="inlineStr">
        <is>
          <t>yfinance_download</t>
        </is>
      </c>
      <c r="AE73" s="27" t="inlineStr">
        <is>
          <t>005290.KQ</t>
        </is>
      </c>
    </row>
    <row r="74" ht="24" customHeight="1">
      <c r="A74" s="32" t="inlineStr">
        <is>
          <t>2023-09-20</t>
        </is>
      </c>
      <c r="B74" s="34" t="n">
        <v>34700</v>
      </c>
      <c r="C74" s="34" t="n">
        <v>34900</v>
      </c>
      <c r="D74" s="34" t="n">
        <v>33500</v>
      </c>
      <c r="E74" s="34" t="n">
        <v>33850</v>
      </c>
      <c r="F74" s="34" t="n">
        <v>33201.97265625</v>
      </c>
      <c r="G74" s="34" t="n">
        <v>513439</v>
      </c>
      <c r="H74" s="39" t="n">
        <v>-0.0272988505747126</v>
      </c>
      <c r="I74" s="39" t="n">
        <v>-0.3362745098039216</v>
      </c>
      <c r="J74" s="34" t="n">
        <v>34517.5</v>
      </c>
      <c r="K74" s="34" t="n">
        <v>37276.66666666666</v>
      </c>
      <c r="L74" s="34" t="n">
        <v>35525.41666666666</v>
      </c>
      <c r="M74" s="39" t="n">
        <v>0.3812875214896225</v>
      </c>
      <c r="N74" s="39" t="n">
        <v>0.4538111768329569</v>
      </c>
      <c r="O74" s="39" t="n">
        <v>-0.005873715124816492</v>
      </c>
      <c r="P74" s="39" t="n">
        <v>-0.1353767560664112</v>
      </c>
      <c r="Q74" s="39" t="n">
        <v>0.02420574886535554</v>
      </c>
      <c r="R74" s="39" t="n">
        <v>-0.01933801694792492</v>
      </c>
      <c r="S74" s="39" t="n">
        <v>-0.0919252436734328</v>
      </c>
      <c r="T74" s="39" t="n">
        <v>-0.0471610701258488</v>
      </c>
      <c r="U74" s="34" t="n">
        <v>42350</v>
      </c>
      <c r="V74" s="34" t="n">
        <v>26300</v>
      </c>
      <c r="W74" s="39" t="n">
        <v>-0.2007083825265643</v>
      </c>
      <c r="X74" s="39" t="n">
        <v>0.2870722433460076</v>
      </c>
      <c r="Y74" s="34" t="n">
        <v>51414494</v>
      </c>
      <c r="Z74" s="34" t="n">
        <v>1740380621900</v>
      </c>
      <c r="AA74" s="34" t="n">
        <v>17379910150</v>
      </c>
      <c r="AB74" s="34" t="n">
        <v>17804960440</v>
      </c>
      <c r="AC74" s="39" t="n">
        <v>0.009986269630505359</v>
      </c>
      <c r="AD74" s="32" t="inlineStr">
        <is>
          <t>yfinance_download</t>
        </is>
      </c>
      <c r="AE74" s="32" t="inlineStr">
        <is>
          <t>005290.KQ</t>
        </is>
      </c>
    </row>
    <row r="75" ht="24" customHeight="1">
      <c r="A75" s="27" t="inlineStr">
        <is>
          <t>2023-09-21</t>
        </is>
      </c>
      <c r="B75" s="33" t="n">
        <v>33450</v>
      </c>
      <c r="C75" s="33" t="n">
        <v>33600</v>
      </c>
      <c r="D75" s="33" t="n">
        <v>32300</v>
      </c>
      <c r="E75" s="33" t="n">
        <v>32500</v>
      </c>
      <c r="F75" s="33" t="n">
        <v>31877.81640625</v>
      </c>
      <c r="G75" s="33" t="n">
        <v>608315</v>
      </c>
      <c r="H75" s="38" t="n">
        <v>-0.03988183161004433</v>
      </c>
      <c r="I75" s="38" t="n">
        <v>-0.3627450980392157</v>
      </c>
      <c r="J75" s="33" t="n">
        <v>34400</v>
      </c>
      <c r="K75" s="33" t="n">
        <v>37172.5</v>
      </c>
      <c r="L75" s="33" t="n">
        <v>35519.58333333334</v>
      </c>
      <c r="M75" s="38" t="n">
        <v>0.395534981833565</v>
      </c>
      <c r="N75" s="38" t="n">
        <v>0.4601272446450778</v>
      </c>
      <c r="O75" s="38" t="n">
        <v>-0.06743185078909608</v>
      </c>
      <c r="P75" s="38" t="n">
        <v>-0.1612903225806451</v>
      </c>
      <c r="Q75" s="38" t="n">
        <v>-0.02108433734939763</v>
      </c>
      <c r="R75" s="38" t="n">
        <v>-0.05523255813953487</v>
      </c>
      <c r="S75" s="38" t="n">
        <v>-0.1256977604411864</v>
      </c>
      <c r="T75" s="38" t="n">
        <v>-0.08501178927117681</v>
      </c>
      <c r="U75" s="33" t="n">
        <v>42350</v>
      </c>
      <c r="V75" s="33" t="n">
        <v>26300</v>
      </c>
      <c r="W75" s="38" t="n">
        <v>-0.2325855962219598</v>
      </c>
      <c r="X75" s="38" t="n">
        <v>0.2357414448669202</v>
      </c>
      <c r="Y75" s="33" t="n">
        <v>51414494</v>
      </c>
      <c r="Z75" s="33" t="n">
        <v>1670971055000</v>
      </c>
      <c r="AA75" s="33" t="n">
        <v>19770237500</v>
      </c>
      <c r="AB75" s="33" t="n">
        <v>17609330302.5</v>
      </c>
      <c r="AC75" s="38" t="n">
        <v>0.01183158585592615</v>
      </c>
      <c r="AD75" s="27" t="inlineStr">
        <is>
          <t>yfinance_download</t>
        </is>
      </c>
      <c r="AE75" s="27" t="inlineStr">
        <is>
          <t>005290.KQ</t>
        </is>
      </c>
    </row>
    <row r="76" ht="24" customHeight="1">
      <c r="A76" s="32" t="inlineStr">
        <is>
          <t>2023-09-22</t>
        </is>
      </c>
      <c r="B76" s="34" t="n">
        <v>31650</v>
      </c>
      <c r="C76" s="34" t="n">
        <v>32650</v>
      </c>
      <c r="D76" s="34" t="n">
        <v>31650</v>
      </c>
      <c r="E76" s="34" t="n">
        <v>32600</v>
      </c>
      <c r="F76" s="34" t="n">
        <v>31975.90234375</v>
      </c>
      <c r="G76" s="34" t="n">
        <v>325640</v>
      </c>
      <c r="H76" s="39" t="n">
        <v>0.003076923076922977</v>
      </c>
      <c r="I76" s="39" t="n">
        <v>-0.3607843137254902</v>
      </c>
      <c r="J76" s="34" t="n">
        <v>34350</v>
      </c>
      <c r="K76" s="34" t="n">
        <v>37086.66666666666</v>
      </c>
      <c r="L76" s="34" t="n">
        <v>35506.25</v>
      </c>
      <c r="M76" s="39" t="n">
        <v>0.3765694210708057</v>
      </c>
      <c r="N76" s="39" t="n">
        <v>0.4576840574587212</v>
      </c>
      <c r="O76" s="39" t="n">
        <v>-0.02976190476190477</v>
      </c>
      <c r="P76" s="39" t="n">
        <v>-0.1364238410596027</v>
      </c>
      <c r="Q76" s="39" t="n">
        <v>-0.04678362573099415</v>
      </c>
      <c r="R76" s="39" t="n">
        <v>-0.05094614264919939</v>
      </c>
      <c r="S76" s="39" t="n">
        <v>-0.1209778896278986</v>
      </c>
      <c r="T76" s="39" t="n">
        <v>-0.08185178665727866</v>
      </c>
      <c r="U76" s="34" t="n">
        <v>42350</v>
      </c>
      <c r="V76" s="34" t="n">
        <v>26300</v>
      </c>
      <c r="W76" s="39" t="n">
        <v>-0.2302243211334121</v>
      </c>
      <c r="X76" s="39" t="n">
        <v>0.2395437262357414</v>
      </c>
      <c r="Y76" s="34" t="n">
        <v>51414494</v>
      </c>
      <c r="Z76" s="34" t="n">
        <v>1676112504400</v>
      </c>
      <c r="AA76" s="34" t="n">
        <v>10615864000</v>
      </c>
      <c r="AB76" s="34" t="n">
        <v>16873458942.5</v>
      </c>
      <c r="AC76" s="39" t="n">
        <v>0.006333622577322263</v>
      </c>
      <c r="AD76" s="32" t="inlineStr">
        <is>
          <t>yfinance_download</t>
        </is>
      </c>
      <c r="AE76" s="32" t="inlineStr">
        <is>
          <t>005290.KQ</t>
        </is>
      </c>
    </row>
    <row r="77" ht="24" customHeight="1">
      <c r="A77" s="27" t="inlineStr">
        <is>
          <t>2023-09-25</t>
        </is>
      </c>
      <c r="B77" s="33" t="n">
        <v>32300</v>
      </c>
      <c r="C77" s="33" t="n">
        <v>33550</v>
      </c>
      <c r="D77" s="33" t="n">
        <v>32150</v>
      </c>
      <c r="E77" s="33" t="n">
        <v>33400</v>
      </c>
      <c r="F77" s="33" t="n">
        <v>32760.5859375</v>
      </c>
      <c r="G77" s="33" t="n">
        <v>384668</v>
      </c>
      <c r="H77" s="38" t="n">
        <v>0.02453987730061358</v>
      </c>
      <c r="I77" s="38" t="n">
        <v>-0.3450980392156863</v>
      </c>
      <c r="J77" s="33" t="n">
        <v>34342.5</v>
      </c>
      <c r="K77" s="33" t="n">
        <v>36993.33333333334</v>
      </c>
      <c r="L77" s="33" t="n">
        <v>35509.58333333334</v>
      </c>
      <c r="M77" s="38" t="n">
        <v>0.3875231072640765</v>
      </c>
      <c r="N77" s="38" t="n">
        <v>0.4552025963716615</v>
      </c>
      <c r="O77" s="38" t="n">
        <v>-0.004470938897168431</v>
      </c>
      <c r="P77" s="38" t="n">
        <v>-0.1435897435897436</v>
      </c>
      <c r="Q77" s="38" t="n">
        <v>0.0121212121212122</v>
      </c>
      <c r="R77" s="38" t="n">
        <v>-0.02744412899468585</v>
      </c>
      <c r="S77" s="38" t="n">
        <v>-0.09713461885024333</v>
      </c>
      <c r="T77" s="38" t="n">
        <v>-0.05940884503009758</v>
      </c>
      <c r="U77" s="33" t="n">
        <v>42350</v>
      </c>
      <c r="V77" s="33" t="n">
        <v>26300</v>
      </c>
      <c r="W77" s="38" t="n">
        <v>-0.2113341204250295</v>
      </c>
      <c r="X77" s="38" t="n">
        <v>0.2699619771863118</v>
      </c>
      <c r="Y77" s="33" t="n">
        <v>51414494</v>
      </c>
      <c r="Z77" s="33" t="n">
        <v>1717244099600</v>
      </c>
      <c r="AA77" s="33" t="n">
        <v>12847911200</v>
      </c>
      <c r="AB77" s="33" t="n">
        <v>16893344317.5</v>
      </c>
      <c r="AC77" s="38" t="n">
        <v>0.007481703505630144</v>
      </c>
      <c r="AD77" s="27" t="inlineStr">
        <is>
          <t>yfinance_download</t>
        </is>
      </c>
      <c r="AE77" s="27" t="inlineStr">
        <is>
          <t>005290.KQ</t>
        </is>
      </c>
    </row>
    <row r="78" ht="24" customHeight="1">
      <c r="A78" s="32" t="inlineStr">
        <is>
          <t>2023-09-26</t>
        </is>
      </c>
      <c r="B78" s="34" t="n">
        <v>33300</v>
      </c>
      <c r="C78" s="34" t="n">
        <v>33500</v>
      </c>
      <c r="D78" s="34" t="n">
        <v>32800</v>
      </c>
      <c r="E78" s="34" t="n">
        <v>33300</v>
      </c>
      <c r="F78" s="34" t="n">
        <v>32662.501953125</v>
      </c>
      <c r="G78" s="34" t="n">
        <v>270447</v>
      </c>
      <c r="H78" s="39" t="n">
        <v>-0.002994011976047872</v>
      </c>
      <c r="I78" s="39" t="n">
        <v>-0.3470588235294118</v>
      </c>
      <c r="J78" s="34" t="n">
        <v>34310</v>
      </c>
      <c r="K78" s="34" t="n">
        <v>36846.66666666666</v>
      </c>
      <c r="L78" s="34" t="n">
        <v>35510.83333333334</v>
      </c>
      <c r="M78" s="39" t="n">
        <v>0.3850735367844506</v>
      </c>
      <c r="N78" s="39" t="n">
        <v>0.4221872943353008</v>
      </c>
      <c r="O78" s="39" t="n">
        <v>-0.01914580265095733</v>
      </c>
      <c r="P78" s="39" t="n">
        <v>-0.2090261282660333</v>
      </c>
      <c r="Q78" s="39" t="n">
        <v>0.004524886877828038</v>
      </c>
      <c r="R78" s="39" t="n">
        <v>-0.02943748178373651</v>
      </c>
      <c r="S78" s="39" t="n">
        <v>-0.09625474941197754</v>
      </c>
      <c r="T78" s="39" t="n">
        <v>-0.06225799638607943</v>
      </c>
      <c r="U78" s="34" t="n">
        <v>42350</v>
      </c>
      <c r="V78" s="34" t="n">
        <v>26300</v>
      </c>
      <c r="W78" s="39" t="n">
        <v>-0.2136953955135773</v>
      </c>
      <c r="X78" s="39" t="n">
        <v>0.2661596958174905</v>
      </c>
      <c r="Y78" s="34" t="n">
        <v>51414494</v>
      </c>
      <c r="Z78" s="34" t="n">
        <v>1712102650200</v>
      </c>
      <c r="AA78" s="34" t="n">
        <v>9005885100</v>
      </c>
      <c r="AB78" s="34" t="n">
        <v>16622464185</v>
      </c>
      <c r="AC78" s="39" t="n">
        <v>0.005260131510775931</v>
      </c>
      <c r="AD78" s="32" t="inlineStr">
        <is>
          <t>yfinance_download</t>
        </is>
      </c>
      <c r="AE78" s="32" t="inlineStr">
        <is>
          <t>005290.KQ</t>
        </is>
      </c>
    </row>
    <row r="79" ht="24" customHeight="1">
      <c r="A79" s="27" t="inlineStr">
        <is>
          <t>2023-09-27</t>
        </is>
      </c>
      <c r="B79" s="33" t="n">
        <v>33000</v>
      </c>
      <c r="C79" s="33" t="n">
        <v>33750</v>
      </c>
      <c r="D79" s="33" t="n">
        <v>32900</v>
      </c>
      <c r="E79" s="33" t="n">
        <v>33600</v>
      </c>
      <c r="F79" s="33" t="n">
        <v>32956.7578125</v>
      </c>
      <c r="G79" s="33" t="n">
        <v>341837</v>
      </c>
      <c r="H79" s="38" t="n">
        <v>0.009009009009008917</v>
      </c>
      <c r="I79" s="38" t="n">
        <v>-0.3411764705882353</v>
      </c>
      <c r="J79" s="33" t="n">
        <v>34285</v>
      </c>
      <c r="K79" s="33" t="n">
        <v>36714.16666666666</v>
      </c>
      <c r="L79" s="33" t="n">
        <v>35532.91666666666</v>
      </c>
      <c r="M79" s="38" t="n">
        <v>0.3862245917434016</v>
      </c>
      <c r="N79" s="38" t="n">
        <v>0.4224868267842888</v>
      </c>
      <c r="O79" s="38" t="n">
        <v>-0.01466275659824046</v>
      </c>
      <c r="P79" s="38" t="n">
        <v>-0.1913357400722022</v>
      </c>
      <c r="Q79" s="38" t="n">
        <v>0.08562197092084012</v>
      </c>
      <c r="R79" s="38" t="n">
        <v>-0.0199795829079773</v>
      </c>
      <c r="S79" s="38" t="n">
        <v>-0.08482193522028281</v>
      </c>
      <c r="T79" s="38" t="n">
        <v>-0.0543979174239847</v>
      </c>
      <c r="U79" s="33" t="n">
        <v>42350</v>
      </c>
      <c r="V79" s="33" t="n">
        <v>26300</v>
      </c>
      <c r="W79" s="38" t="n">
        <v>-0.2066115702479339</v>
      </c>
      <c r="X79" s="38" t="n">
        <v>0.2775665399239544</v>
      </c>
      <c r="Y79" s="33" t="n">
        <v>51414494</v>
      </c>
      <c r="Z79" s="33" t="n">
        <v>1727526998400</v>
      </c>
      <c r="AA79" s="33" t="n">
        <v>11485723200</v>
      </c>
      <c r="AB79" s="33" t="n">
        <v>16380548090</v>
      </c>
      <c r="AC79" s="38" t="n">
        <v>0.006648650475875539</v>
      </c>
      <c r="AD79" s="27" t="inlineStr">
        <is>
          <t>yfinance_download</t>
        </is>
      </c>
      <c r="AE79" s="27" t="inlineStr">
        <is>
          <t>005290.KQ</t>
        </is>
      </c>
    </row>
    <row r="80" ht="24" customHeight="1">
      <c r="A80" s="32" t="inlineStr">
        <is>
          <t>2023-10-04</t>
        </is>
      </c>
      <c r="B80" s="34" t="n">
        <v>33300</v>
      </c>
      <c r="C80" s="34" t="n">
        <v>33700</v>
      </c>
      <c r="D80" s="34" t="n">
        <v>32650</v>
      </c>
      <c r="E80" s="34" t="n">
        <v>33250</v>
      </c>
      <c r="F80" s="34" t="n">
        <v>32613.45703125</v>
      </c>
      <c r="G80" s="34" t="n">
        <v>441798</v>
      </c>
      <c r="H80" s="39" t="n">
        <v>-0.01041666666666663</v>
      </c>
      <c r="I80" s="39" t="n">
        <v>-0.3480392156862745</v>
      </c>
      <c r="J80" s="34" t="n">
        <v>34242.5</v>
      </c>
      <c r="K80" s="34" t="n">
        <v>36572.5</v>
      </c>
      <c r="L80" s="34" t="n">
        <v>35548.33333333334</v>
      </c>
      <c r="M80" s="39" t="n">
        <v>0.3878259080729188</v>
      </c>
      <c r="N80" s="39" t="n">
        <v>0.4224081786053607</v>
      </c>
      <c r="O80" s="39" t="n">
        <v>-0.02492668621700878</v>
      </c>
      <c r="P80" s="39" t="n">
        <v>-0.2035928143712575</v>
      </c>
      <c r="Q80" s="39" t="n">
        <v>0.05891719745222934</v>
      </c>
      <c r="R80" s="39" t="n">
        <v>-0.02898444914944875</v>
      </c>
      <c r="S80" s="39" t="n">
        <v>-0.09084694784332492</v>
      </c>
      <c r="T80" s="39" t="n">
        <v>-0.06465375779455207</v>
      </c>
      <c r="U80" s="34" t="n">
        <v>42350</v>
      </c>
      <c r="V80" s="34" t="n">
        <v>26300</v>
      </c>
      <c r="W80" s="39" t="n">
        <v>-0.2148760330578512</v>
      </c>
      <c r="X80" s="39" t="n">
        <v>0.2642585551330798</v>
      </c>
      <c r="Y80" s="34" t="n">
        <v>51414494</v>
      </c>
      <c r="Z80" s="34" t="n">
        <v>1709531925500</v>
      </c>
      <c r="AA80" s="34" t="n">
        <v>14689783500</v>
      </c>
      <c r="AB80" s="34" t="n">
        <v>16199704605</v>
      </c>
      <c r="AC80" s="39" t="n">
        <v>0.008592868773540784</v>
      </c>
      <c r="AD80" s="32" t="inlineStr">
        <is>
          <t>yfinance_download</t>
        </is>
      </c>
      <c r="AE80" s="32" t="inlineStr">
        <is>
          <t>005290.KQ</t>
        </is>
      </c>
    </row>
    <row r="81" ht="24" customHeight="1">
      <c r="A81" s="27" t="inlineStr">
        <is>
          <t>2023-10-05</t>
        </is>
      </c>
      <c r="B81" s="33" t="n">
        <v>33700</v>
      </c>
      <c r="C81" s="33" t="n">
        <v>34100</v>
      </c>
      <c r="D81" s="33" t="n">
        <v>32750</v>
      </c>
      <c r="E81" s="33" t="n">
        <v>32750</v>
      </c>
      <c r="F81" s="33" t="n">
        <v>32123.029296875</v>
      </c>
      <c r="G81" s="33" t="n">
        <v>393854</v>
      </c>
      <c r="H81" s="38" t="n">
        <v>-0.01503759398496241</v>
      </c>
      <c r="I81" s="38" t="n">
        <v>-0.3578431372549019</v>
      </c>
      <c r="J81" s="33" t="n">
        <v>34112.5</v>
      </c>
      <c r="K81" s="33" t="n">
        <v>36430</v>
      </c>
      <c r="L81" s="33" t="n">
        <v>35563.75</v>
      </c>
      <c r="M81" s="38" t="n">
        <v>0.3639587992228878</v>
      </c>
      <c r="N81" s="38" t="n">
        <v>0.4228142407186224</v>
      </c>
      <c r="O81" s="38" t="n">
        <v>-0.07355021216407354</v>
      </c>
      <c r="P81" s="38" t="n">
        <v>-0.2070217917675545</v>
      </c>
      <c r="Q81" s="38" t="n">
        <v>0.0598705501618122</v>
      </c>
      <c r="R81" s="38" t="n">
        <v>-0.03994137046537194</v>
      </c>
      <c r="S81" s="38" t="n">
        <v>-0.1010156464452374</v>
      </c>
      <c r="T81" s="38" t="n">
        <v>-0.0791184844117957</v>
      </c>
      <c r="U81" s="33" t="n">
        <v>42350</v>
      </c>
      <c r="V81" s="33" t="n">
        <v>26300</v>
      </c>
      <c r="W81" s="38" t="n">
        <v>-0.2266824085005903</v>
      </c>
      <c r="X81" s="38" t="n">
        <v>0.2452471482889733</v>
      </c>
      <c r="Y81" s="33" t="n">
        <v>51414494</v>
      </c>
      <c r="Z81" s="33" t="n">
        <v>1683824678500</v>
      </c>
      <c r="AA81" s="33" t="n">
        <v>12898718500</v>
      </c>
      <c r="AB81" s="33" t="n">
        <v>15056071930</v>
      </c>
      <c r="AC81" s="38" t="n">
        <v>0.007660369078026908</v>
      </c>
      <c r="AD81" s="27" t="inlineStr">
        <is>
          <t>yfinance_download</t>
        </is>
      </c>
      <c r="AE81" s="27" t="inlineStr">
        <is>
          <t>005290.KQ</t>
        </is>
      </c>
    </row>
    <row r="82" ht="24" customHeight="1">
      <c r="A82" s="32" t="inlineStr">
        <is>
          <t>2023-10-06</t>
        </is>
      </c>
      <c r="B82" s="34" t="n">
        <v>32500</v>
      </c>
      <c r="C82" s="34" t="n">
        <v>33200</v>
      </c>
      <c r="D82" s="34" t="n">
        <v>32500</v>
      </c>
      <c r="E82" s="34" t="n">
        <v>33100</v>
      </c>
      <c r="F82" s="34" t="n">
        <v>32466.328125</v>
      </c>
      <c r="G82" s="34" t="n">
        <v>168580</v>
      </c>
      <c r="H82" s="39" t="n">
        <v>0.0106870229007634</v>
      </c>
      <c r="I82" s="39" t="n">
        <v>-0.3509803921568627</v>
      </c>
      <c r="J82" s="34" t="n">
        <v>34002.5</v>
      </c>
      <c r="K82" s="34" t="n">
        <v>36325</v>
      </c>
      <c r="L82" s="34" t="n">
        <v>35568.75</v>
      </c>
      <c r="M82" s="39" t="n">
        <v>0.3674267548047994</v>
      </c>
      <c r="N82" s="39" t="n">
        <v>0.4143562892319449</v>
      </c>
      <c r="O82" s="39" t="n">
        <v>-0.06232294617563738</v>
      </c>
      <c r="P82" s="39" t="n">
        <v>-0.1598984771573604</v>
      </c>
      <c r="Q82" s="39" t="n">
        <v>0.01846153846153853</v>
      </c>
      <c r="R82" s="39" t="n">
        <v>-0.0265421660172046</v>
      </c>
      <c r="S82" s="39" t="n">
        <v>-0.08878183069511358</v>
      </c>
      <c r="T82" s="39" t="n">
        <v>-0.06940783693551222</v>
      </c>
      <c r="U82" s="34" t="n">
        <v>42350</v>
      </c>
      <c r="V82" s="34" t="n">
        <v>26300</v>
      </c>
      <c r="W82" s="39" t="n">
        <v>-0.218417945690673</v>
      </c>
      <c r="X82" s="39" t="n">
        <v>0.2585551330798479</v>
      </c>
      <c r="Y82" s="34" t="n">
        <v>51414494</v>
      </c>
      <c r="Z82" s="34" t="n">
        <v>1701819751400</v>
      </c>
      <c r="AA82" s="34" t="n">
        <v>5579998000</v>
      </c>
      <c r="AB82" s="34" t="n">
        <v>14468340340</v>
      </c>
      <c r="AC82" s="39" t="n">
        <v>0.003278841954566352</v>
      </c>
      <c r="AD82" s="32" t="inlineStr">
        <is>
          <t>yfinance_download</t>
        </is>
      </c>
      <c r="AE82" s="32" t="inlineStr">
        <is>
          <t>005290.KQ</t>
        </is>
      </c>
    </row>
    <row r="83" ht="24" customHeight="1">
      <c r="A83" s="27" t="inlineStr">
        <is>
          <t>2023-10-10</t>
        </is>
      </c>
      <c r="B83" s="33" t="n">
        <v>33250</v>
      </c>
      <c r="C83" s="33" t="n">
        <v>33650</v>
      </c>
      <c r="D83" s="33" t="n">
        <v>31950</v>
      </c>
      <c r="E83" s="33" t="n">
        <v>32200</v>
      </c>
      <c r="F83" s="33" t="n">
        <v>31583.560546875</v>
      </c>
      <c r="G83" s="33" t="n">
        <v>368668</v>
      </c>
      <c r="H83" s="38" t="n">
        <v>-0.02719033232628398</v>
      </c>
      <c r="I83" s="38" t="n">
        <v>-0.3686274509803922</v>
      </c>
      <c r="J83" s="33" t="n">
        <v>33845</v>
      </c>
      <c r="K83" s="33" t="n">
        <v>36195.83333333334</v>
      </c>
      <c r="L83" s="33" t="n">
        <v>35569.16666666666</v>
      </c>
      <c r="M83" s="38" t="n">
        <v>0.3768164636878627</v>
      </c>
      <c r="N83" s="38" t="n">
        <v>0.4159257935583585</v>
      </c>
      <c r="O83" s="38" t="n">
        <v>-0.08910891089108908</v>
      </c>
      <c r="P83" s="38" t="n">
        <v>-0.1939924906132666</v>
      </c>
      <c r="Q83" s="38" t="n">
        <v>0.001555209953343795</v>
      </c>
      <c r="R83" s="38" t="n">
        <v>-0.04860392967942084</v>
      </c>
      <c r="S83" s="38" t="n">
        <v>-0.1103948428686544</v>
      </c>
      <c r="T83" s="38" t="n">
        <v>-0.09472155190591092</v>
      </c>
      <c r="U83" s="33" t="n">
        <v>42350</v>
      </c>
      <c r="V83" s="33" t="n">
        <v>26300</v>
      </c>
      <c r="W83" s="38" t="n">
        <v>-0.2396694214876033</v>
      </c>
      <c r="X83" s="38" t="n">
        <v>0.2243346007604563</v>
      </c>
      <c r="Y83" s="33" t="n">
        <v>51414494</v>
      </c>
      <c r="Z83" s="33" t="n">
        <v>1655546706800</v>
      </c>
      <c r="AA83" s="33" t="n">
        <v>11871109600</v>
      </c>
      <c r="AB83" s="33" t="n">
        <v>14401135387.5</v>
      </c>
      <c r="AC83" s="38" t="n">
        <v>0.007170507211448974</v>
      </c>
      <c r="AD83" s="27" t="inlineStr">
        <is>
          <t>yfinance_download</t>
        </is>
      </c>
      <c r="AE83" s="27" t="inlineStr">
        <is>
          <t>005290.KQ</t>
        </is>
      </c>
    </row>
    <row r="84" ht="24" customHeight="1">
      <c r="A84" s="32" t="inlineStr">
        <is>
          <t>2023-10-11</t>
        </is>
      </c>
      <c r="B84" s="34" t="n">
        <v>32700</v>
      </c>
      <c r="C84" s="34" t="n">
        <v>34150</v>
      </c>
      <c r="D84" s="34" t="n">
        <v>32700</v>
      </c>
      <c r="E84" s="34" t="n">
        <v>33450</v>
      </c>
      <c r="F84" s="34" t="n">
        <v>32809.62890625</v>
      </c>
      <c r="G84" s="34" t="n">
        <v>388082</v>
      </c>
      <c r="H84" s="39" t="n">
        <v>0.03881987577639756</v>
      </c>
      <c r="I84" s="39" t="n">
        <v>-0.3441176470588235</v>
      </c>
      <c r="J84" s="34" t="n">
        <v>33792.5</v>
      </c>
      <c r="K84" s="34" t="n">
        <v>36139.16666666666</v>
      </c>
      <c r="L84" s="34" t="n">
        <v>35572.91666666666</v>
      </c>
      <c r="M84" s="39" t="n">
        <v>0.3987660044207989</v>
      </c>
      <c r="N84" s="39" t="n">
        <v>0.3949446468525948</v>
      </c>
      <c r="O84" s="39" t="n">
        <v>-0.0304347826086957</v>
      </c>
      <c r="P84" s="39" t="n">
        <v>-0.09226594301221169</v>
      </c>
      <c r="Q84" s="39" t="n">
        <v>0.01363636363636367</v>
      </c>
      <c r="R84" s="39" t="n">
        <v>-0.01013538507065181</v>
      </c>
      <c r="S84" s="39" t="n">
        <v>-0.0744114188207623</v>
      </c>
      <c r="T84" s="39" t="n">
        <v>-0.05967789165446558</v>
      </c>
      <c r="U84" s="34" t="n">
        <v>42350</v>
      </c>
      <c r="V84" s="34" t="n">
        <v>26500</v>
      </c>
      <c r="W84" s="39" t="n">
        <v>-0.2101534828807556</v>
      </c>
      <c r="X84" s="39" t="n">
        <v>0.2622641509433963</v>
      </c>
      <c r="Y84" s="34" t="n">
        <v>51414494</v>
      </c>
      <c r="Z84" s="34" t="n">
        <v>1719814824300</v>
      </c>
      <c r="AA84" s="34" t="n">
        <v>12981342900</v>
      </c>
      <c r="AB84" s="34" t="n">
        <v>14342700682.5</v>
      </c>
      <c r="AC84" s="39" t="n">
        <v>0.007548105014901051</v>
      </c>
      <c r="AD84" s="32" t="inlineStr">
        <is>
          <t>yfinance_download</t>
        </is>
      </c>
      <c r="AE84" s="32" t="inlineStr">
        <is>
          <t>005290.KQ</t>
        </is>
      </c>
    </row>
    <row r="85" ht="24" customHeight="1">
      <c r="A85" s="27" t="inlineStr">
        <is>
          <t>2023-10-12</t>
        </is>
      </c>
      <c r="B85" s="33" t="n">
        <v>33800</v>
      </c>
      <c r="C85" s="33" t="n">
        <v>34100</v>
      </c>
      <c r="D85" s="33" t="n">
        <v>33400</v>
      </c>
      <c r="E85" s="33" t="n">
        <v>33800</v>
      </c>
      <c r="F85" s="33" t="n">
        <v>33152.92578125</v>
      </c>
      <c r="G85" s="33" t="n">
        <v>310786</v>
      </c>
      <c r="H85" s="38" t="n">
        <v>0.01046337817638276</v>
      </c>
      <c r="I85" s="38" t="n">
        <v>-0.3372549019607843</v>
      </c>
      <c r="J85" s="33" t="n">
        <v>33752.5</v>
      </c>
      <c r="K85" s="33" t="n">
        <v>36042.5</v>
      </c>
      <c r="L85" s="33" t="n">
        <v>35585</v>
      </c>
      <c r="M85" s="38" t="n">
        <v>0.4007091133970298</v>
      </c>
      <c r="N85" s="38" t="n">
        <v>0.362836505620704</v>
      </c>
      <c r="O85" s="38" t="n">
        <v>-0.02312138728323698</v>
      </c>
      <c r="P85" s="38" t="n">
        <v>-0.1464646464646465</v>
      </c>
      <c r="Q85" s="38" t="n">
        <v>0.04482225656877903</v>
      </c>
      <c r="R85" s="38" t="n">
        <v>0.001407303162728635</v>
      </c>
      <c r="S85" s="38" t="n">
        <v>-0.06221821460775478</v>
      </c>
      <c r="T85" s="38" t="n">
        <v>-0.05016158493747369</v>
      </c>
      <c r="U85" s="33" t="n">
        <v>42350</v>
      </c>
      <c r="V85" s="33" t="n">
        <v>27050</v>
      </c>
      <c r="W85" s="38" t="n">
        <v>-0.2018890200708382</v>
      </c>
      <c r="X85" s="38" t="n">
        <v>0.2495378927911276</v>
      </c>
      <c r="Y85" s="33" t="n">
        <v>51414494</v>
      </c>
      <c r="Z85" s="33" t="n">
        <v>1737809897200</v>
      </c>
      <c r="AA85" s="33" t="n">
        <v>10504566800</v>
      </c>
      <c r="AB85" s="33" t="n">
        <v>14177506782.5</v>
      </c>
      <c r="AC85" s="38" t="n">
        <v>0.006044715717711819</v>
      </c>
      <c r="AD85" s="27" t="inlineStr">
        <is>
          <t>yfinance_download</t>
        </is>
      </c>
      <c r="AE85" s="27" t="inlineStr">
        <is>
          <t>005290.KQ</t>
        </is>
      </c>
    </row>
    <row r="86" ht="24" customHeight="1">
      <c r="A86" s="32" t="inlineStr">
        <is>
          <t>2023-10-13</t>
        </is>
      </c>
      <c r="B86" s="34" t="n">
        <v>33450</v>
      </c>
      <c r="C86" s="34" t="n">
        <v>34150</v>
      </c>
      <c r="D86" s="34" t="n">
        <v>33400</v>
      </c>
      <c r="E86" s="34" t="n">
        <v>33700</v>
      </c>
      <c r="F86" s="34" t="n">
        <v>33054.84375</v>
      </c>
      <c r="G86" s="34" t="n">
        <v>291072</v>
      </c>
      <c r="H86" s="39" t="n">
        <v>-0.00295857988165682</v>
      </c>
      <c r="I86" s="39" t="n">
        <v>-0.3392156862745098</v>
      </c>
      <c r="J86" s="34" t="n">
        <v>33727.5</v>
      </c>
      <c r="K86" s="34" t="n">
        <v>35933.33333333334</v>
      </c>
      <c r="L86" s="34" t="n">
        <v>35597.08333333334</v>
      </c>
      <c r="M86" s="39" t="n">
        <v>0.3988245814397214</v>
      </c>
      <c r="N86" s="39" t="n">
        <v>0.3607164014229027</v>
      </c>
      <c r="O86" s="39" t="n">
        <v>-0.01461988304093564</v>
      </c>
      <c r="P86" s="39" t="n">
        <v>-0.1627329192546584</v>
      </c>
      <c r="Q86" s="39" t="n">
        <v>0.04496124031007742</v>
      </c>
      <c r="R86" s="39" t="n">
        <v>-0.0008153583870729175</v>
      </c>
      <c r="S86" s="39" t="n">
        <v>-0.06215213358070504</v>
      </c>
      <c r="T86" s="39" t="n">
        <v>-0.05329322392986324</v>
      </c>
      <c r="U86" s="34" t="n">
        <v>42350</v>
      </c>
      <c r="V86" s="34" t="n">
        <v>27050</v>
      </c>
      <c r="W86" s="39" t="n">
        <v>-0.2042502951593861</v>
      </c>
      <c r="X86" s="39" t="n">
        <v>0.2458410351201479</v>
      </c>
      <c r="Y86" s="34" t="n">
        <v>51414494</v>
      </c>
      <c r="Z86" s="34" t="n">
        <v>1732668447800</v>
      </c>
      <c r="AA86" s="34" t="n">
        <v>9809126400</v>
      </c>
      <c r="AB86" s="34" t="n">
        <v>13984508592.5</v>
      </c>
      <c r="AC86" s="39" t="n">
        <v>0.005661282983743844</v>
      </c>
      <c r="AD86" s="32" t="inlineStr">
        <is>
          <t>yfinance_download</t>
        </is>
      </c>
      <c r="AE86" s="32" t="inlineStr">
        <is>
          <t>005290.KQ</t>
        </is>
      </c>
    </row>
    <row r="87" ht="24" customHeight="1">
      <c r="A87" s="27" t="inlineStr">
        <is>
          <t>2023-10-16</t>
        </is>
      </c>
      <c r="B87" s="33" t="n">
        <v>33150</v>
      </c>
      <c r="C87" s="33" t="n">
        <v>33400</v>
      </c>
      <c r="D87" s="33" t="n">
        <v>31900</v>
      </c>
      <c r="E87" s="33" t="n">
        <v>32450</v>
      </c>
      <c r="F87" s="33" t="n">
        <v>31828.7734375</v>
      </c>
      <c r="G87" s="33" t="n">
        <v>465264</v>
      </c>
      <c r="H87" s="38" t="n">
        <v>-0.0370919881305638</v>
      </c>
      <c r="I87" s="38" t="n">
        <v>-0.3637254901960785</v>
      </c>
      <c r="J87" s="33" t="n">
        <v>33660</v>
      </c>
      <c r="K87" s="33" t="n">
        <v>35798.33333333334</v>
      </c>
      <c r="L87" s="33" t="n">
        <v>35599.58333333334</v>
      </c>
      <c r="M87" s="38" t="n">
        <v>0.4180542608395295</v>
      </c>
      <c r="N87" s="38" t="n">
        <v>0.3668589941908402</v>
      </c>
      <c r="O87" s="38" t="n">
        <v>-0.0399408284023669</v>
      </c>
      <c r="P87" s="38" t="n">
        <v>-0.1997533908754624</v>
      </c>
      <c r="Q87" s="38" t="n">
        <v>0.009331259720062102</v>
      </c>
      <c r="R87" s="38" t="n">
        <v>-0.03594771241830064</v>
      </c>
      <c r="S87" s="38" t="n">
        <v>-0.09353321849248108</v>
      </c>
      <c r="T87" s="38" t="n">
        <v>-0.08847247744004505</v>
      </c>
      <c r="U87" s="33" t="n">
        <v>42350</v>
      </c>
      <c r="V87" s="33" t="n">
        <v>27050</v>
      </c>
      <c r="W87" s="38" t="n">
        <v>-0.2337662337662337</v>
      </c>
      <c r="X87" s="38" t="n">
        <v>0.1996303142329021</v>
      </c>
      <c r="Y87" s="33" t="n">
        <v>51414494</v>
      </c>
      <c r="Z87" s="33" t="n">
        <v>1668400330300</v>
      </c>
      <c r="AA87" s="33" t="n">
        <v>15097816800</v>
      </c>
      <c r="AB87" s="33" t="n">
        <v>14204402892.5</v>
      </c>
      <c r="AC87" s="38" t="n">
        <v>0.009049277038494242</v>
      </c>
      <c r="AD87" s="27" t="inlineStr">
        <is>
          <t>yfinance_download</t>
        </is>
      </c>
      <c r="AE87" s="27" t="inlineStr">
        <is>
          <t>005290.KQ</t>
        </is>
      </c>
    </row>
    <row r="88" ht="24" customHeight="1">
      <c r="A88" s="32" t="inlineStr">
        <is>
          <t>2023-10-17</t>
        </is>
      </c>
      <c r="B88" s="34" t="n">
        <v>32800</v>
      </c>
      <c r="C88" s="34" t="n">
        <v>33850</v>
      </c>
      <c r="D88" s="34" t="n">
        <v>32500</v>
      </c>
      <c r="E88" s="34" t="n">
        <v>33750</v>
      </c>
      <c r="F88" s="34" t="n">
        <v>33103.88671875</v>
      </c>
      <c r="G88" s="34" t="n">
        <v>393782</v>
      </c>
      <c r="H88" s="39" t="n">
        <v>0.04006163328197232</v>
      </c>
      <c r="I88" s="39" t="n">
        <v>-0.3382352941176471</v>
      </c>
      <c r="J88" s="34" t="n">
        <v>33642.5</v>
      </c>
      <c r="K88" s="34" t="n">
        <v>35691.66666666666</v>
      </c>
      <c r="L88" s="34" t="n">
        <v>35613.33333333334</v>
      </c>
      <c r="M88" s="39" t="n">
        <v>0.4424721195293609</v>
      </c>
      <c r="N88" s="39" t="n">
        <v>0.3772491990117627</v>
      </c>
      <c r="O88" s="39" t="n">
        <v>-0.01026392961876832</v>
      </c>
      <c r="P88" s="39" t="n">
        <v>-0.1594022415940224</v>
      </c>
      <c r="Q88" s="39" t="n">
        <v>0.05140186915887845</v>
      </c>
      <c r="R88" s="39" t="n">
        <v>0.003195363008099861</v>
      </c>
      <c r="S88" s="39" t="n">
        <v>-0.05440112070978276</v>
      </c>
      <c r="T88" s="39" t="n">
        <v>-0.05232122800449279</v>
      </c>
      <c r="U88" s="34" t="n">
        <v>42350</v>
      </c>
      <c r="V88" s="34" t="n">
        <v>27050</v>
      </c>
      <c r="W88" s="39" t="n">
        <v>-0.2030696576151122</v>
      </c>
      <c r="X88" s="39" t="n">
        <v>0.2476894639556377</v>
      </c>
      <c r="Y88" s="34" t="n">
        <v>51414494</v>
      </c>
      <c r="Z88" s="34" t="n">
        <v>1735239172500</v>
      </c>
      <c r="AA88" s="34" t="n">
        <v>13290142500</v>
      </c>
      <c r="AB88" s="34" t="n">
        <v>14290843407.5</v>
      </c>
      <c r="AC88" s="39" t="n">
        <v>0.007658968694703093</v>
      </c>
      <c r="AD88" s="32" t="inlineStr">
        <is>
          <t>yfinance_download</t>
        </is>
      </c>
      <c r="AE88" s="32" t="inlineStr">
        <is>
          <t>005290.KQ</t>
        </is>
      </c>
    </row>
    <row r="89" ht="24" customHeight="1">
      <c r="A89" s="27" t="inlineStr">
        <is>
          <t>2023-10-18</t>
        </is>
      </c>
      <c r="B89" s="33" t="n">
        <v>33350</v>
      </c>
      <c r="C89" s="33" t="n">
        <v>34050</v>
      </c>
      <c r="D89" s="33" t="n">
        <v>33000</v>
      </c>
      <c r="E89" s="33" t="n">
        <v>33800</v>
      </c>
      <c r="F89" s="33" t="n">
        <v>33152.92578125</v>
      </c>
      <c r="G89" s="33" t="n">
        <v>335317</v>
      </c>
      <c r="H89" s="38" t="n">
        <v>0.001481481481481417</v>
      </c>
      <c r="I89" s="38" t="n">
        <v>-0.3372549019607843</v>
      </c>
      <c r="J89" s="33" t="n">
        <v>33652.5</v>
      </c>
      <c r="K89" s="33" t="n">
        <v>35589.16666666666</v>
      </c>
      <c r="L89" s="33" t="n">
        <v>35633.33333333334</v>
      </c>
      <c r="M89" s="38" t="n">
        <v>0.439148420687785</v>
      </c>
      <c r="N89" s="38" t="n">
        <v>0.3773084448154032</v>
      </c>
      <c r="O89" s="38" t="n">
        <v>0.005952380952380931</v>
      </c>
      <c r="P89" s="38" t="n">
        <v>-0.1539424280350438</v>
      </c>
      <c r="Q89" s="38" t="n">
        <v>0.07643312101910826</v>
      </c>
      <c r="R89" s="38" t="n">
        <v>0.004383032464155612</v>
      </c>
      <c r="S89" s="38" t="n">
        <v>-0.05027278900414445</v>
      </c>
      <c r="T89" s="38" t="n">
        <v>-0.05144995322731527</v>
      </c>
      <c r="U89" s="33" t="n">
        <v>42350</v>
      </c>
      <c r="V89" s="33" t="n">
        <v>27050</v>
      </c>
      <c r="W89" s="38" t="n">
        <v>-0.2018890200708382</v>
      </c>
      <c r="X89" s="38" t="n">
        <v>0.2495378927911276</v>
      </c>
      <c r="Y89" s="33" t="n">
        <v>51414494</v>
      </c>
      <c r="Z89" s="33" t="n">
        <v>1737809897200</v>
      </c>
      <c r="AA89" s="33" t="n">
        <v>11333714600</v>
      </c>
      <c r="AB89" s="33" t="n">
        <v>14117269057.5</v>
      </c>
      <c r="AC89" s="38" t="n">
        <v>0.006521837985996711</v>
      </c>
      <c r="AD89" s="27" t="inlineStr">
        <is>
          <t>yfinance_download</t>
        </is>
      </c>
      <c r="AE89" s="27" t="inlineStr">
        <is>
          <t>005290.KQ</t>
        </is>
      </c>
    </row>
    <row r="90" ht="24" customHeight="1">
      <c r="A90" s="32" t="inlineStr">
        <is>
          <t>2023-10-19</t>
        </is>
      </c>
      <c r="B90" s="34" t="n">
        <v>33150</v>
      </c>
      <c r="C90" s="34" t="n">
        <v>33400</v>
      </c>
      <c r="D90" s="34" t="n">
        <v>32450</v>
      </c>
      <c r="E90" s="34" t="n">
        <v>32650</v>
      </c>
      <c r="F90" s="34" t="n">
        <v>32024.9453125</v>
      </c>
      <c r="G90" s="34" t="n">
        <v>287296</v>
      </c>
      <c r="H90" s="39" t="n">
        <v>-0.03402366863905326</v>
      </c>
      <c r="I90" s="39" t="n">
        <v>-0.3598039215686275</v>
      </c>
      <c r="J90" s="34" t="n">
        <v>33485</v>
      </c>
      <c r="K90" s="34" t="n">
        <v>35465.83333333334</v>
      </c>
      <c r="L90" s="34" t="n">
        <v>35643.33333333334</v>
      </c>
      <c r="M90" s="39" t="n">
        <v>0.3674160435494154</v>
      </c>
      <c r="N90" s="39" t="n">
        <v>0.382625684230921</v>
      </c>
      <c r="O90" s="39" t="n">
        <v>-0.09305555555555556</v>
      </c>
      <c r="P90" s="39" t="n">
        <v>-0.184769038701623</v>
      </c>
      <c r="Q90" s="39" t="n">
        <v>0.0381558028616853</v>
      </c>
      <c r="R90" s="39" t="n">
        <v>-0.02493653874869339</v>
      </c>
      <c r="S90" s="39" t="n">
        <v>-0.07939566249206986</v>
      </c>
      <c r="T90" s="39" t="n">
        <v>-0.08398017394557189</v>
      </c>
      <c r="U90" s="34" t="n">
        <v>42350</v>
      </c>
      <c r="V90" s="34" t="n">
        <v>27050</v>
      </c>
      <c r="W90" s="39" t="n">
        <v>-0.2290436835891382</v>
      </c>
      <c r="X90" s="39" t="n">
        <v>0.2070240295748613</v>
      </c>
      <c r="Y90" s="34" t="n">
        <v>51414494</v>
      </c>
      <c r="Z90" s="34" t="n">
        <v>1678683229100</v>
      </c>
      <c r="AA90" s="34" t="n">
        <v>9380214400</v>
      </c>
      <c r="AB90" s="34" t="n">
        <v>12643467777.5</v>
      </c>
      <c r="AC90" s="39" t="n">
        <v>0.005587840658317089</v>
      </c>
      <c r="AD90" s="32" t="inlineStr">
        <is>
          <t>yfinance_download</t>
        </is>
      </c>
      <c r="AE90" s="32" t="inlineStr">
        <is>
          <t>005290.KQ</t>
        </is>
      </c>
    </row>
    <row r="91" ht="24" customHeight="1">
      <c r="A91" s="27" t="inlineStr">
        <is>
          <t>2023-10-20</t>
        </is>
      </c>
      <c r="B91" s="33" t="n">
        <v>32300</v>
      </c>
      <c r="C91" s="33" t="n">
        <v>32800</v>
      </c>
      <c r="D91" s="33" t="n">
        <v>31500</v>
      </c>
      <c r="E91" s="33" t="n">
        <v>32200</v>
      </c>
      <c r="F91" s="33" t="n">
        <v>31583.560546875</v>
      </c>
      <c r="G91" s="33" t="n">
        <v>431553</v>
      </c>
      <c r="H91" s="38" t="n">
        <v>-0.01378254211332308</v>
      </c>
      <c r="I91" s="38" t="n">
        <v>-0.3686274509803922</v>
      </c>
      <c r="J91" s="33" t="n">
        <v>33305</v>
      </c>
      <c r="K91" s="33" t="n">
        <v>35342.5</v>
      </c>
      <c r="L91" s="33" t="n">
        <v>35655.83333333334</v>
      </c>
      <c r="M91" s="38" t="n">
        <v>0.3688524495377523</v>
      </c>
      <c r="N91" s="38" t="n">
        <v>0.3828920513214373</v>
      </c>
      <c r="O91" s="38" t="n">
        <v>-0.1005586592178771</v>
      </c>
      <c r="P91" s="38" t="n">
        <v>-0.1868686868686869</v>
      </c>
      <c r="Q91" s="38" t="n">
        <v>0.04885993485342022</v>
      </c>
      <c r="R91" s="38" t="n">
        <v>-0.03317820147125061</v>
      </c>
      <c r="S91" s="38" t="n">
        <v>-0.08891561151588034</v>
      </c>
      <c r="T91" s="38" t="n">
        <v>-0.09692196227826211</v>
      </c>
      <c r="U91" s="33" t="n">
        <v>42350</v>
      </c>
      <c r="V91" s="33" t="n">
        <v>27050</v>
      </c>
      <c r="W91" s="38" t="n">
        <v>-0.2396694214876033</v>
      </c>
      <c r="X91" s="38" t="n">
        <v>0.1903881700554528</v>
      </c>
      <c r="Y91" s="33" t="n">
        <v>51414494</v>
      </c>
      <c r="Z91" s="33" t="n">
        <v>1655546706800</v>
      </c>
      <c r="AA91" s="33" t="n">
        <v>13896006600</v>
      </c>
      <c r="AB91" s="33" t="n">
        <v>12388150427.5</v>
      </c>
      <c r="AC91" s="38" t="n">
        <v>0.008393605896422903</v>
      </c>
      <c r="AD91" s="27" t="inlineStr">
        <is>
          <t>yfinance_download</t>
        </is>
      </c>
      <c r="AE91" s="27" t="inlineStr">
        <is>
          <t>005290.KQ</t>
        </is>
      </c>
    </row>
    <row r="92" ht="24" customHeight="1">
      <c r="A92" s="32" t="inlineStr">
        <is>
          <t>2023-10-23</t>
        </is>
      </c>
      <c r="B92" s="34" t="n">
        <v>32200</v>
      </c>
      <c r="C92" s="34" t="n">
        <v>32950</v>
      </c>
      <c r="D92" s="34" t="n">
        <v>31900</v>
      </c>
      <c r="E92" s="34" t="n">
        <v>32000</v>
      </c>
      <c r="F92" s="34" t="n">
        <v>31387.388671875</v>
      </c>
      <c r="G92" s="34" t="n">
        <v>307659</v>
      </c>
      <c r="H92" s="39" t="n">
        <v>-0.006211180124223614</v>
      </c>
      <c r="I92" s="39" t="n">
        <v>-0.3725490196078431</v>
      </c>
      <c r="J92" s="34" t="n">
        <v>33157.5</v>
      </c>
      <c r="K92" s="34" t="n">
        <v>35237.5</v>
      </c>
      <c r="L92" s="34" t="n">
        <v>35668.75</v>
      </c>
      <c r="M92" s="39" t="n">
        <v>0.3622453480340165</v>
      </c>
      <c r="N92" s="39" t="n">
        <v>0.3779357757687786</v>
      </c>
      <c r="O92" s="39" t="n">
        <v>-0.08440629470672389</v>
      </c>
      <c r="P92" s="39" t="n">
        <v>-0.164490861618799</v>
      </c>
      <c r="Q92" s="39" t="n">
        <v>0.05090311986863716</v>
      </c>
      <c r="R92" s="39" t="n">
        <v>-0.03490914574379855</v>
      </c>
      <c r="S92" s="39" t="n">
        <v>-0.0918765519687833</v>
      </c>
      <c r="T92" s="39" t="n">
        <v>-0.1028561415805151</v>
      </c>
      <c r="U92" s="34" t="n">
        <v>42350</v>
      </c>
      <c r="V92" s="34" t="n">
        <v>27750</v>
      </c>
      <c r="W92" s="39" t="n">
        <v>-0.2443919716646989</v>
      </c>
      <c r="X92" s="39" t="n">
        <v>0.1531531531531531</v>
      </c>
      <c r="Y92" s="34" t="n">
        <v>51414494</v>
      </c>
      <c r="Z92" s="34" t="n">
        <v>1645263808000</v>
      </c>
      <c r="AA92" s="34" t="n">
        <v>9845088000</v>
      </c>
      <c r="AB92" s="34" t="n">
        <v>12131971547.5</v>
      </c>
      <c r="AC92" s="39" t="n">
        <v>0.005983896291967787</v>
      </c>
      <c r="AD92" s="32" t="inlineStr">
        <is>
          <t>yfinance_download</t>
        </is>
      </c>
      <c r="AE92" s="32" t="inlineStr">
        <is>
          <t>005290.KQ</t>
        </is>
      </c>
    </row>
    <row r="93" ht="24" customHeight="1">
      <c r="A93" s="27" t="inlineStr">
        <is>
          <t>2023-10-24</t>
        </is>
      </c>
      <c r="B93" s="33" t="n">
        <v>32400</v>
      </c>
      <c r="C93" s="33" t="n">
        <v>33250</v>
      </c>
      <c r="D93" s="33" t="n">
        <v>31900</v>
      </c>
      <c r="E93" s="33" t="n">
        <v>33250</v>
      </c>
      <c r="F93" s="33" t="n">
        <v>32613.45703125</v>
      </c>
      <c r="G93" s="33" t="n">
        <v>365011</v>
      </c>
      <c r="H93" s="38" t="n">
        <v>0.0390625</v>
      </c>
      <c r="I93" s="38" t="n">
        <v>-0.3480392156862745</v>
      </c>
      <c r="J93" s="33" t="n">
        <v>33080</v>
      </c>
      <c r="K93" s="33" t="n">
        <v>35140.83333333334</v>
      </c>
      <c r="L93" s="33" t="n">
        <v>35695</v>
      </c>
      <c r="M93" s="38" t="n">
        <v>0.3933748975948611</v>
      </c>
      <c r="N93" s="38" t="n">
        <v>0.3848888612877409</v>
      </c>
      <c r="O93" s="38" t="n">
        <v>-0.04454022988505746</v>
      </c>
      <c r="P93" s="38" t="n">
        <v>-0.1485275288092189</v>
      </c>
      <c r="Q93" s="38" t="n">
        <v>0.1046511627906976</v>
      </c>
      <c r="R93" s="38" t="n">
        <v>0.005139056831922506</v>
      </c>
      <c r="S93" s="38" t="n">
        <v>-0.05380729920083482</v>
      </c>
      <c r="T93" s="38" t="n">
        <v>-0.06849698837372176</v>
      </c>
      <c r="U93" s="33" t="n">
        <v>42350</v>
      </c>
      <c r="V93" s="33" t="n">
        <v>27750</v>
      </c>
      <c r="W93" s="38" t="n">
        <v>-0.2148760330578512</v>
      </c>
      <c r="X93" s="38" t="n">
        <v>0.1981981981981982</v>
      </c>
      <c r="Y93" s="33" t="n">
        <v>51414494</v>
      </c>
      <c r="Z93" s="33" t="n">
        <v>1709531925500</v>
      </c>
      <c r="AA93" s="33" t="n">
        <v>12136615750</v>
      </c>
      <c r="AB93" s="33" t="n">
        <v>12220988775</v>
      </c>
      <c r="AC93" s="38" t="n">
        <v>0.00709937940846019</v>
      </c>
      <c r="AD93" s="27" t="inlineStr">
        <is>
          <t>yfinance_download</t>
        </is>
      </c>
      <c r="AE93" s="27" t="inlineStr">
        <is>
          <t>005290.KQ</t>
        </is>
      </c>
    </row>
    <row r="94" ht="24" customHeight="1">
      <c r="A94" s="32" t="inlineStr">
        <is>
          <t>2023-10-25</t>
        </is>
      </c>
      <c r="B94" s="34" t="n">
        <v>33350</v>
      </c>
      <c r="C94" s="34" t="n">
        <v>33350</v>
      </c>
      <c r="D94" s="34" t="n">
        <v>32150</v>
      </c>
      <c r="E94" s="34" t="n">
        <v>32400</v>
      </c>
      <c r="F94" s="34" t="n">
        <v>31779.73046875</v>
      </c>
      <c r="G94" s="34" t="n">
        <v>393662</v>
      </c>
      <c r="H94" s="39" t="n">
        <v>-0.02556390977443612</v>
      </c>
      <c r="I94" s="39" t="n">
        <v>-0.3647058823529412</v>
      </c>
      <c r="J94" s="34" t="n">
        <v>33007.5</v>
      </c>
      <c r="K94" s="34" t="n">
        <v>35022.5</v>
      </c>
      <c r="L94" s="34" t="n">
        <v>35717.5</v>
      </c>
      <c r="M94" s="39" t="n">
        <v>0.3919396885391039</v>
      </c>
      <c r="N94" s="39" t="n">
        <v>0.3866636914937258</v>
      </c>
      <c r="O94" s="39" t="n">
        <v>-0.04283604135893648</v>
      </c>
      <c r="P94" s="39" t="n">
        <v>-0.1797468354430379</v>
      </c>
      <c r="Q94" s="39" t="n">
        <v>0.09090909090909083</v>
      </c>
      <c r="R94" s="39" t="n">
        <v>-0.01840490797546013</v>
      </c>
      <c r="S94" s="39" t="n">
        <v>-0.07488043400670996</v>
      </c>
      <c r="T94" s="39" t="n">
        <v>-0.09288164065234128</v>
      </c>
      <c r="U94" s="34" t="n">
        <v>42350</v>
      </c>
      <c r="V94" s="34" t="n">
        <v>27750</v>
      </c>
      <c r="W94" s="39" t="n">
        <v>-0.2349468713105076</v>
      </c>
      <c r="X94" s="39" t="n">
        <v>0.1675675675675676</v>
      </c>
      <c r="Y94" s="34" t="n">
        <v>51414494</v>
      </c>
      <c r="Z94" s="34" t="n">
        <v>1665829605600</v>
      </c>
      <c r="AA94" s="34" t="n">
        <v>12754648800</v>
      </c>
      <c r="AB94" s="34" t="n">
        <v>11989725707.5</v>
      </c>
      <c r="AC94" s="39" t="n">
        <v>0.007656634722496734</v>
      </c>
      <c r="AD94" s="32" t="inlineStr">
        <is>
          <t>yfinance_download</t>
        </is>
      </c>
      <c r="AE94" s="32" t="inlineStr">
        <is>
          <t>005290.KQ</t>
        </is>
      </c>
    </row>
    <row r="95" ht="24" customHeight="1">
      <c r="A95" s="27" t="inlineStr">
        <is>
          <t>2023-10-26</t>
        </is>
      </c>
      <c r="B95" s="33" t="n">
        <v>31500</v>
      </c>
      <c r="C95" s="33" t="n">
        <v>31650</v>
      </c>
      <c r="D95" s="33" t="n">
        <v>30400</v>
      </c>
      <c r="E95" s="33" t="n">
        <v>30400</v>
      </c>
      <c r="F95" s="33" t="n">
        <v>29818.01953125</v>
      </c>
      <c r="G95" s="33" t="n">
        <v>661337</v>
      </c>
      <c r="H95" s="38" t="n">
        <v>-0.06172839506172845</v>
      </c>
      <c r="I95" s="38" t="n">
        <v>-0.403921568627451</v>
      </c>
      <c r="J95" s="33" t="n">
        <v>32902.5</v>
      </c>
      <c r="K95" s="33" t="n">
        <v>34889.16666666666</v>
      </c>
      <c r="L95" s="33" t="n">
        <v>35725</v>
      </c>
      <c r="M95" s="38" t="n">
        <v>0.4261954825544782</v>
      </c>
      <c r="N95" s="38" t="n">
        <v>0.4018947420893956</v>
      </c>
      <c r="O95" s="38" t="n">
        <v>-0.06461538461538463</v>
      </c>
      <c r="P95" s="38" t="n">
        <v>-0.2083333333333334</v>
      </c>
      <c r="Q95" s="38" t="n">
        <v>0.03050847457627115</v>
      </c>
      <c r="R95" s="38" t="n">
        <v>-0.07605805030012913</v>
      </c>
      <c r="S95" s="38" t="n">
        <v>-0.1286693577280436</v>
      </c>
      <c r="T95" s="38" t="n">
        <v>-0.1490552834149755</v>
      </c>
      <c r="U95" s="33" t="n">
        <v>42350</v>
      </c>
      <c r="V95" s="33" t="n">
        <v>27750</v>
      </c>
      <c r="W95" s="38" t="n">
        <v>-0.282172373081464</v>
      </c>
      <c r="X95" s="38" t="n">
        <v>0.09549549549549541</v>
      </c>
      <c r="Y95" s="33" t="n">
        <v>51414494</v>
      </c>
      <c r="Z95" s="33" t="n">
        <v>1563000617600</v>
      </c>
      <c r="AA95" s="33" t="n">
        <v>20104644800</v>
      </c>
      <c r="AB95" s="33" t="n">
        <v>12006446072.5</v>
      </c>
      <c r="AC95" s="38" t="n">
        <v>0.01286285147530578</v>
      </c>
      <c r="AD95" s="27" t="inlineStr">
        <is>
          <t>yfinance_download</t>
        </is>
      </c>
      <c r="AE95" s="27" t="inlineStr">
        <is>
          <t>005290.KQ</t>
        </is>
      </c>
    </row>
    <row r="96" ht="24" customHeight="1">
      <c r="A96" s="32" t="inlineStr">
        <is>
          <t>2023-10-27</t>
        </is>
      </c>
      <c r="B96" s="34" t="n">
        <v>30650</v>
      </c>
      <c r="C96" s="34" t="n">
        <v>31500</v>
      </c>
      <c r="D96" s="34" t="n">
        <v>30450</v>
      </c>
      <c r="E96" s="34" t="n">
        <v>31000</v>
      </c>
      <c r="F96" s="34" t="n">
        <v>30406.53125</v>
      </c>
      <c r="G96" s="34" t="n">
        <v>384662</v>
      </c>
      <c r="H96" s="39" t="n">
        <v>0.01973684210526305</v>
      </c>
      <c r="I96" s="39" t="n">
        <v>-0.3921568627450981</v>
      </c>
      <c r="J96" s="34" t="n">
        <v>32822.5</v>
      </c>
      <c r="K96" s="34" t="n">
        <v>34747.5</v>
      </c>
      <c r="L96" s="34" t="n">
        <v>35732.5</v>
      </c>
      <c r="M96" s="39" t="n">
        <v>0.4333830015546425</v>
      </c>
      <c r="N96" s="39" t="n">
        <v>0.3992503843059665</v>
      </c>
      <c r="O96" s="39" t="n">
        <v>-0.04907975460122704</v>
      </c>
      <c r="P96" s="39" t="n">
        <v>-0.2151898734177216</v>
      </c>
      <c r="Q96" s="39" t="n">
        <v>0.02990033222591371</v>
      </c>
      <c r="R96" s="39" t="n">
        <v>-0.05552593495315716</v>
      </c>
      <c r="S96" s="39" t="n">
        <v>-0.1078494855745018</v>
      </c>
      <c r="T96" s="39" t="n">
        <v>-0.1324424543482824</v>
      </c>
      <c r="U96" s="34" t="n">
        <v>42350</v>
      </c>
      <c r="V96" s="34" t="n">
        <v>27750</v>
      </c>
      <c r="W96" s="39" t="n">
        <v>-0.268004722550177</v>
      </c>
      <c r="X96" s="39" t="n">
        <v>0.117117117117117</v>
      </c>
      <c r="Y96" s="34" t="n">
        <v>51414494</v>
      </c>
      <c r="Z96" s="34" t="n">
        <v>1593849314000</v>
      </c>
      <c r="AA96" s="34" t="n">
        <v>11924522000</v>
      </c>
      <c r="AB96" s="34" t="n">
        <v>12071878972.5</v>
      </c>
      <c r="AC96" s="39" t="n">
        <v>0.007481586807019826</v>
      </c>
      <c r="AD96" s="32" t="inlineStr">
        <is>
          <t>yfinance_download</t>
        </is>
      </c>
      <c r="AE96" s="32" t="inlineStr">
        <is>
          <t>005290.KQ</t>
        </is>
      </c>
    </row>
    <row r="97" ht="24" customHeight="1">
      <c r="A97" s="27" t="inlineStr">
        <is>
          <t>2023-10-30</t>
        </is>
      </c>
      <c r="B97" s="33" t="n">
        <v>31000</v>
      </c>
      <c r="C97" s="33" t="n">
        <v>31450</v>
      </c>
      <c r="D97" s="33" t="n">
        <v>30700</v>
      </c>
      <c r="E97" s="33" t="n">
        <v>30950</v>
      </c>
      <c r="F97" s="33" t="n">
        <v>30357.48828125</v>
      </c>
      <c r="G97" s="33" t="n">
        <v>373925</v>
      </c>
      <c r="H97" s="38" t="n">
        <v>-0.001612903225806428</v>
      </c>
      <c r="I97" s="38" t="n">
        <v>-0.3931372549019608</v>
      </c>
      <c r="J97" s="33" t="n">
        <v>32700</v>
      </c>
      <c r="K97" s="33" t="n">
        <v>34578.33333333334</v>
      </c>
      <c r="L97" s="33" t="n">
        <v>35745</v>
      </c>
      <c r="M97" s="38" t="n">
        <v>0.4218036368760663</v>
      </c>
      <c r="N97" s="38" t="n">
        <v>0.3885089849199054</v>
      </c>
      <c r="O97" s="38" t="n">
        <v>-0.07335329341317365</v>
      </c>
      <c r="P97" s="38" t="n">
        <v>-0.2469586374695864</v>
      </c>
      <c r="Q97" s="38" t="n">
        <v>0.05093378607809851</v>
      </c>
      <c r="R97" s="38" t="n">
        <v>-0.05351681957186549</v>
      </c>
      <c r="S97" s="38" t="n">
        <v>-0.1049308333734998</v>
      </c>
      <c r="T97" s="38" t="n">
        <v>-0.1341446356133725</v>
      </c>
      <c r="U97" s="33" t="n">
        <v>42350</v>
      </c>
      <c r="V97" s="33" t="n">
        <v>27750</v>
      </c>
      <c r="W97" s="38" t="n">
        <v>-0.269185360094451</v>
      </c>
      <c r="X97" s="38" t="n">
        <v>0.1153153153153152</v>
      </c>
      <c r="Y97" s="33" t="n">
        <v>51414494</v>
      </c>
      <c r="Z97" s="33" t="n">
        <v>1591278589300</v>
      </c>
      <c r="AA97" s="33" t="n">
        <v>11572978750</v>
      </c>
      <c r="AB97" s="33" t="n">
        <v>12008132350</v>
      </c>
      <c r="AC97" s="38" t="n">
        <v>0.007272754643855874</v>
      </c>
      <c r="AD97" s="27" t="inlineStr">
        <is>
          <t>yfinance_download</t>
        </is>
      </c>
      <c r="AE97" s="27" t="inlineStr">
        <is>
          <t>005290.KQ</t>
        </is>
      </c>
    </row>
    <row r="98" ht="24" customHeight="1">
      <c r="A98" s="32" t="inlineStr">
        <is>
          <t>2023-10-31</t>
        </is>
      </c>
      <c r="B98" s="34" t="n">
        <v>31100</v>
      </c>
      <c r="C98" s="34" t="n">
        <v>31350</v>
      </c>
      <c r="D98" s="34" t="n">
        <v>29950</v>
      </c>
      <c r="E98" s="34" t="n">
        <v>29950</v>
      </c>
      <c r="F98" s="34" t="n">
        <v>29376.6328125</v>
      </c>
      <c r="G98" s="34" t="n">
        <v>485936</v>
      </c>
      <c r="H98" s="39" t="n">
        <v>-0.03231017770597733</v>
      </c>
      <c r="I98" s="39" t="n">
        <v>-0.4127450980392157</v>
      </c>
      <c r="J98" s="34" t="n">
        <v>32532.5</v>
      </c>
      <c r="K98" s="34" t="n">
        <v>34371.66666666666</v>
      </c>
      <c r="L98" s="34" t="n">
        <v>35747.5</v>
      </c>
      <c r="M98" s="39" t="n">
        <v>0.434029198808153</v>
      </c>
      <c r="N98" s="39" t="n">
        <v>0.3857433087075081</v>
      </c>
      <c r="O98" s="39" t="n">
        <v>-0.1006006006006006</v>
      </c>
      <c r="P98" s="39" t="n">
        <v>-0.2927981109799291</v>
      </c>
      <c r="Q98" s="39" t="n">
        <v>0.01011804384485671</v>
      </c>
      <c r="R98" s="39" t="n">
        <v>-0.07938215630523326</v>
      </c>
      <c r="S98" s="39" t="n">
        <v>-0.1286427774814527</v>
      </c>
      <c r="T98" s="39" t="n">
        <v>-0.1621791733687671</v>
      </c>
      <c r="U98" s="34" t="n">
        <v>42350</v>
      </c>
      <c r="V98" s="34" t="n">
        <v>28850</v>
      </c>
      <c r="W98" s="39" t="n">
        <v>-0.2927981109799291</v>
      </c>
      <c r="X98" s="39" t="n">
        <v>0.03812824956672434</v>
      </c>
      <c r="Y98" s="34" t="n">
        <v>51414494</v>
      </c>
      <c r="Z98" s="34" t="n">
        <v>1539864095300</v>
      </c>
      <c r="AA98" s="34" t="n">
        <v>14553783200</v>
      </c>
      <c r="AB98" s="34" t="n">
        <v>12285527255</v>
      </c>
      <c r="AC98" s="39" t="n">
        <v>0.009451342650576315</v>
      </c>
      <c r="AD98" s="32" t="inlineStr">
        <is>
          <t>yfinance_download</t>
        </is>
      </c>
      <c r="AE98" s="32" t="inlineStr">
        <is>
          <t>005290.KQ</t>
        </is>
      </c>
    </row>
    <row r="99" ht="24" customHeight="1">
      <c r="A99" s="27" t="inlineStr">
        <is>
          <t>2023-11-01</t>
        </is>
      </c>
      <c r="B99" s="33" t="n">
        <v>30300</v>
      </c>
      <c r="C99" s="33" t="n">
        <v>31200</v>
      </c>
      <c r="D99" s="33" t="n">
        <v>30300</v>
      </c>
      <c r="E99" s="33" t="n">
        <v>30450</v>
      </c>
      <c r="F99" s="33" t="n">
        <v>29867.0625</v>
      </c>
      <c r="G99" s="33" t="n">
        <v>436320</v>
      </c>
      <c r="H99" s="38" t="n">
        <v>0.01669449081802998</v>
      </c>
      <c r="I99" s="38" t="n">
        <v>-0.4029411764705882</v>
      </c>
      <c r="J99" s="33" t="n">
        <v>32375</v>
      </c>
      <c r="K99" s="33" t="n">
        <v>34198.33333333334</v>
      </c>
      <c r="L99" s="33" t="n">
        <v>35754.58333333334</v>
      </c>
      <c r="M99" s="38" t="n">
        <v>0.4381407984581827</v>
      </c>
      <c r="N99" s="38" t="n">
        <v>0.3832370794345562</v>
      </c>
      <c r="O99" s="38" t="n">
        <v>-0.09375</v>
      </c>
      <c r="P99" s="38" t="n">
        <v>-0.2545899632802937</v>
      </c>
      <c r="Q99" s="38" t="n">
        <v>0.02871621621621623</v>
      </c>
      <c r="R99" s="38" t="n">
        <v>-0.05945945945945941</v>
      </c>
      <c r="S99" s="38" t="n">
        <v>-0.109605731273454</v>
      </c>
      <c r="T99" s="38" t="n">
        <v>-0.1483609327475499</v>
      </c>
      <c r="U99" s="33" t="n">
        <v>42350</v>
      </c>
      <c r="V99" s="33" t="n">
        <v>28850</v>
      </c>
      <c r="W99" s="38" t="n">
        <v>-0.28099173553719</v>
      </c>
      <c r="X99" s="38" t="n">
        <v>0.0554592720970537</v>
      </c>
      <c r="Y99" s="33" t="n">
        <v>51414494</v>
      </c>
      <c r="Z99" s="33" t="n">
        <v>1565571342300</v>
      </c>
      <c r="AA99" s="33" t="n">
        <v>13285944000</v>
      </c>
      <c r="AB99" s="33" t="n">
        <v>12375538295</v>
      </c>
      <c r="AC99" s="38" t="n">
        <v>0.008486322942320506</v>
      </c>
      <c r="AD99" s="27" t="inlineStr">
        <is>
          <t>yfinance_download</t>
        </is>
      </c>
      <c r="AE99" s="27" t="inlineStr">
        <is>
          <t>005290.KQ</t>
        </is>
      </c>
    </row>
    <row r="100" ht="24" customHeight="1">
      <c r="A100" s="32" t="inlineStr">
        <is>
          <t>2023-11-02</t>
        </is>
      </c>
      <c r="B100" s="34" t="n">
        <v>31600</v>
      </c>
      <c r="C100" s="34" t="n">
        <v>32350</v>
      </c>
      <c r="D100" s="34" t="n">
        <v>31550</v>
      </c>
      <c r="E100" s="34" t="n">
        <v>32150</v>
      </c>
      <c r="F100" s="34" t="n">
        <v>31534.515625</v>
      </c>
      <c r="G100" s="34" t="n">
        <v>623129</v>
      </c>
      <c r="H100" s="39" t="n">
        <v>0.05582922824302128</v>
      </c>
      <c r="I100" s="39" t="n">
        <v>-0.3696078431372549</v>
      </c>
      <c r="J100" s="34" t="n">
        <v>32320</v>
      </c>
      <c r="K100" s="34" t="n">
        <v>34083.33333333334</v>
      </c>
      <c r="L100" s="34" t="n">
        <v>35777.5</v>
      </c>
      <c r="M100" s="39" t="n">
        <v>0.4867714774468064</v>
      </c>
      <c r="N100" s="39" t="n">
        <v>0.3938331322847581</v>
      </c>
      <c r="O100" s="39" t="n">
        <v>-0.03308270676691727</v>
      </c>
      <c r="P100" s="39" t="n">
        <v>-0.1766965428937259</v>
      </c>
      <c r="Q100" s="39" t="n">
        <v>0.09353741496598644</v>
      </c>
      <c r="R100" s="39" t="n">
        <v>-0.005259900990098987</v>
      </c>
      <c r="S100" s="39" t="n">
        <v>-0.05672371638141815</v>
      </c>
      <c r="T100" s="39" t="n">
        <v>-0.1013905387464188</v>
      </c>
      <c r="U100" s="34" t="n">
        <v>42350</v>
      </c>
      <c r="V100" s="34" t="n">
        <v>28850</v>
      </c>
      <c r="W100" s="39" t="n">
        <v>-0.2408500590318772</v>
      </c>
      <c r="X100" s="39" t="n">
        <v>0.1143847487001732</v>
      </c>
      <c r="Y100" s="34" t="n">
        <v>51414494</v>
      </c>
      <c r="Z100" s="34" t="n">
        <v>1652975982100</v>
      </c>
      <c r="AA100" s="34" t="n">
        <v>20033597350</v>
      </c>
      <c r="AB100" s="34" t="n">
        <v>12642728987.5</v>
      </c>
      <c r="AC100" s="39" t="n">
        <v>0.01211971472480114</v>
      </c>
      <c r="AD100" s="32" t="inlineStr">
        <is>
          <t>yfinance_download</t>
        </is>
      </c>
      <c r="AE100" s="32" t="inlineStr">
        <is>
          <t>005290.KQ</t>
        </is>
      </c>
    </row>
    <row r="101" ht="24" customHeight="1">
      <c r="A101" s="27" t="inlineStr">
        <is>
          <t>2023-11-03</t>
        </is>
      </c>
      <c r="B101" s="33" t="n">
        <v>32350</v>
      </c>
      <c r="C101" s="33" t="n">
        <v>32850</v>
      </c>
      <c r="D101" s="33" t="n">
        <v>31800</v>
      </c>
      <c r="E101" s="33" t="n">
        <v>32700</v>
      </c>
      <c r="F101" s="33" t="n">
        <v>32073.98828125</v>
      </c>
      <c r="G101" s="33" t="n">
        <v>333476</v>
      </c>
      <c r="H101" s="38" t="n">
        <v>0.01710730948678063</v>
      </c>
      <c r="I101" s="38" t="n">
        <v>-0.3588235294117647</v>
      </c>
      <c r="J101" s="33" t="n">
        <v>32317.5</v>
      </c>
      <c r="K101" s="33" t="n">
        <v>33985</v>
      </c>
      <c r="L101" s="33" t="n">
        <v>35786.66666666666</v>
      </c>
      <c r="M101" s="38" t="n">
        <v>0.4880529025008289</v>
      </c>
      <c r="N101" s="38" t="n">
        <v>0.3955332784815164</v>
      </c>
      <c r="O101" s="38" t="n">
        <v>-0.001526717557251867</v>
      </c>
      <c r="P101" s="38" t="n">
        <v>-0.1528497409326425</v>
      </c>
      <c r="Q101" s="38" t="n">
        <v>0.03481012658227844</v>
      </c>
      <c r="R101" s="38" t="n">
        <v>0.01183569273613361</v>
      </c>
      <c r="S101" s="38" t="n">
        <v>-0.03781079888185968</v>
      </c>
      <c r="T101" s="38" t="n">
        <v>-0.08625186289120712</v>
      </c>
      <c r="U101" s="33" t="n">
        <v>42350</v>
      </c>
      <c r="V101" s="33" t="n">
        <v>28850</v>
      </c>
      <c r="W101" s="38" t="n">
        <v>-0.2278630460448642</v>
      </c>
      <c r="X101" s="38" t="n">
        <v>0.1334488734835355</v>
      </c>
      <c r="Y101" s="33" t="n">
        <v>51414494</v>
      </c>
      <c r="Z101" s="33" t="n">
        <v>1681253953800</v>
      </c>
      <c r="AA101" s="33" t="n">
        <v>10904665200</v>
      </c>
      <c r="AB101" s="33" t="n">
        <v>12543026322.5</v>
      </c>
      <c r="AC101" s="38" t="n">
        <v>0.00648603096239749</v>
      </c>
      <c r="AD101" s="27" t="inlineStr">
        <is>
          <t>yfinance_download</t>
        </is>
      </c>
      <c r="AE101" s="27" t="inlineStr">
        <is>
          <t>005290.KQ</t>
        </is>
      </c>
    </row>
    <row r="102" ht="24" customHeight="1">
      <c r="A102" s="32" t="inlineStr">
        <is>
          <t>2023-11-06</t>
        </is>
      </c>
      <c r="B102" s="34" t="n">
        <v>34000</v>
      </c>
      <c r="C102" s="34" t="n">
        <v>34500</v>
      </c>
      <c r="D102" s="34" t="n">
        <v>32950</v>
      </c>
      <c r="E102" s="34" t="n">
        <v>34400</v>
      </c>
      <c r="F102" s="34" t="n">
        <v>33741.44140625</v>
      </c>
      <c r="G102" s="34" t="n">
        <v>797668</v>
      </c>
      <c r="H102" s="39" t="n">
        <v>0.05198776758409784</v>
      </c>
      <c r="I102" s="39" t="n">
        <v>-0.3254901960784313</v>
      </c>
      <c r="J102" s="34" t="n">
        <v>32382.5</v>
      </c>
      <c r="K102" s="34" t="n">
        <v>33928.33333333334</v>
      </c>
      <c r="L102" s="34" t="n">
        <v>35822.5</v>
      </c>
      <c r="M102" s="39" t="n">
        <v>0.5205642592910444</v>
      </c>
      <c r="N102" s="39" t="n">
        <v>0.4090298459243028</v>
      </c>
      <c r="O102" s="39" t="n">
        <v>0.0392749244712991</v>
      </c>
      <c r="P102" s="39" t="n">
        <v>-0.08994708994709</v>
      </c>
      <c r="Q102" s="39" t="n">
        <v>0.1428571428571428</v>
      </c>
      <c r="R102" s="39" t="n">
        <v>0.06230216938161037</v>
      </c>
      <c r="S102" s="39" t="n">
        <v>0.01390185194282068</v>
      </c>
      <c r="T102" s="39" t="n">
        <v>-0.03970967967059813</v>
      </c>
      <c r="U102" s="34" t="n">
        <v>42350</v>
      </c>
      <c r="V102" s="34" t="n">
        <v>28850</v>
      </c>
      <c r="W102" s="39" t="n">
        <v>-0.1877213695395513</v>
      </c>
      <c r="X102" s="39" t="n">
        <v>0.192374350086655</v>
      </c>
      <c r="Y102" s="34" t="n">
        <v>51414494</v>
      </c>
      <c r="Z102" s="34" t="n">
        <v>1768658593600</v>
      </c>
      <c r="AA102" s="34" t="n">
        <v>27439779200</v>
      </c>
      <c r="AB102" s="34" t="n">
        <v>13636015382.5</v>
      </c>
      <c r="AC102" s="39" t="n">
        <v>0.0155144578491816</v>
      </c>
      <c r="AD102" s="32" t="inlineStr">
        <is>
          <t>yfinance_download</t>
        </is>
      </c>
      <c r="AE102" s="32" t="inlineStr">
        <is>
          <t>005290.KQ</t>
        </is>
      </c>
    </row>
    <row r="103" ht="24" customHeight="1">
      <c r="A103" s="27" t="inlineStr">
        <is>
          <t>2023-11-07</t>
        </is>
      </c>
      <c r="B103" s="33" t="n">
        <v>34200</v>
      </c>
      <c r="C103" s="33" t="n">
        <v>34800</v>
      </c>
      <c r="D103" s="33" t="n">
        <v>33100</v>
      </c>
      <c r="E103" s="33" t="n">
        <v>34100</v>
      </c>
      <c r="F103" s="33" t="n">
        <v>33447.1875</v>
      </c>
      <c r="G103" s="33" t="n">
        <v>696061</v>
      </c>
      <c r="H103" s="38" t="n">
        <v>-0.008720930232558155</v>
      </c>
      <c r="I103" s="38" t="n">
        <v>-0.3313725490196079</v>
      </c>
      <c r="J103" s="33" t="n">
        <v>32477.5</v>
      </c>
      <c r="K103" s="33" t="n">
        <v>33865.83333333334</v>
      </c>
      <c r="L103" s="33" t="n">
        <v>35849.58333333334</v>
      </c>
      <c r="M103" s="38" t="n">
        <v>0.5106557680034597</v>
      </c>
      <c r="N103" s="38" t="n">
        <v>0.4092783840290408</v>
      </c>
      <c r="O103" s="38" t="n">
        <v>0.05900621118012417</v>
      </c>
      <c r="P103" s="38" t="n">
        <v>-0.0990752972258917</v>
      </c>
      <c r="Q103" s="38" t="n">
        <v>0.1053484602917343</v>
      </c>
      <c r="R103" s="38" t="n">
        <v>0.04995766299745985</v>
      </c>
      <c r="S103" s="38" t="n">
        <v>0.006914540219985721</v>
      </c>
      <c r="T103" s="38" t="n">
        <v>-0.04880344959843796</v>
      </c>
      <c r="U103" s="33" t="n">
        <v>42350</v>
      </c>
      <c r="V103" s="33" t="n">
        <v>28850</v>
      </c>
      <c r="W103" s="38" t="n">
        <v>-0.1948051948051948</v>
      </c>
      <c r="X103" s="38" t="n">
        <v>0.1819757365684576</v>
      </c>
      <c r="Y103" s="33" t="n">
        <v>51414494</v>
      </c>
      <c r="Z103" s="33" t="n">
        <v>1753234245400</v>
      </c>
      <c r="AA103" s="33" t="n">
        <v>23735680100</v>
      </c>
      <c r="AB103" s="33" t="n">
        <v>14229243907.5</v>
      </c>
      <c r="AC103" s="38" t="n">
        <v>0.01353822523275246</v>
      </c>
      <c r="AD103" s="27" t="inlineStr">
        <is>
          <t>yfinance_download</t>
        </is>
      </c>
      <c r="AE103" s="27" t="inlineStr">
        <is>
          <t>005290.KQ</t>
        </is>
      </c>
    </row>
    <row r="104" ht="24" customHeight="1">
      <c r="A104" s="32" t="inlineStr">
        <is>
          <t>2023-11-08</t>
        </is>
      </c>
      <c r="B104" s="34" t="n">
        <v>34400</v>
      </c>
      <c r="C104" s="34" t="n">
        <v>35350</v>
      </c>
      <c r="D104" s="34" t="n">
        <v>34350</v>
      </c>
      <c r="E104" s="34" t="n">
        <v>34650</v>
      </c>
      <c r="F104" s="34" t="n">
        <v>33986.65625</v>
      </c>
      <c r="G104" s="34" t="n">
        <v>797487</v>
      </c>
      <c r="H104" s="39" t="n">
        <v>0.0161290322580645</v>
      </c>
      <c r="I104" s="39" t="n">
        <v>-0.3205882352941176</v>
      </c>
      <c r="J104" s="34" t="n">
        <v>32537.5</v>
      </c>
      <c r="K104" s="34" t="n">
        <v>33835.83333333334</v>
      </c>
      <c r="L104" s="34" t="n">
        <v>35885.41666666666</v>
      </c>
      <c r="M104" s="39" t="n">
        <v>0.4958976540134514</v>
      </c>
      <c r="N104" s="39" t="n">
        <v>0.4040005018442276</v>
      </c>
      <c r="O104" s="39" t="n">
        <v>0.03587443946188351</v>
      </c>
      <c r="P104" s="39" t="n">
        <v>-0.04938271604938271</v>
      </c>
      <c r="Q104" s="39" t="n">
        <v>0.1416803953871499</v>
      </c>
      <c r="R104" s="39" t="n">
        <v>0.06492508643872452</v>
      </c>
      <c r="S104" s="39" t="n">
        <v>0.02406226140925538</v>
      </c>
      <c r="T104" s="39" t="n">
        <v>-0.03442670537010151</v>
      </c>
      <c r="U104" s="34" t="n">
        <v>42350</v>
      </c>
      <c r="V104" s="34" t="n">
        <v>28850</v>
      </c>
      <c r="W104" s="39" t="n">
        <v>-0.1818181818181818</v>
      </c>
      <c r="X104" s="39" t="n">
        <v>0.2010398613518198</v>
      </c>
      <c r="Y104" s="34" t="n">
        <v>51414494</v>
      </c>
      <c r="Z104" s="34" t="n">
        <v>1781512217100</v>
      </c>
      <c r="AA104" s="34" t="n">
        <v>27632924550</v>
      </c>
      <c r="AB104" s="34" t="n">
        <v>14961822990</v>
      </c>
      <c r="AC104" s="39" t="n">
        <v>0.01551093744110367</v>
      </c>
      <c r="AD104" s="32" t="inlineStr">
        <is>
          <t>yfinance_download</t>
        </is>
      </c>
      <c r="AE104" s="32" t="inlineStr">
        <is>
          <t>005290.KQ</t>
        </is>
      </c>
    </row>
    <row r="105" ht="24" customHeight="1">
      <c r="A105" s="27" t="inlineStr">
        <is>
          <t>2023-11-09</t>
        </is>
      </c>
      <c r="B105" s="33" t="n">
        <v>35150</v>
      </c>
      <c r="C105" s="33" t="n">
        <v>36250</v>
      </c>
      <c r="D105" s="33" t="n">
        <v>34900</v>
      </c>
      <c r="E105" s="33" t="n">
        <v>35050</v>
      </c>
      <c r="F105" s="33" t="n">
        <v>34379</v>
      </c>
      <c r="G105" s="33" t="n">
        <v>832637</v>
      </c>
      <c r="H105" s="38" t="n">
        <v>0.01154401154401152</v>
      </c>
      <c r="I105" s="38" t="n">
        <v>-0.3127450980392157</v>
      </c>
      <c r="J105" s="33" t="n">
        <v>32600</v>
      </c>
      <c r="K105" s="33" t="n">
        <v>33802.5</v>
      </c>
      <c r="L105" s="33" t="n">
        <v>35924.58333333334</v>
      </c>
      <c r="M105" s="38" t="n">
        <v>0.4961504623510768</v>
      </c>
      <c r="N105" s="38" t="n">
        <v>0.4032423820214398</v>
      </c>
      <c r="O105" s="38" t="n">
        <v>0.03698224852071008</v>
      </c>
      <c r="P105" s="38" t="n">
        <v>-0.05398110661268551</v>
      </c>
      <c r="Q105" s="38" t="n">
        <v>0.1548599670510709</v>
      </c>
      <c r="R105" s="38" t="n">
        <v>0.07515337423312873</v>
      </c>
      <c r="S105" s="38" t="n">
        <v>0.0369055543229051</v>
      </c>
      <c r="T105" s="38" t="n">
        <v>-0.02434498196453228</v>
      </c>
      <c r="U105" s="33" t="n">
        <v>42350</v>
      </c>
      <c r="V105" s="33" t="n">
        <v>28850</v>
      </c>
      <c r="W105" s="38" t="n">
        <v>-0.1723730814639906</v>
      </c>
      <c r="X105" s="38" t="n">
        <v>0.2149046793760832</v>
      </c>
      <c r="Y105" s="33" t="n">
        <v>51414494</v>
      </c>
      <c r="Z105" s="33" t="n">
        <v>1802078014700</v>
      </c>
      <c r="AA105" s="33" t="n">
        <v>29183926850</v>
      </c>
      <c r="AB105" s="33" t="n">
        <v>15895790992.5</v>
      </c>
      <c r="AC105" s="38" t="n">
        <v>0.01619459679988293</v>
      </c>
      <c r="AD105" s="27" t="inlineStr">
        <is>
          <t>yfinance_download</t>
        </is>
      </c>
      <c r="AE105" s="27" t="inlineStr">
        <is>
          <t>005290.KQ</t>
        </is>
      </c>
    </row>
    <row r="106" ht="24" customHeight="1">
      <c r="A106" s="32" t="inlineStr">
        <is>
          <t>2023-11-10</t>
        </is>
      </c>
      <c r="B106" s="34" t="n">
        <v>34850</v>
      </c>
      <c r="C106" s="34" t="n">
        <v>36050</v>
      </c>
      <c r="D106" s="34" t="n">
        <v>34300</v>
      </c>
      <c r="E106" s="34" t="n">
        <v>35700</v>
      </c>
      <c r="F106" s="34" t="n">
        <v>35016.5546875</v>
      </c>
      <c r="G106" s="34" t="n">
        <v>679750</v>
      </c>
      <c r="H106" s="39" t="n">
        <v>0.01854493580599148</v>
      </c>
      <c r="I106" s="39" t="n">
        <v>-0.3</v>
      </c>
      <c r="J106" s="34" t="n">
        <v>32700</v>
      </c>
      <c r="K106" s="34" t="n">
        <v>33794.16666666666</v>
      </c>
      <c r="L106" s="34" t="n">
        <v>35970</v>
      </c>
      <c r="M106" s="39" t="n">
        <v>0.4990015497433533</v>
      </c>
      <c r="N106" s="39" t="n">
        <v>0.4023910543128549</v>
      </c>
      <c r="O106" s="39" t="n">
        <v>0.05934718100890213</v>
      </c>
      <c r="P106" s="39" t="n">
        <v>-0.01381215469613262</v>
      </c>
      <c r="Q106" s="39" t="n">
        <v>0.1801652892561985</v>
      </c>
      <c r="R106" s="39" t="n">
        <v>0.09174311926605494</v>
      </c>
      <c r="S106" s="39" t="n">
        <v>0.05639533450053014</v>
      </c>
      <c r="T106" s="39" t="n">
        <v>-0.007506255212677226</v>
      </c>
      <c r="U106" s="34" t="n">
        <v>42350</v>
      </c>
      <c r="V106" s="34" t="n">
        <v>28850</v>
      </c>
      <c r="W106" s="39" t="n">
        <v>-0.1570247933884298</v>
      </c>
      <c r="X106" s="39" t="n">
        <v>0.2374350086655113</v>
      </c>
      <c r="Y106" s="34" t="n">
        <v>51414494</v>
      </c>
      <c r="Z106" s="34" t="n">
        <v>1835497435800</v>
      </c>
      <c r="AA106" s="34" t="n">
        <v>24267075000</v>
      </c>
      <c r="AB106" s="34" t="n">
        <v>16618688422.5</v>
      </c>
      <c r="AC106" s="39" t="n">
        <v>0.01322098006060314</v>
      </c>
      <c r="AD106" s="32" t="inlineStr">
        <is>
          <t>yfinance_download</t>
        </is>
      </c>
      <c r="AE106" s="32" t="inlineStr">
        <is>
          <t>005290.KQ</t>
        </is>
      </c>
    </row>
    <row r="107" ht="24" customHeight="1">
      <c r="A107" s="27" t="inlineStr">
        <is>
          <t>2023-11-13</t>
        </is>
      </c>
      <c r="B107" s="33" t="n">
        <v>36350</v>
      </c>
      <c r="C107" s="33" t="n">
        <v>37450</v>
      </c>
      <c r="D107" s="33" t="n">
        <v>36000</v>
      </c>
      <c r="E107" s="33" t="n">
        <v>36250</v>
      </c>
      <c r="F107" s="33" t="n">
        <v>35556.0234375</v>
      </c>
      <c r="G107" s="33" t="n">
        <v>1169400</v>
      </c>
      <c r="H107" s="38" t="n">
        <v>0.01540616246498594</v>
      </c>
      <c r="I107" s="38" t="n">
        <v>-0.2892156862745098</v>
      </c>
      <c r="J107" s="33" t="n">
        <v>32890</v>
      </c>
      <c r="K107" s="33" t="n">
        <v>33794.16666666666</v>
      </c>
      <c r="L107" s="33" t="n">
        <v>36022.5</v>
      </c>
      <c r="M107" s="38" t="n">
        <v>0.4768655429292883</v>
      </c>
      <c r="N107" s="38" t="n">
        <v>0.4036090836428537</v>
      </c>
      <c r="O107" s="38" t="n">
        <v>0.1171032357473036</v>
      </c>
      <c r="P107" s="38" t="n">
        <v>0</v>
      </c>
      <c r="Q107" s="38" t="n">
        <v>0.2103505843071787</v>
      </c>
      <c r="R107" s="38" t="n">
        <v>0.1021587108543631</v>
      </c>
      <c r="S107" s="38" t="n">
        <v>0.07267033265109868</v>
      </c>
      <c r="T107" s="38" t="n">
        <v>0.006315497258657876</v>
      </c>
      <c r="U107" s="33" t="n">
        <v>42350</v>
      </c>
      <c r="V107" s="33" t="n">
        <v>28900</v>
      </c>
      <c r="W107" s="38" t="n">
        <v>-0.1440377804014168</v>
      </c>
      <c r="X107" s="38" t="n">
        <v>0.2543252595155709</v>
      </c>
      <c r="Y107" s="33" t="n">
        <v>51414494</v>
      </c>
      <c r="Z107" s="33" t="n">
        <v>1863775407500</v>
      </c>
      <c r="AA107" s="33" t="n">
        <v>42390750000</v>
      </c>
      <c r="AB107" s="33" t="n">
        <v>17983335082.5</v>
      </c>
      <c r="AC107" s="38" t="n">
        <v>0.02274455915096626</v>
      </c>
      <c r="AD107" s="27" t="inlineStr">
        <is>
          <t>yfinance_download</t>
        </is>
      </c>
      <c r="AE107" s="27" t="inlineStr">
        <is>
          <t>005290.KQ</t>
        </is>
      </c>
    </row>
    <row r="108" ht="24" customHeight="1">
      <c r="A108" s="32" t="inlineStr">
        <is>
          <t>2023-11-14</t>
        </is>
      </c>
      <c r="B108" s="34" t="n">
        <v>36500</v>
      </c>
      <c r="C108" s="34" t="n">
        <v>37100</v>
      </c>
      <c r="D108" s="34" t="n">
        <v>36000</v>
      </c>
      <c r="E108" s="34" t="n">
        <v>36850</v>
      </c>
      <c r="F108" s="34" t="n">
        <v>36144.5390625</v>
      </c>
      <c r="G108" s="34" t="n">
        <v>581383</v>
      </c>
      <c r="H108" s="39" t="n">
        <v>0.01655172413793093</v>
      </c>
      <c r="I108" s="39" t="n">
        <v>-0.2774509803921569</v>
      </c>
      <c r="J108" s="34" t="n">
        <v>33045</v>
      </c>
      <c r="K108" s="34" t="n">
        <v>33810</v>
      </c>
      <c r="L108" s="34" t="n">
        <v>36075</v>
      </c>
      <c r="M108" s="39" t="n">
        <v>0.4616400991733496</v>
      </c>
      <c r="N108" s="39" t="n">
        <v>0.4044163293614423</v>
      </c>
      <c r="O108" s="39" t="n">
        <v>0.09185185185185185</v>
      </c>
      <c r="P108" s="39" t="n">
        <v>0.02646239554317553</v>
      </c>
      <c r="Q108" s="39" t="n">
        <v>0.2062193126022913</v>
      </c>
      <c r="R108" s="39" t="n">
        <v>0.1151460130125586</v>
      </c>
      <c r="S108" s="39" t="n">
        <v>0.08991422656018933</v>
      </c>
      <c r="T108" s="39" t="n">
        <v>0.0214830214830215</v>
      </c>
      <c r="U108" s="34" t="n">
        <v>42350</v>
      </c>
      <c r="V108" s="34" t="n">
        <v>29400</v>
      </c>
      <c r="W108" s="39" t="n">
        <v>-0.1298701298701299</v>
      </c>
      <c r="X108" s="39" t="n">
        <v>0.2534013605442176</v>
      </c>
      <c r="Y108" s="34" t="n">
        <v>51414494</v>
      </c>
      <c r="Z108" s="34" t="n">
        <v>1894624103900</v>
      </c>
      <c r="AA108" s="34" t="n">
        <v>21423963550</v>
      </c>
      <c r="AB108" s="34" t="n">
        <v>18390026135</v>
      </c>
      <c r="AC108" s="39" t="n">
        <v>0.0113077646937457</v>
      </c>
      <c r="AD108" s="32" t="inlineStr">
        <is>
          <t>yfinance_download</t>
        </is>
      </c>
      <c r="AE108" s="32" t="inlineStr">
        <is>
          <t>005290.KQ</t>
        </is>
      </c>
    </row>
    <row r="109" ht="24" customHeight="1">
      <c r="A109" s="27" t="inlineStr">
        <is>
          <t>2023-11-15</t>
        </is>
      </c>
      <c r="B109" s="33" t="n">
        <v>37550</v>
      </c>
      <c r="C109" s="33" t="n">
        <v>37600</v>
      </c>
      <c r="D109" s="33" t="n">
        <v>36300</v>
      </c>
      <c r="E109" s="33" t="n">
        <v>36600</v>
      </c>
      <c r="F109" s="33" t="n">
        <v>35899.32421875</v>
      </c>
      <c r="G109" s="33" t="n">
        <v>913642</v>
      </c>
      <c r="H109" s="38" t="n">
        <v>-0.006784260515603768</v>
      </c>
      <c r="I109" s="38" t="n">
        <v>-0.2823529411764706</v>
      </c>
      <c r="J109" s="33" t="n">
        <v>33185</v>
      </c>
      <c r="K109" s="33" t="n">
        <v>33829.16666666666</v>
      </c>
      <c r="L109" s="33" t="n">
        <v>36123.33333333334</v>
      </c>
      <c r="M109" s="38" t="n">
        <v>0.4633588209225946</v>
      </c>
      <c r="N109" s="38" t="n">
        <v>0.4037805255734824</v>
      </c>
      <c r="O109" s="38" t="n">
        <v>0.08284023668639051</v>
      </c>
      <c r="P109" s="38" t="n">
        <v>0.03244005641748937</v>
      </c>
      <c r="Q109" s="38" t="n">
        <v>0.1883116883116882</v>
      </c>
      <c r="R109" s="38" t="n">
        <v>0.1029079403344886</v>
      </c>
      <c r="S109" s="38" t="n">
        <v>0.08190663874861448</v>
      </c>
      <c r="T109" s="38" t="n">
        <v>0.01319553381932259</v>
      </c>
      <c r="U109" s="33" t="n">
        <v>42350</v>
      </c>
      <c r="V109" s="33" t="n">
        <v>29400</v>
      </c>
      <c r="W109" s="38" t="n">
        <v>-0.1357733175914995</v>
      </c>
      <c r="X109" s="38" t="n">
        <v>0.2448979591836735</v>
      </c>
      <c r="Y109" s="33" t="n">
        <v>51414494</v>
      </c>
      <c r="Z109" s="33" t="n">
        <v>1881770480400</v>
      </c>
      <c r="AA109" s="33" t="n">
        <v>33439297200</v>
      </c>
      <c r="AB109" s="33" t="n">
        <v>19495305265</v>
      </c>
      <c r="AC109" s="38" t="n">
        <v>0.01777012528801703</v>
      </c>
      <c r="AD109" s="27" t="inlineStr">
        <is>
          <t>yfinance_download</t>
        </is>
      </c>
      <c r="AE109" s="27" t="inlineStr">
        <is>
          <t>005290.KQ</t>
        </is>
      </c>
    </row>
    <row r="110" ht="24" customHeight="1">
      <c r="A110" s="32" t="inlineStr">
        <is>
          <t>2023-11-16</t>
        </is>
      </c>
      <c r="B110" s="34" t="n">
        <v>36600</v>
      </c>
      <c r="C110" s="34" t="n">
        <v>37100</v>
      </c>
      <c r="D110" s="34" t="n">
        <v>35750</v>
      </c>
      <c r="E110" s="34" t="n">
        <v>37000</v>
      </c>
      <c r="F110" s="34" t="n">
        <v>36291.66796875</v>
      </c>
      <c r="G110" s="34" t="n">
        <v>502295</v>
      </c>
      <c r="H110" s="39" t="n">
        <v>0.01092896174863389</v>
      </c>
      <c r="I110" s="39" t="n">
        <v>-0.2745098039215687</v>
      </c>
      <c r="J110" s="34" t="n">
        <v>33402.5</v>
      </c>
      <c r="K110" s="34" t="n">
        <v>33840.83333333334</v>
      </c>
      <c r="L110" s="34" t="n">
        <v>36138.33333333334</v>
      </c>
      <c r="M110" s="39" t="n">
        <v>0.4408558105442679</v>
      </c>
      <c r="N110" s="39" t="n">
        <v>0.4014670496955228</v>
      </c>
      <c r="O110" s="39" t="n">
        <v>0.1332312404287903</v>
      </c>
      <c r="P110" s="39" t="n">
        <v>0.01928374655647391</v>
      </c>
      <c r="Q110" s="39" t="n">
        <v>0.05113636363636354</v>
      </c>
      <c r="R110" s="39" t="n">
        <v>0.1077015193473543</v>
      </c>
      <c r="S110" s="39" t="n">
        <v>0.09335369006870398</v>
      </c>
      <c r="T110" s="39" t="n">
        <v>0.0238435640824608</v>
      </c>
      <c r="U110" s="34" t="n">
        <v>42350</v>
      </c>
      <c r="V110" s="34" t="n">
        <v>29400</v>
      </c>
      <c r="W110" s="39" t="n">
        <v>-0.1263282172373081</v>
      </c>
      <c r="X110" s="39" t="n">
        <v>0.2585034013605443</v>
      </c>
      <c r="Y110" s="34" t="n">
        <v>51414494</v>
      </c>
      <c r="Z110" s="34" t="n">
        <v>1902336278000</v>
      </c>
      <c r="AA110" s="34" t="n">
        <v>18584915000</v>
      </c>
      <c r="AB110" s="34" t="n">
        <v>19955540295</v>
      </c>
      <c r="AC110" s="39" t="n">
        <v>0.009769521411608174</v>
      </c>
      <c r="AD110" s="32" t="inlineStr">
        <is>
          <t>yfinance_download</t>
        </is>
      </c>
      <c r="AE110" s="32" t="inlineStr">
        <is>
          <t>005290.KQ</t>
        </is>
      </c>
    </row>
    <row r="111" ht="24" customHeight="1">
      <c r="A111" s="27" t="inlineStr">
        <is>
          <t>2023-11-17</t>
        </is>
      </c>
      <c r="B111" s="33" t="n">
        <v>37100</v>
      </c>
      <c r="C111" s="33" t="n">
        <v>37350</v>
      </c>
      <c r="D111" s="33" t="n">
        <v>36150</v>
      </c>
      <c r="E111" s="33" t="n">
        <v>36600</v>
      </c>
      <c r="F111" s="33" t="n">
        <v>35899.32421875</v>
      </c>
      <c r="G111" s="33" t="n">
        <v>416911</v>
      </c>
      <c r="H111" s="38" t="n">
        <v>-0.01081081081081081</v>
      </c>
      <c r="I111" s="38" t="n">
        <v>-0.2823529411764706</v>
      </c>
      <c r="J111" s="33" t="n">
        <v>33622.5</v>
      </c>
      <c r="K111" s="33" t="n">
        <v>33849.16666666666</v>
      </c>
      <c r="L111" s="33" t="n">
        <v>36135.83333333334</v>
      </c>
      <c r="M111" s="38" t="n">
        <v>0.4391528141967644</v>
      </c>
      <c r="N111" s="38" t="n">
        <v>0.4019600924980333</v>
      </c>
      <c r="O111" s="38" t="n">
        <v>0.1366459627329193</v>
      </c>
      <c r="P111" s="38" t="n">
        <v>0.01385041551246546</v>
      </c>
      <c r="Q111" s="38" t="n">
        <v>-0.008130081300813052</v>
      </c>
      <c r="R111" s="38" t="n">
        <v>0.08855677002007578</v>
      </c>
      <c r="S111" s="38" t="n">
        <v>0.08126738718333781</v>
      </c>
      <c r="T111" s="38" t="n">
        <v>0.01284505223347088</v>
      </c>
      <c r="U111" s="33" t="n">
        <v>42350</v>
      </c>
      <c r="V111" s="33" t="n">
        <v>29400</v>
      </c>
      <c r="W111" s="38" t="n">
        <v>-0.1357733175914995</v>
      </c>
      <c r="X111" s="38" t="n">
        <v>0.2448979591836735</v>
      </c>
      <c r="Y111" s="33" t="n">
        <v>51414494</v>
      </c>
      <c r="Z111" s="33" t="n">
        <v>1881770480400</v>
      </c>
      <c r="AA111" s="33" t="n">
        <v>15258942600</v>
      </c>
      <c r="AB111" s="33" t="n">
        <v>20023687095</v>
      </c>
      <c r="AC111" s="38" t="n">
        <v>0.00810882238771036</v>
      </c>
      <c r="AD111" s="27" t="inlineStr">
        <is>
          <t>yfinance_download</t>
        </is>
      </c>
      <c r="AE111" s="27" t="inlineStr">
        <is>
          <t>005290.KQ</t>
        </is>
      </c>
    </row>
    <row r="112" ht="24" customHeight="1">
      <c r="A112" s="32" t="inlineStr">
        <is>
          <t>2023-11-20</t>
        </is>
      </c>
      <c r="B112" s="34" t="n">
        <v>36250</v>
      </c>
      <c r="C112" s="34" t="n">
        <v>37050</v>
      </c>
      <c r="D112" s="34" t="n">
        <v>36250</v>
      </c>
      <c r="E112" s="34" t="n">
        <v>36900</v>
      </c>
      <c r="F112" s="34" t="n">
        <v>36193.58203125</v>
      </c>
      <c r="G112" s="34" t="n">
        <v>341077</v>
      </c>
      <c r="H112" s="39" t="n">
        <v>0.008196721311475308</v>
      </c>
      <c r="I112" s="39" t="n">
        <v>-0.2764705882352941</v>
      </c>
      <c r="J112" s="34" t="n">
        <v>33867.5</v>
      </c>
      <c r="K112" s="34" t="n">
        <v>33860</v>
      </c>
      <c r="L112" s="34" t="n">
        <v>36136.25</v>
      </c>
      <c r="M112" s="39" t="n">
        <v>0.4364656581586342</v>
      </c>
      <c r="N112" s="39" t="n">
        <v>0.4022004818209631</v>
      </c>
      <c r="O112" s="39" t="n">
        <v>0.153125</v>
      </c>
      <c r="P112" s="39" t="n">
        <v>0.01793103448275857</v>
      </c>
      <c r="Q112" s="39" t="n">
        <v>0.001356852103120865</v>
      </c>
      <c r="R112" s="39" t="n">
        <v>0.08954011958367158</v>
      </c>
      <c r="S112" s="39" t="n">
        <v>0.08978145304193741</v>
      </c>
      <c r="T112" s="39" t="n">
        <v>0.02113528658895159</v>
      </c>
      <c r="U112" s="34" t="n">
        <v>42350</v>
      </c>
      <c r="V112" s="34" t="n">
        <v>29400</v>
      </c>
      <c r="W112" s="39" t="n">
        <v>-0.1286894923258559</v>
      </c>
      <c r="X112" s="39" t="n">
        <v>0.2551020408163265</v>
      </c>
      <c r="Y112" s="34" t="n">
        <v>51414494</v>
      </c>
      <c r="Z112" s="34" t="n">
        <v>1897194828600</v>
      </c>
      <c r="AA112" s="34" t="n">
        <v>12585741300</v>
      </c>
      <c r="AB112" s="34" t="n">
        <v>20160719760</v>
      </c>
      <c r="AC112" s="39" t="n">
        <v>0.006633868651901933</v>
      </c>
      <c r="AD112" s="32" t="inlineStr">
        <is>
          <t>yfinance_download</t>
        </is>
      </c>
      <c r="AE112" s="32" t="inlineStr">
        <is>
          <t>005290.KQ</t>
        </is>
      </c>
    </row>
    <row r="113" ht="24" customHeight="1">
      <c r="A113" s="27" t="inlineStr">
        <is>
          <t>2023-11-21</t>
        </is>
      </c>
      <c r="B113" s="33" t="n">
        <v>37200</v>
      </c>
      <c r="C113" s="33" t="n">
        <v>38350</v>
      </c>
      <c r="D113" s="33" t="n">
        <v>36650</v>
      </c>
      <c r="E113" s="33" t="n">
        <v>37500</v>
      </c>
      <c r="F113" s="33" t="n">
        <v>36782.09375</v>
      </c>
      <c r="G113" s="33" t="n">
        <v>881141</v>
      </c>
      <c r="H113" s="38" t="n">
        <v>0.0162601626016261</v>
      </c>
      <c r="I113" s="38" t="n">
        <v>-0.2647058823529411</v>
      </c>
      <c r="J113" s="33" t="n">
        <v>34080</v>
      </c>
      <c r="K113" s="33" t="n">
        <v>33895.83333333334</v>
      </c>
      <c r="L113" s="33" t="n">
        <v>36142.08333333334</v>
      </c>
      <c r="M113" s="38" t="n">
        <v>0.4218629346381412</v>
      </c>
      <c r="N113" s="38" t="n">
        <v>0.3999090928403948</v>
      </c>
      <c r="O113" s="38" t="n">
        <v>0.1278195488721805</v>
      </c>
      <c r="P113" s="38" t="n">
        <v>0.06082036775106081</v>
      </c>
      <c r="Q113" s="38" t="n">
        <v>0.01902173913043481</v>
      </c>
      <c r="R113" s="38" t="n">
        <v>0.1003521126760563</v>
      </c>
      <c r="S113" s="38" t="n">
        <v>0.1063306699446833</v>
      </c>
      <c r="T113" s="38" t="n">
        <v>0.03757162126330105</v>
      </c>
      <c r="U113" s="33" t="n">
        <v>42350</v>
      </c>
      <c r="V113" s="33" t="n">
        <v>29400</v>
      </c>
      <c r="W113" s="38" t="n">
        <v>-0.114521841794569</v>
      </c>
      <c r="X113" s="38" t="n">
        <v>0.2755102040816326</v>
      </c>
      <c r="Y113" s="33" t="n">
        <v>51414494</v>
      </c>
      <c r="Z113" s="33" t="n">
        <v>1928043525000</v>
      </c>
      <c r="AA113" s="33" t="n">
        <v>33042787500</v>
      </c>
      <c r="AB113" s="33" t="n">
        <v>21206028347.5</v>
      </c>
      <c r="AC113" s="38" t="n">
        <v>0.01713798836569315</v>
      </c>
      <c r="AD113" s="27" t="inlineStr">
        <is>
          <t>yfinance_download</t>
        </is>
      </c>
      <c r="AE113" s="27" t="inlineStr">
        <is>
          <t>005290.KQ</t>
        </is>
      </c>
    </row>
    <row r="114" ht="24" customHeight="1">
      <c r="A114" s="32" t="inlineStr">
        <is>
          <t>2023-11-22</t>
        </is>
      </c>
      <c r="B114" s="34" t="n">
        <v>37050</v>
      </c>
      <c r="C114" s="34" t="n">
        <v>37800</v>
      </c>
      <c r="D114" s="34" t="n">
        <v>36950</v>
      </c>
      <c r="E114" s="34" t="n">
        <v>37650</v>
      </c>
      <c r="F114" s="34" t="n">
        <v>36929.22265625</v>
      </c>
      <c r="G114" s="34" t="n">
        <v>315500</v>
      </c>
      <c r="H114" s="39" t="n">
        <v>0.004000000000000004</v>
      </c>
      <c r="I114" s="39" t="n">
        <v>-0.2617647058823529</v>
      </c>
      <c r="J114" s="34" t="n">
        <v>34342.5</v>
      </c>
      <c r="K114" s="34" t="n">
        <v>33955.83333333334</v>
      </c>
      <c r="L114" s="34" t="n">
        <v>36158.75</v>
      </c>
      <c r="M114" s="39" t="n">
        <v>0.4048929932668432</v>
      </c>
      <c r="N114" s="39" t="n">
        <v>0.3919818123621071</v>
      </c>
      <c r="O114" s="39" t="n">
        <v>0.162037037037037</v>
      </c>
      <c r="P114" s="39" t="n">
        <v>0.105726872246696</v>
      </c>
      <c r="Q114" s="39" t="n">
        <v>0.05610098176718092</v>
      </c>
      <c r="R114" s="39" t="n">
        <v>0.09630923782485268</v>
      </c>
      <c r="S114" s="39" t="n">
        <v>0.1087932853952438</v>
      </c>
      <c r="T114" s="39" t="n">
        <v>0.04124174646524015</v>
      </c>
      <c r="U114" s="34" t="n">
        <v>42350</v>
      </c>
      <c r="V114" s="34" t="n">
        <v>29400</v>
      </c>
      <c r="W114" s="39" t="n">
        <v>-0.1109799291617474</v>
      </c>
      <c r="X114" s="39" t="n">
        <v>0.2806122448979591</v>
      </c>
      <c r="Y114" s="34" t="n">
        <v>51414494</v>
      </c>
      <c r="Z114" s="34" t="n">
        <v>1935755699100</v>
      </c>
      <c r="AA114" s="34" t="n">
        <v>11878575000</v>
      </c>
      <c r="AB114" s="34" t="n">
        <v>21162224657.5</v>
      </c>
      <c r="AC114" s="39" t="n">
        <v>0.006136401925884946</v>
      </c>
      <c r="AD114" s="32" t="inlineStr">
        <is>
          <t>yfinance_download</t>
        </is>
      </c>
      <c r="AE114" s="32" t="inlineStr">
        <is>
          <t>005290.KQ</t>
        </is>
      </c>
    </row>
    <row r="115" ht="24" customHeight="1">
      <c r="A115" s="27" t="inlineStr">
        <is>
          <t>2023-11-23</t>
        </is>
      </c>
      <c r="B115" s="33" t="n">
        <v>37700</v>
      </c>
      <c r="C115" s="33" t="n">
        <v>37800</v>
      </c>
      <c r="D115" s="33" t="n">
        <v>36750</v>
      </c>
      <c r="E115" s="33" t="n">
        <v>36850</v>
      </c>
      <c r="F115" s="33" t="n">
        <v>36144.5390625</v>
      </c>
      <c r="G115" s="33" t="n">
        <v>518688</v>
      </c>
      <c r="H115" s="38" t="n">
        <v>-0.02124833997343956</v>
      </c>
      <c r="I115" s="38" t="n">
        <v>-0.2774509803921569</v>
      </c>
      <c r="J115" s="33" t="n">
        <v>34665</v>
      </c>
      <c r="K115" s="33" t="n">
        <v>33989.16666666666</v>
      </c>
      <c r="L115" s="33" t="n">
        <v>36143.33333333334</v>
      </c>
      <c r="M115" s="38" t="n">
        <v>0.3314746892531223</v>
      </c>
      <c r="N115" s="38" t="n">
        <v>0.3922151072769117</v>
      </c>
      <c r="O115" s="38" t="n">
        <v>0.212171052631579</v>
      </c>
      <c r="P115" s="38" t="n">
        <v>0.05738880918220945</v>
      </c>
      <c r="Q115" s="38" t="n">
        <v>-0.04780361757105944</v>
      </c>
      <c r="R115" s="38" t="n">
        <v>0.06303187653252551</v>
      </c>
      <c r="S115" s="38" t="n">
        <v>0.08416897540883128</v>
      </c>
      <c r="T115" s="38" t="n">
        <v>0.01955178456146811</v>
      </c>
      <c r="U115" s="33" t="n">
        <v>42350</v>
      </c>
      <c r="V115" s="33" t="n">
        <v>29400</v>
      </c>
      <c r="W115" s="38" t="n">
        <v>-0.1298701298701299</v>
      </c>
      <c r="X115" s="38" t="n">
        <v>0.2534013605442176</v>
      </c>
      <c r="Y115" s="33" t="n">
        <v>51414494</v>
      </c>
      <c r="Z115" s="33" t="n">
        <v>1894624103900</v>
      </c>
      <c r="AA115" s="33" t="n">
        <v>19113652800</v>
      </c>
      <c r="AB115" s="33" t="n">
        <v>21112675057.5</v>
      </c>
      <c r="AC115" s="38" t="n">
        <v>0.01008836146476517</v>
      </c>
      <c r="AD115" s="27" t="inlineStr">
        <is>
          <t>yfinance_download</t>
        </is>
      </c>
      <c r="AE115" s="27" t="inlineStr">
        <is>
          <t>005290.KQ</t>
        </is>
      </c>
    </row>
    <row r="116" ht="24" customHeight="1">
      <c r="A116" s="32" t="inlineStr">
        <is>
          <t>2023-11-24</t>
        </is>
      </c>
      <c r="B116" s="34" t="n">
        <v>37100</v>
      </c>
      <c r="C116" s="34" t="n">
        <v>37550</v>
      </c>
      <c r="D116" s="34" t="n">
        <v>36850</v>
      </c>
      <c r="E116" s="34" t="n">
        <v>37050</v>
      </c>
      <c r="F116" s="34" t="n">
        <v>36340.7109375</v>
      </c>
      <c r="G116" s="34" t="n">
        <v>336657</v>
      </c>
      <c r="H116" s="39" t="n">
        <v>0.005427408412483015</v>
      </c>
      <c r="I116" s="39" t="n">
        <v>-0.2735294117647059</v>
      </c>
      <c r="J116" s="34" t="n">
        <v>34967.5</v>
      </c>
      <c r="K116" s="34" t="n">
        <v>34046.66666666666</v>
      </c>
      <c r="L116" s="34" t="n">
        <v>36126.66666666666</v>
      </c>
      <c r="M116" s="39" t="n">
        <v>0.32971319400371</v>
      </c>
      <c r="N116" s="39" t="n">
        <v>0.3845888802275978</v>
      </c>
      <c r="O116" s="39" t="n">
        <v>0.1951612903225806</v>
      </c>
      <c r="P116" s="39" t="n">
        <v>0.1026785714285714</v>
      </c>
      <c r="Q116" s="39" t="n">
        <v>-0.05121638924455829</v>
      </c>
      <c r="R116" s="39" t="n">
        <v>0.05955530135125464</v>
      </c>
      <c r="S116" s="39" t="n">
        <v>0.08821225768552976</v>
      </c>
      <c r="T116" s="39" t="n">
        <v>0.02555822107399885</v>
      </c>
      <c r="U116" s="34" t="n">
        <v>42350</v>
      </c>
      <c r="V116" s="34" t="n">
        <v>29400</v>
      </c>
      <c r="W116" s="39" t="n">
        <v>-0.1251475796930342</v>
      </c>
      <c r="X116" s="39" t="n">
        <v>0.260204081632653</v>
      </c>
      <c r="Y116" s="34" t="n">
        <v>51414494</v>
      </c>
      <c r="Z116" s="34" t="n">
        <v>1904907002700</v>
      </c>
      <c r="AA116" s="34" t="n">
        <v>12473141850</v>
      </c>
      <c r="AB116" s="34" t="n">
        <v>21140106050</v>
      </c>
      <c r="AC116" s="39" t="n">
        <v>0.006547900675634384</v>
      </c>
      <c r="AD116" s="32" t="inlineStr">
        <is>
          <t>yfinance_download</t>
        </is>
      </c>
      <c r="AE116" s="32" t="inlineStr">
        <is>
          <t>005290.KQ</t>
        </is>
      </c>
    </row>
    <row r="117" ht="24" customHeight="1">
      <c r="A117" s="27" t="inlineStr">
        <is>
          <t>2023-11-27</t>
        </is>
      </c>
      <c r="B117" s="33" t="n">
        <v>36900</v>
      </c>
      <c r="C117" s="33" t="n">
        <v>37400</v>
      </c>
      <c r="D117" s="33" t="n">
        <v>36400</v>
      </c>
      <c r="E117" s="33" t="n">
        <v>37000</v>
      </c>
      <c r="F117" s="33" t="n">
        <v>36291.66796875</v>
      </c>
      <c r="G117" s="33" t="n">
        <v>370011</v>
      </c>
      <c r="H117" s="38" t="n">
        <v>-0.001349527665317152</v>
      </c>
      <c r="I117" s="38" t="n">
        <v>-0.2745098039215687</v>
      </c>
      <c r="J117" s="33" t="n">
        <v>35270</v>
      </c>
      <c r="K117" s="33" t="n">
        <v>34104.16666666666</v>
      </c>
      <c r="L117" s="33" t="n">
        <v>36115.41666666666</v>
      </c>
      <c r="M117" s="38" t="n">
        <v>0.3296004072544322</v>
      </c>
      <c r="N117" s="38" t="n">
        <v>0.3845837444162087</v>
      </c>
      <c r="O117" s="38" t="n">
        <v>0.1954765751211631</v>
      </c>
      <c r="P117" s="38" t="n">
        <v>0.1028315946348732</v>
      </c>
      <c r="Q117" s="38" t="n">
        <v>-0.03520208604954367</v>
      </c>
      <c r="R117" s="38" t="n">
        <v>0.04905018429259989</v>
      </c>
      <c r="S117" s="38" t="n">
        <v>0.08491142333536961</v>
      </c>
      <c r="T117" s="38" t="n">
        <v>0.02449323349908283</v>
      </c>
      <c r="U117" s="33" t="n">
        <v>42350</v>
      </c>
      <c r="V117" s="33" t="n">
        <v>29400</v>
      </c>
      <c r="W117" s="38" t="n">
        <v>-0.1263282172373081</v>
      </c>
      <c r="X117" s="38" t="n">
        <v>0.2585034013605443</v>
      </c>
      <c r="Y117" s="33" t="n">
        <v>51414494</v>
      </c>
      <c r="Z117" s="33" t="n">
        <v>1902336278000</v>
      </c>
      <c r="AA117" s="33" t="n">
        <v>13690407000</v>
      </c>
      <c r="AB117" s="33" t="n">
        <v>21245977462.5</v>
      </c>
      <c r="AC117" s="38" t="n">
        <v>0.007196628250391805</v>
      </c>
      <c r="AD117" s="27" t="inlineStr">
        <is>
          <t>yfinance_download</t>
        </is>
      </c>
      <c r="AE117" s="27" t="inlineStr">
        <is>
          <t>005290.KQ</t>
        </is>
      </c>
    </row>
    <row r="118" ht="24" customHeight="1">
      <c r="A118" s="32" t="inlineStr">
        <is>
          <t>2023-11-28</t>
        </is>
      </c>
      <c r="B118" s="34" t="n">
        <v>37150</v>
      </c>
      <c r="C118" s="34" t="n">
        <v>38100</v>
      </c>
      <c r="D118" s="34" t="n">
        <v>36850</v>
      </c>
      <c r="E118" s="34" t="n">
        <v>37550</v>
      </c>
      <c r="F118" s="34" t="n">
        <v>36831.13671875</v>
      </c>
      <c r="G118" s="34" t="n">
        <v>682464</v>
      </c>
      <c r="H118" s="39" t="n">
        <v>0.01486486486486482</v>
      </c>
      <c r="I118" s="39" t="n">
        <v>-0.2637254901960784</v>
      </c>
      <c r="J118" s="34" t="n">
        <v>35650</v>
      </c>
      <c r="K118" s="34" t="n">
        <v>34164.16666666666</v>
      </c>
      <c r="L118" s="34" t="n">
        <v>36106.25</v>
      </c>
      <c r="M118" s="39" t="n">
        <v>0.2911547290680291</v>
      </c>
      <c r="N118" s="39" t="n">
        <v>0.3849577090569816</v>
      </c>
      <c r="O118" s="39" t="n">
        <v>0.2537562604340569</v>
      </c>
      <c r="P118" s="39" t="n">
        <v>0.106038291605302</v>
      </c>
      <c r="Q118" s="39" t="n">
        <v>-0.02846054333764558</v>
      </c>
      <c r="R118" s="39" t="n">
        <v>0.05329593267882182</v>
      </c>
      <c r="S118" s="39" t="n">
        <v>0.09910481254725956</v>
      </c>
      <c r="T118" s="39" t="n">
        <v>0.03998615198199751</v>
      </c>
      <c r="U118" s="34" t="n">
        <v>42350</v>
      </c>
      <c r="V118" s="34" t="n">
        <v>29400</v>
      </c>
      <c r="W118" s="39" t="n">
        <v>-0.1133412042502951</v>
      </c>
      <c r="X118" s="39" t="n">
        <v>0.2772108843537415</v>
      </c>
      <c r="Y118" s="34" t="n">
        <v>51414494</v>
      </c>
      <c r="Z118" s="34" t="n">
        <v>1930614249700</v>
      </c>
      <c r="AA118" s="34" t="n">
        <v>25626523200</v>
      </c>
      <c r="AB118" s="34" t="n">
        <v>21799614462.5</v>
      </c>
      <c r="AC118" s="39" t="n">
        <v>0.01327376673200363</v>
      </c>
      <c r="AD118" s="32" t="inlineStr">
        <is>
          <t>yfinance_download</t>
        </is>
      </c>
      <c r="AE118" s="32" t="inlineStr">
        <is>
          <t>005290.KQ</t>
        </is>
      </c>
    </row>
    <row r="119" ht="24" customHeight="1">
      <c r="A119" s="27" t="inlineStr">
        <is>
          <t>2023-11-29</t>
        </is>
      </c>
      <c r="B119" s="33" t="n">
        <v>37400</v>
      </c>
      <c r="C119" s="33" t="n">
        <v>37800</v>
      </c>
      <c r="D119" s="33" t="n">
        <v>36950</v>
      </c>
      <c r="E119" s="33" t="n">
        <v>37350</v>
      </c>
      <c r="F119" s="33" t="n">
        <v>36634.96875</v>
      </c>
      <c r="G119" s="33" t="n">
        <v>399688</v>
      </c>
      <c r="H119" s="38" t="n">
        <v>-0.005326231691078598</v>
      </c>
      <c r="I119" s="38" t="n">
        <v>-0.2676470588235295</v>
      </c>
      <c r="J119" s="33" t="n">
        <v>35995</v>
      </c>
      <c r="K119" s="33" t="n">
        <v>34218.33333333334</v>
      </c>
      <c r="L119" s="33" t="n">
        <v>36103.33333333334</v>
      </c>
      <c r="M119" s="38" t="n">
        <v>0.2964170089643882</v>
      </c>
      <c r="N119" s="38" t="n">
        <v>0.3852107762562321</v>
      </c>
      <c r="O119" s="38" t="n">
        <v>0.2266009852216748</v>
      </c>
      <c r="P119" s="38" t="n">
        <v>0.09530791788856297</v>
      </c>
      <c r="Q119" s="38" t="n">
        <v>-0.009283819628647216</v>
      </c>
      <c r="R119" s="38" t="n">
        <v>0.03764411723850536</v>
      </c>
      <c r="S119" s="38" t="n">
        <v>0.09152014027568067</v>
      </c>
      <c r="T119" s="38" t="n">
        <v>0.03453051426461085</v>
      </c>
      <c r="U119" s="33" t="n">
        <v>42350</v>
      </c>
      <c r="V119" s="33" t="n">
        <v>29400</v>
      </c>
      <c r="W119" s="38" t="n">
        <v>-0.1180637544273908</v>
      </c>
      <c r="X119" s="38" t="n">
        <v>0.2704081632653061</v>
      </c>
      <c r="Y119" s="33" t="n">
        <v>51414494</v>
      </c>
      <c r="Z119" s="33" t="n">
        <v>1920331350900</v>
      </c>
      <c r="AA119" s="33" t="n">
        <v>14928346800</v>
      </c>
      <c r="AB119" s="33" t="n">
        <v>21881734602.5</v>
      </c>
      <c r="AC119" s="38" t="n">
        <v>0.007773839026792718</v>
      </c>
      <c r="AD119" s="27" t="inlineStr">
        <is>
          <t>yfinance_download</t>
        </is>
      </c>
      <c r="AE119" s="27" t="inlineStr">
        <is>
          <t>005290.KQ</t>
        </is>
      </c>
    </row>
    <row r="120" ht="24" customHeight="1">
      <c r="A120" s="32" t="inlineStr">
        <is>
          <t>2023-11-30</t>
        </is>
      </c>
      <c r="B120" s="34" t="n">
        <v>37450</v>
      </c>
      <c r="C120" s="34" t="n">
        <v>38650</v>
      </c>
      <c r="D120" s="34" t="n">
        <v>37450</v>
      </c>
      <c r="E120" s="34" t="n">
        <v>38450</v>
      </c>
      <c r="F120" s="34" t="n">
        <v>37713.90625</v>
      </c>
      <c r="G120" s="34" t="n">
        <v>920001</v>
      </c>
      <c r="H120" s="39" t="n">
        <v>0.02945113788487275</v>
      </c>
      <c r="I120" s="39" t="n">
        <v>-0.246078431372549</v>
      </c>
      <c r="J120" s="34" t="n">
        <v>36310</v>
      </c>
      <c r="K120" s="34" t="n">
        <v>34290.83333333334</v>
      </c>
      <c r="L120" s="34" t="n">
        <v>36108.33333333334</v>
      </c>
      <c r="M120" s="39" t="n">
        <v>0.2546793107973682</v>
      </c>
      <c r="N120" s="39" t="n">
        <v>0.3893274608292666</v>
      </c>
      <c r="O120" s="39" t="n">
        <v>0.1959564541213064</v>
      </c>
      <c r="P120" s="39" t="n">
        <v>0.1275659824046922</v>
      </c>
      <c r="Q120" s="39" t="n">
        <v>0.01585204755614278</v>
      </c>
      <c r="R120" s="39" t="n">
        <v>0.05893693197466265</v>
      </c>
      <c r="S120" s="39" t="n">
        <v>0.1212909183698268</v>
      </c>
      <c r="T120" s="39" t="n">
        <v>0.06485114239556888</v>
      </c>
      <c r="U120" s="34" t="n">
        <v>42350</v>
      </c>
      <c r="V120" s="34" t="n">
        <v>29400</v>
      </c>
      <c r="W120" s="39" t="n">
        <v>-0.09208972845336483</v>
      </c>
      <c r="X120" s="39" t="n">
        <v>0.3078231292517006</v>
      </c>
      <c r="Y120" s="34" t="n">
        <v>51414494</v>
      </c>
      <c r="Z120" s="34" t="n">
        <v>1976887294300</v>
      </c>
      <c r="AA120" s="34" t="n">
        <v>35374038450</v>
      </c>
      <c r="AB120" s="34" t="n">
        <v>22648756657.5</v>
      </c>
      <c r="AC120" s="39" t="n">
        <v>0.01789380636518566</v>
      </c>
      <c r="AD120" s="32" t="inlineStr">
        <is>
          <t>yfinance_download</t>
        </is>
      </c>
      <c r="AE120" s="32" t="inlineStr">
        <is>
          <t>005290.KQ</t>
        </is>
      </c>
    </row>
    <row r="121" ht="24" customHeight="1">
      <c r="A121" s="27" t="inlineStr">
        <is>
          <t>2023-12-01</t>
        </is>
      </c>
      <c r="B121" s="33" t="n">
        <v>38450</v>
      </c>
      <c r="C121" s="33" t="n">
        <v>39400</v>
      </c>
      <c r="D121" s="33" t="n">
        <v>37900</v>
      </c>
      <c r="E121" s="33" t="n">
        <v>38900</v>
      </c>
      <c r="F121" s="33" t="n">
        <v>38155.29296875</v>
      </c>
      <c r="G121" s="33" t="n">
        <v>866095</v>
      </c>
      <c r="H121" s="38" t="n">
        <v>0.01170351105331591</v>
      </c>
      <c r="I121" s="38" t="n">
        <v>-0.2372549019607844</v>
      </c>
      <c r="J121" s="33" t="n">
        <v>36620</v>
      </c>
      <c r="K121" s="33" t="n">
        <v>34350</v>
      </c>
      <c r="L121" s="33" t="n">
        <v>36120.41666666666</v>
      </c>
      <c r="M121" s="38" t="n">
        <v>0.2531458891675257</v>
      </c>
      <c r="N121" s="38" t="n">
        <v>0.3832322038908709</v>
      </c>
      <c r="O121" s="38" t="n">
        <v>0.1896024464831805</v>
      </c>
      <c r="P121" s="38" t="n">
        <v>0.1004243281471005</v>
      </c>
      <c r="Q121" s="38" t="n">
        <v>0.03871829105473967</v>
      </c>
      <c r="R121" s="38" t="n">
        <v>0.06226105953031125</v>
      </c>
      <c r="S121" s="38" t="n">
        <v>0.1324599708879184</v>
      </c>
      <c r="T121" s="38" t="n">
        <v>0.07695324666336001</v>
      </c>
      <c r="U121" s="33" t="n">
        <v>42350</v>
      </c>
      <c r="V121" s="33" t="n">
        <v>29400</v>
      </c>
      <c r="W121" s="38" t="n">
        <v>-0.08146399055489961</v>
      </c>
      <c r="X121" s="38" t="n">
        <v>0.3231292517006803</v>
      </c>
      <c r="Y121" s="33" t="n">
        <v>51414494</v>
      </c>
      <c r="Z121" s="33" t="n">
        <v>2000023816600</v>
      </c>
      <c r="AA121" s="33" t="n">
        <v>33691095500</v>
      </c>
      <c r="AB121" s="33" t="n">
        <v>23788078172.5</v>
      </c>
      <c r="AC121" s="38" t="n">
        <v>0.01684534715055253</v>
      </c>
      <c r="AD121" s="27" t="inlineStr">
        <is>
          <t>yfinance_download</t>
        </is>
      </c>
      <c r="AE121" s="27" t="inlineStr">
        <is>
          <t>005290.KQ</t>
        </is>
      </c>
    </row>
    <row r="122" ht="24" customHeight="1">
      <c r="A122" s="32" t="inlineStr">
        <is>
          <t>2023-12-04</t>
        </is>
      </c>
      <c r="B122" s="34" t="n">
        <v>38700</v>
      </c>
      <c r="C122" s="34" t="n">
        <v>39050</v>
      </c>
      <c r="D122" s="34" t="n">
        <v>38000</v>
      </c>
      <c r="E122" s="34" t="n">
        <v>38200</v>
      </c>
      <c r="F122" s="34" t="n">
        <v>37468.6953125</v>
      </c>
      <c r="G122" s="34" t="n">
        <v>495091</v>
      </c>
      <c r="H122" s="39" t="n">
        <v>-0.01799485861182515</v>
      </c>
      <c r="I122" s="39" t="n">
        <v>-0.2509803921568627</v>
      </c>
      <c r="J122" s="34" t="n">
        <v>36810</v>
      </c>
      <c r="K122" s="34" t="n">
        <v>34398.33333333334</v>
      </c>
      <c r="L122" s="34" t="n">
        <v>36126.66666666666</v>
      </c>
      <c r="M122" s="39" t="n">
        <v>0.213750871593466</v>
      </c>
      <c r="N122" s="39" t="n">
        <v>0.3853418349908328</v>
      </c>
      <c r="O122" s="39" t="n">
        <v>0.1104651162790697</v>
      </c>
      <c r="P122" s="39" t="n">
        <v>0.0821529745042493</v>
      </c>
      <c r="Q122" s="39" t="n">
        <v>0.02002670226969294</v>
      </c>
      <c r="R122" s="39" t="n">
        <v>0.03776147785927741</v>
      </c>
      <c r="S122" s="39" t="n">
        <v>0.1105189204903338</v>
      </c>
      <c r="T122" s="39" t="n">
        <v>0.05739066248385316</v>
      </c>
      <c r="U122" s="34" t="n">
        <v>42350</v>
      </c>
      <c r="V122" s="34" t="n">
        <v>29400</v>
      </c>
      <c r="W122" s="39" t="n">
        <v>-0.09799291617473438</v>
      </c>
      <c r="X122" s="39" t="n">
        <v>0.2993197278911566</v>
      </c>
      <c r="Y122" s="34" t="n">
        <v>51414494</v>
      </c>
      <c r="Z122" s="34" t="n">
        <v>1964033670800</v>
      </c>
      <c r="AA122" s="34" t="n">
        <v>18912476200</v>
      </c>
      <c r="AB122" s="34" t="n">
        <v>23361713022.5</v>
      </c>
      <c r="AC122" s="39" t="n">
        <v>0.009629405280153103</v>
      </c>
      <c r="AD122" s="32" t="inlineStr">
        <is>
          <t>yfinance_download</t>
        </is>
      </c>
      <c r="AE122" s="32" t="inlineStr">
        <is>
          <t>005290.KQ</t>
        </is>
      </c>
    </row>
    <row r="123" ht="24" customHeight="1">
      <c r="A123" s="27" t="inlineStr">
        <is>
          <t>2023-12-05</t>
        </is>
      </c>
      <c r="B123" s="33" t="n">
        <v>37800</v>
      </c>
      <c r="C123" s="33" t="n">
        <v>38600</v>
      </c>
      <c r="D123" s="33" t="n">
        <v>37400</v>
      </c>
      <c r="E123" s="33" t="n">
        <v>37700</v>
      </c>
      <c r="F123" s="33" t="n">
        <v>36978.26953125</v>
      </c>
      <c r="G123" s="33" t="n">
        <v>568902</v>
      </c>
      <c r="H123" s="38" t="n">
        <v>-0.01308900523560208</v>
      </c>
      <c r="I123" s="38" t="n">
        <v>-0.2607843137254902</v>
      </c>
      <c r="J123" s="33" t="n">
        <v>36990</v>
      </c>
      <c r="K123" s="33" t="n">
        <v>34437.5</v>
      </c>
      <c r="L123" s="33" t="n">
        <v>36125</v>
      </c>
      <c r="M123" s="38" t="n">
        <v>0.2180800693062249</v>
      </c>
      <c r="N123" s="38" t="n">
        <v>0.3865170016865596</v>
      </c>
      <c r="O123" s="38" t="n">
        <v>0.1055718475073313</v>
      </c>
      <c r="P123" s="38" t="n">
        <v>0.06647807637906644</v>
      </c>
      <c r="Q123" s="38" t="n">
        <v>-0.00527704485488123</v>
      </c>
      <c r="R123" s="38" t="n">
        <v>0.01919437685861047</v>
      </c>
      <c r="S123" s="38" t="n">
        <v>0.09473684210526323</v>
      </c>
      <c r="T123" s="38" t="n">
        <v>0.04359861591695502</v>
      </c>
      <c r="U123" s="33" t="n">
        <v>42350</v>
      </c>
      <c r="V123" s="33" t="n">
        <v>29400</v>
      </c>
      <c r="W123" s="38" t="n">
        <v>-0.1097992916174735</v>
      </c>
      <c r="X123" s="38" t="n">
        <v>0.282312925170068</v>
      </c>
      <c r="Y123" s="33" t="n">
        <v>51414494</v>
      </c>
      <c r="Z123" s="33" t="n">
        <v>1938326423800</v>
      </c>
      <c r="AA123" s="33" t="n">
        <v>21447605400</v>
      </c>
      <c r="AB123" s="33" t="n">
        <v>23247309287.5</v>
      </c>
      <c r="AC123" s="38" t="n">
        <v>0.011065012134516</v>
      </c>
      <c r="AD123" s="27" t="inlineStr">
        <is>
          <t>yfinance_download</t>
        </is>
      </c>
      <c r="AE123" s="27" t="inlineStr">
        <is>
          <t>005290.KQ</t>
        </is>
      </c>
    </row>
    <row r="124" ht="24" customHeight="1">
      <c r="A124" s="32" t="inlineStr">
        <is>
          <t>2023-12-06</t>
        </is>
      </c>
      <c r="B124" s="34" t="n">
        <v>37900</v>
      </c>
      <c r="C124" s="34" t="n">
        <v>39100</v>
      </c>
      <c r="D124" s="34" t="n">
        <v>37450</v>
      </c>
      <c r="E124" s="34" t="n">
        <v>38850</v>
      </c>
      <c r="F124" s="34" t="n">
        <v>38106.25390625</v>
      </c>
      <c r="G124" s="34" t="n">
        <v>511830</v>
      </c>
      <c r="H124" s="39" t="n">
        <v>0.0305039787798409</v>
      </c>
      <c r="I124" s="39" t="n">
        <v>-0.2382352941176471</v>
      </c>
      <c r="J124" s="34" t="n">
        <v>37200</v>
      </c>
      <c r="K124" s="34" t="n">
        <v>34510</v>
      </c>
      <c r="L124" s="34" t="n">
        <v>36140.83333333334</v>
      </c>
      <c r="M124" s="39" t="n">
        <v>0.2331530925822844</v>
      </c>
      <c r="N124" s="39" t="n">
        <v>0.387367007573312</v>
      </c>
      <c r="O124" s="39" t="n">
        <v>0.1212121212121211</v>
      </c>
      <c r="P124" s="39" t="n">
        <v>0.1260869565217391</v>
      </c>
      <c r="Q124" s="39" t="n">
        <v>0.05142083897158312</v>
      </c>
      <c r="R124" s="39" t="n">
        <v>0.04435483870967749</v>
      </c>
      <c r="S124" s="39" t="n">
        <v>0.1257606490872212</v>
      </c>
      <c r="T124" s="39" t="n">
        <v>0.07496137794277002</v>
      </c>
      <c r="U124" s="34" t="n">
        <v>42350</v>
      </c>
      <c r="V124" s="34" t="n">
        <v>29400</v>
      </c>
      <c r="W124" s="39" t="n">
        <v>-0.0826446280991735</v>
      </c>
      <c r="X124" s="39" t="n">
        <v>0.3214285714285714</v>
      </c>
      <c r="Y124" s="34" t="n">
        <v>51414494</v>
      </c>
      <c r="Z124" s="34" t="n">
        <v>1997453091900</v>
      </c>
      <c r="AA124" s="34" t="n">
        <v>19884595500</v>
      </c>
      <c r="AB124" s="34" t="n">
        <v>22859892835</v>
      </c>
      <c r="AC124" s="39" t="n">
        <v>0.009954974953171766</v>
      </c>
      <c r="AD124" s="32" t="inlineStr">
        <is>
          <t>yfinance_download</t>
        </is>
      </c>
      <c r="AE124" s="32" t="inlineStr">
        <is>
          <t>005290.KQ</t>
        </is>
      </c>
    </row>
    <row r="125" ht="24" customHeight="1">
      <c r="A125" s="27" t="inlineStr">
        <is>
          <t>2023-12-07</t>
        </is>
      </c>
      <c r="B125" s="33" t="n">
        <v>38550</v>
      </c>
      <c r="C125" s="33" t="n">
        <v>38550</v>
      </c>
      <c r="D125" s="33" t="n">
        <v>37850</v>
      </c>
      <c r="E125" s="33" t="n">
        <v>38200</v>
      </c>
      <c r="F125" s="33" t="n">
        <v>37468.6953125</v>
      </c>
      <c r="G125" s="33" t="n">
        <v>346870</v>
      </c>
      <c r="H125" s="38" t="n">
        <v>-0.01673101673101673</v>
      </c>
      <c r="I125" s="38" t="n">
        <v>-0.2509803921568627</v>
      </c>
      <c r="J125" s="33" t="n">
        <v>37357.5</v>
      </c>
      <c r="K125" s="33" t="n">
        <v>34570</v>
      </c>
      <c r="L125" s="33" t="n">
        <v>36147.91666666666</v>
      </c>
      <c r="M125" s="38" t="n">
        <v>0.2452648670053648</v>
      </c>
      <c r="N125" s="38" t="n">
        <v>0.3893154584768071</v>
      </c>
      <c r="O125" s="38" t="n">
        <v>0.08987161198288152</v>
      </c>
      <c r="P125" s="38" t="n">
        <v>0.1040462427745665</v>
      </c>
      <c r="Q125" s="38" t="n">
        <v>0.0227576974564927</v>
      </c>
      <c r="R125" s="38" t="n">
        <v>0.02255236565616014</v>
      </c>
      <c r="S125" s="38" t="n">
        <v>0.1050043390222737</v>
      </c>
      <c r="T125" s="38" t="n">
        <v>0.05676906230188461</v>
      </c>
      <c r="U125" s="33" t="n">
        <v>42350</v>
      </c>
      <c r="V125" s="33" t="n">
        <v>29400</v>
      </c>
      <c r="W125" s="38" t="n">
        <v>-0.09799291617473438</v>
      </c>
      <c r="X125" s="38" t="n">
        <v>0.2993197278911566</v>
      </c>
      <c r="Y125" s="33" t="n">
        <v>51414494</v>
      </c>
      <c r="Z125" s="33" t="n">
        <v>1964033670800</v>
      </c>
      <c r="AA125" s="33" t="n">
        <v>13250434000</v>
      </c>
      <c r="AB125" s="33" t="n">
        <v>22063218192.5</v>
      </c>
      <c r="AC125" s="38" t="n">
        <v>0.006746541160163902</v>
      </c>
      <c r="AD125" s="27" t="inlineStr">
        <is>
          <t>yfinance_download</t>
        </is>
      </c>
      <c r="AE125" s="27" t="inlineStr">
        <is>
          <t>005290.KQ</t>
        </is>
      </c>
    </row>
    <row r="126" ht="24" customHeight="1">
      <c r="A126" s="32" t="inlineStr">
        <is>
          <t>2023-12-08</t>
        </is>
      </c>
      <c r="B126" s="34" t="n">
        <v>38950</v>
      </c>
      <c r="C126" s="34" t="n">
        <v>40100</v>
      </c>
      <c r="D126" s="34" t="n">
        <v>38900</v>
      </c>
      <c r="E126" s="34" t="n">
        <v>39250</v>
      </c>
      <c r="F126" s="34" t="n">
        <v>38498.59375</v>
      </c>
      <c r="G126" s="34" t="n">
        <v>1010015</v>
      </c>
      <c r="H126" s="39" t="n">
        <v>0.02748691099476441</v>
      </c>
      <c r="I126" s="39" t="n">
        <v>-0.2303921568627451</v>
      </c>
      <c r="J126" s="34" t="n">
        <v>37535</v>
      </c>
      <c r="K126" s="34" t="n">
        <v>34654.16666666666</v>
      </c>
      <c r="L126" s="34" t="n">
        <v>36169.58333333334</v>
      </c>
      <c r="M126" s="39" t="n">
        <v>0.253991117248234</v>
      </c>
      <c r="N126" s="39" t="n">
        <v>0.3917465308475737</v>
      </c>
      <c r="O126" s="39" t="n">
        <v>0.09943977591036424</v>
      </c>
      <c r="P126" s="39" t="n">
        <v>0.1476608187134503</v>
      </c>
      <c r="Q126" s="39" t="n">
        <v>0.07094133697135052</v>
      </c>
      <c r="R126" s="39" t="n">
        <v>0.04569068869055548</v>
      </c>
      <c r="S126" s="39" t="n">
        <v>0.1326199350727426</v>
      </c>
      <c r="T126" s="39" t="n">
        <v>0.08516594283871104</v>
      </c>
      <c r="U126" s="34" t="n">
        <v>42350</v>
      </c>
      <c r="V126" s="34" t="n">
        <v>29400</v>
      </c>
      <c r="W126" s="39" t="n">
        <v>-0.07319952774498228</v>
      </c>
      <c r="X126" s="39" t="n">
        <v>0.3350340136054422</v>
      </c>
      <c r="Y126" s="34" t="n">
        <v>51414494</v>
      </c>
      <c r="Z126" s="34" t="n">
        <v>2018018889500</v>
      </c>
      <c r="AA126" s="34" t="n">
        <v>39643088750</v>
      </c>
      <c r="AB126" s="34" t="n">
        <v>22832018880</v>
      </c>
      <c r="AC126" s="39" t="n">
        <v>0.01964455781671215</v>
      </c>
      <c r="AD126" s="32" t="inlineStr">
        <is>
          <t>yfinance_download</t>
        </is>
      </c>
      <c r="AE126" s="32" t="inlineStr">
        <is>
          <t>005290.KQ</t>
        </is>
      </c>
    </row>
    <row r="127" ht="24" customHeight="1">
      <c r="A127" s="27" t="inlineStr">
        <is>
          <t>2023-12-11</t>
        </is>
      </c>
      <c r="B127" s="33" t="n">
        <v>39550</v>
      </c>
      <c r="C127" s="33" t="n">
        <v>39550</v>
      </c>
      <c r="D127" s="33" t="n">
        <v>38350</v>
      </c>
      <c r="E127" s="33" t="n">
        <v>38400</v>
      </c>
      <c r="F127" s="33" t="n">
        <v>37664.8671875</v>
      </c>
      <c r="G127" s="33" t="n">
        <v>467554</v>
      </c>
      <c r="H127" s="38" t="n">
        <v>-0.02165605095541401</v>
      </c>
      <c r="I127" s="38" t="n">
        <v>-0.2470588235294118</v>
      </c>
      <c r="J127" s="33" t="n">
        <v>37642.5</v>
      </c>
      <c r="K127" s="33" t="n">
        <v>34730.83333333334</v>
      </c>
      <c r="L127" s="33" t="n">
        <v>36167.91666666666</v>
      </c>
      <c r="M127" s="38" t="n">
        <v>0.2673255035225132</v>
      </c>
      <c r="N127" s="38" t="n">
        <v>0.3938248310186616</v>
      </c>
      <c r="O127" s="38" t="n">
        <v>0.05931034482758624</v>
      </c>
      <c r="P127" s="38" t="n">
        <v>0.136094674556213</v>
      </c>
      <c r="Q127" s="38" t="n">
        <v>-0.005181347150259086</v>
      </c>
      <c r="R127" s="38" t="n">
        <v>0.02012353058378169</v>
      </c>
      <c r="S127" s="38" t="n">
        <v>0.1056457998416391</v>
      </c>
      <c r="T127" s="38" t="n">
        <v>0.06171445687361032</v>
      </c>
      <c r="U127" s="33" t="n">
        <v>42350</v>
      </c>
      <c r="V127" s="33" t="n">
        <v>29400</v>
      </c>
      <c r="W127" s="38" t="n">
        <v>-0.09327036599763872</v>
      </c>
      <c r="X127" s="38" t="n">
        <v>0.3061224489795917</v>
      </c>
      <c r="Y127" s="33" t="n">
        <v>51414494</v>
      </c>
      <c r="Z127" s="33" t="n">
        <v>1974316569600</v>
      </c>
      <c r="AA127" s="33" t="n">
        <v>17954073600</v>
      </c>
      <c r="AB127" s="33" t="n">
        <v>21610185060</v>
      </c>
      <c r="AC127" s="38" t="n">
        <v>0.009093817008098923</v>
      </c>
      <c r="AD127" s="27" t="inlineStr">
        <is>
          <t>yfinance_download</t>
        </is>
      </c>
      <c r="AE127" s="27" t="inlineStr">
        <is>
          <t>005290.KQ</t>
        </is>
      </c>
    </row>
    <row r="128" ht="24" customHeight="1">
      <c r="A128" s="32" t="inlineStr">
        <is>
          <t>2023-12-12</t>
        </is>
      </c>
      <c r="B128" s="34" t="n">
        <v>38850</v>
      </c>
      <c r="C128" s="34" t="n">
        <v>38950</v>
      </c>
      <c r="D128" s="34" t="n">
        <v>37900</v>
      </c>
      <c r="E128" s="34" t="n">
        <v>38250</v>
      </c>
      <c r="F128" s="34" t="n">
        <v>37517.73828125</v>
      </c>
      <c r="G128" s="34" t="n">
        <v>412153</v>
      </c>
      <c r="H128" s="39" t="n">
        <v>-0.00390625</v>
      </c>
      <c r="I128" s="39" t="n">
        <v>-0.25</v>
      </c>
      <c r="J128" s="34" t="n">
        <v>37712.5</v>
      </c>
      <c r="K128" s="34" t="n">
        <v>34800</v>
      </c>
      <c r="L128" s="34" t="n">
        <v>36174.16666666666</v>
      </c>
      <c r="M128" s="39" t="n">
        <v>0.2634248716593712</v>
      </c>
      <c r="N128" s="39" t="n">
        <v>0.3938024623138837</v>
      </c>
      <c r="O128" s="39" t="n">
        <v>0.03799185888738132</v>
      </c>
      <c r="P128" s="39" t="n">
        <v>0.1217008797653958</v>
      </c>
      <c r="Q128" s="39" t="n">
        <v>0.02000000000000002</v>
      </c>
      <c r="R128" s="39" t="n">
        <v>0.01425256877693082</v>
      </c>
      <c r="S128" s="39" t="n">
        <v>0.09913793103448265</v>
      </c>
      <c r="T128" s="39" t="n">
        <v>0.05738441337049927</v>
      </c>
      <c r="U128" s="34" t="n">
        <v>42350</v>
      </c>
      <c r="V128" s="34" t="n">
        <v>29400</v>
      </c>
      <c r="W128" s="39" t="n">
        <v>-0.09681227863046049</v>
      </c>
      <c r="X128" s="39" t="n">
        <v>0.3010204081632653</v>
      </c>
      <c r="Y128" s="34" t="n">
        <v>51414494</v>
      </c>
      <c r="Z128" s="34" t="n">
        <v>1966604395500</v>
      </c>
      <c r="AA128" s="34" t="n">
        <v>15764852250</v>
      </c>
      <c r="AB128" s="34" t="n">
        <v>21327229495</v>
      </c>
      <c r="AC128" s="39" t="n">
        <v>0.008016280389728235</v>
      </c>
      <c r="AD128" s="32" t="inlineStr">
        <is>
          <t>yfinance_download</t>
        </is>
      </c>
      <c r="AE128" s="32" t="inlineStr">
        <is>
          <t>005290.KQ</t>
        </is>
      </c>
    </row>
    <row r="129" ht="24" customHeight="1">
      <c r="A129" s="27" t="inlineStr">
        <is>
          <t>2023-12-13</t>
        </is>
      </c>
      <c r="B129" s="33" t="n">
        <v>38950</v>
      </c>
      <c r="C129" s="33" t="n">
        <v>40350</v>
      </c>
      <c r="D129" s="33" t="n">
        <v>38250</v>
      </c>
      <c r="E129" s="33" t="n">
        <v>38250</v>
      </c>
      <c r="F129" s="33" t="n">
        <v>37517.73828125</v>
      </c>
      <c r="G129" s="33" t="n">
        <v>1304830</v>
      </c>
      <c r="H129" s="38" t="n">
        <v>0</v>
      </c>
      <c r="I129" s="38" t="n">
        <v>-0.25</v>
      </c>
      <c r="J129" s="33" t="n">
        <v>37795</v>
      </c>
      <c r="K129" s="33" t="n">
        <v>34877.5</v>
      </c>
      <c r="L129" s="33" t="n">
        <v>36172.91666666666</v>
      </c>
      <c r="M129" s="38" t="n">
        <v>0.2615194428314693</v>
      </c>
      <c r="N129" s="38" t="n">
        <v>0.3922615337822075</v>
      </c>
      <c r="O129" s="38" t="n">
        <v>0.04508196721311486</v>
      </c>
      <c r="P129" s="38" t="n">
        <v>0.1383928571428572</v>
      </c>
      <c r="Q129" s="38" t="n">
        <v>-0.00390625</v>
      </c>
      <c r="R129" s="38" t="n">
        <v>0.01203862944833967</v>
      </c>
      <c r="S129" s="38" t="n">
        <v>0.09669557737796564</v>
      </c>
      <c r="T129" s="38" t="n">
        <v>0.05742095260035707</v>
      </c>
      <c r="U129" s="33" t="n">
        <v>42350</v>
      </c>
      <c r="V129" s="33" t="n">
        <v>29400</v>
      </c>
      <c r="W129" s="38" t="n">
        <v>-0.09681227863046049</v>
      </c>
      <c r="X129" s="38" t="n">
        <v>0.3010204081632653</v>
      </c>
      <c r="Y129" s="33" t="n">
        <v>51414494</v>
      </c>
      <c r="Z129" s="33" t="n">
        <v>1966604395500</v>
      </c>
      <c r="AA129" s="33" t="n">
        <v>49909747500</v>
      </c>
      <c r="AB129" s="33" t="n">
        <v>22150752010</v>
      </c>
      <c r="AC129" s="38" t="n">
        <v>0.025378641283526</v>
      </c>
      <c r="AD129" s="27" t="inlineStr">
        <is>
          <t>yfinance_download</t>
        </is>
      </c>
      <c r="AE129" s="27" t="inlineStr">
        <is>
          <t>005290.KQ</t>
        </is>
      </c>
    </row>
    <row r="130" ht="24" customHeight="1">
      <c r="A130" s="32" t="inlineStr">
        <is>
          <t>2023-12-14</t>
        </is>
      </c>
      <c r="B130" s="34" t="n">
        <v>38800</v>
      </c>
      <c r="C130" s="34" t="n">
        <v>39250</v>
      </c>
      <c r="D130" s="34" t="n">
        <v>38500</v>
      </c>
      <c r="E130" s="34" t="n">
        <v>39250</v>
      </c>
      <c r="F130" s="34" t="n">
        <v>38498.59375</v>
      </c>
      <c r="G130" s="34" t="n">
        <v>658721</v>
      </c>
      <c r="H130" s="39" t="n">
        <v>0.02614379084967311</v>
      </c>
      <c r="I130" s="39" t="n">
        <v>-0.2303921568627451</v>
      </c>
      <c r="J130" s="34" t="n">
        <v>37907.5</v>
      </c>
      <c r="K130" s="34" t="n">
        <v>34931.66666666666</v>
      </c>
      <c r="L130" s="34" t="n">
        <v>36178.75</v>
      </c>
      <c r="M130" s="39" t="n">
        <v>0.2734546368247368</v>
      </c>
      <c r="N130" s="39" t="n">
        <v>0.3685143367076736</v>
      </c>
      <c r="O130" s="39" t="n">
        <v>0.06081081081081074</v>
      </c>
      <c r="P130" s="39" t="n">
        <v>0.09027777777777768</v>
      </c>
      <c r="Q130" s="39" t="n">
        <v>0.01815823605706868</v>
      </c>
      <c r="R130" s="39" t="n">
        <v>0.03541515531227324</v>
      </c>
      <c r="S130" s="39" t="n">
        <v>0.1236223102247245</v>
      </c>
      <c r="T130" s="39" t="n">
        <v>0.08489099264070754</v>
      </c>
      <c r="U130" s="34" t="n">
        <v>42350</v>
      </c>
      <c r="V130" s="34" t="n">
        <v>29400</v>
      </c>
      <c r="W130" s="39" t="n">
        <v>-0.07319952774498228</v>
      </c>
      <c r="X130" s="39" t="n">
        <v>0.3350340136054422</v>
      </c>
      <c r="Y130" s="34" t="n">
        <v>51414494</v>
      </c>
      <c r="Z130" s="34" t="n">
        <v>2018018889500</v>
      </c>
      <c r="AA130" s="34" t="n">
        <v>25854799250</v>
      </c>
      <c r="AB130" s="34" t="n">
        <v>22514246222.5</v>
      </c>
      <c r="AC130" s="39" t="n">
        <v>0.01281197088120715</v>
      </c>
      <c r="AD130" s="32" t="inlineStr">
        <is>
          <t>yfinance_download</t>
        </is>
      </c>
      <c r="AE130" s="32" t="inlineStr">
        <is>
          <t>005290.KQ</t>
        </is>
      </c>
    </row>
    <row r="131" ht="24" customHeight="1">
      <c r="A131" s="27" t="inlineStr">
        <is>
          <t>2023-12-15</t>
        </is>
      </c>
      <c r="B131" s="33" t="n">
        <v>39300</v>
      </c>
      <c r="C131" s="33" t="n">
        <v>39450</v>
      </c>
      <c r="D131" s="33" t="n">
        <v>38050</v>
      </c>
      <c r="E131" s="33" t="n">
        <v>38150</v>
      </c>
      <c r="F131" s="33" t="n">
        <v>37419.65234375</v>
      </c>
      <c r="G131" s="33" t="n">
        <v>539379</v>
      </c>
      <c r="H131" s="38" t="n">
        <v>-0.02802547770700636</v>
      </c>
      <c r="I131" s="38" t="n">
        <v>-0.2519607843137255</v>
      </c>
      <c r="J131" s="33" t="n">
        <v>37985</v>
      </c>
      <c r="K131" s="33" t="n">
        <v>34970.83333333334</v>
      </c>
      <c r="L131" s="33" t="n">
        <v>36189.16666666666</v>
      </c>
      <c r="M131" s="38" t="n">
        <v>0.2913107583650311</v>
      </c>
      <c r="N131" s="38" t="n">
        <v>0.3732523439781906</v>
      </c>
      <c r="O131" s="38" t="n">
        <v>0.04234972677595628</v>
      </c>
      <c r="P131" s="38" t="n">
        <v>0.06564245810055858</v>
      </c>
      <c r="Q131" s="38" t="n">
        <v>0.03387533875338744</v>
      </c>
      <c r="R131" s="38" t="n">
        <v>0.004343819928919412</v>
      </c>
      <c r="S131" s="38" t="n">
        <v>0.09090909090909083</v>
      </c>
      <c r="T131" s="38" t="n">
        <v>0.05418288161742701</v>
      </c>
      <c r="U131" s="33" t="n">
        <v>42350</v>
      </c>
      <c r="V131" s="33" t="n">
        <v>29400</v>
      </c>
      <c r="W131" s="38" t="n">
        <v>-0.09917355371900827</v>
      </c>
      <c r="X131" s="38" t="n">
        <v>0.2976190476190477</v>
      </c>
      <c r="Y131" s="33" t="n">
        <v>51414494</v>
      </c>
      <c r="Z131" s="33" t="n">
        <v>1961462946100</v>
      </c>
      <c r="AA131" s="33" t="n">
        <v>20577308850</v>
      </c>
      <c r="AB131" s="33" t="n">
        <v>22780164535</v>
      </c>
      <c r="AC131" s="38" t="n">
        <v>0.01049079662244658</v>
      </c>
      <c r="AD131" s="27" t="inlineStr">
        <is>
          <t>yfinance_download</t>
        </is>
      </c>
      <c r="AE131" s="27" t="inlineStr">
        <is>
          <t>005290.KQ</t>
        </is>
      </c>
    </row>
    <row r="132" ht="24" customHeight="1">
      <c r="A132" s="32" t="inlineStr">
        <is>
          <t>2023-12-18</t>
        </is>
      </c>
      <c r="B132" s="34" t="n">
        <v>38250</v>
      </c>
      <c r="C132" s="34" t="n">
        <v>38800</v>
      </c>
      <c r="D132" s="34" t="n">
        <v>38250</v>
      </c>
      <c r="E132" s="34" t="n">
        <v>38600</v>
      </c>
      <c r="F132" s="34" t="n">
        <v>37861.0390625</v>
      </c>
      <c r="G132" s="34" t="n">
        <v>292301</v>
      </c>
      <c r="H132" s="39" t="n">
        <v>0.01179554390563564</v>
      </c>
      <c r="I132" s="39" t="n">
        <v>-0.2431372549019608</v>
      </c>
      <c r="J132" s="34" t="n">
        <v>38070</v>
      </c>
      <c r="K132" s="34" t="n">
        <v>35031.66666666666</v>
      </c>
      <c r="L132" s="34" t="n">
        <v>36209.58333333334</v>
      </c>
      <c r="M132" s="39" t="n">
        <v>0.2925648953165944</v>
      </c>
      <c r="N132" s="39" t="n">
        <v>0.3701479440918827</v>
      </c>
      <c r="O132" s="39" t="n">
        <v>0.04607046070460696</v>
      </c>
      <c r="P132" s="39" t="n">
        <v>0.1044349070100143</v>
      </c>
      <c r="Q132" s="39" t="n">
        <v>0.06777316735822958</v>
      </c>
      <c r="R132" s="39" t="n">
        <v>0.01392172314158135</v>
      </c>
      <c r="S132" s="39" t="n">
        <v>0.1018602217041724</v>
      </c>
      <c r="T132" s="39" t="n">
        <v>0.06601613292981834</v>
      </c>
      <c r="U132" s="34" t="n">
        <v>42350</v>
      </c>
      <c r="V132" s="34" t="n">
        <v>29400</v>
      </c>
      <c r="W132" s="39" t="n">
        <v>-0.08854781582054305</v>
      </c>
      <c r="X132" s="39" t="n">
        <v>0.3129251700680271</v>
      </c>
      <c r="Y132" s="34" t="n">
        <v>51414494</v>
      </c>
      <c r="Z132" s="34" t="n">
        <v>1984599468400</v>
      </c>
      <c r="AA132" s="34" t="n">
        <v>11282818600</v>
      </c>
      <c r="AB132" s="34" t="n">
        <v>22715018400</v>
      </c>
      <c r="AC132" s="39" t="n">
        <v>0.005685186749090636</v>
      </c>
      <c r="AD132" s="32" t="inlineStr">
        <is>
          <t>yfinance_download</t>
        </is>
      </c>
      <c r="AE132" s="32" t="inlineStr">
        <is>
          <t>005290.KQ</t>
        </is>
      </c>
    </row>
    <row r="133" ht="24" customHeight="1">
      <c r="A133" s="27" t="inlineStr">
        <is>
          <t>2023-12-19</t>
        </is>
      </c>
      <c r="B133" s="33" t="n">
        <v>38600</v>
      </c>
      <c r="C133" s="33" t="n">
        <v>38750</v>
      </c>
      <c r="D133" s="33" t="n">
        <v>38200</v>
      </c>
      <c r="E133" s="33" t="n">
        <v>38500</v>
      </c>
      <c r="F133" s="33" t="n">
        <v>37762.953125</v>
      </c>
      <c r="G133" s="33" t="n">
        <v>286367</v>
      </c>
      <c r="H133" s="38" t="n">
        <v>-0.002590673575129543</v>
      </c>
      <c r="I133" s="38" t="n">
        <v>-0.2450980392156863</v>
      </c>
      <c r="J133" s="33" t="n">
        <v>38120</v>
      </c>
      <c r="K133" s="33" t="n">
        <v>35093.33333333334</v>
      </c>
      <c r="L133" s="33" t="n">
        <v>36229.16666666666</v>
      </c>
      <c r="M133" s="38" t="n">
        <v>0.288355271497084</v>
      </c>
      <c r="N133" s="38" t="n">
        <v>0.3700423242257663</v>
      </c>
      <c r="O133" s="38" t="n">
        <v>0.02666666666666662</v>
      </c>
      <c r="P133" s="38" t="n">
        <v>0.1063218390804597</v>
      </c>
      <c r="Q133" s="38" t="n">
        <v>0.06500691562932226</v>
      </c>
      <c r="R133" s="38" t="n">
        <v>0.009968520461699937</v>
      </c>
      <c r="S133" s="38" t="n">
        <v>0.09707446808510634</v>
      </c>
      <c r="T133" s="38" t="n">
        <v>0.06267970097757347</v>
      </c>
      <c r="U133" s="33" t="n">
        <v>42350</v>
      </c>
      <c r="V133" s="33" t="n">
        <v>29400</v>
      </c>
      <c r="W133" s="38" t="n">
        <v>-0.09090909090909094</v>
      </c>
      <c r="X133" s="38" t="n">
        <v>0.3095238095238095</v>
      </c>
      <c r="Y133" s="33" t="n">
        <v>51414494</v>
      </c>
      <c r="Z133" s="33" t="n">
        <v>1979458019000</v>
      </c>
      <c r="AA133" s="33" t="n">
        <v>11025129500</v>
      </c>
      <c r="AB133" s="33" t="n">
        <v>21614135500</v>
      </c>
      <c r="AC133" s="38" t="n">
        <v>0.005569771823486194</v>
      </c>
      <c r="AD133" s="27" t="inlineStr">
        <is>
          <t>yfinance_download</t>
        </is>
      </c>
      <c r="AE133" s="27" t="inlineStr">
        <is>
          <t>005290.KQ</t>
        </is>
      </c>
    </row>
    <row r="134" ht="24" customHeight="1">
      <c r="A134" s="32" t="inlineStr">
        <is>
          <t>2023-12-20</t>
        </is>
      </c>
      <c r="B134" s="34" t="n">
        <v>38700</v>
      </c>
      <c r="C134" s="34" t="n">
        <v>38800</v>
      </c>
      <c r="D134" s="34" t="n">
        <v>37200</v>
      </c>
      <c r="E134" s="34" t="n">
        <v>37800</v>
      </c>
      <c r="F134" s="34" t="n">
        <v>37076.3515625</v>
      </c>
      <c r="G134" s="34" t="n">
        <v>890752</v>
      </c>
      <c r="H134" s="39" t="n">
        <v>-0.01818181818181819</v>
      </c>
      <c r="I134" s="39" t="n">
        <v>-0.2588235294117647</v>
      </c>
      <c r="J134" s="34" t="n">
        <v>38127.5</v>
      </c>
      <c r="K134" s="34" t="n">
        <v>35159.16666666666</v>
      </c>
      <c r="L134" s="34" t="n">
        <v>36217.91666666666</v>
      </c>
      <c r="M134" s="39" t="n">
        <v>0.2964143705966574</v>
      </c>
      <c r="N134" s="39" t="n">
        <v>0.3674265731629817</v>
      </c>
      <c r="O134" s="39" t="n">
        <v>0.003984063745019917</v>
      </c>
      <c r="P134" s="39" t="n">
        <v>0.1166912850812407</v>
      </c>
      <c r="Q134" s="39" t="n">
        <v>-0.03448275862068961</v>
      </c>
      <c r="R134" s="39" t="n">
        <v>-0.008589600681922493</v>
      </c>
      <c r="S134" s="39" t="n">
        <v>0.07511080562205219</v>
      </c>
      <c r="T134" s="39" t="n">
        <v>0.04368233954189349</v>
      </c>
      <c r="U134" s="34" t="n">
        <v>42350</v>
      </c>
      <c r="V134" s="34" t="n">
        <v>29400</v>
      </c>
      <c r="W134" s="39" t="n">
        <v>-0.1074380165289256</v>
      </c>
      <c r="X134" s="39" t="n">
        <v>0.2857142857142858</v>
      </c>
      <c r="Y134" s="34" t="n">
        <v>51414494</v>
      </c>
      <c r="Z134" s="34" t="n">
        <v>1943467873200</v>
      </c>
      <c r="AA134" s="34" t="n">
        <v>33670425600</v>
      </c>
      <c r="AB134" s="34" t="n">
        <v>22703728030</v>
      </c>
      <c r="AC134" s="39" t="n">
        <v>0.0173249200896541</v>
      </c>
      <c r="AD134" s="32" t="inlineStr">
        <is>
          <t>yfinance_download</t>
        </is>
      </c>
      <c r="AE134" s="32" t="inlineStr">
        <is>
          <t>005290.KQ</t>
        </is>
      </c>
    </row>
    <row r="135" ht="24" customHeight="1">
      <c r="A135" s="27" t="inlineStr">
        <is>
          <t>2023-12-21</t>
        </is>
      </c>
      <c r="B135" s="33" t="n">
        <v>37300</v>
      </c>
      <c r="C135" s="33" t="n">
        <v>38050</v>
      </c>
      <c r="D135" s="33" t="n">
        <v>37250</v>
      </c>
      <c r="E135" s="33" t="n">
        <v>37550</v>
      </c>
      <c r="F135" s="33" t="n">
        <v>36831.13671875</v>
      </c>
      <c r="G135" s="33" t="n">
        <v>484928</v>
      </c>
      <c r="H135" s="38" t="n">
        <v>-0.006613756613756627</v>
      </c>
      <c r="I135" s="38" t="n">
        <v>-0.2637254901960784</v>
      </c>
      <c r="J135" s="33" t="n">
        <v>38162.5</v>
      </c>
      <c r="K135" s="33" t="n">
        <v>35243.33333333334</v>
      </c>
      <c r="L135" s="33" t="n">
        <v>36207.91666666666</v>
      </c>
      <c r="M135" s="38" t="n">
        <v>0.2866533278871387</v>
      </c>
      <c r="N135" s="38" t="n">
        <v>0.3573774484714289</v>
      </c>
      <c r="O135" s="38" t="n">
        <v>0.01899592944369055</v>
      </c>
      <c r="P135" s="38" t="n">
        <v>0.1553846153846155</v>
      </c>
      <c r="Q135" s="38" t="n">
        <v>-0.03096774193548391</v>
      </c>
      <c r="R135" s="38" t="n">
        <v>-0.01604978709466098</v>
      </c>
      <c r="S135" s="38" t="n">
        <v>0.0654497304454742</v>
      </c>
      <c r="T135" s="38" t="n">
        <v>0.03706601917168206</v>
      </c>
      <c r="U135" s="33" t="n">
        <v>42350</v>
      </c>
      <c r="V135" s="33" t="n">
        <v>29400</v>
      </c>
      <c r="W135" s="38" t="n">
        <v>-0.1133412042502951</v>
      </c>
      <c r="X135" s="38" t="n">
        <v>0.2772108843537415</v>
      </c>
      <c r="Y135" s="33" t="n">
        <v>51414494</v>
      </c>
      <c r="Z135" s="33" t="n">
        <v>1930614249700</v>
      </c>
      <c r="AA135" s="33" t="n">
        <v>18209046400</v>
      </c>
      <c r="AB135" s="33" t="n">
        <v>22658497710</v>
      </c>
      <c r="AC135" s="38" t="n">
        <v>0.009431737284042901</v>
      </c>
      <c r="AD135" s="27" t="inlineStr">
        <is>
          <t>yfinance_download</t>
        </is>
      </c>
      <c r="AE135" s="27" t="inlineStr">
        <is>
          <t>005290.KQ</t>
        </is>
      </c>
    </row>
    <row r="136" ht="24" customHeight="1">
      <c r="A136" s="32" t="inlineStr">
        <is>
          <t>2023-12-22</t>
        </is>
      </c>
      <c r="B136" s="34" t="n">
        <v>37900</v>
      </c>
      <c r="C136" s="34" t="n">
        <v>38100</v>
      </c>
      <c r="D136" s="34" t="n">
        <v>37500</v>
      </c>
      <c r="E136" s="34" t="n">
        <v>37700</v>
      </c>
      <c r="F136" s="34" t="n">
        <v>36978.26953125</v>
      </c>
      <c r="G136" s="34" t="n">
        <v>400523</v>
      </c>
      <c r="H136" s="39" t="n">
        <v>0.003994673768308976</v>
      </c>
      <c r="I136" s="39" t="n">
        <v>-0.2607843137254902</v>
      </c>
      <c r="J136" s="34" t="n">
        <v>38195</v>
      </c>
      <c r="K136" s="34" t="n">
        <v>35328.33333333334</v>
      </c>
      <c r="L136" s="34" t="n">
        <v>36207.5</v>
      </c>
      <c r="M136" s="39" t="n">
        <v>0.2864111809238977</v>
      </c>
      <c r="N136" s="39" t="n">
        <v>0.3573869806388087</v>
      </c>
      <c r="O136" s="39" t="n">
        <v>0.01754385964912286</v>
      </c>
      <c r="P136" s="39" t="n">
        <v>0.156441717791411</v>
      </c>
      <c r="Q136" s="39" t="n">
        <v>-0.001324503311258329</v>
      </c>
      <c r="R136" s="39" t="n">
        <v>-0.012959811493651</v>
      </c>
      <c r="S136" s="39" t="n">
        <v>0.06713214134075574</v>
      </c>
      <c r="T136" s="39" t="n">
        <v>0.0412207415590693</v>
      </c>
      <c r="U136" s="34" t="n">
        <v>42350</v>
      </c>
      <c r="V136" s="34" t="n">
        <v>29400</v>
      </c>
      <c r="W136" s="39" t="n">
        <v>-0.1097992916174735</v>
      </c>
      <c r="X136" s="39" t="n">
        <v>0.282312925170068</v>
      </c>
      <c r="Y136" s="34" t="n">
        <v>51414494</v>
      </c>
      <c r="Z136" s="34" t="n">
        <v>1938326423800</v>
      </c>
      <c r="AA136" s="34" t="n">
        <v>15099717100</v>
      </c>
      <c r="AB136" s="34" t="n">
        <v>22789826472.5</v>
      </c>
      <c r="AC136" s="39" t="n">
        <v>0.007790079583395297</v>
      </c>
      <c r="AD136" s="32" t="inlineStr">
        <is>
          <t>yfinance_download</t>
        </is>
      </c>
      <c r="AE136" s="32" t="inlineStr">
        <is>
          <t>005290.KQ</t>
        </is>
      </c>
    </row>
    <row r="137" ht="24" customHeight="1">
      <c r="A137" s="27" t="inlineStr">
        <is>
          <t>2023-12-26</t>
        </is>
      </c>
      <c r="B137" s="33" t="n">
        <v>37700</v>
      </c>
      <c r="C137" s="33" t="n">
        <v>37700</v>
      </c>
      <c r="D137" s="33" t="n">
        <v>37050</v>
      </c>
      <c r="E137" s="33" t="n">
        <v>37450</v>
      </c>
      <c r="F137" s="33" t="n">
        <v>36733.0546875</v>
      </c>
      <c r="G137" s="33" t="n">
        <v>411334</v>
      </c>
      <c r="H137" s="38" t="n">
        <v>-0.006631299734747964</v>
      </c>
      <c r="I137" s="38" t="n">
        <v>-0.265686274509804</v>
      </c>
      <c r="J137" s="33" t="n">
        <v>38217.5</v>
      </c>
      <c r="K137" s="33" t="n">
        <v>35395.83333333334</v>
      </c>
      <c r="L137" s="33" t="n">
        <v>36194.58333333334</v>
      </c>
      <c r="M137" s="38" t="n">
        <v>0.2876028716726604</v>
      </c>
      <c r="N137" s="38" t="n">
        <v>0.3549423885303407</v>
      </c>
      <c r="O137" s="38" t="n">
        <v>0.01216216216216215</v>
      </c>
      <c r="P137" s="38" t="n">
        <v>0.1212574850299402</v>
      </c>
      <c r="Q137" s="38" t="n">
        <v>-0.03974358974358971</v>
      </c>
      <c r="R137" s="38" t="n">
        <v>-0.02008242297376861</v>
      </c>
      <c r="S137" s="38" t="n">
        <v>0.05803413772807531</v>
      </c>
      <c r="T137" s="38" t="n">
        <v>0.03468520842207035</v>
      </c>
      <c r="U137" s="33" t="n">
        <v>42350</v>
      </c>
      <c r="V137" s="33" t="n">
        <v>29400</v>
      </c>
      <c r="W137" s="38" t="n">
        <v>-0.1157024793388429</v>
      </c>
      <c r="X137" s="38" t="n">
        <v>0.2738095238095237</v>
      </c>
      <c r="Y137" s="33" t="n">
        <v>51414494</v>
      </c>
      <c r="Z137" s="33" t="n">
        <v>1925472800300</v>
      </c>
      <c r="AA137" s="33" t="n">
        <v>15404458300</v>
      </c>
      <c r="AB137" s="33" t="n">
        <v>22875529037.5</v>
      </c>
      <c r="AC137" s="38" t="n">
        <v>0.008000351029419836</v>
      </c>
      <c r="AD137" s="27" t="inlineStr">
        <is>
          <t>yfinance_download</t>
        </is>
      </c>
      <c r="AE137" s="27" t="inlineStr">
        <is>
          <t>005290.KQ</t>
        </is>
      </c>
    </row>
    <row r="138" ht="24" customHeight="1">
      <c r="A138" s="32" t="inlineStr">
        <is>
          <t>2023-12-27</t>
        </is>
      </c>
      <c r="B138" s="34" t="n">
        <v>37550</v>
      </c>
      <c r="C138" s="34" t="n">
        <v>38800</v>
      </c>
      <c r="D138" s="34" t="n">
        <v>37550</v>
      </c>
      <c r="E138" s="34" t="n">
        <v>38650</v>
      </c>
      <c r="F138" s="34" t="n">
        <v>38042.13671875</v>
      </c>
      <c r="G138" s="34" t="n">
        <v>595762</v>
      </c>
      <c r="H138" s="39" t="n">
        <v>0.03204272363150862</v>
      </c>
      <c r="I138" s="39" t="n">
        <v>-0.2421568627450981</v>
      </c>
      <c r="J138" s="34" t="n">
        <v>38272.5</v>
      </c>
      <c r="K138" s="34" t="n">
        <v>35485</v>
      </c>
      <c r="L138" s="34" t="n">
        <v>36165.83333333334</v>
      </c>
      <c r="M138" s="39" t="n">
        <v>0.3047302886543187</v>
      </c>
      <c r="N138" s="39" t="n">
        <v>0.359998420596719</v>
      </c>
      <c r="O138" s="39" t="n">
        <v>0.02929427430093212</v>
      </c>
      <c r="P138" s="39" t="n">
        <v>0.1606606606606606</v>
      </c>
      <c r="Q138" s="39" t="n">
        <v>-0.08194774346793354</v>
      </c>
      <c r="R138" s="39" t="n">
        <v>0.009863478999281527</v>
      </c>
      <c r="S138" s="39" t="n">
        <v>0.08919261659856281</v>
      </c>
      <c r="T138" s="39" t="n">
        <v>0.06868821862254881</v>
      </c>
      <c r="U138" s="34" t="n">
        <v>42350</v>
      </c>
      <c r="V138" s="34" t="n">
        <v>29400</v>
      </c>
      <c r="W138" s="39" t="n">
        <v>-0.08736717827626916</v>
      </c>
      <c r="X138" s="39" t="n">
        <v>0.314625850340136</v>
      </c>
      <c r="Y138" s="34" t="n">
        <v>51414494</v>
      </c>
      <c r="Z138" s="34" t="n">
        <v>1987170193100</v>
      </c>
      <c r="AA138" s="34" t="n">
        <v>23026201300</v>
      </c>
      <c r="AB138" s="34" t="n">
        <v>22745512942.5</v>
      </c>
      <c r="AC138" s="39" t="n">
        <v>0.01158743291337264</v>
      </c>
      <c r="AD138" s="32" t="inlineStr">
        <is>
          <t>yfinance_download</t>
        </is>
      </c>
      <c r="AE138" s="32" t="inlineStr">
        <is>
          <t>005290.KQ</t>
        </is>
      </c>
    </row>
    <row r="139" ht="24" customHeight="1">
      <c r="A139" s="27" t="inlineStr">
        <is>
          <t>2023-12-28</t>
        </is>
      </c>
      <c r="B139" s="33" t="n">
        <v>38500</v>
      </c>
      <c r="C139" s="33" t="n">
        <v>39050</v>
      </c>
      <c r="D139" s="33" t="n">
        <v>38200</v>
      </c>
      <c r="E139" s="33" t="n">
        <v>38700</v>
      </c>
      <c r="F139" s="33" t="n">
        <v>38091.34765625</v>
      </c>
      <c r="G139" s="33" t="n">
        <v>456731</v>
      </c>
      <c r="H139" s="38" t="n">
        <v>0.001293661060802087</v>
      </c>
      <c r="I139" s="38" t="n">
        <v>-0.2411764705882353</v>
      </c>
      <c r="J139" s="33" t="n">
        <v>38340</v>
      </c>
      <c r="K139" s="33" t="n">
        <v>35570</v>
      </c>
      <c r="L139" s="33" t="n">
        <v>36142.08333333334</v>
      </c>
      <c r="M139" s="38" t="n">
        <v>0.3036332702441872</v>
      </c>
      <c r="N139" s="38" t="n">
        <v>0.3597716249063437</v>
      </c>
      <c r="O139" s="38" t="n">
        <v>0.03614457831325302</v>
      </c>
      <c r="P139" s="38" t="n">
        <v>0.1517857142857142</v>
      </c>
      <c r="Q139" s="38" t="n">
        <v>-0.06859205776173283</v>
      </c>
      <c r="R139" s="38" t="n">
        <v>0.009389671361502261</v>
      </c>
      <c r="S139" s="38" t="n">
        <v>0.08799550182738258</v>
      </c>
      <c r="T139" s="38" t="n">
        <v>0.07077391314372661</v>
      </c>
      <c r="U139" s="33" t="n">
        <v>42350</v>
      </c>
      <c r="V139" s="33" t="n">
        <v>29400</v>
      </c>
      <c r="W139" s="38" t="n">
        <v>-0.08618654073199528</v>
      </c>
      <c r="X139" s="38" t="n">
        <v>0.3163265306122449</v>
      </c>
      <c r="Y139" s="33" t="n">
        <v>51414494</v>
      </c>
      <c r="Z139" s="33" t="n">
        <v>1989740917800</v>
      </c>
      <c r="AA139" s="33" t="n">
        <v>17675489700</v>
      </c>
      <c r="AB139" s="33" t="n">
        <v>22882870087.5</v>
      </c>
      <c r="AC139" s="38" t="n">
        <v>0.008883312164853748</v>
      </c>
      <c r="AD139" s="27" t="inlineStr">
        <is>
          <t>yfinance_download</t>
        </is>
      </c>
      <c r="AE139" s="27" t="inlineStr">
        <is>
          <t>005290.KQ</t>
        </is>
      </c>
    </row>
    <row r="140" ht="24" customHeight="1">
      <c r="A140" s="32" t="inlineStr">
        <is>
          <t>2024-01-02</t>
        </is>
      </c>
      <c r="B140" s="34" t="n">
        <v>38550</v>
      </c>
      <c r="C140" s="34" t="n">
        <v>41900</v>
      </c>
      <c r="D140" s="34" t="n">
        <v>38500</v>
      </c>
      <c r="E140" s="34" t="n">
        <v>41450</v>
      </c>
      <c r="F140" s="34" t="n">
        <v>40798.09765625</v>
      </c>
      <c r="G140" s="34" t="n">
        <v>2089267</v>
      </c>
      <c r="H140" s="39" t="n">
        <v>0.07105943152454786</v>
      </c>
      <c r="I140" s="39" t="n">
        <v>-0.1872549019607843</v>
      </c>
      <c r="J140" s="34" t="n">
        <v>38490</v>
      </c>
      <c r="K140" s="34" t="n">
        <v>35706.66666666666</v>
      </c>
      <c r="L140" s="34" t="n">
        <v>36139.58333333334</v>
      </c>
      <c r="M140" s="39" t="n">
        <v>0.3799481032346759</v>
      </c>
      <c r="N140" s="39" t="n">
        <v>0.385032477131591</v>
      </c>
      <c r="O140" s="39" t="n">
        <v>0.07802340702210664</v>
      </c>
      <c r="P140" s="39" t="n">
        <v>0.2466165413533834</v>
      </c>
      <c r="Q140" s="39" t="n">
        <v>-0.007185628742514938</v>
      </c>
      <c r="R140" s="39" t="n">
        <v>0.07690309171213294</v>
      </c>
      <c r="S140" s="39" t="n">
        <v>0.1608476474981331</v>
      </c>
      <c r="T140" s="39" t="n">
        <v>0.1469418343229376</v>
      </c>
      <c r="U140" s="34" t="n">
        <v>42350</v>
      </c>
      <c r="V140" s="34" t="n">
        <v>29400</v>
      </c>
      <c r="W140" s="39" t="n">
        <v>-0.02125147579693032</v>
      </c>
      <c r="X140" s="39" t="n">
        <v>0.4098639455782314</v>
      </c>
      <c r="Y140" s="34" t="n">
        <v>51414494</v>
      </c>
      <c r="Z140" s="34" t="n">
        <v>2131130776300</v>
      </c>
      <c r="AA140" s="34" t="n">
        <v>86600117150</v>
      </c>
      <c r="AB140" s="34" t="n">
        <v>25444174022.5</v>
      </c>
      <c r="AC140" s="39" t="n">
        <v>0.04063575924718816</v>
      </c>
      <c r="AD140" s="32" t="inlineStr">
        <is>
          <t>yfinance_download</t>
        </is>
      </c>
      <c r="AE140" s="32" t="inlineStr">
        <is>
          <t>005290.KQ</t>
        </is>
      </c>
    </row>
    <row r="141" ht="24" customHeight="1">
      <c r="A141" s="27" t="inlineStr">
        <is>
          <t>2024-01-03</t>
        </is>
      </c>
      <c r="B141" s="33" t="n">
        <v>40600</v>
      </c>
      <c r="C141" s="33" t="n">
        <v>42150</v>
      </c>
      <c r="D141" s="33" t="n">
        <v>40000</v>
      </c>
      <c r="E141" s="33" t="n">
        <v>41750</v>
      </c>
      <c r="F141" s="33" t="n">
        <v>41093.3828125</v>
      </c>
      <c r="G141" s="33" t="n">
        <v>1059114</v>
      </c>
      <c r="H141" s="38" t="n">
        <v>0.007237635705669376</v>
      </c>
      <c r="I141" s="38" t="n">
        <v>-0.1813725490196079</v>
      </c>
      <c r="J141" s="33" t="n">
        <v>38632.5</v>
      </c>
      <c r="K141" s="33" t="n">
        <v>35856.66666666666</v>
      </c>
      <c r="L141" s="33" t="n">
        <v>36143.33333333334</v>
      </c>
      <c r="M141" s="38" t="n">
        <v>0.3790815889265486</v>
      </c>
      <c r="N141" s="38" t="n">
        <v>0.3830372202182004</v>
      </c>
      <c r="O141" s="38" t="n">
        <v>0.07326478149100257</v>
      </c>
      <c r="P141" s="38" t="n">
        <v>0.2748091603053435</v>
      </c>
      <c r="Q141" s="38" t="n">
        <v>0.01089588377723971</v>
      </c>
      <c r="R141" s="38" t="n">
        <v>0.08069630492461011</v>
      </c>
      <c r="S141" s="38" t="n">
        <v>0.1643580924049457</v>
      </c>
      <c r="T141" s="38" t="n">
        <v>0.1551231209074979</v>
      </c>
      <c r="U141" s="33" t="n">
        <v>42350</v>
      </c>
      <c r="V141" s="33" t="n">
        <v>29400</v>
      </c>
      <c r="W141" s="38" t="n">
        <v>-0.01416765053128688</v>
      </c>
      <c r="X141" s="38" t="n">
        <v>0.4200680272108843</v>
      </c>
      <c r="Y141" s="33" t="n">
        <v>51414494</v>
      </c>
      <c r="Z141" s="33" t="n">
        <v>2146555124500</v>
      </c>
      <c r="AA141" s="33" t="n">
        <v>44218009500</v>
      </c>
      <c r="AB141" s="33" t="n">
        <v>25970519722.5</v>
      </c>
      <c r="AC141" s="38" t="n">
        <v>0.02059952199471223</v>
      </c>
      <c r="AD141" s="27" t="inlineStr">
        <is>
          <t>yfinance_download</t>
        </is>
      </c>
      <c r="AE141" s="27" t="inlineStr">
        <is>
          <t>005290.KQ</t>
        </is>
      </c>
    </row>
    <row r="142" ht="24" customHeight="1">
      <c r="A142" s="32" t="inlineStr">
        <is>
          <t>2024-01-04</t>
        </is>
      </c>
      <c r="B142" s="34" t="n">
        <v>41250</v>
      </c>
      <c r="C142" s="34" t="n">
        <v>42900</v>
      </c>
      <c r="D142" s="34" t="n">
        <v>41100</v>
      </c>
      <c r="E142" s="34" t="n">
        <v>42100</v>
      </c>
      <c r="F142" s="34" t="n">
        <v>41437.875</v>
      </c>
      <c r="G142" s="34" t="n">
        <v>1032263</v>
      </c>
      <c r="H142" s="39" t="n">
        <v>0.008383233532934131</v>
      </c>
      <c r="I142" s="39" t="n">
        <v>-0.1745098039215687</v>
      </c>
      <c r="J142" s="34" t="n">
        <v>38827.5</v>
      </c>
      <c r="K142" s="34" t="n">
        <v>36006.66666666666</v>
      </c>
      <c r="L142" s="34" t="n">
        <v>36165.83333333334</v>
      </c>
      <c r="M142" s="39" t="n">
        <v>0.3704254124684149</v>
      </c>
      <c r="N142" s="39" t="n">
        <v>0.3829032297998023</v>
      </c>
      <c r="O142" s="39" t="n">
        <v>0.1020942408376964</v>
      </c>
      <c r="P142" s="39" t="n">
        <v>0.2719033232628398</v>
      </c>
      <c r="Q142" s="39" t="n">
        <v>0.06852791878172582</v>
      </c>
      <c r="R142" s="39" t="n">
        <v>0.08428304680960652</v>
      </c>
      <c r="S142" s="39" t="n">
        <v>0.1692279207554157</v>
      </c>
      <c r="T142" s="39" t="n">
        <v>0.1640821217078734</v>
      </c>
      <c r="U142" s="34" t="n">
        <v>42350</v>
      </c>
      <c r="V142" s="34" t="n">
        <v>29400</v>
      </c>
      <c r="W142" s="39" t="n">
        <v>-0.005903187721369552</v>
      </c>
      <c r="X142" s="39" t="n">
        <v>0.4319727891156462</v>
      </c>
      <c r="Y142" s="34" t="n">
        <v>51414494</v>
      </c>
      <c r="Z142" s="34" t="n">
        <v>2164550197400</v>
      </c>
      <c r="AA142" s="34" t="n">
        <v>43458272300</v>
      </c>
      <c r="AB142" s="34" t="n">
        <v>27197809527.5</v>
      </c>
      <c r="AC142" s="39" t="n">
        <v>0.02007727626377107</v>
      </c>
      <c r="AD142" s="32" t="inlineStr">
        <is>
          <t>yfinance_download</t>
        </is>
      </c>
      <c r="AE142" s="32" t="inlineStr">
        <is>
          <t>005290.KQ</t>
        </is>
      </c>
    </row>
    <row r="143" ht="24" customHeight="1">
      <c r="A143" s="27" t="inlineStr">
        <is>
          <t>2024-01-05</t>
        </is>
      </c>
      <c r="B143" s="33" t="n">
        <v>42600</v>
      </c>
      <c r="C143" s="33" t="n">
        <v>42600</v>
      </c>
      <c r="D143" s="33" t="n">
        <v>40800</v>
      </c>
      <c r="E143" s="33" t="n">
        <v>41250</v>
      </c>
      <c r="F143" s="33" t="n">
        <v>40601.24609375</v>
      </c>
      <c r="G143" s="33" t="n">
        <v>630680</v>
      </c>
      <c r="H143" s="38" t="n">
        <v>-0.02019002375296908</v>
      </c>
      <c r="I143" s="38" t="n">
        <v>-0.1911764705882353</v>
      </c>
      <c r="J143" s="33" t="n">
        <v>39005</v>
      </c>
      <c r="K143" s="33" t="n">
        <v>36157.5</v>
      </c>
      <c r="L143" s="33" t="n">
        <v>36176.66666666666</v>
      </c>
      <c r="M143" s="38" t="n">
        <v>0.3758741114767394</v>
      </c>
      <c r="N143" s="38" t="n">
        <v>0.3807066362255473</v>
      </c>
      <c r="O143" s="38" t="n">
        <v>0.09416445623342184</v>
      </c>
      <c r="P143" s="38" t="n">
        <v>0.281055900621118</v>
      </c>
      <c r="Q143" s="38" t="n">
        <v>0.03254067584480591</v>
      </c>
      <c r="R143" s="38" t="n">
        <v>0.05755672349698759</v>
      </c>
      <c r="S143" s="38" t="n">
        <v>0.1408421489317568</v>
      </c>
      <c r="T143" s="38" t="n">
        <v>0.1402377222887681</v>
      </c>
      <c r="U143" s="33" t="n">
        <v>42350</v>
      </c>
      <c r="V143" s="33" t="n">
        <v>29400</v>
      </c>
      <c r="W143" s="38" t="n">
        <v>-0.02597402597402598</v>
      </c>
      <c r="X143" s="38" t="n">
        <v>0.403061224489796</v>
      </c>
      <c r="Y143" s="33" t="n">
        <v>51414494</v>
      </c>
      <c r="Z143" s="33" t="n">
        <v>2120847877500</v>
      </c>
      <c r="AA143" s="33" t="n">
        <v>26015550000</v>
      </c>
      <c r="AB143" s="33" t="n">
        <v>27426206757.5</v>
      </c>
      <c r="AC143" s="38" t="n">
        <v>0.01226657992588627</v>
      </c>
      <c r="AD143" s="27" t="inlineStr">
        <is>
          <t>yfinance_download</t>
        </is>
      </c>
      <c r="AE143" s="27" t="inlineStr">
        <is>
          <t>005290.KQ</t>
        </is>
      </c>
    </row>
    <row r="144" ht="24" customHeight="1">
      <c r="A144" s="32" t="inlineStr">
        <is>
          <t>2024-01-08</t>
        </is>
      </c>
      <c r="B144" s="34" t="n">
        <v>40900</v>
      </c>
      <c r="C144" s="34" t="n">
        <v>41750</v>
      </c>
      <c r="D144" s="34" t="n">
        <v>40600</v>
      </c>
      <c r="E144" s="34" t="n">
        <v>41550</v>
      </c>
      <c r="F144" s="34" t="n">
        <v>40896.52734375</v>
      </c>
      <c r="G144" s="34" t="n">
        <v>366372</v>
      </c>
      <c r="H144" s="39" t="n">
        <v>0.00727272727272732</v>
      </c>
      <c r="I144" s="39" t="n">
        <v>-0.1852941176470588</v>
      </c>
      <c r="J144" s="34" t="n">
        <v>39140</v>
      </c>
      <c r="K144" s="34" t="n">
        <v>36292.5</v>
      </c>
      <c r="L144" s="34" t="n">
        <v>36215.83333333334</v>
      </c>
      <c r="M144" s="39" t="n">
        <v>0.3636256717395221</v>
      </c>
      <c r="N144" s="39" t="n">
        <v>0.3739605819807337</v>
      </c>
      <c r="O144" s="39" t="n">
        <v>0.06949806949806958</v>
      </c>
      <c r="P144" s="39" t="n">
        <v>0.242152466367713</v>
      </c>
      <c r="Q144" s="39" t="n">
        <v>0.1275440976933515</v>
      </c>
      <c r="R144" s="39" t="n">
        <v>0.06157383750638723</v>
      </c>
      <c r="S144" s="39" t="n">
        <v>0.144864641454846</v>
      </c>
      <c r="T144" s="39" t="n">
        <v>0.1472882486941713</v>
      </c>
      <c r="U144" s="34" t="n">
        <v>42350</v>
      </c>
      <c r="V144" s="34" t="n">
        <v>29400</v>
      </c>
      <c r="W144" s="39" t="n">
        <v>-0.01889020070838254</v>
      </c>
      <c r="X144" s="39" t="n">
        <v>0.4132653061224489</v>
      </c>
      <c r="Y144" s="34" t="n">
        <v>51414494</v>
      </c>
      <c r="Z144" s="34" t="n">
        <v>2136272225700</v>
      </c>
      <c r="AA144" s="34" t="n">
        <v>15222756600</v>
      </c>
      <c r="AB144" s="34" t="n">
        <v>27193114812.5</v>
      </c>
      <c r="AC144" s="39" t="n">
        <v>0.007125850543233976</v>
      </c>
      <c r="AD144" s="32" t="inlineStr">
        <is>
          <t>yfinance_download</t>
        </is>
      </c>
      <c r="AE144" s="32" t="inlineStr">
        <is>
          <t>005290.KQ</t>
        </is>
      </c>
    </row>
    <row r="145" ht="24" customHeight="1">
      <c r="A145" s="27" t="inlineStr">
        <is>
          <t>2024-01-09</t>
        </is>
      </c>
      <c r="B145" s="33" t="n">
        <v>42000</v>
      </c>
      <c r="C145" s="33" t="n">
        <v>42450</v>
      </c>
      <c r="D145" s="33" t="n">
        <v>40100</v>
      </c>
      <c r="E145" s="33" t="n">
        <v>40450</v>
      </c>
      <c r="F145" s="33" t="n">
        <v>39813.828125</v>
      </c>
      <c r="G145" s="33" t="n">
        <v>846160</v>
      </c>
      <c r="H145" s="38" t="n">
        <v>-0.02647412755716005</v>
      </c>
      <c r="I145" s="38" t="n">
        <v>-0.2068627450980393</v>
      </c>
      <c r="J145" s="33" t="n">
        <v>39252.5</v>
      </c>
      <c r="K145" s="33" t="n">
        <v>36403.33333333334</v>
      </c>
      <c r="L145" s="33" t="n">
        <v>36222.91666666666</v>
      </c>
      <c r="M145" s="38" t="n">
        <v>0.3723931114188339</v>
      </c>
      <c r="N145" s="38" t="n">
        <v>0.3788184064751448</v>
      </c>
      <c r="O145" s="38" t="n">
        <v>0.05890052356020936</v>
      </c>
      <c r="P145" s="38" t="n">
        <v>0.1967455621301775</v>
      </c>
      <c r="Q145" s="38" t="n">
        <v>0.02146464646464641</v>
      </c>
      <c r="R145" s="38" t="n">
        <v>0.03050761098019228</v>
      </c>
      <c r="S145" s="38" t="n">
        <v>0.1111619815035252</v>
      </c>
      <c r="T145" s="38" t="n">
        <v>0.1166963823546328</v>
      </c>
      <c r="U145" s="33" t="n">
        <v>42350</v>
      </c>
      <c r="V145" s="33" t="n">
        <v>29400</v>
      </c>
      <c r="W145" s="38" t="n">
        <v>-0.04486422668240853</v>
      </c>
      <c r="X145" s="38" t="n">
        <v>0.3758503401360545</v>
      </c>
      <c r="Y145" s="33" t="n">
        <v>51414494</v>
      </c>
      <c r="Z145" s="33" t="n">
        <v>2079716282300</v>
      </c>
      <c r="AA145" s="33" t="n">
        <v>34227172000</v>
      </c>
      <c r="AB145" s="33" t="n">
        <v>28241951712.5</v>
      </c>
      <c r="AC145" s="38" t="n">
        <v>0.01645761601777117</v>
      </c>
      <c r="AD145" s="27" t="inlineStr">
        <is>
          <t>yfinance_download</t>
        </is>
      </c>
      <c r="AE145" s="27" t="inlineStr">
        <is>
          <t>005290.KQ</t>
        </is>
      </c>
    </row>
    <row r="146" ht="24" customHeight="1">
      <c r="A146" s="32" t="inlineStr">
        <is>
          <t>2024-01-10</t>
        </is>
      </c>
      <c r="B146" s="34" t="n">
        <v>40600</v>
      </c>
      <c r="C146" s="34" t="n">
        <v>40700</v>
      </c>
      <c r="D146" s="34" t="n">
        <v>38900</v>
      </c>
      <c r="E146" s="34" t="n">
        <v>39650</v>
      </c>
      <c r="F146" s="34" t="n">
        <v>39026.41015625</v>
      </c>
      <c r="G146" s="34" t="n">
        <v>659053</v>
      </c>
      <c r="H146" s="39" t="n">
        <v>-0.01977750309023485</v>
      </c>
      <c r="I146" s="39" t="n">
        <v>-0.2225490196078431</v>
      </c>
      <c r="J146" s="34" t="n">
        <v>39272.5</v>
      </c>
      <c r="K146" s="34" t="n">
        <v>36502.5</v>
      </c>
      <c r="L146" s="34" t="n">
        <v>36217.91666666666</v>
      </c>
      <c r="M146" s="39" t="n">
        <v>0.3691566197941448</v>
      </c>
      <c r="N146" s="39" t="n">
        <v>0.3815589709135099</v>
      </c>
      <c r="O146" s="39" t="n">
        <v>0.01019108280254777</v>
      </c>
      <c r="P146" s="39" t="n">
        <v>0.1765578635014837</v>
      </c>
      <c r="Q146" s="39" t="n">
        <v>-0.01490683229813661</v>
      </c>
      <c r="R146" s="39" t="n">
        <v>0.009612324145394258</v>
      </c>
      <c r="S146" s="39" t="n">
        <v>0.08622697075542773</v>
      </c>
      <c r="T146" s="39" t="n">
        <v>0.09476203076285916</v>
      </c>
      <c r="U146" s="34" t="n">
        <v>42350</v>
      </c>
      <c r="V146" s="34" t="n">
        <v>29400</v>
      </c>
      <c r="W146" s="39" t="n">
        <v>-0.06375442739079107</v>
      </c>
      <c r="X146" s="39" t="n">
        <v>0.3486394557823129</v>
      </c>
      <c r="Y146" s="34" t="n">
        <v>51414494</v>
      </c>
      <c r="Z146" s="34" t="n">
        <v>2038584687100</v>
      </c>
      <c r="AA146" s="34" t="n">
        <v>26131451450</v>
      </c>
      <c r="AB146" s="34" t="n">
        <v>27566369847.5</v>
      </c>
      <c r="AC146" s="39" t="n">
        <v>0.01281842820431141</v>
      </c>
      <c r="AD146" s="32" t="inlineStr">
        <is>
          <t>yfinance_download</t>
        </is>
      </c>
      <c r="AE146" s="32" t="inlineStr">
        <is>
          <t>005290.KQ</t>
        </is>
      </c>
    </row>
    <row r="147" ht="24" customHeight="1">
      <c r="A147" s="27" t="inlineStr">
        <is>
          <t>2024-01-11</t>
        </is>
      </c>
      <c r="B147" s="33" t="n">
        <v>39750</v>
      </c>
      <c r="C147" s="33" t="n">
        <v>42300</v>
      </c>
      <c r="D147" s="33" t="n">
        <v>39350</v>
      </c>
      <c r="E147" s="33" t="n">
        <v>42050</v>
      </c>
      <c r="F147" s="33" t="n">
        <v>41388.6640625</v>
      </c>
      <c r="G147" s="33" t="n">
        <v>1067357</v>
      </c>
      <c r="H147" s="38" t="n">
        <v>0.06052963430012603</v>
      </c>
      <c r="I147" s="38" t="n">
        <v>-0.1754901960784314</v>
      </c>
      <c r="J147" s="33" t="n">
        <v>39455</v>
      </c>
      <c r="K147" s="33" t="n">
        <v>36662.5</v>
      </c>
      <c r="L147" s="33" t="n">
        <v>36230.41666666666</v>
      </c>
      <c r="M147" s="38" t="n">
        <v>0.4153514789021232</v>
      </c>
      <c r="N147" s="38" t="n">
        <v>0.3901064178451088</v>
      </c>
      <c r="O147" s="38" t="n">
        <v>0.09505208333333326</v>
      </c>
      <c r="P147" s="38" t="n">
        <v>0.2958397534668722</v>
      </c>
      <c r="Q147" s="38" t="n">
        <v>0.03699136868064112</v>
      </c>
      <c r="R147" s="38" t="n">
        <v>0.06577113166898996</v>
      </c>
      <c r="S147" s="38" t="n">
        <v>0.1469485168769178</v>
      </c>
      <c r="T147" s="38" t="n">
        <v>0.1606270053937184</v>
      </c>
      <c r="U147" s="33" t="n">
        <v>42350</v>
      </c>
      <c r="V147" s="33" t="n">
        <v>29400</v>
      </c>
      <c r="W147" s="38" t="n">
        <v>-0.00708382526564344</v>
      </c>
      <c r="X147" s="38" t="n">
        <v>0.4302721088435375</v>
      </c>
      <c r="Y147" s="33" t="n">
        <v>51414494</v>
      </c>
      <c r="Z147" s="33" t="n">
        <v>2161979472700</v>
      </c>
      <c r="AA147" s="33" t="n">
        <v>44882361850</v>
      </c>
      <c r="AB147" s="33" t="n">
        <v>28912784260</v>
      </c>
      <c r="AC147" s="38" t="n">
        <v>0.02075984643552069</v>
      </c>
      <c r="AD147" s="27" t="inlineStr">
        <is>
          <t>yfinance_download</t>
        </is>
      </c>
      <c r="AE147" s="27" t="inlineStr">
        <is>
          <t>005290.KQ</t>
        </is>
      </c>
    </row>
    <row r="148" ht="24" customHeight="1">
      <c r="A148" s="32" t="inlineStr">
        <is>
          <t>2024-01-12</t>
        </is>
      </c>
      <c r="B148" s="34" t="n">
        <v>42650</v>
      </c>
      <c r="C148" s="34" t="n">
        <v>44650</v>
      </c>
      <c r="D148" s="34" t="n">
        <v>41500</v>
      </c>
      <c r="E148" s="34" t="n">
        <v>41800</v>
      </c>
      <c r="F148" s="34" t="n">
        <v>41142.59375</v>
      </c>
      <c r="G148" s="34" t="n">
        <v>2452969</v>
      </c>
      <c r="H148" s="39" t="n">
        <v>-0.005945303210463715</v>
      </c>
      <c r="I148" s="39" t="n">
        <v>-0.1803921568627451</v>
      </c>
      <c r="J148" s="34" t="n">
        <v>39632.5</v>
      </c>
      <c r="K148" s="34" t="n">
        <v>36796.66666666666</v>
      </c>
      <c r="L148" s="34" t="n">
        <v>36244.16666666666</v>
      </c>
      <c r="M148" s="39" t="n">
        <v>0.415985373423828</v>
      </c>
      <c r="N148" s="39" t="n">
        <v>0.3835951133248549</v>
      </c>
      <c r="O148" s="39" t="n">
        <v>0.09281045751633976</v>
      </c>
      <c r="P148" s="39" t="n">
        <v>0.2385185185185186</v>
      </c>
      <c r="Q148" s="39" t="n">
        <v>0.04109589041095885</v>
      </c>
      <c r="R148" s="39" t="n">
        <v>0.05468996404466031</v>
      </c>
      <c r="S148" s="39" t="n">
        <v>0.1359724612736661</v>
      </c>
      <c r="T148" s="39" t="n">
        <v>0.1532890350171292</v>
      </c>
      <c r="U148" s="34" t="n">
        <v>42350</v>
      </c>
      <c r="V148" s="34" t="n">
        <v>29400</v>
      </c>
      <c r="W148" s="39" t="n">
        <v>-0.01298701298701299</v>
      </c>
      <c r="X148" s="39" t="n">
        <v>0.4217687074829932</v>
      </c>
      <c r="Y148" s="34" t="n">
        <v>51414494</v>
      </c>
      <c r="Z148" s="34" t="n">
        <v>2149125849200</v>
      </c>
      <c r="AA148" s="34" t="n">
        <v>102534104200</v>
      </c>
      <c r="AB148" s="34" t="n">
        <v>33251246857.5</v>
      </c>
      <c r="AC148" s="39" t="n">
        <v>0.04770967890883065</v>
      </c>
      <c r="AD148" s="32" t="inlineStr">
        <is>
          <t>yfinance_download</t>
        </is>
      </c>
      <c r="AE148" s="32" t="inlineStr">
        <is>
          <t>005290.KQ</t>
        </is>
      </c>
    </row>
    <row r="149" ht="24" customHeight="1">
      <c r="A149" s="27" t="inlineStr">
        <is>
          <t>2024-01-15</t>
        </is>
      </c>
      <c r="B149" s="33" t="n">
        <v>41850</v>
      </c>
      <c r="C149" s="33" t="n">
        <v>42050</v>
      </c>
      <c r="D149" s="33" t="n">
        <v>40700</v>
      </c>
      <c r="E149" s="33" t="n">
        <v>41000</v>
      </c>
      <c r="F149" s="33" t="n">
        <v>40355.17578125</v>
      </c>
      <c r="G149" s="33" t="n">
        <v>553590</v>
      </c>
      <c r="H149" s="38" t="n">
        <v>-0.01913875598086123</v>
      </c>
      <c r="I149" s="38" t="n">
        <v>-0.196078431372549</v>
      </c>
      <c r="J149" s="33" t="n">
        <v>39770</v>
      </c>
      <c r="K149" s="33" t="n">
        <v>36916.66666666666</v>
      </c>
      <c r="L149" s="33" t="n">
        <v>36252.91666666666</v>
      </c>
      <c r="M149" s="38" t="n">
        <v>0.4243569181530623</v>
      </c>
      <c r="N149" s="38" t="n">
        <v>0.3864574020885366</v>
      </c>
      <c r="O149" s="38" t="n">
        <v>0.07189542483660127</v>
      </c>
      <c r="P149" s="38" t="n">
        <v>0.2130177514792899</v>
      </c>
      <c r="Q149" s="38" t="n">
        <v>0.02628285356695881</v>
      </c>
      <c r="R149" s="38" t="n">
        <v>0.03092783505154628</v>
      </c>
      <c r="S149" s="38" t="n">
        <v>0.1106094808126412</v>
      </c>
      <c r="T149" s="38" t="n">
        <v>0.1309434873056192</v>
      </c>
      <c r="U149" s="33" t="n">
        <v>42350</v>
      </c>
      <c r="V149" s="33" t="n">
        <v>29400</v>
      </c>
      <c r="W149" s="38" t="n">
        <v>-0.03187721369539553</v>
      </c>
      <c r="X149" s="38" t="n">
        <v>0.3945578231292517</v>
      </c>
      <c r="Y149" s="33" t="n">
        <v>51414494</v>
      </c>
      <c r="Z149" s="33" t="n">
        <v>2107994254000</v>
      </c>
      <c r="AA149" s="33" t="n">
        <v>22697190000</v>
      </c>
      <c r="AB149" s="33" t="n">
        <v>31890618982.5</v>
      </c>
      <c r="AC149" s="38" t="n">
        <v>0.01076719728098462</v>
      </c>
      <c r="AD149" s="27" t="inlineStr">
        <is>
          <t>yfinance_download</t>
        </is>
      </c>
      <c r="AE149" s="27" t="inlineStr">
        <is>
          <t>005290.KQ</t>
        </is>
      </c>
    </row>
    <row r="150" ht="24" customHeight="1">
      <c r="A150" s="32" t="inlineStr">
        <is>
          <t>2024-01-16</t>
        </is>
      </c>
      <c r="B150" s="34" t="n">
        <v>40900</v>
      </c>
      <c r="C150" s="34" t="n">
        <v>41850</v>
      </c>
      <c r="D150" s="34" t="n">
        <v>40200</v>
      </c>
      <c r="E150" s="34" t="n">
        <v>40650</v>
      </c>
      <c r="F150" s="34" t="n">
        <v>40010.6796875</v>
      </c>
      <c r="G150" s="34" t="n">
        <v>526368</v>
      </c>
      <c r="H150" s="39" t="n">
        <v>-0.008536585365853666</v>
      </c>
      <c r="I150" s="39" t="n">
        <v>-0.2029411764705882</v>
      </c>
      <c r="J150" s="34" t="n">
        <v>39840</v>
      </c>
      <c r="K150" s="34" t="n">
        <v>37050</v>
      </c>
      <c r="L150" s="34" t="n">
        <v>36257.91666666666</v>
      </c>
      <c r="M150" s="39" t="n">
        <v>0.4179553154706911</v>
      </c>
      <c r="N150" s="39" t="n">
        <v>0.3793484145530706</v>
      </c>
      <c r="O150" s="39" t="n">
        <v>0.03566878980891719</v>
      </c>
      <c r="P150" s="39" t="n">
        <v>0.2450229709035221</v>
      </c>
      <c r="Q150" s="39" t="n">
        <v>0.01498127340823974</v>
      </c>
      <c r="R150" s="39" t="n">
        <v>0.02033132530120474</v>
      </c>
      <c r="S150" s="39" t="n">
        <v>0.09716599190283404</v>
      </c>
      <c r="T150" s="39" t="n">
        <v>0.1211344648869788</v>
      </c>
      <c r="U150" s="34" t="n">
        <v>42350</v>
      </c>
      <c r="V150" s="34" t="n">
        <v>29400</v>
      </c>
      <c r="W150" s="39" t="n">
        <v>-0.04014167650531286</v>
      </c>
      <c r="X150" s="39" t="n">
        <v>0.3826530612244898</v>
      </c>
      <c r="Y150" s="34" t="n">
        <v>51414494</v>
      </c>
      <c r="Z150" s="34" t="n">
        <v>2089999181100</v>
      </c>
      <c r="AA150" s="34" t="n">
        <v>21396859200</v>
      </c>
      <c r="AB150" s="34" t="n">
        <v>31667721980</v>
      </c>
      <c r="AC150" s="39" t="n">
        <v>0.01023773568597213</v>
      </c>
      <c r="AD150" s="32" t="inlineStr">
        <is>
          <t>yfinance_download</t>
        </is>
      </c>
      <c r="AE150" s="32" t="inlineStr">
        <is>
          <t>005290.KQ</t>
        </is>
      </c>
    </row>
    <row r="151" ht="24" customHeight="1">
      <c r="A151" s="27" t="inlineStr">
        <is>
          <t>2024-01-17</t>
        </is>
      </c>
      <c r="B151" s="33" t="n">
        <v>41200</v>
      </c>
      <c r="C151" s="33" t="n">
        <v>41850</v>
      </c>
      <c r="D151" s="33" t="n">
        <v>39650</v>
      </c>
      <c r="E151" s="33" t="n">
        <v>39900</v>
      </c>
      <c r="F151" s="33" t="n">
        <v>39272.4765625</v>
      </c>
      <c r="G151" s="33" t="n">
        <v>610791</v>
      </c>
      <c r="H151" s="38" t="n">
        <v>-0.01845018450184499</v>
      </c>
      <c r="I151" s="38" t="n">
        <v>-0.2176470588235294</v>
      </c>
      <c r="J151" s="33" t="n">
        <v>39927.5</v>
      </c>
      <c r="K151" s="33" t="n">
        <v>37178.33333333334</v>
      </c>
      <c r="L151" s="33" t="n">
        <v>36260.41666666666</v>
      </c>
      <c r="M151" s="38" t="n">
        <v>0.41011754865606</v>
      </c>
      <c r="N151" s="38" t="n">
        <v>0.3803988221559993</v>
      </c>
      <c r="O151" s="38" t="n">
        <v>0.04587155963302747</v>
      </c>
      <c r="P151" s="38" t="n">
        <v>0.2391304347826086</v>
      </c>
      <c r="Q151" s="38" t="n">
        <v>0.007575757575757569</v>
      </c>
      <c r="R151" s="38" t="n">
        <v>-0.0006887483563959851</v>
      </c>
      <c r="S151" s="38" t="n">
        <v>0.07320572017752269</v>
      </c>
      <c r="T151" s="38" t="n">
        <v>0.1003734559034761</v>
      </c>
      <c r="U151" s="33" t="n">
        <v>42350</v>
      </c>
      <c r="V151" s="33" t="n">
        <v>29400</v>
      </c>
      <c r="W151" s="38" t="n">
        <v>-0.05785123966942152</v>
      </c>
      <c r="X151" s="38" t="n">
        <v>0.3571428571428572</v>
      </c>
      <c r="Y151" s="33" t="n">
        <v>51414494</v>
      </c>
      <c r="Z151" s="33" t="n">
        <v>2051438310600</v>
      </c>
      <c r="AA151" s="33" t="n">
        <v>24370560900</v>
      </c>
      <c r="AB151" s="33" t="n">
        <v>31857384582.5</v>
      </c>
      <c r="AC151" s="38" t="n">
        <v>0.01187974348245069</v>
      </c>
      <c r="AD151" s="27" t="inlineStr">
        <is>
          <t>yfinance_download</t>
        </is>
      </c>
      <c r="AE151" s="27" t="inlineStr">
        <is>
          <t>005290.KQ</t>
        </is>
      </c>
    </row>
    <row r="152" ht="24" customHeight="1">
      <c r="A152" s="32" t="inlineStr">
        <is>
          <t>2024-01-18</t>
        </is>
      </c>
      <c r="B152" s="34" t="n">
        <v>40150</v>
      </c>
      <c r="C152" s="34" t="n">
        <v>41050</v>
      </c>
      <c r="D152" s="34" t="n">
        <v>39700</v>
      </c>
      <c r="E152" s="34" t="n">
        <v>40700</v>
      </c>
      <c r="F152" s="34" t="n">
        <v>40059.89453125</v>
      </c>
      <c r="G152" s="34" t="n">
        <v>509639</v>
      </c>
      <c r="H152" s="39" t="n">
        <v>0.02005012531328321</v>
      </c>
      <c r="I152" s="39" t="n">
        <v>-0.2019607843137254</v>
      </c>
      <c r="J152" s="34" t="n">
        <v>40032.5</v>
      </c>
      <c r="K152" s="34" t="n">
        <v>37323.33333333334</v>
      </c>
      <c r="L152" s="34" t="n">
        <v>36280.41666666666</v>
      </c>
      <c r="M152" s="39" t="n">
        <v>0.4136163855311131</v>
      </c>
      <c r="N152" s="39" t="n">
        <v>0.3812356490662892</v>
      </c>
      <c r="O152" s="39" t="n">
        <v>0.05440414507772018</v>
      </c>
      <c r="P152" s="39" t="n">
        <v>0.2718750000000001</v>
      </c>
      <c r="Q152" s="39" t="n">
        <v>0.06266318537859017</v>
      </c>
      <c r="R152" s="39" t="n">
        <v>0.01667395241366387</v>
      </c>
      <c r="S152" s="39" t="n">
        <v>0.09047066178440644</v>
      </c>
      <c r="T152" s="39" t="n">
        <v>0.1218173256922352</v>
      </c>
      <c r="U152" s="34" t="n">
        <v>42350</v>
      </c>
      <c r="V152" s="34" t="n">
        <v>29400</v>
      </c>
      <c r="W152" s="39" t="n">
        <v>-0.03896103896103897</v>
      </c>
      <c r="X152" s="39" t="n">
        <v>0.3843537414965987</v>
      </c>
      <c r="Y152" s="34" t="n">
        <v>51414494</v>
      </c>
      <c r="Z152" s="34" t="n">
        <v>2092569905800</v>
      </c>
      <c r="AA152" s="34" t="n">
        <v>20742307300</v>
      </c>
      <c r="AB152" s="34" t="n">
        <v>32330359017.5</v>
      </c>
      <c r="AC152" s="39" t="n">
        <v>0.009912360510637331</v>
      </c>
      <c r="AD152" s="32" t="inlineStr">
        <is>
          <t>yfinance_download</t>
        </is>
      </c>
      <c r="AE152" s="32" t="inlineStr">
        <is>
          <t>005290.KQ</t>
        </is>
      </c>
    </row>
    <row r="153" ht="24" customHeight="1">
      <c r="A153" s="27" t="inlineStr">
        <is>
          <t>2024-01-19</t>
        </is>
      </c>
      <c r="B153" s="33" t="n">
        <v>41450</v>
      </c>
      <c r="C153" s="33" t="n">
        <v>42450</v>
      </c>
      <c r="D153" s="33" t="n">
        <v>40950</v>
      </c>
      <c r="E153" s="33" t="n">
        <v>42000</v>
      </c>
      <c r="F153" s="33" t="n">
        <v>41339.44921875</v>
      </c>
      <c r="G153" s="33" t="n">
        <v>949227</v>
      </c>
      <c r="H153" s="38" t="n">
        <v>0.03194103194103204</v>
      </c>
      <c r="I153" s="38" t="n">
        <v>-0.1764705882352942</v>
      </c>
      <c r="J153" s="33" t="n">
        <v>40207.5</v>
      </c>
      <c r="K153" s="33" t="n">
        <v>37469.16666666666</v>
      </c>
      <c r="L153" s="33" t="n">
        <v>36305</v>
      </c>
      <c r="M153" s="38" t="n">
        <v>0.425455875612587</v>
      </c>
      <c r="N153" s="38" t="n">
        <v>0.3787330255375031</v>
      </c>
      <c r="O153" s="38" t="n">
        <v>0.09090909090909083</v>
      </c>
      <c r="P153" s="38" t="n">
        <v>0.263157894736842</v>
      </c>
      <c r="Q153" s="38" t="n">
        <v>0.07554417413572345</v>
      </c>
      <c r="R153" s="38" t="n">
        <v>0.04458123484424559</v>
      </c>
      <c r="S153" s="38" t="n">
        <v>0.1209216466872762</v>
      </c>
      <c r="T153" s="38" t="n">
        <v>0.1568654455309186</v>
      </c>
      <c r="U153" s="33" t="n">
        <v>42350</v>
      </c>
      <c r="V153" s="33" t="n">
        <v>29400</v>
      </c>
      <c r="W153" s="38" t="n">
        <v>-0.008264462809917328</v>
      </c>
      <c r="X153" s="38" t="n">
        <v>0.4285714285714286</v>
      </c>
      <c r="Y153" s="33" t="n">
        <v>51414494</v>
      </c>
      <c r="Z153" s="33" t="n">
        <v>2159408748000</v>
      </c>
      <c r="AA153" s="33" t="n">
        <v>39867534000</v>
      </c>
      <c r="AB153" s="33" t="n">
        <v>33772479242.5</v>
      </c>
      <c r="AC153" s="38" t="n">
        <v>0.01846224529604434</v>
      </c>
      <c r="AD153" s="27" t="inlineStr">
        <is>
          <t>yfinance_download</t>
        </is>
      </c>
      <c r="AE153" s="27" t="inlineStr">
        <is>
          <t>005290.KQ</t>
        </is>
      </c>
    </row>
    <row r="154" ht="24" customHeight="1">
      <c r="A154" s="32" t="inlineStr">
        <is>
          <t>2024-01-22</t>
        </is>
      </c>
      <c r="B154" s="34" t="n">
        <v>42900</v>
      </c>
      <c r="C154" s="34" t="n">
        <v>43000</v>
      </c>
      <c r="D154" s="34" t="n">
        <v>41500</v>
      </c>
      <c r="E154" s="34" t="n">
        <v>42200</v>
      </c>
      <c r="F154" s="34" t="n">
        <v>41536.3046875</v>
      </c>
      <c r="G154" s="34" t="n">
        <v>835784</v>
      </c>
      <c r="H154" s="39" t="n">
        <v>0.004761904761904745</v>
      </c>
      <c r="I154" s="39" t="n">
        <v>-0.1725490196078432</v>
      </c>
      <c r="J154" s="34" t="n">
        <v>40427.5</v>
      </c>
      <c r="K154" s="34" t="n">
        <v>37632.5</v>
      </c>
      <c r="L154" s="34" t="n">
        <v>36327.5</v>
      </c>
      <c r="M154" s="39" t="n">
        <v>0.4168014598409373</v>
      </c>
      <c r="N154" s="39" t="n">
        <v>0.3736259466254094</v>
      </c>
      <c r="O154" s="39" t="n">
        <v>0.1164021164021165</v>
      </c>
      <c r="P154" s="39" t="n">
        <v>0.3024691358024691</v>
      </c>
      <c r="Q154" s="39" t="n">
        <v>0.06835443037974676</v>
      </c>
      <c r="R154" s="39" t="n">
        <v>0.04384391812503874</v>
      </c>
      <c r="S154" s="39" t="n">
        <v>0.1213711552514449</v>
      </c>
      <c r="T154" s="39" t="n">
        <v>0.1616543940540913</v>
      </c>
      <c r="U154" s="34" t="n">
        <v>42350</v>
      </c>
      <c r="V154" s="34" t="n">
        <v>29400</v>
      </c>
      <c r="W154" s="39" t="n">
        <v>-0.003541912632821775</v>
      </c>
      <c r="X154" s="39" t="n">
        <v>0.435374149659864</v>
      </c>
      <c r="Y154" s="34" t="n">
        <v>51414494</v>
      </c>
      <c r="Z154" s="34" t="n">
        <v>2169691646800</v>
      </c>
      <c r="AA154" s="34" t="n">
        <v>35270084800</v>
      </c>
      <c r="AB154" s="34" t="n">
        <v>33852462202.5</v>
      </c>
      <c r="AC154" s="39" t="n">
        <v>0.01625580522099469</v>
      </c>
      <c r="AD154" s="32" t="inlineStr">
        <is>
          <t>yfinance_download</t>
        </is>
      </c>
      <c r="AE154" s="32" t="inlineStr">
        <is>
          <t>005290.KQ</t>
        </is>
      </c>
    </row>
    <row r="155" ht="24" customHeight="1">
      <c r="A155" s="27" t="inlineStr">
        <is>
          <t>2024-01-23</t>
        </is>
      </c>
      <c r="B155" s="33" t="n">
        <v>42300</v>
      </c>
      <c r="C155" s="33" t="n">
        <v>42300</v>
      </c>
      <c r="D155" s="33" t="n">
        <v>40950</v>
      </c>
      <c r="E155" s="33" t="n">
        <v>41400</v>
      </c>
      <c r="F155" s="33" t="n">
        <v>40748.88671875</v>
      </c>
      <c r="G155" s="33" t="n">
        <v>472706</v>
      </c>
      <c r="H155" s="38" t="n">
        <v>-0.01895734597156395</v>
      </c>
      <c r="I155" s="38" t="n">
        <v>-0.1882352941176471</v>
      </c>
      <c r="J155" s="33" t="n">
        <v>40620</v>
      </c>
      <c r="K155" s="33" t="n">
        <v>37815.83333333334</v>
      </c>
      <c r="L155" s="33" t="n">
        <v>36352.5</v>
      </c>
      <c r="M155" s="38" t="n">
        <v>0.4239352899223144</v>
      </c>
      <c r="N155" s="38" t="n">
        <v>0.3507347167713096</v>
      </c>
      <c r="O155" s="38" t="n">
        <v>0.1025299600532623</v>
      </c>
      <c r="P155" s="38" t="n">
        <v>0.361842105263158</v>
      </c>
      <c r="Q155" s="38" t="n">
        <v>0.078125</v>
      </c>
      <c r="R155" s="38" t="n">
        <v>0.01920236336779912</v>
      </c>
      <c r="S155" s="38" t="n">
        <v>0.09477952356817032</v>
      </c>
      <c r="T155" s="38" t="n">
        <v>0.1388487724365588</v>
      </c>
      <c r="U155" s="33" t="n">
        <v>42350</v>
      </c>
      <c r="V155" s="33" t="n">
        <v>29400</v>
      </c>
      <c r="W155" s="38" t="n">
        <v>-0.02243211334120421</v>
      </c>
      <c r="X155" s="38" t="n">
        <v>0.4081632653061225</v>
      </c>
      <c r="Y155" s="33" t="n">
        <v>51414494</v>
      </c>
      <c r="Z155" s="33" t="n">
        <v>2128560051600</v>
      </c>
      <c r="AA155" s="33" t="n">
        <v>19570028400</v>
      </c>
      <c r="AB155" s="33" t="n">
        <v>33920511302.5</v>
      </c>
      <c r="AC155" s="38" t="n">
        <v>0.00919402221482526</v>
      </c>
      <c r="AD155" s="27" t="inlineStr">
        <is>
          <t>yfinance_download</t>
        </is>
      </c>
      <c r="AE155" s="27" t="inlineStr">
        <is>
          <t>005290.KQ</t>
        </is>
      </c>
    </row>
    <row r="156" ht="24" customHeight="1">
      <c r="A156" s="32" t="inlineStr">
        <is>
          <t>2024-01-24</t>
        </is>
      </c>
      <c r="B156" s="34" t="n">
        <v>41150</v>
      </c>
      <c r="C156" s="34" t="n">
        <v>42700</v>
      </c>
      <c r="D156" s="34" t="n">
        <v>41050</v>
      </c>
      <c r="E156" s="34" t="n">
        <v>42500</v>
      </c>
      <c r="F156" s="34" t="n">
        <v>41831.5859375</v>
      </c>
      <c r="G156" s="34" t="n">
        <v>504101</v>
      </c>
      <c r="H156" s="39" t="n">
        <v>0.02657004830917864</v>
      </c>
      <c r="I156" s="39" t="n">
        <v>-0.1666666666666666</v>
      </c>
      <c r="J156" s="34" t="n">
        <v>40860</v>
      </c>
      <c r="K156" s="34" t="n">
        <v>38007.5</v>
      </c>
      <c r="L156" s="34" t="n">
        <v>36377.5</v>
      </c>
      <c r="M156" s="39" t="n">
        <v>0.4305890697271228</v>
      </c>
      <c r="N156" s="39" t="n">
        <v>0.3522044929612561</v>
      </c>
      <c r="O156" s="39" t="n">
        <v>0.1273209549071619</v>
      </c>
      <c r="P156" s="39" t="n">
        <v>0.3709677419354838</v>
      </c>
      <c r="Q156" s="39" t="n">
        <v>0.07594936708860756</v>
      </c>
      <c r="R156" s="39" t="n">
        <v>0.0401370533529124</v>
      </c>
      <c r="S156" s="39" t="n">
        <v>0.1182003551930539</v>
      </c>
      <c r="T156" s="39" t="n">
        <v>0.1683045838773967</v>
      </c>
      <c r="U156" s="34" t="n">
        <v>42500</v>
      </c>
      <c r="V156" s="34" t="n">
        <v>29400</v>
      </c>
      <c r="W156" s="39" t="n">
        <v>0</v>
      </c>
      <c r="X156" s="39" t="n">
        <v>0.4455782312925169</v>
      </c>
      <c r="Y156" s="34" t="n">
        <v>51414494</v>
      </c>
      <c r="Z156" s="34" t="n">
        <v>2185115995000</v>
      </c>
      <c r="AA156" s="34" t="n">
        <v>21424292500</v>
      </c>
      <c r="AB156" s="34" t="n">
        <v>34236740072.5</v>
      </c>
      <c r="AC156" s="39" t="n">
        <v>0.009804647693313873</v>
      </c>
      <c r="AD156" s="32" t="inlineStr">
        <is>
          <t>yfinance_download</t>
        </is>
      </c>
      <c r="AE156" s="32" t="inlineStr">
        <is>
          <t>005290.KQ</t>
        </is>
      </c>
    </row>
    <row r="157" ht="24" customHeight="1">
      <c r="A157" s="27" t="inlineStr">
        <is>
          <t>2024-01-25</t>
        </is>
      </c>
      <c r="B157" s="33" t="n">
        <v>43150</v>
      </c>
      <c r="C157" s="33" t="n">
        <v>44200</v>
      </c>
      <c r="D157" s="33" t="n">
        <v>42100</v>
      </c>
      <c r="E157" s="33" t="n">
        <v>42200</v>
      </c>
      <c r="F157" s="33" t="n">
        <v>41536.3046875</v>
      </c>
      <c r="G157" s="33" t="n">
        <v>1252852</v>
      </c>
      <c r="H157" s="38" t="n">
        <v>-0.007058823529411784</v>
      </c>
      <c r="I157" s="38" t="n">
        <v>-0.1725490196078432</v>
      </c>
      <c r="J157" s="33" t="n">
        <v>41097.5</v>
      </c>
      <c r="K157" s="33" t="n">
        <v>38195</v>
      </c>
      <c r="L157" s="33" t="n">
        <v>36386.66666666666</v>
      </c>
      <c r="M157" s="38" t="n">
        <v>0.4307626833308965</v>
      </c>
      <c r="N157" s="38" t="n">
        <v>0.3528511950165121</v>
      </c>
      <c r="O157" s="38" t="n">
        <v>0.1268357810413885</v>
      </c>
      <c r="P157" s="38" t="n">
        <v>0.3634894991922455</v>
      </c>
      <c r="Q157" s="38" t="n">
        <v>0.02676399026763998</v>
      </c>
      <c r="R157" s="38" t="n">
        <v>0.02682644929740241</v>
      </c>
      <c r="S157" s="38" t="n">
        <v>0.104856656630449</v>
      </c>
      <c r="T157" s="38" t="n">
        <v>0.1597654818614878</v>
      </c>
      <c r="U157" s="33" t="n">
        <v>42500</v>
      </c>
      <c r="V157" s="33" t="n">
        <v>29400</v>
      </c>
      <c r="W157" s="38" t="n">
        <v>-0.007058823529411784</v>
      </c>
      <c r="X157" s="38" t="n">
        <v>0.435374149659864</v>
      </c>
      <c r="Y157" s="33" t="n">
        <v>51414494</v>
      </c>
      <c r="Z157" s="33" t="n">
        <v>2169691646800</v>
      </c>
      <c r="AA157" s="33" t="n">
        <v>52870354400</v>
      </c>
      <c r="AB157" s="33" t="n">
        <v>36110034877.5</v>
      </c>
      <c r="AC157" s="38" t="n">
        <v>0.0243676812223417</v>
      </c>
      <c r="AD157" s="27" t="inlineStr">
        <is>
          <t>yfinance_download</t>
        </is>
      </c>
      <c r="AE157" s="27" t="inlineStr">
        <is>
          <t>005290.KQ</t>
        </is>
      </c>
    </row>
    <row r="158" ht="24" customHeight="1">
      <c r="A158" s="32" t="inlineStr">
        <is>
          <t>2024-01-26</t>
        </is>
      </c>
      <c r="B158" s="34" t="n">
        <v>41800</v>
      </c>
      <c r="C158" s="34" t="n">
        <v>42300</v>
      </c>
      <c r="D158" s="34" t="n">
        <v>41250</v>
      </c>
      <c r="E158" s="34" t="n">
        <v>41700</v>
      </c>
      <c r="F158" s="34" t="n">
        <v>41044.16796875</v>
      </c>
      <c r="G158" s="34" t="n">
        <v>364460</v>
      </c>
      <c r="H158" s="39" t="n">
        <v>-0.01184834123222744</v>
      </c>
      <c r="I158" s="39" t="n">
        <v>-0.1823529411764706</v>
      </c>
      <c r="J158" s="34" t="n">
        <v>41250</v>
      </c>
      <c r="K158" s="34" t="n">
        <v>38390.83333333334</v>
      </c>
      <c r="L158" s="34" t="n">
        <v>36381.25</v>
      </c>
      <c r="M158" s="39" t="n">
        <v>0.4241388099017421</v>
      </c>
      <c r="N158" s="39" t="n">
        <v>0.3459299155640713</v>
      </c>
      <c r="O158" s="39" t="n">
        <v>0.0789133247089262</v>
      </c>
      <c r="P158" s="39" t="n">
        <v>0.3923205342237062</v>
      </c>
      <c r="Q158" s="39" t="n">
        <v>-0.01534828807556077</v>
      </c>
      <c r="R158" s="39" t="n">
        <v>0.01090909090909098</v>
      </c>
      <c r="S158" s="39" t="n">
        <v>0.08619679176886841</v>
      </c>
      <c r="T158" s="39" t="n">
        <v>0.1461948118879917</v>
      </c>
      <c r="U158" s="34" t="n">
        <v>42500</v>
      </c>
      <c r="V158" s="34" t="n">
        <v>29400</v>
      </c>
      <c r="W158" s="39" t="n">
        <v>-0.01882352941176468</v>
      </c>
      <c r="X158" s="39" t="n">
        <v>0.4183673469387754</v>
      </c>
      <c r="Y158" s="34" t="n">
        <v>51414494</v>
      </c>
      <c r="Z158" s="34" t="n">
        <v>2143984399800</v>
      </c>
      <c r="AA158" s="34" t="n">
        <v>15197982000</v>
      </c>
      <c r="AB158" s="34" t="n">
        <v>35718623912.5</v>
      </c>
      <c r="AC158" s="39" t="n">
        <v>0.007088662586079326</v>
      </c>
      <c r="AD158" s="32" t="inlineStr">
        <is>
          <t>yfinance_download</t>
        </is>
      </c>
      <c r="AE158" s="32" t="inlineStr">
        <is>
          <t>005290.KQ</t>
        </is>
      </c>
    </row>
    <row r="159" ht="24" customHeight="1">
      <c r="A159" s="27" t="inlineStr">
        <is>
          <t>2024-01-29</t>
        </is>
      </c>
      <c r="B159" s="33" t="n">
        <v>41700</v>
      </c>
      <c r="C159" s="33" t="n">
        <v>42700</v>
      </c>
      <c r="D159" s="33" t="n">
        <v>40350</v>
      </c>
      <c r="E159" s="33" t="n">
        <v>40600</v>
      </c>
      <c r="F159" s="33" t="n">
        <v>39961.46875</v>
      </c>
      <c r="G159" s="33" t="n">
        <v>686259</v>
      </c>
      <c r="H159" s="38" t="n">
        <v>-0.02637889688249395</v>
      </c>
      <c r="I159" s="38" t="n">
        <v>-0.203921568627451</v>
      </c>
      <c r="J159" s="33" t="n">
        <v>41345</v>
      </c>
      <c r="K159" s="33" t="n">
        <v>38560</v>
      </c>
      <c r="L159" s="33" t="n">
        <v>36379.16666666666</v>
      </c>
      <c r="M159" s="38" t="n">
        <v>0.4377544393930111</v>
      </c>
      <c r="N159" s="38" t="n">
        <v>0.3513358124660998</v>
      </c>
      <c r="O159" s="38" t="n">
        <v>0.04909560723514206</v>
      </c>
      <c r="P159" s="38" t="n">
        <v>0.3333333333333333</v>
      </c>
      <c r="Q159" s="38" t="n">
        <v>-0.006119951040391647</v>
      </c>
      <c r="R159" s="38" t="n">
        <v>-0.01801910750997704</v>
      </c>
      <c r="S159" s="38" t="n">
        <v>0.05290456431535273</v>
      </c>
      <c r="T159" s="38" t="n">
        <v>0.116023365021189</v>
      </c>
      <c r="U159" s="33" t="n">
        <v>42500</v>
      </c>
      <c r="V159" s="33" t="n">
        <v>29400</v>
      </c>
      <c r="W159" s="38" t="n">
        <v>-0.04470588235294115</v>
      </c>
      <c r="X159" s="38" t="n">
        <v>0.3809523809523809</v>
      </c>
      <c r="Y159" s="33" t="n">
        <v>51414494</v>
      </c>
      <c r="Z159" s="33" t="n">
        <v>2087428456400</v>
      </c>
      <c r="AA159" s="33" t="n">
        <v>27862115400</v>
      </c>
      <c r="AB159" s="33" t="n">
        <v>36227955197.5</v>
      </c>
      <c r="AC159" s="38" t="n">
        <v>0.01334757860302972</v>
      </c>
      <c r="AD159" s="27" t="inlineStr">
        <is>
          <t>yfinance_download</t>
        </is>
      </c>
      <c r="AE159" s="27" t="inlineStr">
        <is>
          <t>005290.KQ</t>
        </is>
      </c>
    </row>
    <row r="160" ht="24" customHeight="1">
      <c r="A160" s="32" t="inlineStr">
        <is>
          <t>2024-01-30</t>
        </is>
      </c>
      <c r="B160" s="34" t="n">
        <v>40950</v>
      </c>
      <c r="C160" s="34" t="n">
        <v>41000</v>
      </c>
      <c r="D160" s="34" t="n">
        <v>39400</v>
      </c>
      <c r="E160" s="34" t="n">
        <v>40050</v>
      </c>
      <c r="F160" s="34" t="n">
        <v>39420.1171875</v>
      </c>
      <c r="G160" s="34" t="n">
        <v>595294</v>
      </c>
      <c r="H160" s="39" t="n">
        <v>-0.01354679802955661</v>
      </c>
      <c r="I160" s="39" t="n">
        <v>-0.2147058823529412</v>
      </c>
      <c r="J160" s="34" t="n">
        <v>41275</v>
      </c>
      <c r="K160" s="34" t="n">
        <v>38691.66666666666</v>
      </c>
      <c r="L160" s="34" t="n">
        <v>36387.5</v>
      </c>
      <c r="M160" s="39" t="n">
        <v>0.3584993210757448</v>
      </c>
      <c r="N160" s="39" t="n">
        <v>0.3369775778285973</v>
      </c>
      <c r="O160" s="39" t="n">
        <v>-0.03377563329312427</v>
      </c>
      <c r="P160" s="39" t="n">
        <v>0.2457231726283049</v>
      </c>
      <c r="Q160" s="39" t="n">
        <v>0.02560819462227903</v>
      </c>
      <c r="R160" s="39" t="n">
        <v>-0.02967898243488798</v>
      </c>
      <c r="S160" s="39" t="n">
        <v>0.03510661210424293</v>
      </c>
      <c r="T160" s="39" t="n">
        <v>0.1006526966678118</v>
      </c>
      <c r="U160" s="34" t="n">
        <v>42500</v>
      </c>
      <c r="V160" s="34" t="n">
        <v>29400</v>
      </c>
      <c r="W160" s="39" t="n">
        <v>-0.05764705882352938</v>
      </c>
      <c r="X160" s="39" t="n">
        <v>0.3622448979591837</v>
      </c>
      <c r="Y160" s="34" t="n">
        <v>51414494</v>
      </c>
      <c r="Z160" s="34" t="n">
        <v>2059150484700</v>
      </c>
      <c r="AA160" s="34" t="n">
        <v>23841524700</v>
      </c>
      <c r="AB160" s="34" t="n">
        <v>33090025575</v>
      </c>
      <c r="AC160" s="39" t="n">
        <v>0.01157833042176784</v>
      </c>
      <c r="AD160" s="32" t="inlineStr">
        <is>
          <t>yfinance_download</t>
        </is>
      </c>
      <c r="AE160" s="32" t="inlineStr">
        <is>
          <t>005290.KQ</t>
        </is>
      </c>
    </row>
    <row r="161" ht="24" customHeight="1">
      <c r="A161" s="27" t="inlineStr">
        <is>
          <t>2024-01-31</t>
        </is>
      </c>
      <c r="B161" s="33" t="n">
        <v>39600</v>
      </c>
      <c r="C161" s="33" t="n">
        <v>39800</v>
      </c>
      <c r="D161" s="33" t="n">
        <v>38500</v>
      </c>
      <c r="E161" s="33" t="n">
        <v>38650</v>
      </c>
      <c r="F161" s="33" t="n">
        <v>38042.13671875</v>
      </c>
      <c r="G161" s="33" t="n">
        <v>541318</v>
      </c>
      <c r="H161" s="38" t="n">
        <v>-0.03495630461922594</v>
      </c>
      <c r="I161" s="38" t="n">
        <v>-0.2421568627450981</v>
      </c>
      <c r="J161" s="33" t="n">
        <v>41120</v>
      </c>
      <c r="K161" s="33" t="n">
        <v>38790.83333333334</v>
      </c>
      <c r="L161" s="33" t="n">
        <v>36387.91666666666</v>
      </c>
      <c r="M161" s="38" t="n">
        <v>0.3757647329867942</v>
      </c>
      <c r="N161" s="38" t="n">
        <v>0.345048852382338</v>
      </c>
      <c r="O161" s="38" t="n">
        <v>-0.07425149700598799</v>
      </c>
      <c r="P161" s="38" t="n">
        <v>0.1819571865443426</v>
      </c>
      <c r="Q161" s="38" t="n">
        <v>0.001295336787564771</v>
      </c>
      <c r="R161" s="38" t="n">
        <v>-0.06006809338521402</v>
      </c>
      <c r="S161" s="38" t="n">
        <v>-0.003630582826698814</v>
      </c>
      <c r="T161" s="38" t="n">
        <v>0.06216578305527265</v>
      </c>
      <c r="U161" s="33" t="n">
        <v>42500</v>
      </c>
      <c r="V161" s="33" t="n">
        <v>29400</v>
      </c>
      <c r="W161" s="38" t="n">
        <v>-0.09058823529411764</v>
      </c>
      <c r="X161" s="38" t="n">
        <v>0.314625850340136</v>
      </c>
      <c r="Y161" s="33" t="n">
        <v>51414494</v>
      </c>
      <c r="Z161" s="33" t="n">
        <v>1987170193100</v>
      </c>
      <c r="AA161" s="33" t="n">
        <v>20921940700</v>
      </c>
      <c r="AB161" s="33" t="n">
        <v>31925222135</v>
      </c>
      <c r="AC161" s="38" t="n">
        <v>0.01052850972334766</v>
      </c>
      <c r="AD161" s="27" t="inlineStr">
        <is>
          <t>yfinance_download</t>
        </is>
      </c>
      <c r="AE161" s="27" t="inlineStr">
        <is>
          <t>005290.KQ</t>
        </is>
      </c>
    </row>
    <row r="162" ht="24" customHeight="1">
      <c r="A162" s="32" t="inlineStr">
        <is>
          <t>2024-02-01</t>
        </is>
      </c>
      <c r="B162" s="34" t="n">
        <v>38500</v>
      </c>
      <c r="C162" s="34" t="n">
        <v>39050</v>
      </c>
      <c r="D162" s="34" t="n">
        <v>37650</v>
      </c>
      <c r="E162" s="34" t="n">
        <v>38300</v>
      </c>
      <c r="F162" s="34" t="n">
        <v>37697.640625</v>
      </c>
      <c r="G162" s="34" t="n">
        <v>596444</v>
      </c>
      <c r="H162" s="39" t="n">
        <v>-0.009055627425614499</v>
      </c>
      <c r="I162" s="39" t="n">
        <v>-0.2490196078431373</v>
      </c>
      <c r="J162" s="34" t="n">
        <v>40930</v>
      </c>
      <c r="K162" s="34" t="n">
        <v>38855.83333333334</v>
      </c>
      <c r="L162" s="34" t="n">
        <v>36392.08333333334</v>
      </c>
      <c r="M162" s="39" t="n">
        <v>0.373488200903668</v>
      </c>
      <c r="N162" s="39" t="n">
        <v>0.3304151325317264</v>
      </c>
      <c r="O162" s="39" t="n">
        <v>-0.09026128266033251</v>
      </c>
      <c r="P162" s="39" t="n">
        <v>0.1133720930232558</v>
      </c>
      <c r="Q162" s="39" t="n">
        <v>0.01322751322751325</v>
      </c>
      <c r="R162" s="39" t="n">
        <v>-0.06425604690935749</v>
      </c>
      <c r="S162" s="39" t="n">
        <v>-0.01430501640680304</v>
      </c>
      <c r="T162" s="39" t="n">
        <v>0.05242669536643718</v>
      </c>
      <c r="U162" s="34" t="n">
        <v>42500</v>
      </c>
      <c r="V162" s="34" t="n">
        <v>29400</v>
      </c>
      <c r="W162" s="39" t="n">
        <v>-0.09882352941176475</v>
      </c>
      <c r="X162" s="39" t="n">
        <v>0.3027210884353742</v>
      </c>
      <c r="Y162" s="34" t="n">
        <v>51414494</v>
      </c>
      <c r="Z162" s="34" t="n">
        <v>1969175120200</v>
      </c>
      <c r="AA162" s="34" t="n">
        <v>22843805200</v>
      </c>
      <c r="AB162" s="34" t="n">
        <v>30894498780</v>
      </c>
      <c r="AC162" s="39" t="n">
        <v>0.01160069765541211</v>
      </c>
      <c r="AD162" s="32" t="inlineStr">
        <is>
          <t>yfinance_download</t>
        </is>
      </c>
      <c r="AE162" s="32" t="inlineStr">
        <is>
          <t>005290.KQ</t>
        </is>
      </c>
    </row>
    <row r="163" ht="24" customHeight="1">
      <c r="A163" s="27" t="inlineStr">
        <is>
          <t>2024-02-02</t>
        </is>
      </c>
      <c r="B163" s="33" t="n">
        <v>38800</v>
      </c>
      <c r="C163" s="33" t="n">
        <v>40350</v>
      </c>
      <c r="D163" s="33" t="n">
        <v>38750</v>
      </c>
      <c r="E163" s="33" t="n">
        <v>39750</v>
      </c>
      <c r="F163" s="33" t="n">
        <v>39124.8359375</v>
      </c>
      <c r="G163" s="33" t="n">
        <v>594708</v>
      </c>
      <c r="H163" s="38" t="n">
        <v>0.03785900783289819</v>
      </c>
      <c r="I163" s="38" t="n">
        <v>-0.2205882352941176</v>
      </c>
      <c r="J163" s="33" t="n">
        <v>40855</v>
      </c>
      <c r="K163" s="33" t="n">
        <v>38950</v>
      </c>
      <c r="L163" s="33" t="n">
        <v>36407.91666666666</v>
      </c>
      <c r="M163" s="38" t="n">
        <v>0.3971513329541708</v>
      </c>
      <c r="N163" s="38" t="n">
        <v>0.3376689203857421</v>
      </c>
      <c r="O163" s="38" t="n">
        <v>-0.03636363636363638</v>
      </c>
      <c r="P163" s="38" t="n">
        <v>0.1656891495601174</v>
      </c>
      <c r="Q163" s="38" t="n">
        <v>0.05019815059445176</v>
      </c>
      <c r="R163" s="38" t="n">
        <v>-0.02704687308774933</v>
      </c>
      <c r="S163" s="38" t="n">
        <v>0.02053915275994855</v>
      </c>
      <c r="T163" s="38" t="n">
        <v>0.09179551150734166</v>
      </c>
      <c r="U163" s="33" t="n">
        <v>42500</v>
      </c>
      <c r="V163" s="33" t="n">
        <v>29400</v>
      </c>
      <c r="W163" s="38" t="n">
        <v>-0.06470588235294117</v>
      </c>
      <c r="X163" s="38" t="n">
        <v>0.3520408163265305</v>
      </c>
      <c r="Y163" s="33" t="n">
        <v>51414494</v>
      </c>
      <c r="Z163" s="33" t="n">
        <v>2043726136500</v>
      </c>
      <c r="AA163" s="33" t="n">
        <v>23639643000</v>
      </c>
      <c r="AB163" s="33" t="n">
        <v>30775703430</v>
      </c>
      <c r="AC163" s="38" t="n">
        <v>0.01156693285749345</v>
      </c>
      <c r="AD163" s="27" t="inlineStr">
        <is>
          <t>yfinance_download</t>
        </is>
      </c>
      <c r="AE163" s="27" t="inlineStr">
        <is>
          <t>005290.KQ</t>
        </is>
      </c>
    </row>
    <row r="164" ht="24" customHeight="1">
      <c r="A164" s="32" t="inlineStr">
        <is>
          <t>2024-02-05</t>
        </is>
      </c>
      <c r="B164" s="34" t="n">
        <v>39900</v>
      </c>
      <c r="C164" s="34" t="n">
        <v>40150</v>
      </c>
      <c r="D164" s="34" t="n">
        <v>38200</v>
      </c>
      <c r="E164" s="34" t="n">
        <v>38350</v>
      </c>
      <c r="F164" s="34" t="n">
        <v>37746.85546875</v>
      </c>
      <c r="G164" s="34" t="n">
        <v>444783</v>
      </c>
      <c r="H164" s="39" t="n">
        <v>-0.03522012578616351</v>
      </c>
      <c r="I164" s="39" t="n">
        <v>-0.2480392156862745</v>
      </c>
      <c r="J164" s="34" t="n">
        <v>40695</v>
      </c>
      <c r="K164" s="34" t="n">
        <v>39011.66666666666</v>
      </c>
      <c r="L164" s="34" t="n">
        <v>36423.75</v>
      </c>
      <c r="M164" s="39" t="n">
        <v>0.4129498627789673</v>
      </c>
      <c r="N164" s="39" t="n">
        <v>0.3453089205977895</v>
      </c>
      <c r="O164" s="39" t="n">
        <v>-0.07701564380264736</v>
      </c>
      <c r="P164" s="39" t="n">
        <v>0.1067821067821069</v>
      </c>
      <c r="Q164" s="39" t="n">
        <v>0.05212620027434833</v>
      </c>
      <c r="R164" s="39" t="n">
        <v>-0.05762378670598356</v>
      </c>
      <c r="S164" s="39" t="n">
        <v>-0.01696073824069722</v>
      </c>
      <c r="T164" s="39" t="n">
        <v>0.0528844503929442</v>
      </c>
      <c r="U164" s="34" t="n">
        <v>42500</v>
      </c>
      <c r="V164" s="34" t="n">
        <v>29400</v>
      </c>
      <c r="W164" s="39" t="n">
        <v>-0.09764705882352942</v>
      </c>
      <c r="X164" s="39" t="n">
        <v>0.3044217687074831</v>
      </c>
      <c r="Y164" s="34" t="n">
        <v>51414494</v>
      </c>
      <c r="Z164" s="34" t="n">
        <v>1971745844900</v>
      </c>
      <c r="AA164" s="34" t="n">
        <v>17057428050</v>
      </c>
      <c r="AB164" s="34" t="n">
        <v>30867437002.5</v>
      </c>
      <c r="AC164" s="39" t="n">
        <v>0.008650926332173958</v>
      </c>
      <c r="AD164" s="32" t="inlineStr">
        <is>
          <t>yfinance_download</t>
        </is>
      </c>
      <c r="AE164" s="32" t="inlineStr">
        <is>
          <t>005290.KQ</t>
        </is>
      </c>
    </row>
    <row r="165" ht="24" customHeight="1">
      <c r="A165" s="27" t="inlineStr">
        <is>
          <t>2024-02-06</t>
        </is>
      </c>
      <c r="B165" s="33" t="n">
        <v>38650</v>
      </c>
      <c r="C165" s="33" t="n">
        <v>39850</v>
      </c>
      <c r="D165" s="33" t="n">
        <v>37600</v>
      </c>
      <c r="E165" s="33" t="n">
        <v>39250</v>
      </c>
      <c r="F165" s="33" t="n">
        <v>38632.69921875</v>
      </c>
      <c r="G165" s="33" t="n">
        <v>399958</v>
      </c>
      <c r="H165" s="38" t="n">
        <v>0.02346805736636237</v>
      </c>
      <c r="I165" s="38" t="n">
        <v>-0.2303921568627451</v>
      </c>
      <c r="J165" s="33" t="n">
        <v>40635</v>
      </c>
      <c r="K165" s="33" t="n">
        <v>39081.66666666666</v>
      </c>
      <c r="L165" s="33" t="n">
        <v>36442.08333333334</v>
      </c>
      <c r="M165" s="38" t="n">
        <v>0.4144390359347742</v>
      </c>
      <c r="N165" s="38" t="n">
        <v>0.3475852324079799</v>
      </c>
      <c r="O165" s="38" t="n">
        <v>-0.02966625463535233</v>
      </c>
      <c r="P165" s="38" t="n">
        <v>0.1198288159771754</v>
      </c>
      <c r="Q165" s="38" t="n">
        <v>0.05937921727395401</v>
      </c>
      <c r="R165" s="38" t="n">
        <v>-0.03408391780484799</v>
      </c>
      <c r="S165" s="38" t="n">
        <v>0.004307219924090555</v>
      </c>
      <c r="T165" s="38" t="n">
        <v>0.07705148580510168</v>
      </c>
      <c r="U165" s="33" t="n">
        <v>42500</v>
      </c>
      <c r="V165" s="33" t="n">
        <v>29400</v>
      </c>
      <c r="W165" s="38" t="n">
        <v>-0.07647058823529407</v>
      </c>
      <c r="X165" s="38" t="n">
        <v>0.3350340136054422</v>
      </c>
      <c r="Y165" s="33" t="n">
        <v>51414494</v>
      </c>
      <c r="Z165" s="33" t="n">
        <v>2018018889500</v>
      </c>
      <c r="AA165" s="33" t="n">
        <v>15698351500</v>
      </c>
      <c r="AB165" s="33" t="n">
        <v>29940995977.5</v>
      </c>
      <c r="AC165" s="38" t="n">
        <v>0.007779090464257024</v>
      </c>
      <c r="AD165" s="27" t="inlineStr">
        <is>
          <t>yfinance_download</t>
        </is>
      </c>
      <c r="AE165" s="27" t="inlineStr">
        <is>
          <t>005290.KQ</t>
        </is>
      </c>
    </row>
    <row r="166" ht="24" customHeight="1">
      <c r="A166" s="32" t="inlineStr">
        <is>
          <t>2024-02-07</t>
        </is>
      </c>
      <c r="B166" s="34" t="n">
        <v>39250</v>
      </c>
      <c r="C166" s="34" t="n">
        <v>39400</v>
      </c>
      <c r="D166" s="34" t="n">
        <v>38000</v>
      </c>
      <c r="E166" s="34" t="n">
        <v>38200</v>
      </c>
      <c r="F166" s="34" t="n">
        <v>37599.21484375</v>
      </c>
      <c r="G166" s="34" t="n">
        <v>396173</v>
      </c>
      <c r="H166" s="39" t="n">
        <v>-0.02675159235668789</v>
      </c>
      <c r="I166" s="39" t="n">
        <v>-0.2509803921568627</v>
      </c>
      <c r="J166" s="34" t="n">
        <v>40562.5</v>
      </c>
      <c r="K166" s="34" t="n">
        <v>39123.33333333334</v>
      </c>
      <c r="L166" s="34" t="n">
        <v>36458.75</v>
      </c>
      <c r="M166" s="39" t="n">
        <v>0.4192996456829553</v>
      </c>
      <c r="N166" s="39" t="n">
        <v>0.3508245249117489</v>
      </c>
      <c r="O166" s="39" t="n">
        <v>-0.03656998738965955</v>
      </c>
      <c r="P166" s="39" t="n">
        <v>0.07002801120448177</v>
      </c>
      <c r="Q166" s="39" t="n">
        <v>0.05524861878453047</v>
      </c>
      <c r="R166" s="39" t="n">
        <v>-0.0582434514637904</v>
      </c>
      <c r="S166" s="39" t="n">
        <v>-0.02360057936440318</v>
      </c>
      <c r="T166" s="39" t="n">
        <v>0.04775945417766647</v>
      </c>
      <c r="U166" s="34" t="n">
        <v>42500</v>
      </c>
      <c r="V166" s="34" t="n">
        <v>29400</v>
      </c>
      <c r="W166" s="39" t="n">
        <v>-0.1011764705882353</v>
      </c>
      <c r="X166" s="39" t="n">
        <v>0.2993197278911566</v>
      </c>
      <c r="Y166" s="34" t="n">
        <v>51414494</v>
      </c>
      <c r="Z166" s="34" t="n">
        <v>1964033670800</v>
      </c>
      <c r="AA166" s="34" t="n">
        <v>15133808600</v>
      </c>
      <c r="AB166" s="34" t="n">
        <v>29391113835</v>
      </c>
      <c r="AC166" s="39" t="n">
        <v>0.007705473090914791</v>
      </c>
      <c r="AD166" s="32" t="inlineStr">
        <is>
          <t>yfinance_download</t>
        </is>
      </c>
      <c r="AE166" s="32" t="inlineStr">
        <is>
          <t>005290.KQ</t>
        </is>
      </c>
    </row>
    <row r="167" ht="24" customHeight="1">
      <c r="A167" s="27" t="inlineStr">
        <is>
          <t>2024-02-08</t>
        </is>
      </c>
      <c r="B167" s="33" t="n">
        <v>38400</v>
      </c>
      <c r="C167" s="33" t="n">
        <v>39000</v>
      </c>
      <c r="D167" s="33" t="n">
        <v>38100</v>
      </c>
      <c r="E167" s="33" t="n">
        <v>38250</v>
      </c>
      <c r="F167" s="33" t="n">
        <v>37648.42578125</v>
      </c>
      <c r="G167" s="33" t="n">
        <v>414466</v>
      </c>
      <c r="H167" s="38" t="n">
        <v>0.001308900523560252</v>
      </c>
      <c r="I167" s="38" t="n">
        <v>-0.25</v>
      </c>
      <c r="J167" s="33" t="n">
        <v>40372.5</v>
      </c>
      <c r="K167" s="33" t="n">
        <v>39156.66666666666</v>
      </c>
      <c r="L167" s="33" t="n">
        <v>36475.41666666666</v>
      </c>
      <c r="M167" s="38" t="n">
        <v>0.3500093273561078</v>
      </c>
      <c r="N167" s="38" t="n">
        <v>0.3496022735106898</v>
      </c>
      <c r="O167" s="38" t="n">
        <v>-0.09036860879904873</v>
      </c>
      <c r="P167" s="38" t="n">
        <v>0.05517241379310356</v>
      </c>
      <c r="Q167" s="38" t="n">
        <v>0.05517241379310356</v>
      </c>
      <c r="R167" s="38" t="n">
        <v>-0.05257291473156234</v>
      </c>
      <c r="S167" s="38" t="n">
        <v>-0.02315484804630963</v>
      </c>
      <c r="T167" s="38" t="n">
        <v>0.04865148901657523</v>
      </c>
      <c r="U167" s="33" t="n">
        <v>42500</v>
      </c>
      <c r="V167" s="33" t="n">
        <v>29400</v>
      </c>
      <c r="W167" s="38" t="n">
        <v>-0.09999999999999998</v>
      </c>
      <c r="X167" s="38" t="n">
        <v>0.3010204081632653</v>
      </c>
      <c r="Y167" s="33" t="n">
        <v>51414494</v>
      </c>
      <c r="Z167" s="33" t="n">
        <v>1966604395500</v>
      </c>
      <c r="AA167" s="33" t="n">
        <v>15853324500</v>
      </c>
      <c r="AB167" s="33" t="n">
        <v>27939661967.5</v>
      </c>
      <c r="AC167" s="38" t="n">
        <v>0.0080612677040058</v>
      </c>
      <c r="AD167" s="27" t="inlineStr">
        <is>
          <t>yfinance_download</t>
        </is>
      </c>
      <c r="AE167" s="27" t="inlineStr">
        <is>
          <t>005290.KQ</t>
        </is>
      </c>
    </row>
    <row r="168" ht="24" customHeight="1">
      <c r="A168" s="32" t="inlineStr">
        <is>
          <t>2024-02-13</t>
        </is>
      </c>
      <c r="B168" s="34" t="n">
        <v>39000</v>
      </c>
      <c r="C168" s="34" t="n">
        <v>41550</v>
      </c>
      <c r="D168" s="34" t="n">
        <v>38350</v>
      </c>
      <c r="E168" s="34" t="n">
        <v>40000</v>
      </c>
      <c r="F168" s="34" t="n">
        <v>39370.90234375</v>
      </c>
      <c r="G168" s="34" t="n">
        <v>1415721</v>
      </c>
      <c r="H168" s="39" t="n">
        <v>0.04575163398692816</v>
      </c>
      <c r="I168" s="39" t="n">
        <v>-0.2156862745098039</v>
      </c>
      <c r="J168" s="34" t="n">
        <v>40282.5</v>
      </c>
      <c r="K168" s="34" t="n">
        <v>39209.16666666666</v>
      </c>
      <c r="L168" s="34" t="n">
        <v>36509.58333333334</v>
      </c>
      <c r="M168" s="39" t="n">
        <v>0.3926717751539315</v>
      </c>
      <c r="N168" s="39" t="n">
        <v>0.360068465433002</v>
      </c>
      <c r="O168" s="39" t="n">
        <v>-0.0430622009569378</v>
      </c>
      <c r="P168" s="39" t="n">
        <v>0.08548168249660781</v>
      </c>
      <c r="Q168" s="39" t="n">
        <v>0.1142061281337048</v>
      </c>
      <c r="R168" s="39" t="n">
        <v>-0.007012970893067738</v>
      </c>
      <c r="S168" s="39" t="n">
        <v>0.02016960319653149</v>
      </c>
      <c r="T168" s="39" t="n">
        <v>0.09560275270191609</v>
      </c>
      <c r="U168" s="34" t="n">
        <v>42500</v>
      </c>
      <c r="V168" s="34" t="n">
        <v>29400</v>
      </c>
      <c r="W168" s="39" t="n">
        <v>-0.05882352941176472</v>
      </c>
      <c r="X168" s="39" t="n">
        <v>0.3605442176870748</v>
      </c>
      <c r="Y168" s="34" t="n">
        <v>51414494</v>
      </c>
      <c r="Z168" s="34" t="n">
        <v>2056579760000</v>
      </c>
      <c r="AA168" s="34" t="n">
        <v>56628840000</v>
      </c>
      <c r="AB168" s="34" t="n">
        <v>25644398757.5</v>
      </c>
      <c r="AC168" s="39" t="n">
        <v>0.02753544554965376</v>
      </c>
      <c r="AD168" s="32" t="inlineStr">
        <is>
          <t>yfinance_download</t>
        </is>
      </c>
      <c r="AE168" s="32" t="inlineStr">
        <is>
          <t>005290.KQ</t>
        </is>
      </c>
    </row>
    <row r="169" ht="24" customHeight="1">
      <c r="A169" s="27" t="inlineStr">
        <is>
          <t>2024-02-14</t>
        </is>
      </c>
      <c r="B169" s="33" t="n">
        <v>39100</v>
      </c>
      <c r="C169" s="33" t="n">
        <v>40400</v>
      </c>
      <c r="D169" s="33" t="n">
        <v>39000</v>
      </c>
      <c r="E169" s="33" t="n">
        <v>40300</v>
      </c>
      <c r="F169" s="33" t="n">
        <v>39666.1875</v>
      </c>
      <c r="G169" s="33" t="n">
        <v>481978</v>
      </c>
      <c r="H169" s="38" t="n">
        <v>0.007500000000000062</v>
      </c>
      <c r="I169" s="38" t="n">
        <v>-0.2098039215686275</v>
      </c>
      <c r="J169" s="33" t="n">
        <v>40247.5</v>
      </c>
      <c r="K169" s="33" t="n">
        <v>39270.83333333334</v>
      </c>
      <c r="L169" s="33" t="n">
        <v>36550</v>
      </c>
      <c r="M169" s="38" t="n">
        <v>0.3885326939776089</v>
      </c>
      <c r="N169" s="38" t="n">
        <v>0.359834752569501</v>
      </c>
      <c r="O169" s="38" t="n">
        <v>-0.01707317073170733</v>
      </c>
      <c r="P169" s="38" t="n">
        <v>0.1010928961748634</v>
      </c>
      <c r="Q169" s="38" t="n">
        <v>0.1368124118476728</v>
      </c>
      <c r="R169" s="38" t="n">
        <v>0.001304428846512273</v>
      </c>
      <c r="S169" s="38" t="n">
        <v>0.02620689655172415</v>
      </c>
      <c r="T169" s="38" t="n">
        <v>0.1025991792065664</v>
      </c>
      <c r="U169" s="33" t="n">
        <v>42500</v>
      </c>
      <c r="V169" s="33" t="n">
        <v>29400</v>
      </c>
      <c r="W169" s="38" t="n">
        <v>-0.05176470588235293</v>
      </c>
      <c r="X169" s="38" t="n">
        <v>0.370748299319728</v>
      </c>
      <c r="Y169" s="33" t="n">
        <v>51414494</v>
      </c>
      <c r="Z169" s="33" t="n">
        <v>2072004108200</v>
      </c>
      <c r="AA169" s="33" t="n">
        <v>19423713400</v>
      </c>
      <c r="AB169" s="33" t="n">
        <v>25480724927.5</v>
      </c>
      <c r="AC169" s="38" t="n">
        <v>0.009374360467303246</v>
      </c>
      <c r="AD169" s="27" t="inlineStr">
        <is>
          <t>yfinance_download</t>
        </is>
      </c>
      <c r="AE169" s="27" t="inlineStr">
        <is>
          <t>005290.KQ</t>
        </is>
      </c>
    </row>
    <row r="170" ht="24" customHeight="1">
      <c r="A170" s="32" t="inlineStr">
        <is>
          <t>2024-02-15</t>
        </is>
      </c>
      <c r="B170" s="34" t="n">
        <v>40550</v>
      </c>
      <c r="C170" s="34" t="n">
        <v>40800</v>
      </c>
      <c r="D170" s="34" t="n">
        <v>39500</v>
      </c>
      <c r="E170" s="34" t="n">
        <v>39900</v>
      </c>
      <c r="F170" s="34" t="n">
        <v>39272.4765625</v>
      </c>
      <c r="G170" s="34" t="n">
        <v>476243</v>
      </c>
      <c r="H170" s="39" t="n">
        <v>-0.009925558312655069</v>
      </c>
      <c r="I170" s="39" t="n">
        <v>-0.2176470588235294</v>
      </c>
      <c r="J170" s="34" t="n">
        <v>40210</v>
      </c>
      <c r="K170" s="34" t="n">
        <v>39319.16666666666</v>
      </c>
      <c r="L170" s="34" t="n">
        <v>36580</v>
      </c>
      <c r="M170" s="39" t="n">
        <v>0.3889411396987005</v>
      </c>
      <c r="N170" s="39" t="n">
        <v>0.3601267999139718</v>
      </c>
      <c r="O170" s="39" t="n">
        <v>-0.01845018450184499</v>
      </c>
      <c r="P170" s="39" t="n">
        <v>0.07837837837837847</v>
      </c>
      <c r="Q170" s="39" t="n">
        <v>0.09917355371900816</v>
      </c>
      <c r="R170" s="39" t="n">
        <v>-0.007709524993782635</v>
      </c>
      <c r="S170" s="39" t="n">
        <v>0.0147722696733994</v>
      </c>
      <c r="T170" s="39" t="n">
        <v>0.09075997813012582</v>
      </c>
      <c r="U170" s="34" t="n">
        <v>42500</v>
      </c>
      <c r="V170" s="34" t="n">
        <v>29400</v>
      </c>
      <c r="W170" s="39" t="n">
        <v>-0.06117647058823528</v>
      </c>
      <c r="X170" s="39" t="n">
        <v>0.3571428571428572</v>
      </c>
      <c r="Y170" s="34" t="n">
        <v>51414494</v>
      </c>
      <c r="Z170" s="34" t="n">
        <v>2051438310600</v>
      </c>
      <c r="AA170" s="34" t="n">
        <v>19002095700</v>
      </c>
      <c r="AB170" s="34" t="n">
        <v>25360986752.5</v>
      </c>
      <c r="AC170" s="39" t="n">
        <v>0.009262816045607684</v>
      </c>
      <c r="AD170" s="32" t="inlineStr">
        <is>
          <t>yfinance_download</t>
        </is>
      </c>
      <c r="AE170" s="32" t="inlineStr">
        <is>
          <t>005290.KQ</t>
        </is>
      </c>
    </row>
    <row r="171" ht="24" customHeight="1">
      <c r="A171" s="27" t="inlineStr">
        <is>
          <t>2024-02-16</t>
        </is>
      </c>
      <c r="B171" s="33" t="n">
        <v>40000</v>
      </c>
      <c r="C171" s="33" t="n">
        <v>40050</v>
      </c>
      <c r="D171" s="33" t="n">
        <v>38450</v>
      </c>
      <c r="E171" s="33" t="n">
        <v>38750</v>
      </c>
      <c r="F171" s="33" t="n">
        <v>38140.5625</v>
      </c>
      <c r="G171" s="33" t="n">
        <v>605063</v>
      </c>
      <c r="H171" s="38" t="n">
        <v>-0.02882205513784464</v>
      </c>
      <c r="I171" s="38" t="n">
        <v>-0.2401960784313726</v>
      </c>
      <c r="J171" s="33" t="n">
        <v>40152.5</v>
      </c>
      <c r="K171" s="33" t="n">
        <v>39355</v>
      </c>
      <c r="L171" s="33" t="n">
        <v>36602.08333333334</v>
      </c>
      <c r="M171" s="38" t="n">
        <v>0.3968990113248049</v>
      </c>
      <c r="N171" s="38" t="n">
        <v>0.3646219947569448</v>
      </c>
      <c r="O171" s="38" t="n">
        <v>-0.02882205513784464</v>
      </c>
      <c r="P171" s="38" t="n">
        <v>0.05874316939890711</v>
      </c>
      <c r="Q171" s="38" t="n">
        <v>0.07340720221606656</v>
      </c>
      <c r="R171" s="38" t="n">
        <v>-0.03492933192204717</v>
      </c>
      <c r="S171" s="38" t="n">
        <v>-0.01537288781603352</v>
      </c>
      <c r="T171" s="38" t="n">
        <v>0.05868290739370474</v>
      </c>
      <c r="U171" s="33" t="n">
        <v>42500</v>
      </c>
      <c r="V171" s="33" t="n">
        <v>29400</v>
      </c>
      <c r="W171" s="38" t="n">
        <v>-0.08823529411764708</v>
      </c>
      <c r="X171" s="38" t="n">
        <v>0.3180272108843538</v>
      </c>
      <c r="Y171" s="33" t="n">
        <v>51414494</v>
      </c>
      <c r="Z171" s="33" t="n">
        <v>1992311642500</v>
      </c>
      <c r="AA171" s="33" t="n">
        <v>23446191250</v>
      </c>
      <c r="AB171" s="33" t="n">
        <v>25314768270</v>
      </c>
      <c r="AC171" s="38" t="n">
        <v>0.01176833520913383</v>
      </c>
      <c r="AD171" s="27" t="inlineStr">
        <is>
          <t>yfinance_download</t>
        </is>
      </c>
      <c r="AE171" s="27" t="inlineStr">
        <is>
          <t>005290.KQ</t>
        </is>
      </c>
    </row>
    <row r="172" ht="24" customHeight="1">
      <c r="A172" s="32" t="inlineStr">
        <is>
          <t>2024-02-19</t>
        </is>
      </c>
      <c r="B172" s="34" t="n">
        <v>38750</v>
      </c>
      <c r="C172" s="34" t="n">
        <v>39350</v>
      </c>
      <c r="D172" s="34" t="n">
        <v>38250</v>
      </c>
      <c r="E172" s="34" t="n">
        <v>38600</v>
      </c>
      <c r="F172" s="34" t="n">
        <v>37992.921875</v>
      </c>
      <c r="G172" s="34" t="n">
        <v>530666</v>
      </c>
      <c r="H172" s="39" t="n">
        <v>-0.003870967741935516</v>
      </c>
      <c r="I172" s="39" t="n">
        <v>-0.2431372549019608</v>
      </c>
      <c r="J172" s="34" t="n">
        <v>40047.5</v>
      </c>
      <c r="K172" s="34" t="n">
        <v>39383.33333333334</v>
      </c>
      <c r="L172" s="34" t="n">
        <v>36621.66666666666</v>
      </c>
      <c r="M172" s="39" t="n">
        <v>0.3889429601375374</v>
      </c>
      <c r="N172" s="39" t="n">
        <v>0.3644727664623181</v>
      </c>
      <c r="O172" s="39" t="n">
        <v>-0.05159705159705164</v>
      </c>
      <c r="P172" s="39" t="n">
        <v>0.04607046070460696</v>
      </c>
      <c r="Q172" s="39" t="n">
        <v>0.06482758620689655</v>
      </c>
      <c r="R172" s="39" t="n">
        <v>-0.03614457831325302</v>
      </c>
      <c r="S172" s="39" t="n">
        <v>-0.01988997037663998</v>
      </c>
      <c r="T172" s="39" t="n">
        <v>0.05402084376279981</v>
      </c>
      <c r="U172" s="34" t="n">
        <v>42500</v>
      </c>
      <c r="V172" s="34" t="n">
        <v>29400</v>
      </c>
      <c r="W172" s="39" t="n">
        <v>-0.09176470588235297</v>
      </c>
      <c r="X172" s="39" t="n">
        <v>0.3129251700680271</v>
      </c>
      <c r="Y172" s="34" t="n">
        <v>51414494</v>
      </c>
      <c r="Z172" s="34" t="n">
        <v>1984599468400</v>
      </c>
      <c r="AA172" s="34" t="n">
        <v>20483707600</v>
      </c>
      <c r="AB172" s="34" t="n">
        <v>25301838285</v>
      </c>
      <c r="AC172" s="39" t="n">
        <v>0.01032133079049655</v>
      </c>
      <c r="AD172" s="32" t="inlineStr">
        <is>
          <t>yfinance_download</t>
        </is>
      </c>
      <c r="AE172" s="32" t="inlineStr">
        <is>
          <t>005290.KQ</t>
        </is>
      </c>
    </row>
    <row r="173" ht="24" customHeight="1">
      <c r="A173" s="27" t="inlineStr">
        <is>
          <t>2024-02-20</t>
        </is>
      </c>
      <c r="B173" s="33" t="n">
        <v>38500</v>
      </c>
      <c r="C173" s="33" t="n">
        <v>38800</v>
      </c>
      <c r="D173" s="33" t="n">
        <v>37750</v>
      </c>
      <c r="E173" s="33" t="n">
        <v>38350</v>
      </c>
      <c r="F173" s="33" t="n">
        <v>37746.85546875</v>
      </c>
      <c r="G173" s="33" t="n">
        <v>483960</v>
      </c>
      <c r="H173" s="38" t="n">
        <v>-0.006476683937823857</v>
      </c>
      <c r="I173" s="38" t="n">
        <v>-0.2480392156862745</v>
      </c>
      <c r="J173" s="33" t="n">
        <v>39865</v>
      </c>
      <c r="K173" s="33" t="n">
        <v>39397.5</v>
      </c>
      <c r="L173" s="33" t="n">
        <v>36646.66666666666</v>
      </c>
      <c r="M173" s="38" t="n">
        <v>0.3673092633887082</v>
      </c>
      <c r="N173" s="38" t="n">
        <v>0.3633855426689563</v>
      </c>
      <c r="O173" s="38" t="n">
        <v>-0.08690476190476193</v>
      </c>
      <c r="P173" s="38" t="n">
        <v>0.02266666666666661</v>
      </c>
      <c r="Q173" s="38" t="n">
        <v>0.08486562942008491</v>
      </c>
      <c r="R173" s="38" t="n">
        <v>-0.03800326100589491</v>
      </c>
      <c r="S173" s="38" t="n">
        <v>-0.02658798147090546</v>
      </c>
      <c r="T173" s="38" t="n">
        <v>0.04647989812625064</v>
      </c>
      <c r="U173" s="33" t="n">
        <v>42500</v>
      </c>
      <c r="V173" s="33" t="n">
        <v>29400</v>
      </c>
      <c r="W173" s="38" t="n">
        <v>-0.09764705882352942</v>
      </c>
      <c r="X173" s="38" t="n">
        <v>0.3044217687074831</v>
      </c>
      <c r="Y173" s="33" t="n">
        <v>51414494</v>
      </c>
      <c r="Z173" s="33" t="n">
        <v>1971745844900</v>
      </c>
      <c r="AA173" s="33" t="n">
        <v>18559866000</v>
      </c>
      <c r="AB173" s="33" t="n">
        <v>24236454885</v>
      </c>
      <c r="AC173" s="38" t="n">
        <v>0.00941290990824494</v>
      </c>
      <c r="AD173" s="27" t="inlineStr">
        <is>
          <t>yfinance_download</t>
        </is>
      </c>
      <c r="AE173" s="27" t="inlineStr">
        <is>
          <t>005290.KQ</t>
        </is>
      </c>
    </row>
    <row r="174" ht="24" customHeight="1">
      <c r="A174" s="32" t="inlineStr">
        <is>
          <t>2024-02-21</t>
        </is>
      </c>
      <c r="B174" s="34" t="n">
        <v>37900</v>
      </c>
      <c r="C174" s="34" t="n">
        <v>38800</v>
      </c>
      <c r="D174" s="34" t="n">
        <v>37700</v>
      </c>
      <c r="E174" s="34" t="n">
        <v>38200</v>
      </c>
      <c r="F174" s="34" t="n">
        <v>37599.21484375</v>
      </c>
      <c r="G174" s="34" t="n">
        <v>485298</v>
      </c>
      <c r="H174" s="39" t="n">
        <v>-0.003911342894393766</v>
      </c>
      <c r="I174" s="39" t="n">
        <v>-0.2509803921568627</v>
      </c>
      <c r="J174" s="34" t="n">
        <v>39665</v>
      </c>
      <c r="K174" s="34" t="n">
        <v>39406.66666666666</v>
      </c>
      <c r="L174" s="34" t="n">
        <v>36681.25</v>
      </c>
      <c r="M174" s="39" t="n">
        <v>0.3657637185989907</v>
      </c>
      <c r="N174" s="39" t="n">
        <v>0.3634336771697331</v>
      </c>
      <c r="O174" s="39" t="n">
        <v>-0.09478672985781988</v>
      </c>
      <c r="P174" s="39" t="n">
        <v>0.01460823373173969</v>
      </c>
      <c r="Q174" s="39" t="n">
        <v>0.1218795888399413</v>
      </c>
      <c r="R174" s="39" t="n">
        <v>-0.03693432497163751</v>
      </c>
      <c r="S174" s="39" t="n">
        <v>-0.03062087633226185</v>
      </c>
      <c r="T174" s="39" t="n">
        <v>0.04140398705060488</v>
      </c>
      <c r="U174" s="34" t="n">
        <v>42500</v>
      </c>
      <c r="V174" s="34" t="n">
        <v>29400</v>
      </c>
      <c r="W174" s="39" t="n">
        <v>-0.1011764705882353</v>
      </c>
      <c r="X174" s="39" t="n">
        <v>0.2993197278911566</v>
      </c>
      <c r="Y174" s="34" t="n">
        <v>51414494</v>
      </c>
      <c r="Z174" s="34" t="n">
        <v>1964033670800</v>
      </c>
      <c r="AA174" s="34" t="n">
        <v>18538383600</v>
      </c>
      <c r="AB174" s="34" t="n">
        <v>23399869825</v>
      </c>
      <c r="AC174" s="39" t="n">
        <v>0.00943893369834584</v>
      </c>
      <c r="AD174" s="32" t="inlineStr">
        <is>
          <t>yfinance_download</t>
        </is>
      </c>
      <c r="AE174" s="32" t="inlineStr">
        <is>
          <t>005290.KQ</t>
        </is>
      </c>
    </row>
    <row r="175" ht="24" customHeight="1">
      <c r="A175" s="27" t="inlineStr">
        <is>
          <t>2024-02-22</t>
        </is>
      </c>
      <c r="B175" s="33" t="n">
        <v>38800</v>
      </c>
      <c r="C175" s="33" t="n">
        <v>38900</v>
      </c>
      <c r="D175" s="33" t="n">
        <v>38000</v>
      </c>
      <c r="E175" s="33" t="n">
        <v>38200</v>
      </c>
      <c r="F175" s="33" t="n">
        <v>37599.21484375</v>
      </c>
      <c r="G175" s="33" t="n">
        <v>505438</v>
      </c>
      <c r="H175" s="38" t="n">
        <v>0</v>
      </c>
      <c r="I175" s="38" t="n">
        <v>-0.2509803921568627</v>
      </c>
      <c r="J175" s="33" t="n">
        <v>39505</v>
      </c>
      <c r="K175" s="33" t="n">
        <v>39429.16666666666</v>
      </c>
      <c r="L175" s="33" t="n">
        <v>36709.16666666666</v>
      </c>
      <c r="M175" s="38" t="n">
        <v>0.3621461636961494</v>
      </c>
      <c r="N175" s="38" t="n">
        <v>0.3606015094782021</v>
      </c>
      <c r="O175" s="38" t="n">
        <v>-0.07729468599033817</v>
      </c>
      <c r="P175" s="38" t="n">
        <v>0.03663500678426046</v>
      </c>
      <c r="Q175" s="38" t="n">
        <v>0.09612625538020092</v>
      </c>
      <c r="R175" s="38" t="n">
        <v>-0.03303379319073541</v>
      </c>
      <c r="S175" s="38" t="n">
        <v>-0.03117404628553311</v>
      </c>
      <c r="T175" s="38" t="n">
        <v>0.04061201788835667</v>
      </c>
      <c r="U175" s="33" t="n">
        <v>42500</v>
      </c>
      <c r="V175" s="33" t="n">
        <v>29400</v>
      </c>
      <c r="W175" s="38" t="n">
        <v>-0.1011764705882353</v>
      </c>
      <c r="X175" s="38" t="n">
        <v>0.2993197278911566</v>
      </c>
      <c r="Y175" s="33" t="n">
        <v>51414494</v>
      </c>
      <c r="Z175" s="33" t="n">
        <v>1964033670800</v>
      </c>
      <c r="AA175" s="33" t="n">
        <v>19307731600</v>
      </c>
      <c r="AB175" s="33" t="n">
        <v>23386754985</v>
      </c>
      <c r="AC175" s="38" t="n">
        <v>0.009830652033646388</v>
      </c>
      <c r="AD175" s="27" t="inlineStr">
        <is>
          <t>yfinance_download</t>
        </is>
      </c>
      <c r="AE175" s="27" t="inlineStr">
        <is>
          <t>005290.KQ</t>
        </is>
      </c>
    </row>
    <row r="176" ht="24" customHeight="1">
      <c r="A176" s="32" t="inlineStr">
        <is>
          <t>2024-02-23</t>
        </is>
      </c>
      <c r="B176" s="34" t="n">
        <v>38450</v>
      </c>
      <c r="C176" s="34" t="n">
        <v>38550</v>
      </c>
      <c r="D176" s="34" t="n">
        <v>36500</v>
      </c>
      <c r="E176" s="34" t="n">
        <v>36750</v>
      </c>
      <c r="F176" s="34" t="n">
        <v>36172.01953125</v>
      </c>
      <c r="G176" s="34" t="n">
        <v>1063574</v>
      </c>
      <c r="H176" s="39" t="n">
        <v>-0.0379581151832461</v>
      </c>
      <c r="I176" s="39" t="n">
        <v>-0.2794117647058824</v>
      </c>
      <c r="J176" s="34" t="n">
        <v>39217.5</v>
      </c>
      <c r="K176" s="34" t="n">
        <v>39424.16666666666</v>
      </c>
      <c r="L176" s="34" t="n">
        <v>36735.41666666666</v>
      </c>
      <c r="M176" s="39" t="n">
        <v>0.3628840641334825</v>
      </c>
      <c r="N176" s="39" t="n">
        <v>0.3691107483364432</v>
      </c>
      <c r="O176" s="39" t="n">
        <v>-0.1352941176470588</v>
      </c>
      <c r="P176" s="39" t="n">
        <v>-0.008097165991902799</v>
      </c>
      <c r="Q176" s="39" t="n">
        <v>0.09375</v>
      </c>
      <c r="R176" s="39" t="n">
        <v>-0.06291834002677377</v>
      </c>
      <c r="S176" s="39" t="n">
        <v>-0.06783064533175498</v>
      </c>
      <c r="T176" s="39" t="n">
        <v>0.0003969829297341132</v>
      </c>
      <c r="U176" s="34" t="n">
        <v>42500</v>
      </c>
      <c r="V176" s="34" t="n">
        <v>29400</v>
      </c>
      <c r="W176" s="39" t="n">
        <v>-0.1352941176470588</v>
      </c>
      <c r="X176" s="39" t="n">
        <v>0.25</v>
      </c>
      <c r="Y176" s="34" t="n">
        <v>51414494</v>
      </c>
      <c r="Z176" s="34" t="n">
        <v>1889482654500</v>
      </c>
      <c r="AA176" s="34" t="n">
        <v>39086344500</v>
      </c>
      <c r="AB176" s="34" t="n">
        <v>24269857585</v>
      </c>
      <c r="AC176" s="39" t="n">
        <v>0.02068626796171523</v>
      </c>
      <c r="AD176" s="32" t="inlineStr">
        <is>
          <t>yfinance_download</t>
        </is>
      </c>
      <c r="AE176" s="32" t="inlineStr">
        <is>
          <t>005290.KQ</t>
        </is>
      </c>
    </row>
    <row r="177" ht="24" customHeight="1">
      <c r="A177" s="27" t="inlineStr">
        <is>
          <t>2024-02-26</t>
        </is>
      </c>
      <c r="B177" s="33" t="n">
        <v>36400</v>
      </c>
      <c r="C177" s="33" t="n">
        <v>36850</v>
      </c>
      <c r="D177" s="33" t="n">
        <v>35750</v>
      </c>
      <c r="E177" s="33" t="n">
        <v>36150</v>
      </c>
      <c r="F177" s="33" t="n">
        <v>35581.453125</v>
      </c>
      <c r="G177" s="33" t="n">
        <v>737377</v>
      </c>
      <c r="H177" s="38" t="n">
        <v>-0.01632653061224487</v>
      </c>
      <c r="I177" s="38" t="n">
        <v>-0.2911764705882353</v>
      </c>
      <c r="J177" s="33" t="n">
        <v>38915</v>
      </c>
      <c r="K177" s="33" t="n">
        <v>39410</v>
      </c>
      <c r="L177" s="33" t="n">
        <v>36757.08333333334</v>
      </c>
      <c r="M177" s="38" t="n">
        <v>0.3643937862925041</v>
      </c>
      <c r="N177" s="38" t="n">
        <v>0.3706396768291724</v>
      </c>
      <c r="O177" s="38" t="n">
        <v>-0.1433649289099526</v>
      </c>
      <c r="P177" s="38" t="n">
        <v>-0.02297297297297296</v>
      </c>
      <c r="Q177" s="38" t="n">
        <v>0.07749627421758576</v>
      </c>
      <c r="R177" s="38" t="n">
        <v>-0.07105229346010533</v>
      </c>
      <c r="S177" s="38" t="n">
        <v>-0.08272012179649835</v>
      </c>
      <c r="T177" s="38" t="n">
        <v>-0.01651609100286799</v>
      </c>
      <c r="U177" s="33" t="n">
        <v>42500</v>
      </c>
      <c r="V177" s="33" t="n">
        <v>29400</v>
      </c>
      <c r="W177" s="38" t="n">
        <v>-0.1494117647058824</v>
      </c>
      <c r="X177" s="38" t="n">
        <v>0.2295918367346939</v>
      </c>
      <c r="Y177" s="33" t="n">
        <v>51414494</v>
      </c>
      <c r="Z177" s="33" t="n">
        <v>1858633958100</v>
      </c>
      <c r="AA177" s="33" t="n">
        <v>26656178550</v>
      </c>
      <c r="AB177" s="33" t="n">
        <v>22959148792.5</v>
      </c>
      <c r="AC177" s="38" t="n">
        <v>0.01434181186340179</v>
      </c>
      <c r="AD177" s="27" t="inlineStr">
        <is>
          <t>yfinance_download</t>
        </is>
      </c>
      <c r="AE177" s="27" t="inlineStr">
        <is>
          <t>005290.KQ</t>
        </is>
      </c>
    </row>
    <row r="178" ht="24" customHeight="1">
      <c r="A178" s="32" t="inlineStr">
        <is>
          <t>2024-02-27</t>
        </is>
      </c>
      <c r="B178" s="34" t="n">
        <v>35650</v>
      </c>
      <c r="C178" s="34" t="n">
        <v>35950</v>
      </c>
      <c r="D178" s="34" t="n">
        <v>35000</v>
      </c>
      <c r="E178" s="34" t="n">
        <v>35200</v>
      </c>
      <c r="F178" s="34" t="n">
        <v>34646.39453125</v>
      </c>
      <c r="G178" s="34" t="n">
        <v>656922</v>
      </c>
      <c r="H178" s="39" t="n">
        <v>-0.02627939142461966</v>
      </c>
      <c r="I178" s="39" t="n">
        <v>-0.3098039215686275</v>
      </c>
      <c r="J178" s="34" t="n">
        <v>38590</v>
      </c>
      <c r="K178" s="34" t="n">
        <v>39370.83333333334</v>
      </c>
      <c r="L178" s="34" t="n">
        <v>36767.5</v>
      </c>
      <c r="M178" s="39" t="n">
        <v>0.3702532315710147</v>
      </c>
      <c r="N178" s="39" t="n">
        <v>0.3731167877335332</v>
      </c>
      <c r="O178" s="39" t="n">
        <v>-0.1558752997601919</v>
      </c>
      <c r="P178" s="39" t="n">
        <v>-0.06258322237017311</v>
      </c>
      <c r="Q178" s="39" t="n">
        <v>0.03681885125184103</v>
      </c>
      <c r="R178" s="39" t="n">
        <v>-0.08784659238144599</v>
      </c>
      <c r="S178" s="39" t="n">
        <v>-0.1059371362048894</v>
      </c>
      <c r="T178" s="39" t="n">
        <v>-0.04263275991024684</v>
      </c>
      <c r="U178" s="34" t="n">
        <v>42500</v>
      </c>
      <c r="V178" s="34" t="n">
        <v>29400</v>
      </c>
      <c r="W178" s="39" t="n">
        <v>-0.1717647058823529</v>
      </c>
      <c r="X178" s="39" t="n">
        <v>0.1972789115646258</v>
      </c>
      <c r="Y178" s="34" t="n">
        <v>51414494</v>
      </c>
      <c r="Z178" s="34" t="n">
        <v>1809790188800</v>
      </c>
      <c r="AA178" s="34" t="n">
        <v>23123654400</v>
      </c>
      <c r="AB178" s="34" t="n">
        <v>23355432412.5</v>
      </c>
      <c r="AC178" s="39" t="n">
        <v>0.01277698074788016</v>
      </c>
      <c r="AD178" s="32" t="inlineStr">
        <is>
          <t>yfinance_download</t>
        </is>
      </c>
      <c r="AE178" s="32" t="inlineStr">
        <is>
          <t>005290.KQ</t>
        </is>
      </c>
    </row>
    <row r="179" ht="24" customHeight="1">
      <c r="A179" s="27" t="inlineStr">
        <is>
          <t>2024-02-28</t>
        </is>
      </c>
      <c r="B179" s="33" t="n">
        <v>35400</v>
      </c>
      <c r="C179" s="33" t="n">
        <v>37600</v>
      </c>
      <c r="D179" s="33" t="n">
        <v>35350</v>
      </c>
      <c r="E179" s="33" t="n">
        <v>36800</v>
      </c>
      <c r="F179" s="33" t="n">
        <v>36221.23046875</v>
      </c>
      <c r="G179" s="33" t="n">
        <v>1131591</v>
      </c>
      <c r="H179" s="38" t="n">
        <v>0.04545454545454541</v>
      </c>
      <c r="I179" s="38" t="n">
        <v>-0.2784313725490196</v>
      </c>
      <c r="J179" s="33" t="n">
        <v>38400</v>
      </c>
      <c r="K179" s="33" t="n">
        <v>39361.66666666666</v>
      </c>
      <c r="L179" s="33" t="n">
        <v>36790</v>
      </c>
      <c r="M179" s="38" t="n">
        <v>0.4091768641080754</v>
      </c>
      <c r="N179" s="38" t="n">
        <v>0.3848204385784917</v>
      </c>
      <c r="O179" s="38" t="n">
        <v>-0.09359605911330049</v>
      </c>
      <c r="P179" s="38" t="n">
        <v>-0.01472556894243637</v>
      </c>
      <c r="Q179" s="38" t="n">
        <v>0.07917888563049846</v>
      </c>
      <c r="R179" s="38" t="n">
        <v>-0.04166666666666663</v>
      </c>
      <c r="S179" s="38" t="n">
        <v>-0.06508023881102587</v>
      </c>
      <c r="T179" s="38" t="n">
        <v>0.0002718129926611024</v>
      </c>
      <c r="U179" s="33" t="n">
        <v>42500</v>
      </c>
      <c r="V179" s="33" t="n">
        <v>29400</v>
      </c>
      <c r="W179" s="38" t="n">
        <v>-0.1341176470588236</v>
      </c>
      <c r="X179" s="38" t="n">
        <v>0.2517006802721089</v>
      </c>
      <c r="Y179" s="33" t="n">
        <v>51414494</v>
      </c>
      <c r="Z179" s="33" t="n">
        <v>1892053379200</v>
      </c>
      <c r="AA179" s="33" t="n">
        <v>41642548800</v>
      </c>
      <c r="AB179" s="33" t="n">
        <v>24044454082.5</v>
      </c>
      <c r="AC179" s="38" t="n">
        <v>0.02200918285804777</v>
      </c>
      <c r="AD179" s="27" t="inlineStr">
        <is>
          <t>yfinance_download</t>
        </is>
      </c>
      <c r="AE179" s="27" t="inlineStr">
        <is>
          <t>005290.KQ</t>
        </is>
      </c>
    </row>
    <row r="180" ht="24" customHeight="1">
      <c r="A180" s="32" t="inlineStr">
        <is>
          <t>2024-02-29</t>
        </is>
      </c>
      <c r="B180" s="34" t="n">
        <v>36400</v>
      </c>
      <c r="C180" s="34" t="n">
        <v>37800</v>
      </c>
      <c r="D180" s="34" t="n">
        <v>36000</v>
      </c>
      <c r="E180" s="34" t="n">
        <v>37200</v>
      </c>
      <c r="F180" s="34" t="n">
        <v>36614.94140625</v>
      </c>
      <c r="G180" s="34" t="n">
        <v>628677</v>
      </c>
      <c r="H180" s="39" t="n">
        <v>0.01086956521739135</v>
      </c>
      <c r="I180" s="39" t="n">
        <v>-0.2705882352941177</v>
      </c>
      <c r="J180" s="34" t="n">
        <v>38257.5</v>
      </c>
      <c r="K180" s="34" t="n">
        <v>39340.83333333334</v>
      </c>
      <c r="L180" s="34" t="n">
        <v>36815.83333333334</v>
      </c>
      <c r="M180" s="39" t="n">
        <v>0.4112601037628249</v>
      </c>
      <c r="N180" s="39" t="n">
        <v>0.3806155189624429</v>
      </c>
      <c r="O180" s="39" t="n">
        <v>-0.07116104868913853</v>
      </c>
      <c r="P180" s="39" t="n">
        <v>-0.03250975292587777</v>
      </c>
      <c r="Q180" s="39" t="n">
        <v>0.09090909090909083</v>
      </c>
      <c r="R180" s="39" t="n">
        <v>-0.02764163889433446</v>
      </c>
      <c r="S180" s="39" t="n">
        <v>-0.05441758986633916</v>
      </c>
      <c r="T180" s="39" t="n">
        <v>0.01043482197424117</v>
      </c>
      <c r="U180" s="34" t="n">
        <v>42500</v>
      </c>
      <c r="V180" s="34" t="n">
        <v>29400</v>
      </c>
      <c r="W180" s="39" t="n">
        <v>-0.1247058823529412</v>
      </c>
      <c r="X180" s="39" t="n">
        <v>0.2653061224489797</v>
      </c>
      <c r="Y180" s="34" t="n">
        <v>51414494</v>
      </c>
      <c r="Z180" s="34" t="n">
        <v>1912619176800</v>
      </c>
      <c r="AA180" s="34" t="n">
        <v>23386784400</v>
      </c>
      <c r="AB180" s="34" t="n">
        <v>24021717067.5</v>
      </c>
      <c r="AC180" s="39" t="n">
        <v>0.01222762203980846</v>
      </c>
      <c r="AD180" s="32" t="inlineStr">
        <is>
          <t>yfinance_download</t>
        </is>
      </c>
      <c r="AE180" s="32" t="inlineStr">
        <is>
          <t>005290.KQ</t>
        </is>
      </c>
    </row>
    <row r="181" ht="24" customHeight="1">
      <c r="A181" s="27" t="inlineStr">
        <is>
          <t>2024-03-04</t>
        </is>
      </c>
      <c r="B181" s="33" t="n">
        <v>38200</v>
      </c>
      <c r="C181" s="33" t="n">
        <v>38600</v>
      </c>
      <c r="D181" s="33" t="n">
        <v>37500</v>
      </c>
      <c r="E181" s="33" t="n">
        <v>38350</v>
      </c>
      <c r="F181" s="33" t="n">
        <v>37746.85546875</v>
      </c>
      <c r="G181" s="33" t="n">
        <v>831708</v>
      </c>
      <c r="H181" s="38" t="n">
        <v>0.03091397849462374</v>
      </c>
      <c r="I181" s="38" t="n">
        <v>-0.2480392156862745</v>
      </c>
      <c r="J181" s="33" t="n">
        <v>38242.5</v>
      </c>
      <c r="K181" s="33" t="n">
        <v>39331.66666666666</v>
      </c>
      <c r="L181" s="33" t="n">
        <v>36840.83333333334</v>
      </c>
      <c r="M181" s="38" t="n">
        <v>0.4106206305740161</v>
      </c>
      <c r="N181" s="38" t="n">
        <v>0.3852055273735875</v>
      </c>
      <c r="O181" s="38" t="n">
        <v>-0.007761966364812412</v>
      </c>
      <c r="P181" s="38" t="n">
        <v>-0.01413881748071977</v>
      </c>
      <c r="Q181" s="38" t="n">
        <v>0.08486562942008491</v>
      </c>
      <c r="R181" s="38" t="n">
        <v>0.002811008694515227</v>
      </c>
      <c r="S181" s="38" t="n">
        <v>-0.02495868469002915</v>
      </c>
      <c r="T181" s="38" t="n">
        <v>0.04096450948901809</v>
      </c>
      <c r="U181" s="33" t="n">
        <v>42500</v>
      </c>
      <c r="V181" s="33" t="n">
        <v>29400</v>
      </c>
      <c r="W181" s="38" t="n">
        <v>-0.09764705882352942</v>
      </c>
      <c r="X181" s="38" t="n">
        <v>0.3044217687074831</v>
      </c>
      <c r="Y181" s="33" t="n">
        <v>51414494</v>
      </c>
      <c r="Z181" s="33" t="n">
        <v>1971745844900</v>
      </c>
      <c r="AA181" s="33" t="n">
        <v>31896001800</v>
      </c>
      <c r="AB181" s="33" t="n">
        <v>24570420122.5</v>
      </c>
      <c r="AC181" s="38" t="n">
        <v>0.01617652796505203</v>
      </c>
      <c r="AD181" s="27" t="inlineStr">
        <is>
          <t>yfinance_download</t>
        </is>
      </c>
      <c r="AE181" s="27" t="inlineStr">
        <is>
          <t>005290.KQ</t>
        </is>
      </c>
    </row>
    <row r="182" ht="24" customHeight="1">
      <c r="A182" s="32" t="inlineStr">
        <is>
          <t>2024-03-05</t>
        </is>
      </c>
      <c r="B182" s="34" t="n">
        <v>38400</v>
      </c>
      <c r="C182" s="34" t="n">
        <v>38400</v>
      </c>
      <c r="D182" s="34" t="n">
        <v>37500</v>
      </c>
      <c r="E182" s="34" t="n">
        <v>37950</v>
      </c>
      <c r="F182" s="34" t="n">
        <v>37353.14453125</v>
      </c>
      <c r="G182" s="34" t="n">
        <v>349571</v>
      </c>
      <c r="H182" s="39" t="n">
        <v>-0.0104302477183833</v>
      </c>
      <c r="I182" s="39" t="n">
        <v>-0.2558823529411764</v>
      </c>
      <c r="J182" s="34" t="n">
        <v>38225</v>
      </c>
      <c r="K182" s="34" t="n">
        <v>39327.5</v>
      </c>
      <c r="L182" s="34" t="n">
        <v>36862.91666666666</v>
      </c>
      <c r="M182" s="39" t="n">
        <v>0.4110482059142078</v>
      </c>
      <c r="N182" s="39" t="n">
        <v>0.3840021789672933</v>
      </c>
      <c r="O182" s="39" t="n">
        <v>-0.009138381201044377</v>
      </c>
      <c r="P182" s="39" t="n">
        <v>-0.00654450261780104</v>
      </c>
      <c r="Q182" s="39" t="n">
        <v>0.07507082152974509</v>
      </c>
      <c r="R182" s="39" t="n">
        <v>-0.007194244604316502</v>
      </c>
      <c r="S182" s="39" t="n">
        <v>-0.03502638103108513</v>
      </c>
      <c r="T182" s="39" t="n">
        <v>0.02948988934227037</v>
      </c>
      <c r="U182" s="34" t="n">
        <v>42500</v>
      </c>
      <c r="V182" s="34" t="n">
        <v>29400</v>
      </c>
      <c r="W182" s="39" t="n">
        <v>-0.1070588235294118</v>
      </c>
      <c r="X182" s="39" t="n">
        <v>0.2908163265306123</v>
      </c>
      <c r="Y182" s="34" t="n">
        <v>51414494</v>
      </c>
      <c r="Z182" s="34" t="n">
        <v>1951180047300</v>
      </c>
      <c r="AA182" s="34" t="n">
        <v>13266219450</v>
      </c>
      <c r="AB182" s="34" t="n">
        <v>24091540835</v>
      </c>
      <c r="AC182" s="39" t="n">
        <v>0.006799074984575361</v>
      </c>
      <c r="AD182" s="32" t="inlineStr">
        <is>
          <t>yfinance_download</t>
        </is>
      </c>
      <c r="AE182" s="32" t="inlineStr">
        <is>
          <t>005290.KQ</t>
        </is>
      </c>
    </row>
    <row r="183" ht="24" customHeight="1">
      <c r="A183" s="27" t="inlineStr">
        <is>
          <t>2024-03-06</t>
        </is>
      </c>
      <c r="B183" s="33" t="n">
        <v>37450</v>
      </c>
      <c r="C183" s="33" t="n">
        <v>41650</v>
      </c>
      <c r="D183" s="33" t="n">
        <v>37200</v>
      </c>
      <c r="E183" s="33" t="n">
        <v>41500</v>
      </c>
      <c r="F183" s="33" t="n">
        <v>40847.3125</v>
      </c>
      <c r="G183" s="33" t="n">
        <v>2473474</v>
      </c>
      <c r="H183" s="38" t="n">
        <v>0.09354413702239794</v>
      </c>
      <c r="I183" s="38" t="n">
        <v>-0.1862745098039216</v>
      </c>
      <c r="J183" s="33" t="n">
        <v>38312.5</v>
      </c>
      <c r="K183" s="33" t="n">
        <v>39390.83333333334</v>
      </c>
      <c r="L183" s="33" t="n">
        <v>36914.16666666666</v>
      </c>
      <c r="M183" s="38" t="n">
        <v>0.5139686189548412</v>
      </c>
      <c r="N183" s="38" t="n">
        <v>0.4279397444951147</v>
      </c>
      <c r="O183" s="38" t="n">
        <v>0.04402515723270439</v>
      </c>
      <c r="P183" s="38" t="n">
        <v>0.1007957559681698</v>
      </c>
      <c r="Q183" s="38" t="n">
        <v>0.1739745403111739</v>
      </c>
      <c r="R183" s="38" t="n">
        <v>0.0831973898858076</v>
      </c>
      <c r="S183" s="38" t="n">
        <v>0.05354460640165848</v>
      </c>
      <c r="T183" s="38" t="n">
        <v>0.1242296318035083</v>
      </c>
      <c r="U183" s="33" t="n">
        <v>42500</v>
      </c>
      <c r="V183" s="33" t="n">
        <v>29400</v>
      </c>
      <c r="W183" s="38" t="n">
        <v>-0.02352941176470591</v>
      </c>
      <c r="X183" s="38" t="n">
        <v>0.41156462585034</v>
      </c>
      <c r="Y183" s="33" t="n">
        <v>51414494</v>
      </c>
      <c r="Z183" s="33" t="n">
        <v>2133701501000</v>
      </c>
      <c r="AA183" s="33" t="n">
        <v>102649171000</v>
      </c>
      <c r="AB183" s="33" t="n">
        <v>28042017235</v>
      </c>
      <c r="AC183" s="38" t="n">
        <v>0.04810849640959221</v>
      </c>
      <c r="AD183" s="27" t="inlineStr">
        <is>
          <t>yfinance_download</t>
        </is>
      </c>
      <c r="AE183" s="27" t="inlineStr">
        <is>
          <t>005290.KQ</t>
        </is>
      </c>
    </row>
    <row r="184" ht="24" customHeight="1">
      <c r="A184" s="32" t="inlineStr">
        <is>
          <t>2024-03-07</t>
        </is>
      </c>
      <c r="B184" s="34" t="n">
        <v>41500</v>
      </c>
      <c r="C184" s="34" t="n">
        <v>41950</v>
      </c>
      <c r="D184" s="34" t="n">
        <v>39850</v>
      </c>
      <c r="E184" s="34" t="n">
        <v>40250</v>
      </c>
      <c r="F184" s="34" t="n">
        <v>39616.97265625</v>
      </c>
      <c r="G184" s="34" t="n">
        <v>1543689</v>
      </c>
      <c r="H184" s="39" t="n">
        <v>-0.03012048192771088</v>
      </c>
      <c r="I184" s="39" t="n">
        <v>-0.2107843137254902</v>
      </c>
      <c r="J184" s="34" t="n">
        <v>38407.5</v>
      </c>
      <c r="K184" s="34" t="n">
        <v>39414.16666666666</v>
      </c>
      <c r="L184" s="34" t="n">
        <v>36962.08333333334</v>
      </c>
      <c r="M184" s="39" t="n">
        <v>0.5092834608748094</v>
      </c>
      <c r="N184" s="39" t="n">
        <v>0.4286984105170106</v>
      </c>
      <c r="O184" s="39" t="n">
        <v>0.04954367666232073</v>
      </c>
      <c r="P184" s="39" t="n">
        <v>0.03603603603603611</v>
      </c>
      <c r="Q184" s="39" t="n">
        <v>0.1666666666666667</v>
      </c>
      <c r="R184" s="39" t="n">
        <v>0.04797240122371926</v>
      </c>
      <c r="S184" s="39" t="n">
        <v>0.02120641901177667</v>
      </c>
      <c r="T184" s="39" t="n">
        <v>0.08895377019242678</v>
      </c>
      <c r="U184" s="34" t="n">
        <v>42500</v>
      </c>
      <c r="V184" s="34" t="n">
        <v>29400</v>
      </c>
      <c r="W184" s="39" t="n">
        <v>-0.05294117647058827</v>
      </c>
      <c r="X184" s="39" t="n">
        <v>0.3690476190476191</v>
      </c>
      <c r="Y184" s="34" t="n">
        <v>51414494</v>
      </c>
      <c r="Z184" s="34" t="n">
        <v>2069433383500</v>
      </c>
      <c r="AA184" s="34" t="n">
        <v>62133482250</v>
      </c>
      <c r="AB184" s="34" t="n">
        <v>30295819945</v>
      </c>
      <c r="AC184" s="39" t="n">
        <v>0.03002439351051476</v>
      </c>
      <c r="AD184" s="32" t="inlineStr">
        <is>
          <t>yfinance_download</t>
        </is>
      </c>
      <c r="AE184" s="32" t="inlineStr">
        <is>
          <t>005290.KQ</t>
        </is>
      </c>
    </row>
    <row r="185" ht="24" customHeight="1">
      <c r="A185" s="27" t="inlineStr">
        <is>
          <t>2024-03-08</t>
        </is>
      </c>
      <c r="B185" s="33" t="n">
        <v>40950</v>
      </c>
      <c r="C185" s="33" t="n">
        <v>41100</v>
      </c>
      <c r="D185" s="33" t="n">
        <v>39650</v>
      </c>
      <c r="E185" s="33" t="n">
        <v>40150</v>
      </c>
      <c r="F185" s="33" t="n">
        <v>39518.54296875</v>
      </c>
      <c r="G185" s="33" t="n">
        <v>851603</v>
      </c>
      <c r="H185" s="38" t="n">
        <v>-0.00248447204968949</v>
      </c>
      <c r="I185" s="38" t="n">
        <v>-0.2127450980392157</v>
      </c>
      <c r="J185" s="33" t="n">
        <v>38452.5</v>
      </c>
      <c r="K185" s="33" t="n">
        <v>39446.66666666666</v>
      </c>
      <c r="L185" s="33" t="n">
        <v>37008.33333333334</v>
      </c>
      <c r="M185" s="38" t="n">
        <v>0.5036809160880872</v>
      </c>
      <c r="N185" s="38" t="n">
        <v>0.4271815136561256</v>
      </c>
      <c r="O185" s="38" t="n">
        <v>0.02292993630573248</v>
      </c>
      <c r="P185" s="38" t="n">
        <v>0.05104712041884807</v>
      </c>
      <c r="Q185" s="38" t="n">
        <v>0.1604046242774566</v>
      </c>
      <c r="R185" s="38" t="n">
        <v>0.0441453741629283</v>
      </c>
      <c r="S185" s="38" t="n">
        <v>0.01782998140949821</v>
      </c>
      <c r="T185" s="38" t="n">
        <v>0.08489079036253089</v>
      </c>
      <c r="U185" s="33" t="n">
        <v>42500</v>
      </c>
      <c r="V185" s="33" t="n">
        <v>29400</v>
      </c>
      <c r="W185" s="38" t="n">
        <v>-0.05529411764705883</v>
      </c>
      <c r="X185" s="38" t="n">
        <v>0.3656462585034013</v>
      </c>
      <c r="Y185" s="33" t="n">
        <v>51414494</v>
      </c>
      <c r="Z185" s="33" t="n">
        <v>2064291934100</v>
      </c>
      <c r="AA185" s="33" t="n">
        <v>34191860450</v>
      </c>
      <c r="AB185" s="33" t="n">
        <v>31220495392.5</v>
      </c>
      <c r="AC185" s="38" t="n">
        <v>0.01656348110709793</v>
      </c>
      <c r="AD185" s="27" t="inlineStr">
        <is>
          <t>yfinance_download</t>
        </is>
      </c>
      <c r="AE185" s="27" t="inlineStr">
        <is>
          <t>005290.KQ</t>
        </is>
      </c>
    </row>
    <row r="186" ht="24" customHeight="1">
      <c r="A186" s="32" t="inlineStr">
        <is>
          <t>2024-03-11</t>
        </is>
      </c>
      <c r="B186" s="34" t="n">
        <v>39050</v>
      </c>
      <c r="C186" s="34" t="n">
        <v>40500</v>
      </c>
      <c r="D186" s="34" t="n">
        <v>38650</v>
      </c>
      <c r="E186" s="34" t="n">
        <v>40100</v>
      </c>
      <c r="F186" s="34" t="n">
        <v>39469.33203125</v>
      </c>
      <c r="G186" s="34" t="n">
        <v>701672</v>
      </c>
      <c r="H186" s="39" t="n">
        <v>-0.001245330012453305</v>
      </c>
      <c r="I186" s="39" t="n">
        <v>-0.2137254901960784</v>
      </c>
      <c r="J186" s="34" t="n">
        <v>38547.5</v>
      </c>
      <c r="K186" s="34" t="n">
        <v>39460.83333333334</v>
      </c>
      <c r="L186" s="34" t="n">
        <v>37057.5</v>
      </c>
      <c r="M186" s="39" t="n">
        <v>0.4926558767035132</v>
      </c>
      <c r="N186" s="39" t="n">
        <v>0.4236676152486366</v>
      </c>
      <c r="O186" s="39" t="n">
        <v>0.04973821989528804</v>
      </c>
      <c r="P186" s="39" t="n">
        <v>0.02165605095541401</v>
      </c>
      <c r="Q186" s="39" t="n">
        <v>0.172514619883041</v>
      </c>
      <c r="R186" s="39" t="n">
        <v>0.04027498540761387</v>
      </c>
      <c r="S186" s="39" t="n">
        <v>0.01619749540683801</v>
      </c>
      <c r="T186" s="39" t="n">
        <v>0.08210213856844084</v>
      </c>
      <c r="U186" s="34" t="n">
        <v>42500</v>
      </c>
      <c r="V186" s="34" t="n">
        <v>29400</v>
      </c>
      <c r="W186" s="39" t="n">
        <v>-0.05647058823529416</v>
      </c>
      <c r="X186" s="39" t="n">
        <v>0.3639455782312926</v>
      </c>
      <c r="Y186" s="34" t="n">
        <v>51414494</v>
      </c>
      <c r="Z186" s="34" t="n">
        <v>2061721209400</v>
      </c>
      <c r="AA186" s="34" t="n">
        <v>28137047200</v>
      </c>
      <c r="AB186" s="34" t="n">
        <v>31870657322.5</v>
      </c>
      <c r="AC186" s="39" t="n">
        <v>0.01364735788316812</v>
      </c>
      <c r="AD186" s="32" t="inlineStr">
        <is>
          <t>yfinance_download</t>
        </is>
      </c>
      <c r="AE186" s="32" t="inlineStr">
        <is>
          <t>005290.KQ</t>
        </is>
      </c>
    </row>
    <row r="187" ht="24" customHeight="1">
      <c r="A187" s="27" t="inlineStr">
        <is>
          <t>2024-03-12</t>
        </is>
      </c>
      <c r="B187" s="33" t="n">
        <v>40100</v>
      </c>
      <c r="C187" s="33" t="n">
        <v>41200</v>
      </c>
      <c r="D187" s="33" t="n">
        <v>39750</v>
      </c>
      <c r="E187" s="33" t="n">
        <v>40500</v>
      </c>
      <c r="F187" s="33" t="n">
        <v>39863.0390625</v>
      </c>
      <c r="G187" s="33" t="n">
        <v>639633</v>
      </c>
      <c r="H187" s="38" t="n">
        <v>0.009975062344139696</v>
      </c>
      <c r="I187" s="38" t="n">
        <v>-0.2058823529411765</v>
      </c>
      <c r="J187" s="33" t="n">
        <v>38660</v>
      </c>
      <c r="K187" s="33" t="n">
        <v>39495.83333333334</v>
      </c>
      <c r="L187" s="33" t="n">
        <v>37113.33333333334</v>
      </c>
      <c r="M187" s="38" t="n">
        <v>0.4932506282591617</v>
      </c>
      <c r="N187" s="38" t="n">
        <v>0.4214922743392552</v>
      </c>
      <c r="O187" s="38" t="n">
        <v>0.05882352941176472</v>
      </c>
      <c r="P187" s="38" t="n">
        <v>0.0546875</v>
      </c>
      <c r="Q187" s="38" t="n">
        <v>0.1982248520710059</v>
      </c>
      <c r="R187" s="38" t="n">
        <v>0.04759441282979826</v>
      </c>
      <c r="S187" s="38" t="n">
        <v>0.0254246228505115</v>
      </c>
      <c r="T187" s="38" t="n">
        <v>0.09125202083707551</v>
      </c>
      <c r="U187" s="33" t="n">
        <v>42500</v>
      </c>
      <c r="V187" s="33" t="n">
        <v>29400</v>
      </c>
      <c r="W187" s="38" t="n">
        <v>-0.04705882352941182</v>
      </c>
      <c r="X187" s="38" t="n">
        <v>0.3775510204081634</v>
      </c>
      <c r="Y187" s="33" t="n">
        <v>51414494</v>
      </c>
      <c r="Z187" s="33" t="n">
        <v>2082287007000</v>
      </c>
      <c r="AA187" s="33" t="n">
        <v>25905136500</v>
      </c>
      <c r="AB187" s="33" t="n">
        <v>32373247922.5</v>
      </c>
      <c r="AC187" s="38" t="n">
        <v>0.01244071370224902</v>
      </c>
      <c r="AD187" s="27" t="inlineStr">
        <is>
          <t>yfinance_download</t>
        </is>
      </c>
      <c r="AE187" s="27" t="inlineStr">
        <is>
          <t>005290.KQ</t>
        </is>
      </c>
    </row>
    <row r="188" ht="24" customHeight="1">
      <c r="A188" s="32" t="inlineStr">
        <is>
          <t>2024-03-13</t>
        </is>
      </c>
      <c r="B188" s="34" t="n">
        <v>40900</v>
      </c>
      <c r="C188" s="34" t="n">
        <v>40950</v>
      </c>
      <c r="D188" s="34" t="n">
        <v>39350</v>
      </c>
      <c r="E188" s="34" t="n">
        <v>39750</v>
      </c>
      <c r="F188" s="34" t="n">
        <v>39124.8359375</v>
      </c>
      <c r="G188" s="34" t="n">
        <v>608362</v>
      </c>
      <c r="H188" s="39" t="n">
        <v>-0.01851851851851849</v>
      </c>
      <c r="I188" s="39" t="n">
        <v>-0.2205882352941176</v>
      </c>
      <c r="J188" s="34" t="n">
        <v>38647.5</v>
      </c>
      <c r="K188" s="34" t="n">
        <v>39520.83333333334</v>
      </c>
      <c r="L188" s="34" t="n">
        <v>37160.41666666666</v>
      </c>
      <c r="M188" s="39" t="n">
        <v>0.4722098759133551</v>
      </c>
      <c r="N188" s="39" t="n">
        <v>0.4233122892115029</v>
      </c>
      <c r="O188" s="39" t="n">
        <v>-0.006249999999999978</v>
      </c>
      <c r="P188" s="39" t="n">
        <v>0.03921568627450989</v>
      </c>
      <c r="Q188" s="39" t="n">
        <v>0.1656891495601174</v>
      </c>
      <c r="R188" s="39" t="n">
        <v>0.02852707160877155</v>
      </c>
      <c r="S188" s="39" t="n">
        <v>0.00579862941486553</v>
      </c>
      <c r="T188" s="39" t="n">
        <v>0.0696866064921231</v>
      </c>
      <c r="U188" s="34" t="n">
        <v>42500</v>
      </c>
      <c r="V188" s="34" t="n">
        <v>29400</v>
      </c>
      <c r="W188" s="39" t="n">
        <v>-0.06470588235294117</v>
      </c>
      <c r="X188" s="39" t="n">
        <v>0.3520408163265305</v>
      </c>
      <c r="Y188" s="34" t="n">
        <v>51414494</v>
      </c>
      <c r="Z188" s="34" t="n">
        <v>2043726136500</v>
      </c>
      <c r="AA188" s="34" t="n">
        <v>24182389500</v>
      </c>
      <c r="AB188" s="34" t="n">
        <v>30750925397.5</v>
      </c>
      <c r="AC188" s="39" t="n">
        <v>0.01183249999504031</v>
      </c>
      <c r="AD188" s="32" t="inlineStr">
        <is>
          <t>yfinance_download</t>
        </is>
      </c>
      <c r="AE188" s="32" t="inlineStr">
        <is>
          <t>005290.KQ</t>
        </is>
      </c>
    </row>
    <row r="189" ht="24" customHeight="1">
      <c r="A189" s="27" t="inlineStr">
        <is>
          <t>2024-03-14</t>
        </is>
      </c>
      <c r="B189" s="33" t="n">
        <v>39400</v>
      </c>
      <c r="C189" s="33" t="n">
        <v>39750</v>
      </c>
      <c r="D189" s="33" t="n">
        <v>38300</v>
      </c>
      <c r="E189" s="33" t="n">
        <v>38700</v>
      </c>
      <c r="F189" s="33" t="n">
        <v>38091.34765625</v>
      </c>
      <c r="G189" s="33" t="n">
        <v>623771</v>
      </c>
      <c r="H189" s="38" t="n">
        <v>-0.02641509433962264</v>
      </c>
      <c r="I189" s="38" t="n">
        <v>-0.2411764705882353</v>
      </c>
      <c r="J189" s="33" t="n">
        <v>38567.5</v>
      </c>
      <c r="K189" s="33" t="n">
        <v>39528.33333333334</v>
      </c>
      <c r="L189" s="33" t="n">
        <v>37202.91666666666</v>
      </c>
      <c r="M189" s="38" t="n">
        <v>0.4804297032365831</v>
      </c>
      <c r="N189" s="38" t="n">
        <v>0.4270197231753853</v>
      </c>
      <c r="O189" s="38" t="n">
        <v>-0.03970223325062039</v>
      </c>
      <c r="P189" s="38" t="n">
        <v>0.0117647058823529</v>
      </c>
      <c r="Q189" s="38" t="n">
        <v>0.1517857142857142</v>
      </c>
      <c r="R189" s="38" t="n">
        <v>0.003435535100797305</v>
      </c>
      <c r="S189" s="38" t="n">
        <v>-0.02095543281190715</v>
      </c>
      <c r="T189" s="38" t="n">
        <v>0.04024102052930445</v>
      </c>
      <c r="U189" s="33" t="n">
        <v>42500</v>
      </c>
      <c r="V189" s="33" t="n">
        <v>29400</v>
      </c>
      <c r="W189" s="38" t="n">
        <v>-0.0894117647058823</v>
      </c>
      <c r="X189" s="38" t="n">
        <v>0.3163265306122449</v>
      </c>
      <c r="Y189" s="33" t="n">
        <v>51414494</v>
      </c>
      <c r="Z189" s="33" t="n">
        <v>1989740917800</v>
      </c>
      <c r="AA189" s="33" t="n">
        <v>24139937700</v>
      </c>
      <c r="AB189" s="33" t="n">
        <v>30986736612.5</v>
      </c>
      <c r="AC189" s="38" t="n">
        <v>0.01213220147610516</v>
      </c>
      <c r="AD189" s="27" t="inlineStr">
        <is>
          <t>yfinance_download</t>
        </is>
      </c>
      <c r="AE189" s="27" t="inlineStr">
        <is>
          <t>005290.KQ</t>
        </is>
      </c>
    </row>
    <row r="190" ht="24" customHeight="1">
      <c r="A190" s="32" t="inlineStr">
        <is>
          <t>2024-03-15</t>
        </is>
      </c>
      <c r="B190" s="34" t="n">
        <v>38100</v>
      </c>
      <c r="C190" s="34" t="n">
        <v>39150</v>
      </c>
      <c r="D190" s="34" t="n">
        <v>38050</v>
      </c>
      <c r="E190" s="34" t="n">
        <v>38650</v>
      </c>
      <c r="F190" s="34" t="n">
        <v>38042.13671875</v>
      </c>
      <c r="G190" s="34" t="n">
        <v>398671</v>
      </c>
      <c r="H190" s="39" t="n">
        <v>-0.001291989664082727</v>
      </c>
      <c r="I190" s="39" t="n">
        <v>-0.2421568627450981</v>
      </c>
      <c r="J190" s="34" t="n">
        <v>38505</v>
      </c>
      <c r="K190" s="34" t="n">
        <v>39518.33333333334</v>
      </c>
      <c r="L190" s="34" t="n">
        <v>37225</v>
      </c>
      <c r="M190" s="39" t="n">
        <v>0.4794220556054851</v>
      </c>
      <c r="N190" s="39" t="n">
        <v>0.4236831476904465</v>
      </c>
      <c r="O190" s="39" t="n">
        <v>-0.03132832080200498</v>
      </c>
      <c r="P190" s="39" t="n">
        <v>-0.01528662420382165</v>
      </c>
      <c r="Q190" s="39" t="n">
        <v>0.07361111111111107</v>
      </c>
      <c r="R190" s="39" t="n">
        <v>0.003765744708479346</v>
      </c>
      <c r="S190" s="39" t="n">
        <v>-0.0219729239593438</v>
      </c>
      <c r="T190" s="39" t="n">
        <v>0.03828072531900606</v>
      </c>
      <c r="U190" s="34" t="n">
        <v>42500</v>
      </c>
      <c r="V190" s="34" t="n">
        <v>29400</v>
      </c>
      <c r="W190" s="39" t="n">
        <v>-0.09058823529411764</v>
      </c>
      <c r="X190" s="39" t="n">
        <v>0.314625850340136</v>
      </c>
      <c r="Y190" s="34" t="n">
        <v>51414494</v>
      </c>
      <c r="Z190" s="34" t="n">
        <v>1987170193100</v>
      </c>
      <c r="AA190" s="34" t="n">
        <v>15408634150</v>
      </c>
      <c r="AB190" s="34" t="n">
        <v>30807063535</v>
      </c>
      <c r="AC190" s="39" t="n">
        <v>0.007754058612343827</v>
      </c>
      <c r="AD190" s="32" t="inlineStr">
        <is>
          <t>yfinance_download</t>
        </is>
      </c>
      <c r="AE190" s="32" t="inlineStr">
        <is>
          <t>005290.KQ</t>
        </is>
      </c>
    </row>
    <row r="191" ht="24" customHeight="1">
      <c r="A191" s="27" t="inlineStr">
        <is>
          <t>2024-03-18</t>
        </is>
      </c>
      <c r="B191" s="33" t="n">
        <v>38950</v>
      </c>
      <c r="C191" s="33" t="n">
        <v>39500</v>
      </c>
      <c r="D191" s="33" t="n">
        <v>38500</v>
      </c>
      <c r="E191" s="33" t="n">
        <v>39300</v>
      </c>
      <c r="F191" s="33" t="n">
        <v>38681.9140625</v>
      </c>
      <c r="G191" s="33" t="n">
        <v>423235</v>
      </c>
      <c r="H191" s="38" t="n">
        <v>0.01681759379042691</v>
      </c>
      <c r="I191" s="38" t="n">
        <v>-0.2294117647058823</v>
      </c>
      <c r="J191" s="33" t="n">
        <v>38532.5</v>
      </c>
      <c r="K191" s="33" t="n">
        <v>39537.5</v>
      </c>
      <c r="L191" s="33" t="n">
        <v>37254.16666666666</v>
      </c>
      <c r="M191" s="38" t="n">
        <v>0.4718195085459003</v>
      </c>
      <c r="N191" s="38" t="n">
        <v>0.4209329698437678</v>
      </c>
      <c r="O191" s="38" t="n">
        <v>0.01419354838709674</v>
      </c>
      <c r="P191" s="38" t="n">
        <v>0.03014416775884676</v>
      </c>
      <c r="Q191" s="38" t="n">
        <v>0.0977653631284916</v>
      </c>
      <c r="R191" s="38" t="n">
        <v>0.01991825082722376</v>
      </c>
      <c r="S191" s="38" t="n">
        <v>-0.006006955422067639</v>
      </c>
      <c r="T191" s="38" t="n">
        <v>0.05491555754389887</v>
      </c>
      <c r="U191" s="33" t="n">
        <v>42500</v>
      </c>
      <c r="V191" s="33" t="n">
        <v>29400</v>
      </c>
      <c r="W191" s="38" t="n">
        <v>-0.07529411764705884</v>
      </c>
      <c r="X191" s="38" t="n">
        <v>0.3367346938775511</v>
      </c>
      <c r="Y191" s="33" t="n">
        <v>51414494</v>
      </c>
      <c r="Z191" s="33" t="n">
        <v>2020589614200</v>
      </c>
      <c r="AA191" s="33" t="n">
        <v>16633135500</v>
      </c>
      <c r="AB191" s="33" t="n">
        <v>30466410747.5</v>
      </c>
      <c r="AC191" s="38" t="n">
        <v>0.008231822722985468</v>
      </c>
      <c r="AD191" s="27" t="inlineStr">
        <is>
          <t>yfinance_download</t>
        </is>
      </c>
      <c r="AE191" s="27" t="inlineStr">
        <is>
          <t>005290.KQ</t>
        </is>
      </c>
    </row>
    <row r="192" ht="24" customHeight="1">
      <c r="A192" s="32" t="inlineStr">
        <is>
          <t>2024-03-19</t>
        </is>
      </c>
      <c r="B192" s="34" t="n">
        <v>38950</v>
      </c>
      <c r="C192" s="34" t="n">
        <v>39300</v>
      </c>
      <c r="D192" s="34" t="n">
        <v>38500</v>
      </c>
      <c r="E192" s="34" t="n">
        <v>39100</v>
      </c>
      <c r="F192" s="34" t="n">
        <v>38485.05859375</v>
      </c>
      <c r="G192" s="34" t="n">
        <v>309547</v>
      </c>
      <c r="H192" s="39" t="n">
        <v>-0.005089058524173073</v>
      </c>
      <c r="I192" s="39" t="n">
        <v>-0.2333333333333333</v>
      </c>
      <c r="J192" s="34" t="n">
        <v>38557.5</v>
      </c>
      <c r="K192" s="34" t="n">
        <v>39545.83333333334</v>
      </c>
      <c r="L192" s="34" t="n">
        <v>37288.75</v>
      </c>
      <c r="M192" s="39" t="n">
        <v>0.4720099151873211</v>
      </c>
      <c r="N192" s="39" t="n">
        <v>0.4204769275988501</v>
      </c>
      <c r="O192" s="39" t="n">
        <v>0.01295336787564771</v>
      </c>
      <c r="P192" s="39" t="n">
        <v>0.01295336787564771</v>
      </c>
      <c r="Q192" s="39" t="n">
        <v>0.1187410586552218</v>
      </c>
      <c r="R192" s="39" t="n">
        <v>0.01406989561045191</v>
      </c>
      <c r="S192" s="39" t="n">
        <v>-0.01127383837319573</v>
      </c>
      <c r="T192" s="39" t="n">
        <v>0.04857363145720894</v>
      </c>
      <c r="U192" s="34" t="n">
        <v>42500</v>
      </c>
      <c r="V192" s="34" t="n">
        <v>29400</v>
      </c>
      <c r="W192" s="39" t="n">
        <v>-0.07999999999999996</v>
      </c>
      <c r="X192" s="39" t="n">
        <v>0.3299319727891157</v>
      </c>
      <c r="Y192" s="34" t="n">
        <v>51414494</v>
      </c>
      <c r="Z192" s="34" t="n">
        <v>2010306715400</v>
      </c>
      <c r="AA192" s="34" t="n">
        <v>12103287700</v>
      </c>
      <c r="AB192" s="34" t="n">
        <v>30047389752.5</v>
      </c>
      <c r="AC192" s="39" t="n">
        <v>0.006020617454681164</v>
      </c>
      <c r="AD192" s="32" t="inlineStr">
        <is>
          <t>yfinance_download</t>
        </is>
      </c>
      <c r="AE192" s="32" t="inlineStr">
        <is>
          <t>005290.KQ</t>
        </is>
      </c>
    </row>
    <row r="193" ht="24" customHeight="1">
      <c r="A193" s="27" t="inlineStr">
        <is>
          <t>2024-03-20</t>
        </is>
      </c>
      <c r="B193" s="33" t="n">
        <v>39500</v>
      </c>
      <c r="C193" s="33" t="n">
        <v>41550</v>
      </c>
      <c r="D193" s="33" t="n">
        <v>38750</v>
      </c>
      <c r="E193" s="33" t="n">
        <v>41150</v>
      </c>
      <c r="F193" s="33" t="n">
        <v>40502.81640625</v>
      </c>
      <c r="G193" s="33" t="n">
        <v>1521772</v>
      </c>
      <c r="H193" s="38" t="n">
        <v>0.05242966751918154</v>
      </c>
      <c r="I193" s="38" t="n">
        <v>-0.1931372549019608</v>
      </c>
      <c r="J193" s="33" t="n">
        <v>38697.5</v>
      </c>
      <c r="K193" s="33" t="n">
        <v>39590</v>
      </c>
      <c r="L193" s="33" t="n">
        <v>37341.66666666666</v>
      </c>
      <c r="M193" s="38" t="n">
        <v>0.5047293497114347</v>
      </c>
      <c r="N193" s="38" t="n">
        <v>0.433633602091676</v>
      </c>
      <c r="O193" s="38" t="n">
        <v>0.07301173402868311</v>
      </c>
      <c r="P193" s="38" t="n">
        <v>0.06883116883116891</v>
      </c>
      <c r="Q193" s="38" t="n">
        <v>0.1824712643678161</v>
      </c>
      <c r="R193" s="38" t="n">
        <v>0.0633761870921894</v>
      </c>
      <c r="S193" s="38" t="n">
        <v>0.03940388987117949</v>
      </c>
      <c r="T193" s="38" t="n">
        <v>0.1019861638027226</v>
      </c>
      <c r="U193" s="33" t="n">
        <v>42500</v>
      </c>
      <c r="V193" s="33" t="n">
        <v>29400</v>
      </c>
      <c r="W193" s="38" t="n">
        <v>-0.03176470588235292</v>
      </c>
      <c r="X193" s="38" t="n">
        <v>0.3996598639455782</v>
      </c>
      <c r="Y193" s="33" t="n">
        <v>51414494</v>
      </c>
      <c r="Z193" s="33" t="n">
        <v>2115706428100</v>
      </c>
      <c r="AA193" s="33" t="n">
        <v>62620917800</v>
      </c>
      <c r="AB193" s="33" t="n">
        <v>32250442342.5</v>
      </c>
      <c r="AC193" s="38" t="n">
        <v>0.02959811293679172</v>
      </c>
      <c r="AD193" s="27" t="inlineStr">
        <is>
          <t>yfinance_download</t>
        </is>
      </c>
      <c r="AE193" s="27" t="inlineStr">
        <is>
          <t>005290.KQ</t>
        </is>
      </c>
    </row>
    <row r="194" ht="24" customHeight="1">
      <c r="A194" s="32" t="inlineStr">
        <is>
          <t>2024-03-21</t>
        </is>
      </c>
      <c r="B194" s="34" t="n">
        <v>42350</v>
      </c>
      <c r="C194" s="34" t="n">
        <v>48700</v>
      </c>
      <c r="D194" s="34" t="n">
        <v>42100</v>
      </c>
      <c r="E194" s="34" t="n">
        <v>47950</v>
      </c>
      <c r="F194" s="34" t="n">
        <v>47195.87109375</v>
      </c>
      <c r="G194" s="34" t="n">
        <v>14410940</v>
      </c>
      <c r="H194" s="39" t="n">
        <v>0.1652490886998785</v>
      </c>
      <c r="I194" s="39" t="n">
        <v>-0.05980392156862746</v>
      </c>
      <c r="J194" s="34" t="n">
        <v>39185</v>
      </c>
      <c r="K194" s="34" t="n">
        <v>39759.16666666666</v>
      </c>
      <c r="L194" s="34" t="n">
        <v>37459.16666666666</v>
      </c>
      <c r="M194" s="39" t="n">
        <v>0.7614584020055318</v>
      </c>
      <c r="N194" s="39" t="n">
        <v>0.5464094185458127</v>
      </c>
      <c r="O194" s="39" t="n">
        <v>0.2552356020942408</v>
      </c>
      <c r="P194" s="39" t="n">
        <v>0.2685185185185186</v>
      </c>
      <c r="Q194" s="39" t="n">
        <v>0.4165435745937962</v>
      </c>
      <c r="R194" s="39" t="n">
        <v>0.2236825315809621</v>
      </c>
      <c r="S194" s="39" t="n">
        <v>0.2060111923874999</v>
      </c>
      <c r="T194" s="39" t="n">
        <v>0.2800605103334743</v>
      </c>
      <c r="U194" s="34" t="n">
        <v>47950</v>
      </c>
      <c r="V194" s="34" t="n">
        <v>29400</v>
      </c>
      <c r="W194" s="39" t="n">
        <v>0</v>
      </c>
      <c r="X194" s="39" t="n">
        <v>0.6309523809523809</v>
      </c>
      <c r="Y194" s="34" t="n">
        <v>51414494</v>
      </c>
      <c r="Z194" s="34" t="n">
        <v>2465324987300</v>
      </c>
      <c r="AA194" s="34" t="n">
        <v>691004573000</v>
      </c>
      <c r="AB194" s="34" t="n">
        <v>65873751812.5</v>
      </c>
      <c r="AC194" s="39" t="n">
        <v>0.2802894452291994</v>
      </c>
      <c r="AD194" s="32" t="inlineStr">
        <is>
          <t>yfinance_download</t>
        </is>
      </c>
      <c r="AE194" s="32" t="inlineStr">
        <is>
          <t>005290.KQ</t>
        </is>
      </c>
    </row>
    <row r="195" ht="24" customHeight="1">
      <c r="A195" s="27" t="inlineStr">
        <is>
          <t>2024-03-22</t>
        </is>
      </c>
      <c r="B195" s="33" t="n">
        <v>47200</v>
      </c>
      <c r="C195" s="33" t="n">
        <v>47400</v>
      </c>
      <c r="D195" s="33" t="n">
        <v>43800</v>
      </c>
      <c r="E195" s="33" t="n">
        <v>44700</v>
      </c>
      <c r="F195" s="33" t="n">
        <v>43996.984375</v>
      </c>
      <c r="G195" s="33" t="n">
        <v>5006047</v>
      </c>
      <c r="H195" s="38" t="n">
        <v>-0.06777893639207511</v>
      </c>
      <c r="I195" s="38" t="n">
        <v>-0.1235294117647059</v>
      </c>
      <c r="J195" s="33" t="n">
        <v>39510</v>
      </c>
      <c r="K195" s="33" t="n">
        <v>39878.33333333334</v>
      </c>
      <c r="L195" s="33" t="n">
        <v>37560.83333333334</v>
      </c>
      <c r="M195" s="38" t="n">
        <v>0.8124627734393235</v>
      </c>
      <c r="N195" s="38" t="n">
        <v>0.5657710337004882</v>
      </c>
      <c r="O195" s="38" t="n">
        <v>0.1701570680628273</v>
      </c>
      <c r="P195" s="38" t="n">
        <v>0.1904127829560587</v>
      </c>
      <c r="Q195" s="38" t="n">
        <v>0.3753846153846154</v>
      </c>
      <c r="R195" s="38" t="n">
        <v>0.1313591495823843</v>
      </c>
      <c r="S195" s="38" t="n">
        <v>0.1209094328582772</v>
      </c>
      <c r="T195" s="38" t="n">
        <v>0.190069442903734</v>
      </c>
      <c r="U195" s="33" t="n">
        <v>47950</v>
      </c>
      <c r="V195" s="33" t="n">
        <v>29400</v>
      </c>
      <c r="W195" s="38" t="n">
        <v>-0.06777893639207511</v>
      </c>
      <c r="X195" s="38" t="n">
        <v>0.5204081632653061</v>
      </c>
      <c r="Y195" s="33" t="n">
        <v>51414494</v>
      </c>
      <c r="Z195" s="33" t="n">
        <v>2298227881800</v>
      </c>
      <c r="AA195" s="33" t="n">
        <v>223770300900</v>
      </c>
      <c r="AB195" s="33" t="n">
        <v>76096880277.5</v>
      </c>
      <c r="AC195" s="38" t="n">
        <v>0.09736645468104772</v>
      </c>
      <c r="AD195" s="27" t="inlineStr">
        <is>
          <t>yfinance_download</t>
        </is>
      </c>
      <c r="AE195" s="27" t="inlineStr">
        <is>
          <t>005290.KQ</t>
        </is>
      </c>
    </row>
    <row r="196" ht="24" customHeight="1">
      <c r="A196" s="32" t="inlineStr">
        <is>
          <t>2024-03-25</t>
        </is>
      </c>
      <c r="B196" s="34" t="n">
        <v>44550</v>
      </c>
      <c r="C196" s="34" t="n">
        <v>45150</v>
      </c>
      <c r="D196" s="34" t="n">
        <v>43950</v>
      </c>
      <c r="E196" s="34" t="n">
        <v>44000</v>
      </c>
      <c r="F196" s="34" t="n">
        <v>43307.99609375</v>
      </c>
      <c r="G196" s="34" t="n">
        <v>1767174</v>
      </c>
      <c r="H196" s="39" t="n">
        <v>-0.01565995525727071</v>
      </c>
      <c r="I196" s="39" t="n">
        <v>-0.1372549019607843</v>
      </c>
      <c r="J196" s="34" t="n">
        <v>39872.5</v>
      </c>
      <c r="K196" s="34" t="n">
        <v>39983.33333333334</v>
      </c>
      <c r="L196" s="34" t="n">
        <v>37655.83333333334</v>
      </c>
      <c r="M196" s="39" t="n">
        <v>0.799091052880666</v>
      </c>
      <c r="N196" s="39" t="n">
        <v>0.5671308932072263</v>
      </c>
      <c r="O196" s="39" t="n">
        <v>0.1972789115646258</v>
      </c>
      <c r="P196" s="39" t="n">
        <v>0.1671087533156499</v>
      </c>
      <c r="Q196" s="39" t="n">
        <v>0.3496932515337423</v>
      </c>
      <c r="R196" s="39" t="n">
        <v>0.1035174619098376</v>
      </c>
      <c r="S196" s="39" t="n">
        <v>0.1004585243851603</v>
      </c>
      <c r="T196" s="39" t="n">
        <v>0.1684776595038395</v>
      </c>
      <c r="U196" s="34" t="n">
        <v>47950</v>
      </c>
      <c r="V196" s="34" t="n">
        <v>29400</v>
      </c>
      <c r="W196" s="39" t="n">
        <v>-0.08237747653806049</v>
      </c>
      <c r="X196" s="39" t="n">
        <v>0.4965986394557824</v>
      </c>
      <c r="Y196" s="34" t="n">
        <v>51414494</v>
      </c>
      <c r="Z196" s="34" t="n">
        <v>2262237736000</v>
      </c>
      <c r="AA196" s="34" t="n">
        <v>77755656000</v>
      </c>
      <c r="AB196" s="34" t="n">
        <v>78030345852.5</v>
      </c>
      <c r="AC196" s="39" t="n">
        <v>0.03437112499833218</v>
      </c>
      <c r="AD196" s="32" t="inlineStr">
        <is>
          <t>yfinance_download</t>
        </is>
      </c>
      <c r="AE196" s="32" t="inlineStr">
        <is>
          <t>005290.KQ</t>
        </is>
      </c>
    </row>
    <row r="197" ht="24" customHeight="1">
      <c r="A197" s="27" t="inlineStr">
        <is>
          <t>2024-03-26</t>
        </is>
      </c>
      <c r="B197" s="33" t="n">
        <v>44750</v>
      </c>
      <c r="C197" s="33" t="n">
        <v>45350</v>
      </c>
      <c r="D197" s="33" t="n">
        <v>43600</v>
      </c>
      <c r="E197" s="33" t="n">
        <v>43750</v>
      </c>
      <c r="F197" s="33" t="n">
        <v>43061.92578125</v>
      </c>
      <c r="G197" s="33" t="n">
        <v>2315077</v>
      </c>
      <c r="H197" s="38" t="n">
        <v>-0.005681818181818232</v>
      </c>
      <c r="I197" s="38" t="n">
        <v>-0.1421568627450981</v>
      </c>
      <c r="J197" s="33" t="n">
        <v>40252.5</v>
      </c>
      <c r="K197" s="33" t="n">
        <v>40088.33333333334</v>
      </c>
      <c r="L197" s="33" t="n">
        <v>37742.08333333334</v>
      </c>
      <c r="M197" s="38" t="n">
        <v>0.79529208879502</v>
      </c>
      <c r="N197" s="38" t="n">
        <v>0.56706407391279</v>
      </c>
      <c r="O197" s="38" t="n">
        <v>0.210235131396957</v>
      </c>
      <c r="P197" s="38" t="n">
        <v>0.1682242990654206</v>
      </c>
      <c r="Q197" s="38" t="n">
        <v>0.3098802395209581</v>
      </c>
      <c r="R197" s="38" t="n">
        <v>0.08688901310477615</v>
      </c>
      <c r="S197" s="38" t="n">
        <v>0.09133995759364733</v>
      </c>
      <c r="T197" s="38" t="n">
        <v>0.1591834932270564</v>
      </c>
      <c r="U197" s="33" t="n">
        <v>47950</v>
      </c>
      <c r="V197" s="33" t="n">
        <v>29400</v>
      </c>
      <c r="W197" s="38" t="n">
        <v>-0.08759124087591241</v>
      </c>
      <c r="X197" s="38" t="n">
        <v>0.4880952380952381</v>
      </c>
      <c r="Y197" s="33" t="n">
        <v>51414494</v>
      </c>
      <c r="Z197" s="33" t="n">
        <v>2249384112500</v>
      </c>
      <c r="AA197" s="33" t="n">
        <v>101284618750</v>
      </c>
      <c r="AB197" s="33" t="n">
        <v>81761767862.5</v>
      </c>
      <c r="AC197" s="38" t="n">
        <v>0.04502771144650378</v>
      </c>
      <c r="AD197" s="27" t="inlineStr">
        <is>
          <t>yfinance_download</t>
        </is>
      </c>
      <c r="AE197" s="27" t="inlineStr">
        <is>
          <t>005290.KQ</t>
        </is>
      </c>
    </row>
    <row r="198" ht="24" customHeight="1">
      <c r="A198" s="32" t="inlineStr">
        <is>
          <t>2024-03-27</t>
        </is>
      </c>
      <c r="B198" s="34" t="n">
        <v>43300</v>
      </c>
      <c r="C198" s="34" t="n">
        <v>45150</v>
      </c>
      <c r="D198" s="34" t="n">
        <v>42750</v>
      </c>
      <c r="E198" s="34" t="n">
        <v>44550</v>
      </c>
      <c r="F198" s="34" t="n">
        <v>43849.34375</v>
      </c>
      <c r="G198" s="34" t="n">
        <v>1812695</v>
      </c>
      <c r="H198" s="39" t="n">
        <v>0.01828571428571424</v>
      </c>
      <c r="I198" s="39" t="n">
        <v>-0.1264705882352941</v>
      </c>
      <c r="J198" s="34" t="n">
        <v>40720</v>
      </c>
      <c r="K198" s="34" t="n">
        <v>40186.66666666666</v>
      </c>
      <c r="L198" s="34" t="n">
        <v>37835.83333333334</v>
      </c>
      <c r="M198" s="39" t="n">
        <v>0.7834432546624811</v>
      </c>
      <c r="N198" s="39" t="n">
        <v>0.5647711433190054</v>
      </c>
      <c r="O198" s="39" t="n">
        <v>0.265625</v>
      </c>
      <c r="P198" s="39" t="n">
        <v>0.1526520051746443</v>
      </c>
      <c r="Q198" s="39" t="n">
        <v>0.3378378378378379</v>
      </c>
      <c r="R198" s="39" t="n">
        <v>0.09405697445972505</v>
      </c>
      <c r="S198" s="39" t="n">
        <v>0.1085766423357666</v>
      </c>
      <c r="T198" s="39" t="n">
        <v>0.177455234235623</v>
      </c>
      <c r="U198" s="34" t="n">
        <v>47950</v>
      </c>
      <c r="V198" s="34" t="n">
        <v>29400</v>
      </c>
      <c r="W198" s="39" t="n">
        <v>-0.07090719499478626</v>
      </c>
      <c r="X198" s="39" t="n">
        <v>0.5153061224489797</v>
      </c>
      <c r="Y198" s="34" t="n">
        <v>51414494</v>
      </c>
      <c r="Z198" s="34" t="n">
        <v>2290515707700</v>
      </c>
      <c r="AA198" s="34" t="n">
        <v>80755562250</v>
      </c>
      <c r="AB198" s="34" t="n">
        <v>84643363255</v>
      </c>
      <c r="AC198" s="39" t="n">
        <v>0.03525649790504599</v>
      </c>
      <c r="AD198" s="32" t="inlineStr">
        <is>
          <t>yfinance_download</t>
        </is>
      </c>
      <c r="AE198" s="32" t="inlineStr">
        <is>
          <t>005290.KQ</t>
        </is>
      </c>
    </row>
    <row r="199" ht="24" customHeight="1">
      <c r="A199" s="27" t="inlineStr">
        <is>
          <t>2024-03-28</t>
        </is>
      </c>
      <c r="B199" s="33" t="n">
        <v>44500</v>
      </c>
      <c r="C199" s="33" t="n">
        <v>47350</v>
      </c>
      <c r="D199" s="33" t="n">
        <v>44150</v>
      </c>
      <c r="E199" s="33" t="n">
        <v>46600</v>
      </c>
      <c r="F199" s="33" t="n">
        <v>45867.1015625</v>
      </c>
      <c r="G199" s="33" t="n">
        <v>4241031</v>
      </c>
      <c r="H199" s="38" t="n">
        <v>0.04601571268237925</v>
      </c>
      <c r="I199" s="38" t="n">
        <v>-0.0862745098039216</v>
      </c>
      <c r="J199" s="33" t="n">
        <v>41210</v>
      </c>
      <c r="K199" s="33" t="n">
        <v>40318.33333333334</v>
      </c>
      <c r="L199" s="33" t="n">
        <v>37944.16666666666</v>
      </c>
      <c r="M199" s="38" t="n">
        <v>0.7837546079044455</v>
      </c>
      <c r="N199" s="38" t="n">
        <v>0.571601135387558</v>
      </c>
      <c r="O199" s="38" t="n">
        <v>0.2663043478260869</v>
      </c>
      <c r="P199" s="38" t="n">
        <v>0.2041343669250646</v>
      </c>
      <c r="Q199" s="38" t="n">
        <v>0.3869047619047619</v>
      </c>
      <c r="R199" s="38" t="n">
        <v>0.130793496724096</v>
      </c>
      <c r="S199" s="38" t="n">
        <v>0.1558017444504154</v>
      </c>
      <c r="T199" s="38" t="n">
        <v>0.2281202644236049</v>
      </c>
      <c r="U199" s="33" t="n">
        <v>47950</v>
      </c>
      <c r="V199" s="33" t="n">
        <v>29400</v>
      </c>
      <c r="W199" s="38" t="n">
        <v>-0.02815432742440038</v>
      </c>
      <c r="X199" s="38" t="n">
        <v>0.5850340136054422</v>
      </c>
      <c r="Y199" s="33" t="n">
        <v>51414494</v>
      </c>
      <c r="Z199" s="33" t="n">
        <v>2395915420400</v>
      </c>
      <c r="AA199" s="33" t="n">
        <v>197632044600</v>
      </c>
      <c r="AB199" s="33" t="n">
        <v>92442838045</v>
      </c>
      <c r="AC199" s="38" t="n">
        <v>0.08248707066921634</v>
      </c>
      <c r="AD199" s="27" t="inlineStr">
        <is>
          <t>yfinance_download</t>
        </is>
      </c>
      <c r="AE199" s="27" t="inlineStr">
        <is>
          <t>005290.KQ</t>
        </is>
      </c>
    </row>
    <row r="200" ht="24" customHeight="1">
      <c r="A200" s="32" t="inlineStr">
        <is>
          <t>2024-03-29</t>
        </is>
      </c>
      <c r="B200" s="34" t="n">
        <v>47150</v>
      </c>
      <c r="C200" s="34" t="n">
        <v>49700</v>
      </c>
      <c r="D200" s="34" t="n">
        <v>45750</v>
      </c>
      <c r="E200" s="34" t="n">
        <v>48250</v>
      </c>
      <c r="F200" s="34" t="n">
        <v>47491.15234375</v>
      </c>
      <c r="G200" s="34" t="n">
        <v>5090351</v>
      </c>
      <c r="H200" s="39" t="n">
        <v>0.03540772532188852</v>
      </c>
      <c r="I200" s="39" t="n">
        <v>-0.05392156862745101</v>
      </c>
      <c r="J200" s="34" t="n">
        <v>41762.5</v>
      </c>
      <c r="K200" s="34" t="n">
        <v>40431.66666666666</v>
      </c>
      <c r="L200" s="34" t="n">
        <v>38069.16666666666</v>
      </c>
      <c r="M200" s="39" t="n">
        <v>0.787712718425149</v>
      </c>
      <c r="N200" s="39" t="n">
        <v>0.5581714308432902</v>
      </c>
      <c r="O200" s="39" t="n">
        <v>0.2970430107526882</v>
      </c>
      <c r="P200" s="39" t="n">
        <v>0.1640530759951748</v>
      </c>
      <c r="Q200" s="39" t="n">
        <v>0.4511278195488722</v>
      </c>
      <c r="R200" s="39" t="n">
        <v>0.1553427117629451</v>
      </c>
      <c r="S200" s="39" t="n">
        <v>0.1933715322148482</v>
      </c>
      <c r="T200" s="39" t="n">
        <v>0.2674298973359894</v>
      </c>
      <c r="U200" s="34" t="n">
        <v>48250</v>
      </c>
      <c r="V200" s="34" t="n">
        <v>29400</v>
      </c>
      <c r="W200" s="39" t="n">
        <v>0</v>
      </c>
      <c r="X200" s="39" t="n">
        <v>0.6411564625850341</v>
      </c>
      <c r="Y200" s="34" t="n">
        <v>51414494</v>
      </c>
      <c r="Z200" s="34" t="n">
        <v>2480749335500</v>
      </c>
      <c r="AA200" s="34" t="n">
        <v>245609435750</v>
      </c>
      <c r="AB200" s="34" t="n">
        <v>103553970612.5</v>
      </c>
      <c r="AC200" s="39" t="n">
        <v>0.0990061479550883</v>
      </c>
      <c r="AD200" s="32" t="inlineStr">
        <is>
          <t>yfinance_download</t>
        </is>
      </c>
      <c r="AE200" s="32" t="inlineStr">
        <is>
          <t>005290.KQ</t>
        </is>
      </c>
    </row>
    <row r="201" ht="24" customHeight="1">
      <c r="A201" s="27" t="inlineStr">
        <is>
          <t>2024-04-01</t>
        </is>
      </c>
      <c r="B201" s="33" t="n">
        <v>48650</v>
      </c>
      <c r="C201" s="33" t="n">
        <v>51500</v>
      </c>
      <c r="D201" s="33" t="n">
        <v>47300</v>
      </c>
      <c r="E201" s="33" t="n">
        <v>50100</v>
      </c>
      <c r="F201" s="33" t="n">
        <v>49312.05859375</v>
      </c>
      <c r="G201" s="33" t="n">
        <v>3426274</v>
      </c>
      <c r="H201" s="38" t="n">
        <v>0.0383419689119171</v>
      </c>
      <c r="I201" s="38" t="n">
        <v>-0.01764705882352946</v>
      </c>
      <c r="J201" s="33" t="n">
        <v>42350</v>
      </c>
      <c r="K201" s="33" t="n">
        <v>40570.83333333334</v>
      </c>
      <c r="L201" s="33" t="n">
        <v>38213.75</v>
      </c>
      <c r="M201" s="38" t="n">
        <v>0.7902408297014226</v>
      </c>
      <c r="N201" s="38" t="n">
        <v>0.562773147909058</v>
      </c>
      <c r="O201" s="38" t="n">
        <v>0.3063885267275097</v>
      </c>
      <c r="P201" s="38" t="n">
        <v>0.2</v>
      </c>
      <c r="Q201" s="38" t="n">
        <v>0.5297709923664122</v>
      </c>
      <c r="R201" s="38" t="n">
        <v>0.1829988193624557</v>
      </c>
      <c r="S201" s="38" t="n">
        <v>0.2348772722604497</v>
      </c>
      <c r="T201" s="38" t="n">
        <v>0.3110464165385496</v>
      </c>
      <c r="U201" s="33" t="n">
        <v>50100</v>
      </c>
      <c r="V201" s="33" t="n">
        <v>29400</v>
      </c>
      <c r="W201" s="38" t="n">
        <v>0</v>
      </c>
      <c r="X201" s="38" t="n">
        <v>0.7040816326530612</v>
      </c>
      <c r="Y201" s="33" t="n">
        <v>51414494</v>
      </c>
      <c r="Z201" s="33" t="n">
        <v>2575866149400</v>
      </c>
      <c r="AA201" s="33" t="n">
        <v>171656327400</v>
      </c>
      <c r="AB201" s="33" t="n">
        <v>110541986892.5</v>
      </c>
      <c r="AC201" s="38" t="n">
        <v>0.06664023572808088</v>
      </c>
      <c r="AD201" s="27" t="inlineStr">
        <is>
          <t>yfinance_download</t>
        </is>
      </c>
      <c r="AE201" s="27" t="inlineStr">
        <is>
          <t>005290.KQ</t>
        </is>
      </c>
    </row>
    <row r="202" ht="24" customHeight="1">
      <c r="A202" s="32" t="inlineStr">
        <is>
          <t>2024-04-02</t>
        </is>
      </c>
      <c r="B202" s="34" t="n">
        <v>50600</v>
      </c>
      <c r="C202" s="34" t="n">
        <v>51500</v>
      </c>
      <c r="D202" s="34" t="n">
        <v>48150</v>
      </c>
      <c r="E202" s="34" t="n">
        <v>48950</v>
      </c>
      <c r="F202" s="34" t="n">
        <v>48180.14453125</v>
      </c>
      <c r="G202" s="34" t="n">
        <v>2721075</v>
      </c>
      <c r="H202" s="39" t="n">
        <v>-0.02295409181636732</v>
      </c>
      <c r="I202" s="39" t="n">
        <v>-0.04019607843137252</v>
      </c>
      <c r="J202" s="34" t="n">
        <v>42900</v>
      </c>
      <c r="K202" s="34" t="n">
        <v>40685</v>
      </c>
      <c r="L202" s="34" t="n">
        <v>38345.83333333334</v>
      </c>
      <c r="M202" s="39" t="n">
        <v>0.7967191397166054</v>
      </c>
      <c r="N202" s="39" t="n">
        <v>0.5653027332501959</v>
      </c>
      <c r="O202" s="39" t="n">
        <v>0.2898550724637681</v>
      </c>
      <c r="P202" s="39" t="n">
        <v>0.16270783847981</v>
      </c>
      <c r="Q202" s="39" t="n">
        <v>0.4788519637462236</v>
      </c>
      <c r="R202" s="39" t="n">
        <v>0.141025641025641</v>
      </c>
      <c r="S202" s="39" t="n">
        <v>0.2031461226496252</v>
      </c>
      <c r="T202" s="39" t="n">
        <v>0.2765402586113224</v>
      </c>
      <c r="U202" s="34" t="n">
        <v>50100</v>
      </c>
      <c r="V202" s="34" t="n">
        <v>29400</v>
      </c>
      <c r="W202" s="39" t="n">
        <v>-0.02295409181636732</v>
      </c>
      <c r="X202" s="39" t="n">
        <v>0.6649659863945578</v>
      </c>
      <c r="Y202" s="34" t="n">
        <v>51414494</v>
      </c>
      <c r="Z202" s="34" t="n">
        <v>2516739481300</v>
      </c>
      <c r="AA202" s="34" t="n">
        <v>133196621250</v>
      </c>
      <c r="AB202" s="34" t="n">
        <v>116538506982.5</v>
      </c>
      <c r="AC202" s="39" t="n">
        <v>0.0529242785118142</v>
      </c>
      <c r="AD202" s="32" t="inlineStr">
        <is>
          <t>yfinance_download</t>
        </is>
      </c>
      <c r="AE202" s="32" t="inlineStr">
        <is>
          <t>005290.KQ</t>
        </is>
      </c>
    </row>
    <row r="203" ht="24" customHeight="1">
      <c r="A203" s="27" t="inlineStr">
        <is>
          <t>2024-04-03</t>
        </is>
      </c>
      <c r="B203" s="33" t="n">
        <v>48000</v>
      </c>
      <c r="C203" s="33" t="n">
        <v>48850</v>
      </c>
      <c r="D203" s="33" t="n">
        <v>46900</v>
      </c>
      <c r="E203" s="33" t="n">
        <v>47150</v>
      </c>
      <c r="F203" s="33" t="n">
        <v>46408.453125</v>
      </c>
      <c r="G203" s="33" t="n">
        <v>1449292</v>
      </c>
      <c r="H203" s="38" t="n">
        <v>-0.0367722165474974</v>
      </c>
      <c r="I203" s="38" t="n">
        <v>-0.07549019607843133</v>
      </c>
      <c r="J203" s="33" t="n">
        <v>43182.5</v>
      </c>
      <c r="K203" s="33" t="n">
        <v>40783.33333333334</v>
      </c>
      <c r="L203" s="33" t="n">
        <v>38470.41666666666</v>
      </c>
      <c r="M203" s="38" t="n">
        <v>0.7573421161089892</v>
      </c>
      <c r="N203" s="38" t="n">
        <v>0.5692301635892207</v>
      </c>
      <c r="O203" s="38" t="n">
        <v>0.1361445783132531</v>
      </c>
      <c r="P203" s="38" t="n">
        <v>0.1430303030303031</v>
      </c>
      <c r="Q203" s="38" t="n">
        <v>0.4642857142857142</v>
      </c>
      <c r="R203" s="38" t="n">
        <v>0.09187749667110512</v>
      </c>
      <c r="S203" s="38" t="n">
        <v>0.1561095218635062</v>
      </c>
      <c r="T203" s="38" t="n">
        <v>0.2256170867224816</v>
      </c>
      <c r="U203" s="33" t="n">
        <v>50100</v>
      </c>
      <c r="V203" s="33" t="n">
        <v>29400</v>
      </c>
      <c r="W203" s="38" t="n">
        <v>-0.05888223552894212</v>
      </c>
      <c r="X203" s="38" t="n">
        <v>0.6037414965986394</v>
      </c>
      <c r="Y203" s="33" t="n">
        <v>51414494</v>
      </c>
      <c r="Z203" s="33" t="n">
        <v>2424193392100</v>
      </c>
      <c r="AA203" s="33" t="n">
        <v>68334117800</v>
      </c>
      <c r="AB203" s="33" t="n">
        <v>114822754322.5</v>
      </c>
      <c r="AC203" s="38" t="n">
        <v>0.02818839372415102</v>
      </c>
      <c r="AD203" s="27" t="inlineStr">
        <is>
          <t>yfinance_download</t>
        </is>
      </c>
      <c r="AE203" s="27" t="inlineStr">
        <is>
          <t>005290.KQ</t>
        </is>
      </c>
    </row>
    <row r="204" ht="24" customHeight="1">
      <c r="A204" s="32" t="inlineStr">
        <is>
          <t>2024-04-04</t>
        </is>
      </c>
      <c r="B204" s="34" t="n">
        <v>47950</v>
      </c>
      <c r="C204" s="34" t="n">
        <v>49200</v>
      </c>
      <c r="D204" s="34" t="n">
        <v>47600</v>
      </c>
      <c r="E204" s="34" t="n">
        <v>48000</v>
      </c>
      <c r="F204" s="34" t="n">
        <v>47245.0859375</v>
      </c>
      <c r="G204" s="34" t="n">
        <v>1660547</v>
      </c>
      <c r="H204" s="39" t="n">
        <v>0.01802757158006352</v>
      </c>
      <c r="I204" s="39" t="n">
        <v>-0.05882352941176472</v>
      </c>
      <c r="J204" s="34" t="n">
        <v>43570</v>
      </c>
      <c r="K204" s="34" t="n">
        <v>40890.83333333334</v>
      </c>
      <c r="L204" s="34" t="n">
        <v>38591.66666666666</v>
      </c>
      <c r="M204" s="39" t="n">
        <v>0.7448647096923134</v>
      </c>
      <c r="N204" s="39" t="n">
        <v>0.5700143113934407</v>
      </c>
      <c r="O204" s="39" t="n">
        <v>0.1925465838509317</v>
      </c>
      <c r="P204" s="39" t="n">
        <v>0.1552346570397112</v>
      </c>
      <c r="Q204" s="39" t="n">
        <v>0.4349775784753362</v>
      </c>
      <c r="R204" s="39" t="n">
        <v>0.1016754647693368</v>
      </c>
      <c r="S204" s="39" t="n">
        <v>0.1738572214636531</v>
      </c>
      <c r="T204" s="39" t="n">
        <v>0.2437918376160657</v>
      </c>
      <c r="U204" s="34" t="n">
        <v>50100</v>
      </c>
      <c r="V204" s="34" t="n">
        <v>29400</v>
      </c>
      <c r="W204" s="39" t="n">
        <v>-0.04191616766467066</v>
      </c>
      <c r="X204" s="39" t="n">
        <v>0.6326530612244898</v>
      </c>
      <c r="Y204" s="34" t="n">
        <v>51414494</v>
      </c>
      <c r="Z204" s="34" t="n">
        <v>2467895712000</v>
      </c>
      <c r="AA204" s="34" t="n">
        <v>79706256000</v>
      </c>
      <c r="AB204" s="34" t="n">
        <v>115701393010</v>
      </c>
      <c r="AC204" s="39" t="n">
        <v>0.03229725454460371</v>
      </c>
      <c r="AD204" s="32" t="inlineStr">
        <is>
          <t>yfinance_download</t>
        </is>
      </c>
      <c r="AE204" s="32" t="inlineStr">
        <is>
          <t>005290.KQ</t>
        </is>
      </c>
    </row>
    <row r="205" ht="24" customHeight="1">
      <c r="A205" s="27" t="inlineStr">
        <is>
          <t>2024-04-05</t>
        </is>
      </c>
      <c r="B205" s="33" t="n">
        <v>46750</v>
      </c>
      <c r="C205" s="33" t="n">
        <v>48600</v>
      </c>
      <c r="D205" s="33" t="n">
        <v>46700</v>
      </c>
      <c r="E205" s="33" t="n">
        <v>48450</v>
      </c>
      <c r="F205" s="33" t="n">
        <v>47688.0078125</v>
      </c>
      <c r="G205" s="33" t="n">
        <v>1231625</v>
      </c>
      <c r="H205" s="38" t="n">
        <v>0.009374999999999911</v>
      </c>
      <c r="I205" s="38" t="n">
        <v>-0.05000000000000004</v>
      </c>
      <c r="J205" s="33" t="n">
        <v>43985</v>
      </c>
      <c r="K205" s="33" t="n">
        <v>41024.16666666666</v>
      </c>
      <c r="L205" s="33" t="n">
        <v>38713.75</v>
      </c>
      <c r="M205" s="38" t="n">
        <v>0.7434518682657902</v>
      </c>
      <c r="N205" s="38" t="n">
        <v>0.5668183238431261</v>
      </c>
      <c r="O205" s="38" t="n">
        <v>0.2067247820672478</v>
      </c>
      <c r="P205" s="38" t="n">
        <v>0.1977750309023485</v>
      </c>
      <c r="Q205" s="38" t="n">
        <v>0.4334319526627219</v>
      </c>
      <c r="R205" s="38" t="n">
        <v>0.1015118790496761</v>
      </c>
      <c r="S205" s="38" t="n">
        <v>0.1810111925897337</v>
      </c>
      <c r="T205" s="38" t="n">
        <v>0.2514933324723128</v>
      </c>
      <c r="U205" s="33" t="n">
        <v>50100</v>
      </c>
      <c r="V205" s="33" t="n">
        <v>29400</v>
      </c>
      <c r="W205" s="38" t="n">
        <v>-0.03293413173652693</v>
      </c>
      <c r="X205" s="38" t="n">
        <v>0.6479591836734695</v>
      </c>
      <c r="Y205" s="33" t="n">
        <v>51414494</v>
      </c>
      <c r="Z205" s="33" t="n">
        <v>2491032234300</v>
      </c>
      <c r="AA205" s="33" t="n">
        <v>59672231250</v>
      </c>
      <c r="AB205" s="33" t="n">
        <v>116975411550</v>
      </c>
      <c r="AC205" s="38" t="n">
        <v>0.02395482098880522</v>
      </c>
      <c r="AD205" s="27" t="inlineStr">
        <is>
          <t>yfinance_download</t>
        </is>
      </c>
      <c r="AE205" s="27" t="inlineStr">
        <is>
          <t>005290.KQ</t>
        </is>
      </c>
    </row>
    <row r="206" ht="24" customHeight="1">
      <c r="A206" s="32" t="inlineStr">
        <is>
          <t>2024-04-08</t>
        </is>
      </c>
      <c r="B206" s="34" t="n">
        <v>49100</v>
      </c>
      <c r="C206" s="34" t="n">
        <v>49100</v>
      </c>
      <c r="D206" s="34" t="n">
        <v>46150</v>
      </c>
      <c r="E206" s="34" t="n">
        <v>46300</v>
      </c>
      <c r="F206" s="34" t="n">
        <v>45571.8203125</v>
      </c>
      <c r="G206" s="34" t="n">
        <v>1210462</v>
      </c>
      <c r="H206" s="39" t="n">
        <v>-0.04437564499484004</v>
      </c>
      <c r="I206" s="39" t="n">
        <v>-0.09215686274509804</v>
      </c>
      <c r="J206" s="34" t="n">
        <v>44295</v>
      </c>
      <c r="K206" s="34" t="n">
        <v>41135</v>
      </c>
      <c r="L206" s="34" t="n">
        <v>38818.75</v>
      </c>
      <c r="M206" s="39" t="n">
        <v>0.7677971265577473</v>
      </c>
      <c r="N206" s="39" t="n">
        <v>0.5733579851510543</v>
      </c>
      <c r="O206" s="39" t="n">
        <v>0.1546134663341645</v>
      </c>
      <c r="P206" s="39" t="n">
        <v>0.1677175283732661</v>
      </c>
      <c r="Q206" s="39" t="n">
        <v>0.3738872403560831</v>
      </c>
      <c r="R206" s="39" t="n">
        <v>0.04526470256236603</v>
      </c>
      <c r="S206" s="39" t="n">
        <v>0.1255621733317127</v>
      </c>
      <c r="T206" s="39" t="n">
        <v>0.1927225889550797</v>
      </c>
      <c r="U206" s="34" t="n">
        <v>50100</v>
      </c>
      <c r="V206" s="34" t="n">
        <v>29400</v>
      </c>
      <c r="W206" s="39" t="n">
        <v>-0.07584830339321358</v>
      </c>
      <c r="X206" s="39" t="n">
        <v>0.5748299319727892</v>
      </c>
      <c r="Y206" s="34" t="n">
        <v>51414494</v>
      </c>
      <c r="Z206" s="34" t="n">
        <v>2380491072200</v>
      </c>
      <c r="AA206" s="34" t="n">
        <v>56044390600</v>
      </c>
      <c r="AB206" s="34" t="n">
        <v>118370778720</v>
      </c>
      <c r="AC206" s="39" t="n">
        <v>0.02354320554044546</v>
      </c>
      <c r="AD206" s="32" t="inlineStr">
        <is>
          <t>yfinance_download</t>
        </is>
      </c>
      <c r="AE206" s="32" t="inlineStr">
        <is>
          <t>005290.KQ</t>
        </is>
      </c>
    </row>
    <row r="207" ht="24" customHeight="1">
      <c r="A207" s="27" t="inlineStr">
        <is>
          <t>2024-04-09</t>
        </is>
      </c>
      <c r="B207" s="33" t="n">
        <v>46350</v>
      </c>
      <c r="C207" s="33" t="n">
        <v>46900</v>
      </c>
      <c r="D207" s="33" t="n">
        <v>45300</v>
      </c>
      <c r="E207" s="33" t="n">
        <v>46500</v>
      </c>
      <c r="F207" s="33" t="n">
        <v>45768.67578125</v>
      </c>
      <c r="G207" s="33" t="n">
        <v>725772</v>
      </c>
      <c r="H207" s="38" t="n">
        <v>0.004319654427645814</v>
      </c>
      <c r="I207" s="38" t="n">
        <v>-0.08823529411764708</v>
      </c>
      <c r="J207" s="33" t="n">
        <v>44595</v>
      </c>
      <c r="K207" s="33" t="n">
        <v>41209.16666666666</v>
      </c>
      <c r="L207" s="33" t="n">
        <v>38935.83333333334</v>
      </c>
      <c r="M207" s="38" t="n">
        <v>0.7678929229874132</v>
      </c>
      <c r="N207" s="38" t="n">
        <v>0.5607882660516782</v>
      </c>
      <c r="O207" s="38" t="n">
        <v>0.1481481481481481</v>
      </c>
      <c r="P207" s="38" t="n">
        <v>0.1058263971462545</v>
      </c>
      <c r="Q207" s="38" t="n">
        <v>0.4329738058551618</v>
      </c>
      <c r="R207" s="38" t="n">
        <v>0.0427177934746048</v>
      </c>
      <c r="S207" s="38" t="n">
        <v>0.1283897191158925</v>
      </c>
      <c r="T207" s="38" t="n">
        <v>0.1942726280418636</v>
      </c>
      <c r="U207" s="33" t="n">
        <v>50100</v>
      </c>
      <c r="V207" s="33" t="n">
        <v>29400</v>
      </c>
      <c r="W207" s="38" t="n">
        <v>-0.07185628742514971</v>
      </c>
      <c r="X207" s="38" t="n">
        <v>0.5816326530612246</v>
      </c>
      <c r="Y207" s="33" t="n">
        <v>51414494</v>
      </c>
      <c r="Z207" s="33" t="n">
        <v>2390773971000</v>
      </c>
      <c r="AA207" s="33" t="n">
        <v>33748398000</v>
      </c>
      <c r="AB207" s="33" t="n">
        <v>118762941795</v>
      </c>
      <c r="AC207" s="38" t="n">
        <v>0.01411609730127851</v>
      </c>
      <c r="AD207" s="27" t="inlineStr">
        <is>
          <t>yfinance_download</t>
        </is>
      </c>
      <c r="AE207" s="27" t="inlineStr">
        <is>
          <t>005290.KQ</t>
        </is>
      </c>
    </row>
    <row r="208" ht="24" customHeight="1">
      <c r="A208" s="32" t="inlineStr">
        <is>
          <t>2024-04-11</t>
        </is>
      </c>
      <c r="B208" s="34" t="n">
        <v>45650</v>
      </c>
      <c r="C208" s="34" t="n">
        <v>48750</v>
      </c>
      <c r="D208" s="34" t="n">
        <v>45650</v>
      </c>
      <c r="E208" s="34" t="n">
        <v>47950</v>
      </c>
      <c r="F208" s="34" t="n">
        <v>47195.87109375</v>
      </c>
      <c r="G208" s="34" t="n">
        <v>1299553</v>
      </c>
      <c r="H208" s="39" t="n">
        <v>0.03118279569892479</v>
      </c>
      <c r="I208" s="39" t="n">
        <v>-0.05980392156862746</v>
      </c>
      <c r="J208" s="34" t="n">
        <v>45005</v>
      </c>
      <c r="K208" s="34" t="n">
        <v>41311.66666666666</v>
      </c>
      <c r="L208" s="34" t="n">
        <v>39054.16666666666</v>
      </c>
      <c r="M208" s="39" t="n">
        <v>0.7654019469099625</v>
      </c>
      <c r="N208" s="39" t="n">
        <v>0.5636209827862427</v>
      </c>
      <c r="O208" s="39" t="n">
        <v>0.2062893081761006</v>
      </c>
      <c r="P208" s="39" t="n">
        <v>0.1471291866028708</v>
      </c>
      <c r="Q208" s="39" t="n">
        <v>0.4207407407407406</v>
      </c>
      <c r="R208" s="39" t="n">
        <v>0.06543717364737245</v>
      </c>
      <c r="S208" s="39" t="n">
        <v>0.1606890708839313</v>
      </c>
      <c r="T208" s="39" t="n">
        <v>0.227781926811053</v>
      </c>
      <c r="U208" s="34" t="n">
        <v>50100</v>
      </c>
      <c r="V208" s="34" t="n">
        <v>29400</v>
      </c>
      <c r="W208" s="39" t="n">
        <v>-0.04291417165668665</v>
      </c>
      <c r="X208" s="39" t="n">
        <v>0.6309523809523809</v>
      </c>
      <c r="Y208" s="34" t="n">
        <v>51414494</v>
      </c>
      <c r="Z208" s="34" t="n">
        <v>2465324987300</v>
      </c>
      <c r="AA208" s="34" t="n">
        <v>62313566350</v>
      </c>
      <c r="AB208" s="34" t="n">
        <v>120669500637.5</v>
      </c>
      <c r="AC208" s="39" t="n">
        <v>0.02527600485575138</v>
      </c>
      <c r="AD208" s="32" t="inlineStr">
        <is>
          <t>yfinance_download</t>
        </is>
      </c>
      <c r="AE208" s="32" t="inlineStr">
        <is>
          <t>005290.KQ</t>
        </is>
      </c>
    </row>
    <row r="209" ht="24" customHeight="1">
      <c r="A209" s="27" t="inlineStr">
        <is>
          <t>2024-04-12</t>
        </is>
      </c>
      <c r="B209" s="33" t="n">
        <v>49200</v>
      </c>
      <c r="C209" s="33" t="n">
        <v>49200</v>
      </c>
      <c r="D209" s="33" t="n">
        <v>46550</v>
      </c>
      <c r="E209" s="33" t="n">
        <v>46950</v>
      </c>
      <c r="F209" s="33" t="n">
        <v>46211.59765625</v>
      </c>
      <c r="G209" s="33" t="n">
        <v>1204846</v>
      </c>
      <c r="H209" s="38" t="n">
        <v>-0.02085505735140769</v>
      </c>
      <c r="I209" s="38" t="n">
        <v>-0.0794117647058824</v>
      </c>
      <c r="J209" s="33" t="n">
        <v>45417.5</v>
      </c>
      <c r="K209" s="33" t="n">
        <v>41410.83333333334</v>
      </c>
      <c r="L209" s="33" t="n">
        <v>39163.75</v>
      </c>
      <c r="M209" s="38" t="n">
        <v>0.7620953520344084</v>
      </c>
      <c r="N209" s="38" t="n">
        <v>0.5639183351303113</v>
      </c>
      <c r="O209" s="38" t="n">
        <v>0.2131782945736433</v>
      </c>
      <c r="P209" s="38" t="n">
        <v>0.1451219512195121</v>
      </c>
      <c r="Q209" s="38" t="n">
        <v>0.3890532544378698</v>
      </c>
      <c r="R209" s="38" t="n">
        <v>0.03374250013761215</v>
      </c>
      <c r="S209" s="38" t="n">
        <v>0.1337612943472923</v>
      </c>
      <c r="T209" s="38" t="n">
        <v>0.1988126775398167</v>
      </c>
      <c r="U209" s="33" t="n">
        <v>50100</v>
      </c>
      <c r="V209" s="33" t="n">
        <v>29400</v>
      </c>
      <c r="W209" s="38" t="n">
        <v>-0.06287425149700598</v>
      </c>
      <c r="X209" s="38" t="n">
        <v>0.596938775510204</v>
      </c>
      <c r="Y209" s="33" t="n">
        <v>51414494</v>
      </c>
      <c r="Z209" s="33" t="n">
        <v>2413910493300</v>
      </c>
      <c r="AA209" s="33" t="n">
        <v>56567519700</v>
      </c>
      <c r="AB209" s="33" t="n">
        <v>122290879737.5</v>
      </c>
      <c r="AC209" s="38" t="n">
        <v>0.02343397564118787</v>
      </c>
      <c r="AD209" s="27" t="inlineStr">
        <is>
          <t>yfinance_download</t>
        </is>
      </c>
      <c r="AE209" s="27" t="inlineStr">
        <is>
          <t>005290.KQ</t>
        </is>
      </c>
    </row>
    <row r="210" ht="24" customHeight="1">
      <c r="A210" s="32" t="inlineStr">
        <is>
          <t>2024-04-15</t>
        </is>
      </c>
      <c r="B210" s="34" t="n">
        <v>46150</v>
      </c>
      <c r="C210" s="34" t="n">
        <v>48150</v>
      </c>
      <c r="D210" s="34" t="n">
        <v>45900</v>
      </c>
      <c r="E210" s="34" t="n">
        <v>48050</v>
      </c>
      <c r="F210" s="34" t="n">
        <v>47294.296875</v>
      </c>
      <c r="G210" s="34" t="n">
        <v>1051418</v>
      </c>
      <c r="H210" s="39" t="n">
        <v>0.02342917997870075</v>
      </c>
      <c r="I210" s="39" t="n">
        <v>-0.05784313725490198</v>
      </c>
      <c r="J210" s="34" t="n">
        <v>45887.5</v>
      </c>
      <c r="K210" s="34" t="n">
        <v>41534.16666666666</v>
      </c>
      <c r="L210" s="34" t="n">
        <v>39292.08333333334</v>
      </c>
      <c r="M210" s="39" t="n">
        <v>0.761966648879442</v>
      </c>
      <c r="N210" s="39" t="n">
        <v>0.5649640130128567</v>
      </c>
      <c r="O210" s="39" t="n">
        <v>0.243208279430789</v>
      </c>
      <c r="P210" s="39" t="n">
        <v>0.1820418204182042</v>
      </c>
      <c r="Q210" s="39" t="n">
        <v>0.4716692189892802</v>
      </c>
      <c r="R210" s="39" t="n">
        <v>0.04712612367202396</v>
      </c>
      <c r="S210" s="39" t="n">
        <v>0.1568788748219339</v>
      </c>
      <c r="T210" s="39" t="n">
        <v>0.2228926522518317</v>
      </c>
      <c r="U210" s="34" t="n">
        <v>50100</v>
      </c>
      <c r="V210" s="34" t="n">
        <v>29400</v>
      </c>
      <c r="W210" s="39" t="n">
        <v>-0.04091816367265466</v>
      </c>
      <c r="X210" s="39" t="n">
        <v>0.6343537414965987</v>
      </c>
      <c r="Y210" s="34" t="n">
        <v>51414494</v>
      </c>
      <c r="Z210" s="34" t="n">
        <v>2470466436700</v>
      </c>
      <c r="AA210" s="34" t="n">
        <v>50520634900</v>
      </c>
      <c r="AB210" s="34" t="n">
        <v>124046479775</v>
      </c>
      <c r="AC210" s="39" t="n">
        <v>0.02044983657721109</v>
      </c>
      <c r="AD210" s="32" t="inlineStr">
        <is>
          <t>yfinance_download</t>
        </is>
      </c>
      <c r="AE210" s="32" t="inlineStr">
        <is>
          <t>005290.KQ</t>
        </is>
      </c>
    </row>
    <row r="211" ht="24" customHeight="1">
      <c r="A211" s="27" t="inlineStr">
        <is>
          <t>2024-04-16</t>
        </is>
      </c>
      <c r="B211" s="33" t="n">
        <v>47300</v>
      </c>
      <c r="C211" s="33" t="n">
        <v>48500</v>
      </c>
      <c r="D211" s="33" t="n">
        <v>45350</v>
      </c>
      <c r="E211" s="33" t="n">
        <v>46100</v>
      </c>
      <c r="F211" s="33" t="n">
        <v>45374.96875</v>
      </c>
      <c r="G211" s="33" t="n">
        <v>1167152</v>
      </c>
      <c r="H211" s="38" t="n">
        <v>-0.04058272632674298</v>
      </c>
      <c r="I211" s="38" t="n">
        <v>-0.09607843137254901</v>
      </c>
      <c r="J211" s="33" t="n">
        <v>46227.5</v>
      </c>
      <c r="K211" s="33" t="n">
        <v>41637.5</v>
      </c>
      <c r="L211" s="33" t="n">
        <v>39407.91666666666</v>
      </c>
      <c r="M211" s="38" t="n">
        <v>0.7840602959719717</v>
      </c>
      <c r="N211" s="38" t="n">
        <v>0.5704128758605833</v>
      </c>
      <c r="O211" s="38" t="n">
        <v>0.1730279898218829</v>
      </c>
      <c r="P211" s="38" t="n">
        <v>0.155388471177945</v>
      </c>
      <c r="Q211" s="38" t="n">
        <v>0.4316770186335404</v>
      </c>
      <c r="R211" s="38" t="n">
        <v>-0.002758098534422104</v>
      </c>
      <c r="S211" s="38" t="n">
        <v>0.1071750225157611</v>
      </c>
      <c r="T211" s="38" t="n">
        <v>0.1698157096184143</v>
      </c>
      <c r="U211" s="33" t="n">
        <v>50100</v>
      </c>
      <c r="V211" s="33" t="n">
        <v>29400</v>
      </c>
      <c r="W211" s="38" t="n">
        <v>-0.07984031936127745</v>
      </c>
      <c r="X211" s="38" t="n">
        <v>0.5680272108843538</v>
      </c>
      <c r="Y211" s="33" t="n">
        <v>51414494</v>
      </c>
      <c r="Z211" s="33" t="n">
        <v>2370208173400</v>
      </c>
      <c r="AA211" s="33" t="n">
        <v>53805707200</v>
      </c>
      <c r="AB211" s="33" t="n">
        <v>125905108360</v>
      </c>
      <c r="AC211" s="38" t="n">
        <v>0.02270083607163381</v>
      </c>
      <c r="AD211" s="27" t="inlineStr">
        <is>
          <t>yfinance_download</t>
        </is>
      </c>
      <c r="AE211" s="27" t="inlineStr">
        <is>
          <t>005290.KQ</t>
        </is>
      </c>
    </row>
    <row r="212" ht="24" customHeight="1">
      <c r="A212" s="32" t="inlineStr">
        <is>
          <t>2024-04-17</t>
        </is>
      </c>
      <c r="B212" s="34" t="n">
        <v>46800</v>
      </c>
      <c r="C212" s="34" t="n">
        <v>47500</v>
      </c>
      <c r="D212" s="34" t="n">
        <v>45950</v>
      </c>
      <c r="E212" s="34" t="n">
        <v>46150</v>
      </c>
      <c r="F212" s="34" t="n">
        <v>45424.1796875</v>
      </c>
      <c r="G212" s="34" t="n">
        <v>947372</v>
      </c>
      <c r="H212" s="39" t="n">
        <v>0.001084598698481543</v>
      </c>
      <c r="I212" s="39" t="n">
        <v>-0.09509803921568627</v>
      </c>
      <c r="J212" s="34" t="n">
        <v>46580</v>
      </c>
      <c r="K212" s="34" t="n">
        <v>41728.33333333334</v>
      </c>
      <c r="L212" s="34" t="n">
        <v>39525.83333333334</v>
      </c>
      <c r="M212" s="39" t="n">
        <v>0.7828822047295612</v>
      </c>
      <c r="N212" s="39" t="n">
        <v>0.5693176836392294</v>
      </c>
      <c r="O212" s="39" t="n">
        <v>0.1803069053708439</v>
      </c>
      <c r="P212" s="39" t="n">
        <v>0.1339066339066339</v>
      </c>
      <c r="Q212" s="39" t="n">
        <v>0.4421875</v>
      </c>
      <c r="R212" s="39" t="n">
        <v>-0.009231429798196689</v>
      </c>
      <c r="S212" s="39" t="n">
        <v>0.1059631745017373</v>
      </c>
      <c r="T212" s="39" t="n">
        <v>0.1675908161329087</v>
      </c>
      <c r="U212" s="34" t="n">
        <v>50100</v>
      </c>
      <c r="V212" s="34" t="n">
        <v>29400</v>
      </c>
      <c r="W212" s="39" t="n">
        <v>-0.07884231536926145</v>
      </c>
      <c r="X212" s="39" t="n">
        <v>0.5697278911564625</v>
      </c>
      <c r="Y212" s="34" t="n">
        <v>51414494</v>
      </c>
      <c r="Z212" s="34" t="n">
        <v>2372778898100</v>
      </c>
      <c r="AA212" s="34" t="n">
        <v>43721217800</v>
      </c>
      <c r="AB212" s="34" t="n">
        <v>127486004865</v>
      </c>
      <c r="AC212" s="39" t="n">
        <v>0.01842616597568771</v>
      </c>
      <c r="AD212" s="32" t="inlineStr">
        <is>
          <t>yfinance_download</t>
        </is>
      </c>
      <c r="AE212" s="32" t="inlineStr">
        <is>
          <t>005290.KQ</t>
        </is>
      </c>
    </row>
    <row r="213" ht="24" customHeight="1">
      <c r="A213" s="27" t="inlineStr">
        <is>
          <t>2024-04-18</t>
        </is>
      </c>
      <c r="B213" s="33" t="n">
        <v>45600</v>
      </c>
      <c r="C213" s="33" t="n">
        <v>46900</v>
      </c>
      <c r="D213" s="33" t="n">
        <v>45150</v>
      </c>
      <c r="E213" s="33" t="n">
        <v>46550</v>
      </c>
      <c r="F213" s="33" t="n">
        <v>45817.890625</v>
      </c>
      <c r="G213" s="33" t="n">
        <v>850368</v>
      </c>
      <c r="H213" s="38" t="n">
        <v>0.008667388949079147</v>
      </c>
      <c r="I213" s="38" t="n">
        <v>-0.08725490196078434</v>
      </c>
      <c r="J213" s="33" t="n">
        <v>46850</v>
      </c>
      <c r="K213" s="33" t="n">
        <v>41804.16666666666</v>
      </c>
      <c r="L213" s="33" t="n">
        <v>39636.66666666666</v>
      </c>
      <c r="M213" s="38" t="n">
        <v>0.7662326896547195</v>
      </c>
      <c r="N213" s="38" t="n">
        <v>0.5662023280113506</v>
      </c>
      <c r="O213" s="38" t="n">
        <v>0.1312272174969624</v>
      </c>
      <c r="P213" s="38" t="n">
        <v>0.1083333333333334</v>
      </c>
      <c r="Q213" s="38" t="n">
        <v>0.3999999999999999</v>
      </c>
      <c r="R213" s="38" t="n">
        <v>-0.006403415154749181</v>
      </c>
      <c r="S213" s="38" t="n">
        <v>0.113525366291239</v>
      </c>
      <c r="T213" s="38" t="n">
        <v>0.1744176267765538</v>
      </c>
      <c r="U213" s="33" t="n">
        <v>50100</v>
      </c>
      <c r="V213" s="33" t="n">
        <v>29400</v>
      </c>
      <c r="W213" s="38" t="n">
        <v>-0.07085828343313372</v>
      </c>
      <c r="X213" s="38" t="n">
        <v>0.5833333333333333</v>
      </c>
      <c r="Y213" s="33" t="n">
        <v>51414494</v>
      </c>
      <c r="Z213" s="33" t="n">
        <v>2393344695700</v>
      </c>
      <c r="AA213" s="33" t="n">
        <v>39584630400</v>
      </c>
      <c r="AB213" s="33" t="n">
        <v>126334190495</v>
      </c>
      <c r="AC213" s="38" t="n">
        <v>0.01653946064314082</v>
      </c>
      <c r="AD213" s="27" t="inlineStr">
        <is>
          <t>yfinance_download</t>
        </is>
      </c>
      <c r="AE213" s="27" t="inlineStr">
        <is>
          <t>005290.KQ</t>
        </is>
      </c>
    </row>
    <row r="214" ht="24" customHeight="1">
      <c r="A214" s="32" t="inlineStr">
        <is>
          <t>2024-04-19</t>
        </is>
      </c>
      <c r="B214" s="34" t="n">
        <v>45650</v>
      </c>
      <c r="C214" s="34" t="n">
        <v>45650</v>
      </c>
      <c r="D214" s="34" t="n">
        <v>42250</v>
      </c>
      <c r="E214" s="34" t="n">
        <v>44350</v>
      </c>
      <c r="F214" s="34" t="n">
        <v>43652.48828125</v>
      </c>
      <c r="G214" s="34" t="n">
        <v>1985835</v>
      </c>
      <c r="H214" s="39" t="n">
        <v>-0.04726100966702473</v>
      </c>
      <c r="I214" s="39" t="n">
        <v>-0.1303921568627451</v>
      </c>
      <c r="J214" s="34" t="n">
        <v>46670</v>
      </c>
      <c r="K214" s="34" t="n">
        <v>41840</v>
      </c>
      <c r="L214" s="34" t="n">
        <v>39736.25</v>
      </c>
      <c r="M214" s="39" t="n">
        <v>0.5151697599044662</v>
      </c>
      <c r="N214" s="39" t="n">
        <v>0.5752089207620782</v>
      </c>
      <c r="O214" s="39" t="n">
        <v>-0.0750782064650678</v>
      </c>
      <c r="P214" s="39" t="n">
        <v>0.05094786729857814</v>
      </c>
      <c r="Q214" s="39" t="n">
        <v>0.3688271604938271</v>
      </c>
      <c r="R214" s="39" t="n">
        <v>-0.04971073494750378</v>
      </c>
      <c r="S214" s="39" t="n">
        <v>0.0599904397705544</v>
      </c>
      <c r="T214" s="39" t="n">
        <v>0.1161093460001887</v>
      </c>
      <c r="U214" s="34" t="n">
        <v>50100</v>
      </c>
      <c r="V214" s="34" t="n">
        <v>29400</v>
      </c>
      <c r="W214" s="39" t="n">
        <v>-0.1147704590818364</v>
      </c>
      <c r="X214" s="39" t="n">
        <v>0.5085034013605443</v>
      </c>
      <c r="Y214" s="34" t="n">
        <v>51414494</v>
      </c>
      <c r="Z214" s="34" t="n">
        <v>2280232808900</v>
      </c>
      <c r="AA214" s="34" t="n">
        <v>88071782250</v>
      </c>
      <c r="AB214" s="34" t="n">
        <v>96187550957.5</v>
      </c>
      <c r="AC214" s="39" t="n">
        <v>0.03862403080345398</v>
      </c>
      <c r="AD214" s="32" t="inlineStr">
        <is>
          <t>yfinance_download</t>
        </is>
      </c>
      <c r="AE214" s="32" t="inlineStr">
        <is>
          <t>005290.KQ</t>
        </is>
      </c>
    </row>
    <row r="215" ht="24" customHeight="1">
      <c r="A215" s="27" t="inlineStr">
        <is>
          <t>2024-04-22</t>
        </is>
      </c>
      <c r="B215" s="33" t="n">
        <v>43850</v>
      </c>
      <c r="C215" s="33" t="n">
        <v>44250</v>
      </c>
      <c r="D215" s="33" t="n">
        <v>42500</v>
      </c>
      <c r="E215" s="33" t="n">
        <v>43350</v>
      </c>
      <c r="F215" s="33" t="n">
        <v>42668.21875</v>
      </c>
      <c r="G215" s="33" t="n">
        <v>944283</v>
      </c>
      <c r="H215" s="38" t="n">
        <v>-0.02254791431792558</v>
      </c>
      <c r="I215" s="38" t="n">
        <v>-0.15</v>
      </c>
      <c r="J215" s="33" t="n">
        <v>46602.5</v>
      </c>
      <c r="K215" s="33" t="n">
        <v>41872.5</v>
      </c>
      <c r="L215" s="33" t="n">
        <v>39844.16666666666</v>
      </c>
      <c r="M215" s="38" t="n">
        <v>0.4625169610299738</v>
      </c>
      <c r="N215" s="38" t="n">
        <v>0.5757997714881316</v>
      </c>
      <c r="O215" s="38" t="n">
        <v>-0.03020134228187921</v>
      </c>
      <c r="P215" s="38" t="n">
        <v>0.04710144927536231</v>
      </c>
      <c r="Q215" s="38" t="n">
        <v>0.4259868421052631</v>
      </c>
      <c r="R215" s="38" t="n">
        <v>-0.06979239311195751</v>
      </c>
      <c r="S215" s="38" t="n">
        <v>0.03528568869783277</v>
      </c>
      <c r="T215" s="38" t="n">
        <v>0.0879886223412043</v>
      </c>
      <c r="U215" s="33" t="n">
        <v>50100</v>
      </c>
      <c r="V215" s="33" t="n">
        <v>29400</v>
      </c>
      <c r="W215" s="38" t="n">
        <v>-0.1347305389221557</v>
      </c>
      <c r="X215" s="38" t="n">
        <v>0.4744897959183674</v>
      </c>
      <c r="Y215" s="33" t="n">
        <v>51414494</v>
      </c>
      <c r="Z215" s="33" t="n">
        <v>2228818314900</v>
      </c>
      <c r="AA215" s="33" t="n">
        <v>40934668050</v>
      </c>
      <c r="AB215" s="33" t="n">
        <v>87045769315</v>
      </c>
      <c r="AC215" s="38" t="n">
        <v>0.01836608564114236</v>
      </c>
      <c r="AD215" s="27" t="inlineStr">
        <is>
          <t>yfinance_download</t>
        </is>
      </c>
      <c r="AE215" s="27" t="inlineStr">
        <is>
          <t>005290.KQ</t>
        </is>
      </c>
    </row>
    <row r="216" ht="24" customHeight="1">
      <c r="A216" s="32" t="inlineStr">
        <is>
          <t>2024-04-23</t>
        </is>
      </c>
      <c r="B216" s="34" t="n">
        <v>43800</v>
      </c>
      <c r="C216" s="34" t="n">
        <v>44000</v>
      </c>
      <c r="D216" s="34" t="n">
        <v>43000</v>
      </c>
      <c r="E216" s="34" t="n">
        <v>43000</v>
      </c>
      <c r="F216" s="34" t="n">
        <v>42323.72265625</v>
      </c>
      <c r="G216" s="34" t="n">
        <v>477422</v>
      </c>
      <c r="H216" s="39" t="n">
        <v>-0.008073817762399127</v>
      </c>
      <c r="I216" s="39" t="n">
        <v>-0.1568627450980392</v>
      </c>
      <c r="J216" s="34" t="n">
        <v>46552.5</v>
      </c>
      <c r="K216" s="34" t="n">
        <v>41880.83333333334</v>
      </c>
      <c r="L216" s="34" t="n">
        <v>39944.16666666666</v>
      </c>
      <c r="M216" s="39" t="n">
        <v>0.4601333448668378</v>
      </c>
      <c r="N216" s="39" t="n">
        <v>0.5737023501522363</v>
      </c>
      <c r="O216" s="39" t="n">
        <v>-0.02272727272727271</v>
      </c>
      <c r="P216" s="39" t="n">
        <v>0.0117647058823529</v>
      </c>
      <c r="Q216" s="39" t="n">
        <v>0.3870967741935485</v>
      </c>
      <c r="R216" s="39" t="n">
        <v>-0.07631169110144465</v>
      </c>
      <c r="S216" s="39" t="n">
        <v>0.02672264560160764</v>
      </c>
      <c r="T216" s="39" t="n">
        <v>0.07650261823795712</v>
      </c>
      <c r="U216" s="34" t="n">
        <v>50100</v>
      </c>
      <c r="V216" s="34" t="n">
        <v>29400</v>
      </c>
      <c r="W216" s="39" t="n">
        <v>-0.1417165668662674</v>
      </c>
      <c r="X216" s="39" t="n">
        <v>0.4625850340136055</v>
      </c>
      <c r="Y216" s="34" t="n">
        <v>51414494</v>
      </c>
      <c r="Z216" s="34" t="n">
        <v>2210823242000</v>
      </c>
      <c r="AA216" s="34" t="n">
        <v>20529146000</v>
      </c>
      <c r="AB216" s="34" t="n">
        <v>84184443815</v>
      </c>
      <c r="AC216" s="39" t="n">
        <v>0.009285747322535159</v>
      </c>
      <c r="AD216" s="32" t="inlineStr">
        <is>
          <t>yfinance_download</t>
        </is>
      </c>
      <c r="AE216" s="32" t="inlineStr">
        <is>
          <t>005290.KQ</t>
        </is>
      </c>
    </row>
    <row r="217" ht="24" customHeight="1">
      <c r="A217" s="27" t="inlineStr">
        <is>
          <t>2024-04-24</t>
        </is>
      </c>
      <c r="B217" s="33" t="n">
        <v>44050</v>
      </c>
      <c r="C217" s="33" t="n">
        <v>44650</v>
      </c>
      <c r="D217" s="33" t="n">
        <v>43700</v>
      </c>
      <c r="E217" s="33" t="n">
        <v>43750</v>
      </c>
      <c r="F217" s="33" t="n">
        <v>43061.92578125</v>
      </c>
      <c r="G217" s="33" t="n">
        <v>811752</v>
      </c>
      <c r="H217" s="38" t="n">
        <v>0.01744186046511631</v>
      </c>
      <c r="I217" s="38" t="n">
        <v>-0.1421568627450981</v>
      </c>
      <c r="J217" s="33" t="n">
        <v>46552.5</v>
      </c>
      <c r="K217" s="33" t="n">
        <v>41906.66666666666</v>
      </c>
      <c r="L217" s="33" t="n">
        <v>40050.83333333334</v>
      </c>
      <c r="M217" s="38" t="n">
        <v>0.464148522777619</v>
      </c>
      <c r="N217" s="38" t="n">
        <v>0.5744633549782194</v>
      </c>
      <c r="O217" s="38" t="n">
        <v>0</v>
      </c>
      <c r="P217" s="38" t="n">
        <v>0.03672985781990512</v>
      </c>
      <c r="Q217" s="38" t="n">
        <v>0.4135702746365104</v>
      </c>
      <c r="R217" s="38" t="n">
        <v>-0.06020084850437679</v>
      </c>
      <c r="S217" s="38" t="n">
        <v>0.04398663697104688</v>
      </c>
      <c r="T217" s="38" t="n">
        <v>0.09236179022492252</v>
      </c>
      <c r="U217" s="33" t="n">
        <v>50100</v>
      </c>
      <c r="V217" s="33" t="n">
        <v>29400</v>
      </c>
      <c r="W217" s="38" t="n">
        <v>-0.126746506986028</v>
      </c>
      <c r="X217" s="38" t="n">
        <v>0.4880952380952381</v>
      </c>
      <c r="Y217" s="33" t="n">
        <v>51414494</v>
      </c>
      <c r="Z217" s="33" t="n">
        <v>2249384112500</v>
      </c>
      <c r="AA217" s="33" t="n">
        <v>35514150000</v>
      </c>
      <c r="AB217" s="33" t="n">
        <v>80895920377.5</v>
      </c>
      <c r="AC217" s="38" t="n">
        <v>0.01578838838713457</v>
      </c>
      <c r="AD217" s="27" t="inlineStr">
        <is>
          <t>yfinance_download</t>
        </is>
      </c>
      <c r="AE217" s="27" t="inlineStr">
        <is>
          <t>005290.KQ</t>
        </is>
      </c>
    </row>
    <row r="218" ht="24" customHeight="1">
      <c r="A218" s="32" t="inlineStr">
        <is>
          <t>2024-04-25</t>
        </is>
      </c>
      <c r="B218" s="34" t="n">
        <v>42950</v>
      </c>
      <c r="C218" s="34" t="n">
        <v>44100</v>
      </c>
      <c r="D218" s="34" t="n">
        <v>42600</v>
      </c>
      <c r="E218" s="34" t="n">
        <v>42850</v>
      </c>
      <c r="F218" s="34" t="n">
        <v>42176.08203125</v>
      </c>
      <c r="G218" s="34" t="n">
        <v>661574</v>
      </c>
      <c r="H218" s="39" t="n">
        <v>-0.02057142857142857</v>
      </c>
      <c r="I218" s="39" t="n">
        <v>-0.1598039215686274</v>
      </c>
      <c r="J218" s="34" t="n">
        <v>46467.5</v>
      </c>
      <c r="K218" s="34" t="n">
        <v>41925.83333333334</v>
      </c>
      <c r="L218" s="34" t="n">
        <v>40158.33333333334</v>
      </c>
      <c r="M218" s="39" t="n">
        <v>0.4647912640098014</v>
      </c>
      <c r="N218" s="39" t="n">
        <v>0.5755880463568352</v>
      </c>
      <c r="O218" s="39" t="n">
        <v>-0.03815937149270487</v>
      </c>
      <c r="P218" s="39" t="n">
        <v>0.02757793764988015</v>
      </c>
      <c r="Q218" s="39" t="n">
        <v>0.4307178631051753</v>
      </c>
      <c r="R218" s="39" t="n">
        <v>-0.07785011029213962</v>
      </c>
      <c r="S218" s="39" t="n">
        <v>0.02204289320426933</v>
      </c>
      <c r="T218" s="39" t="n">
        <v>0.06702635401535573</v>
      </c>
      <c r="U218" s="34" t="n">
        <v>50100</v>
      </c>
      <c r="V218" s="34" t="n">
        <v>29400</v>
      </c>
      <c r="W218" s="39" t="n">
        <v>-0.1447105788423154</v>
      </c>
      <c r="X218" s="39" t="n">
        <v>0.4574829931972788</v>
      </c>
      <c r="Y218" s="34" t="n">
        <v>51414494</v>
      </c>
      <c r="Z218" s="34" t="n">
        <v>2203111067900</v>
      </c>
      <c r="AA218" s="34" t="n">
        <v>28348445900</v>
      </c>
      <c r="AB218" s="34" t="n">
        <v>78275564560</v>
      </c>
      <c r="AC218" s="39" t="n">
        <v>0.01286746107041334</v>
      </c>
      <c r="AD218" s="32" t="inlineStr">
        <is>
          <t>yfinance_download</t>
        </is>
      </c>
      <c r="AE218" s="32" t="inlineStr">
        <is>
          <t>005290.KQ</t>
        </is>
      </c>
    </row>
    <row r="219" ht="24" customHeight="1">
      <c r="A219" s="27" t="inlineStr">
        <is>
          <t>2024-04-26</t>
        </is>
      </c>
      <c r="B219" s="33" t="n">
        <v>43650</v>
      </c>
      <c r="C219" s="33" t="n">
        <v>44450</v>
      </c>
      <c r="D219" s="33" t="n">
        <v>43100</v>
      </c>
      <c r="E219" s="33" t="n">
        <v>44050</v>
      </c>
      <c r="F219" s="33" t="n">
        <v>43357.20703125</v>
      </c>
      <c r="G219" s="33" t="n">
        <v>812359</v>
      </c>
      <c r="H219" s="38" t="n">
        <v>0.02800466744457419</v>
      </c>
      <c r="I219" s="38" t="n">
        <v>-0.1362745098039215</v>
      </c>
      <c r="J219" s="33" t="n">
        <v>46340</v>
      </c>
      <c r="K219" s="33" t="n">
        <v>41983.33333333334</v>
      </c>
      <c r="L219" s="33" t="n">
        <v>40271.66666666666</v>
      </c>
      <c r="M219" s="38" t="n">
        <v>0.4442973938282578</v>
      </c>
      <c r="N219" s="38" t="n">
        <v>0.5752990994612777</v>
      </c>
      <c r="O219" s="38" t="n">
        <v>-0.05472103004291851</v>
      </c>
      <c r="P219" s="38" t="n">
        <v>0.08497536945812811</v>
      </c>
      <c r="Q219" s="38" t="n">
        <v>0.4466338259441707</v>
      </c>
      <c r="R219" s="38" t="n">
        <v>-0.04941735002157965</v>
      </c>
      <c r="S219" s="38" t="n">
        <v>0.04922588328701849</v>
      </c>
      <c r="T219" s="38" t="n">
        <v>0.09382113148201809</v>
      </c>
      <c r="U219" s="33" t="n">
        <v>50100</v>
      </c>
      <c r="V219" s="33" t="n">
        <v>29400</v>
      </c>
      <c r="W219" s="38" t="n">
        <v>-0.1207584830339321</v>
      </c>
      <c r="X219" s="38" t="n">
        <v>0.4982993197278911</v>
      </c>
      <c r="Y219" s="33" t="n">
        <v>51414494</v>
      </c>
      <c r="Z219" s="33" t="n">
        <v>2264808460700</v>
      </c>
      <c r="AA219" s="33" t="n">
        <v>35784413950</v>
      </c>
      <c r="AB219" s="33" t="n">
        <v>70183183027.5</v>
      </c>
      <c r="AC219" s="38" t="n">
        <v>0.01580019439654507</v>
      </c>
      <c r="AD219" s="27" t="inlineStr">
        <is>
          <t>yfinance_download</t>
        </is>
      </c>
      <c r="AE219" s="27" t="inlineStr">
        <is>
          <t>005290.KQ</t>
        </is>
      </c>
    </row>
    <row r="220" ht="24" customHeight="1">
      <c r="A220" s="32" t="inlineStr">
        <is>
          <t>2024-04-29</t>
        </is>
      </c>
      <c r="B220" s="34" t="n">
        <v>44750</v>
      </c>
      <c r="C220" s="34" t="n">
        <v>44950</v>
      </c>
      <c r="D220" s="34" t="n">
        <v>43450</v>
      </c>
      <c r="E220" s="34" t="n">
        <v>44200</v>
      </c>
      <c r="F220" s="34" t="n">
        <v>43504.84765625</v>
      </c>
      <c r="G220" s="34" t="n">
        <v>615388</v>
      </c>
      <c r="H220" s="39" t="n">
        <v>0.003405221339387143</v>
      </c>
      <c r="I220" s="39" t="n">
        <v>-0.1333333333333333</v>
      </c>
      <c r="J220" s="34" t="n">
        <v>46137.5</v>
      </c>
      <c r="K220" s="34" t="n">
        <v>42052.5</v>
      </c>
      <c r="L220" s="34" t="n">
        <v>40372.08333333334</v>
      </c>
      <c r="M220" s="39" t="n">
        <v>0.4221126547575862</v>
      </c>
      <c r="N220" s="39" t="n">
        <v>0.5743929781856951</v>
      </c>
      <c r="O220" s="39" t="n">
        <v>-0.0839378238341969</v>
      </c>
      <c r="P220" s="39" t="n">
        <v>0.1036204744069913</v>
      </c>
      <c r="Q220" s="39" t="n">
        <v>0.3748055987558321</v>
      </c>
      <c r="R220" s="39" t="n">
        <v>-0.04199403955567593</v>
      </c>
      <c r="S220" s="39" t="n">
        <v>0.05106711848284884</v>
      </c>
      <c r="T220" s="39" t="n">
        <v>0.09481593097540575</v>
      </c>
      <c r="U220" s="34" t="n">
        <v>50100</v>
      </c>
      <c r="V220" s="34" t="n">
        <v>29400</v>
      </c>
      <c r="W220" s="39" t="n">
        <v>-0.1177644710578842</v>
      </c>
      <c r="X220" s="39" t="n">
        <v>0.5034013605442176</v>
      </c>
      <c r="Y220" s="34" t="n">
        <v>51414494</v>
      </c>
      <c r="Z220" s="34" t="n">
        <v>2272520634800</v>
      </c>
      <c r="AA220" s="34" t="n">
        <v>27200149600</v>
      </c>
      <c r="AB220" s="34" t="n">
        <v>59262718720</v>
      </c>
      <c r="AC220" s="39" t="n">
        <v>0.01196915406772261</v>
      </c>
      <c r="AD220" s="32" t="inlineStr">
        <is>
          <t>yfinance_download</t>
        </is>
      </c>
      <c r="AE220" s="32" t="inlineStr">
        <is>
          <t>005290.KQ</t>
        </is>
      </c>
    </row>
    <row r="221" ht="24" customHeight="1">
      <c r="A221" s="27" t="inlineStr">
        <is>
          <t>2024-04-30</t>
        </is>
      </c>
      <c r="B221" s="33" t="n">
        <v>43900</v>
      </c>
      <c r="C221" s="33" t="n">
        <v>44700</v>
      </c>
      <c r="D221" s="33" t="n">
        <v>43300</v>
      </c>
      <c r="E221" s="33" t="n">
        <v>43400</v>
      </c>
      <c r="F221" s="33" t="n">
        <v>42717.4296875</v>
      </c>
      <c r="G221" s="33" t="n">
        <v>535087</v>
      </c>
      <c r="H221" s="38" t="n">
        <v>-0.01809954751131226</v>
      </c>
      <c r="I221" s="38" t="n">
        <v>-0.1490196078431373</v>
      </c>
      <c r="J221" s="33" t="n">
        <v>45802.5</v>
      </c>
      <c r="K221" s="33" t="n">
        <v>42131.66666666666</v>
      </c>
      <c r="L221" s="33" t="n">
        <v>40461.25</v>
      </c>
      <c r="M221" s="38" t="n">
        <v>0.3935365123776371</v>
      </c>
      <c r="N221" s="38" t="n">
        <v>0.5707548163656549</v>
      </c>
      <c r="O221" s="38" t="n">
        <v>-0.1337325349301397</v>
      </c>
      <c r="P221" s="38" t="n">
        <v>0.1228978007761967</v>
      </c>
      <c r="Q221" s="38" t="n">
        <v>0.3272171253822631</v>
      </c>
      <c r="R221" s="38" t="n">
        <v>-0.05245346869712353</v>
      </c>
      <c r="S221" s="38" t="n">
        <v>0.03010403892559044</v>
      </c>
      <c r="T221" s="38" t="n">
        <v>0.07263122123018939</v>
      </c>
      <c r="U221" s="33" t="n">
        <v>50100</v>
      </c>
      <c r="V221" s="33" t="n">
        <v>29400</v>
      </c>
      <c r="W221" s="38" t="n">
        <v>-0.1337325349301397</v>
      </c>
      <c r="X221" s="38" t="n">
        <v>0.4761904761904763</v>
      </c>
      <c r="Y221" s="33" t="n">
        <v>51414494</v>
      </c>
      <c r="Z221" s="33" t="n">
        <v>2231389039600</v>
      </c>
      <c r="AA221" s="33" t="n">
        <v>23222775800</v>
      </c>
      <c r="AB221" s="33" t="n">
        <v>51841041140</v>
      </c>
      <c r="AC221" s="38" t="n">
        <v>0.01040731821653248</v>
      </c>
      <c r="AD221" s="27" t="inlineStr">
        <is>
          <t>yfinance_download</t>
        </is>
      </c>
      <c r="AE221" s="27" t="inlineStr">
        <is>
          <t>005290.KQ</t>
        </is>
      </c>
    </row>
    <row r="222" ht="24" customHeight="1">
      <c r="A222" s="32" t="inlineStr">
        <is>
          <t>2024-05-02</t>
        </is>
      </c>
      <c r="B222" s="34" t="n">
        <v>42800</v>
      </c>
      <c r="C222" s="34" t="n">
        <v>44650</v>
      </c>
      <c r="D222" s="34" t="n">
        <v>42800</v>
      </c>
      <c r="E222" s="34" t="n">
        <v>44450</v>
      </c>
      <c r="F222" s="34" t="n">
        <v>43750.91796875</v>
      </c>
      <c r="G222" s="34" t="n">
        <v>520083</v>
      </c>
      <c r="H222" s="39" t="n">
        <v>0.02419354838709675</v>
      </c>
      <c r="I222" s="39" t="n">
        <v>-0.1284313725490196</v>
      </c>
      <c r="J222" s="34" t="n">
        <v>45577.5</v>
      </c>
      <c r="K222" s="34" t="n">
        <v>42234.16666666666</v>
      </c>
      <c r="L222" s="34" t="n">
        <v>40545</v>
      </c>
      <c r="M222" s="39" t="n">
        <v>0.4034211413419699</v>
      </c>
      <c r="N222" s="39" t="n">
        <v>0.5719346066786493</v>
      </c>
      <c r="O222" s="39" t="n">
        <v>-0.09193054136874357</v>
      </c>
      <c r="P222" s="39" t="n">
        <v>0.1605744125326372</v>
      </c>
      <c r="Q222" s="39" t="n">
        <v>0.2921511627906976</v>
      </c>
      <c r="R222" s="39" t="n">
        <v>-0.02473808348417528</v>
      </c>
      <c r="S222" s="39" t="n">
        <v>0.05246542096643725</v>
      </c>
      <c r="T222" s="39" t="n">
        <v>0.09631273893205083</v>
      </c>
      <c r="U222" s="34" t="n">
        <v>50100</v>
      </c>
      <c r="V222" s="34" t="n">
        <v>29400</v>
      </c>
      <c r="W222" s="39" t="n">
        <v>-0.1127744510978044</v>
      </c>
      <c r="X222" s="39" t="n">
        <v>0.5119047619047619</v>
      </c>
      <c r="Y222" s="34" t="n">
        <v>51414494</v>
      </c>
      <c r="Z222" s="34" t="n">
        <v>2285374258300</v>
      </c>
      <c r="AA222" s="34" t="n">
        <v>23117689350</v>
      </c>
      <c r="AB222" s="34" t="n">
        <v>46337094545</v>
      </c>
      <c r="AC222" s="39" t="n">
        <v>0.01011549389166409</v>
      </c>
      <c r="AD222" s="32" t="inlineStr">
        <is>
          <t>yfinance_download</t>
        </is>
      </c>
      <c r="AE222" s="32" t="inlineStr">
        <is>
          <t>005290.KQ</t>
        </is>
      </c>
    </row>
    <row r="223" ht="24" customHeight="1">
      <c r="A223" s="27" t="inlineStr">
        <is>
          <t>2024-05-03</t>
        </is>
      </c>
      <c r="B223" s="33" t="n">
        <v>45000</v>
      </c>
      <c r="C223" s="33" t="n">
        <v>46250</v>
      </c>
      <c r="D223" s="33" t="n">
        <v>43900</v>
      </c>
      <c r="E223" s="33" t="n">
        <v>45200</v>
      </c>
      <c r="F223" s="33" t="n">
        <v>44489.12109375</v>
      </c>
      <c r="G223" s="33" t="n">
        <v>924245</v>
      </c>
      <c r="H223" s="38" t="n">
        <v>0.01687289088863886</v>
      </c>
      <c r="I223" s="38" t="n">
        <v>-0.1137254901960785</v>
      </c>
      <c r="J223" s="33" t="n">
        <v>45480</v>
      </c>
      <c r="K223" s="33" t="n">
        <v>42325</v>
      </c>
      <c r="L223" s="33" t="n">
        <v>40637.5</v>
      </c>
      <c r="M223" s="38" t="n">
        <v>0.3912618494289286</v>
      </c>
      <c r="N223" s="38" t="n">
        <v>0.5680911657161535</v>
      </c>
      <c r="O223" s="38" t="n">
        <v>-0.04135737009544005</v>
      </c>
      <c r="P223" s="38" t="n">
        <v>0.1371069182389937</v>
      </c>
      <c r="Q223" s="38" t="n">
        <v>0.3255131964809383</v>
      </c>
      <c r="R223" s="38" t="n">
        <v>-0.006156552330694787</v>
      </c>
      <c r="S223" s="38" t="n">
        <v>0.06792675723567632</v>
      </c>
      <c r="T223" s="38" t="n">
        <v>0.1122731467240849</v>
      </c>
      <c r="U223" s="33" t="n">
        <v>50100</v>
      </c>
      <c r="V223" s="33" t="n">
        <v>29400</v>
      </c>
      <c r="W223" s="38" t="n">
        <v>-0.0978043912175649</v>
      </c>
      <c r="X223" s="38" t="n">
        <v>0.5374149659863945</v>
      </c>
      <c r="Y223" s="33" t="n">
        <v>51414494</v>
      </c>
      <c r="Z223" s="33" t="n">
        <v>2323935128800</v>
      </c>
      <c r="AA223" s="33" t="n">
        <v>41775874000</v>
      </c>
      <c r="AB223" s="33" t="n">
        <v>45009182355</v>
      </c>
      <c r="AC223" s="38" t="n">
        <v>0.01797635118221722</v>
      </c>
      <c r="AD223" s="27" t="inlineStr">
        <is>
          <t>yfinance_download</t>
        </is>
      </c>
      <c r="AE223" s="27" t="inlineStr">
        <is>
          <t>005290.KQ</t>
        </is>
      </c>
    </row>
    <row r="224" ht="24" customHeight="1">
      <c r="A224" s="32" t="inlineStr">
        <is>
          <t>2024-05-07</t>
        </is>
      </c>
      <c r="B224" s="34" t="n">
        <v>46100</v>
      </c>
      <c r="C224" s="34" t="n">
        <v>46750</v>
      </c>
      <c r="D224" s="34" t="n">
        <v>46000</v>
      </c>
      <c r="E224" s="34" t="n">
        <v>46350</v>
      </c>
      <c r="F224" s="34" t="n">
        <v>45621.03515625</v>
      </c>
      <c r="G224" s="34" t="n">
        <v>737746</v>
      </c>
      <c r="H224" s="39" t="n">
        <v>0.02544247787610621</v>
      </c>
      <c r="I224" s="39" t="n">
        <v>-0.0911764705882353</v>
      </c>
      <c r="J224" s="34" t="n">
        <v>45397.5</v>
      </c>
      <c r="K224" s="34" t="n">
        <v>42458.33333333334</v>
      </c>
      <c r="L224" s="34" t="n">
        <v>40735</v>
      </c>
      <c r="M224" s="39" t="n">
        <v>0.3970919905302694</v>
      </c>
      <c r="N224" s="39" t="n">
        <v>0.5643644854800089</v>
      </c>
      <c r="O224" s="39" t="n">
        <v>-0.03437500000000004</v>
      </c>
      <c r="P224" s="39" t="n">
        <v>0.2086049543676662</v>
      </c>
      <c r="Q224" s="39" t="n">
        <v>0.3376623376623376</v>
      </c>
      <c r="R224" s="39" t="n">
        <v>0.02098133157112181</v>
      </c>
      <c r="S224" s="39" t="n">
        <v>0.09165848871442583</v>
      </c>
      <c r="T224" s="39" t="n">
        <v>0.1378421504848411</v>
      </c>
      <c r="U224" s="34" t="n">
        <v>50100</v>
      </c>
      <c r="V224" s="34" t="n">
        <v>29400</v>
      </c>
      <c r="W224" s="39" t="n">
        <v>-0.07485029940119758</v>
      </c>
      <c r="X224" s="39" t="n">
        <v>0.5765306122448979</v>
      </c>
      <c r="Y224" s="34" t="n">
        <v>51414494</v>
      </c>
      <c r="Z224" s="34" t="n">
        <v>2383061796900</v>
      </c>
      <c r="AA224" s="34" t="n">
        <v>34194527100</v>
      </c>
      <c r="AB224" s="34" t="n">
        <v>42733595910</v>
      </c>
      <c r="AC224" s="39" t="n">
        <v>0.01434898882793634</v>
      </c>
      <c r="AD224" s="32" t="inlineStr">
        <is>
          <t>yfinance_download</t>
        </is>
      </c>
      <c r="AE224" s="32" t="inlineStr">
        <is>
          <t>005290.KQ</t>
        </is>
      </c>
    </row>
    <row r="225" ht="24" customHeight="1">
      <c r="A225" s="27" t="inlineStr">
        <is>
          <t>2024-05-08</t>
        </is>
      </c>
      <c r="B225" s="33" t="n">
        <v>46350</v>
      </c>
      <c r="C225" s="33" t="n">
        <v>47650</v>
      </c>
      <c r="D225" s="33" t="n">
        <v>45500</v>
      </c>
      <c r="E225" s="33" t="n">
        <v>47200</v>
      </c>
      <c r="F225" s="33" t="n">
        <v>46457.66796875</v>
      </c>
      <c r="G225" s="33" t="n">
        <v>888941</v>
      </c>
      <c r="H225" s="38" t="n">
        <v>0.01833872707659112</v>
      </c>
      <c r="I225" s="38" t="n">
        <v>-0.07450980392156858</v>
      </c>
      <c r="J225" s="33" t="n">
        <v>45335</v>
      </c>
      <c r="K225" s="33" t="n">
        <v>42590.83333333334</v>
      </c>
      <c r="L225" s="33" t="n">
        <v>40836.25</v>
      </c>
      <c r="M225" s="38" t="n">
        <v>0.4015815354483938</v>
      </c>
      <c r="N225" s="38" t="n">
        <v>0.5636969655796918</v>
      </c>
      <c r="O225" s="38" t="n">
        <v>-0.02579979360165119</v>
      </c>
      <c r="P225" s="38" t="n">
        <v>0.2025477707006369</v>
      </c>
      <c r="Q225" s="38" t="n">
        <v>0.3466476462196861</v>
      </c>
      <c r="R225" s="38" t="n">
        <v>0.04113819344877023</v>
      </c>
      <c r="S225" s="38" t="n">
        <v>0.1082196873349115</v>
      </c>
      <c r="T225" s="38" t="n">
        <v>0.1558358076463926</v>
      </c>
      <c r="U225" s="33" t="n">
        <v>50100</v>
      </c>
      <c r="V225" s="33" t="n">
        <v>29400</v>
      </c>
      <c r="W225" s="38" t="n">
        <v>-0.05788423153692612</v>
      </c>
      <c r="X225" s="38" t="n">
        <v>0.6054421768707483</v>
      </c>
      <c r="Y225" s="33" t="n">
        <v>51414494</v>
      </c>
      <c r="Z225" s="33" t="n">
        <v>2426764116800</v>
      </c>
      <c r="AA225" s="33" t="n">
        <v>41958015200</v>
      </c>
      <c r="AB225" s="33" t="n">
        <v>41847885107.5</v>
      </c>
      <c r="AC225" s="38" t="n">
        <v>0.01728969655910647</v>
      </c>
      <c r="AD225" s="27" t="inlineStr">
        <is>
          <t>yfinance_download</t>
        </is>
      </c>
      <c r="AE225" s="27" t="inlineStr">
        <is>
          <t>005290.KQ</t>
        </is>
      </c>
    </row>
    <row r="226" ht="24" customHeight="1">
      <c r="A226" s="32" t="inlineStr">
        <is>
          <t>2024-05-09</t>
        </is>
      </c>
      <c r="B226" s="34" t="n">
        <v>47800</v>
      </c>
      <c r="C226" s="34" t="n">
        <v>49450</v>
      </c>
      <c r="D226" s="34" t="n">
        <v>47650</v>
      </c>
      <c r="E226" s="34" t="n">
        <v>47800</v>
      </c>
      <c r="F226" s="34" t="n">
        <v>47048.23046875</v>
      </c>
      <c r="G226" s="34" t="n">
        <v>2208591</v>
      </c>
      <c r="H226" s="39" t="n">
        <v>0.01271186440677963</v>
      </c>
      <c r="I226" s="39" t="n">
        <v>-0.06274509803921569</v>
      </c>
      <c r="J226" s="34" t="n">
        <v>45410</v>
      </c>
      <c r="K226" s="34" t="n">
        <v>42750.83333333334</v>
      </c>
      <c r="L226" s="34" t="n">
        <v>40937.08333333334</v>
      </c>
      <c r="M226" s="39" t="n">
        <v>0.3696553261995683</v>
      </c>
      <c r="N226" s="39" t="n">
        <v>0.5603908770922409</v>
      </c>
      <c r="O226" s="39" t="n">
        <v>0.03239740820734349</v>
      </c>
      <c r="P226" s="39" t="n">
        <v>0.2513089005235603</v>
      </c>
      <c r="Q226" s="39" t="n">
        <v>0.3389355742296918</v>
      </c>
      <c r="R226" s="39" t="n">
        <v>0.05263157894736836</v>
      </c>
      <c r="S226" s="39" t="n">
        <v>0.1181068595154089</v>
      </c>
      <c r="T226" s="39" t="n">
        <v>0.1676454722185468</v>
      </c>
      <c r="U226" s="34" t="n">
        <v>50100</v>
      </c>
      <c r="V226" s="34" t="n">
        <v>29400</v>
      </c>
      <c r="W226" s="39" t="n">
        <v>-0.04590818363273452</v>
      </c>
      <c r="X226" s="39" t="n">
        <v>0.6258503401360545</v>
      </c>
      <c r="Y226" s="34" t="n">
        <v>51414494</v>
      </c>
      <c r="Z226" s="34" t="n">
        <v>2457612813200</v>
      </c>
      <c r="AA226" s="34" t="n">
        <v>105570649800</v>
      </c>
      <c r="AB226" s="34" t="n">
        <v>44324198067.5</v>
      </c>
      <c r="AC226" s="39" t="n">
        <v>0.04295658341011778</v>
      </c>
      <c r="AD226" s="32" t="inlineStr">
        <is>
          <t>yfinance_download</t>
        </is>
      </c>
      <c r="AE226" s="32" t="inlineStr">
        <is>
          <t>005290.KQ</t>
        </is>
      </c>
    </row>
    <row r="227" ht="24" customHeight="1">
      <c r="A227" s="27" t="inlineStr">
        <is>
          <t>2024-05-10</t>
        </is>
      </c>
      <c r="B227" s="33" t="n">
        <v>47950</v>
      </c>
      <c r="C227" s="33" t="n">
        <v>48450</v>
      </c>
      <c r="D227" s="33" t="n">
        <v>45950</v>
      </c>
      <c r="E227" s="33" t="n">
        <v>46650</v>
      </c>
      <c r="F227" s="33" t="n">
        <v>45916.31640625</v>
      </c>
      <c r="G227" s="33" t="n">
        <v>999994</v>
      </c>
      <c r="H227" s="38" t="n">
        <v>-0.02405857740585771</v>
      </c>
      <c r="I227" s="38" t="n">
        <v>-0.08529411764705885</v>
      </c>
      <c r="J227" s="33" t="n">
        <v>45417.5</v>
      </c>
      <c r="K227" s="33" t="n">
        <v>42890.83333333334</v>
      </c>
      <c r="L227" s="33" t="n">
        <v>41023.75</v>
      </c>
      <c r="M227" s="38" t="n">
        <v>0.3807058606725724</v>
      </c>
      <c r="N227" s="38" t="n">
        <v>0.5633790910558371</v>
      </c>
      <c r="O227" s="38" t="n">
        <v>0.003225806451612856</v>
      </c>
      <c r="P227" s="38" t="n">
        <v>0.219607843137255</v>
      </c>
      <c r="Q227" s="38" t="n">
        <v>0.286896551724138</v>
      </c>
      <c r="R227" s="38" t="n">
        <v>0.02713711675015129</v>
      </c>
      <c r="S227" s="38" t="n">
        <v>0.08764499018826855</v>
      </c>
      <c r="T227" s="38" t="n">
        <v>0.1371461653310582</v>
      </c>
      <c r="U227" s="33" t="n">
        <v>50100</v>
      </c>
      <c r="V227" s="33" t="n">
        <v>29400</v>
      </c>
      <c r="W227" s="38" t="n">
        <v>-0.06886227544910184</v>
      </c>
      <c r="X227" s="38" t="n">
        <v>0.5867346938775511</v>
      </c>
      <c r="Y227" s="33" t="n">
        <v>51414494</v>
      </c>
      <c r="Z227" s="33" t="n">
        <v>2398486145100</v>
      </c>
      <c r="AA227" s="33" t="n">
        <v>46649720100</v>
      </c>
      <c r="AB227" s="33" t="n">
        <v>44969264172.5</v>
      </c>
      <c r="AC227" s="38" t="n">
        <v>0.01944965168771281</v>
      </c>
      <c r="AD227" s="27" t="inlineStr">
        <is>
          <t>yfinance_download</t>
        </is>
      </c>
      <c r="AE227" s="27" t="inlineStr">
        <is>
          <t>005290.KQ</t>
        </is>
      </c>
    </row>
    <row r="228" ht="24" customHeight="1">
      <c r="A228" s="32" t="inlineStr">
        <is>
          <t>2024-05-13</t>
        </is>
      </c>
      <c r="B228" s="34" t="n">
        <v>46750</v>
      </c>
      <c r="C228" s="34" t="n">
        <v>46850</v>
      </c>
      <c r="D228" s="34" t="n">
        <v>44200</v>
      </c>
      <c r="E228" s="34" t="n">
        <v>44550</v>
      </c>
      <c r="F228" s="34" t="n">
        <v>43849.34375</v>
      </c>
      <c r="G228" s="34" t="n">
        <v>1086657</v>
      </c>
      <c r="H228" s="39" t="n">
        <v>-0.045016077170418</v>
      </c>
      <c r="I228" s="39" t="n">
        <v>-0.1264705882352941</v>
      </c>
      <c r="J228" s="34" t="n">
        <v>45247.5</v>
      </c>
      <c r="K228" s="34" t="n">
        <v>42966.66666666666</v>
      </c>
      <c r="L228" s="34" t="n">
        <v>41087.91666666666</v>
      </c>
      <c r="M228" s="39" t="n">
        <v>0.3949034198639274</v>
      </c>
      <c r="N228" s="39" t="n">
        <v>0.5652930623662861</v>
      </c>
      <c r="O228" s="39" t="n">
        <v>-0.07090719499478626</v>
      </c>
      <c r="P228" s="39" t="n">
        <v>0.11375</v>
      </c>
      <c r="Q228" s="39" t="n">
        <v>0.208955223880597</v>
      </c>
      <c r="R228" s="39" t="n">
        <v>-0.01541521631029341</v>
      </c>
      <c r="S228" s="39" t="n">
        <v>0.03685027152831655</v>
      </c>
      <c r="T228" s="39" t="n">
        <v>0.08426037663141028</v>
      </c>
      <c r="U228" s="34" t="n">
        <v>50100</v>
      </c>
      <c r="V228" s="34" t="n">
        <v>29400</v>
      </c>
      <c r="W228" s="39" t="n">
        <v>-0.1107784431137725</v>
      </c>
      <c r="X228" s="39" t="n">
        <v>0.5153061224489797</v>
      </c>
      <c r="Y228" s="34" t="n">
        <v>51414494</v>
      </c>
      <c r="Z228" s="34" t="n">
        <v>2290515707700</v>
      </c>
      <c r="AA228" s="34" t="n">
        <v>48410569350</v>
      </c>
      <c r="AB228" s="34" t="n">
        <v>44274114322.5</v>
      </c>
      <c r="AC228" s="39" t="n">
        <v>0.02113522696537673</v>
      </c>
      <c r="AD228" s="32" t="inlineStr">
        <is>
          <t>yfinance_download</t>
        </is>
      </c>
      <c r="AE228" s="32" t="inlineStr">
        <is>
          <t>005290.KQ</t>
        </is>
      </c>
    </row>
    <row r="229" ht="24" customHeight="1">
      <c r="A229" s="27" t="inlineStr">
        <is>
          <t>2024-05-14</t>
        </is>
      </c>
      <c r="B229" s="33" t="n">
        <v>44900</v>
      </c>
      <c r="C229" s="33" t="n">
        <v>45050</v>
      </c>
      <c r="D229" s="33" t="n">
        <v>44100</v>
      </c>
      <c r="E229" s="33" t="n">
        <v>44300</v>
      </c>
      <c r="F229" s="33" t="n">
        <v>43603.27734375</v>
      </c>
      <c r="G229" s="33" t="n">
        <v>452499</v>
      </c>
      <c r="H229" s="38" t="n">
        <v>-0.005611672278338919</v>
      </c>
      <c r="I229" s="38" t="n">
        <v>-0.1313725490196078</v>
      </c>
      <c r="J229" s="33" t="n">
        <v>45115</v>
      </c>
      <c r="K229" s="33" t="n">
        <v>43033.33333333334</v>
      </c>
      <c r="L229" s="33" t="n">
        <v>41152.08333333334</v>
      </c>
      <c r="M229" s="38" t="n">
        <v>0.3896252685223894</v>
      </c>
      <c r="N229" s="38" t="n">
        <v>0.5654261970542349</v>
      </c>
      <c r="O229" s="38" t="n">
        <v>-0.05644302449414274</v>
      </c>
      <c r="P229" s="38" t="n">
        <v>0.09925558312655092</v>
      </c>
      <c r="Q229" s="38" t="n">
        <v>0.2103825136612021</v>
      </c>
      <c r="R229" s="38" t="n">
        <v>-0.0180649451401973</v>
      </c>
      <c r="S229" s="38" t="n">
        <v>0.02943454686289693</v>
      </c>
      <c r="T229" s="38" t="n">
        <v>0.07649470966435468</v>
      </c>
      <c r="U229" s="33" t="n">
        <v>50100</v>
      </c>
      <c r="V229" s="33" t="n">
        <v>29400</v>
      </c>
      <c r="W229" s="38" t="n">
        <v>-0.1157684630738522</v>
      </c>
      <c r="X229" s="38" t="n">
        <v>0.5068027210884354</v>
      </c>
      <c r="Y229" s="33" t="n">
        <v>51414494</v>
      </c>
      <c r="Z229" s="33" t="n">
        <v>2277662084200</v>
      </c>
      <c r="AA229" s="33" t="n">
        <v>20045705700</v>
      </c>
      <c r="AB229" s="33" t="n">
        <v>42448023622.5</v>
      </c>
      <c r="AC229" s="38" t="n">
        <v>0.008801000745042828</v>
      </c>
      <c r="AD229" s="27" t="inlineStr">
        <is>
          <t>yfinance_download</t>
        </is>
      </c>
      <c r="AE229" s="27" t="inlineStr">
        <is>
          <t>005290.KQ</t>
        </is>
      </c>
    </row>
    <row r="230" ht="24" customHeight="1">
      <c r="A230" s="32" t="inlineStr">
        <is>
          <t>2024-05-16</t>
        </is>
      </c>
      <c r="B230" s="34" t="n">
        <v>45100</v>
      </c>
      <c r="C230" s="34" t="n">
        <v>45550</v>
      </c>
      <c r="D230" s="34" t="n">
        <v>44100</v>
      </c>
      <c r="E230" s="34" t="n">
        <v>44350</v>
      </c>
      <c r="F230" s="34" t="n">
        <v>43652.48828125</v>
      </c>
      <c r="G230" s="34" t="n">
        <v>681165</v>
      </c>
      <c r="H230" s="39" t="n">
        <v>0.001128668171557656</v>
      </c>
      <c r="I230" s="39" t="n">
        <v>-0.1303921568627451</v>
      </c>
      <c r="J230" s="34" t="n">
        <v>44930</v>
      </c>
      <c r="K230" s="34" t="n">
        <v>43107.5</v>
      </c>
      <c r="L230" s="34" t="n">
        <v>41213.33333333334</v>
      </c>
      <c r="M230" s="39" t="n">
        <v>0.3777163037678689</v>
      </c>
      <c r="N230" s="39" t="n">
        <v>0.5648690011103208</v>
      </c>
      <c r="O230" s="39" t="n">
        <v>-0.07700312174817903</v>
      </c>
      <c r="P230" s="39" t="n">
        <v>0.1115288220551378</v>
      </c>
      <c r="Q230" s="39" t="n">
        <v>0.1986486486486487</v>
      </c>
      <c r="R230" s="39" t="n">
        <v>-0.0129089695081237</v>
      </c>
      <c r="S230" s="39" t="n">
        <v>0.02882329061068267</v>
      </c>
      <c r="T230" s="39" t="n">
        <v>0.07610805564542211</v>
      </c>
      <c r="U230" s="34" t="n">
        <v>50100</v>
      </c>
      <c r="V230" s="34" t="n">
        <v>29400</v>
      </c>
      <c r="W230" s="39" t="n">
        <v>-0.1147704590818364</v>
      </c>
      <c r="X230" s="39" t="n">
        <v>0.5085034013605443</v>
      </c>
      <c r="Y230" s="34" t="n">
        <v>51414494</v>
      </c>
      <c r="Z230" s="34" t="n">
        <v>2280232808900</v>
      </c>
      <c r="AA230" s="34" t="n">
        <v>30209667750</v>
      </c>
      <c r="AB230" s="34" t="n">
        <v>41432475265</v>
      </c>
      <c r="AC230" s="39" t="n">
        <v>0.01324850148286979</v>
      </c>
      <c r="AD230" s="32" t="inlineStr">
        <is>
          <t>yfinance_download</t>
        </is>
      </c>
      <c r="AE230" s="32" t="inlineStr">
        <is>
          <t>005290.KQ</t>
        </is>
      </c>
    </row>
    <row r="231" ht="24" customHeight="1">
      <c r="A231" s="27" t="inlineStr">
        <is>
          <t>2024-05-17</t>
        </is>
      </c>
      <c r="B231" s="33" t="n">
        <v>44500</v>
      </c>
      <c r="C231" s="33" t="n">
        <v>44750</v>
      </c>
      <c r="D231" s="33" t="n">
        <v>43350</v>
      </c>
      <c r="E231" s="33" t="n">
        <v>43450</v>
      </c>
      <c r="F231" s="33" t="n">
        <v>42766.64453125</v>
      </c>
      <c r="G231" s="33" t="n">
        <v>541199</v>
      </c>
      <c r="H231" s="38" t="n">
        <v>-0.02029312288613305</v>
      </c>
      <c r="I231" s="38" t="n">
        <v>-0.1480392156862745</v>
      </c>
      <c r="J231" s="33" t="n">
        <v>44797.5</v>
      </c>
      <c r="K231" s="33" t="n">
        <v>43185.83333333334</v>
      </c>
      <c r="L231" s="33" t="n">
        <v>41270.41666666666</v>
      </c>
      <c r="M231" s="38" t="n">
        <v>0.3577992655990724</v>
      </c>
      <c r="N231" s="38" t="n">
        <v>0.5631255951354964</v>
      </c>
      <c r="O231" s="38" t="n">
        <v>-0.05748373101952275</v>
      </c>
      <c r="P231" s="38" t="n">
        <v>0.1212903225806452</v>
      </c>
      <c r="Q231" s="38" t="n">
        <v>0.1871584699453552</v>
      </c>
      <c r="R231" s="38" t="n">
        <v>-0.03007980356046658</v>
      </c>
      <c r="S231" s="38" t="n">
        <v>0.00611697508828124</v>
      </c>
      <c r="T231" s="38" t="n">
        <v>0.05281224444466881</v>
      </c>
      <c r="U231" s="33" t="n">
        <v>50100</v>
      </c>
      <c r="V231" s="33" t="n">
        <v>29400</v>
      </c>
      <c r="W231" s="38" t="n">
        <v>-0.1327345309381237</v>
      </c>
      <c r="X231" s="38" t="n">
        <v>0.477891156462585</v>
      </c>
      <c r="Y231" s="33" t="n">
        <v>51414494</v>
      </c>
      <c r="Z231" s="33" t="n">
        <v>2233959764300</v>
      </c>
      <c r="AA231" s="33" t="n">
        <v>23515096550</v>
      </c>
      <c r="AB231" s="33" t="n">
        <v>39917944732.5</v>
      </c>
      <c r="AC231" s="38" t="n">
        <v>0.01052619520090969</v>
      </c>
      <c r="AD231" s="27" t="inlineStr">
        <is>
          <t>yfinance_download</t>
        </is>
      </c>
      <c r="AE231" s="27" t="inlineStr">
        <is>
          <t>005290.KQ</t>
        </is>
      </c>
    </row>
    <row r="232" ht="24" customHeight="1">
      <c r="A232" s="32" t="inlineStr">
        <is>
          <t>2024-05-20</t>
        </is>
      </c>
      <c r="B232" s="34" t="n">
        <v>43500</v>
      </c>
      <c r="C232" s="34" t="n">
        <v>43700</v>
      </c>
      <c r="D232" s="34" t="n">
        <v>42500</v>
      </c>
      <c r="E232" s="34" t="n">
        <v>43200</v>
      </c>
      <c r="F232" s="34" t="n">
        <v>42520.578125</v>
      </c>
      <c r="G232" s="34" t="n">
        <v>595948</v>
      </c>
      <c r="H232" s="39" t="n">
        <v>-0.005753739930955071</v>
      </c>
      <c r="I232" s="39" t="n">
        <v>-0.1529411764705882</v>
      </c>
      <c r="J232" s="34" t="n">
        <v>44650</v>
      </c>
      <c r="K232" s="34" t="n">
        <v>43262.5</v>
      </c>
      <c r="L232" s="34" t="n">
        <v>41322.91666666666</v>
      </c>
      <c r="M232" s="39" t="n">
        <v>0.3576602127256743</v>
      </c>
      <c r="N232" s="39" t="n">
        <v>0.5632298608565459</v>
      </c>
      <c r="O232" s="39" t="n">
        <v>-0.06392199349945826</v>
      </c>
      <c r="P232" s="39" t="n">
        <v>0.1191709844559585</v>
      </c>
      <c r="Q232" s="39" t="n">
        <v>0.1707317073170731</v>
      </c>
      <c r="R232" s="39" t="n">
        <v>-0.03247480403135494</v>
      </c>
      <c r="S232" s="39" t="n">
        <v>-0.001444669170759916</v>
      </c>
      <c r="T232" s="39" t="n">
        <v>0.04542475422233427</v>
      </c>
      <c r="U232" s="34" t="n">
        <v>50100</v>
      </c>
      <c r="V232" s="34" t="n">
        <v>29950</v>
      </c>
      <c r="W232" s="39" t="n">
        <v>-0.1377245508982036</v>
      </c>
      <c r="X232" s="39" t="n">
        <v>0.4424040066777963</v>
      </c>
      <c r="Y232" s="34" t="n">
        <v>51414494</v>
      </c>
      <c r="Z232" s="34" t="n">
        <v>2221106140800</v>
      </c>
      <c r="AA232" s="34" t="n">
        <v>25744953600</v>
      </c>
      <c r="AB232" s="34" t="n">
        <v>39019131522.5</v>
      </c>
      <c r="AC232" s="39" t="n">
        <v>0.01159105057029249</v>
      </c>
      <c r="AD232" s="32" t="inlineStr">
        <is>
          <t>yfinance_download</t>
        </is>
      </c>
      <c r="AE232" s="32" t="inlineStr">
        <is>
          <t>005290.KQ</t>
        </is>
      </c>
    </row>
    <row r="233" ht="24" customHeight="1">
      <c r="A233" s="27" t="inlineStr">
        <is>
          <t>2024-05-21</t>
        </is>
      </c>
      <c r="B233" s="33" t="n">
        <v>43800</v>
      </c>
      <c r="C233" s="33" t="n">
        <v>44850</v>
      </c>
      <c r="D233" s="33" t="n">
        <v>43400</v>
      </c>
      <c r="E233" s="33" t="n">
        <v>44150</v>
      </c>
      <c r="F233" s="33" t="n">
        <v>43455.63671875</v>
      </c>
      <c r="G233" s="33" t="n">
        <v>593861</v>
      </c>
      <c r="H233" s="38" t="n">
        <v>0.0219907407407407</v>
      </c>
      <c r="I233" s="38" t="n">
        <v>-0.134313725490196</v>
      </c>
      <c r="J233" s="33" t="n">
        <v>44530</v>
      </c>
      <c r="K233" s="33" t="n">
        <v>43359.16666666666</v>
      </c>
      <c r="L233" s="33" t="n">
        <v>41378.33333333334</v>
      </c>
      <c r="M233" s="38" t="n">
        <v>0.3664696913887822</v>
      </c>
      <c r="N233" s="38" t="n">
        <v>0.5643181068037746</v>
      </c>
      <c r="O233" s="38" t="n">
        <v>-0.05155746509129966</v>
      </c>
      <c r="P233" s="38" t="n">
        <v>0.151238591916558</v>
      </c>
      <c r="Q233" s="38" t="n">
        <v>0.1773333333333333</v>
      </c>
      <c r="R233" s="38" t="n">
        <v>-0.008533572872221007</v>
      </c>
      <c r="S233" s="38" t="n">
        <v>0.01823912667448258</v>
      </c>
      <c r="T233" s="38" t="n">
        <v>0.06698352599991941</v>
      </c>
      <c r="U233" s="33" t="n">
        <v>50100</v>
      </c>
      <c r="V233" s="33" t="n">
        <v>29950</v>
      </c>
      <c r="W233" s="38" t="n">
        <v>-0.1187624750499002</v>
      </c>
      <c r="X233" s="38" t="n">
        <v>0.4741235392320535</v>
      </c>
      <c r="Y233" s="33" t="n">
        <v>51414494</v>
      </c>
      <c r="Z233" s="33" t="n">
        <v>2269949910100</v>
      </c>
      <c r="AA233" s="33" t="n">
        <v>26218963150</v>
      </c>
      <c r="AB233" s="33" t="n">
        <v>38350848160</v>
      </c>
      <c r="AC233" s="38" t="n">
        <v>0.01155045890367024</v>
      </c>
      <c r="AD233" s="27" t="inlineStr">
        <is>
          <t>yfinance_download</t>
        </is>
      </c>
      <c r="AE233" s="27" t="inlineStr">
        <is>
          <t>005290.KQ</t>
        </is>
      </c>
    </row>
    <row r="234" ht="24" customHeight="1">
      <c r="A234" s="32" t="inlineStr">
        <is>
          <t>2024-05-22</t>
        </is>
      </c>
      <c r="B234" s="34" t="n">
        <v>44250</v>
      </c>
      <c r="C234" s="34" t="n">
        <v>45000</v>
      </c>
      <c r="D234" s="34" t="n">
        <v>43450</v>
      </c>
      <c r="E234" s="34" t="n">
        <v>44550</v>
      </c>
      <c r="F234" s="34" t="n">
        <v>43849.34375</v>
      </c>
      <c r="G234" s="34" t="n">
        <v>432650</v>
      </c>
      <c r="H234" s="39" t="n">
        <v>0.009060022650056565</v>
      </c>
      <c r="I234" s="39" t="n">
        <v>-0.1264705882352941</v>
      </c>
      <c r="J234" s="34" t="n">
        <v>44540</v>
      </c>
      <c r="K234" s="34" t="n">
        <v>43465</v>
      </c>
      <c r="L234" s="34" t="n">
        <v>41435.83333333334</v>
      </c>
      <c r="M234" s="39" t="n">
        <v>0.3274566971346705</v>
      </c>
      <c r="N234" s="39" t="n">
        <v>0.5642707687596793</v>
      </c>
      <c r="O234" s="39" t="n">
        <v>0.004509582863585049</v>
      </c>
      <c r="P234" s="39" t="n">
        <v>0.1662303664921465</v>
      </c>
      <c r="Q234" s="39" t="n">
        <v>0.1832669322709164</v>
      </c>
      <c r="R234" s="39" t="n">
        <v>0.0002245172878312385</v>
      </c>
      <c r="S234" s="39" t="n">
        <v>0.02496261359714702</v>
      </c>
      <c r="T234" s="39" t="n">
        <v>0.07515636626913103</v>
      </c>
      <c r="U234" s="34" t="n">
        <v>50100</v>
      </c>
      <c r="V234" s="34" t="n">
        <v>29950</v>
      </c>
      <c r="W234" s="39" t="n">
        <v>-0.1107784431137725</v>
      </c>
      <c r="X234" s="39" t="n">
        <v>0.4874791318864775</v>
      </c>
      <c r="Y234" s="34" t="n">
        <v>51414494</v>
      </c>
      <c r="Z234" s="34" t="n">
        <v>2290515707700</v>
      </c>
      <c r="AA234" s="34" t="n">
        <v>19274557500</v>
      </c>
      <c r="AB234" s="34" t="n">
        <v>34910986922.5</v>
      </c>
      <c r="AC234" s="39" t="n">
        <v>0.0084149422923427</v>
      </c>
      <c r="AD234" s="32" t="inlineStr">
        <is>
          <t>yfinance_download</t>
        </is>
      </c>
      <c r="AE234" s="32" t="inlineStr">
        <is>
          <t>005290.KQ</t>
        </is>
      </c>
    </row>
    <row r="235" ht="24" customHeight="1">
      <c r="A235" s="27" t="inlineStr">
        <is>
          <t>2024-05-23</t>
        </is>
      </c>
      <c r="B235" s="33" t="n">
        <v>45000</v>
      </c>
      <c r="C235" s="33" t="n">
        <v>45050</v>
      </c>
      <c r="D235" s="33" t="n">
        <v>43300</v>
      </c>
      <c r="E235" s="33" t="n">
        <v>43650</v>
      </c>
      <c r="F235" s="33" t="n">
        <v>42963.5</v>
      </c>
      <c r="G235" s="33" t="n">
        <v>556586</v>
      </c>
      <c r="H235" s="38" t="n">
        <v>-0.02020202020202022</v>
      </c>
      <c r="I235" s="38" t="n">
        <v>-0.1441176470588236</v>
      </c>
      <c r="J235" s="33" t="n">
        <v>44555</v>
      </c>
      <c r="K235" s="33" t="n">
        <v>43555.83333333334</v>
      </c>
      <c r="L235" s="33" t="n">
        <v>41492.5</v>
      </c>
      <c r="M235" s="38" t="n">
        <v>0.3253728178672424</v>
      </c>
      <c r="N235" s="38" t="n">
        <v>0.5662700183453421</v>
      </c>
      <c r="O235" s="38" t="n">
        <v>0.006920415224913601</v>
      </c>
      <c r="P235" s="38" t="n">
        <v>0.1426701570680629</v>
      </c>
      <c r="Q235" s="38" t="n">
        <v>0.1845318860244234</v>
      </c>
      <c r="R235" s="38" t="n">
        <v>-0.0203119739647627</v>
      </c>
      <c r="S235" s="38" t="n">
        <v>0.002161976007805988</v>
      </c>
      <c r="T235" s="38" t="n">
        <v>0.05199734891847929</v>
      </c>
      <c r="U235" s="33" t="n">
        <v>50100</v>
      </c>
      <c r="V235" s="33" t="n">
        <v>29950</v>
      </c>
      <c r="W235" s="38" t="n">
        <v>-0.1287425149700598</v>
      </c>
      <c r="X235" s="38" t="n">
        <v>0.4574290484140233</v>
      </c>
      <c r="Y235" s="33" t="n">
        <v>51414494</v>
      </c>
      <c r="Z235" s="33" t="n">
        <v>2244242663100</v>
      </c>
      <c r="AA235" s="33" t="n">
        <v>24294978900</v>
      </c>
      <c r="AB235" s="33" t="n">
        <v>34079002465</v>
      </c>
      <c r="AC235" s="38" t="n">
        <v>0.01082546878707004</v>
      </c>
      <c r="AD235" s="27" t="inlineStr">
        <is>
          <t>yfinance_download</t>
        </is>
      </c>
      <c r="AE235" s="27" t="inlineStr">
        <is>
          <t>005290.KQ</t>
        </is>
      </c>
    </row>
    <row r="236" ht="24" customHeight="1">
      <c r="A236" s="32" t="inlineStr">
        <is>
          <t>2024-05-24</t>
        </is>
      </c>
      <c r="B236" s="34" t="n">
        <v>43000</v>
      </c>
      <c r="C236" s="34" t="n">
        <v>43250</v>
      </c>
      <c r="D236" s="34" t="n">
        <v>41650</v>
      </c>
      <c r="E236" s="34" t="n">
        <v>41800</v>
      </c>
      <c r="F236" s="34" t="n">
        <v>41142.59375</v>
      </c>
      <c r="G236" s="34" t="n">
        <v>822784</v>
      </c>
      <c r="H236" s="39" t="n">
        <v>-0.04238258877434131</v>
      </c>
      <c r="I236" s="39" t="n">
        <v>-0.1803921568627451</v>
      </c>
      <c r="J236" s="34" t="n">
        <v>44495</v>
      </c>
      <c r="K236" s="34" t="n">
        <v>43640</v>
      </c>
      <c r="L236" s="34" t="n">
        <v>41532.08333333334</v>
      </c>
      <c r="M236" s="39" t="n">
        <v>0.3585291793331644</v>
      </c>
      <c r="N236" s="39" t="n">
        <v>0.5677019289169269</v>
      </c>
      <c r="O236" s="39" t="n">
        <v>-0.02790697674418607</v>
      </c>
      <c r="P236" s="39" t="n">
        <v>0.1374149659863946</v>
      </c>
      <c r="Q236" s="39" t="n">
        <v>0.1282051282051282</v>
      </c>
      <c r="R236" s="39" t="n">
        <v>-0.06056860321384427</v>
      </c>
      <c r="S236" s="39" t="n">
        <v>-0.0421631530705775</v>
      </c>
      <c r="T236" s="39" t="n">
        <v>0.006450836200929011</v>
      </c>
      <c r="U236" s="34" t="n">
        <v>50100</v>
      </c>
      <c r="V236" s="34" t="n">
        <v>29950</v>
      </c>
      <c r="W236" s="39" t="n">
        <v>-0.1656686626746507</v>
      </c>
      <c r="X236" s="39" t="n">
        <v>0.3956594323873122</v>
      </c>
      <c r="Y236" s="34" t="n">
        <v>51414494</v>
      </c>
      <c r="Z236" s="34" t="n">
        <v>2149125849200</v>
      </c>
      <c r="AA236" s="34" t="n">
        <v>34392371200</v>
      </c>
      <c r="AB236" s="34" t="n">
        <v>34772163725</v>
      </c>
      <c r="AC236" s="39" t="n">
        <v>0.01600295823197249</v>
      </c>
      <c r="AD236" s="32" t="inlineStr">
        <is>
          <t>yfinance_download</t>
        </is>
      </c>
      <c r="AE236" s="32" t="inlineStr">
        <is>
          <t>005290.KQ</t>
        </is>
      </c>
    </row>
    <row r="237" ht="24" customHeight="1">
      <c r="A237" s="27" t="inlineStr">
        <is>
          <t>2024-05-27</t>
        </is>
      </c>
      <c r="B237" s="33" t="n">
        <v>41750</v>
      </c>
      <c r="C237" s="33" t="n">
        <v>42700</v>
      </c>
      <c r="D237" s="33" t="n">
        <v>41500</v>
      </c>
      <c r="E237" s="33" t="n">
        <v>42700</v>
      </c>
      <c r="F237" s="33" t="n">
        <v>42028.44140625</v>
      </c>
      <c r="G237" s="33" t="n">
        <v>469451</v>
      </c>
      <c r="H237" s="38" t="n">
        <v>0.02153110047846885</v>
      </c>
      <c r="I237" s="38" t="n">
        <v>-0.1627450980392157</v>
      </c>
      <c r="J237" s="33" t="n">
        <v>44442.5</v>
      </c>
      <c r="K237" s="33" t="n">
        <v>43749.16666666666</v>
      </c>
      <c r="L237" s="33" t="n">
        <v>41579.58333333334</v>
      </c>
      <c r="M237" s="38" t="n">
        <v>0.3616251267507747</v>
      </c>
      <c r="N237" s="38" t="n">
        <v>0.5675688026931817</v>
      </c>
      <c r="O237" s="38" t="n">
        <v>-0.02400000000000002</v>
      </c>
      <c r="P237" s="38" t="n">
        <v>0.1811894882434302</v>
      </c>
      <c r="Q237" s="38" t="n">
        <v>0.154054054054054</v>
      </c>
      <c r="R237" s="38" t="n">
        <v>-0.03920796534848403</v>
      </c>
      <c r="S237" s="38" t="n">
        <v>-0.02398140916969838</v>
      </c>
      <c r="T237" s="38" t="n">
        <v>0.02694631780421064</v>
      </c>
      <c r="U237" s="33" t="n">
        <v>50100</v>
      </c>
      <c r="V237" s="33" t="n">
        <v>29950</v>
      </c>
      <c r="W237" s="38" t="n">
        <v>-0.1477045908183633</v>
      </c>
      <c r="X237" s="38" t="n">
        <v>0.4257095158597664</v>
      </c>
      <c r="Y237" s="33" t="n">
        <v>51414494</v>
      </c>
      <c r="Z237" s="33" t="n">
        <v>2195398893800</v>
      </c>
      <c r="AA237" s="33" t="n">
        <v>20045557700</v>
      </c>
      <c r="AB237" s="33" t="n">
        <v>33998734110</v>
      </c>
      <c r="AC237" s="38" t="n">
        <v>0.009130713218727778</v>
      </c>
      <c r="AD237" s="27" t="inlineStr">
        <is>
          <t>yfinance_download</t>
        </is>
      </c>
      <c r="AE237" s="27" t="inlineStr">
        <is>
          <t>005290.KQ</t>
        </is>
      </c>
    </row>
    <row r="238" ht="24" customHeight="1">
      <c r="A238" s="32" t="inlineStr">
        <is>
          <t>2024-05-28</t>
        </is>
      </c>
      <c r="B238" s="34" t="n">
        <v>42900</v>
      </c>
      <c r="C238" s="34" t="n">
        <v>45200</v>
      </c>
      <c r="D238" s="34" t="n">
        <v>42500</v>
      </c>
      <c r="E238" s="34" t="n">
        <v>44350</v>
      </c>
      <c r="F238" s="34" t="n">
        <v>43652.48828125</v>
      </c>
      <c r="G238" s="34" t="n">
        <v>1183829</v>
      </c>
      <c r="H238" s="39" t="n">
        <v>0.03864168618266972</v>
      </c>
      <c r="I238" s="39" t="n">
        <v>-0.1303921568627451</v>
      </c>
      <c r="J238" s="34" t="n">
        <v>44517.5</v>
      </c>
      <c r="K238" s="34" t="n">
        <v>43901.66666666666</v>
      </c>
      <c r="L238" s="34" t="n">
        <v>41636.25</v>
      </c>
      <c r="M238" s="39" t="n">
        <v>0.3796781894531848</v>
      </c>
      <c r="N238" s="39" t="n">
        <v>0.5686694499751764</v>
      </c>
      <c r="O238" s="39" t="n">
        <v>0.03500583430571758</v>
      </c>
      <c r="P238" s="39" t="n">
        <v>0.2599431818181819</v>
      </c>
      <c r="Q238" s="39" t="n">
        <v>0.181091877496671</v>
      </c>
      <c r="R238" s="39" t="n">
        <v>-0.003762565283315533</v>
      </c>
      <c r="S238" s="39" t="n">
        <v>0.01021221669640493</v>
      </c>
      <c r="T238" s="39" t="n">
        <v>0.0651775796331322</v>
      </c>
      <c r="U238" s="34" t="n">
        <v>50100</v>
      </c>
      <c r="V238" s="34" t="n">
        <v>29950</v>
      </c>
      <c r="W238" s="39" t="n">
        <v>-0.1147704590818364</v>
      </c>
      <c r="X238" s="39" t="n">
        <v>0.4808013355592655</v>
      </c>
      <c r="Y238" s="34" t="n">
        <v>51414494</v>
      </c>
      <c r="Z238" s="34" t="n">
        <v>2280232808900</v>
      </c>
      <c r="AA238" s="34" t="n">
        <v>52502816150</v>
      </c>
      <c r="AB238" s="34" t="n">
        <v>35206452622.5</v>
      </c>
      <c r="AC238" s="39" t="n">
        <v>0.02302519985901252</v>
      </c>
      <c r="AD238" s="32" t="inlineStr">
        <is>
          <t>yfinance_download</t>
        </is>
      </c>
      <c r="AE238" s="32" t="inlineStr">
        <is>
          <t>005290.KQ</t>
        </is>
      </c>
    </row>
    <row r="239" ht="24" customHeight="1">
      <c r="A239" s="27" t="inlineStr">
        <is>
          <t>2024-05-29</t>
        </is>
      </c>
      <c r="B239" s="33" t="n">
        <v>44600</v>
      </c>
      <c r="C239" s="33" t="n">
        <v>44700</v>
      </c>
      <c r="D239" s="33" t="n">
        <v>43000</v>
      </c>
      <c r="E239" s="33" t="n">
        <v>43000</v>
      </c>
      <c r="F239" s="33" t="n">
        <v>42323.72265625</v>
      </c>
      <c r="G239" s="33" t="n">
        <v>499909</v>
      </c>
      <c r="H239" s="38" t="n">
        <v>-0.03043968432919952</v>
      </c>
      <c r="I239" s="38" t="n">
        <v>-0.1568627450980392</v>
      </c>
      <c r="J239" s="33" t="n">
        <v>44465</v>
      </c>
      <c r="K239" s="33" t="n">
        <v>44005</v>
      </c>
      <c r="L239" s="33" t="n">
        <v>41683.33333333334</v>
      </c>
      <c r="M239" s="38" t="n">
        <v>0.3832376243545314</v>
      </c>
      <c r="N239" s="38" t="n">
        <v>0.5665719993318704</v>
      </c>
      <c r="O239" s="38" t="n">
        <v>-0.02383654937570945</v>
      </c>
      <c r="P239" s="38" t="n">
        <v>0.1684782608695652</v>
      </c>
      <c r="Q239" s="38" t="n">
        <v>0.1512717536813923</v>
      </c>
      <c r="R239" s="38" t="n">
        <v>-0.0329472618913752</v>
      </c>
      <c r="S239" s="38" t="n">
        <v>-0.02283831382797408</v>
      </c>
      <c r="T239" s="38" t="n">
        <v>0.03158736505397841</v>
      </c>
      <c r="U239" s="33" t="n">
        <v>50100</v>
      </c>
      <c r="V239" s="33" t="n">
        <v>29950</v>
      </c>
      <c r="W239" s="38" t="n">
        <v>-0.1417165668662674</v>
      </c>
      <c r="X239" s="38" t="n">
        <v>0.4357262103505843</v>
      </c>
      <c r="Y239" s="33" t="n">
        <v>51414494</v>
      </c>
      <c r="Z239" s="33" t="n">
        <v>2210823242000</v>
      </c>
      <c r="AA239" s="33" t="n">
        <v>21496087000</v>
      </c>
      <c r="AB239" s="33" t="n">
        <v>34492036275</v>
      </c>
      <c r="AC239" s="38" t="n">
        <v>0.009723114264238407</v>
      </c>
      <c r="AD239" s="27" t="inlineStr">
        <is>
          <t>yfinance_download</t>
        </is>
      </c>
      <c r="AE239" s="27" t="inlineStr">
        <is>
          <t>005290.KQ</t>
        </is>
      </c>
    </row>
    <row r="240" ht="24" customHeight="1">
      <c r="A240" s="32" t="inlineStr">
        <is>
          <t>2024-05-30</t>
        </is>
      </c>
      <c r="B240" s="34" t="n">
        <v>42700</v>
      </c>
      <c r="C240" s="34" t="n">
        <v>43000</v>
      </c>
      <c r="D240" s="34" t="n">
        <v>42000</v>
      </c>
      <c r="E240" s="34" t="n">
        <v>42550</v>
      </c>
      <c r="F240" s="34" t="n">
        <v>41880.80078125</v>
      </c>
      <c r="G240" s="34" t="n">
        <v>428035</v>
      </c>
      <c r="H240" s="39" t="n">
        <v>-0.01046511627906976</v>
      </c>
      <c r="I240" s="39" t="n">
        <v>-0.1656862745098039</v>
      </c>
      <c r="J240" s="34" t="n">
        <v>44382.5</v>
      </c>
      <c r="K240" s="34" t="n">
        <v>44094.16666666666</v>
      </c>
      <c r="L240" s="34" t="n">
        <v>41717.5</v>
      </c>
      <c r="M240" s="39" t="n">
        <v>0.3843191284345088</v>
      </c>
      <c r="N240" s="39" t="n">
        <v>0.5670257257860823</v>
      </c>
      <c r="O240" s="39" t="n">
        <v>-0.03733031674208143</v>
      </c>
      <c r="P240" s="39" t="n">
        <v>0.1438172043010753</v>
      </c>
      <c r="Q240" s="39" t="n">
        <v>0.106631989596879</v>
      </c>
      <c r="R240" s="39" t="n">
        <v>-0.0412887962597871</v>
      </c>
      <c r="S240" s="39" t="n">
        <v>-0.03501974939995833</v>
      </c>
      <c r="T240" s="39" t="n">
        <v>0.01995565410199562</v>
      </c>
      <c r="U240" s="34" t="n">
        <v>50100</v>
      </c>
      <c r="V240" s="34" t="n">
        <v>29950</v>
      </c>
      <c r="W240" s="39" t="n">
        <v>-0.1506986027944112</v>
      </c>
      <c r="X240" s="39" t="n">
        <v>0.4207011686143574</v>
      </c>
      <c r="Y240" s="34" t="n">
        <v>51414494</v>
      </c>
      <c r="Z240" s="34" t="n">
        <v>2187686719700</v>
      </c>
      <c r="AA240" s="34" t="n">
        <v>18212889250</v>
      </c>
      <c r="AB240" s="34" t="n">
        <v>34042673257.5</v>
      </c>
      <c r="AC240" s="39" t="n">
        <v>0.008325181611239818</v>
      </c>
      <c r="AD240" s="32" t="inlineStr">
        <is>
          <t>yfinance_download</t>
        </is>
      </c>
      <c r="AE240" s="32" t="inlineStr">
        <is>
          <t>005290.KQ</t>
        </is>
      </c>
    </row>
    <row r="241" ht="24" customHeight="1">
      <c r="A241" s="27" t="inlineStr">
        <is>
          <t>2024-05-31</t>
        </is>
      </c>
      <c r="B241" s="33" t="n">
        <v>42550</v>
      </c>
      <c r="C241" s="33" t="n">
        <v>42700</v>
      </c>
      <c r="D241" s="33" t="n">
        <v>41550</v>
      </c>
      <c r="E241" s="33" t="n">
        <v>41950</v>
      </c>
      <c r="F241" s="33" t="n">
        <v>41290.234375</v>
      </c>
      <c r="G241" s="33" t="n">
        <v>566428</v>
      </c>
      <c r="H241" s="38" t="n">
        <v>-0.01410105757931845</v>
      </c>
      <c r="I241" s="38" t="n">
        <v>-0.1774509803921569</v>
      </c>
      <c r="J241" s="33" t="n">
        <v>44310</v>
      </c>
      <c r="K241" s="33" t="n">
        <v>44154.16666666666</v>
      </c>
      <c r="L241" s="33" t="n">
        <v>41742.91666666666</v>
      </c>
      <c r="M241" s="38" t="n">
        <v>0.3823019604217108</v>
      </c>
      <c r="N241" s="38" t="n">
        <v>0.5650097147303874</v>
      </c>
      <c r="O241" s="38" t="n">
        <v>-0.03341013824884798</v>
      </c>
      <c r="P241" s="38" t="n">
        <v>0.09387222946544971</v>
      </c>
      <c r="Q241" s="38" t="n">
        <v>0.07840616966580982</v>
      </c>
      <c r="R241" s="38" t="n">
        <v>-0.0532611148724893</v>
      </c>
      <c r="S241" s="38" t="n">
        <v>-0.04991978861942059</v>
      </c>
      <c r="T241" s="38" t="n">
        <v>0.004960921513630145</v>
      </c>
      <c r="U241" s="33" t="n">
        <v>50100</v>
      </c>
      <c r="V241" s="33" t="n">
        <v>29950</v>
      </c>
      <c r="W241" s="38" t="n">
        <v>-0.1626746506986028</v>
      </c>
      <c r="X241" s="38" t="n">
        <v>0.4006677796327212</v>
      </c>
      <c r="Y241" s="33" t="n">
        <v>51414494</v>
      </c>
      <c r="Z241" s="33" t="n">
        <v>2156838023300</v>
      </c>
      <c r="AA241" s="33" t="n">
        <v>23761654600</v>
      </c>
      <c r="AB241" s="33" t="n">
        <v>34069617197.5</v>
      </c>
      <c r="AC241" s="38" t="n">
        <v>0.01101689340752823</v>
      </c>
      <c r="AD241" s="27" t="inlineStr">
        <is>
          <t>yfinance_download</t>
        </is>
      </c>
      <c r="AE241" s="27" t="inlineStr">
        <is>
          <t>005290.KQ</t>
        </is>
      </c>
    </row>
    <row r="242" ht="24" customHeight="1">
      <c r="A242" s="32" t="inlineStr">
        <is>
          <t>2024-06-03</t>
        </is>
      </c>
      <c r="B242" s="34" t="n">
        <v>42000</v>
      </c>
      <c r="C242" s="34" t="n">
        <v>43100</v>
      </c>
      <c r="D242" s="34" t="n">
        <v>41800</v>
      </c>
      <c r="E242" s="34" t="n">
        <v>42650</v>
      </c>
      <c r="F242" s="34" t="n">
        <v>41979.2265625</v>
      </c>
      <c r="G242" s="34" t="n">
        <v>413760</v>
      </c>
      <c r="H242" s="39" t="n">
        <v>0.01668653158522049</v>
      </c>
      <c r="I242" s="39" t="n">
        <v>-0.1637254901960784</v>
      </c>
      <c r="J242" s="34" t="n">
        <v>44220</v>
      </c>
      <c r="K242" s="34" t="n">
        <v>44232.5</v>
      </c>
      <c r="L242" s="34" t="n">
        <v>41780</v>
      </c>
      <c r="M242" s="39" t="n">
        <v>0.3765159112979204</v>
      </c>
      <c r="N242" s="39" t="n">
        <v>0.5651748667079637</v>
      </c>
      <c r="O242" s="39" t="n">
        <v>-0.04049493813273342</v>
      </c>
      <c r="P242" s="39" t="n">
        <v>0.1238471673254282</v>
      </c>
      <c r="Q242" s="39" t="n">
        <v>0.1164921465968587</v>
      </c>
      <c r="R242" s="39" t="n">
        <v>-0.03550429669832655</v>
      </c>
      <c r="S242" s="39" t="n">
        <v>-0.03577686090544285</v>
      </c>
      <c r="T242" s="39" t="n">
        <v>0.02082336045955002</v>
      </c>
      <c r="U242" s="34" t="n">
        <v>50100</v>
      </c>
      <c r="V242" s="34" t="n">
        <v>29950</v>
      </c>
      <c r="W242" s="39" t="n">
        <v>-0.1487025948103793</v>
      </c>
      <c r="X242" s="39" t="n">
        <v>0.4240400667779634</v>
      </c>
      <c r="Y242" s="34" t="n">
        <v>51414494</v>
      </c>
      <c r="Z242" s="34" t="n">
        <v>2192828169100</v>
      </c>
      <c r="AA242" s="34" t="n">
        <v>17646864000</v>
      </c>
      <c r="AB242" s="34" t="n">
        <v>33796075930</v>
      </c>
      <c r="AC242" s="39" t="n">
        <v>0.008047536167525056</v>
      </c>
      <c r="AD242" s="32" t="inlineStr">
        <is>
          <t>yfinance_download</t>
        </is>
      </c>
      <c r="AE242" s="32" t="inlineStr">
        <is>
          <t>005290.KQ</t>
        </is>
      </c>
    </row>
    <row r="243" ht="24" customHeight="1">
      <c r="A243" s="27" t="inlineStr">
        <is>
          <t>2024-06-04</t>
        </is>
      </c>
      <c r="B243" s="33" t="n">
        <v>42650</v>
      </c>
      <c r="C243" s="33" t="n">
        <v>42800</v>
      </c>
      <c r="D243" s="33" t="n">
        <v>41900</v>
      </c>
      <c r="E243" s="33" t="n">
        <v>42100</v>
      </c>
      <c r="F243" s="33" t="n">
        <v>41437.875</v>
      </c>
      <c r="G243" s="33" t="n">
        <v>347136</v>
      </c>
      <c r="H243" s="38" t="n">
        <v>-0.01289566236811257</v>
      </c>
      <c r="I243" s="38" t="n">
        <v>-0.1745098039215687</v>
      </c>
      <c r="J243" s="33" t="n">
        <v>44065</v>
      </c>
      <c r="K243" s="33" t="n">
        <v>44242.5</v>
      </c>
      <c r="L243" s="33" t="n">
        <v>41816.66666666666</v>
      </c>
      <c r="M243" s="38" t="n">
        <v>0.3717365784277331</v>
      </c>
      <c r="N243" s="38" t="n">
        <v>0.5331683104386062</v>
      </c>
      <c r="O243" s="38" t="n">
        <v>-0.06858407079646023</v>
      </c>
      <c r="P243" s="38" t="n">
        <v>0.01445783132530121</v>
      </c>
      <c r="Q243" s="38" t="n">
        <v>0.1167108753315649</v>
      </c>
      <c r="R243" s="38" t="n">
        <v>-0.04459321456938614</v>
      </c>
      <c r="S243" s="38" t="n">
        <v>-0.04842628694128948</v>
      </c>
      <c r="T243" s="38" t="n">
        <v>0.006775607811877249</v>
      </c>
      <c r="U243" s="33" t="n">
        <v>50100</v>
      </c>
      <c r="V243" s="33" t="n">
        <v>29950</v>
      </c>
      <c r="W243" s="38" t="n">
        <v>-0.1596806387225549</v>
      </c>
      <c r="X243" s="38" t="n">
        <v>0.4056761268781301</v>
      </c>
      <c r="Y243" s="33" t="n">
        <v>51414494</v>
      </c>
      <c r="Z243" s="33" t="n">
        <v>2164550197400</v>
      </c>
      <c r="AA243" s="33" t="n">
        <v>14614425600</v>
      </c>
      <c r="AB243" s="33" t="n">
        <v>32438003510</v>
      </c>
      <c r="AC243" s="38" t="n">
        <v>0.006751714798554664</v>
      </c>
      <c r="AD243" s="27" t="inlineStr">
        <is>
          <t>yfinance_download</t>
        </is>
      </c>
      <c r="AE243" s="27" t="inlineStr">
        <is>
          <t>005290.KQ</t>
        </is>
      </c>
    </row>
    <row r="244" ht="24" customHeight="1">
      <c r="A244" s="32" t="inlineStr">
        <is>
          <t>2024-06-05</t>
        </is>
      </c>
      <c r="B244" s="34" t="n">
        <v>43000</v>
      </c>
      <c r="C244" s="34" t="n">
        <v>43500</v>
      </c>
      <c r="D244" s="34" t="n">
        <v>42450</v>
      </c>
      <c r="E244" s="34" t="n">
        <v>42500</v>
      </c>
      <c r="F244" s="34" t="n">
        <v>41831.5859375</v>
      </c>
      <c r="G244" s="34" t="n">
        <v>397134</v>
      </c>
      <c r="H244" s="39" t="n">
        <v>0.009501187648456089</v>
      </c>
      <c r="I244" s="39" t="n">
        <v>-0.1666666666666666</v>
      </c>
      <c r="J244" s="34" t="n">
        <v>43872.5</v>
      </c>
      <c r="K244" s="34" t="n">
        <v>44280</v>
      </c>
      <c r="L244" s="34" t="n">
        <v>41847.08333333334</v>
      </c>
      <c r="M244" s="39" t="n">
        <v>0.3595031462059791</v>
      </c>
      <c r="N244" s="39" t="n">
        <v>0.5295329767803916</v>
      </c>
      <c r="O244" s="39" t="n">
        <v>-0.08306364617044226</v>
      </c>
      <c r="P244" s="39" t="n">
        <v>0.05590062111801242</v>
      </c>
      <c r="Q244" s="39" t="n">
        <v>0.09395109395109391</v>
      </c>
      <c r="R244" s="39" t="n">
        <v>-0.03128383383668587</v>
      </c>
      <c r="S244" s="39" t="n">
        <v>-0.04019873532068652</v>
      </c>
      <c r="T244" s="39" t="n">
        <v>0.015602441428614</v>
      </c>
      <c r="U244" s="34" t="n">
        <v>50100</v>
      </c>
      <c r="V244" s="34" t="n">
        <v>29950</v>
      </c>
      <c r="W244" s="39" t="n">
        <v>-0.1516966067864272</v>
      </c>
      <c r="X244" s="39" t="n">
        <v>0.4190317195325544</v>
      </c>
      <c r="Y244" s="34" t="n">
        <v>51414494</v>
      </c>
      <c r="Z244" s="34" t="n">
        <v>2185115995000</v>
      </c>
      <c r="AA244" s="34" t="n">
        <v>16878195000</v>
      </c>
      <c r="AB244" s="34" t="n">
        <v>31572186905</v>
      </c>
      <c r="AC244" s="39" t="n">
        <v>0.007724164318334048</v>
      </c>
      <c r="AD244" s="32" t="inlineStr">
        <is>
          <t>yfinance_download</t>
        </is>
      </c>
      <c r="AE244" s="32" t="inlineStr">
        <is>
          <t>005290.KQ</t>
        </is>
      </c>
    </row>
    <row r="245" ht="24" customHeight="1">
      <c r="A245" s="27" t="inlineStr">
        <is>
          <t>2024-06-07</t>
        </is>
      </c>
      <c r="B245" s="33" t="n">
        <v>42950</v>
      </c>
      <c r="C245" s="33" t="n">
        <v>43950</v>
      </c>
      <c r="D245" s="33" t="n">
        <v>42650</v>
      </c>
      <c r="E245" s="33" t="n">
        <v>43500</v>
      </c>
      <c r="F245" s="33" t="n">
        <v>42815.859375</v>
      </c>
      <c r="G245" s="33" t="n">
        <v>514477</v>
      </c>
      <c r="H245" s="38" t="n">
        <v>0.0235294117647058</v>
      </c>
      <c r="I245" s="38" t="n">
        <v>-0.1470588235294118</v>
      </c>
      <c r="J245" s="33" t="n">
        <v>43687.5</v>
      </c>
      <c r="K245" s="33" t="n">
        <v>44335.83333333334</v>
      </c>
      <c r="L245" s="33" t="n">
        <v>41891.25</v>
      </c>
      <c r="M245" s="38" t="n">
        <v>0.3642375920773541</v>
      </c>
      <c r="N245" s="38" t="n">
        <v>0.5313910867408558</v>
      </c>
      <c r="O245" s="38" t="n">
        <v>-0.07838983050847459</v>
      </c>
      <c r="P245" s="38" t="n">
        <v>0.083437110834371</v>
      </c>
      <c r="Q245" s="38" t="n">
        <v>0.1387434554973821</v>
      </c>
      <c r="R245" s="38" t="n">
        <v>-0.004291845493562207</v>
      </c>
      <c r="S245" s="38" t="n">
        <v>-0.01885232035787465</v>
      </c>
      <c r="T245" s="38" t="n">
        <v>0.03840300778802264</v>
      </c>
      <c r="U245" s="33" t="n">
        <v>50100</v>
      </c>
      <c r="V245" s="33" t="n">
        <v>29950</v>
      </c>
      <c r="W245" s="38" t="n">
        <v>-0.1317365269461078</v>
      </c>
      <c r="X245" s="38" t="n">
        <v>0.4524207011686143</v>
      </c>
      <c r="Y245" s="33" t="n">
        <v>51414494</v>
      </c>
      <c r="Z245" s="33" t="n">
        <v>2236530489000</v>
      </c>
      <c r="AA245" s="33" t="n">
        <v>22379749500</v>
      </c>
      <c r="AB245" s="33" t="n">
        <v>30593273620</v>
      </c>
      <c r="AC245" s="38" t="n">
        <v>0.01000645849009036</v>
      </c>
      <c r="AD245" s="27" t="inlineStr">
        <is>
          <t>yfinance_download</t>
        </is>
      </c>
      <c r="AE245" s="27" t="inlineStr">
        <is>
          <t>005290.KQ</t>
        </is>
      </c>
    </row>
    <row r="246" ht="24" customHeight="1">
      <c r="A246" s="32" t="inlineStr">
        <is>
          <t>2024-06-10</t>
        </is>
      </c>
      <c r="B246" s="34" t="n">
        <v>43400</v>
      </c>
      <c r="C246" s="34" t="n">
        <v>43500</v>
      </c>
      <c r="D246" s="34" t="n">
        <v>42650</v>
      </c>
      <c r="E246" s="34" t="n">
        <v>43200</v>
      </c>
      <c r="F246" s="34" t="n">
        <v>42520.578125</v>
      </c>
      <c r="G246" s="34" t="n">
        <v>251848</v>
      </c>
      <c r="H246" s="39" t="n">
        <v>-0.006896551724137945</v>
      </c>
      <c r="I246" s="39" t="n">
        <v>-0.1529411764705882</v>
      </c>
      <c r="J246" s="34" t="n">
        <v>43457.5</v>
      </c>
      <c r="K246" s="34" t="n">
        <v>44387.5</v>
      </c>
      <c r="L246" s="34" t="n">
        <v>41924.16666666666</v>
      </c>
      <c r="M246" s="39" t="n">
        <v>0.3590455934898402</v>
      </c>
      <c r="N246" s="39" t="n">
        <v>0.5316586572518558</v>
      </c>
      <c r="O246" s="39" t="n">
        <v>-0.09623430962343094</v>
      </c>
      <c r="P246" s="39" t="n">
        <v>0.07730673316708225</v>
      </c>
      <c r="Q246" s="39" t="n">
        <v>0.1006369426751592</v>
      </c>
      <c r="R246" s="39" t="n">
        <v>-0.005925329344762087</v>
      </c>
      <c r="S246" s="39" t="n">
        <v>-0.02675302731624896</v>
      </c>
      <c r="T246" s="39" t="n">
        <v>0.03043193066846883</v>
      </c>
      <c r="U246" s="34" t="n">
        <v>50100</v>
      </c>
      <c r="V246" s="34" t="n">
        <v>29950</v>
      </c>
      <c r="W246" s="39" t="n">
        <v>-0.1377245508982036</v>
      </c>
      <c r="X246" s="39" t="n">
        <v>0.4424040066777963</v>
      </c>
      <c r="Y246" s="34" t="n">
        <v>51414494</v>
      </c>
      <c r="Z246" s="34" t="n">
        <v>2221106140800</v>
      </c>
      <c r="AA246" s="34" t="n">
        <v>10879833600</v>
      </c>
      <c r="AB246" s="34" t="n">
        <v>25858732810</v>
      </c>
      <c r="AC246" s="39" t="n">
        <v>0.004898385268558706</v>
      </c>
      <c r="AD246" s="32" t="inlineStr">
        <is>
          <t>yfinance_download</t>
        </is>
      </c>
      <c r="AE246" s="32" t="inlineStr">
        <is>
          <t>005290.KQ</t>
        </is>
      </c>
    </row>
    <row r="247" ht="24" customHeight="1">
      <c r="A247" s="27" t="inlineStr">
        <is>
          <t>2024-06-11</t>
        </is>
      </c>
      <c r="B247" s="33" t="n">
        <v>43200</v>
      </c>
      <c r="C247" s="33" t="n">
        <v>43450</v>
      </c>
      <c r="D247" s="33" t="n">
        <v>42300</v>
      </c>
      <c r="E247" s="33" t="n">
        <v>42300</v>
      </c>
      <c r="F247" s="33" t="n">
        <v>41634.73046875</v>
      </c>
      <c r="G247" s="33" t="n">
        <v>350895</v>
      </c>
      <c r="H247" s="38" t="n">
        <v>-0.02083333333333337</v>
      </c>
      <c r="I247" s="38" t="n">
        <v>-0.1705882352941176</v>
      </c>
      <c r="J247" s="33" t="n">
        <v>43240</v>
      </c>
      <c r="K247" s="33" t="n">
        <v>44417.5</v>
      </c>
      <c r="L247" s="33" t="n">
        <v>41956.66666666666</v>
      </c>
      <c r="M247" s="38" t="n">
        <v>0.3569276672075962</v>
      </c>
      <c r="N247" s="38" t="n">
        <v>0.5333751767794461</v>
      </c>
      <c r="O247" s="38" t="n">
        <v>-0.09324758842443726</v>
      </c>
      <c r="P247" s="38" t="n">
        <v>0.04444444444444451</v>
      </c>
      <c r="Q247" s="38" t="n">
        <v>0.1015625</v>
      </c>
      <c r="R247" s="38" t="n">
        <v>-0.02173913043478259</v>
      </c>
      <c r="S247" s="38" t="n">
        <v>-0.04767265154499911</v>
      </c>
      <c r="T247" s="38" t="n">
        <v>0.008183045999841099</v>
      </c>
      <c r="U247" s="33" t="n">
        <v>50100</v>
      </c>
      <c r="V247" s="33" t="n">
        <v>29950</v>
      </c>
      <c r="W247" s="38" t="n">
        <v>-0.155688622754491</v>
      </c>
      <c r="X247" s="38" t="n">
        <v>0.4123539232053421</v>
      </c>
      <c r="Y247" s="33" t="n">
        <v>51414494</v>
      </c>
      <c r="Z247" s="33" t="n">
        <v>2174833096200</v>
      </c>
      <c r="AA247" s="33" t="n">
        <v>14842858500</v>
      </c>
      <c r="AB247" s="33" t="n">
        <v>24268389730</v>
      </c>
      <c r="AC247" s="38" t="n">
        <v>0.006824826477918853</v>
      </c>
      <c r="AD247" s="27" t="inlineStr">
        <is>
          <t>yfinance_download</t>
        </is>
      </c>
      <c r="AE247" s="27" t="inlineStr">
        <is>
          <t>005290.KQ</t>
        </is>
      </c>
    </row>
    <row r="248" ht="24" customHeight="1">
      <c r="A248" s="32" t="inlineStr">
        <is>
          <t>2024-06-12</t>
        </is>
      </c>
      <c r="B248" s="34" t="n">
        <v>42300</v>
      </c>
      <c r="C248" s="34" t="n">
        <v>42950</v>
      </c>
      <c r="D248" s="34" t="n">
        <v>42150</v>
      </c>
      <c r="E248" s="34" t="n">
        <v>42500</v>
      </c>
      <c r="F248" s="34" t="n">
        <v>41831.5859375</v>
      </c>
      <c r="G248" s="34" t="n">
        <v>310636</v>
      </c>
      <c r="H248" s="39" t="n">
        <v>0.004728132387706863</v>
      </c>
      <c r="I248" s="39" t="n">
        <v>-0.1666666666666666</v>
      </c>
      <c r="J248" s="34" t="n">
        <v>43137.5</v>
      </c>
      <c r="K248" s="34" t="n">
        <v>44463.33333333334</v>
      </c>
      <c r="L248" s="34" t="n">
        <v>41992.08333333334</v>
      </c>
      <c r="M248" s="39" t="n">
        <v>0.3244993406651099</v>
      </c>
      <c r="N248" s="39" t="n">
        <v>0.531818595641997</v>
      </c>
      <c r="O248" s="39" t="n">
        <v>-0.04601571268237936</v>
      </c>
      <c r="P248" s="39" t="n">
        <v>0.0691823899371069</v>
      </c>
      <c r="Q248" s="39" t="n">
        <v>0.1111111111111112</v>
      </c>
      <c r="R248" s="39" t="n">
        <v>-0.01477832512315269</v>
      </c>
      <c r="S248" s="39" t="n">
        <v>-0.04415623360071974</v>
      </c>
      <c r="T248" s="39" t="n">
        <v>0.01209553388039408</v>
      </c>
      <c r="U248" s="34" t="n">
        <v>50100</v>
      </c>
      <c r="V248" s="34" t="n">
        <v>29950</v>
      </c>
      <c r="W248" s="39" t="n">
        <v>-0.1516966067864272</v>
      </c>
      <c r="X248" s="39" t="n">
        <v>0.4190317195325544</v>
      </c>
      <c r="Y248" s="34" t="n">
        <v>51414494</v>
      </c>
      <c r="Z248" s="34" t="n">
        <v>2185115995000</v>
      </c>
      <c r="AA248" s="34" t="n">
        <v>13202030000</v>
      </c>
      <c r="AB248" s="34" t="n">
        <v>22507962762.5</v>
      </c>
      <c r="AC248" s="39" t="n">
        <v>0.00604179825245387</v>
      </c>
      <c r="AD248" s="32" t="inlineStr">
        <is>
          <t>yfinance_download</t>
        </is>
      </c>
      <c r="AE248" s="32" t="inlineStr">
        <is>
          <t>005290.KQ</t>
        </is>
      </c>
    </row>
    <row r="249" ht="24" customHeight="1">
      <c r="A249" s="27" t="inlineStr">
        <is>
          <t>2024-06-13</t>
        </is>
      </c>
      <c r="B249" s="33" t="n">
        <v>43300</v>
      </c>
      <c r="C249" s="33" t="n">
        <v>43350</v>
      </c>
      <c r="D249" s="33" t="n">
        <v>42050</v>
      </c>
      <c r="E249" s="33" t="n">
        <v>42050</v>
      </c>
      <c r="F249" s="33" t="n">
        <v>41388.6640625</v>
      </c>
      <c r="G249" s="33" t="n">
        <v>835878</v>
      </c>
      <c r="H249" s="38" t="n">
        <v>-0.01058823529411768</v>
      </c>
      <c r="I249" s="38" t="n">
        <v>-0.1754901960784314</v>
      </c>
      <c r="J249" s="33" t="n">
        <v>43025</v>
      </c>
      <c r="K249" s="33" t="n">
        <v>44519.16666666666</v>
      </c>
      <c r="L249" s="33" t="n">
        <v>42023.75</v>
      </c>
      <c r="M249" s="38" t="n">
        <v>0.3256813507327768</v>
      </c>
      <c r="N249" s="38" t="n">
        <v>0.5292343219734867</v>
      </c>
      <c r="O249" s="38" t="n">
        <v>-0.05079006772009032</v>
      </c>
      <c r="P249" s="38" t="n">
        <v>0.08656330749354013</v>
      </c>
      <c r="Q249" s="38" t="n">
        <v>0.09934640522875826</v>
      </c>
      <c r="R249" s="38" t="n">
        <v>-0.02266124346310283</v>
      </c>
      <c r="S249" s="38" t="n">
        <v>-0.05546300282649785</v>
      </c>
      <c r="T249" s="38" t="n">
        <v>0.0006246467771200415</v>
      </c>
      <c r="U249" s="33" t="n">
        <v>50100</v>
      </c>
      <c r="V249" s="33" t="n">
        <v>29950</v>
      </c>
      <c r="W249" s="38" t="n">
        <v>-0.1606786427145709</v>
      </c>
      <c r="X249" s="38" t="n">
        <v>0.4040066777963272</v>
      </c>
      <c r="Y249" s="33" t="n">
        <v>51414494</v>
      </c>
      <c r="Z249" s="33" t="n">
        <v>2161979472700</v>
      </c>
      <c r="AA249" s="33" t="n">
        <v>35148669900</v>
      </c>
      <c r="AB249" s="33" t="n">
        <v>23263110972.5</v>
      </c>
      <c r="AC249" s="38" t="n">
        <v>0.016257633499223</v>
      </c>
      <c r="AD249" s="27" t="inlineStr">
        <is>
          <t>yfinance_download</t>
        </is>
      </c>
      <c r="AE249" s="27" t="inlineStr">
        <is>
          <t>005290.KQ</t>
        </is>
      </c>
    </row>
    <row r="250" ht="24" customHeight="1">
      <c r="A250" s="32" t="inlineStr">
        <is>
          <t>2024-06-14</t>
        </is>
      </c>
      <c r="B250" s="34" t="n">
        <v>42250</v>
      </c>
      <c r="C250" s="34" t="n">
        <v>42500</v>
      </c>
      <c r="D250" s="34" t="n">
        <v>41200</v>
      </c>
      <c r="E250" s="34" t="n">
        <v>41350</v>
      </c>
      <c r="F250" s="34" t="n">
        <v>40699.671875</v>
      </c>
      <c r="G250" s="34" t="n">
        <v>658210</v>
      </c>
      <c r="H250" s="39" t="n">
        <v>-0.01664684898929847</v>
      </c>
      <c r="I250" s="39" t="n">
        <v>-0.1892156862745098</v>
      </c>
      <c r="J250" s="34" t="n">
        <v>42875</v>
      </c>
      <c r="K250" s="34" t="n">
        <v>44564.16666666666</v>
      </c>
      <c r="L250" s="34" t="n">
        <v>42041.25</v>
      </c>
      <c r="M250" s="39" t="n">
        <v>0.3292179419762442</v>
      </c>
      <c r="N250" s="39" t="n">
        <v>0.5305652116402281</v>
      </c>
      <c r="O250" s="39" t="n">
        <v>-0.06764374295377673</v>
      </c>
      <c r="P250" s="39" t="n">
        <v>0.06985769728331181</v>
      </c>
      <c r="Q250" s="39" t="n">
        <v>0.05350318471337578</v>
      </c>
      <c r="R250" s="39" t="n">
        <v>-0.03556851311953357</v>
      </c>
      <c r="S250" s="39" t="n">
        <v>-0.07212446472315193</v>
      </c>
      <c r="T250" s="39" t="n">
        <v>-0.01644218475901649</v>
      </c>
      <c r="U250" s="34" t="n">
        <v>50100</v>
      </c>
      <c r="V250" s="34" t="n">
        <v>29950</v>
      </c>
      <c r="W250" s="39" t="n">
        <v>-0.1746506986027944</v>
      </c>
      <c r="X250" s="39" t="n">
        <v>0.3806343906510852</v>
      </c>
      <c r="Y250" s="34" t="n">
        <v>51414494</v>
      </c>
      <c r="Z250" s="34" t="n">
        <v>2125989326900</v>
      </c>
      <c r="AA250" s="34" t="n">
        <v>27216983500</v>
      </c>
      <c r="AB250" s="34" t="n">
        <v>23113476760</v>
      </c>
      <c r="AC250" s="39" t="n">
        <v>0.01280203204956174</v>
      </c>
      <c r="AD250" s="32" t="inlineStr">
        <is>
          <t>yfinance_download</t>
        </is>
      </c>
      <c r="AE250" s="32" t="inlineStr">
        <is>
          <t>005290.KQ</t>
        </is>
      </c>
    </row>
    <row r="251" ht="24" customHeight="1">
      <c r="A251" s="27" t="inlineStr">
        <is>
          <t>2024-06-17</t>
        </is>
      </c>
      <c r="B251" s="33" t="n">
        <v>41300</v>
      </c>
      <c r="C251" s="33" t="n">
        <v>41400</v>
      </c>
      <c r="D251" s="33" t="n">
        <v>40250</v>
      </c>
      <c r="E251" s="33" t="n">
        <v>40750</v>
      </c>
      <c r="F251" s="33" t="n">
        <v>40109.109375</v>
      </c>
      <c r="G251" s="33" t="n">
        <v>486479</v>
      </c>
      <c r="H251" s="38" t="n">
        <v>-0.0145102781136639</v>
      </c>
      <c r="I251" s="38" t="n">
        <v>-0.2009803921568627</v>
      </c>
      <c r="J251" s="33" t="n">
        <v>42740</v>
      </c>
      <c r="K251" s="33" t="n">
        <v>44588.33333333334</v>
      </c>
      <c r="L251" s="33" t="n">
        <v>42062.91666666666</v>
      </c>
      <c r="M251" s="38" t="n">
        <v>0.3258800385226155</v>
      </c>
      <c r="N251" s="38" t="n">
        <v>0.5306260359961211</v>
      </c>
      <c r="O251" s="38" t="n">
        <v>-0.06214039125431525</v>
      </c>
      <c r="P251" s="38" t="n">
        <v>0.03689567430025442</v>
      </c>
      <c r="Q251" s="38" t="n">
        <v>0.06815203145478366</v>
      </c>
      <c r="R251" s="38" t="n">
        <v>-0.04656059897051945</v>
      </c>
      <c r="S251" s="38" t="n">
        <v>-0.08608380368556801</v>
      </c>
      <c r="T251" s="38" t="n">
        <v>-0.03121316282156683</v>
      </c>
      <c r="U251" s="33" t="n">
        <v>50100</v>
      </c>
      <c r="V251" s="33" t="n">
        <v>29950</v>
      </c>
      <c r="W251" s="38" t="n">
        <v>-0.1866267465069861</v>
      </c>
      <c r="X251" s="38" t="n">
        <v>0.360601001669449</v>
      </c>
      <c r="Y251" s="33" t="n">
        <v>51414494</v>
      </c>
      <c r="Z251" s="33" t="n">
        <v>2095140630500</v>
      </c>
      <c r="AA251" s="33" t="n">
        <v>19824019250</v>
      </c>
      <c r="AB251" s="33" t="n">
        <v>22928922895</v>
      </c>
      <c r="AC251" s="38" t="n">
        <v>0.009461903874810088</v>
      </c>
      <c r="AD251" s="27" t="inlineStr">
        <is>
          <t>yfinance_download</t>
        </is>
      </c>
      <c r="AE251" s="27" t="inlineStr">
        <is>
          <t>005290.KQ</t>
        </is>
      </c>
    </row>
    <row r="252" ht="24" customHeight="1">
      <c r="A252" s="32" t="inlineStr">
        <is>
          <t>2024-06-18</t>
        </is>
      </c>
      <c r="B252" s="34" t="n">
        <v>41250</v>
      </c>
      <c r="C252" s="34" t="n">
        <v>42250</v>
      </c>
      <c r="D252" s="34" t="n">
        <v>41200</v>
      </c>
      <c r="E252" s="34" t="n">
        <v>42200</v>
      </c>
      <c r="F252" s="34" t="n">
        <v>41536.3046875</v>
      </c>
      <c r="G252" s="34" t="n">
        <v>532686</v>
      </c>
      <c r="H252" s="39" t="n">
        <v>0.03558282208588959</v>
      </c>
      <c r="I252" s="39" t="n">
        <v>-0.1725490196078432</v>
      </c>
      <c r="J252" s="34" t="n">
        <v>42690</v>
      </c>
      <c r="K252" s="34" t="n">
        <v>44640</v>
      </c>
      <c r="L252" s="34" t="n">
        <v>42092.91666666666</v>
      </c>
      <c r="M252" s="39" t="n">
        <v>0.353143889882471</v>
      </c>
      <c r="N252" s="39" t="n">
        <v>0.5351164440623972</v>
      </c>
      <c r="O252" s="39" t="n">
        <v>-0.02314814814814814</v>
      </c>
      <c r="P252" s="39" t="n">
        <v>0.07928388746803061</v>
      </c>
      <c r="Q252" s="39" t="n">
        <v>0.09326424870466332</v>
      </c>
      <c r="R252" s="39" t="n">
        <v>-0.0114780979152026</v>
      </c>
      <c r="S252" s="39" t="n">
        <v>-0.05465949820788529</v>
      </c>
      <c r="T252" s="39" t="n">
        <v>0.002543975134375431</v>
      </c>
      <c r="U252" s="34" t="n">
        <v>50100</v>
      </c>
      <c r="V252" s="34" t="n">
        <v>29950</v>
      </c>
      <c r="W252" s="39" t="n">
        <v>-0.1576846307385229</v>
      </c>
      <c r="X252" s="39" t="n">
        <v>0.4090150250417361</v>
      </c>
      <c r="Y252" s="34" t="n">
        <v>51414494</v>
      </c>
      <c r="Z252" s="34" t="n">
        <v>2169691646800</v>
      </c>
      <c r="AA252" s="34" t="n">
        <v>22479349200</v>
      </c>
      <c r="AB252" s="34" t="n">
        <v>22765642675</v>
      </c>
      <c r="AC252" s="39" t="n">
        <v>0.01036061932263692</v>
      </c>
      <c r="AD252" s="32" t="inlineStr">
        <is>
          <t>yfinance_download</t>
        </is>
      </c>
      <c r="AE252" s="32" t="inlineStr">
        <is>
          <t>005290.KQ</t>
        </is>
      </c>
    </row>
    <row r="253" ht="24" customHeight="1">
      <c r="A253" s="27" t="inlineStr">
        <is>
          <t>2024-06-19</t>
        </is>
      </c>
      <c r="B253" s="33" t="n">
        <v>42600</v>
      </c>
      <c r="C253" s="33" t="n">
        <v>43150</v>
      </c>
      <c r="D253" s="33" t="n">
        <v>42150</v>
      </c>
      <c r="E253" s="33" t="n">
        <v>42850</v>
      </c>
      <c r="F253" s="33" t="n">
        <v>42176.08203125</v>
      </c>
      <c r="G253" s="33" t="n">
        <v>528252</v>
      </c>
      <c r="H253" s="38" t="n">
        <v>0.01540284360189581</v>
      </c>
      <c r="I253" s="38" t="n">
        <v>-0.1598039215686274</v>
      </c>
      <c r="J253" s="33" t="n">
        <v>42625</v>
      </c>
      <c r="K253" s="33" t="n">
        <v>44668.33333333334</v>
      </c>
      <c r="L253" s="33" t="n">
        <v>42129.16666666666</v>
      </c>
      <c r="M253" s="38" t="n">
        <v>0.3482111902650716</v>
      </c>
      <c r="N253" s="38" t="n">
        <v>0.5254497351647044</v>
      </c>
      <c r="O253" s="38" t="n">
        <v>-0.029445073612684</v>
      </c>
      <c r="P253" s="38" t="n">
        <v>0.04131227217496969</v>
      </c>
      <c r="Q253" s="38" t="n">
        <v>0.112987012987013</v>
      </c>
      <c r="R253" s="38" t="n">
        <v>0.005278592375366653</v>
      </c>
      <c r="S253" s="38" t="n">
        <v>-0.04070743628969076</v>
      </c>
      <c r="T253" s="38" t="n">
        <v>0.01711007813272669</v>
      </c>
      <c r="U253" s="33" t="n">
        <v>50100</v>
      </c>
      <c r="V253" s="33" t="n">
        <v>29950</v>
      </c>
      <c r="W253" s="38" t="n">
        <v>-0.1447105788423154</v>
      </c>
      <c r="X253" s="38" t="n">
        <v>0.4307178631051753</v>
      </c>
      <c r="Y253" s="33" t="n">
        <v>51414494</v>
      </c>
      <c r="Z253" s="33" t="n">
        <v>2203111067900</v>
      </c>
      <c r="AA253" s="33" t="n">
        <v>22635598200</v>
      </c>
      <c r="AB253" s="33" t="n">
        <v>22586474427.5</v>
      </c>
      <c r="AC253" s="38" t="n">
        <v>0.01027437904961196</v>
      </c>
      <c r="AD253" s="27" t="inlineStr">
        <is>
          <t>yfinance_download</t>
        </is>
      </c>
      <c r="AE253" s="27" t="inlineStr">
        <is>
          <t>005290.KQ</t>
        </is>
      </c>
    </row>
    <row r="254" ht="24" customHeight="1">
      <c r="A254" s="32" t="inlineStr">
        <is>
          <t>2024-06-20</t>
        </is>
      </c>
      <c r="B254" s="34" t="n">
        <v>42850</v>
      </c>
      <c r="C254" s="34" t="n">
        <v>43100</v>
      </c>
      <c r="D254" s="34" t="n">
        <v>41550</v>
      </c>
      <c r="E254" s="34" t="n">
        <v>41800</v>
      </c>
      <c r="F254" s="34" t="n">
        <v>41142.59375</v>
      </c>
      <c r="G254" s="34" t="n">
        <v>508500</v>
      </c>
      <c r="H254" s="39" t="n">
        <v>-0.02450408401400228</v>
      </c>
      <c r="I254" s="39" t="n">
        <v>-0.1803921568627451</v>
      </c>
      <c r="J254" s="34" t="n">
        <v>42487.5</v>
      </c>
      <c r="K254" s="34" t="n">
        <v>44565.83333333334</v>
      </c>
      <c r="L254" s="34" t="n">
        <v>42162.5</v>
      </c>
      <c r="M254" s="39" t="n">
        <v>0.3553209250143452</v>
      </c>
      <c r="N254" s="39" t="n">
        <v>0.4017471444568047</v>
      </c>
      <c r="O254" s="39" t="n">
        <v>-0.06172839506172845</v>
      </c>
      <c r="P254" s="39" t="n">
        <v>-0.1282586027111574</v>
      </c>
      <c r="Q254" s="39" t="n">
        <v>0.1058201058201058</v>
      </c>
      <c r="R254" s="39" t="n">
        <v>-0.01618122977346281</v>
      </c>
      <c r="S254" s="39" t="n">
        <v>-0.06206174386207675</v>
      </c>
      <c r="T254" s="39" t="n">
        <v>-0.008597687518529518</v>
      </c>
      <c r="U254" s="34" t="n">
        <v>50100</v>
      </c>
      <c r="V254" s="34" t="n">
        <v>29950</v>
      </c>
      <c r="W254" s="39" t="n">
        <v>-0.1656686626746507</v>
      </c>
      <c r="X254" s="39" t="n">
        <v>0.3956594323873122</v>
      </c>
      <c r="Y254" s="34" t="n">
        <v>51414494</v>
      </c>
      <c r="Z254" s="34" t="n">
        <v>2149125849200</v>
      </c>
      <c r="AA254" s="34" t="n">
        <v>21255300000</v>
      </c>
      <c r="AB254" s="34" t="n">
        <v>22685511552.5</v>
      </c>
      <c r="AC254" s="39" t="n">
        <v>0.009890207224445309</v>
      </c>
      <c r="AD254" s="32" t="inlineStr">
        <is>
          <t>yfinance_download</t>
        </is>
      </c>
      <c r="AE254" s="32" t="inlineStr">
        <is>
          <t>005290.KQ</t>
        </is>
      </c>
    </row>
    <row r="255" ht="24" customHeight="1">
      <c r="A255" s="27" t="inlineStr">
        <is>
          <t>2024-06-21</t>
        </is>
      </c>
      <c r="B255" s="33" t="n">
        <v>41350</v>
      </c>
      <c r="C255" s="33" t="n">
        <v>41400</v>
      </c>
      <c r="D255" s="33" t="n">
        <v>40100</v>
      </c>
      <c r="E255" s="33" t="n">
        <v>40250</v>
      </c>
      <c r="F255" s="33" t="n">
        <v>39616.97265625</v>
      </c>
      <c r="G255" s="33" t="n">
        <v>651676</v>
      </c>
      <c r="H255" s="38" t="n">
        <v>-0.03708133971291872</v>
      </c>
      <c r="I255" s="38" t="n">
        <v>-0.2107843137254902</v>
      </c>
      <c r="J255" s="33" t="n">
        <v>42317.5</v>
      </c>
      <c r="K255" s="33" t="n">
        <v>44491.66666666666</v>
      </c>
      <c r="L255" s="33" t="n">
        <v>42185</v>
      </c>
      <c r="M255" s="38" t="n">
        <v>0.370904926737648</v>
      </c>
      <c r="N255" s="38" t="n">
        <v>0.3848389122775597</v>
      </c>
      <c r="O255" s="38" t="n">
        <v>-0.07789232531500567</v>
      </c>
      <c r="P255" s="38" t="n">
        <v>-0.09955257270693507</v>
      </c>
      <c r="Q255" s="38" t="n">
        <v>0.07190412782956068</v>
      </c>
      <c r="R255" s="38" t="n">
        <v>-0.04885685591067523</v>
      </c>
      <c r="S255" s="38" t="n">
        <v>-0.09533620528188791</v>
      </c>
      <c r="T255" s="38" t="n">
        <v>-0.04586938485243575</v>
      </c>
      <c r="U255" s="33" t="n">
        <v>50100</v>
      </c>
      <c r="V255" s="33" t="n">
        <v>29950</v>
      </c>
      <c r="W255" s="38" t="n">
        <v>-0.1966067864271457</v>
      </c>
      <c r="X255" s="38" t="n">
        <v>0.343906510851419</v>
      </c>
      <c r="Y255" s="33" t="n">
        <v>51414494</v>
      </c>
      <c r="Z255" s="33" t="n">
        <v>2069433383500</v>
      </c>
      <c r="AA255" s="33" t="n">
        <v>26229959000</v>
      </c>
      <c r="AB255" s="33" t="n">
        <v>22782260557.5</v>
      </c>
      <c r="AC255" s="38" t="n">
        <v>0.01267494726292551</v>
      </c>
      <c r="AD255" s="27" t="inlineStr">
        <is>
          <t>yfinance_download</t>
        </is>
      </c>
      <c r="AE255" s="27" t="inlineStr">
        <is>
          <t>005290.KQ</t>
        </is>
      </c>
    </row>
    <row r="256" ht="24" customHeight="1">
      <c r="A256" s="32" t="inlineStr">
        <is>
          <t>2024-06-24</t>
        </is>
      </c>
      <c r="B256" s="34" t="n">
        <v>40250</v>
      </c>
      <c r="C256" s="34" t="n">
        <v>40250</v>
      </c>
      <c r="D256" s="34" t="n">
        <v>39500</v>
      </c>
      <c r="E256" s="34" t="n">
        <v>39900</v>
      </c>
      <c r="F256" s="34" t="n">
        <v>39272.4765625</v>
      </c>
      <c r="G256" s="34" t="n">
        <v>348938</v>
      </c>
      <c r="H256" s="39" t="n">
        <v>-0.008695652173912993</v>
      </c>
      <c r="I256" s="39" t="n">
        <v>-0.2176470588235294</v>
      </c>
      <c r="J256" s="34" t="n">
        <v>42222.5</v>
      </c>
      <c r="K256" s="34" t="n">
        <v>44423.33333333334</v>
      </c>
      <c r="L256" s="34" t="n">
        <v>42203.33333333334</v>
      </c>
      <c r="M256" s="39" t="n">
        <v>0.3426083332102263</v>
      </c>
      <c r="N256" s="39" t="n">
        <v>0.3840048189896518</v>
      </c>
      <c r="O256" s="39" t="n">
        <v>-0.04545454545454541</v>
      </c>
      <c r="P256" s="39" t="n">
        <v>-0.09318181818181814</v>
      </c>
      <c r="Q256" s="39" t="n">
        <v>0.05835543766578244</v>
      </c>
      <c r="R256" s="39" t="n">
        <v>-0.05500621706436137</v>
      </c>
      <c r="S256" s="39" t="n">
        <v>-0.101823366098897</v>
      </c>
      <c r="T256" s="39" t="n">
        <v>-0.05457704762656979</v>
      </c>
      <c r="U256" s="34" t="n">
        <v>50100</v>
      </c>
      <c r="V256" s="34" t="n">
        <v>29950</v>
      </c>
      <c r="W256" s="39" t="n">
        <v>-0.2035928143712575</v>
      </c>
      <c r="X256" s="39" t="n">
        <v>0.332220367278798</v>
      </c>
      <c r="Y256" s="34" t="n">
        <v>51414494</v>
      </c>
      <c r="Z256" s="34" t="n">
        <v>2051438310600</v>
      </c>
      <c r="AA256" s="34" t="n">
        <v>13922626200</v>
      </c>
      <c r="AB256" s="34" t="n">
        <v>21758773307.5</v>
      </c>
      <c r="AC256" s="39" t="n">
        <v>0.006786763281186819</v>
      </c>
      <c r="AD256" s="32" t="inlineStr">
        <is>
          <t>yfinance_download</t>
        </is>
      </c>
      <c r="AE256" s="32" t="inlineStr">
        <is>
          <t>005290.KQ</t>
        </is>
      </c>
    </row>
    <row r="257" ht="24" customHeight="1">
      <c r="A257" s="27" t="inlineStr">
        <is>
          <t>2024-06-25</t>
        </is>
      </c>
      <c r="B257" s="33" t="n">
        <v>39550</v>
      </c>
      <c r="C257" s="33" t="n">
        <v>39800</v>
      </c>
      <c r="D257" s="33" t="n">
        <v>38800</v>
      </c>
      <c r="E257" s="33" t="n">
        <v>39300</v>
      </c>
      <c r="F257" s="33" t="n">
        <v>38681.9140625</v>
      </c>
      <c r="G257" s="33" t="n">
        <v>440360</v>
      </c>
      <c r="H257" s="38" t="n">
        <v>-0.01503759398496241</v>
      </c>
      <c r="I257" s="38" t="n">
        <v>-0.2294117647058823</v>
      </c>
      <c r="J257" s="33" t="n">
        <v>42052.5</v>
      </c>
      <c r="K257" s="33" t="n">
        <v>44349.16666666666</v>
      </c>
      <c r="L257" s="33" t="n">
        <v>42218.75</v>
      </c>
      <c r="M257" s="38" t="n">
        <v>0.3336232878896508</v>
      </c>
      <c r="N257" s="38" t="n">
        <v>0.384934155532189</v>
      </c>
      <c r="O257" s="38" t="n">
        <v>-0.07962529274004682</v>
      </c>
      <c r="P257" s="38" t="n">
        <v>-0.1017142857142858</v>
      </c>
      <c r="Q257" s="38" t="n">
        <v>0.04939919893190914</v>
      </c>
      <c r="R257" s="38" t="n">
        <v>-0.06545389691457104</v>
      </c>
      <c r="S257" s="38" t="n">
        <v>-0.113850316616246</v>
      </c>
      <c r="T257" s="38" t="n">
        <v>-0.06913397483345673</v>
      </c>
      <c r="U257" s="33" t="n">
        <v>50100</v>
      </c>
      <c r="V257" s="33" t="n">
        <v>29950</v>
      </c>
      <c r="W257" s="38" t="n">
        <v>-0.2155688622754491</v>
      </c>
      <c r="X257" s="38" t="n">
        <v>0.312186978297162</v>
      </c>
      <c r="Y257" s="33" t="n">
        <v>51414494</v>
      </c>
      <c r="Z257" s="33" t="n">
        <v>2020589614200</v>
      </c>
      <c r="AA257" s="33" t="n">
        <v>17306148000</v>
      </c>
      <c r="AB257" s="33" t="n">
        <v>21621802822.5</v>
      </c>
      <c r="AC257" s="38" t="n">
        <v>0.008564900006601251</v>
      </c>
      <c r="AD257" s="27" t="inlineStr">
        <is>
          <t>yfinance_download</t>
        </is>
      </c>
      <c r="AE257" s="27" t="inlineStr">
        <is>
          <t>005290.KQ</t>
        </is>
      </c>
    </row>
    <row r="258" ht="24" customHeight="1">
      <c r="A258" s="32" t="inlineStr">
        <is>
          <t>2024-06-26</t>
        </is>
      </c>
      <c r="B258" s="34" t="n">
        <v>39500</v>
      </c>
      <c r="C258" s="34" t="n">
        <v>40500</v>
      </c>
      <c r="D258" s="34" t="n">
        <v>39150</v>
      </c>
      <c r="E258" s="34" t="n">
        <v>40350</v>
      </c>
      <c r="F258" s="34" t="n">
        <v>39715.3984375</v>
      </c>
      <c r="G258" s="34" t="n">
        <v>359808</v>
      </c>
      <c r="H258" s="39" t="n">
        <v>0.0267175572519085</v>
      </c>
      <c r="I258" s="39" t="n">
        <v>-0.2088235294117647</v>
      </c>
      <c r="J258" s="34" t="n">
        <v>41852.5</v>
      </c>
      <c r="K258" s="34" t="n">
        <v>44279.16666666666</v>
      </c>
      <c r="L258" s="34" t="n">
        <v>42232.91666666666</v>
      </c>
      <c r="M258" s="39" t="n">
        <v>0.3156423694996922</v>
      </c>
      <c r="N258" s="39" t="n">
        <v>0.387166322700682</v>
      </c>
      <c r="O258" s="39" t="n">
        <v>-0.09019165727170242</v>
      </c>
      <c r="P258" s="39" t="n">
        <v>-0.09427609427609429</v>
      </c>
      <c r="Q258" s="39" t="n">
        <v>0.0439844760672703</v>
      </c>
      <c r="R258" s="39" t="n">
        <v>-0.03589988650618248</v>
      </c>
      <c r="S258" s="39" t="n">
        <v>-0.08873623788463347</v>
      </c>
      <c r="T258" s="39" t="n">
        <v>-0.04458410205309837</v>
      </c>
      <c r="U258" s="34" t="n">
        <v>50100</v>
      </c>
      <c r="V258" s="34" t="n">
        <v>29950</v>
      </c>
      <c r="W258" s="39" t="n">
        <v>-0.1946107784431138</v>
      </c>
      <c r="X258" s="39" t="n">
        <v>0.347245409015025</v>
      </c>
      <c r="Y258" s="34" t="n">
        <v>51414494</v>
      </c>
      <c r="Z258" s="34" t="n">
        <v>2074574832900</v>
      </c>
      <c r="AA258" s="34" t="n">
        <v>14518252800</v>
      </c>
      <c r="AB258" s="34" t="n">
        <v>19722574655</v>
      </c>
      <c r="AC258" s="39" t="n">
        <v>0.006998182263546151</v>
      </c>
      <c r="AD258" s="32" t="inlineStr">
        <is>
          <t>yfinance_download</t>
        </is>
      </c>
      <c r="AE258" s="32" t="inlineStr">
        <is>
          <t>005290.KQ</t>
        </is>
      </c>
    </row>
    <row r="259" ht="24" customHeight="1">
      <c r="A259" s="27" t="inlineStr">
        <is>
          <t>2024-06-27</t>
        </is>
      </c>
      <c r="B259" s="33" t="n">
        <v>39850</v>
      </c>
      <c r="C259" s="33" t="n">
        <v>40550</v>
      </c>
      <c r="D259" s="33" t="n">
        <v>39650</v>
      </c>
      <c r="E259" s="33" t="n">
        <v>40100</v>
      </c>
      <c r="F259" s="33" t="n">
        <v>39469.33203125</v>
      </c>
      <c r="G259" s="33" t="n">
        <v>240743</v>
      </c>
      <c r="H259" s="38" t="n">
        <v>-0.006195786864931829</v>
      </c>
      <c r="I259" s="38" t="n">
        <v>-0.2137254901960784</v>
      </c>
      <c r="J259" s="33" t="n">
        <v>41707.5</v>
      </c>
      <c r="K259" s="33" t="n">
        <v>44170.83333333334</v>
      </c>
      <c r="L259" s="33" t="n">
        <v>42244.58333333334</v>
      </c>
      <c r="M259" s="38" t="n">
        <v>0.3006188736559258</v>
      </c>
      <c r="N259" s="38" t="n">
        <v>0.3744582693513773</v>
      </c>
      <c r="O259" s="38" t="n">
        <v>-0.06744186046511624</v>
      </c>
      <c r="P259" s="38" t="n">
        <v>-0.1394849785407726</v>
      </c>
      <c r="Q259" s="38" t="n">
        <v>0.03617571059431524</v>
      </c>
      <c r="R259" s="38" t="n">
        <v>-0.03854222861595635</v>
      </c>
      <c r="S259" s="38" t="n">
        <v>-0.09216111687576645</v>
      </c>
      <c r="T259" s="38" t="n">
        <v>-0.05076587728209736</v>
      </c>
      <c r="U259" s="33" t="n">
        <v>50100</v>
      </c>
      <c r="V259" s="33" t="n">
        <v>29950</v>
      </c>
      <c r="W259" s="38" t="n">
        <v>-0.1996007984031936</v>
      </c>
      <c r="X259" s="38" t="n">
        <v>0.33889816360601</v>
      </c>
      <c r="Y259" s="33" t="n">
        <v>51414494</v>
      </c>
      <c r="Z259" s="33" t="n">
        <v>2061721209400</v>
      </c>
      <c r="AA259" s="33" t="n">
        <v>9653794300</v>
      </c>
      <c r="AB259" s="33" t="n">
        <v>19130460020</v>
      </c>
      <c r="AC259" s="38" t="n">
        <v>0.004682395590628588</v>
      </c>
      <c r="AD259" s="27" t="inlineStr">
        <is>
          <t>yfinance_download</t>
        </is>
      </c>
      <c r="AE259" s="27" t="inlineStr">
        <is>
          <t>005290.KQ</t>
        </is>
      </c>
    </row>
    <row r="260" ht="24" customHeight="1">
      <c r="A260" s="32" t="inlineStr">
        <is>
          <t>2024-06-28</t>
        </is>
      </c>
      <c r="B260" s="34" t="n">
        <v>40200</v>
      </c>
      <c r="C260" s="34" t="n">
        <v>40350</v>
      </c>
      <c r="D260" s="34" t="n">
        <v>39700</v>
      </c>
      <c r="E260" s="34" t="n">
        <v>40050</v>
      </c>
      <c r="F260" s="34" t="n">
        <v>39420.1171875</v>
      </c>
      <c r="G260" s="34" t="n">
        <v>199030</v>
      </c>
      <c r="H260" s="39" t="n">
        <v>-0.001246882793017434</v>
      </c>
      <c r="I260" s="39" t="n">
        <v>-0.2147058823529412</v>
      </c>
      <c r="J260" s="34" t="n">
        <v>41582.5</v>
      </c>
      <c r="K260" s="34" t="n">
        <v>44034.16666666666</v>
      </c>
      <c r="L260" s="34" t="n">
        <v>42232.91666666666</v>
      </c>
      <c r="M260" s="39" t="n">
        <v>0.2994896530308458</v>
      </c>
      <c r="N260" s="39" t="n">
        <v>0.3661669088513458</v>
      </c>
      <c r="O260" s="39" t="n">
        <v>-0.05875440658049358</v>
      </c>
      <c r="P260" s="39" t="n">
        <v>-0.1699481865284974</v>
      </c>
      <c r="Q260" s="39" t="n">
        <v>-0.03377563329312427</v>
      </c>
      <c r="R260" s="39" t="n">
        <v>-0.03685444598088139</v>
      </c>
      <c r="S260" s="39" t="n">
        <v>-0.09047898412217781</v>
      </c>
      <c r="T260" s="39" t="n">
        <v>-0.05168756597835411</v>
      </c>
      <c r="U260" s="34" t="n">
        <v>50100</v>
      </c>
      <c r="V260" s="34" t="n">
        <v>29950</v>
      </c>
      <c r="W260" s="39" t="n">
        <v>-0.2005988023952096</v>
      </c>
      <c r="X260" s="39" t="n">
        <v>0.337228714524207</v>
      </c>
      <c r="Y260" s="34" t="n">
        <v>51414494</v>
      </c>
      <c r="Z260" s="34" t="n">
        <v>2059150484700</v>
      </c>
      <c r="AA260" s="34" t="n">
        <v>7971151500</v>
      </c>
      <c r="AB260" s="34" t="n">
        <v>18618373132.5</v>
      </c>
      <c r="AC260" s="39" t="n">
        <v>0.003871087401929892</v>
      </c>
      <c r="AD260" s="32" t="inlineStr">
        <is>
          <t>yfinance_download</t>
        </is>
      </c>
      <c r="AE260" s="32" t="inlineStr">
        <is>
          <t>005290.KQ</t>
        </is>
      </c>
    </row>
    <row r="261" ht="24" customHeight="1">
      <c r="A261" s="27" t="inlineStr">
        <is>
          <t>2024-07-01</t>
        </is>
      </c>
      <c r="B261" s="33" t="n">
        <v>39800</v>
      </c>
      <c r="C261" s="33" t="n">
        <v>41050</v>
      </c>
      <c r="D261" s="33" t="n">
        <v>39800</v>
      </c>
      <c r="E261" s="33" t="n">
        <v>40200</v>
      </c>
      <c r="F261" s="33" t="n">
        <v>39567.7578125</v>
      </c>
      <c r="G261" s="33" t="n">
        <v>329015</v>
      </c>
      <c r="H261" s="38" t="n">
        <v>0.003745318352059934</v>
      </c>
      <c r="I261" s="38" t="n">
        <v>-0.211764705882353</v>
      </c>
      <c r="J261" s="33" t="n">
        <v>41495</v>
      </c>
      <c r="K261" s="33" t="n">
        <v>43869.16666666666</v>
      </c>
      <c r="L261" s="33" t="n">
        <v>42220</v>
      </c>
      <c r="M261" s="38" t="n">
        <v>0.2972925133769004</v>
      </c>
      <c r="N261" s="38" t="n">
        <v>0.3562799848543189</v>
      </c>
      <c r="O261" s="38" t="n">
        <v>-0.04171632896305122</v>
      </c>
      <c r="P261" s="38" t="n">
        <v>-0.1976047904191617</v>
      </c>
      <c r="Q261" s="38" t="n">
        <v>-0.03712574850299399</v>
      </c>
      <c r="R261" s="38" t="n">
        <v>-0.03120857934690924</v>
      </c>
      <c r="S261" s="38" t="n">
        <v>-0.08363885036946972</v>
      </c>
      <c r="T261" s="38" t="n">
        <v>-0.04784462340123163</v>
      </c>
      <c r="U261" s="33" t="n">
        <v>50100</v>
      </c>
      <c r="V261" s="33" t="n">
        <v>29950</v>
      </c>
      <c r="W261" s="38" t="n">
        <v>-0.1976047904191617</v>
      </c>
      <c r="X261" s="38" t="n">
        <v>0.342237061769616</v>
      </c>
      <c r="Y261" s="33" t="n">
        <v>51414494</v>
      </c>
      <c r="Z261" s="33" t="n">
        <v>2066862658800</v>
      </c>
      <c r="AA261" s="33" t="n">
        <v>13226403000</v>
      </c>
      <c r="AB261" s="33" t="n">
        <v>18091610552.5</v>
      </c>
      <c r="AC261" s="38" t="n">
        <v>0.006399265545626103</v>
      </c>
      <c r="AD261" s="27" t="inlineStr">
        <is>
          <t>yfinance_download</t>
        </is>
      </c>
      <c r="AE261" s="27" t="inlineStr">
        <is>
          <t>005290.KQ</t>
        </is>
      </c>
    </row>
    <row r="262" ht="24" customHeight="1">
      <c r="A262" s="32" t="inlineStr">
        <is>
          <t>2024-07-02</t>
        </is>
      </c>
      <c r="B262" s="34" t="n">
        <v>40050</v>
      </c>
      <c r="C262" s="34" t="n">
        <v>40250</v>
      </c>
      <c r="D262" s="34" t="n">
        <v>38000</v>
      </c>
      <c r="E262" s="34" t="n">
        <v>38500</v>
      </c>
      <c r="F262" s="34" t="n">
        <v>37894.49609375</v>
      </c>
      <c r="G262" s="34" t="n">
        <v>821037</v>
      </c>
      <c r="H262" s="39" t="n">
        <v>-0.04228855721393032</v>
      </c>
      <c r="I262" s="39" t="n">
        <v>-0.2450980392156863</v>
      </c>
      <c r="J262" s="34" t="n">
        <v>41287.5</v>
      </c>
      <c r="K262" s="34" t="n">
        <v>43695</v>
      </c>
      <c r="L262" s="34" t="n">
        <v>42190</v>
      </c>
      <c r="M262" s="39" t="n">
        <v>0.320987413418413</v>
      </c>
      <c r="N262" s="39" t="n">
        <v>0.3629502125961558</v>
      </c>
      <c r="O262" s="39" t="n">
        <v>-0.09730363423212196</v>
      </c>
      <c r="P262" s="39" t="n">
        <v>-0.2134831460674157</v>
      </c>
      <c r="Q262" s="39" t="n">
        <v>-0.08551068883610446</v>
      </c>
      <c r="R262" s="39" t="n">
        <v>-0.06751438086587946</v>
      </c>
      <c r="S262" s="39" t="n">
        <v>-0.1188923217759469</v>
      </c>
      <c r="T262" s="39" t="n">
        <v>-0.08746148376392515</v>
      </c>
      <c r="U262" s="34" t="n">
        <v>50100</v>
      </c>
      <c r="V262" s="34" t="n">
        <v>29950</v>
      </c>
      <c r="W262" s="39" t="n">
        <v>-0.2315369261477046</v>
      </c>
      <c r="X262" s="39" t="n">
        <v>0.2854757929883138</v>
      </c>
      <c r="Y262" s="34" t="n">
        <v>51414494</v>
      </c>
      <c r="Z262" s="34" t="n">
        <v>1979458019000</v>
      </c>
      <c r="AA262" s="34" t="n">
        <v>31609924500</v>
      </c>
      <c r="AB262" s="34" t="n">
        <v>18789763577.5</v>
      </c>
      <c r="AC262" s="39" t="n">
        <v>0.01596897948660158</v>
      </c>
      <c r="AD262" s="32" t="inlineStr">
        <is>
          <t>yfinance_download</t>
        </is>
      </c>
      <c r="AE262" s="32" t="inlineStr">
        <is>
          <t>005290.KQ</t>
        </is>
      </c>
    </row>
    <row r="263" ht="24" customHeight="1">
      <c r="A263" s="27" t="inlineStr">
        <is>
          <t>2024-07-03</t>
        </is>
      </c>
      <c r="B263" s="33" t="n">
        <v>38450</v>
      </c>
      <c r="C263" s="33" t="n">
        <v>38650</v>
      </c>
      <c r="D263" s="33" t="n">
        <v>37400</v>
      </c>
      <c r="E263" s="33" t="n">
        <v>38400</v>
      </c>
      <c r="F263" s="33" t="n">
        <v>37796.06640625</v>
      </c>
      <c r="G263" s="33" t="n">
        <v>632762</v>
      </c>
      <c r="H263" s="38" t="n">
        <v>-0.002597402597402598</v>
      </c>
      <c r="I263" s="38" t="n">
        <v>-0.2470588235294118</v>
      </c>
      <c r="J263" s="33" t="n">
        <v>41102.5</v>
      </c>
      <c r="K263" s="33" t="n">
        <v>43549.16666666666</v>
      </c>
      <c r="L263" s="33" t="n">
        <v>42166.25</v>
      </c>
      <c r="M263" s="38" t="n">
        <v>0.3196684287237065</v>
      </c>
      <c r="N263" s="38" t="n">
        <v>0.3563616442478866</v>
      </c>
      <c r="O263" s="38" t="n">
        <v>-0.08788598574821849</v>
      </c>
      <c r="P263" s="38" t="n">
        <v>-0.1855779427359491</v>
      </c>
      <c r="Q263" s="38" t="n">
        <v>-0.06909090909090909</v>
      </c>
      <c r="R263" s="38" t="n">
        <v>-0.0657502585000912</v>
      </c>
      <c r="S263" s="38" t="n">
        <v>-0.1182380068504946</v>
      </c>
      <c r="T263" s="38" t="n">
        <v>-0.0893190644176326</v>
      </c>
      <c r="U263" s="33" t="n">
        <v>50100</v>
      </c>
      <c r="V263" s="33" t="n">
        <v>29950</v>
      </c>
      <c r="W263" s="38" t="n">
        <v>-0.2335329341317365</v>
      </c>
      <c r="X263" s="38" t="n">
        <v>0.2821368948247078</v>
      </c>
      <c r="Y263" s="33" t="n">
        <v>51414494</v>
      </c>
      <c r="Z263" s="33" t="n">
        <v>1974316569600</v>
      </c>
      <c r="AA263" s="33" t="n">
        <v>24298060800</v>
      </c>
      <c r="AB263" s="33" t="n">
        <v>19273945337.5</v>
      </c>
      <c r="AC263" s="38" t="n">
        <v>0.01230707434366659</v>
      </c>
      <c r="AD263" s="27" t="inlineStr">
        <is>
          <t>yfinance_download</t>
        </is>
      </c>
      <c r="AE263" s="27" t="inlineStr">
        <is>
          <t>005290.KQ</t>
        </is>
      </c>
    </row>
    <row r="264" ht="24" customHeight="1">
      <c r="A264" s="32" t="inlineStr">
        <is>
          <t>2024-07-04</t>
        </is>
      </c>
      <c r="B264" s="34" t="n">
        <v>38600</v>
      </c>
      <c r="C264" s="34" t="n">
        <v>40100</v>
      </c>
      <c r="D264" s="34" t="n">
        <v>38600</v>
      </c>
      <c r="E264" s="34" t="n">
        <v>40000</v>
      </c>
      <c r="F264" s="34" t="n">
        <v>39370.90234375</v>
      </c>
      <c r="G264" s="34" t="n">
        <v>627160</v>
      </c>
      <c r="H264" s="39" t="n">
        <v>0.04166666666666674</v>
      </c>
      <c r="I264" s="39" t="n">
        <v>-0.2156862745098039</v>
      </c>
      <c r="J264" s="34" t="n">
        <v>40977.5</v>
      </c>
      <c r="K264" s="34" t="n">
        <v>43415.83333333334</v>
      </c>
      <c r="L264" s="34" t="n">
        <v>42153.33333333334</v>
      </c>
      <c r="M264" s="39" t="n">
        <v>0.3564847968771517</v>
      </c>
      <c r="N264" s="39" t="n">
        <v>0.3655411477676845</v>
      </c>
      <c r="O264" s="39" t="n">
        <v>-0.05882352941176472</v>
      </c>
      <c r="P264" s="39" t="n">
        <v>-0.1666666666666666</v>
      </c>
      <c r="Q264" s="39" t="n">
        <v>-0.03730445246690739</v>
      </c>
      <c r="R264" s="39" t="n">
        <v>-0.02385455432859496</v>
      </c>
      <c r="S264" s="39" t="n">
        <v>-0.07867713391811748</v>
      </c>
      <c r="T264" s="39" t="n">
        <v>-0.05108334651273139</v>
      </c>
      <c r="U264" s="34" t="n">
        <v>50100</v>
      </c>
      <c r="V264" s="34" t="n">
        <v>29950</v>
      </c>
      <c r="W264" s="39" t="n">
        <v>-0.2015968063872255</v>
      </c>
      <c r="X264" s="39" t="n">
        <v>0.335559265442404</v>
      </c>
      <c r="Y264" s="34" t="n">
        <v>51414494</v>
      </c>
      <c r="Z264" s="34" t="n">
        <v>2056579760000</v>
      </c>
      <c r="AA264" s="34" t="n">
        <v>25086400000</v>
      </c>
      <c r="AB264" s="34" t="n">
        <v>19684355587.5</v>
      </c>
      <c r="AC264" s="39" t="n">
        <v>0.01219811674116641</v>
      </c>
      <c r="AD264" s="32" t="inlineStr">
        <is>
          <t>yfinance_download</t>
        </is>
      </c>
      <c r="AE264" s="32" t="inlineStr">
        <is>
          <t>005290.KQ</t>
        </is>
      </c>
    </row>
    <row r="265" ht="24" customHeight="1">
      <c r="A265" s="27" t="inlineStr">
        <is>
          <t>2024-07-05</t>
        </is>
      </c>
      <c r="B265" s="33" t="n">
        <v>41050</v>
      </c>
      <c r="C265" s="33" t="n">
        <v>41400</v>
      </c>
      <c r="D265" s="33" t="n">
        <v>40150</v>
      </c>
      <c r="E265" s="33" t="n">
        <v>40500</v>
      </c>
      <c r="F265" s="33" t="n">
        <v>39863.0390625</v>
      </c>
      <c r="G265" s="33" t="n">
        <v>679935</v>
      </c>
      <c r="H265" s="38" t="n">
        <v>0.01249999999999996</v>
      </c>
      <c r="I265" s="38" t="n">
        <v>-0.2058823529411765</v>
      </c>
      <c r="J265" s="33" t="n">
        <v>40827.5</v>
      </c>
      <c r="K265" s="33" t="n">
        <v>43283.33333333334</v>
      </c>
      <c r="L265" s="33" t="n">
        <v>42153.75</v>
      </c>
      <c r="M265" s="38" t="n">
        <v>0.3477278351470235</v>
      </c>
      <c r="N265" s="38" t="n">
        <v>0.3660404517815163</v>
      </c>
      <c r="O265" s="38" t="n">
        <v>-0.06896551724137934</v>
      </c>
      <c r="P265" s="38" t="n">
        <v>-0.1640866873065016</v>
      </c>
      <c r="Q265" s="38" t="n">
        <v>0.001236093943139727</v>
      </c>
      <c r="R265" s="38" t="n">
        <v>-0.008021554099565287</v>
      </c>
      <c r="S265" s="38" t="n">
        <v>-0.06430496726992685</v>
      </c>
      <c r="T265" s="38" t="n">
        <v>-0.03923138510808644</v>
      </c>
      <c r="U265" s="33" t="n">
        <v>50100</v>
      </c>
      <c r="V265" s="33" t="n">
        <v>29950</v>
      </c>
      <c r="W265" s="38" t="n">
        <v>-0.1916167664670658</v>
      </c>
      <c r="X265" s="38" t="n">
        <v>0.352253756260434</v>
      </c>
      <c r="Y265" s="33" t="n">
        <v>51414494</v>
      </c>
      <c r="Z265" s="33" t="n">
        <v>2082287007000</v>
      </c>
      <c r="AA265" s="33" t="n">
        <v>27537367500</v>
      </c>
      <c r="AB265" s="33" t="n">
        <v>19942236487.5</v>
      </c>
      <c r="AC265" s="38" t="n">
        <v>0.01322457826775461</v>
      </c>
      <c r="AD265" s="27" t="inlineStr">
        <is>
          <t>yfinance_download</t>
        </is>
      </c>
      <c r="AE265" s="27" t="inlineStr">
        <is>
          <t>005290.KQ</t>
        </is>
      </c>
    </row>
    <row r="266" ht="24" customHeight="1">
      <c r="A266" s="32" t="inlineStr">
        <is>
          <t>2024-07-08</t>
        </is>
      </c>
      <c r="B266" s="34" t="n">
        <v>41000</v>
      </c>
      <c r="C266" s="34" t="n">
        <v>41700</v>
      </c>
      <c r="D266" s="34" t="n">
        <v>40150</v>
      </c>
      <c r="E266" s="34" t="n">
        <v>40400</v>
      </c>
      <c r="F266" s="34" t="n">
        <v>39764.61328125</v>
      </c>
      <c r="G266" s="34" t="n">
        <v>454197</v>
      </c>
      <c r="H266" s="39" t="n">
        <v>-0.002469135802469102</v>
      </c>
      <c r="I266" s="39" t="n">
        <v>-0.207843137254902</v>
      </c>
      <c r="J266" s="34" t="n">
        <v>40687.5</v>
      </c>
      <c r="K266" s="34" t="n">
        <v>43185</v>
      </c>
      <c r="L266" s="34" t="n">
        <v>42160</v>
      </c>
      <c r="M266" s="39" t="n">
        <v>0.3474821122880477</v>
      </c>
      <c r="N266" s="39" t="n">
        <v>0.3555974458922236</v>
      </c>
      <c r="O266" s="39" t="n">
        <v>-0.06481481481481477</v>
      </c>
      <c r="P266" s="39" t="n">
        <v>-0.1274298056155507</v>
      </c>
      <c r="Q266" s="39" t="n">
        <v>0.0189155107187895</v>
      </c>
      <c r="R266" s="39" t="n">
        <v>-0.007066052227342579</v>
      </c>
      <c r="S266" s="39" t="n">
        <v>-0.06448998494847746</v>
      </c>
      <c r="T266" s="39" t="n">
        <v>-0.04174573055028463</v>
      </c>
      <c r="U266" s="34" t="n">
        <v>50100</v>
      </c>
      <c r="V266" s="34" t="n">
        <v>29950</v>
      </c>
      <c r="W266" s="39" t="n">
        <v>-0.1936127744510978</v>
      </c>
      <c r="X266" s="39" t="n">
        <v>0.348914858096828</v>
      </c>
      <c r="Y266" s="34" t="n">
        <v>51414494</v>
      </c>
      <c r="Z266" s="34" t="n">
        <v>2077145557600</v>
      </c>
      <c r="AA266" s="34" t="n">
        <v>18349558800</v>
      </c>
      <c r="AB266" s="34" t="n">
        <v>20315722747.5</v>
      </c>
      <c r="AC266" s="39" t="n">
        <v>0.008834026451762804</v>
      </c>
      <c r="AD266" s="32" t="inlineStr">
        <is>
          <t>yfinance_download</t>
        </is>
      </c>
      <c r="AE266" s="32" t="inlineStr">
        <is>
          <t>005290.KQ</t>
        </is>
      </c>
    </row>
    <row r="267" ht="24" customHeight="1">
      <c r="A267" s="27" t="inlineStr">
        <is>
          <t>2024-07-09</t>
        </is>
      </c>
      <c r="B267" s="33" t="n">
        <v>40600</v>
      </c>
      <c r="C267" s="33" t="n">
        <v>40750</v>
      </c>
      <c r="D267" s="33" t="n">
        <v>39600</v>
      </c>
      <c r="E267" s="33" t="n">
        <v>39750</v>
      </c>
      <c r="F267" s="33" t="n">
        <v>39124.8359375</v>
      </c>
      <c r="G267" s="33" t="n">
        <v>513311</v>
      </c>
      <c r="H267" s="38" t="n">
        <v>-0.0160891089108911</v>
      </c>
      <c r="I267" s="38" t="n">
        <v>-0.2205882352941176</v>
      </c>
      <c r="J267" s="33" t="n">
        <v>40560</v>
      </c>
      <c r="K267" s="33" t="n">
        <v>43072.5</v>
      </c>
      <c r="L267" s="33" t="n">
        <v>42140.83333333334</v>
      </c>
      <c r="M267" s="38" t="n">
        <v>0.3446707782234061</v>
      </c>
      <c r="N267" s="38" t="n">
        <v>0.3565016002394045</v>
      </c>
      <c r="O267" s="38" t="n">
        <v>-0.06028368794326244</v>
      </c>
      <c r="P267" s="38" t="n">
        <v>-0.1451612903225806</v>
      </c>
      <c r="Q267" s="38" t="n">
        <v>-0.05469678953626633</v>
      </c>
      <c r="R267" s="38" t="n">
        <v>-0.0199704142011834</v>
      </c>
      <c r="S267" s="38" t="n">
        <v>-0.07713738464217312</v>
      </c>
      <c r="T267" s="38" t="n">
        <v>-0.05673436294963319</v>
      </c>
      <c r="U267" s="33" t="n">
        <v>50100</v>
      </c>
      <c r="V267" s="33" t="n">
        <v>29950</v>
      </c>
      <c r="W267" s="38" t="n">
        <v>-0.2065868263473054</v>
      </c>
      <c r="X267" s="38" t="n">
        <v>0.327212020033389</v>
      </c>
      <c r="Y267" s="33" t="n">
        <v>51414494</v>
      </c>
      <c r="Z267" s="33" t="n">
        <v>2043726136500</v>
      </c>
      <c r="AA267" s="33" t="n">
        <v>20404112250</v>
      </c>
      <c r="AB267" s="33" t="n">
        <v>20593785435</v>
      </c>
      <c r="AC267" s="38" t="n">
        <v>0.009983780060151909</v>
      </c>
      <c r="AD267" s="27" t="inlineStr">
        <is>
          <t>yfinance_download</t>
        </is>
      </c>
      <c r="AE267" s="27" t="inlineStr">
        <is>
          <t>005290.KQ</t>
        </is>
      </c>
    </row>
    <row r="268" ht="24" customHeight="1">
      <c r="A268" s="32" t="inlineStr">
        <is>
          <t>2024-07-10</t>
        </is>
      </c>
      <c r="B268" s="34" t="n">
        <v>39750</v>
      </c>
      <c r="C268" s="34" t="n">
        <v>39750</v>
      </c>
      <c r="D268" s="34" t="n">
        <v>38200</v>
      </c>
      <c r="E268" s="34" t="n">
        <v>38650</v>
      </c>
      <c r="F268" s="34" t="n">
        <v>38042.13671875</v>
      </c>
      <c r="G268" s="34" t="n">
        <v>820678</v>
      </c>
      <c r="H268" s="39" t="n">
        <v>-0.02767295597484276</v>
      </c>
      <c r="I268" s="39" t="n">
        <v>-0.2421568627450981</v>
      </c>
      <c r="J268" s="34" t="n">
        <v>40367.5</v>
      </c>
      <c r="K268" s="34" t="n">
        <v>42917.5</v>
      </c>
      <c r="L268" s="34" t="n">
        <v>42114.58333333334</v>
      </c>
      <c r="M268" s="39" t="n">
        <v>0.3542406467426281</v>
      </c>
      <c r="N268" s="39" t="n">
        <v>0.3532379978199485</v>
      </c>
      <c r="O268" s="39" t="n">
        <v>-0.09058823529411764</v>
      </c>
      <c r="P268" s="39" t="n">
        <v>-0.1939520333680917</v>
      </c>
      <c r="Q268" s="39" t="n">
        <v>-0.07535885167464118</v>
      </c>
      <c r="R268" s="39" t="n">
        <v>-0.04254660308416425</v>
      </c>
      <c r="S268" s="39" t="n">
        <v>-0.09943496242791405</v>
      </c>
      <c r="T268" s="39" t="n">
        <v>-0.08226564432352224</v>
      </c>
      <c r="U268" s="34" t="n">
        <v>50100</v>
      </c>
      <c r="V268" s="34" t="n">
        <v>29950</v>
      </c>
      <c r="W268" s="39" t="n">
        <v>-0.2285429141716567</v>
      </c>
      <c r="X268" s="39" t="n">
        <v>0.2904841402337228</v>
      </c>
      <c r="Y268" s="34" t="n">
        <v>51414494</v>
      </c>
      <c r="Z268" s="34" t="n">
        <v>1987170193100</v>
      </c>
      <c r="AA268" s="34" t="n">
        <v>31719204700</v>
      </c>
      <c r="AB268" s="34" t="n">
        <v>21519644170</v>
      </c>
      <c r="AC268" s="39" t="n">
        <v>0.01596199701975089</v>
      </c>
      <c r="AD268" s="32" t="inlineStr">
        <is>
          <t>yfinance_download</t>
        </is>
      </c>
      <c r="AE268" s="32" t="inlineStr">
        <is>
          <t>005290.KQ</t>
        </is>
      </c>
    </row>
    <row r="269" ht="24" customHeight="1">
      <c r="A269" s="27" t="inlineStr">
        <is>
          <t>2024-07-11</t>
        </is>
      </c>
      <c r="B269" s="33" t="n">
        <v>39000</v>
      </c>
      <c r="C269" s="33" t="n">
        <v>39300</v>
      </c>
      <c r="D269" s="33" t="n">
        <v>38550</v>
      </c>
      <c r="E269" s="33" t="n">
        <v>38600</v>
      </c>
      <c r="F269" s="33" t="n">
        <v>37992.921875</v>
      </c>
      <c r="G269" s="33" t="n">
        <v>538019</v>
      </c>
      <c r="H269" s="38" t="n">
        <v>-0.001293661060802087</v>
      </c>
      <c r="I269" s="38" t="n">
        <v>-0.2431372549019608</v>
      </c>
      <c r="J269" s="33" t="n">
        <v>40195</v>
      </c>
      <c r="K269" s="33" t="n">
        <v>42778.33333333334</v>
      </c>
      <c r="L269" s="33" t="n">
        <v>42094.58333333334</v>
      </c>
      <c r="M269" s="38" t="n">
        <v>0.3536580070217109</v>
      </c>
      <c r="N269" s="38" t="n">
        <v>0.3513657220925586</v>
      </c>
      <c r="O269" s="38" t="n">
        <v>-0.08204518430439955</v>
      </c>
      <c r="P269" s="38" t="n">
        <v>-0.1778487752928648</v>
      </c>
      <c r="Q269" s="38" t="n">
        <v>-0.05853658536585371</v>
      </c>
      <c r="R269" s="38" t="n">
        <v>-0.03968155243189453</v>
      </c>
      <c r="S269" s="38" t="n">
        <v>-0.0976740561810886</v>
      </c>
      <c r="T269" s="38" t="n">
        <v>-0.08301741118710848</v>
      </c>
      <c r="U269" s="33" t="n">
        <v>50100</v>
      </c>
      <c r="V269" s="33" t="n">
        <v>29950</v>
      </c>
      <c r="W269" s="38" t="n">
        <v>-0.2295409181636726</v>
      </c>
      <c r="X269" s="38" t="n">
        <v>0.2888146911519198</v>
      </c>
      <c r="Y269" s="33" t="n">
        <v>51414494</v>
      </c>
      <c r="Z269" s="33" t="n">
        <v>1984599468400</v>
      </c>
      <c r="AA269" s="33" t="n">
        <v>20767533400</v>
      </c>
      <c r="AB269" s="33" t="n">
        <v>20800587345</v>
      </c>
      <c r="AC269" s="38" t="n">
        <v>0.01046434493744118</v>
      </c>
      <c r="AD269" s="27" t="inlineStr">
        <is>
          <t>yfinance_download</t>
        </is>
      </c>
      <c r="AE269" s="27" t="inlineStr">
        <is>
          <t>005290.KQ</t>
        </is>
      </c>
    </row>
    <row r="270" ht="24" customHeight="1">
      <c r="A270" s="32" t="inlineStr">
        <is>
          <t>2024-07-12</t>
        </is>
      </c>
      <c r="B270" s="34" t="n">
        <v>38350</v>
      </c>
      <c r="C270" s="34" t="n">
        <v>38550</v>
      </c>
      <c r="D270" s="34" t="n">
        <v>37900</v>
      </c>
      <c r="E270" s="34" t="n">
        <v>38300</v>
      </c>
      <c r="F270" s="34" t="n">
        <v>37697.640625</v>
      </c>
      <c r="G270" s="34" t="n">
        <v>433797</v>
      </c>
      <c r="H270" s="39" t="n">
        <v>-0.007772020725388629</v>
      </c>
      <c r="I270" s="39" t="n">
        <v>-0.2490196078431373</v>
      </c>
      <c r="J270" s="34" t="n">
        <v>40042.5</v>
      </c>
      <c r="K270" s="34" t="n">
        <v>42615.83333333334</v>
      </c>
      <c r="L270" s="34" t="n">
        <v>42075</v>
      </c>
      <c r="M270" s="39" t="n">
        <v>0.3508525656486152</v>
      </c>
      <c r="N270" s="39" t="n">
        <v>0.3471281750198806</v>
      </c>
      <c r="O270" s="39" t="n">
        <v>-0.07376058041112454</v>
      </c>
      <c r="P270" s="39" t="n">
        <v>-0.2029136316337149</v>
      </c>
      <c r="Q270" s="39" t="n">
        <v>-0.05781057810578105</v>
      </c>
      <c r="R270" s="39" t="n">
        <v>-0.04351626396953234</v>
      </c>
      <c r="S270" s="39" t="n">
        <v>-0.101273001036391</v>
      </c>
      <c r="T270" s="39" t="n">
        <v>-0.08972073677956027</v>
      </c>
      <c r="U270" s="34" t="n">
        <v>50100</v>
      </c>
      <c r="V270" s="34" t="n">
        <v>29950</v>
      </c>
      <c r="W270" s="39" t="n">
        <v>-0.2355289421157685</v>
      </c>
      <c r="X270" s="39" t="n">
        <v>0.2787979966611018</v>
      </c>
      <c r="Y270" s="34" t="n">
        <v>51414494</v>
      </c>
      <c r="Z270" s="34" t="n">
        <v>1969175120200</v>
      </c>
      <c r="AA270" s="34" t="n">
        <v>16614425100</v>
      </c>
      <c r="AB270" s="34" t="n">
        <v>20270459425</v>
      </c>
      <c r="AC270" s="39" t="n">
        <v>0.008437251176681813</v>
      </c>
      <c r="AD270" s="32" t="inlineStr">
        <is>
          <t>yfinance_download</t>
        </is>
      </c>
      <c r="AE270" s="32" t="inlineStr">
        <is>
          <t>005290.KQ</t>
        </is>
      </c>
    </row>
    <row r="271" ht="24" customHeight="1">
      <c r="A271" s="27" t="inlineStr">
        <is>
          <t>2024-07-15</t>
        </is>
      </c>
      <c r="B271" s="33" t="n">
        <v>38550</v>
      </c>
      <c r="C271" s="33" t="n">
        <v>39150</v>
      </c>
      <c r="D271" s="33" t="n">
        <v>37850</v>
      </c>
      <c r="E271" s="33" t="n">
        <v>38900</v>
      </c>
      <c r="F271" s="33" t="n">
        <v>38288.203125</v>
      </c>
      <c r="G271" s="33" t="n">
        <v>395437</v>
      </c>
      <c r="H271" s="38" t="n">
        <v>0.0156657963446476</v>
      </c>
      <c r="I271" s="38" t="n">
        <v>-0.2372549019607844</v>
      </c>
      <c r="J271" s="33" t="n">
        <v>39950</v>
      </c>
      <c r="K271" s="33" t="n">
        <v>42495.83333333334</v>
      </c>
      <c r="L271" s="33" t="n">
        <v>42066.66666666666</v>
      </c>
      <c r="M271" s="38" t="n">
        <v>0.3547271487022752</v>
      </c>
      <c r="N271" s="38" t="n">
        <v>0.340566954238363</v>
      </c>
      <c r="O271" s="38" t="n">
        <v>-0.04539877300613493</v>
      </c>
      <c r="P271" s="38" t="n">
        <v>-0.1561822125813449</v>
      </c>
      <c r="Q271" s="38" t="n">
        <v>-0.02506265664160401</v>
      </c>
      <c r="R271" s="38" t="n">
        <v>-0.0262828535669587</v>
      </c>
      <c r="S271" s="38" t="n">
        <v>-0.08461613883714092</v>
      </c>
      <c r="T271" s="38" t="n">
        <v>-0.07527733755942945</v>
      </c>
      <c r="U271" s="33" t="n">
        <v>50100</v>
      </c>
      <c r="V271" s="33" t="n">
        <v>29950</v>
      </c>
      <c r="W271" s="38" t="n">
        <v>-0.2235528942115769</v>
      </c>
      <c r="X271" s="38" t="n">
        <v>0.2988313856427378</v>
      </c>
      <c r="Y271" s="33" t="n">
        <v>51414494</v>
      </c>
      <c r="Z271" s="33" t="n">
        <v>2000023816600</v>
      </c>
      <c r="AA271" s="33" t="n">
        <v>15382499300</v>
      </c>
      <c r="AB271" s="33" t="n">
        <v>20048383427.5</v>
      </c>
      <c r="AC271" s="38" t="n">
        <v>0.007691158061382457</v>
      </c>
      <c r="AD271" s="27" t="inlineStr">
        <is>
          <t>yfinance_download</t>
        </is>
      </c>
      <c r="AE271" s="27" t="inlineStr">
        <is>
          <t>005290.KQ</t>
        </is>
      </c>
    </row>
    <row r="272" ht="24" customHeight="1">
      <c r="A272" s="32" t="inlineStr">
        <is>
          <t>2024-07-16</t>
        </is>
      </c>
      <c r="B272" s="34" t="n">
        <v>38900</v>
      </c>
      <c r="C272" s="34" t="n">
        <v>39050</v>
      </c>
      <c r="D272" s="34" t="n">
        <v>38500</v>
      </c>
      <c r="E272" s="34" t="n">
        <v>38600</v>
      </c>
      <c r="F272" s="34" t="n">
        <v>37992.921875</v>
      </c>
      <c r="G272" s="34" t="n">
        <v>283744</v>
      </c>
      <c r="H272" s="39" t="n">
        <v>-0.007712082262210762</v>
      </c>
      <c r="I272" s="39" t="n">
        <v>-0.2431372549019608</v>
      </c>
      <c r="J272" s="34" t="n">
        <v>39770</v>
      </c>
      <c r="K272" s="34" t="n">
        <v>42370</v>
      </c>
      <c r="L272" s="34" t="n">
        <v>42049.16666666666</v>
      </c>
      <c r="M272" s="39" t="n">
        <v>0.325870750760238</v>
      </c>
      <c r="N272" s="39" t="n">
        <v>0.3406376921141138</v>
      </c>
      <c r="O272" s="39" t="n">
        <v>-0.08530805687203791</v>
      </c>
      <c r="P272" s="39" t="n">
        <v>-0.1635969664138678</v>
      </c>
      <c r="Q272" s="39" t="n">
        <v>-0.05159705159705164</v>
      </c>
      <c r="R272" s="39" t="n">
        <v>-0.02941916017098312</v>
      </c>
      <c r="S272" s="39" t="n">
        <v>-0.08897805050743446</v>
      </c>
      <c r="T272" s="39" t="n">
        <v>-0.08202699221149834</v>
      </c>
      <c r="U272" s="34" t="n">
        <v>50100</v>
      </c>
      <c r="V272" s="34" t="n">
        <v>29950</v>
      </c>
      <c r="W272" s="39" t="n">
        <v>-0.2295409181636726</v>
      </c>
      <c r="X272" s="39" t="n">
        <v>0.2888146911519198</v>
      </c>
      <c r="Y272" s="34" t="n">
        <v>51414494</v>
      </c>
      <c r="Z272" s="34" t="n">
        <v>1984599468400</v>
      </c>
      <c r="AA272" s="34" t="n">
        <v>10952518400</v>
      </c>
      <c r="AB272" s="34" t="n">
        <v>19472041887.5</v>
      </c>
      <c r="AC272" s="39" t="n">
        <v>0.005518755081008869</v>
      </c>
      <c r="AD272" s="32" t="inlineStr">
        <is>
          <t>yfinance_download</t>
        </is>
      </c>
      <c r="AE272" s="32" t="inlineStr">
        <is>
          <t>005290.KQ</t>
        </is>
      </c>
    </row>
    <row r="273" ht="24" customHeight="1">
      <c r="A273" s="27" t="inlineStr">
        <is>
          <t>2024-07-17</t>
        </is>
      </c>
      <c r="B273" s="33" t="n">
        <v>38750</v>
      </c>
      <c r="C273" s="33" t="n">
        <v>38750</v>
      </c>
      <c r="D273" s="33" t="n">
        <v>37350</v>
      </c>
      <c r="E273" s="33" t="n">
        <v>37500</v>
      </c>
      <c r="F273" s="33" t="n">
        <v>36910.22265625</v>
      </c>
      <c r="G273" s="33" t="n">
        <v>565558</v>
      </c>
      <c r="H273" s="38" t="n">
        <v>-0.02849740932642486</v>
      </c>
      <c r="I273" s="38" t="n">
        <v>-0.2647058823529411</v>
      </c>
      <c r="J273" s="33" t="n">
        <v>39502.5</v>
      </c>
      <c r="K273" s="33" t="n">
        <v>42219.16666666666</v>
      </c>
      <c r="L273" s="33" t="n">
        <v>42011.66666666666</v>
      </c>
      <c r="M273" s="38" t="n">
        <v>0.3280111904385952</v>
      </c>
      <c r="N273" s="38" t="n">
        <v>0.3438193786570966</v>
      </c>
      <c r="O273" s="38" t="n">
        <v>-0.1248541423570595</v>
      </c>
      <c r="P273" s="38" t="n">
        <v>-0.1944146079484426</v>
      </c>
      <c r="Q273" s="38" t="n">
        <v>-0.1071428571428571</v>
      </c>
      <c r="R273" s="38" t="n">
        <v>-0.05069299411429662</v>
      </c>
      <c r="S273" s="38" t="n">
        <v>-0.1117778260268835</v>
      </c>
      <c r="T273" s="38" t="n">
        <v>-0.1073908041417067</v>
      </c>
      <c r="U273" s="33" t="n">
        <v>50100</v>
      </c>
      <c r="V273" s="33" t="n">
        <v>29950</v>
      </c>
      <c r="W273" s="38" t="n">
        <v>-0.2514970059880239</v>
      </c>
      <c r="X273" s="38" t="n">
        <v>0.2520868113522539</v>
      </c>
      <c r="Y273" s="33" t="n">
        <v>51414494</v>
      </c>
      <c r="Z273" s="33" t="n">
        <v>1928043525000</v>
      </c>
      <c r="AA273" s="33" t="n">
        <v>21208425000</v>
      </c>
      <c r="AB273" s="33" t="n">
        <v>19400683227.5</v>
      </c>
      <c r="AC273" s="38" t="n">
        <v>0.01099997210903213</v>
      </c>
      <c r="AD273" s="27" t="inlineStr">
        <is>
          <t>yfinance_download</t>
        </is>
      </c>
      <c r="AE273" s="27" t="inlineStr">
        <is>
          <t>005290.KQ</t>
        </is>
      </c>
    </row>
    <row r="274" ht="24" customHeight="1">
      <c r="A274" s="32" t="inlineStr">
        <is>
          <t>2024-07-18</t>
        </is>
      </c>
      <c r="B274" s="34" t="n">
        <v>36350</v>
      </c>
      <c r="C274" s="34" t="n">
        <v>37550</v>
      </c>
      <c r="D274" s="34" t="n">
        <v>36150</v>
      </c>
      <c r="E274" s="34" t="n">
        <v>37550</v>
      </c>
      <c r="F274" s="34" t="n">
        <v>36959.4375</v>
      </c>
      <c r="G274" s="34" t="n">
        <v>552539</v>
      </c>
      <c r="H274" s="39" t="n">
        <v>0.001333333333333409</v>
      </c>
      <c r="I274" s="39" t="n">
        <v>-0.2637254901960784</v>
      </c>
      <c r="J274" s="34" t="n">
        <v>39290</v>
      </c>
      <c r="K274" s="34" t="n">
        <v>42105.83333333334</v>
      </c>
      <c r="L274" s="34" t="n">
        <v>41972.91666666666</v>
      </c>
      <c r="M274" s="39" t="n">
        <v>0.3219070375110931</v>
      </c>
      <c r="N274" s="39" t="n">
        <v>0.3315238392495398</v>
      </c>
      <c r="O274" s="39" t="n">
        <v>-0.1016746411483254</v>
      </c>
      <c r="P274" s="39" t="n">
        <v>-0.153325817361894</v>
      </c>
      <c r="Q274" s="39" t="n">
        <v>-0.1101895734597157</v>
      </c>
      <c r="R274" s="39" t="n">
        <v>-0.04428607788241279</v>
      </c>
      <c r="S274" s="39" t="n">
        <v>-0.1081995764640687</v>
      </c>
      <c r="T274" s="39" t="n">
        <v>-0.1053754901474164</v>
      </c>
      <c r="U274" s="34" t="n">
        <v>50100</v>
      </c>
      <c r="V274" s="34" t="n">
        <v>29950</v>
      </c>
      <c r="W274" s="39" t="n">
        <v>-0.2504990019960079</v>
      </c>
      <c r="X274" s="39" t="n">
        <v>0.2537562604340569</v>
      </c>
      <c r="Y274" s="34" t="n">
        <v>51414494</v>
      </c>
      <c r="Z274" s="34" t="n">
        <v>1930614249700</v>
      </c>
      <c r="AA274" s="34" t="n">
        <v>20747839450</v>
      </c>
      <c r="AB274" s="34" t="n">
        <v>19375310200</v>
      </c>
      <c r="AC274" s="39" t="n">
        <v>0.01074675557441059</v>
      </c>
      <c r="AD274" s="32" t="inlineStr">
        <is>
          <t>yfinance_download</t>
        </is>
      </c>
      <c r="AE274" s="32" t="inlineStr">
        <is>
          <t>005290.KQ</t>
        </is>
      </c>
    </row>
    <row r="275" ht="24" customHeight="1">
      <c r="A275" s="27" t="inlineStr">
        <is>
          <t>2024-07-19</t>
        </is>
      </c>
      <c r="B275" s="33" t="n">
        <v>37100</v>
      </c>
      <c r="C275" s="33" t="n">
        <v>38050</v>
      </c>
      <c r="D275" s="33" t="n">
        <v>36900</v>
      </c>
      <c r="E275" s="33" t="n">
        <v>37600</v>
      </c>
      <c r="F275" s="33" t="n">
        <v>37008.6484375</v>
      </c>
      <c r="G275" s="33" t="n">
        <v>306759</v>
      </c>
      <c r="H275" s="38" t="n">
        <v>0.001331557922769733</v>
      </c>
      <c r="I275" s="38" t="n">
        <v>-0.2627450980392156</v>
      </c>
      <c r="J275" s="33" t="n">
        <v>39157.5</v>
      </c>
      <c r="K275" s="33" t="n">
        <v>42010</v>
      </c>
      <c r="L275" s="33" t="n">
        <v>41941.25</v>
      </c>
      <c r="M275" s="38" t="n">
        <v>0.2994672303566007</v>
      </c>
      <c r="N275" s="38" t="n">
        <v>0.3289753450235864</v>
      </c>
      <c r="O275" s="38" t="n">
        <v>-0.06583850931677016</v>
      </c>
      <c r="P275" s="38" t="n">
        <v>-0.1326412918108419</v>
      </c>
      <c r="Q275" s="38" t="n">
        <v>-0.09178743961352653</v>
      </c>
      <c r="R275" s="38" t="n">
        <v>-0.03977526655174612</v>
      </c>
      <c r="S275" s="38" t="n">
        <v>-0.1049750059509641</v>
      </c>
      <c r="T275" s="38" t="n">
        <v>-0.1035078830506959</v>
      </c>
      <c r="U275" s="33" t="n">
        <v>50100</v>
      </c>
      <c r="V275" s="33" t="n">
        <v>29950</v>
      </c>
      <c r="W275" s="38" t="n">
        <v>-0.2495009980039921</v>
      </c>
      <c r="X275" s="38" t="n">
        <v>0.2554257095158599</v>
      </c>
      <c r="Y275" s="33" t="n">
        <v>51414494</v>
      </c>
      <c r="Z275" s="33" t="n">
        <v>1933184974400</v>
      </c>
      <c r="AA275" s="33" t="n">
        <v>11534138400</v>
      </c>
      <c r="AB275" s="33" t="n">
        <v>18640519170</v>
      </c>
      <c r="AC275" s="38" t="n">
        <v>0.005966391500420096</v>
      </c>
      <c r="AD275" s="27" t="inlineStr">
        <is>
          <t>yfinance_download</t>
        </is>
      </c>
      <c r="AE275" s="27" t="inlineStr">
        <is>
          <t>005290.KQ</t>
        </is>
      </c>
    </row>
    <row r="276" ht="24" customHeight="1">
      <c r="A276" s="32" t="inlineStr">
        <is>
          <t>2024-07-22</t>
        </is>
      </c>
      <c r="B276" s="34" t="n">
        <v>37600</v>
      </c>
      <c r="C276" s="34" t="n">
        <v>37750</v>
      </c>
      <c r="D276" s="34" t="n">
        <v>36200</v>
      </c>
      <c r="E276" s="34" t="n">
        <v>36500</v>
      </c>
      <c r="F276" s="34" t="n">
        <v>35925.94921875</v>
      </c>
      <c r="G276" s="34" t="n">
        <v>432917</v>
      </c>
      <c r="H276" s="39" t="n">
        <v>-0.0292553191489362</v>
      </c>
      <c r="I276" s="39" t="n">
        <v>-0.2843137254901961</v>
      </c>
      <c r="J276" s="34" t="n">
        <v>38987.5</v>
      </c>
      <c r="K276" s="34" t="n">
        <v>41901.66666666666</v>
      </c>
      <c r="L276" s="34" t="n">
        <v>41891.25</v>
      </c>
      <c r="M276" s="39" t="n">
        <v>0.3130291312929671</v>
      </c>
      <c r="N276" s="39" t="n">
        <v>0.3334361528586326</v>
      </c>
      <c r="O276" s="39" t="n">
        <v>-0.08521303258145363</v>
      </c>
      <c r="P276" s="39" t="n">
        <v>-0.1511627906976745</v>
      </c>
      <c r="Q276" s="39" t="n">
        <v>-0.1411764705882353</v>
      </c>
      <c r="R276" s="39" t="n">
        <v>-0.06380250080153893</v>
      </c>
      <c r="S276" s="39" t="n">
        <v>-0.1289129310687721</v>
      </c>
      <c r="T276" s="39" t="n">
        <v>-0.1286963267985558</v>
      </c>
      <c r="U276" s="34" t="n">
        <v>50100</v>
      </c>
      <c r="V276" s="34" t="n">
        <v>29950</v>
      </c>
      <c r="W276" s="39" t="n">
        <v>-0.2714570858283433</v>
      </c>
      <c r="X276" s="39" t="n">
        <v>0.2186978297161937</v>
      </c>
      <c r="Y276" s="34" t="n">
        <v>51414494</v>
      </c>
      <c r="Z276" s="34" t="n">
        <v>1876629031000</v>
      </c>
      <c r="AA276" s="34" t="n">
        <v>15801470500</v>
      </c>
      <c r="AB276" s="34" t="n">
        <v>18734461385</v>
      </c>
      <c r="AC276" s="39" t="n">
        <v>0.008420135380501848</v>
      </c>
      <c r="AD276" s="32" t="inlineStr">
        <is>
          <t>yfinance_download</t>
        </is>
      </c>
      <c r="AE276" s="32" t="inlineStr">
        <is>
          <t>005290.KQ</t>
        </is>
      </c>
    </row>
    <row r="277" ht="24" customHeight="1">
      <c r="A277" s="27" t="inlineStr">
        <is>
          <t>2024-07-23</t>
        </is>
      </c>
      <c r="B277" s="33" t="n">
        <v>37000</v>
      </c>
      <c r="C277" s="33" t="n">
        <v>37350</v>
      </c>
      <c r="D277" s="33" t="n">
        <v>35700</v>
      </c>
      <c r="E277" s="33" t="n">
        <v>35850</v>
      </c>
      <c r="F277" s="33" t="n">
        <v>35286.171875</v>
      </c>
      <c r="G277" s="33" t="n">
        <v>438609</v>
      </c>
      <c r="H277" s="38" t="n">
        <v>-0.01780821917808217</v>
      </c>
      <c r="I277" s="38" t="n">
        <v>-0.2970588235294118</v>
      </c>
      <c r="J277" s="33" t="n">
        <v>38815</v>
      </c>
      <c r="K277" s="33" t="n">
        <v>41770</v>
      </c>
      <c r="L277" s="33" t="n">
        <v>41838.33333333334</v>
      </c>
      <c r="M277" s="38" t="n">
        <v>0.3144458166660222</v>
      </c>
      <c r="N277" s="38" t="n">
        <v>0.3322506034592686</v>
      </c>
      <c r="O277" s="38" t="n">
        <v>-0.08778625954198471</v>
      </c>
      <c r="P277" s="38" t="n">
        <v>-0.1805714285714286</v>
      </c>
      <c r="Q277" s="38" t="n">
        <v>-0.1504739336492891</v>
      </c>
      <c r="R277" s="38" t="n">
        <v>-0.07638799433208809</v>
      </c>
      <c r="S277" s="38" t="n">
        <v>-0.1417285132870482</v>
      </c>
      <c r="T277" s="38" t="n">
        <v>-0.1431303031510178</v>
      </c>
      <c r="U277" s="33" t="n">
        <v>50100</v>
      </c>
      <c r="V277" s="33" t="n">
        <v>29950</v>
      </c>
      <c r="W277" s="38" t="n">
        <v>-0.2844311377245509</v>
      </c>
      <c r="X277" s="38" t="n">
        <v>0.1969949916527547</v>
      </c>
      <c r="Y277" s="33" t="n">
        <v>51414494</v>
      </c>
      <c r="Z277" s="33" t="n">
        <v>1843209609900</v>
      </c>
      <c r="AA277" s="33" t="n">
        <v>15724132650</v>
      </c>
      <c r="AB277" s="33" t="n">
        <v>18655360617.5</v>
      </c>
      <c r="AC277" s="38" t="n">
        <v>0.0085308434621568</v>
      </c>
      <c r="AD277" s="27" t="inlineStr">
        <is>
          <t>yfinance_download</t>
        </is>
      </c>
      <c r="AE277" s="27" t="inlineStr">
        <is>
          <t>005290.KQ</t>
        </is>
      </c>
    </row>
    <row r="278" ht="24" customHeight="1">
      <c r="A278" s="32" t="inlineStr">
        <is>
          <t>2024-07-24</t>
        </is>
      </c>
      <c r="B278" s="34" t="n">
        <v>35450</v>
      </c>
      <c r="C278" s="34" t="n">
        <v>36400</v>
      </c>
      <c r="D278" s="34" t="n">
        <v>35350</v>
      </c>
      <c r="E278" s="34" t="n">
        <v>36000</v>
      </c>
      <c r="F278" s="34" t="n">
        <v>35433.8125</v>
      </c>
      <c r="G278" s="34" t="n">
        <v>326995</v>
      </c>
      <c r="H278" s="39" t="n">
        <v>0.004184100418409997</v>
      </c>
      <c r="I278" s="39" t="n">
        <v>-0.2941176470588235</v>
      </c>
      <c r="J278" s="34" t="n">
        <v>38597.5</v>
      </c>
      <c r="K278" s="34" t="n">
        <v>41655.83333333334</v>
      </c>
      <c r="L278" s="34" t="n">
        <v>41790.83333333334</v>
      </c>
      <c r="M278" s="39" t="n">
        <v>0.2944076503608486</v>
      </c>
      <c r="N278" s="39" t="n">
        <v>0.3305589472129786</v>
      </c>
      <c r="O278" s="39" t="n">
        <v>-0.1078066914498141</v>
      </c>
      <c r="P278" s="39" t="n">
        <v>-0.1598599766627772</v>
      </c>
      <c r="Q278" s="39" t="n">
        <v>-0.1366906474820144</v>
      </c>
      <c r="R278" s="39" t="n">
        <v>-0.06729710473476258</v>
      </c>
      <c r="S278" s="39" t="n">
        <v>-0.1357753015784104</v>
      </c>
      <c r="T278" s="39" t="n">
        <v>-0.1385670701310097</v>
      </c>
      <c r="U278" s="34" t="n">
        <v>50100</v>
      </c>
      <c r="V278" s="34" t="n">
        <v>29950</v>
      </c>
      <c r="W278" s="39" t="n">
        <v>-0.281437125748503</v>
      </c>
      <c r="X278" s="39" t="n">
        <v>0.2020033388981637</v>
      </c>
      <c r="Y278" s="34" t="n">
        <v>51414494</v>
      </c>
      <c r="Z278" s="34" t="n">
        <v>1850921784000</v>
      </c>
      <c r="AA278" s="34" t="n">
        <v>11771820000</v>
      </c>
      <c r="AB278" s="34" t="n">
        <v>18518038977.5</v>
      </c>
      <c r="AC278" s="39" t="n">
        <v>0.00635997701348573</v>
      </c>
      <c r="AD278" s="32" t="inlineStr">
        <is>
          <t>yfinance_download</t>
        </is>
      </c>
      <c r="AE278" s="32" t="inlineStr">
        <is>
          <t>005290.KQ</t>
        </is>
      </c>
    </row>
    <row r="279" ht="24" customHeight="1">
      <c r="A279" s="27" t="inlineStr">
        <is>
          <t>2024-07-25</t>
        </is>
      </c>
      <c r="B279" s="33" t="n">
        <v>35950</v>
      </c>
      <c r="C279" s="33" t="n">
        <v>35950</v>
      </c>
      <c r="D279" s="33" t="n">
        <v>34900</v>
      </c>
      <c r="E279" s="33" t="n">
        <v>35000</v>
      </c>
      <c r="F279" s="33" t="n">
        <v>34449.5390625</v>
      </c>
      <c r="G279" s="33" t="n">
        <v>396526</v>
      </c>
      <c r="H279" s="38" t="n">
        <v>-0.02777777777777779</v>
      </c>
      <c r="I279" s="38" t="n">
        <v>-0.3137254901960784</v>
      </c>
      <c r="J279" s="33" t="n">
        <v>38342.5</v>
      </c>
      <c r="K279" s="33" t="n">
        <v>41505</v>
      </c>
      <c r="L279" s="33" t="n">
        <v>41744.16666666666</v>
      </c>
      <c r="M279" s="38" t="n">
        <v>0.3048434833183439</v>
      </c>
      <c r="N279" s="38" t="n">
        <v>0.3281982539758994</v>
      </c>
      <c r="O279" s="38" t="n">
        <v>-0.1271820448877805</v>
      </c>
      <c r="P279" s="38" t="n">
        <v>-0.2054483541430193</v>
      </c>
      <c r="Q279" s="38" t="n">
        <v>-0.1379310344827587</v>
      </c>
      <c r="R279" s="38" t="n">
        <v>-0.08717480602464633</v>
      </c>
      <c r="S279" s="38" t="n">
        <v>-0.1567281050475846</v>
      </c>
      <c r="T279" s="38" t="n">
        <v>-0.1615594993312438</v>
      </c>
      <c r="U279" s="33" t="n">
        <v>50100</v>
      </c>
      <c r="V279" s="33" t="n">
        <v>29950</v>
      </c>
      <c r="W279" s="38" t="n">
        <v>-0.3013972055888223</v>
      </c>
      <c r="X279" s="38" t="n">
        <v>0.1686143572621035</v>
      </c>
      <c r="Y279" s="33" t="n">
        <v>51414494</v>
      </c>
      <c r="Z279" s="33" t="n">
        <v>1799507290000</v>
      </c>
      <c r="AA279" s="33" t="n">
        <v>13878410000</v>
      </c>
      <c r="AB279" s="33" t="n">
        <v>18729269762.5</v>
      </c>
      <c r="AC279" s="38" t="n">
        <v>0.007712338859155164</v>
      </c>
      <c r="AD279" s="27" t="inlineStr">
        <is>
          <t>yfinance_download</t>
        </is>
      </c>
      <c r="AE279" s="27" t="inlineStr">
        <is>
          <t>005290.KQ</t>
        </is>
      </c>
    </row>
    <row r="280" ht="24" customHeight="1">
      <c r="A280" s="32" t="inlineStr">
        <is>
          <t>2024-07-26</t>
        </is>
      </c>
      <c r="B280" s="34" t="n">
        <v>35300</v>
      </c>
      <c r="C280" s="34" t="n">
        <v>36200</v>
      </c>
      <c r="D280" s="34" t="n">
        <v>34850</v>
      </c>
      <c r="E280" s="34" t="n">
        <v>35200</v>
      </c>
      <c r="F280" s="34" t="n">
        <v>34646.39453125</v>
      </c>
      <c r="G280" s="34" t="n">
        <v>297995</v>
      </c>
      <c r="H280" s="39" t="n">
        <v>0.005714285714285783</v>
      </c>
      <c r="I280" s="39" t="n">
        <v>-0.3098039215686275</v>
      </c>
      <c r="J280" s="34" t="n">
        <v>38100</v>
      </c>
      <c r="K280" s="34" t="n">
        <v>41355</v>
      </c>
      <c r="L280" s="34" t="n">
        <v>41703.75</v>
      </c>
      <c r="M280" s="39" t="n">
        <v>0.3074558344270006</v>
      </c>
      <c r="N280" s="39" t="n">
        <v>0.3284432362634367</v>
      </c>
      <c r="O280" s="39" t="n">
        <v>-0.1210986267166042</v>
      </c>
      <c r="P280" s="39" t="n">
        <v>-0.2036199095022625</v>
      </c>
      <c r="Q280" s="39" t="n">
        <v>-0.1210986267166042</v>
      </c>
      <c r="R280" s="39" t="n">
        <v>-0.07611548556430447</v>
      </c>
      <c r="S280" s="39" t="n">
        <v>-0.148833272881151</v>
      </c>
      <c r="T280" s="39" t="n">
        <v>-0.1559512034289482</v>
      </c>
      <c r="U280" s="34" t="n">
        <v>50100</v>
      </c>
      <c r="V280" s="34" t="n">
        <v>29950</v>
      </c>
      <c r="W280" s="39" t="n">
        <v>-0.2974051896207585</v>
      </c>
      <c r="X280" s="39" t="n">
        <v>0.1752921535893155</v>
      </c>
      <c r="Y280" s="34" t="n">
        <v>51414494</v>
      </c>
      <c r="Z280" s="34" t="n">
        <v>1809790188800</v>
      </c>
      <c r="AA280" s="34" t="n">
        <v>10489424000</v>
      </c>
      <c r="AB280" s="34" t="n">
        <v>18855183387.5</v>
      </c>
      <c r="AC280" s="39" t="n">
        <v>0.005795933730282359</v>
      </c>
      <c r="AD280" s="32" t="inlineStr">
        <is>
          <t>yfinance_download</t>
        </is>
      </c>
      <c r="AE280" s="32" t="inlineStr">
        <is>
          <t>005290.KQ</t>
        </is>
      </c>
    </row>
    <row r="281" ht="24" customHeight="1">
      <c r="A281" s="27" t="inlineStr">
        <is>
          <t>2024-07-29</t>
        </is>
      </c>
      <c r="B281" s="33" t="n">
        <v>35400</v>
      </c>
      <c r="C281" s="33" t="n">
        <v>35850</v>
      </c>
      <c r="D281" s="33" t="n">
        <v>35200</v>
      </c>
      <c r="E281" s="33" t="n">
        <v>35650</v>
      </c>
      <c r="F281" s="33" t="n">
        <v>35089.31640625</v>
      </c>
      <c r="G281" s="33" t="n">
        <v>253265</v>
      </c>
      <c r="H281" s="38" t="n">
        <v>0.01278409090909083</v>
      </c>
      <c r="I281" s="38" t="n">
        <v>-0.3009803921568628</v>
      </c>
      <c r="J281" s="33" t="n">
        <v>37872.5</v>
      </c>
      <c r="K281" s="33" t="n">
        <v>41225.83333333334</v>
      </c>
      <c r="L281" s="33" t="n">
        <v>41678.75</v>
      </c>
      <c r="M281" s="38" t="n">
        <v>0.3129794618569565</v>
      </c>
      <c r="N281" s="38" t="n">
        <v>0.3287087499441795</v>
      </c>
      <c r="O281" s="38" t="n">
        <v>-0.1131840796019901</v>
      </c>
      <c r="P281" s="38" t="n">
        <v>-0.1785714285714286</v>
      </c>
      <c r="Q281" s="38" t="n">
        <v>-0.07761966364812423</v>
      </c>
      <c r="R281" s="38" t="n">
        <v>-0.05868374150108913</v>
      </c>
      <c r="S281" s="38" t="n">
        <v>-0.1352509551050111</v>
      </c>
      <c r="T281" s="38" t="n">
        <v>-0.1446480520649012</v>
      </c>
      <c r="U281" s="33" t="n">
        <v>50100</v>
      </c>
      <c r="V281" s="33" t="n">
        <v>29950</v>
      </c>
      <c r="W281" s="38" t="n">
        <v>-0.2884231536926147</v>
      </c>
      <c r="X281" s="38" t="n">
        <v>0.1903171953255425</v>
      </c>
      <c r="Y281" s="33" t="n">
        <v>51414494</v>
      </c>
      <c r="Z281" s="33" t="n">
        <v>1832926711100</v>
      </c>
      <c r="AA281" s="33" t="n">
        <v>9028897250</v>
      </c>
      <c r="AB281" s="33" t="n">
        <v>18645308100</v>
      </c>
      <c r="AC281" s="38" t="n">
        <v>0.004925945590362127</v>
      </c>
      <c r="AD281" s="27" t="inlineStr">
        <is>
          <t>yfinance_download</t>
        </is>
      </c>
      <c r="AE281" s="27" t="inlineStr">
        <is>
          <t>005290.KQ</t>
        </is>
      </c>
    </row>
    <row r="282" ht="24" customHeight="1">
      <c r="A282" s="32" t="inlineStr">
        <is>
          <t>2024-07-30</t>
        </is>
      </c>
      <c r="B282" s="34" t="n">
        <v>35300</v>
      </c>
      <c r="C282" s="34" t="n">
        <v>35350</v>
      </c>
      <c r="D282" s="34" t="n">
        <v>34400</v>
      </c>
      <c r="E282" s="34" t="n">
        <v>34850</v>
      </c>
      <c r="F282" s="34" t="n">
        <v>34301.8984375</v>
      </c>
      <c r="G282" s="34" t="n">
        <v>377869</v>
      </c>
      <c r="H282" s="39" t="n">
        <v>-0.02244039270687237</v>
      </c>
      <c r="I282" s="39" t="n">
        <v>-0.3166666666666667</v>
      </c>
      <c r="J282" s="34" t="n">
        <v>37690</v>
      </c>
      <c r="K282" s="34" t="n">
        <v>41065.83333333334</v>
      </c>
      <c r="L282" s="34" t="n">
        <v>41650</v>
      </c>
      <c r="M282" s="39" t="n">
        <v>0.2893270615019427</v>
      </c>
      <c r="N282" s="39" t="n">
        <v>0.3260762896880373</v>
      </c>
      <c r="O282" s="39" t="n">
        <v>-0.09480519480519478</v>
      </c>
      <c r="P282" s="39" t="n">
        <v>-0.2159730033745781</v>
      </c>
      <c r="Q282" s="39" t="n">
        <v>-0.09007832898172319</v>
      </c>
      <c r="R282" s="39" t="n">
        <v>-0.0753515521358451</v>
      </c>
      <c r="S282" s="39" t="n">
        <v>-0.1513626494044117</v>
      </c>
      <c r="T282" s="39" t="n">
        <v>-0.1632653061224489</v>
      </c>
      <c r="U282" s="34" t="n">
        <v>50100</v>
      </c>
      <c r="V282" s="34" t="n">
        <v>29950</v>
      </c>
      <c r="W282" s="39" t="n">
        <v>-0.3043912175648703</v>
      </c>
      <c r="X282" s="39" t="n">
        <v>0.1636060100166945</v>
      </c>
      <c r="Y282" s="34" t="n">
        <v>51414494</v>
      </c>
      <c r="Z282" s="34" t="n">
        <v>1791795115900</v>
      </c>
      <c r="AA282" s="34" t="n">
        <v>13168734650</v>
      </c>
      <c r="AB282" s="34" t="n">
        <v>17723248607.5</v>
      </c>
      <c r="AC282" s="39" t="n">
        <v>0.007349464530371533</v>
      </c>
      <c r="AD282" s="32" t="inlineStr">
        <is>
          <t>yfinance_download</t>
        </is>
      </c>
      <c r="AE282" s="32" t="inlineStr">
        <is>
          <t>005290.KQ</t>
        </is>
      </c>
    </row>
    <row r="283" ht="24" customHeight="1">
      <c r="A283" s="27" t="inlineStr">
        <is>
          <t>2024-07-31</t>
        </is>
      </c>
      <c r="B283" s="33" t="n">
        <v>34750</v>
      </c>
      <c r="C283" s="33" t="n">
        <v>36350</v>
      </c>
      <c r="D283" s="33" t="n">
        <v>34500</v>
      </c>
      <c r="E283" s="33" t="n">
        <v>36150</v>
      </c>
      <c r="F283" s="33" t="n">
        <v>35581.453125</v>
      </c>
      <c r="G283" s="33" t="n">
        <v>344084</v>
      </c>
      <c r="H283" s="38" t="n">
        <v>0.0373027259684362</v>
      </c>
      <c r="I283" s="38" t="n">
        <v>-0.2911764705882353</v>
      </c>
      <c r="J283" s="33" t="n">
        <v>37577.5</v>
      </c>
      <c r="K283" s="33" t="n">
        <v>40915</v>
      </c>
      <c r="L283" s="33" t="n">
        <v>41620</v>
      </c>
      <c r="M283" s="38" t="n">
        <v>0.3257479449572999</v>
      </c>
      <c r="N283" s="38" t="n">
        <v>0.334205555921762</v>
      </c>
      <c r="O283" s="38" t="n">
        <v>-0.05859375</v>
      </c>
      <c r="P283" s="38" t="n">
        <v>-0.2002212389380531</v>
      </c>
      <c r="Q283" s="38" t="n">
        <v>-0.09056603773584904</v>
      </c>
      <c r="R283" s="38" t="n">
        <v>-0.03798815780719844</v>
      </c>
      <c r="S283" s="38" t="n">
        <v>-0.1164609556397409</v>
      </c>
      <c r="T283" s="38" t="n">
        <v>-0.1314271984622778</v>
      </c>
      <c r="U283" s="33" t="n">
        <v>50100</v>
      </c>
      <c r="V283" s="33" t="n">
        <v>29950</v>
      </c>
      <c r="W283" s="38" t="n">
        <v>-0.2784431137724551</v>
      </c>
      <c r="X283" s="38" t="n">
        <v>0.2070116861435727</v>
      </c>
      <c r="Y283" s="33" t="n">
        <v>51414494</v>
      </c>
      <c r="Z283" s="33" t="n">
        <v>1858633958100</v>
      </c>
      <c r="AA283" s="33" t="n">
        <v>12438636600</v>
      </c>
      <c r="AB283" s="33" t="n">
        <v>17130277397.5</v>
      </c>
      <c r="AC283" s="38" t="n">
        <v>0.006692354105439606</v>
      </c>
      <c r="AD283" s="27" t="inlineStr">
        <is>
          <t>yfinance_download</t>
        </is>
      </c>
      <c r="AE283" s="27" t="inlineStr">
        <is>
          <t>005290.KQ</t>
        </is>
      </c>
    </row>
    <row r="284" ht="24" customHeight="1">
      <c r="A284" s="32" t="inlineStr">
        <is>
          <t>2024-08-01</t>
        </is>
      </c>
      <c r="B284" s="34" t="n">
        <v>36800</v>
      </c>
      <c r="C284" s="34" t="n">
        <v>36800</v>
      </c>
      <c r="D284" s="34" t="n">
        <v>35600</v>
      </c>
      <c r="E284" s="34" t="n">
        <v>36050</v>
      </c>
      <c r="F284" s="34" t="n">
        <v>35483.02734375</v>
      </c>
      <c r="G284" s="34" t="n">
        <v>315474</v>
      </c>
      <c r="H284" s="39" t="n">
        <v>-0.002766251728907321</v>
      </c>
      <c r="I284" s="39" t="n">
        <v>-0.2931372549019607</v>
      </c>
      <c r="J284" s="34" t="n">
        <v>37380</v>
      </c>
      <c r="K284" s="34" t="n">
        <v>40743.33333333334</v>
      </c>
      <c r="L284" s="34" t="n">
        <v>41600.83333333334</v>
      </c>
      <c r="M284" s="39" t="n">
        <v>0.2802845616919035</v>
      </c>
      <c r="N284" s="39" t="n">
        <v>0.3287271574448848</v>
      </c>
      <c r="O284" s="39" t="n">
        <v>-0.09875</v>
      </c>
      <c r="P284" s="39" t="n">
        <v>-0.2222222222222222</v>
      </c>
      <c r="Q284" s="39" t="n">
        <v>-0.05997392438070404</v>
      </c>
      <c r="R284" s="39" t="n">
        <v>-0.03558052434456926</v>
      </c>
      <c r="S284" s="39" t="n">
        <v>-0.1151926695573918</v>
      </c>
      <c r="T284" s="39" t="n">
        <v>-0.1334308206967009</v>
      </c>
      <c r="U284" s="34" t="n">
        <v>50100</v>
      </c>
      <c r="V284" s="34" t="n">
        <v>29950</v>
      </c>
      <c r="W284" s="39" t="n">
        <v>-0.280439121756487</v>
      </c>
      <c r="X284" s="39" t="n">
        <v>0.2036727879799667</v>
      </c>
      <c r="Y284" s="34" t="n">
        <v>51414494</v>
      </c>
      <c r="Z284" s="34" t="n">
        <v>1853492508700</v>
      </c>
      <c r="AA284" s="34" t="n">
        <v>11372837700</v>
      </c>
      <c r="AB284" s="34" t="n">
        <v>16444599282.5</v>
      </c>
      <c r="AC284" s="39" t="n">
        <v>0.006135896231906902</v>
      </c>
      <c r="AD284" s="32" t="inlineStr">
        <is>
          <t>yfinance_download</t>
        </is>
      </c>
      <c r="AE284" s="32" t="inlineStr">
        <is>
          <t>005290.KQ</t>
        </is>
      </c>
    </row>
    <row r="285" ht="24" customHeight="1">
      <c r="A285" s="27" t="inlineStr">
        <is>
          <t>2024-08-02</t>
        </is>
      </c>
      <c r="B285" s="33" t="n">
        <v>35000</v>
      </c>
      <c r="C285" s="33" t="n">
        <v>35250</v>
      </c>
      <c r="D285" s="33" t="n">
        <v>33950</v>
      </c>
      <c r="E285" s="33" t="n">
        <v>34200</v>
      </c>
      <c r="F285" s="33" t="n">
        <v>33662.12109375</v>
      </c>
      <c r="G285" s="33" t="n">
        <v>557796</v>
      </c>
      <c r="H285" s="38" t="n">
        <v>-0.05131761442441052</v>
      </c>
      <c r="I285" s="38" t="n">
        <v>-0.3294117647058824</v>
      </c>
      <c r="J285" s="33" t="n">
        <v>37065</v>
      </c>
      <c r="K285" s="33" t="n">
        <v>40526.66666666666</v>
      </c>
      <c r="L285" s="33" t="n">
        <v>41558.75</v>
      </c>
      <c r="M285" s="38" t="n">
        <v>0.3165248666596765</v>
      </c>
      <c r="N285" s="38" t="n">
        <v>0.3393617832935352</v>
      </c>
      <c r="O285" s="38" t="n">
        <v>-0.1555555555555556</v>
      </c>
      <c r="P285" s="38" t="n">
        <v>-0.2754237288135594</v>
      </c>
      <c r="Q285" s="38" t="n">
        <v>-0.1286624203821656</v>
      </c>
      <c r="R285" s="38" t="n">
        <v>-0.07729664103601785</v>
      </c>
      <c r="S285" s="38" t="n">
        <v>-0.1561112025004112</v>
      </c>
      <c r="T285" s="38" t="n">
        <v>-0.1770686076939273</v>
      </c>
      <c r="U285" s="33" t="n">
        <v>50100</v>
      </c>
      <c r="V285" s="33" t="n">
        <v>29950</v>
      </c>
      <c r="W285" s="38" t="n">
        <v>-0.3173652694610778</v>
      </c>
      <c r="X285" s="38" t="n">
        <v>0.1419031719532555</v>
      </c>
      <c r="Y285" s="33" t="n">
        <v>51414494</v>
      </c>
      <c r="Z285" s="33" t="n">
        <v>1758375694800</v>
      </c>
      <c r="AA285" s="33" t="n">
        <v>19076623200</v>
      </c>
      <c r="AB285" s="33" t="n">
        <v>16021562067.5</v>
      </c>
      <c r="AC285" s="38" t="n">
        <v>0.01084900300681749</v>
      </c>
      <c r="AD285" s="27" t="inlineStr">
        <is>
          <t>yfinance_download</t>
        </is>
      </c>
      <c r="AE285" s="27" t="inlineStr">
        <is>
          <t>005290.KQ</t>
        </is>
      </c>
    </row>
    <row r="286" ht="24" customHeight="1">
      <c r="A286" s="32" t="inlineStr">
        <is>
          <t>2024-08-05</t>
        </is>
      </c>
      <c r="B286" s="34" t="n">
        <v>33000</v>
      </c>
      <c r="C286" s="34" t="n">
        <v>33500</v>
      </c>
      <c r="D286" s="34" t="n">
        <v>28750</v>
      </c>
      <c r="E286" s="34" t="n">
        <v>29650</v>
      </c>
      <c r="F286" s="34" t="n">
        <v>29183.681640625</v>
      </c>
      <c r="G286" s="34" t="n">
        <v>980377</v>
      </c>
      <c r="H286" s="39" t="n">
        <v>-0.1330409356725146</v>
      </c>
      <c r="I286" s="39" t="n">
        <v>-0.4186274509803921</v>
      </c>
      <c r="J286" s="34" t="n">
        <v>36527.5</v>
      </c>
      <c r="K286" s="34" t="n">
        <v>40224.16666666666</v>
      </c>
      <c r="L286" s="34" t="n">
        <v>41487.5</v>
      </c>
      <c r="M286" s="39" t="n">
        <v>0.5431939545945245</v>
      </c>
      <c r="N286" s="39" t="n">
        <v>0.4268217520947499</v>
      </c>
      <c r="O286" s="39" t="n">
        <v>-0.2660891089108911</v>
      </c>
      <c r="P286" s="39" t="n">
        <v>-0.3797071129707112</v>
      </c>
      <c r="Q286" s="39" t="n">
        <v>-0.2238219895287958</v>
      </c>
      <c r="R286" s="39" t="n">
        <v>-0.1882828006296626</v>
      </c>
      <c r="S286" s="39" t="n">
        <v>-0.2628809380761979</v>
      </c>
      <c r="T286" s="39" t="n">
        <v>-0.2853269056944863</v>
      </c>
      <c r="U286" s="34" t="n">
        <v>50100</v>
      </c>
      <c r="V286" s="34" t="n">
        <v>29650</v>
      </c>
      <c r="W286" s="39" t="n">
        <v>-0.408183632734531</v>
      </c>
      <c r="X286" s="39" t="n">
        <v>0</v>
      </c>
      <c r="Y286" s="34" t="n">
        <v>51414494</v>
      </c>
      <c r="Z286" s="34" t="n">
        <v>1524439747100</v>
      </c>
      <c r="AA286" s="34" t="n">
        <v>29068178050</v>
      </c>
      <c r="AB286" s="34" t="n">
        <v>16557493030</v>
      </c>
      <c r="AC286" s="39" t="n">
        <v>0.01906810558127831</v>
      </c>
      <c r="AD286" s="32" t="inlineStr">
        <is>
          <t>yfinance_download</t>
        </is>
      </c>
      <c r="AE286" s="32" t="inlineStr">
        <is>
          <t>005290.KQ</t>
        </is>
      </c>
    </row>
    <row r="287" ht="24" customHeight="1">
      <c r="A287" s="27" t="inlineStr">
        <is>
          <t>2024-08-06</t>
        </is>
      </c>
      <c r="B287" s="33" t="n">
        <v>30500</v>
      </c>
      <c r="C287" s="33" t="n">
        <v>32200</v>
      </c>
      <c r="D287" s="33" t="n">
        <v>30400</v>
      </c>
      <c r="E287" s="33" t="n">
        <v>31600</v>
      </c>
      <c r="F287" s="33" t="n">
        <v>31103.013671875</v>
      </c>
      <c r="G287" s="33" t="n">
        <v>541973</v>
      </c>
      <c r="H287" s="38" t="n">
        <v>0.06576728499156825</v>
      </c>
      <c r="I287" s="38" t="n">
        <v>-0.3803921568627451</v>
      </c>
      <c r="J287" s="33" t="n">
        <v>36120</v>
      </c>
      <c r="K287" s="33" t="n">
        <v>39973.33333333334</v>
      </c>
      <c r="L287" s="33" t="n">
        <v>41432.08333333334</v>
      </c>
      <c r="M287" s="38" t="n">
        <v>0.6136707533867085</v>
      </c>
      <c r="N287" s="38" t="n">
        <v>0.4510039419101056</v>
      </c>
      <c r="O287" s="38" t="n">
        <v>-0.2050314465408805</v>
      </c>
      <c r="P287" s="38" t="n">
        <v>-0.322615219721329</v>
      </c>
      <c r="Q287" s="38" t="n">
        <v>-0.1738562091503268</v>
      </c>
      <c r="R287" s="38" t="n">
        <v>-0.1251384274640088</v>
      </c>
      <c r="S287" s="38" t="n">
        <v>-0.209472981987992</v>
      </c>
      <c r="T287" s="38" t="n">
        <v>-0.2373060329655964</v>
      </c>
      <c r="U287" s="33" t="n">
        <v>50100</v>
      </c>
      <c r="V287" s="33" t="n">
        <v>29650</v>
      </c>
      <c r="W287" s="38" t="n">
        <v>-0.3692614770459082</v>
      </c>
      <c r="X287" s="38" t="n">
        <v>0.06576728499156825</v>
      </c>
      <c r="Y287" s="33" t="n">
        <v>51414494</v>
      </c>
      <c r="Z287" s="33" t="n">
        <v>1624698010400</v>
      </c>
      <c r="AA287" s="33" t="n">
        <v>17126346800</v>
      </c>
      <c r="AB287" s="33" t="n">
        <v>16393604757.5</v>
      </c>
      <c r="AC287" s="38" t="n">
        <v>0.0105412493216407</v>
      </c>
      <c r="AD287" s="27" t="inlineStr">
        <is>
          <t>yfinance_download</t>
        </is>
      </c>
      <c r="AE287" s="27" t="inlineStr">
        <is>
          <t>005290.KQ</t>
        </is>
      </c>
    </row>
    <row r="288" ht="24" customHeight="1">
      <c r="A288" s="32" t="inlineStr">
        <is>
          <t>2024-08-07</t>
        </is>
      </c>
      <c r="B288" s="34" t="n">
        <v>31300</v>
      </c>
      <c r="C288" s="34" t="n">
        <v>32400</v>
      </c>
      <c r="D288" s="34" t="n">
        <v>31100</v>
      </c>
      <c r="E288" s="34" t="n">
        <v>32250</v>
      </c>
      <c r="F288" s="34" t="n">
        <v>31742.791015625</v>
      </c>
      <c r="G288" s="34" t="n">
        <v>373674</v>
      </c>
      <c r="H288" s="39" t="n">
        <v>0.02056962025316467</v>
      </c>
      <c r="I288" s="39" t="n">
        <v>-0.3676470588235294</v>
      </c>
      <c r="J288" s="34" t="n">
        <v>35800</v>
      </c>
      <c r="K288" s="34" t="n">
        <v>39768.33333333334</v>
      </c>
      <c r="L288" s="34" t="n">
        <v>41367.5</v>
      </c>
      <c r="M288" s="39" t="n">
        <v>0.6197979390935137</v>
      </c>
      <c r="N288" s="39" t="n">
        <v>0.4468179607845266</v>
      </c>
      <c r="O288" s="39" t="n">
        <v>-0.1655886157826649</v>
      </c>
      <c r="P288" s="39" t="n">
        <v>-0.2760942760942761</v>
      </c>
      <c r="Q288" s="39" t="n">
        <v>-0.19375</v>
      </c>
      <c r="R288" s="39" t="n">
        <v>-0.09916201117318435</v>
      </c>
      <c r="S288" s="39" t="n">
        <v>-0.1890532668370982</v>
      </c>
      <c r="T288" s="39" t="n">
        <v>-0.2204024898773191</v>
      </c>
      <c r="U288" s="34" t="n">
        <v>50100</v>
      </c>
      <c r="V288" s="34" t="n">
        <v>29650</v>
      </c>
      <c r="W288" s="39" t="n">
        <v>-0.3562874251497006</v>
      </c>
      <c r="X288" s="39" t="n">
        <v>0.08768971332209108</v>
      </c>
      <c r="Y288" s="34" t="n">
        <v>51414494</v>
      </c>
      <c r="Z288" s="34" t="n">
        <v>1658117431500</v>
      </c>
      <c r="AA288" s="34" t="n">
        <v>12050986500</v>
      </c>
      <c r="AB288" s="34" t="n">
        <v>15410193847.5</v>
      </c>
      <c r="AC288" s="39" t="n">
        <v>0.007267872751990908</v>
      </c>
      <c r="AD288" s="32" t="inlineStr">
        <is>
          <t>yfinance_download</t>
        </is>
      </c>
      <c r="AE288" s="32" t="inlineStr">
        <is>
          <t>005290.KQ</t>
        </is>
      </c>
    </row>
    <row r="289" ht="24" customHeight="1">
      <c r="A289" s="27" t="inlineStr">
        <is>
          <t>2024-08-08</t>
        </is>
      </c>
      <c r="B289" s="33" t="n">
        <v>31200</v>
      </c>
      <c r="C289" s="33" t="n">
        <v>31950</v>
      </c>
      <c r="D289" s="33" t="n">
        <v>30950</v>
      </c>
      <c r="E289" s="33" t="n">
        <v>31300</v>
      </c>
      <c r="F289" s="33" t="n">
        <v>30807.732421875</v>
      </c>
      <c r="G289" s="33" t="n">
        <v>310940</v>
      </c>
      <c r="H289" s="38" t="n">
        <v>-0.02945736434108526</v>
      </c>
      <c r="I289" s="38" t="n">
        <v>-0.3862745098039215</v>
      </c>
      <c r="J289" s="33" t="n">
        <v>35435</v>
      </c>
      <c r="K289" s="33" t="n">
        <v>39551.66666666666</v>
      </c>
      <c r="L289" s="33" t="n">
        <v>41292.5</v>
      </c>
      <c r="M289" s="38" t="n">
        <v>0.623655125996304</v>
      </c>
      <c r="N289" s="38" t="n">
        <v>0.4496281567796701</v>
      </c>
      <c r="O289" s="38" t="n">
        <v>-0.189119170984456</v>
      </c>
      <c r="P289" s="38" t="n">
        <v>-0.2934537246049661</v>
      </c>
      <c r="Q289" s="38" t="n">
        <v>-0.2233250620347395</v>
      </c>
      <c r="R289" s="38" t="n">
        <v>-0.1166925356286158</v>
      </c>
      <c r="S289" s="38" t="n">
        <v>-0.2086300619442922</v>
      </c>
      <c r="T289" s="38" t="n">
        <v>-0.2419930980202216</v>
      </c>
      <c r="U289" s="33" t="n">
        <v>50100</v>
      </c>
      <c r="V289" s="33" t="n">
        <v>29650</v>
      </c>
      <c r="W289" s="38" t="n">
        <v>-0.375249500998004</v>
      </c>
      <c r="X289" s="38" t="n">
        <v>0.05564924114671155</v>
      </c>
      <c r="Y289" s="33" t="n">
        <v>51414494</v>
      </c>
      <c r="Z289" s="33" t="n">
        <v>1609273662200</v>
      </c>
      <c r="AA289" s="33" t="n">
        <v>9732422000</v>
      </c>
      <c r="AB289" s="33" t="n">
        <v>14858438277.5</v>
      </c>
      <c r="AC289" s="38" t="n">
        <v>0.006047710982043313</v>
      </c>
      <c r="AD289" s="27" t="inlineStr">
        <is>
          <t>yfinance_download</t>
        </is>
      </c>
      <c r="AE289" s="27" t="inlineStr">
        <is>
          <t>005290.KQ</t>
        </is>
      </c>
    </row>
    <row r="290" ht="24" customHeight="1">
      <c r="A290" s="32" t="inlineStr">
        <is>
          <t>2024-08-09</t>
        </is>
      </c>
      <c r="B290" s="34" t="n">
        <v>32650</v>
      </c>
      <c r="C290" s="34" t="n">
        <v>33250</v>
      </c>
      <c r="D290" s="34" t="n">
        <v>32200</v>
      </c>
      <c r="E290" s="34" t="n">
        <v>32550</v>
      </c>
      <c r="F290" s="34" t="n">
        <v>32038.072265625</v>
      </c>
      <c r="G290" s="34" t="n">
        <v>520637</v>
      </c>
      <c r="H290" s="39" t="n">
        <v>0.03993610223642174</v>
      </c>
      <c r="I290" s="39" t="n">
        <v>-0.361764705882353</v>
      </c>
      <c r="J290" s="34" t="n">
        <v>35147.5</v>
      </c>
      <c r="K290" s="34" t="n">
        <v>39355</v>
      </c>
      <c r="L290" s="34" t="n">
        <v>41231.25</v>
      </c>
      <c r="M290" s="39" t="n">
        <v>0.6480840557160702</v>
      </c>
      <c r="N290" s="39" t="n">
        <v>0.4589594577555563</v>
      </c>
      <c r="O290" s="39" t="n">
        <v>-0.1501305483028721</v>
      </c>
      <c r="P290" s="39" t="n">
        <v>-0.266065388951522</v>
      </c>
      <c r="Q290" s="39" t="n">
        <v>-0.1842105263157895</v>
      </c>
      <c r="R290" s="39" t="n">
        <v>-0.07390283803968989</v>
      </c>
      <c r="S290" s="39" t="n">
        <v>-0.1729132257654682</v>
      </c>
      <c r="T290" s="39" t="n">
        <v>-0.210550250113688</v>
      </c>
      <c r="U290" s="34" t="n">
        <v>50100</v>
      </c>
      <c r="V290" s="34" t="n">
        <v>29650</v>
      </c>
      <c r="W290" s="39" t="n">
        <v>-0.3502994011976048</v>
      </c>
      <c r="X290" s="39" t="n">
        <v>0.09780775716694778</v>
      </c>
      <c r="Y290" s="34" t="n">
        <v>51414494</v>
      </c>
      <c r="Z290" s="34" t="n">
        <v>1673541779700</v>
      </c>
      <c r="AA290" s="34" t="n">
        <v>16946734350</v>
      </c>
      <c r="AB290" s="34" t="n">
        <v>14875053740</v>
      </c>
      <c r="AC290" s="39" t="n">
        <v>0.01012626906335011</v>
      </c>
      <c r="AD290" s="32" t="inlineStr">
        <is>
          <t>yfinance_download</t>
        </is>
      </c>
      <c r="AE290" s="32" t="inlineStr">
        <is>
          <t>005290.KQ</t>
        </is>
      </c>
    </row>
    <row r="291" ht="24" customHeight="1">
      <c r="A291" s="27" t="inlineStr">
        <is>
          <t>2024-08-12</t>
        </is>
      </c>
      <c r="B291" s="33" t="n">
        <v>32600</v>
      </c>
      <c r="C291" s="33" t="n">
        <v>33500</v>
      </c>
      <c r="D291" s="33" t="n">
        <v>32500</v>
      </c>
      <c r="E291" s="33" t="n">
        <v>32600</v>
      </c>
      <c r="F291" s="33" t="n">
        <v>32087.287109375</v>
      </c>
      <c r="G291" s="33" t="n">
        <v>261611</v>
      </c>
      <c r="H291" s="38" t="n">
        <v>0.001536098310291889</v>
      </c>
      <c r="I291" s="38" t="n">
        <v>-0.3607843137254902</v>
      </c>
      <c r="J291" s="33" t="n">
        <v>34832.5</v>
      </c>
      <c r="K291" s="33" t="n">
        <v>39174.16666666666</v>
      </c>
      <c r="L291" s="33" t="n">
        <v>41180</v>
      </c>
      <c r="M291" s="38" t="n">
        <v>0.6433742228864789</v>
      </c>
      <c r="N291" s="38" t="n">
        <v>0.4579749202803318</v>
      </c>
      <c r="O291" s="38" t="n">
        <v>-0.1619537275064268</v>
      </c>
      <c r="P291" s="38" t="n">
        <v>-0.2497123130034522</v>
      </c>
      <c r="Q291" s="38" t="n">
        <v>-0.1587096774193548</v>
      </c>
      <c r="R291" s="38" t="n">
        <v>-0.06409244240292833</v>
      </c>
      <c r="S291" s="38" t="n">
        <v>-0.1678189282903273</v>
      </c>
      <c r="T291" s="38" t="n">
        <v>-0.2083535696940262</v>
      </c>
      <c r="U291" s="33" t="n">
        <v>50100</v>
      </c>
      <c r="V291" s="33" t="n">
        <v>29650</v>
      </c>
      <c r="W291" s="38" t="n">
        <v>-0.3493013972055888</v>
      </c>
      <c r="X291" s="38" t="n">
        <v>0.0994940978077572</v>
      </c>
      <c r="Y291" s="33" t="n">
        <v>51414494</v>
      </c>
      <c r="Z291" s="33" t="n">
        <v>1676112504400</v>
      </c>
      <c r="AA291" s="33" t="n">
        <v>8528518600</v>
      </c>
      <c r="AB291" s="33" t="n">
        <v>14532354705</v>
      </c>
      <c r="AC291" s="38" t="n">
        <v>0.005088273357314379</v>
      </c>
      <c r="AD291" s="27" t="inlineStr">
        <is>
          <t>yfinance_download</t>
        </is>
      </c>
      <c r="AE291" s="27" t="inlineStr">
        <is>
          <t>005290.KQ</t>
        </is>
      </c>
    </row>
    <row r="292" ht="24" customHeight="1">
      <c r="A292" s="32" t="inlineStr">
        <is>
          <t>2024-08-13</t>
        </is>
      </c>
      <c r="B292" s="34" t="n">
        <v>32800</v>
      </c>
      <c r="C292" s="34" t="n">
        <v>32950</v>
      </c>
      <c r="D292" s="34" t="n">
        <v>32200</v>
      </c>
      <c r="E292" s="34" t="n">
        <v>32450</v>
      </c>
      <c r="F292" s="34" t="n">
        <v>31939.646484375</v>
      </c>
      <c r="G292" s="34" t="n">
        <v>174072</v>
      </c>
      <c r="H292" s="39" t="n">
        <v>-0.004601226993865004</v>
      </c>
      <c r="I292" s="39" t="n">
        <v>-0.3637254901960785</v>
      </c>
      <c r="J292" s="34" t="n">
        <v>34525</v>
      </c>
      <c r="K292" s="34" t="n">
        <v>38995</v>
      </c>
      <c r="L292" s="34" t="n">
        <v>41128.75</v>
      </c>
      <c r="M292" s="39" t="n">
        <v>0.6434862027031859</v>
      </c>
      <c r="N292" s="39" t="n">
        <v>0.4579659806358699</v>
      </c>
      <c r="O292" s="39" t="n">
        <v>-0.1593264248704663</v>
      </c>
      <c r="P292" s="39" t="n">
        <v>-0.2488425925925926</v>
      </c>
      <c r="Q292" s="39" t="n">
        <v>-0.1593264248704663</v>
      </c>
      <c r="R292" s="39" t="n">
        <v>-0.06010137581462704</v>
      </c>
      <c r="S292" s="39" t="n">
        <v>-0.1678420310296191</v>
      </c>
      <c r="T292" s="39" t="n">
        <v>-0.2110141932346594</v>
      </c>
      <c r="U292" s="34" t="n">
        <v>50100</v>
      </c>
      <c r="V292" s="34" t="n">
        <v>29650</v>
      </c>
      <c r="W292" s="39" t="n">
        <v>-0.3522954091816367</v>
      </c>
      <c r="X292" s="39" t="n">
        <v>0.09443507588532873</v>
      </c>
      <c r="Y292" s="34" t="n">
        <v>51414494</v>
      </c>
      <c r="Z292" s="34" t="n">
        <v>1668400330300</v>
      </c>
      <c r="AA292" s="34" t="n">
        <v>5648636400</v>
      </c>
      <c r="AB292" s="34" t="n">
        <v>14267160605</v>
      </c>
      <c r="AC292" s="39" t="n">
        <v>0.003385660082544039</v>
      </c>
      <c r="AD292" s="32" t="inlineStr">
        <is>
          <t>yfinance_download</t>
        </is>
      </c>
      <c r="AE292" s="32" t="inlineStr">
        <is>
          <t>005290.KQ</t>
        </is>
      </c>
    </row>
    <row r="293" ht="24" customHeight="1">
      <c r="A293" s="27" t="inlineStr">
        <is>
          <t>2024-08-14</t>
        </is>
      </c>
      <c r="B293" s="33" t="n">
        <v>33450</v>
      </c>
      <c r="C293" s="33" t="n">
        <v>33700</v>
      </c>
      <c r="D293" s="33" t="n">
        <v>33050</v>
      </c>
      <c r="E293" s="33" t="n">
        <v>33150</v>
      </c>
      <c r="F293" s="33" t="n">
        <v>32628.63671875</v>
      </c>
      <c r="G293" s="33" t="n">
        <v>336282</v>
      </c>
      <c r="H293" s="38" t="n">
        <v>0.02157164869029282</v>
      </c>
      <c r="I293" s="38" t="n">
        <v>-0.35</v>
      </c>
      <c r="J293" s="33" t="n">
        <v>34307.5</v>
      </c>
      <c r="K293" s="33" t="n">
        <v>38811.66666666666</v>
      </c>
      <c r="L293" s="33" t="n">
        <v>41085.41666666666</v>
      </c>
      <c r="M293" s="38" t="n">
        <v>0.6466883131797692</v>
      </c>
      <c r="N293" s="38" t="n">
        <v>0.4578638723854319</v>
      </c>
      <c r="O293" s="38" t="n">
        <v>-0.116</v>
      </c>
      <c r="P293" s="38" t="n">
        <v>-0.2491506228765572</v>
      </c>
      <c r="Q293" s="38" t="n">
        <v>-0.135593220338983</v>
      </c>
      <c r="R293" s="38" t="n">
        <v>-0.03373897835750206</v>
      </c>
      <c r="S293" s="38" t="n">
        <v>-0.1458753811139262</v>
      </c>
      <c r="T293" s="38" t="n">
        <v>-0.1931443638760711</v>
      </c>
      <c r="U293" s="33" t="n">
        <v>50100</v>
      </c>
      <c r="V293" s="33" t="n">
        <v>29650</v>
      </c>
      <c r="W293" s="38" t="n">
        <v>-0.3383233532934131</v>
      </c>
      <c r="X293" s="38" t="n">
        <v>0.118043844856661</v>
      </c>
      <c r="Y293" s="33" t="n">
        <v>51414494</v>
      </c>
      <c r="Z293" s="33" t="n">
        <v>1704390476100</v>
      </c>
      <c r="AA293" s="33" t="n">
        <v>11147748300</v>
      </c>
      <c r="AB293" s="33" t="n">
        <v>13764126770</v>
      </c>
      <c r="AC293" s="38" t="n">
        <v>0.006540607012489513</v>
      </c>
      <c r="AD293" s="27" t="inlineStr">
        <is>
          <t>yfinance_download</t>
        </is>
      </c>
      <c r="AE293" s="27" t="inlineStr">
        <is>
          <t>005290.KQ</t>
        </is>
      </c>
    </row>
    <row r="294" ht="24" customHeight="1">
      <c r="A294" s="32" t="inlineStr">
        <is>
          <t>2024-08-16</t>
        </is>
      </c>
      <c r="B294" s="34" t="n">
        <v>34100</v>
      </c>
      <c r="C294" s="34" t="n">
        <v>34300</v>
      </c>
      <c r="D294" s="34" t="n">
        <v>33500</v>
      </c>
      <c r="E294" s="34" t="n">
        <v>33600</v>
      </c>
      <c r="F294" s="34" t="n">
        <v>33071.55859375</v>
      </c>
      <c r="G294" s="34" t="n">
        <v>317264</v>
      </c>
      <c r="H294" s="39" t="n">
        <v>0.01357466063348411</v>
      </c>
      <c r="I294" s="39" t="n">
        <v>-0.3411764705882353</v>
      </c>
      <c r="J294" s="34" t="n">
        <v>34110</v>
      </c>
      <c r="K294" s="34" t="n">
        <v>38629.16666666666</v>
      </c>
      <c r="L294" s="34" t="n">
        <v>41047.08333333334</v>
      </c>
      <c r="M294" s="39" t="n">
        <v>0.6498114297595207</v>
      </c>
      <c r="N294" s="39" t="n">
        <v>0.4585213557272071</v>
      </c>
      <c r="O294" s="39" t="n">
        <v>-0.1051930758988016</v>
      </c>
      <c r="P294" s="39" t="n">
        <v>-0.2457912457912458</v>
      </c>
      <c r="Q294" s="39" t="n">
        <v>-0.1204188481675392</v>
      </c>
      <c r="R294" s="39" t="n">
        <v>-0.01495162708883024</v>
      </c>
      <c r="S294" s="39" t="n">
        <v>-0.1301909179160824</v>
      </c>
      <c r="T294" s="39" t="n">
        <v>-0.1814278318597546</v>
      </c>
      <c r="U294" s="34" t="n">
        <v>50100</v>
      </c>
      <c r="V294" s="34" t="n">
        <v>29650</v>
      </c>
      <c r="W294" s="39" t="n">
        <v>-0.3293413173652695</v>
      </c>
      <c r="X294" s="39" t="n">
        <v>0.1332209106239461</v>
      </c>
      <c r="Y294" s="34" t="n">
        <v>51414494</v>
      </c>
      <c r="Z294" s="34" t="n">
        <v>1727526998400</v>
      </c>
      <c r="AA294" s="34" t="n">
        <v>10660070400</v>
      </c>
      <c r="AB294" s="34" t="n">
        <v>13259738317.5</v>
      </c>
      <c r="AC294" s="39" t="n">
        <v>0.00617071131731842</v>
      </c>
      <c r="AD294" s="32" t="inlineStr">
        <is>
          <t>yfinance_download</t>
        </is>
      </c>
      <c r="AE294" s="32" t="inlineStr">
        <is>
          <t>005290.KQ</t>
        </is>
      </c>
    </row>
    <row r="295" ht="24" customHeight="1">
      <c r="A295" s="27" t="inlineStr">
        <is>
          <t>2024-08-19</t>
        </is>
      </c>
      <c r="B295" s="33" t="n">
        <v>33700</v>
      </c>
      <c r="C295" s="33" t="n">
        <v>33750</v>
      </c>
      <c r="D295" s="33" t="n">
        <v>32950</v>
      </c>
      <c r="E295" s="33" t="n">
        <v>33050</v>
      </c>
      <c r="F295" s="33" t="n">
        <v>32530.208984375</v>
      </c>
      <c r="G295" s="33" t="n">
        <v>161240</v>
      </c>
      <c r="H295" s="38" t="n">
        <v>-0.01636904761904767</v>
      </c>
      <c r="I295" s="38" t="n">
        <v>-0.3519607843137255</v>
      </c>
      <c r="J295" s="33" t="n">
        <v>33882.5</v>
      </c>
      <c r="K295" s="33" t="n">
        <v>38452.5</v>
      </c>
      <c r="L295" s="33" t="n">
        <v>41004.16666666666</v>
      </c>
      <c r="M295" s="38" t="n">
        <v>0.650665874731219</v>
      </c>
      <c r="N295" s="38" t="n">
        <v>0.4580194469237719</v>
      </c>
      <c r="O295" s="38" t="n">
        <v>-0.1210106382978723</v>
      </c>
      <c r="P295" s="38" t="n">
        <v>-0.2428407789232532</v>
      </c>
      <c r="Q295" s="38" t="n">
        <v>-0.1348167539267016</v>
      </c>
      <c r="R295" s="38" t="n">
        <v>-0.02457020585848146</v>
      </c>
      <c r="S295" s="38" t="n">
        <v>-0.140498017034003</v>
      </c>
      <c r="T295" s="38" t="n">
        <v>-0.1939843511838227</v>
      </c>
      <c r="U295" s="33" t="n">
        <v>50100</v>
      </c>
      <c r="V295" s="33" t="n">
        <v>29650</v>
      </c>
      <c r="W295" s="38" t="n">
        <v>-0.3403193612774451</v>
      </c>
      <c r="X295" s="38" t="n">
        <v>0.1146711635750421</v>
      </c>
      <c r="Y295" s="33" t="n">
        <v>51414494</v>
      </c>
      <c r="Z295" s="33" t="n">
        <v>1699249026700</v>
      </c>
      <c r="AA295" s="33" t="n">
        <v>5328982000</v>
      </c>
      <c r="AB295" s="33" t="n">
        <v>12949480497.5</v>
      </c>
      <c r="AC295" s="38" t="n">
        <v>0.003136080654610741</v>
      </c>
      <c r="AD295" s="27" t="inlineStr">
        <is>
          <t>yfinance_download</t>
        </is>
      </c>
      <c r="AE295" s="27" t="inlineStr">
        <is>
          <t>005290.KQ</t>
        </is>
      </c>
    </row>
    <row r="296" ht="24" customHeight="1">
      <c r="A296" s="32" t="inlineStr">
        <is>
          <t>2024-08-20</t>
        </is>
      </c>
      <c r="B296" s="34" t="n">
        <v>33550</v>
      </c>
      <c r="C296" s="34" t="n">
        <v>34000</v>
      </c>
      <c r="D296" s="34" t="n">
        <v>33350</v>
      </c>
      <c r="E296" s="34" t="n">
        <v>33800</v>
      </c>
      <c r="F296" s="34" t="n">
        <v>33268.4140625</v>
      </c>
      <c r="G296" s="34" t="n">
        <v>208573</v>
      </c>
      <c r="H296" s="39" t="n">
        <v>0.0226928895612708</v>
      </c>
      <c r="I296" s="39" t="n">
        <v>-0.3372549019607843</v>
      </c>
      <c r="J296" s="34" t="n">
        <v>33747.5</v>
      </c>
      <c r="K296" s="34" t="n">
        <v>38319.16666666666</v>
      </c>
      <c r="L296" s="34" t="n">
        <v>40979.58333333334</v>
      </c>
      <c r="M296" s="39" t="n">
        <v>0.6517395258773869</v>
      </c>
      <c r="N296" s="39" t="n">
        <v>0.4542517294662843</v>
      </c>
      <c r="O296" s="39" t="n">
        <v>-0.07397260273972606</v>
      </c>
      <c r="P296" s="39" t="n">
        <v>-0.1913875598086124</v>
      </c>
      <c r="Q296" s="39" t="n">
        <v>-0.08027210884353742</v>
      </c>
      <c r="R296" s="39" t="n">
        <v>0.001555670790428954</v>
      </c>
      <c r="S296" s="39" t="n">
        <v>-0.1179348889807103</v>
      </c>
      <c r="T296" s="39" t="n">
        <v>-0.1751990320383118</v>
      </c>
      <c r="U296" s="34" t="n">
        <v>50100</v>
      </c>
      <c r="V296" s="34" t="n">
        <v>29650</v>
      </c>
      <c r="W296" s="39" t="n">
        <v>-0.3253493013972056</v>
      </c>
      <c r="X296" s="39" t="n">
        <v>0.1399662731871838</v>
      </c>
      <c r="Y296" s="34" t="n">
        <v>51414494</v>
      </c>
      <c r="Z296" s="34" t="n">
        <v>1737809897200</v>
      </c>
      <c r="AA296" s="34" t="n">
        <v>7049767400</v>
      </c>
      <c r="AB296" s="34" t="n">
        <v>12511895342.5</v>
      </c>
      <c r="AC296" s="39" t="n">
        <v>0.004056696541640573</v>
      </c>
      <c r="AD296" s="32" t="inlineStr">
        <is>
          <t>yfinance_download</t>
        </is>
      </c>
      <c r="AE296" s="32" t="inlineStr">
        <is>
          <t>005290.KQ</t>
        </is>
      </c>
    </row>
    <row r="297" ht="24" customHeight="1">
      <c r="A297" s="27" t="inlineStr">
        <is>
          <t>2024-08-21</t>
        </is>
      </c>
      <c r="B297" s="33" t="n">
        <v>33400</v>
      </c>
      <c r="C297" s="33" t="n">
        <v>33850</v>
      </c>
      <c r="D297" s="33" t="n">
        <v>33200</v>
      </c>
      <c r="E297" s="33" t="n">
        <v>33750</v>
      </c>
      <c r="F297" s="33" t="n">
        <v>33219.19921875</v>
      </c>
      <c r="G297" s="33" t="n">
        <v>124612</v>
      </c>
      <c r="H297" s="38" t="n">
        <v>-0.001479289940828354</v>
      </c>
      <c r="I297" s="38" t="n">
        <v>-0.3382352941176471</v>
      </c>
      <c r="J297" s="33" t="n">
        <v>33642.5</v>
      </c>
      <c r="K297" s="33" t="n">
        <v>38170</v>
      </c>
      <c r="L297" s="33" t="n">
        <v>40959.58333333334</v>
      </c>
      <c r="M297" s="38" t="n">
        <v>0.6493910124917062</v>
      </c>
      <c r="N297" s="38" t="n">
        <v>0.4513568950842304</v>
      </c>
      <c r="O297" s="38" t="n">
        <v>-0.05857740585774063</v>
      </c>
      <c r="P297" s="38" t="n">
        <v>-0.2096018735362998</v>
      </c>
      <c r="Q297" s="38" t="n">
        <v>-0.06639004149377592</v>
      </c>
      <c r="R297" s="38" t="n">
        <v>0.003195363008099861</v>
      </c>
      <c r="S297" s="38" t="n">
        <v>-0.1157977469216662</v>
      </c>
      <c r="T297" s="38" t="n">
        <v>-0.1760170086365626</v>
      </c>
      <c r="U297" s="33" t="n">
        <v>50100</v>
      </c>
      <c r="V297" s="33" t="n">
        <v>29650</v>
      </c>
      <c r="W297" s="38" t="n">
        <v>-0.3263473053892215</v>
      </c>
      <c r="X297" s="38" t="n">
        <v>0.1382799325463744</v>
      </c>
      <c r="Y297" s="33" t="n">
        <v>51414494</v>
      </c>
      <c r="Z297" s="33" t="n">
        <v>1735239172500</v>
      </c>
      <c r="AA297" s="33" t="n">
        <v>4205655000</v>
      </c>
      <c r="AB297" s="33" t="n">
        <v>11935971460</v>
      </c>
      <c r="AC297" s="38" t="n">
        <v>0.002423674538156497</v>
      </c>
      <c r="AD297" s="27" t="inlineStr">
        <is>
          <t>yfinance_download</t>
        </is>
      </c>
      <c r="AE297" s="27" t="inlineStr">
        <is>
          <t>005290.KQ</t>
        </is>
      </c>
    </row>
    <row r="298" ht="24" customHeight="1">
      <c r="A298" s="32" t="inlineStr">
        <is>
          <t>2024-08-22</t>
        </is>
      </c>
      <c r="B298" s="34" t="n">
        <v>34000</v>
      </c>
      <c r="C298" s="34" t="n">
        <v>34050</v>
      </c>
      <c r="D298" s="34" t="n">
        <v>32900</v>
      </c>
      <c r="E298" s="34" t="n">
        <v>33100</v>
      </c>
      <c r="F298" s="34" t="n">
        <v>32579.423828125</v>
      </c>
      <c r="G298" s="34" t="n">
        <v>200640</v>
      </c>
      <c r="H298" s="39" t="n">
        <v>-0.01925925925925931</v>
      </c>
      <c r="I298" s="39" t="n">
        <v>-0.3509803921568627</v>
      </c>
      <c r="J298" s="34" t="n">
        <v>33497.5</v>
      </c>
      <c r="K298" s="34" t="n">
        <v>37982.5</v>
      </c>
      <c r="L298" s="34" t="n">
        <v>40942.08333333334</v>
      </c>
      <c r="M298" s="39" t="n">
        <v>0.6516712422465339</v>
      </c>
      <c r="N298" s="39" t="n">
        <v>0.4437999593539847</v>
      </c>
      <c r="O298" s="39" t="n">
        <v>-0.0805555555555556</v>
      </c>
      <c r="P298" s="39" t="n">
        <v>-0.2536640360766629</v>
      </c>
      <c r="Q298" s="39" t="n">
        <v>-0.05965909090909094</v>
      </c>
      <c r="R298" s="39" t="n">
        <v>-0.01186655720576157</v>
      </c>
      <c r="S298" s="39" t="n">
        <v>-0.1285460409399065</v>
      </c>
      <c r="T298" s="39" t="n">
        <v>-0.1915408961846511</v>
      </c>
      <c r="U298" s="34" t="n">
        <v>50100</v>
      </c>
      <c r="V298" s="34" t="n">
        <v>29650</v>
      </c>
      <c r="W298" s="39" t="n">
        <v>-0.3393213572854291</v>
      </c>
      <c r="X298" s="39" t="n">
        <v>0.1163575042158516</v>
      </c>
      <c r="Y298" s="34" t="n">
        <v>51414494</v>
      </c>
      <c r="Z298" s="34" t="n">
        <v>1701819751400</v>
      </c>
      <c r="AA298" s="34" t="n">
        <v>6641184000</v>
      </c>
      <c r="AB298" s="34" t="n">
        <v>11679439660</v>
      </c>
      <c r="AC298" s="39" t="n">
        <v>0.003902401529031872</v>
      </c>
      <c r="AD298" s="32" t="inlineStr">
        <is>
          <t>yfinance_download</t>
        </is>
      </c>
      <c r="AE298" s="32" t="inlineStr">
        <is>
          <t>005290.KQ</t>
        </is>
      </c>
    </row>
    <row r="299" ht="24" customHeight="1">
      <c r="A299" s="27" t="inlineStr">
        <is>
          <t>2024-08-23</t>
        </is>
      </c>
      <c r="B299" s="33" t="n">
        <v>32600</v>
      </c>
      <c r="C299" s="33" t="n">
        <v>32900</v>
      </c>
      <c r="D299" s="33" t="n">
        <v>32250</v>
      </c>
      <c r="E299" s="33" t="n">
        <v>32450</v>
      </c>
      <c r="F299" s="33" t="n">
        <v>31939.646484375</v>
      </c>
      <c r="G299" s="33" t="n">
        <v>218384</v>
      </c>
      <c r="H299" s="38" t="n">
        <v>-0.01963746223564955</v>
      </c>
      <c r="I299" s="38" t="n">
        <v>-0.3637254901960785</v>
      </c>
      <c r="J299" s="33" t="n">
        <v>33370</v>
      </c>
      <c r="K299" s="33" t="n">
        <v>37806.66666666666</v>
      </c>
      <c r="L299" s="33" t="n">
        <v>40905.83333333334</v>
      </c>
      <c r="M299" s="38" t="n">
        <v>0.6482563040154562</v>
      </c>
      <c r="N299" s="38" t="n">
        <v>0.4416468184221242</v>
      </c>
      <c r="O299" s="38" t="n">
        <v>-0.07285714285714284</v>
      </c>
      <c r="P299" s="38" t="n">
        <v>-0.2453488372093023</v>
      </c>
      <c r="Q299" s="38" t="n">
        <v>-0.1182065217391305</v>
      </c>
      <c r="R299" s="38" t="n">
        <v>-0.02756967335930471</v>
      </c>
      <c r="S299" s="38" t="n">
        <v>-0.1416857697055193</v>
      </c>
      <c r="T299" s="38" t="n">
        <v>-0.2067146087558824</v>
      </c>
      <c r="U299" s="33" t="n">
        <v>50100</v>
      </c>
      <c r="V299" s="33" t="n">
        <v>29650</v>
      </c>
      <c r="W299" s="38" t="n">
        <v>-0.3522954091816367</v>
      </c>
      <c r="X299" s="38" t="n">
        <v>0.09443507588532873</v>
      </c>
      <c r="Y299" s="33" t="n">
        <v>51414494</v>
      </c>
      <c r="Z299" s="33" t="n">
        <v>1668400330300</v>
      </c>
      <c r="AA299" s="33" t="n">
        <v>7086560800</v>
      </c>
      <c r="AB299" s="33" t="n">
        <v>11339847200</v>
      </c>
      <c r="AC299" s="38" t="n">
        <v>0.004247518219278789</v>
      </c>
      <c r="AD299" s="27" t="inlineStr">
        <is>
          <t>yfinance_download</t>
        </is>
      </c>
      <c r="AE299" s="27" t="inlineStr">
        <is>
          <t>005290.KQ</t>
        </is>
      </c>
    </row>
    <row r="300" ht="24" customHeight="1">
      <c r="A300" s="32" t="inlineStr">
        <is>
          <t>2024-08-26</t>
        </is>
      </c>
      <c r="B300" s="34" t="n">
        <v>32700</v>
      </c>
      <c r="C300" s="34" t="n">
        <v>32750</v>
      </c>
      <c r="D300" s="34" t="n">
        <v>31600</v>
      </c>
      <c r="E300" s="34" t="n">
        <v>31750</v>
      </c>
      <c r="F300" s="34" t="n">
        <v>31250.654296875</v>
      </c>
      <c r="G300" s="34" t="n">
        <v>207995</v>
      </c>
      <c r="H300" s="39" t="n">
        <v>-0.02157164869029271</v>
      </c>
      <c r="I300" s="39" t="n">
        <v>-0.3774509803921569</v>
      </c>
      <c r="J300" s="34" t="n">
        <v>33197.5</v>
      </c>
      <c r="K300" s="34" t="n">
        <v>37626.66666666666</v>
      </c>
      <c r="L300" s="34" t="n">
        <v>40860.41666666666</v>
      </c>
      <c r="M300" s="39" t="n">
        <v>0.6506527197873738</v>
      </c>
      <c r="N300" s="39" t="n">
        <v>0.4428951008622645</v>
      </c>
      <c r="O300" s="39" t="n">
        <v>-0.09801136363636365</v>
      </c>
      <c r="P300" s="39" t="n">
        <v>-0.2538190364277321</v>
      </c>
      <c r="Q300" s="39" t="n">
        <v>-0.146505376344086</v>
      </c>
      <c r="R300" s="39" t="n">
        <v>-0.04360268092476838</v>
      </c>
      <c r="S300" s="39" t="n">
        <v>-0.1561835577604536</v>
      </c>
      <c r="T300" s="39" t="n">
        <v>-0.2229643603732218</v>
      </c>
      <c r="U300" s="34" t="n">
        <v>50100</v>
      </c>
      <c r="V300" s="34" t="n">
        <v>29650</v>
      </c>
      <c r="W300" s="39" t="n">
        <v>-0.3662674650698603</v>
      </c>
      <c r="X300" s="39" t="n">
        <v>0.07082630691399672</v>
      </c>
      <c r="Y300" s="34" t="n">
        <v>51414494</v>
      </c>
      <c r="Z300" s="34" t="n">
        <v>1632410184500</v>
      </c>
      <c r="AA300" s="34" t="n">
        <v>6603841250</v>
      </c>
      <c r="AB300" s="34" t="n">
        <v>11145568062.5</v>
      </c>
      <c r="AC300" s="39" t="n">
        <v>0.004045454575513278</v>
      </c>
      <c r="AD300" s="32" t="inlineStr">
        <is>
          <t>yfinance_download</t>
        </is>
      </c>
      <c r="AE300" s="32" t="inlineStr">
        <is>
          <t>005290.KQ</t>
        </is>
      </c>
    </row>
    <row r="301" ht="24" customHeight="1">
      <c r="A301" s="27" t="inlineStr">
        <is>
          <t>2024-08-27</t>
        </is>
      </c>
      <c r="B301" s="33" t="n">
        <v>31750</v>
      </c>
      <c r="C301" s="33" t="n">
        <v>31900</v>
      </c>
      <c r="D301" s="33" t="n">
        <v>31350</v>
      </c>
      <c r="E301" s="33" t="n">
        <v>31600</v>
      </c>
      <c r="F301" s="33" t="n">
        <v>31103.013671875</v>
      </c>
      <c r="G301" s="33" t="n">
        <v>174186</v>
      </c>
      <c r="H301" s="38" t="n">
        <v>-0.004724409448818911</v>
      </c>
      <c r="I301" s="38" t="n">
        <v>-0.3803921568627451</v>
      </c>
      <c r="J301" s="33" t="n">
        <v>32995</v>
      </c>
      <c r="K301" s="33" t="n">
        <v>37454.16666666666</v>
      </c>
      <c r="L301" s="33" t="n">
        <v>40804.16666666666</v>
      </c>
      <c r="M301" s="38" t="n">
        <v>0.6475123359584355</v>
      </c>
      <c r="N301" s="38" t="n">
        <v>0.4424411242353224</v>
      </c>
      <c r="O301" s="38" t="n">
        <v>-0.1136044880785414</v>
      </c>
      <c r="P301" s="38" t="n">
        <v>-0.2467222884386174</v>
      </c>
      <c r="Q301" s="38" t="n">
        <v>-0.1760104302477183</v>
      </c>
      <c r="R301" s="38" t="n">
        <v>-0.04227913320200027</v>
      </c>
      <c r="S301" s="38" t="n">
        <v>-0.1563021470686394</v>
      </c>
      <c r="T301" s="38" t="n">
        <v>-0.2255692841825794</v>
      </c>
      <c r="U301" s="33" t="n">
        <v>50100</v>
      </c>
      <c r="V301" s="33" t="n">
        <v>29650</v>
      </c>
      <c r="W301" s="38" t="n">
        <v>-0.3692614770459082</v>
      </c>
      <c r="X301" s="38" t="n">
        <v>0.06576728499156825</v>
      </c>
      <c r="Y301" s="33" t="n">
        <v>51414494</v>
      </c>
      <c r="Z301" s="33" t="n">
        <v>1624698010400</v>
      </c>
      <c r="AA301" s="33" t="n">
        <v>5504277600</v>
      </c>
      <c r="AB301" s="33" t="n">
        <v>10969337080</v>
      </c>
      <c r="AC301" s="38" t="n">
        <v>0.00338787735614008</v>
      </c>
      <c r="AD301" s="27" t="inlineStr">
        <is>
          <t>yfinance_download</t>
        </is>
      </c>
      <c r="AE301" s="27" t="inlineStr">
        <is>
          <t>005290.KQ</t>
        </is>
      </c>
    </row>
    <row r="302" ht="24" customHeight="1">
      <c r="A302" s="32" t="inlineStr">
        <is>
          <t>2024-08-28</t>
        </is>
      </c>
      <c r="B302" s="34" t="n">
        <v>31500</v>
      </c>
      <c r="C302" s="34" t="n">
        <v>31800</v>
      </c>
      <c r="D302" s="34" t="n">
        <v>31100</v>
      </c>
      <c r="E302" s="34" t="n">
        <v>31700</v>
      </c>
      <c r="F302" s="34" t="n">
        <v>31201.44140625</v>
      </c>
      <c r="G302" s="34" t="n">
        <v>232317</v>
      </c>
      <c r="H302" s="39" t="n">
        <v>0.003164556962025333</v>
      </c>
      <c r="I302" s="39" t="n">
        <v>-0.3784313725490196</v>
      </c>
      <c r="J302" s="34" t="n">
        <v>32837.5</v>
      </c>
      <c r="K302" s="34" t="n">
        <v>37271.66666666666</v>
      </c>
      <c r="L302" s="34" t="n">
        <v>40752.08333333334</v>
      </c>
      <c r="M302" s="39" t="n">
        <v>0.6448360079104452</v>
      </c>
      <c r="N302" s="39" t="n">
        <v>0.4405632830679001</v>
      </c>
      <c r="O302" s="39" t="n">
        <v>-0.09038737446197986</v>
      </c>
      <c r="P302" s="39" t="n">
        <v>-0.2567409144196952</v>
      </c>
      <c r="Q302" s="39" t="n">
        <v>-0.1646903820816864</v>
      </c>
      <c r="R302" s="39" t="n">
        <v>-0.03464027407689374</v>
      </c>
      <c r="S302" s="39" t="n">
        <v>-0.1494879935607923</v>
      </c>
      <c r="T302" s="39" t="n">
        <v>-0.2221256581974337</v>
      </c>
      <c r="U302" s="34" t="n">
        <v>50100</v>
      </c>
      <c r="V302" s="34" t="n">
        <v>29650</v>
      </c>
      <c r="W302" s="39" t="n">
        <v>-0.3672654690618763</v>
      </c>
      <c r="X302" s="39" t="n">
        <v>0.06913996627318708</v>
      </c>
      <c r="Y302" s="34" t="n">
        <v>51414494</v>
      </c>
      <c r="Z302" s="34" t="n">
        <v>1629839459800</v>
      </c>
      <c r="AA302" s="34" t="n">
        <v>7364448900</v>
      </c>
      <c r="AB302" s="34" t="n">
        <v>10679122792.5</v>
      </c>
      <c r="AC302" s="39" t="n">
        <v>0.00451851184220543</v>
      </c>
      <c r="AD302" s="32" t="inlineStr">
        <is>
          <t>yfinance_download</t>
        </is>
      </c>
      <c r="AE302" s="32" t="inlineStr">
        <is>
          <t>005290.KQ</t>
        </is>
      </c>
    </row>
    <row r="303" ht="24" customHeight="1">
      <c r="A303" s="27" t="inlineStr">
        <is>
          <t>2024-08-29</t>
        </is>
      </c>
      <c r="B303" s="33" t="n">
        <v>30500</v>
      </c>
      <c r="C303" s="33" t="n">
        <v>30850</v>
      </c>
      <c r="D303" s="33" t="n">
        <v>30200</v>
      </c>
      <c r="E303" s="33" t="n">
        <v>30800</v>
      </c>
      <c r="F303" s="33" t="n">
        <v>30315.595703125</v>
      </c>
      <c r="G303" s="33" t="n">
        <v>395399</v>
      </c>
      <c r="H303" s="38" t="n">
        <v>-0.02839116719242907</v>
      </c>
      <c r="I303" s="38" t="n">
        <v>-0.3960784313725491</v>
      </c>
      <c r="J303" s="33" t="n">
        <v>32570</v>
      </c>
      <c r="K303" s="33" t="n">
        <v>37083.33333333334</v>
      </c>
      <c r="L303" s="33" t="n">
        <v>40662.91666666666</v>
      </c>
      <c r="M303" s="38" t="n">
        <v>0.6311743668963059</v>
      </c>
      <c r="N303" s="38" t="n">
        <v>0.4429562213856408</v>
      </c>
      <c r="O303" s="38" t="n">
        <v>-0.1479944674965422</v>
      </c>
      <c r="P303" s="38" t="n">
        <v>-0.2684085510688836</v>
      </c>
      <c r="Q303" s="38" t="n">
        <v>-0.2578313253012048</v>
      </c>
      <c r="R303" s="38" t="n">
        <v>-0.05434448879336817</v>
      </c>
      <c r="S303" s="38" t="n">
        <v>-0.1694382022471911</v>
      </c>
      <c r="T303" s="38" t="n">
        <v>-0.2425531042821572</v>
      </c>
      <c r="U303" s="33" t="n">
        <v>50100</v>
      </c>
      <c r="V303" s="33" t="n">
        <v>29650</v>
      </c>
      <c r="W303" s="38" t="n">
        <v>-0.3852295409181636</v>
      </c>
      <c r="X303" s="38" t="n">
        <v>0.03878583473861719</v>
      </c>
      <c r="Y303" s="33" t="n">
        <v>51414494</v>
      </c>
      <c r="Z303" s="33" t="n">
        <v>1583566415200</v>
      </c>
      <c r="AA303" s="33" t="n">
        <v>12178289200</v>
      </c>
      <c r="AB303" s="33" t="n">
        <v>10666105422.5</v>
      </c>
      <c r="AC303" s="38" t="n">
        <v>0.007690418970183777</v>
      </c>
      <c r="AD303" s="27" t="inlineStr">
        <is>
          <t>yfinance_download</t>
        </is>
      </c>
      <c r="AE303" s="27" t="inlineStr">
        <is>
          <t>005290.KQ</t>
        </is>
      </c>
    </row>
    <row r="304" ht="24" customHeight="1">
      <c r="A304" s="32" t="inlineStr">
        <is>
          <t>2024-08-30</t>
        </is>
      </c>
      <c r="B304" s="34" t="n">
        <v>30900</v>
      </c>
      <c r="C304" s="34" t="n">
        <v>31450</v>
      </c>
      <c r="D304" s="34" t="n">
        <v>30750</v>
      </c>
      <c r="E304" s="34" t="n">
        <v>31300</v>
      </c>
      <c r="F304" s="34" t="n">
        <v>30807.732421875</v>
      </c>
      <c r="G304" s="34" t="n">
        <v>241018</v>
      </c>
      <c r="H304" s="39" t="n">
        <v>0.01623376623376616</v>
      </c>
      <c r="I304" s="39" t="n">
        <v>-0.3862745098039215</v>
      </c>
      <c r="J304" s="34" t="n">
        <v>32332.5</v>
      </c>
      <c r="K304" s="34" t="n">
        <v>36896.66666666666</v>
      </c>
      <c r="L304" s="34" t="n">
        <v>40588.33333333334</v>
      </c>
      <c r="M304" s="39" t="n">
        <v>0.6365212739767008</v>
      </c>
      <c r="N304" s="39" t="n">
        <v>0.4440980808315931</v>
      </c>
      <c r="O304" s="39" t="n">
        <v>-0.1317614424410541</v>
      </c>
      <c r="P304" s="39" t="n">
        <v>-0.2635294117647059</v>
      </c>
      <c r="Q304" s="39" t="n">
        <v>-0.2223602484472049</v>
      </c>
      <c r="R304" s="39" t="n">
        <v>-0.03193381272713214</v>
      </c>
      <c r="S304" s="39" t="n">
        <v>-0.1516848857168669</v>
      </c>
      <c r="T304" s="39" t="n">
        <v>-0.2288424424095594</v>
      </c>
      <c r="U304" s="34" t="n">
        <v>50100</v>
      </c>
      <c r="V304" s="34" t="n">
        <v>29650</v>
      </c>
      <c r="W304" s="39" t="n">
        <v>-0.375249500998004</v>
      </c>
      <c r="X304" s="39" t="n">
        <v>0.05564924114671155</v>
      </c>
      <c r="Y304" s="34" t="n">
        <v>51414494</v>
      </c>
      <c r="Z304" s="34" t="n">
        <v>1609273662200</v>
      </c>
      <c r="AA304" s="34" t="n">
        <v>7543863400</v>
      </c>
      <c r="AB304" s="34" t="n">
        <v>10474656707.5</v>
      </c>
      <c r="AC304" s="39" t="n">
        <v>0.004687744276934827</v>
      </c>
      <c r="AD304" s="32" t="inlineStr">
        <is>
          <t>yfinance_download</t>
        </is>
      </c>
      <c r="AE304" s="32" t="inlineStr">
        <is>
          <t>005290.KQ</t>
        </is>
      </c>
    </row>
    <row r="305" ht="24" customHeight="1">
      <c r="A305" s="27" t="inlineStr">
        <is>
          <t>2024-09-02</t>
        </is>
      </c>
      <c r="B305" s="33" t="n">
        <v>31200</v>
      </c>
      <c r="C305" s="33" t="n">
        <v>31250</v>
      </c>
      <c r="D305" s="33" t="n">
        <v>30250</v>
      </c>
      <c r="E305" s="33" t="n">
        <v>30750</v>
      </c>
      <c r="F305" s="33" t="n">
        <v>30266.3828125</v>
      </c>
      <c r="G305" s="33" t="n">
        <v>314855</v>
      </c>
      <c r="H305" s="38" t="n">
        <v>-0.01757188498402551</v>
      </c>
      <c r="I305" s="38" t="n">
        <v>-0.3970588235294118</v>
      </c>
      <c r="J305" s="33" t="n">
        <v>32160</v>
      </c>
      <c r="K305" s="33" t="n">
        <v>36684.16666666666</v>
      </c>
      <c r="L305" s="33" t="n">
        <v>40510</v>
      </c>
      <c r="M305" s="38" t="n">
        <v>0.6157570885704593</v>
      </c>
      <c r="N305" s="38" t="n">
        <v>0.4409205867258477</v>
      </c>
      <c r="O305" s="38" t="n">
        <v>-0.1008771929824561</v>
      </c>
      <c r="P305" s="38" t="n">
        <v>-0.2931034482758621</v>
      </c>
      <c r="Q305" s="38" t="n">
        <v>-0.2341220423412205</v>
      </c>
      <c r="R305" s="38" t="n">
        <v>-0.04384328358208955</v>
      </c>
      <c r="S305" s="38" t="n">
        <v>-0.1617637036868766</v>
      </c>
      <c r="T305" s="38" t="n">
        <v>-0.2409281658849667</v>
      </c>
      <c r="U305" s="33" t="n">
        <v>50100</v>
      </c>
      <c r="V305" s="33" t="n">
        <v>29650</v>
      </c>
      <c r="W305" s="38" t="n">
        <v>-0.3862275449101796</v>
      </c>
      <c r="X305" s="38" t="n">
        <v>0.03709949409780777</v>
      </c>
      <c r="Y305" s="33" t="n">
        <v>51414494</v>
      </c>
      <c r="Z305" s="33" t="n">
        <v>1580995690500</v>
      </c>
      <c r="AA305" s="33" t="n">
        <v>9681791250</v>
      </c>
      <c r="AB305" s="33" t="n">
        <v>10004915110</v>
      </c>
      <c r="AC305" s="38" t="n">
        <v>0.006123856825275767</v>
      </c>
      <c r="AD305" s="27" t="inlineStr">
        <is>
          <t>yfinance_download</t>
        </is>
      </c>
      <c r="AE305" s="27" t="inlineStr">
        <is>
          <t>005290.KQ</t>
        </is>
      </c>
    </row>
    <row r="306" ht="24" customHeight="1">
      <c r="A306" s="32" t="inlineStr">
        <is>
          <t>2024-09-03</t>
        </is>
      </c>
      <c r="B306" s="34" t="n">
        <v>30750</v>
      </c>
      <c r="C306" s="34" t="n">
        <v>30900</v>
      </c>
      <c r="D306" s="34" t="n">
        <v>30050</v>
      </c>
      <c r="E306" s="34" t="n">
        <v>30050</v>
      </c>
      <c r="F306" s="34" t="n">
        <v>29577.392578125</v>
      </c>
      <c r="G306" s="34" t="n">
        <v>229945</v>
      </c>
      <c r="H306" s="39" t="n">
        <v>-0.02276422764227637</v>
      </c>
      <c r="I306" s="39" t="n">
        <v>-0.4107843137254902</v>
      </c>
      <c r="J306" s="34" t="n">
        <v>32180</v>
      </c>
      <c r="K306" s="34" t="n">
        <v>36465</v>
      </c>
      <c r="L306" s="34" t="n">
        <v>40426.25</v>
      </c>
      <c r="M306" s="39" t="n">
        <v>0.3956349129483695</v>
      </c>
      <c r="N306" s="39" t="n">
        <v>0.4423516009990604</v>
      </c>
      <c r="O306" s="39" t="n">
        <v>0.01349072512647553</v>
      </c>
      <c r="P306" s="39" t="n">
        <v>-0.3043981481481481</v>
      </c>
      <c r="Q306" s="39" t="n">
        <v>-0.2506234413965087</v>
      </c>
      <c r="R306" s="39" t="n">
        <v>-0.06619018023617151</v>
      </c>
      <c r="S306" s="39" t="n">
        <v>-0.1759221170985877</v>
      </c>
      <c r="T306" s="39" t="n">
        <v>-0.2566710986054853</v>
      </c>
      <c r="U306" s="34" t="n">
        <v>50100</v>
      </c>
      <c r="V306" s="34" t="n">
        <v>29650</v>
      </c>
      <c r="W306" s="39" t="n">
        <v>-0.4001996007984032</v>
      </c>
      <c r="X306" s="39" t="n">
        <v>0.01349072512647553</v>
      </c>
      <c r="Y306" s="34" t="n">
        <v>51414494</v>
      </c>
      <c r="Z306" s="34" t="n">
        <v>1545005544700</v>
      </c>
      <c r="AA306" s="34" t="n">
        <v>6909847250</v>
      </c>
      <c r="AB306" s="34" t="n">
        <v>8896998570</v>
      </c>
      <c r="AC306" s="39" t="n">
        <v>0.004472376991593071</v>
      </c>
      <c r="AD306" s="32" t="inlineStr">
        <is>
          <t>yfinance_download</t>
        </is>
      </c>
      <c r="AE306" s="32" t="inlineStr">
        <is>
          <t>005290.KQ</t>
        </is>
      </c>
    </row>
    <row r="307" ht="24" customHeight="1">
      <c r="A307" s="27" t="inlineStr">
        <is>
          <t>2024-09-04</t>
        </is>
      </c>
      <c r="B307" s="33" t="n">
        <v>28800</v>
      </c>
      <c r="C307" s="33" t="n">
        <v>29200</v>
      </c>
      <c r="D307" s="33" t="n">
        <v>28250</v>
      </c>
      <c r="E307" s="33" t="n">
        <v>28500</v>
      </c>
      <c r="F307" s="33" t="n">
        <v>28051.76953125</v>
      </c>
      <c r="G307" s="33" t="n">
        <v>583791</v>
      </c>
      <c r="H307" s="38" t="n">
        <v>-0.0515806988352745</v>
      </c>
      <c r="I307" s="38" t="n">
        <v>-0.4411764705882353</v>
      </c>
      <c r="J307" s="33" t="n">
        <v>32025</v>
      </c>
      <c r="K307" s="33" t="n">
        <v>36235</v>
      </c>
      <c r="L307" s="33" t="n">
        <v>40326.25</v>
      </c>
      <c r="M307" s="38" t="n">
        <v>0.3581985741446399</v>
      </c>
      <c r="N307" s="38" t="n">
        <v>0.4512613940291587</v>
      </c>
      <c r="O307" s="38" t="n">
        <v>-0.09810126582278478</v>
      </c>
      <c r="P307" s="38" t="n">
        <v>-0.3262411347517731</v>
      </c>
      <c r="Q307" s="38" t="n">
        <v>-0.2962962962962963</v>
      </c>
      <c r="R307" s="38" t="n">
        <v>-0.1100702576112412</v>
      </c>
      <c r="S307" s="38" t="n">
        <v>-0.2134676417828066</v>
      </c>
      <c r="T307" s="38" t="n">
        <v>-0.2932643129475218</v>
      </c>
      <c r="U307" s="33" t="n">
        <v>50100</v>
      </c>
      <c r="V307" s="33" t="n">
        <v>28500</v>
      </c>
      <c r="W307" s="38" t="n">
        <v>-0.4311377245508982</v>
      </c>
      <c r="X307" s="38" t="n">
        <v>0</v>
      </c>
      <c r="Y307" s="33" t="n">
        <v>51414494</v>
      </c>
      <c r="Z307" s="33" t="n">
        <v>1465313079000</v>
      </c>
      <c r="AA307" s="33" t="n">
        <v>16638043500</v>
      </c>
      <c r="AB307" s="33" t="n">
        <v>8872583405</v>
      </c>
      <c r="AC307" s="38" t="n">
        <v>0.01135459973601996</v>
      </c>
      <c r="AD307" s="27" t="inlineStr">
        <is>
          <t>yfinance_download</t>
        </is>
      </c>
      <c r="AE307" s="27" t="inlineStr">
        <is>
          <t>005290.KQ</t>
        </is>
      </c>
    </row>
    <row r="308" ht="24" customHeight="1">
      <c r="A308" s="32" t="inlineStr">
        <is>
          <t>2024-09-05</t>
        </is>
      </c>
      <c r="B308" s="34" t="n">
        <v>28650</v>
      </c>
      <c r="C308" s="34" t="n">
        <v>29150</v>
      </c>
      <c r="D308" s="34" t="n">
        <v>27900</v>
      </c>
      <c r="E308" s="34" t="n">
        <v>28200</v>
      </c>
      <c r="F308" s="34" t="n">
        <v>27756.486328125</v>
      </c>
      <c r="G308" s="34" t="n">
        <v>357124</v>
      </c>
      <c r="H308" s="39" t="n">
        <v>-0.01052631578947372</v>
      </c>
      <c r="I308" s="39" t="n">
        <v>-0.4470588235294117</v>
      </c>
      <c r="J308" s="34" t="n">
        <v>31822.5</v>
      </c>
      <c r="K308" s="34" t="n">
        <v>35996.66666666666</v>
      </c>
      <c r="L308" s="34" t="n">
        <v>40230</v>
      </c>
      <c r="M308" s="39" t="n">
        <v>0.3456525707714648</v>
      </c>
      <c r="N308" s="39" t="n">
        <v>0.4507733816003765</v>
      </c>
      <c r="O308" s="39" t="n">
        <v>-0.1255813953488372</v>
      </c>
      <c r="P308" s="39" t="n">
        <v>-0.3364705882352941</v>
      </c>
      <c r="Q308" s="39" t="n">
        <v>-0.2905660377358491</v>
      </c>
      <c r="R308" s="39" t="n">
        <v>-0.113834551025218</v>
      </c>
      <c r="S308" s="39" t="n">
        <v>-0.2165941290860264</v>
      </c>
      <c r="T308" s="39" t="n">
        <v>-0.2990305741983594</v>
      </c>
      <c r="U308" s="34" t="n">
        <v>50100</v>
      </c>
      <c r="V308" s="34" t="n">
        <v>28200</v>
      </c>
      <c r="W308" s="39" t="n">
        <v>-0.437125748502994</v>
      </c>
      <c r="X308" s="39" t="n">
        <v>0</v>
      </c>
      <c r="Y308" s="34" t="n">
        <v>51414494</v>
      </c>
      <c r="Z308" s="34" t="n">
        <v>1449888730800</v>
      </c>
      <c r="AA308" s="34" t="n">
        <v>10070896800</v>
      </c>
      <c r="AB308" s="34" t="n">
        <v>8773578920</v>
      </c>
      <c r="AC308" s="39" t="n">
        <v>0.00694597908519726</v>
      </c>
      <c r="AD308" s="32" t="inlineStr">
        <is>
          <t>yfinance_download</t>
        </is>
      </c>
      <c r="AE308" s="32" t="inlineStr">
        <is>
          <t>005290.KQ</t>
        </is>
      </c>
    </row>
    <row r="309" ht="24" customHeight="1">
      <c r="A309" s="27" t="inlineStr">
        <is>
          <t>2024-09-06</t>
        </is>
      </c>
      <c r="B309" s="33" t="n">
        <v>28050</v>
      </c>
      <c r="C309" s="33" t="n">
        <v>28350</v>
      </c>
      <c r="D309" s="33" t="n">
        <v>27250</v>
      </c>
      <c r="E309" s="33" t="n">
        <v>27550</v>
      </c>
      <c r="F309" s="33" t="n">
        <v>27116.7109375</v>
      </c>
      <c r="G309" s="33" t="n">
        <v>330760</v>
      </c>
      <c r="H309" s="38" t="n">
        <v>-0.02304964539007093</v>
      </c>
      <c r="I309" s="38" t="n">
        <v>-0.4598039215686275</v>
      </c>
      <c r="J309" s="33" t="n">
        <v>31635</v>
      </c>
      <c r="K309" s="33" t="n">
        <v>35755</v>
      </c>
      <c r="L309" s="33" t="n">
        <v>40137.08333333334</v>
      </c>
      <c r="M309" s="38" t="n">
        <v>0.3407114800368653</v>
      </c>
      <c r="N309" s="38" t="n">
        <v>0.4519891802381287</v>
      </c>
      <c r="O309" s="38" t="n">
        <v>-0.1198083067092651</v>
      </c>
      <c r="P309" s="38" t="n">
        <v>-0.3448275862068966</v>
      </c>
      <c r="Q309" s="38" t="n">
        <v>-0.2881136950904393</v>
      </c>
      <c r="R309" s="38" t="n">
        <v>-0.1291291291291291</v>
      </c>
      <c r="S309" s="38" t="n">
        <v>-0.2294783946301217</v>
      </c>
      <c r="T309" s="38" t="n">
        <v>-0.3136023419738605</v>
      </c>
      <c r="U309" s="33" t="n">
        <v>50100</v>
      </c>
      <c r="V309" s="33" t="n">
        <v>27550</v>
      </c>
      <c r="W309" s="38" t="n">
        <v>-0.4500998003992016</v>
      </c>
      <c r="X309" s="38" t="n">
        <v>0</v>
      </c>
      <c r="Y309" s="33" t="n">
        <v>51414494</v>
      </c>
      <c r="Z309" s="33" t="n">
        <v>1416469309700</v>
      </c>
      <c r="AA309" s="33" t="n">
        <v>9112438000</v>
      </c>
      <c r="AB309" s="33" t="n">
        <v>8742579720</v>
      </c>
      <c r="AC309" s="38" t="n">
        <v>0.006433205391460237</v>
      </c>
      <c r="AD309" s="27" t="inlineStr">
        <is>
          <t>yfinance_download</t>
        </is>
      </c>
      <c r="AE309" s="27" t="inlineStr">
        <is>
          <t>005290.KQ</t>
        </is>
      </c>
    </row>
    <row r="310" ht="24" customHeight="1">
      <c r="A310" s="32" t="inlineStr">
        <is>
          <t>2024-09-09</t>
        </is>
      </c>
      <c r="B310" s="34" t="n">
        <v>26850</v>
      </c>
      <c r="C310" s="34" t="n">
        <v>28400</v>
      </c>
      <c r="D310" s="34" t="n">
        <v>26700</v>
      </c>
      <c r="E310" s="34" t="n">
        <v>28350</v>
      </c>
      <c r="F310" s="34" t="n">
        <v>27904.12890625</v>
      </c>
      <c r="G310" s="34" t="n">
        <v>260143</v>
      </c>
      <c r="H310" s="39" t="n">
        <v>0.02903811252268595</v>
      </c>
      <c r="I310" s="39" t="n">
        <v>-0.4441176470588235</v>
      </c>
      <c r="J310" s="34" t="n">
        <v>31425</v>
      </c>
      <c r="K310" s="34" t="n">
        <v>35538.33333333334</v>
      </c>
      <c r="L310" s="34" t="n">
        <v>40051.25</v>
      </c>
      <c r="M310" s="39" t="n">
        <v>0.3228942326003885</v>
      </c>
      <c r="N310" s="39" t="n">
        <v>0.4573225843944629</v>
      </c>
      <c r="O310" s="39" t="n">
        <v>-0.1290322580645161</v>
      </c>
      <c r="P310" s="39" t="n">
        <v>-0.3143893591293833</v>
      </c>
      <c r="Q310" s="39" t="n">
        <v>-0.2664941785252264</v>
      </c>
      <c r="R310" s="39" t="n">
        <v>-0.09785202863961817</v>
      </c>
      <c r="S310" s="39" t="n">
        <v>-0.2022698494583315</v>
      </c>
      <c r="T310" s="39" t="n">
        <v>-0.2921569239412003</v>
      </c>
      <c r="U310" s="34" t="n">
        <v>50100</v>
      </c>
      <c r="V310" s="34" t="n">
        <v>27550</v>
      </c>
      <c r="W310" s="39" t="n">
        <v>-0.4341317365269461</v>
      </c>
      <c r="X310" s="39" t="n">
        <v>0.02903811252268595</v>
      </c>
      <c r="Y310" s="34" t="n">
        <v>51414494</v>
      </c>
      <c r="Z310" s="34" t="n">
        <v>1457600904900</v>
      </c>
      <c r="AA310" s="34" t="n">
        <v>7375054050</v>
      </c>
      <c r="AB310" s="34" t="n">
        <v>8263995705</v>
      </c>
      <c r="AC310" s="39" t="n">
        <v>0.005059721097323257</v>
      </c>
      <c r="AD310" s="32" t="inlineStr">
        <is>
          <t>yfinance_download</t>
        </is>
      </c>
      <c r="AE310" s="32" t="inlineStr">
        <is>
          <t>005290.KQ</t>
        </is>
      </c>
    </row>
    <row r="311" ht="24" customHeight="1">
      <c r="A311" s="27" t="inlineStr">
        <is>
          <t>2024-09-10</t>
        </is>
      </c>
      <c r="B311" s="33" t="n">
        <v>28350</v>
      </c>
      <c r="C311" s="33" t="n">
        <v>28400</v>
      </c>
      <c r="D311" s="33" t="n">
        <v>27250</v>
      </c>
      <c r="E311" s="33" t="n">
        <v>27350</v>
      </c>
      <c r="F311" s="33" t="n">
        <v>26919.85546875</v>
      </c>
      <c r="G311" s="33" t="n">
        <v>277363</v>
      </c>
      <c r="H311" s="38" t="n">
        <v>-0.03527336860670194</v>
      </c>
      <c r="I311" s="38" t="n">
        <v>-0.4637254901960784</v>
      </c>
      <c r="J311" s="33" t="n">
        <v>31162.5</v>
      </c>
      <c r="K311" s="33" t="n">
        <v>35315</v>
      </c>
      <c r="L311" s="33" t="n">
        <v>39951.66666666666</v>
      </c>
      <c r="M311" s="38" t="n">
        <v>0.3366079891470718</v>
      </c>
      <c r="N311" s="38" t="n">
        <v>0.4609669373966451</v>
      </c>
      <c r="O311" s="38" t="n">
        <v>-0.161042944785276</v>
      </c>
      <c r="P311" s="38" t="n">
        <v>-0.3288343558282208</v>
      </c>
      <c r="Q311" s="38" t="n">
        <v>-0.3040712468193384</v>
      </c>
      <c r="R311" s="38" t="n">
        <v>-0.1223425591656638</v>
      </c>
      <c r="S311" s="38" t="n">
        <v>-0.2255415545802067</v>
      </c>
      <c r="T311" s="38" t="n">
        <v>-0.315422802553085</v>
      </c>
      <c r="U311" s="33" t="n">
        <v>50100</v>
      </c>
      <c r="V311" s="33" t="n">
        <v>27350</v>
      </c>
      <c r="W311" s="38" t="n">
        <v>-0.4540918163672655</v>
      </c>
      <c r="X311" s="38" t="n">
        <v>0</v>
      </c>
      <c r="Y311" s="33" t="n">
        <v>51414494</v>
      </c>
      <c r="Z311" s="33" t="n">
        <v>1406186410900</v>
      </c>
      <c r="AA311" s="33" t="n">
        <v>7585878050</v>
      </c>
      <c r="AB311" s="33" t="n">
        <v>8216863677.5</v>
      </c>
      <c r="AC311" s="38" t="n">
        <v>0.005394646108935741</v>
      </c>
      <c r="AD311" s="27" t="inlineStr">
        <is>
          <t>yfinance_download</t>
        </is>
      </c>
      <c r="AE311" s="27" t="inlineStr">
        <is>
          <t>005290.KQ</t>
        </is>
      </c>
    </row>
    <row r="312" ht="24" customHeight="1">
      <c r="A312" s="32" t="inlineStr">
        <is>
          <t>2024-09-11</t>
        </is>
      </c>
      <c r="B312" s="34" t="n">
        <v>27450</v>
      </c>
      <c r="C312" s="34" t="n">
        <v>27700</v>
      </c>
      <c r="D312" s="34" t="n">
        <v>26800</v>
      </c>
      <c r="E312" s="34" t="n">
        <v>27200</v>
      </c>
      <c r="F312" s="34" t="n">
        <v>26772.21484375</v>
      </c>
      <c r="G312" s="34" t="n">
        <v>261843</v>
      </c>
      <c r="H312" s="39" t="n">
        <v>-0.005484460694698323</v>
      </c>
      <c r="I312" s="39" t="n">
        <v>-0.4666666666666667</v>
      </c>
      <c r="J312" s="34" t="n">
        <v>30900</v>
      </c>
      <c r="K312" s="34" t="n">
        <v>35065</v>
      </c>
      <c r="L312" s="34" t="n">
        <v>39852.5</v>
      </c>
      <c r="M312" s="39" t="n">
        <v>0.3364859724820808</v>
      </c>
      <c r="N312" s="39" t="n">
        <v>0.4526777582544023</v>
      </c>
      <c r="O312" s="39" t="n">
        <v>-0.1617873651771957</v>
      </c>
      <c r="P312" s="39" t="n">
        <v>-0.3554502369668247</v>
      </c>
      <c r="Q312" s="39" t="n">
        <v>-0.3043478260869565</v>
      </c>
      <c r="R312" s="39" t="n">
        <v>-0.1197411003236246</v>
      </c>
      <c r="S312" s="39" t="n">
        <v>-0.2242977327819763</v>
      </c>
      <c r="T312" s="39" t="n">
        <v>-0.3174832193714322</v>
      </c>
      <c r="U312" s="34" t="n">
        <v>50100</v>
      </c>
      <c r="V312" s="34" t="n">
        <v>27200</v>
      </c>
      <c r="W312" s="39" t="n">
        <v>-0.4570858283433133</v>
      </c>
      <c r="X312" s="39" t="n">
        <v>0</v>
      </c>
      <c r="Y312" s="34" t="n">
        <v>51414494</v>
      </c>
      <c r="Z312" s="34" t="n">
        <v>1398474236800</v>
      </c>
      <c r="AA312" s="34" t="n">
        <v>7122129600</v>
      </c>
      <c r="AB312" s="34" t="n">
        <v>8290538337.5</v>
      </c>
      <c r="AC312" s="39" t="n">
        <v>0.005092785703580006</v>
      </c>
      <c r="AD312" s="32" t="inlineStr">
        <is>
          <t>yfinance_download</t>
        </is>
      </c>
      <c r="AE312" s="32" t="inlineStr">
        <is>
          <t>005290.KQ</t>
        </is>
      </c>
    </row>
    <row r="313" ht="24" customHeight="1">
      <c r="A313" s="27" t="inlineStr">
        <is>
          <t>2024-09-12</t>
        </is>
      </c>
      <c r="B313" s="33" t="n">
        <v>27950</v>
      </c>
      <c r="C313" s="33" t="n">
        <v>28850</v>
      </c>
      <c r="D313" s="33" t="n">
        <v>27850</v>
      </c>
      <c r="E313" s="33" t="n">
        <v>28500</v>
      </c>
      <c r="F313" s="33" t="n">
        <v>28051.76953125</v>
      </c>
      <c r="G313" s="33" t="n">
        <v>422631</v>
      </c>
      <c r="H313" s="38" t="n">
        <v>0.04779411764705888</v>
      </c>
      <c r="I313" s="38" t="n">
        <v>-0.4411764705882353</v>
      </c>
      <c r="J313" s="33" t="n">
        <v>30667.5</v>
      </c>
      <c r="K313" s="33" t="n">
        <v>34825.83333333334</v>
      </c>
      <c r="L313" s="33" t="n">
        <v>39747.08333333334</v>
      </c>
      <c r="M313" s="38" t="n">
        <v>0.3779591786104871</v>
      </c>
      <c r="N313" s="38" t="n">
        <v>0.4642086952058354</v>
      </c>
      <c r="O313" s="38" t="n">
        <v>-0.1402714932126696</v>
      </c>
      <c r="P313" s="38" t="n">
        <v>-0.3348891481913653</v>
      </c>
      <c r="Q313" s="38" t="n">
        <v>-0.307411907654921</v>
      </c>
      <c r="R313" s="38" t="n">
        <v>-0.07067742724382486</v>
      </c>
      <c r="S313" s="38" t="n">
        <v>-0.1816419803306932</v>
      </c>
      <c r="T313" s="38" t="n">
        <v>-0.2829662553856154</v>
      </c>
      <c r="U313" s="33" t="n">
        <v>50100</v>
      </c>
      <c r="V313" s="33" t="n">
        <v>27200</v>
      </c>
      <c r="W313" s="38" t="n">
        <v>-0.4311377245508982</v>
      </c>
      <c r="X313" s="38" t="n">
        <v>0.04779411764705888</v>
      </c>
      <c r="Y313" s="33" t="n">
        <v>51414494</v>
      </c>
      <c r="Z313" s="33" t="n">
        <v>1465313079000</v>
      </c>
      <c r="AA313" s="33" t="n">
        <v>12044983500</v>
      </c>
      <c r="AB313" s="33" t="n">
        <v>8335400097.5</v>
      </c>
      <c r="AC313" s="38" t="n">
        <v>0.008220075062880128</v>
      </c>
      <c r="AD313" s="27" t="inlineStr">
        <is>
          <t>yfinance_download</t>
        </is>
      </c>
      <c r="AE313" s="27" t="inlineStr">
        <is>
          <t>005290.KQ</t>
        </is>
      </c>
    </row>
    <row r="314" ht="24" customHeight="1">
      <c r="A314" s="32" t="inlineStr">
        <is>
          <t>2024-09-13</t>
        </is>
      </c>
      <c r="B314" s="34" t="n">
        <v>28200</v>
      </c>
      <c r="C314" s="34" t="n">
        <v>28450</v>
      </c>
      <c r="D314" s="34" t="n">
        <v>27750</v>
      </c>
      <c r="E314" s="34" t="n">
        <v>28050</v>
      </c>
      <c r="F314" s="34" t="n">
        <v>27608.845703125</v>
      </c>
      <c r="G314" s="34" t="n">
        <v>206253</v>
      </c>
      <c r="H314" s="39" t="n">
        <v>-0.01578947368421058</v>
      </c>
      <c r="I314" s="39" t="n">
        <v>-0.45</v>
      </c>
      <c r="J314" s="34" t="n">
        <v>30390</v>
      </c>
      <c r="K314" s="34" t="n">
        <v>34596.66666666666</v>
      </c>
      <c r="L314" s="34" t="n">
        <v>39581.25</v>
      </c>
      <c r="M314" s="39" t="n">
        <v>0.3707958085161313</v>
      </c>
      <c r="N314" s="39" t="n">
        <v>0.4630945672565844</v>
      </c>
      <c r="O314" s="39" t="n">
        <v>-0.1651785714285714</v>
      </c>
      <c r="P314" s="39" t="n">
        <v>-0.3289473684210527</v>
      </c>
      <c r="Q314" s="39" t="n">
        <v>-0.4150156412930136</v>
      </c>
      <c r="R314" s="39" t="n">
        <v>-0.07699901283316879</v>
      </c>
      <c r="S314" s="39" t="n">
        <v>-0.1892282493496483</v>
      </c>
      <c r="T314" s="39" t="n">
        <v>-0.291331122690668</v>
      </c>
      <c r="U314" s="34" t="n">
        <v>50100</v>
      </c>
      <c r="V314" s="34" t="n">
        <v>27200</v>
      </c>
      <c r="W314" s="39" t="n">
        <v>-0.4401197604790419</v>
      </c>
      <c r="X314" s="39" t="n">
        <v>0.03125</v>
      </c>
      <c r="Y314" s="34" t="n">
        <v>51414494</v>
      </c>
      <c r="Z314" s="34" t="n">
        <v>1442176556700</v>
      </c>
      <c r="AA314" s="34" t="n">
        <v>5785396650</v>
      </c>
      <c r="AB314" s="34" t="n">
        <v>8091666410</v>
      </c>
      <c r="AC314" s="39" t="n">
        <v>0.004011573078984304</v>
      </c>
      <c r="AD314" s="32" t="inlineStr">
        <is>
          <t>yfinance_download</t>
        </is>
      </c>
      <c r="AE314" s="32" t="inlineStr">
        <is>
          <t>005290.KQ</t>
        </is>
      </c>
    </row>
    <row r="315" ht="24" customHeight="1">
      <c r="A315" s="27" t="inlineStr">
        <is>
          <t>2024-09-19</t>
        </is>
      </c>
      <c r="B315" s="33" t="n">
        <v>28200</v>
      </c>
      <c r="C315" s="33" t="n">
        <v>28200</v>
      </c>
      <c r="D315" s="33" t="n">
        <v>26200</v>
      </c>
      <c r="E315" s="33" t="n">
        <v>27250</v>
      </c>
      <c r="F315" s="33" t="n">
        <v>26821.427734375</v>
      </c>
      <c r="G315" s="33" t="n">
        <v>515524</v>
      </c>
      <c r="H315" s="38" t="n">
        <v>-0.02852049910873444</v>
      </c>
      <c r="I315" s="38" t="n">
        <v>-0.4656862745098039</v>
      </c>
      <c r="J315" s="33" t="n">
        <v>30100</v>
      </c>
      <c r="K315" s="33" t="n">
        <v>34380</v>
      </c>
      <c r="L315" s="33" t="n">
        <v>39435.83333333334</v>
      </c>
      <c r="M315" s="38" t="n">
        <v>0.376580883488139</v>
      </c>
      <c r="N315" s="38" t="n">
        <v>0.4609834591134225</v>
      </c>
      <c r="O315" s="38" t="n">
        <v>-0.1754916792738276</v>
      </c>
      <c r="P315" s="38" t="n">
        <v>-0.3229813664596274</v>
      </c>
      <c r="Q315" s="38" t="n">
        <v>-0.3903803131991052</v>
      </c>
      <c r="R315" s="38" t="n">
        <v>-0.09468438538205981</v>
      </c>
      <c r="S315" s="38" t="n">
        <v>-0.2073880162885399</v>
      </c>
      <c r="T315" s="38" t="n">
        <v>-0.3090040783551339</v>
      </c>
      <c r="U315" s="33" t="n">
        <v>50100</v>
      </c>
      <c r="V315" s="33" t="n">
        <v>27200</v>
      </c>
      <c r="W315" s="38" t="n">
        <v>-0.4560878243512974</v>
      </c>
      <c r="X315" s="38" t="n">
        <v>0.001838235294117752</v>
      </c>
      <c r="Y315" s="33" t="n">
        <v>51414494</v>
      </c>
      <c r="Z315" s="33" t="n">
        <v>1401044961500</v>
      </c>
      <c r="AA315" s="33" t="n">
        <v>14048029000</v>
      </c>
      <c r="AB315" s="33" t="n">
        <v>8527618760</v>
      </c>
      <c r="AC315" s="38" t="n">
        <v>0.01002682239759084</v>
      </c>
      <c r="AD315" s="27" t="inlineStr">
        <is>
          <t>yfinance_download</t>
        </is>
      </c>
      <c r="AE315" s="27" t="inlineStr">
        <is>
          <t>005290.KQ</t>
        </is>
      </c>
    </row>
    <row r="316" ht="24" customHeight="1">
      <c r="A316" s="32" t="inlineStr">
        <is>
          <t>2024-09-20</t>
        </is>
      </c>
      <c r="B316" s="34" t="n">
        <v>27800</v>
      </c>
      <c r="C316" s="34" t="n">
        <v>27850</v>
      </c>
      <c r="D316" s="34" t="n">
        <v>26800</v>
      </c>
      <c r="E316" s="34" t="n">
        <v>27050</v>
      </c>
      <c r="F316" s="34" t="n">
        <v>26624.57421875</v>
      </c>
      <c r="G316" s="34" t="n">
        <v>334908</v>
      </c>
      <c r="H316" s="39" t="n">
        <v>-0.007339449541284404</v>
      </c>
      <c r="I316" s="39" t="n">
        <v>-0.4696078431372549</v>
      </c>
      <c r="J316" s="34" t="n">
        <v>29762.5</v>
      </c>
      <c r="K316" s="34" t="n">
        <v>34165.83333333334</v>
      </c>
      <c r="L316" s="34" t="n">
        <v>39294.58333333334</v>
      </c>
      <c r="M316" s="39" t="n">
        <v>0.3572991415781869</v>
      </c>
      <c r="N316" s="39" t="n">
        <v>0.4609586350034354</v>
      </c>
      <c r="O316" s="39" t="n">
        <v>-0.1997041420118343</v>
      </c>
      <c r="P316" s="39" t="n">
        <v>-0.3220551378446115</v>
      </c>
      <c r="Q316" s="39" t="n">
        <v>-0.3852272727272728</v>
      </c>
      <c r="R316" s="39" t="n">
        <v>-0.09113817723645523</v>
      </c>
      <c r="S316" s="39" t="n">
        <v>-0.2082733725212811</v>
      </c>
      <c r="T316" s="39" t="n">
        <v>-0.311609954722343</v>
      </c>
      <c r="U316" s="34" t="n">
        <v>50100</v>
      </c>
      <c r="V316" s="34" t="n">
        <v>27050</v>
      </c>
      <c r="W316" s="39" t="n">
        <v>-0.4600798403193613</v>
      </c>
      <c r="X316" s="39" t="n">
        <v>0</v>
      </c>
      <c r="Y316" s="34" t="n">
        <v>51414494</v>
      </c>
      <c r="Z316" s="34" t="n">
        <v>1390762062700</v>
      </c>
      <c r="AA316" s="34" t="n">
        <v>9059261400</v>
      </c>
      <c r="AB316" s="34" t="n">
        <v>8628093460</v>
      </c>
      <c r="AC316" s="39" t="n">
        <v>0.006513883030726705</v>
      </c>
      <c r="AD316" s="32" t="inlineStr">
        <is>
          <t>yfinance_download</t>
        </is>
      </c>
      <c r="AE316" s="32" t="inlineStr">
        <is>
          <t>005290.KQ</t>
        </is>
      </c>
    </row>
    <row r="317" ht="24" customHeight="1">
      <c r="A317" s="27" t="inlineStr">
        <is>
          <t>2024-09-23</t>
        </is>
      </c>
      <c r="B317" s="33" t="n">
        <v>26800</v>
      </c>
      <c r="C317" s="33" t="n">
        <v>27800</v>
      </c>
      <c r="D317" s="33" t="n">
        <v>26700</v>
      </c>
      <c r="E317" s="33" t="n">
        <v>27450</v>
      </c>
      <c r="F317" s="33" t="n">
        <v>27018.283203125</v>
      </c>
      <c r="G317" s="33" t="n">
        <v>250915</v>
      </c>
      <c r="H317" s="38" t="n">
        <v>0.01478743068391863</v>
      </c>
      <c r="I317" s="38" t="n">
        <v>-0.461764705882353</v>
      </c>
      <c r="J317" s="33" t="n">
        <v>29447.5</v>
      </c>
      <c r="K317" s="33" t="n">
        <v>33968.33333333334</v>
      </c>
      <c r="L317" s="33" t="n">
        <v>39158.75</v>
      </c>
      <c r="M317" s="38" t="n">
        <v>0.3674702347045339</v>
      </c>
      <c r="N317" s="38" t="n">
        <v>0.46251937149855</v>
      </c>
      <c r="O317" s="38" t="n">
        <v>-0.1866666666666666</v>
      </c>
      <c r="P317" s="38" t="n">
        <v>-0.3015267175572519</v>
      </c>
      <c r="Q317" s="38" t="n">
        <v>-0.3725714285714286</v>
      </c>
      <c r="R317" s="38" t="n">
        <v>-0.0678325834111555</v>
      </c>
      <c r="S317" s="38" t="n">
        <v>-0.1918944114616555</v>
      </c>
      <c r="T317" s="38" t="n">
        <v>-0.2990072461454975</v>
      </c>
      <c r="U317" s="33" t="n">
        <v>50100</v>
      </c>
      <c r="V317" s="33" t="n">
        <v>27050</v>
      </c>
      <c r="W317" s="38" t="n">
        <v>-0.4520958083832335</v>
      </c>
      <c r="X317" s="38" t="n">
        <v>0.01478743068391863</v>
      </c>
      <c r="Y317" s="33" t="n">
        <v>51414494</v>
      </c>
      <c r="Z317" s="33" t="n">
        <v>1411327860300</v>
      </c>
      <c r="AA317" s="33" t="n">
        <v>6887616750</v>
      </c>
      <c r="AB317" s="33" t="n">
        <v>8762191547.5</v>
      </c>
      <c r="AC317" s="38" t="n">
        <v>0.004880238634654267</v>
      </c>
      <c r="AD317" s="27" t="inlineStr">
        <is>
          <t>yfinance_download</t>
        </is>
      </c>
      <c r="AE317" s="27" t="inlineStr">
        <is>
          <t>005290.KQ</t>
        </is>
      </c>
    </row>
    <row r="318" ht="24" customHeight="1">
      <c r="A318" s="32" t="inlineStr">
        <is>
          <t>2024-09-24</t>
        </is>
      </c>
      <c r="B318" s="34" t="n">
        <v>27650</v>
      </c>
      <c r="C318" s="34" t="n">
        <v>28300</v>
      </c>
      <c r="D318" s="34" t="n">
        <v>27400</v>
      </c>
      <c r="E318" s="34" t="n">
        <v>28250</v>
      </c>
      <c r="F318" s="34" t="n">
        <v>27805.701171875</v>
      </c>
      <c r="G318" s="34" t="n">
        <v>250259</v>
      </c>
      <c r="H318" s="39" t="n">
        <v>0.02914389799635697</v>
      </c>
      <c r="I318" s="39" t="n">
        <v>-0.446078431372549</v>
      </c>
      <c r="J318" s="34" t="n">
        <v>29205</v>
      </c>
      <c r="K318" s="34" t="n">
        <v>33766.66666666666</v>
      </c>
      <c r="L318" s="34" t="n">
        <v>39022.91666666666</v>
      </c>
      <c r="M318" s="39" t="n">
        <v>0.3907632287888684</v>
      </c>
      <c r="N318" s="39" t="n">
        <v>0.4632681263316716</v>
      </c>
      <c r="O318" s="39" t="n">
        <v>-0.1465256797583081</v>
      </c>
      <c r="P318" s="39" t="n">
        <v>-0.2998760842627014</v>
      </c>
      <c r="Q318" s="39" t="n">
        <v>-0.3658810325476992</v>
      </c>
      <c r="R318" s="39" t="n">
        <v>-0.03269988015750724</v>
      </c>
      <c r="S318" s="39" t="n">
        <v>-0.1633761105626851</v>
      </c>
      <c r="T318" s="39" t="n">
        <v>-0.2760664139661523</v>
      </c>
      <c r="U318" s="34" t="n">
        <v>50100</v>
      </c>
      <c r="V318" s="34" t="n">
        <v>27050</v>
      </c>
      <c r="W318" s="39" t="n">
        <v>-0.436127744510978</v>
      </c>
      <c r="X318" s="39" t="n">
        <v>0.0443622920517559</v>
      </c>
      <c r="Y318" s="34" t="n">
        <v>51414494</v>
      </c>
      <c r="Z318" s="34" t="n">
        <v>1452459455500</v>
      </c>
      <c r="AA318" s="34" t="n">
        <v>7069816750</v>
      </c>
      <c r="AB318" s="34" t="n">
        <v>8783623185</v>
      </c>
      <c r="AC318" s="39" t="n">
        <v>0.004867479586592839</v>
      </c>
      <c r="AD318" s="32" t="inlineStr">
        <is>
          <t>yfinance_download</t>
        </is>
      </c>
      <c r="AE318" s="32" t="inlineStr">
        <is>
          <t>005290.KQ</t>
        </is>
      </c>
    </row>
    <row r="319" ht="24" customHeight="1">
      <c r="A319" s="27" t="inlineStr">
        <is>
          <t>2024-09-25</t>
        </is>
      </c>
      <c r="B319" s="33" t="n">
        <v>28750</v>
      </c>
      <c r="C319" s="33" t="n">
        <v>29100</v>
      </c>
      <c r="D319" s="33" t="n">
        <v>28150</v>
      </c>
      <c r="E319" s="33" t="n">
        <v>28150</v>
      </c>
      <c r="F319" s="33" t="n">
        <v>27707.2734375</v>
      </c>
      <c r="G319" s="33" t="n">
        <v>353586</v>
      </c>
      <c r="H319" s="38" t="n">
        <v>-0.003539823008849585</v>
      </c>
      <c r="I319" s="38" t="n">
        <v>-0.4480392156862745</v>
      </c>
      <c r="J319" s="33" t="n">
        <v>28990</v>
      </c>
      <c r="K319" s="33" t="n">
        <v>33567.5</v>
      </c>
      <c r="L319" s="33" t="n">
        <v>38869.16666666666</v>
      </c>
      <c r="M319" s="38" t="n">
        <v>0.3883583411665132</v>
      </c>
      <c r="N319" s="38" t="n">
        <v>0.463282899224716</v>
      </c>
      <c r="O319" s="38" t="n">
        <v>-0.1325115562403698</v>
      </c>
      <c r="P319" s="38" t="n">
        <v>-0.2980049875311721</v>
      </c>
      <c r="Q319" s="38" t="n">
        <v>-0.3959227467811158</v>
      </c>
      <c r="R319" s="38" t="n">
        <v>-0.02897550879613664</v>
      </c>
      <c r="S319" s="38" t="n">
        <v>-0.1613912266329038</v>
      </c>
      <c r="T319" s="38" t="n">
        <v>-0.2757755718971764</v>
      </c>
      <c r="U319" s="33" t="n">
        <v>50100</v>
      </c>
      <c r="V319" s="33" t="n">
        <v>27050</v>
      </c>
      <c r="W319" s="38" t="n">
        <v>-0.43812375249501</v>
      </c>
      <c r="X319" s="38" t="n">
        <v>0.04066543438077641</v>
      </c>
      <c r="Y319" s="33" t="n">
        <v>51414494</v>
      </c>
      <c r="Z319" s="33" t="n">
        <v>1447318006100</v>
      </c>
      <c r="AA319" s="33" t="n">
        <v>9953445900</v>
      </c>
      <c r="AB319" s="33" t="n">
        <v>8926967440</v>
      </c>
      <c r="AC319" s="38" t="n">
        <v>0.006877165804646449</v>
      </c>
      <c r="AD319" s="27" t="inlineStr">
        <is>
          <t>yfinance_download</t>
        </is>
      </c>
      <c r="AE319" s="27" t="inlineStr">
        <is>
          <t>005290.KQ</t>
        </is>
      </c>
    </row>
    <row r="320" ht="24" customHeight="1">
      <c r="A320" s="32" t="inlineStr">
        <is>
          <t>2024-09-26</t>
        </is>
      </c>
      <c r="B320" s="34" t="n">
        <v>29200</v>
      </c>
      <c r="C320" s="34" t="n">
        <v>29700</v>
      </c>
      <c r="D320" s="34" t="n">
        <v>28900</v>
      </c>
      <c r="E320" s="34" t="n">
        <v>29700</v>
      </c>
      <c r="F320" s="34" t="n">
        <v>29232.896484375</v>
      </c>
      <c r="G320" s="34" t="n">
        <v>500785</v>
      </c>
      <c r="H320" s="39" t="n">
        <v>0.05506216696269983</v>
      </c>
      <c r="I320" s="39" t="n">
        <v>-0.4176470588235294</v>
      </c>
      <c r="J320" s="34" t="n">
        <v>28887.5</v>
      </c>
      <c r="K320" s="34" t="n">
        <v>33395</v>
      </c>
      <c r="L320" s="34" t="n">
        <v>38714.58333333334</v>
      </c>
      <c r="M320" s="39" t="n">
        <v>0.4413470426907325</v>
      </c>
      <c r="N320" s="39" t="n">
        <v>0.4795511260827069</v>
      </c>
      <c r="O320" s="39" t="n">
        <v>-0.06456692913385831</v>
      </c>
      <c r="P320" s="39" t="n">
        <v>-0.2584269662921348</v>
      </c>
      <c r="Q320" s="39" t="n">
        <v>-0.3844559585492228</v>
      </c>
      <c r="R320" s="39" t="n">
        <v>0.02812635222847248</v>
      </c>
      <c r="S320" s="39" t="n">
        <v>-0.1106453061835604</v>
      </c>
      <c r="T320" s="39" t="n">
        <v>-0.23284722595921</v>
      </c>
      <c r="U320" s="34" t="n">
        <v>50100</v>
      </c>
      <c r="V320" s="34" t="n">
        <v>27050</v>
      </c>
      <c r="W320" s="39" t="n">
        <v>-0.407185628742515</v>
      </c>
      <c r="X320" s="39" t="n">
        <v>0.09796672828096109</v>
      </c>
      <c r="Y320" s="34" t="n">
        <v>51414494</v>
      </c>
      <c r="Z320" s="34" t="n">
        <v>1527010471800</v>
      </c>
      <c r="AA320" s="34" t="n">
        <v>14873314500</v>
      </c>
      <c r="AB320" s="34" t="n">
        <v>9340441102.5</v>
      </c>
      <c r="AC320" s="39" t="n">
        <v>0.009740152261344826</v>
      </c>
      <c r="AD320" s="32" t="inlineStr">
        <is>
          <t>yfinance_download</t>
        </is>
      </c>
      <c r="AE320" s="32" t="inlineStr">
        <is>
          <t>005290.KQ</t>
        </is>
      </c>
    </row>
    <row r="321" ht="24" customHeight="1">
      <c r="A321" s="27" t="inlineStr">
        <is>
          <t>2024-09-27</t>
        </is>
      </c>
      <c r="B321" s="33" t="n">
        <v>29750</v>
      </c>
      <c r="C321" s="33" t="n">
        <v>30100</v>
      </c>
      <c r="D321" s="33" t="n">
        <v>29200</v>
      </c>
      <c r="E321" s="33" t="n">
        <v>29700</v>
      </c>
      <c r="F321" s="33" t="n">
        <v>29232.896484375</v>
      </c>
      <c r="G321" s="33" t="n">
        <v>273570</v>
      </c>
      <c r="H321" s="38" t="n">
        <v>0</v>
      </c>
      <c r="I321" s="38" t="n">
        <v>-0.4176470588235294</v>
      </c>
      <c r="J321" s="33" t="n">
        <v>28792.5</v>
      </c>
      <c r="K321" s="33" t="n">
        <v>33220</v>
      </c>
      <c r="L321" s="33" t="n">
        <v>38544.58333333334</v>
      </c>
      <c r="M321" s="38" t="n">
        <v>0.4414160735502591</v>
      </c>
      <c r="N321" s="38" t="n">
        <v>0.4793371069764547</v>
      </c>
      <c r="O321" s="38" t="n">
        <v>-0.060126582278481</v>
      </c>
      <c r="P321" s="38" t="n">
        <v>-0.2611940298507462</v>
      </c>
      <c r="Q321" s="38" t="n">
        <v>-0.407185628742515</v>
      </c>
      <c r="R321" s="38" t="n">
        <v>0.03151862464183375</v>
      </c>
      <c r="S321" s="38" t="n">
        <v>-0.1059602649006622</v>
      </c>
      <c r="T321" s="38" t="n">
        <v>-0.2294637162593102</v>
      </c>
      <c r="U321" s="33" t="n">
        <v>50100</v>
      </c>
      <c r="V321" s="33" t="n">
        <v>27050</v>
      </c>
      <c r="W321" s="38" t="n">
        <v>-0.407185628742515</v>
      </c>
      <c r="X321" s="38" t="n">
        <v>0.09796672828096109</v>
      </c>
      <c r="Y321" s="33" t="n">
        <v>51414494</v>
      </c>
      <c r="Z321" s="33" t="n">
        <v>1527010471800</v>
      </c>
      <c r="AA321" s="33" t="n">
        <v>8125029000</v>
      </c>
      <c r="AB321" s="33" t="n">
        <v>9471478672.5</v>
      </c>
      <c r="AC321" s="38" t="n">
        <v>0.005320873137446417</v>
      </c>
      <c r="AD321" s="27" t="inlineStr">
        <is>
          <t>yfinance_download</t>
        </is>
      </c>
      <c r="AE321" s="27" t="inlineStr">
        <is>
          <t>005290.KQ</t>
        </is>
      </c>
    </row>
    <row r="322" ht="24" customHeight="1">
      <c r="A322" s="32" t="inlineStr">
        <is>
          <t>2024-09-30</t>
        </is>
      </c>
      <c r="B322" s="34" t="n">
        <v>29650</v>
      </c>
      <c r="C322" s="34" t="n">
        <v>29650</v>
      </c>
      <c r="D322" s="34" t="n">
        <v>28900</v>
      </c>
      <c r="E322" s="34" t="n">
        <v>29000</v>
      </c>
      <c r="F322" s="34" t="n">
        <v>28543.90625</v>
      </c>
      <c r="G322" s="34" t="n">
        <v>232093</v>
      </c>
      <c r="H322" s="39" t="n">
        <v>-0.02356902356902357</v>
      </c>
      <c r="I322" s="39" t="n">
        <v>-0.4313725490196079</v>
      </c>
      <c r="J322" s="34" t="n">
        <v>28657.5</v>
      </c>
      <c r="K322" s="34" t="n">
        <v>33061.66666666666</v>
      </c>
      <c r="L322" s="34" t="n">
        <v>38378.33333333334</v>
      </c>
      <c r="M322" s="39" t="n">
        <v>0.4468476691042549</v>
      </c>
      <c r="N322" s="39" t="n">
        <v>0.4745574252611102</v>
      </c>
      <c r="O322" s="39" t="n">
        <v>-0.08517350157728709</v>
      </c>
      <c r="P322" s="39" t="n">
        <v>-0.2467532467532467</v>
      </c>
      <c r="Q322" s="39" t="n">
        <v>-0.40755873340143</v>
      </c>
      <c r="R322" s="39" t="n">
        <v>0.01195149611794477</v>
      </c>
      <c r="S322" s="39" t="n">
        <v>-0.1228512375863285</v>
      </c>
      <c r="T322" s="39" t="n">
        <v>-0.244365310287923</v>
      </c>
      <c r="U322" s="34" t="n">
        <v>50100</v>
      </c>
      <c r="V322" s="34" t="n">
        <v>27050</v>
      </c>
      <c r="W322" s="39" t="n">
        <v>-0.4211576846307385</v>
      </c>
      <c r="X322" s="39" t="n">
        <v>0.07208872458410354</v>
      </c>
      <c r="Y322" s="34" t="n">
        <v>51414494</v>
      </c>
      <c r="Z322" s="34" t="n">
        <v>1491020326000</v>
      </c>
      <c r="AA322" s="34" t="n">
        <v>6730697000</v>
      </c>
      <c r="AB322" s="34" t="n">
        <v>9439791077.5</v>
      </c>
      <c r="AC322" s="39" t="n">
        <v>0.004514155094086893</v>
      </c>
      <c r="AD322" s="32" t="inlineStr">
        <is>
          <t>yfinance_download</t>
        </is>
      </c>
      <c r="AE322" s="32" t="inlineStr">
        <is>
          <t>005290.KQ</t>
        </is>
      </c>
    </row>
    <row r="323" ht="24" customHeight="1">
      <c r="A323" s="27" t="inlineStr">
        <is>
          <t>2024-10-02</t>
        </is>
      </c>
      <c r="B323" s="33" t="n">
        <v>28450</v>
      </c>
      <c r="C323" s="33" t="n">
        <v>30300</v>
      </c>
      <c r="D323" s="33" t="n">
        <v>28250</v>
      </c>
      <c r="E323" s="33" t="n">
        <v>29900</v>
      </c>
      <c r="F323" s="33" t="n">
        <v>29429.75</v>
      </c>
      <c r="G323" s="33" t="n">
        <v>462565</v>
      </c>
      <c r="H323" s="38" t="n">
        <v>0.03103448275862064</v>
      </c>
      <c r="I323" s="38" t="n">
        <v>-0.4137254901960784</v>
      </c>
      <c r="J323" s="33" t="n">
        <v>28612.5</v>
      </c>
      <c r="K323" s="33" t="n">
        <v>32920</v>
      </c>
      <c r="L323" s="33" t="n">
        <v>38234.58333333334</v>
      </c>
      <c r="M323" s="38" t="n">
        <v>0.4536798181353153</v>
      </c>
      <c r="N323" s="38" t="n">
        <v>0.4800346937100589</v>
      </c>
      <c r="O323" s="38" t="n">
        <v>-0.02922077922077926</v>
      </c>
      <c r="P323" s="38" t="n">
        <v>-0.2213541666666666</v>
      </c>
      <c r="Q323" s="38" t="n">
        <v>-0.3658536585365854</v>
      </c>
      <c r="R323" s="38" t="n">
        <v>0.04499781564001748</v>
      </c>
      <c r="S323" s="38" t="n">
        <v>-0.09173754556500613</v>
      </c>
      <c r="T323" s="38" t="n">
        <v>-0.2179854625502654</v>
      </c>
      <c r="U323" s="33" t="n">
        <v>50100</v>
      </c>
      <c r="V323" s="33" t="n">
        <v>27050</v>
      </c>
      <c r="W323" s="38" t="n">
        <v>-0.4031936127744511</v>
      </c>
      <c r="X323" s="38" t="n">
        <v>0.1053604436229205</v>
      </c>
      <c r="Y323" s="33" t="n">
        <v>51414494</v>
      </c>
      <c r="Z323" s="33" t="n">
        <v>1537293370600</v>
      </c>
      <c r="AA323" s="33" t="n">
        <v>13830693500</v>
      </c>
      <c r="AB323" s="33" t="n">
        <v>9522411292.5</v>
      </c>
      <c r="AC323" s="38" t="n">
        <v>0.008996782113619557</v>
      </c>
      <c r="AD323" s="27" t="inlineStr">
        <is>
          <t>yfinance_download</t>
        </is>
      </c>
      <c r="AE323" s="27" t="inlineStr">
        <is>
          <t>005290.KQ</t>
        </is>
      </c>
    </row>
    <row r="324" ht="24" customHeight="1">
      <c r="A324" s="32" t="inlineStr">
        <is>
          <t>2024-10-04</t>
        </is>
      </c>
      <c r="B324" s="34" t="n">
        <v>30200</v>
      </c>
      <c r="C324" s="34" t="n">
        <v>30400</v>
      </c>
      <c r="D324" s="34" t="n">
        <v>29550</v>
      </c>
      <c r="E324" s="34" t="n">
        <v>29600</v>
      </c>
      <c r="F324" s="34" t="n">
        <v>29134.46875</v>
      </c>
      <c r="G324" s="34" t="n">
        <v>201628</v>
      </c>
      <c r="H324" s="39" t="n">
        <v>-0.01003344481605351</v>
      </c>
      <c r="I324" s="39" t="n">
        <v>-0.4196078431372549</v>
      </c>
      <c r="J324" s="34" t="n">
        <v>28527.5</v>
      </c>
      <c r="K324" s="34" t="n">
        <v>32746.66666666667</v>
      </c>
      <c r="L324" s="34" t="n">
        <v>38081.25</v>
      </c>
      <c r="M324" s="39" t="n">
        <v>0.4499380289020311</v>
      </c>
      <c r="N324" s="39" t="n">
        <v>0.4707690664305802</v>
      </c>
      <c r="O324" s="39" t="n">
        <v>-0.05431309904153359</v>
      </c>
      <c r="P324" s="39" t="n">
        <v>-0.26</v>
      </c>
      <c r="Q324" s="39" t="n">
        <v>-0.3833333333333333</v>
      </c>
      <c r="R324" s="39" t="n">
        <v>0.03759530277802114</v>
      </c>
      <c r="S324" s="39" t="n">
        <v>-0.09609120521172643</v>
      </c>
      <c r="T324" s="39" t="n">
        <v>-0.2227145905137042</v>
      </c>
      <c r="U324" s="34" t="n">
        <v>50100</v>
      </c>
      <c r="V324" s="34" t="n">
        <v>27050</v>
      </c>
      <c r="W324" s="39" t="n">
        <v>-0.4091816367265469</v>
      </c>
      <c r="X324" s="39" t="n">
        <v>0.0942698706099816</v>
      </c>
      <c r="Y324" s="34" t="n">
        <v>51414494</v>
      </c>
      <c r="Z324" s="34" t="n">
        <v>1521869022400</v>
      </c>
      <c r="AA324" s="34" t="n">
        <v>5968188800</v>
      </c>
      <c r="AB324" s="34" t="n">
        <v>9443627562.5</v>
      </c>
      <c r="AC324" s="39" t="n">
        <v>0.003921617900197559</v>
      </c>
      <c r="AD324" s="32" t="inlineStr">
        <is>
          <t>yfinance_download</t>
        </is>
      </c>
      <c r="AE324" s="32" t="inlineStr">
        <is>
          <t>005290.KQ</t>
        </is>
      </c>
    </row>
    <row r="325" ht="24" customHeight="1">
      <c r="A325" s="27" t="inlineStr">
        <is>
          <t>2024-10-07</t>
        </is>
      </c>
      <c r="B325" s="33" t="n">
        <v>29800</v>
      </c>
      <c r="C325" s="33" t="n">
        <v>29900</v>
      </c>
      <c r="D325" s="33" t="n">
        <v>29250</v>
      </c>
      <c r="E325" s="33" t="n">
        <v>29800</v>
      </c>
      <c r="F325" s="33" t="n">
        <v>29331.32421875</v>
      </c>
      <c r="G325" s="33" t="n">
        <v>243765</v>
      </c>
      <c r="H325" s="38" t="n">
        <v>0.006756756756756799</v>
      </c>
      <c r="I325" s="38" t="n">
        <v>-0.4156862745098039</v>
      </c>
      <c r="J325" s="33" t="n">
        <v>28480</v>
      </c>
      <c r="K325" s="33" t="n">
        <v>32568.33333333333</v>
      </c>
      <c r="L325" s="33" t="n">
        <v>37925.83333333334</v>
      </c>
      <c r="M325" s="38" t="n">
        <v>0.4473440119561315</v>
      </c>
      <c r="N325" s="38" t="n">
        <v>0.4700265630811196</v>
      </c>
      <c r="O325" s="38" t="n">
        <v>-0.03089430894308942</v>
      </c>
      <c r="P325" s="38" t="n">
        <v>-0.2641975308641975</v>
      </c>
      <c r="Q325" s="38" t="n">
        <v>-0.3849329205366357</v>
      </c>
      <c r="R325" s="38" t="n">
        <v>0.0463483146067416</v>
      </c>
      <c r="S325" s="38" t="n">
        <v>-0.08500076761680564</v>
      </c>
      <c r="T325" s="38" t="n">
        <v>-0.2142558941794293</v>
      </c>
      <c r="U325" s="33" t="n">
        <v>50100</v>
      </c>
      <c r="V325" s="33" t="n">
        <v>27050</v>
      </c>
      <c r="W325" s="38" t="n">
        <v>-0.4051896207584831</v>
      </c>
      <c r="X325" s="38" t="n">
        <v>0.1016635859519408</v>
      </c>
      <c r="Y325" s="33" t="n">
        <v>51414494</v>
      </c>
      <c r="Z325" s="33" t="n">
        <v>1532151921200</v>
      </c>
      <c r="AA325" s="33" t="n">
        <v>7264197000</v>
      </c>
      <c r="AB325" s="33" t="n">
        <v>9322747850</v>
      </c>
      <c r="AC325" s="38" t="n">
        <v>0.004741172790692056</v>
      </c>
      <c r="AD325" s="27" t="inlineStr">
        <is>
          <t>yfinance_download</t>
        </is>
      </c>
      <c r="AE325" s="27" t="inlineStr">
        <is>
          <t>005290.KQ</t>
        </is>
      </c>
    </row>
    <row r="326" ht="24" customHeight="1">
      <c r="A326" s="32" t="inlineStr">
        <is>
          <t>2024-10-08</t>
        </is>
      </c>
      <c r="B326" s="34" t="n">
        <v>29350</v>
      </c>
      <c r="C326" s="34" t="n">
        <v>29850</v>
      </c>
      <c r="D326" s="34" t="n">
        <v>28800</v>
      </c>
      <c r="E326" s="34" t="n">
        <v>28850</v>
      </c>
      <c r="F326" s="34" t="n">
        <v>28396.263671875</v>
      </c>
      <c r="G326" s="34" t="n">
        <v>290948</v>
      </c>
      <c r="H326" s="39" t="n">
        <v>-0.03187919463087252</v>
      </c>
      <c r="I326" s="39" t="n">
        <v>-0.4343137254901961</v>
      </c>
      <c r="J326" s="34" t="n">
        <v>28420</v>
      </c>
      <c r="K326" s="34" t="n">
        <v>32375.83333333333</v>
      </c>
      <c r="L326" s="34" t="n">
        <v>37780.41666666666</v>
      </c>
      <c r="M326" s="39" t="n">
        <v>0.4542897935907325</v>
      </c>
      <c r="N326" s="39" t="n">
        <v>0.4732947397198886</v>
      </c>
      <c r="O326" s="39" t="n">
        <v>-0.03993344425956735</v>
      </c>
      <c r="P326" s="39" t="n">
        <v>-0.2858910891089109</v>
      </c>
      <c r="Q326" s="39" t="n">
        <v>-0.3768898488120951</v>
      </c>
      <c r="R326" s="39" t="n">
        <v>0.0151301900070373</v>
      </c>
      <c r="S326" s="39" t="n">
        <v>-0.1089032457337005</v>
      </c>
      <c r="T326" s="39" t="n">
        <v>-0.2363768707332943</v>
      </c>
      <c r="U326" s="34" t="n">
        <v>50100</v>
      </c>
      <c r="V326" s="34" t="n">
        <v>27050</v>
      </c>
      <c r="W326" s="39" t="n">
        <v>-0.4241516966067864</v>
      </c>
      <c r="X326" s="39" t="n">
        <v>0.06654343807763397</v>
      </c>
      <c r="Y326" s="34" t="n">
        <v>51414494</v>
      </c>
      <c r="Z326" s="34" t="n">
        <v>1483308151900</v>
      </c>
      <c r="AA326" s="34" t="n">
        <v>8393849800</v>
      </c>
      <c r="AB326" s="34" t="n">
        <v>9396947977.5</v>
      </c>
      <c r="AC326" s="39" t="n">
        <v>0.005658871212463941</v>
      </c>
      <c r="AD326" s="32" t="inlineStr">
        <is>
          <t>yfinance_download</t>
        </is>
      </c>
      <c r="AE326" s="32" t="inlineStr">
        <is>
          <t>005290.KQ</t>
        </is>
      </c>
    </row>
    <row r="327" ht="24" customHeight="1">
      <c r="A327" s="27" t="inlineStr">
        <is>
          <t>2024-10-10</t>
        </is>
      </c>
      <c r="B327" s="33" t="n">
        <v>29100</v>
      </c>
      <c r="C327" s="33" t="n">
        <v>29250</v>
      </c>
      <c r="D327" s="33" t="n">
        <v>28500</v>
      </c>
      <c r="E327" s="33" t="n">
        <v>28500</v>
      </c>
      <c r="F327" s="33" t="n">
        <v>28051.76953125</v>
      </c>
      <c r="G327" s="33" t="n">
        <v>229262</v>
      </c>
      <c r="H327" s="38" t="n">
        <v>-0.01213171577123051</v>
      </c>
      <c r="I327" s="38" t="n">
        <v>-0.4411764705882353</v>
      </c>
      <c r="J327" s="33" t="n">
        <v>28420</v>
      </c>
      <c r="K327" s="33" t="n">
        <v>32188.33333333333</v>
      </c>
      <c r="L327" s="33" t="n">
        <v>37630.41666666666</v>
      </c>
      <c r="M327" s="38" t="n">
        <v>0.4168173167588502</v>
      </c>
      <c r="N327" s="38" t="n">
        <v>0.472973376451308</v>
      </c>
      <c r="O327" s="38" t="n">
        <v>0</v>
      </c>
      <c r="P327" s="38" t="n">
        <v>-0.2830188679245284</v>
      </c>
      <c r="Q327" s="38" t="n">
        <v>-0.3870967741935484</v>
      </c>
      <c r="R327" s="38" t="n">
        <v>0.002814919071076671</v>
      </c>
      <c r="S327" s="38" t="n">
        <v>-0.1145860301351421</v>
      </c>
      <c r="T327" s="38" t="n">
        <v>-0.2426339508154972</v>
      </c>
      <c r="U327" s="33" t="n">
        <v>50100</v>
      </c>
      <c r="V327" s="33" t="n">
        <v>27050</v>
      </c>
      <c r="W327" s="38" t="n">
        <v>-0.4311377245508982</v>
      </c>
      <c r="X327" s="38" t="n">
        <v>0.05360443622920519</v>
      </c>
      <c r="Y327" s="33" t="n">
        <v>51414494</v>
      </c>
      <c r="Z327" s="33" t="n">
        <v>1465313079000</v>
      </c>
      <c r="AA327" s="33" t="n">
        <v>6533967000</v>
      </c>
      <c r="AB327" s="33" t="n">
        <v>8891744152.5</v>
      </c>
      <c r="AC327" s="38" t="n">
        <v>0.004459092799785212</v>
      </c>
      <c r="AD327" s="27" t="inlineStr">
        <is>
          <t>yfinance_download</t>
        </is>
      </c>
      <c r="AE327" s="27" t="inlineStr">
        <is>
          <t>005290.KQ</t>
        </is>
      </c>
    </row>
    <row r="328" ht="24" customHeight="1">
      <c r="A328" s="32" t="inlineStr">
        <is>
          <t>2024-10-11</t>
        </is>
      </c>
      <c r="B328" s="34" t="n">
        <v>28550</v>
      </c>
      <c r="C328" s="34" t="n">
        <v>29250</v>
      </c>
      <c r="D328" s="34" t="n">
        <v>28550</v>
      </c>
      <c r="E328" s="34" t="n">
        <v>28800</v>
      </c>
      <c r="F328" s="34" t="n">
        <v>28347.05078125</v>
      </c>
      <c r="G328" s="34" t="n">
        <v>234537</v>
      </c>
      <c r="H328" s="39" t="n">
        <v>0.01052631578947372</v>
      </c>
      <c r="I328" s="39" t="n">
        <v>-0.4352941176470588</v>
      </c>
      <c r="J328" s="34" t="n">
        <v>28450</v>
      </c>
      <c r="K328" s="34" t="n">
        <v>32024.16666666667</v>
      </c>
      <c r="L328" s="34" t="n">
        <v>37470.83333333334</v>
      </c>
      <c r="M328" s="39" t="n">
        <v>0.4162472851322978</v>
      </c>
      <c r="N328" s="39" t="n">
        <v>0.4716573709118056</v>
      </c>
      <c r="O328" s="39" t="n">
        <v>0.02127659574468077</v>
      </c>
      <c r="P328" s="39" t="n">
        <v>-0.2548512289780077</v>
      </c>
      <c r="Q328" s="39" t="n">
        <v>-0.3993743482794577</v>
      </c>
      <c r="R328" s="39" t="n">
        <v>0.0123022847100176</v>
      </c>
      <c r="S328" s="39" t="n">
        <v>-0.1006791745816962</v>
      </c>
      <c r="T328" s="39" t="n">
        <v>-0.2314022017124431</v>
      </c>
      <c r="U328" s="34" t="n">
        <v>50100</v>
      </c>
      <c r="V328" s="34" t="n">
        <v>27050</v>
      </c>
      <c r="W328" s="39" t="n">
        <v>-0.4251497005988024</v>
      </c>
      <c r="X328" s="39" t="n">
        <v>0.06469500924214411</v>
      </c>
      <c r="Y328" s="34" t="n">
        <v>51414494</v>
      </c>
      <c r="Z328" s="34" t="n">
        <v>1480737427200</v>
      </c>
      <c r="AA328" s="34" t="n">
        <v>6754665600</v>
      </c>
      <c r="AB328" s="34" t="n">
        <v>8725932592.5</v>
      </c>
      <c r="AC328" s="39" t="n">
        <v>0.004561690328023067</v>
      </c>
      <c r="AD328" s="32" t="inlineStr">
        <is>
          <t>yfinance_download</t>
        </is>
      </c>
      <c r="AE328" s="32" t="inlineStr">
        <is>
          <t>005290.KQ</t>
        </is>
      </c>
    </row>
    <row r="329" ht="24" customHeight="1">
      <c r="A329" s="27" t="inlineStr">
        <is>
          <t>2024-10-14</t>
        </is>
      </c>
      <c r="B329" s="33" t="n">
        <v>28950</v>
      </c>
      <c r="C329" s="33" t="n">
        <v>29700</v>
      </c>
      <c r="D329" s="33" t="n">
        <v>28800</v>
      </c>
      <c r="E329" s="33" t="n">
        <v>29200</v>
      </c>
      <c r="F329" s="33" t="n">
        <v>28740.759765625</v>
      </c>
      <c r="G329" s="33" t="n">
        <v>181897</v>
      </c>
      <c r="H329" s="38" t="n">
        <v>0.01388888888888884</v>
      </c>
      <c r="I329" s="38" t="n">
        <v>-0.4274509803921569</v>
      </c>
      <c r="J329" s="33" t="n">
        <v>28532.5</v>
      </c>
      <c r="K329" s="33" t="n">
        <v>31867.5</v>
      </c>
      <c r="L329" s="33" t="n">
        <v>37322.91666666666</v>
      </c>
      <c r="M329" s="38" t="n">
        <v>0.4080686098709644</v>
      </c>
      <c r="N329" s="38" t="n">
        <v>0.4731147565938186</v>
      </c>
      <c r="O329" s="38" t="n">
        <v>0.05989110707803991</v>
      </c>
      <c r="P329" s="38" t="n">
        <v>-0.2435233160621761</v>
      </c>
      <c r="Q329" s="38" t="n">
        <v>-0.3780617678381256</v>
      </c>
      <c r="R329" s="38" t="n">
        <v>0.02339437483571372</v>
      </c>
      <c r="S329" s="38" t="n">
        <v>-0.0837059700321644</v>
      </c>
      <c r="T329" s="38" t="n">
        <v>-0.217638850125593</v>
      </c>
      <c r="U329" s="33" t="n">
        <v>50100</v>
      </c>
      <c r="V329" s="33" t="n">
        <v>27050</v>
      </c>
      <c r="W329" s="38" t="n">
        <v>-0.4171656686626747</v>
      </c>
      <c r="X329" s="38" t="n">
        <v>0.07948243992606274</v>
      </c>
      <c r="Y329" s="33" t="n">
        <v>51414494</v>
      </c>
      <c r="Z329" s="33" t="n">
        <v>1501303224800</v>
      </c>
      <c r="AA329" s="33" t="n">
        <v>5311392400</v>
      </c>
      <c r="AB329" s="33" t="n">
        <v>8535880312.5</v>
      </c>
      <c r="AC329" s="38" t="n">
        <v>0.003537854520167018</v>
      </c>
      <c r="AD329" s="27" t="inlineStr">
        <is>
          <t>yfinance_download</t>
        </is>
      </c>
      <c r="AE329" s="27" t="inlineStr">
        <is>
          <t>005290.KQ</t>
        </is>
      </c>
    </row>
    <row r="330" ht="24" customHeight="1">
      <c r="A330" s="32" t="inlineStr">
        <is>
          <t>2024-10-15</t>
        </is>
      </c>
      <c r="B330" s="34" t="n">
        <v>29650</v>
      </c>
      <c r="C330" s="34" t="n">
        <v>29700</v>
      </c>
      <c r="D330" s="34" t="n">
        <v>28500</v>
      </c>
      <c r="E330" s="34" t="n">
        <v>28600</v>
      </c>
      <c r="F330" s="34" t="n">
        <v>28150.197265625</v>
      </c>
      <c r="G330" s="34" t="n">
        <v>278580</v>
      </c>
      <c r="H330" s="39" t="n">
        <v>-0.02054794520547942</v>
      </c>
      <c r="I330" s="39" t="n">
        <v>-0.4392156862745098</v>
      </c>
      <c r="J330" s="34" t="n">
        <v>28545</v>
      </c>
      <c r="K330" s="34" t="n">
        <v>31705.83333333333</v>
      </c>
      <c r="L330" s="34" t="n">
        <v>37160.83333333334</v>
      </c>
      <c r="M330" s="39" t="n">
        <v>0.4044079878285828</v>
      </c>
      <c r="N330" s="39" t="n">
        <v>0.4742507719681582</v>
      </c>
      <c r="O330" s="39" t="n">
        <v>0.008818342151675429</v>
      </c>
      <c r="P330" s="39" t="n">
        <v>-0.2532637075718016</v>
      </c>
      <c r="Q330" s="39" t="n">
        <v>-0.404786680541103</v>
      </c>
      <c r="R330" s="39" t="n">
        <v>0.0019267822736031</v>
      </c>
      <c r="S330" s="39" t="n">
        <v>-0.09795778905038499</v>
      </c>
      <c r="T330" s="39" t="n">
        <v>-0.230372479985648</v>
      </c>
      <c r="U330" s="34" t="n">
        <v>50100</v>
      </c>
      <c r="V330" s="34" t="n">
        <v>27050</v>
      </c>
      <c r="W330" s="39" t="n">
        <v>-0.4291417165668663</v>
      </c>
      <c r="X330" s="39" t="n">
        <v>0.0573012939001849</v>
      </c>
      <c r="Y330" s="34" t="n">
        <v>51414494</v>
      </c>
      <c r="Z330" s="34" t="n">
        <v>1470454528400</v>
      </c>
      <c r="AA330" s="34" t="n">
        <v>7967388000</v>
      </c>
      <c r="AB330" s="34" t="n">
        <v>8565497010</v>
      </c>
      <c r="AC330" s="39" t="n">
        <v>0.005418316477061896</v>
      </c>
      <c r="AD330" s="32" t="inlineStr">
        <is>
          <t>yfinance_download</t>
        </is>
      </c>
      <c r="AE330" s="32" t="inlineStr">
        <is>
          <t>005290.KQ</t>
        </is>
      </c>
    </row>
    <row r="331" ht="24" customHeight="1">
      <c r="A331" s="27" t="inlineStr">
        <is>
          <t>2024-10-16</t>
        </is>
      </c>
      <c r="B331" s="33" t="n">
        <v>27700</v>
      </c>
      <c r="C331" s="33" t="n">
        <v>27900</v>
      </c>
      <c r="D331" s="33" t="n">
        <v>27050</v>
      </c>
      <c r="E331" s="33" t="n">
        <v>27350</v>
      </c>
      <c r="F331" s="33" t="n">
        <v>26919.85546875</v>
      </c>
      <c r="G331" s="33" t="n">
        <v>351893</v>
      </c>
      <c r="H331" s="38" t="n">
        <v>-0.04370629370629375</v>
      </c>
      <c r="I331" s="38" t="n">
        <v>-0.4637254901960784</v>
      </c>
      <c r="J331" s="33" t="n">
        <v>28545</v>
      </c>
      <c r="K331" s="33" t="n">
        <v>31513.33333333333</v>
      </c>
      <c r="L331" s="33" t="n">
        <v>37004.58333333334</v>
      </c>
      <c r="M331" s="38" t="n">
        <v>0.4153297582031049</v>
      </c>
      <c r="N331" s="38" t="n">
        <v>0.4791026967911299</v>
      </c>
      <c r="O331" s="38" t="n">
        <v>0</v>
      </c>
      <c r="P331" s="38" t="n">
        <v>-0.2969151670951157</v>
      </c>
      <c r="Q331" s="38" t="n">
        <v>-0.4067245119305857</v>
      </c>
      <c r="R331" s="38" t="n">
        <v>-0.04186372394464877</v>
      </c>
      <c r="S331" s="38" t="n">
        <v>-0.1321133911571821</v>
      </c>
      <c r="T331" s="38" t="n">
        <v>-0.2609023656979429</v>
      </c>
      <c r="U331" s="33" t="n">
        <v>50100</v>
      </c>
      <c r="V331" s="33" t="n">
        <v>27050</v>
      </c>
      <c r="W331" s="38" t="n">
        <v>-0.4540918163672655</v>
      </c>
      <c r="X331" s="38" t="n">
        <v>0.01109057301293892</v>
      </c>
      <c r="Y331" s="33" t="n">
        <v>51414494</v>
      </c>
      <c r="Z331" s="33" t="n">
        <v>1406186410900</v>
      </c>
      <c r="AA331" s="33" t="n">
        <v>9624273550</v>
      </c>
      <c r="AB331" s="33" t="n">
        <v>8667416785</v>
      </c>
      <c r="AC331" s="38" t="n">
        <v>0.006844237346768403</v>
      </c>
      <c r="AD331" s="27" t="inlineStr">
        <is>
          <t>yfinance_download</t>
        </is>
      </c>
      <c r="AE331" s="27" t="inlineStr">
        <is>
          <t>005290.KQ</t>
        </is>
      </c>
    </row>
    <row r="332" ht="24" customHeight="1">
      <c r="A332" s="32" t="inlineStr">
        <is>
          <t>2024-10-17</t>
        </is>
      </c>
      <c r="B332" s="34" t="n">
        <v>27600</v>
      </c>
      <c r="C332" s="34" t="n">
        <v>27850</v>
      </c>
      <c r="D332" s="34" t="n">
        <v>27100</v>
      </c>
      <c r="E332" s="34" t="n">
        <v>27550</v>
      </c>
      <c r="F332" s="34" t="n">
        <v>27116.7109375</v>
      </c>
      <c r="G332" s="34" t="n">
        <v>231464</v>
      </c>
      <c r="H332" s="39" t="n">
        <v>0.007312614259597838</v>
      </c>
      <c r="I332" s="39" t="n">
        <v>-0.4598039215686275</v>
      </c>
      <c r="J332" s="34" t="n">
        <v>28562.5</v>
      </c>
      <c r="K332" s="34" t="n">
        <v>31329.16666666667</v>
      </c>
      <c r="L332" s="34" t="n">
        <v>36849.58333333334</v>
      </c>
      <c r="M332" s="39" t="n">
        <v>0.4154407006106674</v>
      </c>
      <c r="N332" s="39" t="n">
        <v>0.4797812915649315</v>
      </c>
      <c r="O332" s="39" t="n">
        <v>0.01286764705882359</v>
      </c>
      <c r="P332" s="39" t="n">
        <v>-0.2862694300518135</v>
      </c>
      <c r="Q332" s="39" t="n">
        <v>-0.4030335861321777</v>
      </c>
      <c r="R332" s="39" t="n">
        <v>-0.03544857768052512</v>
      </c>
      <c r="S332" s="39" t="n">
        <v>-0.1206277430509377</v>
      </c>
      <c r="T332" s="39" t="n">
        <v>-0.2523660376078427</v>
      </c>
      <c r="U332" s="34" t="n">
        <v>50100</v>
      </c>
      <c r="V332" s="34" t="n">
        <v>27050</v>
      </c>
      <c r="W332" s="39" t="n">
        <v>-0.4500998003992016</v>
      </c>
      <c r="X332" s="39" t="n">
        <v>0.01848428835489835</v>
      </c>
      <c r="Y332" s="34" t="n">
        <v>51414494</v>
      </c>
      <c r="Z332" s="34" t="n">
        <v>1416469309700</v>
      </c>
      <c r="AA332" s="34" t="n">
        <v>6376833200</v>
      </c>
      <c r="AB332" s="34" t="n">
        <v>8630151965</v>
      </c>
      <c r="AC332" s="39" t="n">
        <v>0.004501921189771896</v>
      </c>
      <c r="AD332" s="32" t="inlineStr">
        <is>
          <t>yfinance_download</t>
        </is>
      </c>
      <c r="AE332" s="32" t="inlineStr">
        <is>
          <t>005290.KQ</t>
        </is>
      </c>
    </row>
    <row r="333" ht="24" customHeight="1">
      <c r="A333" s="27" t="inlineStr">
        <is>
          <t>2024-10-18</t>
        </is>
      </c>
      <c r="B333" s="33" t="n">
        <v>27550</v>
      </c>
      <c r="C333" s="33" t="n">
        <v>27650</v>
      </c>
      <c r="D333" s="33" t="n">
        <v>26500</v>
      </c>
      <c r="E333" s="33" t="n">
        <v>26600</v>
      </c>
      <c r="F333" s="33" t="n">
        <v>26181.650390625</v>
      </c>
      <c r="G333" s="33" t="n">
        <v>314663</v>
      </c>
      <c r="H333" s="38" t="n">
        <v>-0.03448275862068961</v>
      </c>
      <c r="I333" s="38" t="n">
        <v>-0.4784313725490196</v>
      </c>
      <c r="J333" s="33" t="n">
        <v>28467.5</v>
      </c>
      <c r="K333" s="33" t="n">
        <v>31147.5</v>
      </c>
      <c r="L333" s="33" t="n">
        <v>36683.33333333334</v>
      </c>
      <c r="M333" s="38" t="n">
        <v>0.3945584112439872</v>
      </c>
      <c r="N333" s="38" t="n">
        <v>0.4811803934263754</v>
      </c>
      <c r="O333" s="38" t="n">
        <v>-0.06666666666666665</v>
      </c>
      <c r="P333" s="38" t="n">
        <v>-0.2906666666666666</v>
      </c>
      <c r="Q333" s="38" t="n">
        <v>-0.4285714285714286</v>
      </c>
      <c r="R333" s="38" t="n">
        <v>-0.06560112408887331</v>
      </c>
      <c r="S333" s="38" t="n">
        <v>-0.145998876314311</v>
      </c>
      <c r="T333" s="38" t="n">
        <v>-0.2748750567923671</v>
      </c>
      <c r="U333" s="33" t="n">
        <v>50100</v>
      </c>
      <c r="V333" s="33" t="n">
        <v>26600</v>
      </c>
      <c r="W333" s="38" t="n">
        <v>-0.4690618762475049</v>
      </c>
      <c r="X333" s="38" t="n">
        <v>0</v>
      </c>
      <c r="Y333" s="33" t="n">
        <v>51414494</v>
      </c>
      <c r="Z333" s="33" t="n">
        <v>1367625540400</v>
      </c>
      <c r="AA333" s="33" t="n">
        <v>8370035800</v>
      </c>
      <c r="AB333" s="33" t="n">
        <v>8446404580</v>
      </c>
      <c r="AC333" s="38" t="n">
        <v>0.006120122469745594</v>
      </c>
      <c r="AD333" s="27" t="inlineStr">
        <is>
          <t>yfinance_download</t>
        </is>
      </c>
      <c r="AE333" s="27" t="inlineStr">
        <is>
          <t>005290.KQ</t>
        </is>
      </c>
    </row>
    <row r="334" ht="24" customHeight="1">
      <c r="A334" s="32" t="inlineStr">
        <is>
          <t>2024-10-21</t>
        </is>
      </c>
      <c r="B334" s="34" t="n">
        <v>26500</v>
      </c>
      <c r="C334" s="34" t="n">
        <v>27450</v>
      </c>
      <c r="D334" s="34" t="n">
        <v>26250</v>
      </c>
      <c r="E334" s="34" t="n">
        <v>27250</v>
      </c>
      <c r="F334" s="34" t="n">
        <v>26821.427734375</v>
      </c>
      <c r="G334" s="34" t="n">
        <v>193041</v>
      </c>
      <c r="H334" s="39" t="n">
        <v>0.02443609022556381</v>
      </c>
      <c r="I334" s="39" t="n">
        <v>-0.4656862745098039</v>
      </c>
      <c r="J334" s="34" t="n">
        <v>28427.5</v>
      </c>
      <c r="K334" s="34" t="n">
        <v>30975.83333333333</v>
      </c>
      <c r="L334" s="34" t="n">
        <v>36540.83333333334</v>
      </c>
      <c r="M334" s="39" t="n">
        <v>0.4032108876283683</v>
      </c>
      <c r="N334" s="39" t="n">
        <v>0.4848446559002247</v>
      </c>
      <c r="O334" s="39" t="n">
        <v>-0.02852049910873444</v>
      </c>
      <c r="P334" s="39" t="n">
        <v>-0.274300932090546</v>
      </c>
      <c r="Q334" s="39" t="n">
        <v>-0.3855693348365277</v>
      </c>
      <c r="R334" s="39" t="n">
        <v>-0.04142115908891042</v>
      </c>
      <c r="S334" s="39" t="n">
        <v>-0.1202819402222162</v>
      </c>
      <c r="T334" s="39" t="n">
        <v>-0.2542589340691921</v>
      </c>
      <c r="U334" s="34" t="n">
        <v>50100</v>
      </c>
      <c r="V334" s="34" t="n">
        <v>26600</v>
      </c>
      <c r="W334" s="39" t="n">
        <v>-0.4560878243512974</v>
      </c>
      <c r="X334" s="39" t="n">
        <v>0.02443609022556381</v>
      </c>
      <c r="Y334" s="34" t="n">
        <v>51414494</v>
      </c>
      <c r="Z334" s="34" t="n">
        <v>1401044961500</v>
      </c>
      <c r="AA334" s="34" t="n">
        <v>5260367250</v>
      </c>
      <c r="AB334" s="34" t="n">
        <v>8420153110</v>
      </c>
      <c r="AC334" s="39" t="n">
        <v>0.003754602739064202</v>
      </c>
      <c r="AD334" s="32" t="inlineStr">
        <is>
          <t>yfinance_download</t>
        </is>
      </c>
      <c r="AE334" s="32" t="inlineStr">
        <is>
          <t>005290.KQ</t>
        </is>
      </c>
    </row>
    <row r="335" ht="24" customHeight="1">
      <c r="A335" s="27" t="inlineStr">
        <is>
          <t>2024-10-22</t>
        </is>
      </c>
      <c r="B335" s="33" t="n">
        <v>27250</v>
      </c>
      <c r="C335" s="33" t="n">
        <v>27250</v>
      </c>
      <c r="D335" s="33" t="n">
        <v>26250</v>
      </c>
      <c r="E335" s="33" t="n">
        <v>26300</v>
      </c>
      <c r="F335" s="33" t="n">
        <v>25886.369140625</v>
      </c>
      <c r="G335" s="33" t="n">
        <v>210317</v>
      </c>
      <c r="H335" s="38" t="n">
        <v>-0.03486238532110086</v>
      </c>
      <c r="I335" s="38" t="n">
        <v>-0.484313725490196</v>
      </c>
      <c r="J335" s="33" t="n">
        <v>28380</v>
      </c>
      <c r="K335" s="33" t="n">
        <v>30787.5</v>
      </c>
      <c r="L335" s="33" t="n">
        <v>36398.75</v>
      </c>
      <c r="M335" s="38" t="n">
        <v>0.4095020257019581</v>
      </c>
      <c r="N335" s="38" t="n">
        <v>0.4885307763690485</v>
      </c>
      <c r="O335" s="38" t="n">
        <v>-0.03486238532110086</v>
      </c>
      <c r="P335" s="38" t="n">
        <v>-0.300531914893617</v>
      </c>
      <c r="Q335" s="38" t="n">
        <v>-0.3933102652825836</v>
      </c>
      <c r="R335" s="38" t="n">
        <v>-0.07329105003523606</v>
      </c>
      <c r="S335" s="38" t="n">
        <v>-0.1457572066585465</v>
      </c>
      <c r="T335" s="38" t="n">
        <v>-0.277447714550637</v>
      </c>
      <c r="U335" s="33" t="n">
        <v>50100</v>
      </c>
      <c r="V335" s="33" t="n">
        <v>26300</v>
      </c>
      <c r="W335" s="38" t="n">
        <v>-0.4750499001996008</v>
      </c>
      <c r="X335" s="38" t="n">
        <v>0</v>
      </c>
      <c r="Y335" s="33" t="n">
        <v>51414494</v>
      </c>
      <c r="Z335" s="33" t="n">
        <v>1352201192200</v>
      </c>
      <c r="AA335" s="33" t="n">
        <v>5531337100</v>
      </c>
      <c r="AB335" s="33" t="n">
        <v>7994318515</v>
      </c>
      <c r="AC335" s="38" t="n">
        <v>0.004090616937706321</v>
      </c>
      <c r="AD335" s="27" t="inlineStr">
        <is>
          <t>yfinance_download</t>
        </is>
      </c>
      <c r="AE335" s="27" t="inlineStr">
        <is>
          <t>005290.KQ</t>
        </is>
      </c>
    </row>
    <row r="336" ht="24" customHeight="1">
      <c r="A336" s="32" t="inlineStr">
        <is>
          <t>2024-10-23</t>
        </is>
      </c>
      <c r="B336" s="34" t="n">
        <v>26300</v>
      </c>
      <c r="C336" s="34" t="n">
        <v>27450</v>
      </c>
      <c r="D336" s="34" t="n">
        <v>25800</v>
      </c>
      <c r="E336" s="34" t="n">
        <v>27350</v>
      </c>
      <c r="F336" s="34" t="n">
        <v>26919.85546875</v>
      </c>
      <c r="G336" s="34" t="n">
        <v>284983</v>
      </c>
      <c r="H336" s="39" t="n">
        <v>0.03992395437262353</v>
      </c>
      <c r="I336" s="39" t="n">
        <v>-0.4637254901960784</v>
      </c>
      <c r="J336" s="34" t="n">
        <v>28395</v>
      </c>
      <c r="K336" s="34" t="n">
        <v>30635</v>
      </c>
      <c r="L336" s="34" t="n">
        <v>36268.33333333334</v>
      </c>
      <c r="M336" s="39" t="n">
        <v>0.4341237189093697</v>
      </c>
      <c r="N336" s="39" t="n">
        <v>0.4946735763922526</v>
      </c>
      <c r="O336" s="39" t="n">
        <v>0.01109057301293892</v>
      </c>
      <c r="P336" s="39" t="n">
        <v>-0.2506849315068493</v>
      </c>
      <c r="Q336" s="39" t="n">
        <v>-0.3639534883720931</v>
      </c>
      <c r="R336" s="39" t="n">
        <v>-0.03680225391794334</v>
      </c>
      <c r="S336" s="39" t="n">
        <v>-0.1072302921495022</v>
      </c>
      <c r="T336" s="39" t="n">
        <v>-0.2458986259822619</v>
      </c>
      <c r="U336" s="34" t="n">
        <v>50100</v>
      </c>
      <c r="V336" s="34" t="n">
        <v>26300</v>
      </c>
      <c r="W336" s="39" t="n">
        <v>-0.4540918163672655</v>
      </c>
      <c r="X336" s="39" t="n">
        <v>0.03992395437262353</v>
      </c>
      <c r="Y336" s="34" t="n">
        <v>51414494</v>
      </c>
      <c r="Z336" s="34" t="n">
        <v>1406186410900</v>
      </c>
      <c r="AA336" s="34" t="n">
        <v>7794285050</v>
      </c>
      <c r="AB336" s="34" t="n">
        <v>7931069697.5</v>
      </c>
      <c r="AC336" s="39" t="n">
        <v>0.005542853344039523</v>
      </c>
      <c r="AD336" s="32" t="inlineStr">
        <is>
          <t>yfinance_download</t>
        </is>
      </c>
      <c r="AE336" s="32" t="inlineStr">
        <is>
          <t>005290.KQ</t>
        </is>
      </c>
    </row>
    <row r="337" ht="24" customHeight="1">
      <c r="A337" s="27" t="inlineStr">
        <is>
          <t>2024-10-24</t>
        </is>
      </c>
      <c r="B337" s="33" t="n">
        <v>27250</v>
      </c>
      <c r="C337" s="33" t="n">
        <v>27250</v>
      </c>
      <c r="D337" s="33" t="n">
        <v>26550</v>
      </c>
      <c r="E337" s="33" t="n">
        <v>26700</v>
      </c>
      <c r="F337" s="33" t="n">
        <v>26280.078125</v>
      </c>
      <c r="G337" s="33" t="n">
        <v>156944</v>
      </c>
      <c r="H337" s="38" t="n">
        <v>-0.02376599634369292</v>
      </c>
      <c r="I337" s="38" t="n">
        <v>-0.4764705882352941</v>
      </c>
      <c r="J337" s="33" t="n">
        <v>28357.5</v>
      </c>
      <c r="K337" s="33" t="n">
        <v>30482.5</v>
      </c>
      <c r="L337" s="33" t="n">
        <v>36126.25</v>
      </c>
      <c r="M337" s="38" t="n">
        <v>0.4393123696163413</v>
      </c>
      <c r="N337" s="38" t="n">
        <v>0.4955179457869851</v>
      </c>
      <c r="O337" s="38" t="n">
        <v>-0.02732240437158473</v>
      </c>
      <c r="P337" s="38" t="n">
        <v>-0.2552301255230126</v>
      </c>
      <c r="Q337" s="38" t="n">
        <v>-0.3897142857142857</v>
      </c>
      <c r="R337" s="38" t="n">
        <v>-0.05845014546416294</v>
      </c>
      <c r="S337" s="38" t="n">
        <v>-0.1240875912408759</v>
      </c>
      <c r="T337" s="38" t="n">
        <v>-0.2609252275007785</v>
      </c>
      <c r="U337" s="33" t="n">
        <v>50100</v>
      </c>
      <c r="V337" s="33" t="n">
        <v>26300</v>
      </c>
      <c r="W337" s="38" t="n">
        <v>-0.4670658682634731</v>
      </c>
      <c r="X337" s="38" t="n">
        <v>0.01520912547528508</v>
      </c>
      <c r="Y337" s="33" t="n">
        <v>51414494</v>
      </c>
      <c r="Z337" s="33" t="n">
        <v>1372766989800</v>
      </c>
      <c r="AA337" s="33" t="n">
        <v>4190404800</v>
      </c>
      <c r="AB337" s="33" t="n">
        <v>7796209100</v>
      </c>
      <c r="AC337" s="38" t="n">
        <v>0.003052524449623097</v>
      </c>
      <c r="AD337" s="27" t="inlineStr">
        <is>
          <t>yfinance_download</t>
        </is>
      </c>
      <c r="AE337" s="27" t="inlineStr">
        <is>
          <t>005290.KQ</t>
        </is>
      </c>
    </row>
    <row r="338" ht="24" customHeight="1">
      <c r="A338" s="32" t="inlineStr">
        <is>
          <t>2024-10-25</t>
        </is>
      </c>
      <c r="B338" s="34" t="n">
        <v>26950</v>
      </c>
      <c r="C338" s="34" t="n">
        <v>27000</v>
      </c>
      <c r="D338" s="34" t="n">
        <v>26400</v>
      </c>
      <c r="E338" s="34" t="n">
        <v>26750</v>
      </c>
      <c r="F338" s="34" t="n">
        <v>26329.29296875</v>
      </c>
      <c r="G338" s="34" t="n">
        <v>195518</v>
      </c>
      <c r="H338" s="39" t="n">
        <v>0.001872659176029856</v>
      </c>
      <c r="I338" s="39" t="n">
        <v>-0.4754901960784313</v>
      </c>
      <c r="J338" s="34" t="n">
        <v>28282.5</v>
      </c>
      <c r="K338" s="34" t="n">
        <v>30328.33333333333</v>
      </c>
      <c r="L338" s="34" t="n">
        <v>35992.08333333334</v>
      </c>
      <c r="M338" s="39" t="n">
        <v>0.4249050457742263</v>
      </c>
      <c r="N338" s="39" t="n">
        <v>0.4953693669691868</v>
      </c>
      <c r="O338" s="39" t="n">
        <v>-0.05309734513274333</v>
      </c>
      <c r="P338" s="39" t="n">
        <v>-0.2569444444444444</v>
      </c>
      <c r="Q338" s="39" t="n">
        <v>-0.3757292882147024</v>
      </c>
      <c r="R338" s="39" t="n">
        <v>-0.05418545036683464</v>
      </c>
      <c r="S338" s="39" t="n">
        <v>-0.1179864812881244</v>
      </c>
      <c r="T338" s="39" t="n">
        <v>-0.2567810050821362</v>
      </c>
      <c r="U338" s="34" t="n">
        <v>50100</v>
      </c>
      <c r="V338" s="34" t="n">
        <v>26300</v>
      </c>
      <c r="W338" s="39" t="n">
        <v>-0.4660678642714571</v>
      </c>
      <c r="X338" s="39" t="n">
        <v>0.0171102661596958</v>
      </c>
      <c r="Y338" s="34" t="n">
        <v>51414494</v>
      </c>
      <c r="Z338" s="34" t="n">
        <v>1375337714500</v>
      </c>
      <c r="AA338" s="34" t="n">
        <v>5230106500</v>
      </c>
      <c r="AB338" s="34" t="n">
        <v>7704223587.5</v>
      </c>
      <c r="AC338" s="39" t="n">
        <v>0.003802779815357125</v>
      </c>
      <c r="AD338" s="32" t="inlineStr">
        <is>
          <t>yfinance_download</t>
        </is>
      </c>
      <c r="AE338" s="32" t="inlineStr">
        <is>
          <t>005290.KQ</t>
        </is>
      </c>
    </row>
    <row r="339" ht="24" customHeight="1">
      <c r="A339" s="27" t="inlineStr">
        <is>
          <t>2024-10-28</t>
        </is>
      </c>
      <c r="B339" s="33" t="n">
        <v>26750</v>
      </c>
      <c r="C339" s="33" t="n">
        <v>27600</v>
      </c>
      <c r="D339" s="33" t="n">
        <v>26500</v>
      </c>
      <c r="E339" s="33" t="n">
        <v>27200</v>
      </c>
      <c r="F339" s="33" t="n">
        <v>26772.21484375</v>
      </c>
      <c r="G339" s="33" t="n">
        <v>201881</v>
      </c>
      <c r="H339" s="38" t="n">
        <v>0.01682242990654204</v>
      </c>
      <c r="I339" s="38" t="n">
        <v>-0.4666666666666667</v>
      </c>
      <c r="J339" s="33" t="n">
        <v>28235</v>
      </c>
      <c r="K339" s="33" t="n">
        <v>30198.33333333333</v>
      </c>
      <c r="L339" s="33" t="n">
        <v>35851.66666666666</v>
      </c>
      <c r="M339" s="38" t="n">
        <v>0.4302846633615374</v>
      </c>
      <c r="N339" s="38" t="n">
        <v>0.4948298445079128</v>
      </c>
      <c r="O339" s="38" t="n">
        <v>-0.03374777975133214</v>
      </c>
      <c r="P339" s="38" t="n">
        <v>-0.2228571428571429</v>
      </c>
      <c r="Q339" s="38" t="n">
        <v>-0.3825198637911464</v>
      </c>
      <c r="R339" s="38" t="n">
        <v>-0.03665663183991497</v>
      </c>
      <c r="S339" s="38" t="n">
        <v>-0.09928804017881776</v>
      </c>
      <c r="T339" s="38" t="n">
        <v>-0.2413183952396448</v>
      </c>
      <c r="U339" s="33" t="n">
        <v>50100</v>
      </c>
      <c r="V339" s="33" t="n">
        <v>26300</v>
      </c>
      <c r="W339" s="38" t="n">
        <v>-0.4570858283433133</v>
      </c>
      <c r="X339" s="38" t="n">
        <v>0.03422053231939159</v>
      </c>
      <c r="Y339" s="33" t="n">
        <v>51414494</v>
      </c>
      <c r="Z339" s="33" t="n">
        <v>1398474236800</v>
      </c>
      <c r="AA339" s="33" t="n">
        <v>5491163200</v>
      </c>
      <c r="AB339" s="33" t="n">
        <v>7481109452.5</v>
      </c>
      <c r="AC339" s="38" t="n">
        <v>0.003926538691599299</v>
      </c>
      <c r="AD339" s="27" t="inlineStr">
        <is>
          <t>yfinance_download</t>
        </is>
      </c>
      <c r="AE339" s="27" t="inlineStr">
        <is>
          <t>005290.KQ</t>
        </is>
      </c>
    </row>
    <row r="340" ht="24" customHeight="1">
      <c r="A340" s="32" t="inlineStr">
        <is>
          <t>2024-10-29</t>
        </is>
      </c>
      <c r="B340" s="34" t="n">
        <v>27200</v>
      </c>
      <c r="C340" s="34" t="n">
        <v>27200</v>
      </c>
      <c r="D340" s="34" t="n">
        <v>26300</v>
      </c>
      <c r="E340" s="34" t="n">
        <v>27150</v>
      </c>
      <c r="F340" s="34" t="n">
        <v>26723.001953125</v>
      </c>
      <c r="G340" s="34" t="n">
        <v>171472</v>
      </c>
      <c r="H340" s="39" t="n">
        <v>-0.001838235294117641</v>
      </c>
      <c r="I340" s="39" t="n">
        <v>-0.4676470588235294</v>
      </c>
      <c r="J340" s="34" t="n">
        <v>28107.5</v>
      </c>
      <c r="K340" s="34" t="n">
        <v>30064.16666666667</v>
      </c>
      <c r="L340" s="34" t="n">
        <v>35709.58333333334</v>
      </c>
      <c r="M340" s="39" t="n">
        <v>0.3751897606499134</v>
      </c>
      <c r="N340" s="39" t="n">
        <v>0.4944578091290565</v>
      </c>
      <c r="O340" s="39" t="n">
        <v>-0.08585858585858586</v>
      </c>
      <c r="P340" s="39" t="n">
        <v>-0.2286931818181818</v>
      </c>
      <c r="Q340" s="39" t="n">
        <v>-0.3857466063348416</v>
      </c>
      <c r="R340" s="39" t="n">
        <v>-0.0340656408431913</v>
      </c>
      <c r="S340" s="39" t="n">
        <v>-0.09693156304570782</v>
      </c>
      <c r="T340" s="39" t="n">
        <v>-0.239699893819353</v>
      </c>
      <c r="U340" s="34" t="n">
        <v>50100</v>
      </c>
      <c r="V340" s="34" t="n">
        <v>26300</v>
      </c>
      <c r="W340" s="39" t="n">
        <v>-0.4580838323353293</v>
      </c>
      <c r="X340" s="39" t="n">
        <v>0.0323193916349811</v>
      </c>
      <c r="Y340" s="34" t="n">
        <v>51414494</v>
      </c>
      <c r="Z340" s="34" t="n">
        <v>1395903512100</v>
      </c>
      <c r="AA340" s="34" t="n">
        <v>4655464800</v>
      </c>
      <c r="AB340" s="34" t="n">
        <v>6970216967.5</v>
      </c>
      <c r="AC340" s="39" t="n">
        <v>0.003335090684739599</v>
      </c>
      <c r="AD340" s="32" t="inlineStr">
        <is>
          <t>yfinance_download</t>
        </is>
      </c>
      <c r="AE340" s="32" t="inlineStr">
        <is>
          <t>005290.KQ</t>
        </is>
      </c>
    </row>
    <row r="341" ht="24" customHeight="1">
      <c r="A341" s="27" t="inlineStr">
        <is>
          <t>2024-10-30</t>
        </is>
      </c>
      <c r="B341" s="33" t="n">
        <v>27250</v>
      </c>
      <c r="C341" s="33" t="n">
        <v>27350</v>
      </c>
      <c r="D341" s="33" t="n">
        <v>26500</v>
      </c>
      <c r="E341" s="33" t="n">
        <v>26600</v>
      </c>
      <c r="F341" s="33" t="n">
        <v>26181.650390625</v>
      </c>
      <c r="G341" s="33" t="n">
        <v>161923</v>
      </c>
      <c r="H341" s="38" t="n">
        <v>-0.02025782688766109</v>
      </c>
      <c r="I341" s="38" t="n">
        <v>-0.4784313725490196</v>
      </c>
      <c r="J341" s="33" t="n">
        <v>27952.5</v>
      </c>
      <c r="K341" s="33" t="n">
        <v>29913.33333333333</v>
      </c>
      <c r="L341" s="33" t="n">
        <v>35569.58333333334</v>
      </c>
      <c r="M341" s="38" t="n">
        <v>0.3790444301471033</v>
      </c>
      <c r="N341" s="38" t="n">
        <v>0.4943527232795494</v>
      </c>
      <c r="O341" s="38" t="n">
        <v>-0.1043771043771043</v>
      </c>
      <c r="P341" s="38" t="n">
        <v>-0.2538569424964937</v>
      </c>
      <c r="Q341" s="38" t="n">
        <v>-0.3870967741935484</v>
      </c>
      <c r="R341" s="38" t="n">
        <v>-0.04838565423486274</v>
      </c>
      <c r="S341" s="38" t="n">
        <v>-0.1107644305772231</v>
      </c>
      <c r="T341" s="38" t="n">
        <v>-0.2521700422880037</v>
      </c>
      <c r="U341" s="33" t="n">
        <v>50100</v>
      </c>
      <c r="V341" s="33" t="n">
        <v>26300</v>
      </c>
      <c r="W341" s="38" t="n">
        <v>-0.4690618762475049</v>
      </c>
      <c r="X341" s="38" t="n">
        <v>0.01140684410646386</v>
      </c>
      <c r="Y341" s="33" t="n">
        <v>51414494</v>
      </c>
      <c r="Z341" s="33" t="n">
        <v>1367625540400</v>
      </c>
      <c r="AA341" s="33" t="n">
        <v>4307151800</v>
      </c>
      <c r="AB341" s="33" t="n">
        <v>6779323107.5</v>
      </c>
      <c r="AC341" s="38" t="n">
        <v>0.003149364846418599</v>
      </c>
      <c r="AD341" s="27" t="inlineStr">
        <is>
          <t>yfinance_download</t>
        </is>
      </c>
      <c r="AE341" s="27" t="inlineStr">
        <is>
          <t>005290.KQ</t>
        </is>
      </c>
    </row>
    <row r="342" ht="24" customHeight="1">
      <c r="A342" s="32" t="inlineStr">
        <is>
          <t>2024-10-31</t>
        </is>
      </c>
      <c r="B342" s="34" t="n">
        <v>26200</v>
      </c>
      <c r="C342" s="34" t="n">
        <v>27300</v>
      </c>
      <c r="D342" s="34" t="n">
        <v>26050</v>
      </c>
      <c r="E342" s="34" t="n">
        <v>27050</v>
      </c>
      <c r="F342" s="34" t="n">
        <v>26624.57421875</v>
      </c>
      <c r="G342" s="34" t="n">
        <v>337935</v>
      </c>
      <c r="H342" s="39" t="n">
        <v>0.01691729323308278</v>
      </c>
      <c r="I342" s="39" t="n">
        <v>-0.4696078431372549</v>
      </c>
      <c r="J342" s="34" t="n">
        <v>27855</v>
      </c>
      <c r="K342" s="34" t="n">
        <v>29783.33333333333</v>
      </c>
      <c r="L342" s="34" t="n">
        <v>35424.58333333334</v>
      </c>
      <c r="M342" s="39" t="n">
        <v>0.3802989417673923</v>
      </c>
      <c r="N342" s="39" t="n">
        <v>0.4947914727644316</v>
      </c>
      <c r="O342" s="39" t="n">
        <v>-0.0672413793103448</v>
      </c>
      <c r="P342" s="39" t="n">
        <v>-0.223816355810617</v>
      </c>
      <c r="Q342" s="39" t="n">
        <v>-0.391451068616423</v>
      </c>
      <c r="R342" s="39" t="n">
        <v>-0.02889965894812419</v>
      </c>
      <c r="S342" s="39" t="n">
        <v>-0.09177392277560148</v>
      </c>
      <c r="T342" s="39" t="n">
        <v>-0.2364059798398006</v>
      </c>
      <c r="U342" s="34" t="n">
        <v>50100</v>
      </c>
      <c r="V342" s="34" t="n">
        <v>26300</v>
      </c>
      <c r="W342" s="39" t="n">
        <v>-0.4600798403193613</v>
      </c>
      <c r="X342" s="39" t="n">
        <v>0.02851711026615966</v>
      </c>
      <c r="Y342" s="34" t="n">
        <v>51414494</v>
      </c>
      <c r="Z342" s="34" t="n">
        <v>1390762062700</v>
      </c>
      <c r="AA342" s="34" t="n">
        <v>9141141750</v>
      </c>
      <c r="AB342" s="34" t="n">
        <v>6899845345</v>
      </c>
      <c r="AC342" s="39" t="n">
        <v>0.006572757479632105</v>
      </c>
      <c r="AD342" s="32" t="inlineStr">
        <is>
          <t>yfinance_download</t>
        </is>
      </c>
      <c r="AE342" s="32" t="inlineStr">
        <is>
          <t>005290.KQ</t>
        </is>
      </c>
    </row>
    <row r="343" ht="24" customHeight="1">
      <c r="A343" s="27" t="inlineStr">
        <is>
          <t>2024-11-01</t>
        </is>
      </c>
      <c r="B343" s="33" t="n">
        <v>26600</v>
      </c>
      <c r="C343" s="33" t="n">
        <v>26950</v>
      </c>
      <c r="D343" s="33" t="n">
        <v>26550</v>
      </c>
      <c r="E343" s="33" t="n">
        <v>26650</v>
      </c>
      <c r="F343" s="33" t="n">
        <v>26230.865234375</v>
      </c>
      <c r="G343" s="33" t="n">
        <v>182518</v>
      </c>
      <c r="H343" s="38" t="n">
        <v>-0.01478743068391863</v>
      </c>
      <c r="I343" s="38" t="n">
        <v>-0.4774509803921568</v>
      </c>
      <c r="J343" s="33" t="n">
        <v>27692.5</v>
      </c>
      <c r="K343" s="33" t="n">
        <v>29625</v>
      </c>
      <c r="L343" s="33" t="n">
        <v>35270</v>
      </c>
      <c r="M343" s="38" t="n">
        <v>0.3598199880761542</v>
      </c>
      <c r="N343" s="38" t="n">
        <v>0.4878102419729255</v>
      </c>
      <c r="O343" s="38" t="n">
        <v>-0.1086956521739131</v>
      </c>
      <c r="P343" s="38" t="n">
        <v>-0.2627939142461964</v>
      </c>
      <c r="Q343" s="38" t="n">
        <v>-0.4103982300884956</v>
      </c>
      <c r="R343" s="38" t="n">
        <v>-0.03764557190575069</v>
      </c>
      <c r="S343" s="38" t="n">
        <v>-0.1004219409282701</v>
      </c>
      <c r="T343" s="38" t="n">
        <v>-0.2444003402324922</v>
      </c>
      <c r="U343" s="33" t="n">
        <v>50100</v>
      </c>
      <c r="V343" s="33" t="n">
        <v>26300</v>
      </c>
      <c r="W343" s="38" t="n">
        <v>-0.4680638722554891</v>
      </c>
      <c r="X343" s="38" t="n">
        <v>0.01330798479087458</v>
      </c>
      <c r="Y343" s="33" t="n">
        <v>51414494</v>
      </c>
      <c r="Z343" s="33" t="n">
        <v>1370196265100</v>
      </c>
      <c r="AA343" s="33" t="n">
        <v>4864104700</v>
      </c>
      <c r="AB343" s="33" t="n">
        <v>6451515905</v>
      </c>
      <c r="AC343" s="38" t="n">
        <v>0.003549932826334924</v>
      </c>
      <c r="AD343" s="27" t="inlineStr">
        <is>
          <t>yfinance_download</t>
        </is>
      </c>
      <c r="AE343" s="27" t="inlineStr">
        <is>
          <t>005290.KQ</t>
        </is>
      </c>
    </row>
    <row r="344" ht="24" customHeight="1">
      <c r="A344" s="32" t="inlineStr">
        <is>
          <t>2024-11-04</t>
        </is>
      </c>
      <c r="B344" s="34" t="n">
        <v>26650</v>
      </c>
      <c r="C344" s="34" t="n">
        <v>27350</v>
      </c>
      <c r="D344" s="34" t="n">
        <v>26450</v>
      </c>
      <c r="E344" s="34" t="n">
        <v>27250</v>
      </c>
      <c r="F344" s="34" t="n">
        <v>26821.427734375</v>
      </c>
      <c r="G344" s="34" t="n">
        <v>245106</v>
      </c>
      <c r="H344" s="39" t="n">
        <v>0.02251407129455907</v>
      </c>
      <c r="I344" s="39" t="n">
        <v>-0.4656862745098039</v>
      </c>
      <c r="J344" s="34" t="n">
        <v>27575</v>
      </c>
      <c r="K344" s="34" t="n">
        <v>29478.33333333333</v>
      </c>
      <c r="L344" s="34" t="n">
        <v>35110.83333333334</v>
      </c>
      <c r="M344" s="39" t="n">
        <v>0.3726889149784369</v>
      </c>
      <c r="N344" s="39" t="n">
        <v>0.4909556290927455</v>
      </c>
      <c r="O344" s="39" t="n">
        <v>-0.07939189189189189</v>
      </c>
      <c r="P344" s="39" t="n">
        <v>-0.2441054091539528</v>
      </c>
      <c r="Q344" s="39" t="n">
        <v>-0.4120819848975189</v>
      </c>
      <c r="R344" s="39" t="n">
        <v>-0.01178603807796919</v>
      </c>
      <c r="S344" s="39" t="n">
        <v>-0.07559224289025834</v>
      </c>
      <c r="T344" s="39" t="n">
        <v>-0.223886264922982</v>
      </c>
      <c r="U344" s="34" t="n">
        <v>50100</v>
      </c>
      <c r="V344" s="34" t="n">
        <v>26300</v>
      </c>
      <c r="W344" s="39" t="n">
        <v>-0.4560878243512974</v>
      </c>
      <c r="X344" s="39" t="n">
        <v>0.03612167300380231</v>
      </c>
      <c r="Y344" s="34" t="n">
        <v>51414494</v>
      </c>
      <c r="Z344" s="34" t="n">
        <v>1401044961500</v>
      </c>
      <c r="AA344" s="34" t="n">
        <v>6679138500</v>
      </c>
      <c r="AB344" s="34" t="n">
        <v>6487063390</v>
      </c>
      <c r="AC344" s="39" t="n">
        <v>0.004767254930098116</v>
      </c>
      <c r="AD344" s="32" t="inlineStr">
        <is>
          <t>yfinance_download</t>
        </is>
      </c>
      <c r="AE344" s="32" t="inlineStr">
        <is>
          <t>005290.KQ</t>
        </is>
      </c>
    </row>
    <row r="345" ht="24" customHeight="1">
      <c r="A345" s="27" t="inlineStr">
        <is>
          <t>2024-11-05</t>
        </is>
      </c>
      <c r="B345" s="33" t="n">
        <v>26950</v>
      </c>
      <c r="C345" s="33" t="n">
        <v>27350</v>
      </c>
      <c r="D345" s="33" t="n">
        <v>26850</v>
      </c>
      <c r="E345" s="33" t="n">
        <v>26950</v>
      </c>
      <c r="F345" s="33" t="n">
        <v>26526.146484375</v>
      </c>
      <c r="G345" s="33" t="n">
        <v>206409</v>
      </c>
      <c r="H345" s="38" t="n">
        <v>-0.01100917431192661</v>
      </c>
      <c r="I345" s="38" t="n">
        <v>-0.4715686274509804</v>
      </c>
      <c r="J345" s="33" t="n">
        <v>27432.5</v>
      </c>
      <c r="K345" s="33" t="n">
        <v>29357.5</v>
      </c>
      <c r="L345" s="33" t="n">
        <v>34942.08333333334</v>
      </c>
      <c r="M345" s="38" t="n">
        <v>0.3713065459794505</v>
      </c>
      <c r="N345" s="38" t="n">
        <v>0.4812770122261471</v>
      </c>
      <c r="O345" s="38" t="n">
        <v>-0.09563758389261745</v>
      </c>
      <c r="P345" s="38" t="n">
        <v>-0.2119883040935673</v>
      </c>
      <c r="Q345" s="38" t="n">
        <v>-0.4290254237288136</v>
      </c>
      <c r="R345" s="38" t="n">
        <v>-0.01758862662899841</v>
      </c>
      <c r="S345" s="38" t="n">
        <v>-0.08200630162650091</v>
      </c>
      <c r="T345" s="38" t="n">
        <v>-0.2287237213961199</v>
      </c>
      <c r="U345" s="33" t="n">
        <v>50100</v>
      </c>
      <c r="V345" s="33" t="n">
        <v>26300</v>
      </c>
      <c r="W345" s="38" t="n">
        <v>-0.4620758483033932</v>
      </c>
      <c r="X345" s="38" t="n">
        <v>0.02471482889733845</v>
      </c>
      <c r="Y345" s="33" t="n">
        <v>51414494</v>
      </c>
      <c r="Z345" s="33" t="n">
        <v>1385620613300</v>
      </c>
      <c r="AA345" s="33" t="n">
        <v>5562722550</v>
      </c>
      <c r="AB345" s="33" t="n">
        <v>6401989667.5</v>
      </c>
      <c r="AC345" s="38" t="n">
        <v>0.00401460724285257</v>
      </c>
      <c r="AD345" s="27" t="inlineStr">
        <is>
          <t>yfinance_download</t>
        </is>
      </c>
      <c r="AE345" s="27" t="inlineStr">
        <is>
          <t>005290.KQ</t>
        </is>
      </c>
    </row>
    <row r="346" ht="24" customHeight="1">
      <c r="A346" s="32" t="inlineStr">
        <is>
          <t>2024-11-06</t>
        </is>
      </c>
      <c r="B346" s="34" t="n">
        <v>27250</v>
      </c>
      <c r="C346" s="34" t="n">
        <v>30100</v>
      </c>
      <c r="D346" s="34" t="n">
        <v>27100</v>
      </c>
      <c r="E346" s="34" t="n">
        <v>29050</v>
      </c>
      <c r="F346" s="34" t="n">
        <v>28593.119140625</v>
      </c>
      <c r="G346" s="34" t="n">
        <v>2449779</v>
      </c>
      <c r="H346" s="39" t="n">
        <v>0.07792207792207795</v>
      </c>
      <c r="I346" s="39" t="n">
        <v>-0.4303921568627451</v>
      </c>
      <c r="J346" s="34" t="n">
        <v>27442.5</v>
      </c>
      <c r="K346" s="34" t="n">
        <v>29347.5</v>
      </c>
      <c r="L346" s="34" t="n">
        <v>34785.83333333334</v>
      </c>
      <c r="M346" s="39" t="n">
        <v>0.4590958624897819</v>
      </c>
      <c r="N346" s="39" t="n">
        <v>0.4302327791627448</v>
      </c>
      <c r="O346" s="39" t="n">
        <v>0.006932409012131657</v>
      </c>
      <c r="P346" s="39" t="n">
        <v>-0.0202360876897133</v>
      </c>
      <c r="Q346" s="39" t="n">
        <v>-0.3922594142259415</v>
      </c>
      <c r="R346" s="39" t="n">
        <v>0.05857702468798398</v>
      </c>
      <c r="S346" s="39" t="n">
        <v>-0.01013714967203339</v>
      </c>
      <c r="T346" s="39" t="n">
        <v>-0.1648899216635125</v>
      </c>
      <c r="U346" s="34" t="n">
        <v>50100</v>
      </c>
      <c r="V346" s="34" t="n">
        <v>26300</v>
      </c>
      <c r="W346" s="39" t="n">
        <v>-0.4201596806387226</v>
      </c>
      <c r="X346" s="39" t="n">
        <v>0.1045627376425855</v>
      </c>
      <c r="Y346" s="34" t="n">
        <v>51414494</v>
      </c>
      <c r="Z346" s="34" t="n">
        <v>1493591050700</v>
      </c>
      <c r="AA346" s="34" t="n">
        <v>71166079950</v>
      </c>
      <c r="AB346" s="34" t="n">
        <v>9540601175</v>
      </c>
      <c r="AC346" s="39" t="n">
        <v>0.04764763414767828</v>
      </c>
      <c r="AD346" s="32" t="inlineStr">
        <is>
          <t>yfinance_download</t>
        </is>
      </c>
      <c r="AE346" s="32" t="inlineStr">
        <is>
          <t>005290.KQ</t>
        </is>
      </c>
    </row>
    <row r="347" ht="24" customHeight="1">
      <c r="A347" s="27" t="inlineStr">
        <is>
          <t>2024-11-07</t>
        </is>
      </c>
      <c r="B347" s="33" t="n">
        <v>29250</v>
      </c>
      <c r="C347" s="33" t="n">
        <v>29250</v>
      </c>
      <c r="D347" s="33" t="n">
        <v>27500</v>
      </c>
      <c r="E347" s="33" t="n">
        <v>27600</v>
      </c>
      <c r="F347" s="33" t="n">
        <v>27165.923828125</v>
      </c>
      <c r="G347" s="33" t="n">
        <v>692090</v>
      </c>
      <c r="H347" s="38" t="n">
        <v>-0.04991394148020656</v>
      </c>
      <c r="I347" s="38" t="n">
        <v>-0.4588235294117647</v>
      </c>
      <c r="J347" s="33" t="n">
        <v>27397.5</v>
      </c>
      <c r="K347" s="33" t="n">
        <v>29280.83333333333</v>
      </c>
      <c r="L347" s="33" t="n">
        <v>34627.08333333334</v>
      </c>
      <c r="M347" s="38" t="n">
        <v>0.4915822681802279</v>
      </c>
      <c r="N347" s="38" t="n">
        <v>0.4199178208061613</v>
      </c>
      <c r="O347" s="38" t="n">
        <v>-0.03157894736842104</v>
      </c>
      <c r="P347" s="38" t="n">
        <v>-0.1265822784810127</v>
      </c>
      <c r="Q347" s="38" t="n">
        <v>-0.4083601286173634</v>
      </c>
      <c r="R347" s="38" t="n">
        <v>0.007391185327128458</v>
      </c>
      <c r="S347" s="38" t="n">
        <v>-0.05740387625579868</v>
      </c>
      <c r="T347" s="38" t="n">
        <v>-0.2029360447626497</v>
      </c>
      <c r="U347" s="33" t="n">
        <v>50100</v>
      </c>
      <c r="V347" s="33" t="n">
        <v>26300</v>
      </c>
      <c r="W347" s="38" t="n">
        <v>-0.4491017964071856</v>
      </c>
      <c r="X347" s="38" t="n">
        <v>0.0494296577946769</v>
      </c>
      <c r="Y347" s="33" t="n">
        <v>51414494</v>
      </c>
      <c r="Z347" s="33" t="n">
        <v>1419040034400</v>
      </c>
      <c r="AA347" s="33" t="n">
        <v>19101684000</v>
      </c>
      <c r="AB347" s="33" t="n">
        <v>10168987025</v>
      </c>
      <c r="AC347" s="38" t="n">
        <v>0.01346099020249037</v>
      </c>
      <c r="AD347" s="27" t="inlineStr">
        <is>
          <t>yfinance_download</t>
        </is>
      </c>
      <c r="AE347" s="27" t="inlineStr">
        <is>
          <t>005290.KQ</t>
        </is>
      </c>
    </row>
    <row r="348" ht="24" customHeight="1">
      <c r="A348" s="32" t="inlineStr">
        <is>
          <t>2024-11-08</t>
        </is>
      </c>
      <c r="B348" s="34" t="n">
        <v>27900</v>
      </c>
      <c r="C348" s="34" t="n">
        <v>27950</v>
      </c>
      <c r="D348" s="34" t="n">
        <v>26200</v>
      </c>
      <c r="E348" s="34" t="n">
        <v>26250</v>
      </c>
      <c r="F348" s="34" t="n">
        <v>25837.15625</v>
      </c>
      <c r="G348" s="34" t="n">
        <v>628012</v>
      </c>
      <c r="H348" s="39" t="n">
        <v>-0.04891304347826086</v>
      </c>
      <c r="I348" s="39" t="n">
        <v>-0.4852941176470589</v>
      </c>
      <c r="J348" s="34" t="n">
        <v>27270</v>
      </c>
      <c r="K348" s="34" t="n">
        <v>29180.83333333333</v>
      </c>
      <c r="L348" s="34" t="n">
        <v>34474.58333333334</v>
      </c>
      <c r="M348" s="39" t="n">
        <v>0.517451892157913</v>
      </c>
      <c r="N348" s="39" t="n">
        <v>0.4280938851634881</v>
      </c>
      <c r="O348" s="39" t="n">
        <v>-0.08854166666666663</v>
      </c>
      <c r="P348" s="39" t="n">
        <v>-0.186046511627907</v>
      </c>
      <c r="Q348" s="39" t="n">
        <v>-0.4107744107744108</v>
      </c>
      <c r="R348" s="39" t="n">
        <v>-0.03740374037403738</v>
      </c>
      <c r="S348" s="39" t="n">
        <v>-0.1004369306336922</v>
      </c>
      <c r="T348" s="39" t="n">
        <v>-0.2385694775136272</v>
      </c>
      <c r="U348" s="34" t="n">
        <v>50100</v>
      </c>
      <c r="V348" s="34" t="n">
        <v>26250</v>
      </c>
      <c r="W348" s="39" t="n">
        <v>-0.4760479041916168</v>
      </c>
      <c r="X348" s="39" t="n">
        <v>0</v>
      </c>
      <c r="Y348" s="34" t="n">
        <v>51414494</v>
      </c>
      <c r="Z348" s="34" t="n">
        <v>1349630467500</v>
      </c>
      <c r="AA348" s="34" t="n">
        <v>16485315000</v>
      </c>
      <c r="AB348" s="34" t="n">
        <v>10655519495</v>
      </c>
      <c r="AC348" s="39" t="n">
        <v>0.01221468794383156</v>
      </c>
      <c r="AD348" s="32" t="inlineStr">
        <is>
          <t>yfinance_download</t>
        </is>
      </c>
      <c r="AE348" s="32" t="inlineStr">
        <is>
          <t>005290.KQ</t>
        </is>
      </c>
    </row>
    <row r="349" ht="24" customHeight="1">
      <c r="A349" s="27" t="inlineStr">
        <is>
          <t>2024-11-11</t>
        </is>
      </c>
      <c r="B349" s="33" t="n">
        <v>26100</v>
      </c>
      <c r="C349" s="33" t="n">
        <v>26300</v>
      </c>
      <c r="D349" s="33" t="n">
        <v>24250</v>
      </c>
      <c r="E349" s="33" t="n">
        <v>24500</v>
      </c>
      <c r="F349" s="33" t="n">
        <v>24114.677734375</v>
      </c>
      <c r="G349" s="33" t="n">
        <v>681865</v>
      </c>
      <c r="H349" s="38" t="n">
        <v>-0.06666666666666665</v>
      </c>
      <c r="I349" s="38" t="n">
        <v>-0.5196078431372548</v>
      </c>
      <c r="J349" s="33" t="n">
        <v>27035</v>
      </c>
      <c r="K349" s="33" t="n">
        <v>29067.5</v>
      </c>
      <c r="L349" s="33" t="n">
        <v>34309.58333333334</v>
      </c>
      <c r="M349" s="38" t="n">
        <v>0.5577008064407167</v>
      </c>
      <c r="N349" s="38" t="n">
        <v>0.4443725515958998</v>
      </c>
      <c r="O349" s="38" t="n">
        <v>-0.160958904109589</v>
      </c>
      <c r="P349" s="38" t="n">
        <v>-0.2172523961661342</v>
      </c>
      <c r="Q349" s="38" t="n">
        <v>-0.4469525959367946</v>
      </c>
      <c r="R349" s="38" t="n">
        <v>-0.09376733863510267</v>
      </c>
      <c r="S349" s="38" t="n">
        <v>-0.1571342564720049</v>
      </c>
      <c r="T349" s="38" t="n">
        <v>-0.2859137995943797</v>
      </c>
      <c r="U349" s="33" t="n">
        <v>50100</v>
      </c>
      <c r="V349" s="33" t="n">
        <v>24500</v>
      </c>
      <c r="W349" s="38" t="n">
        <v>-0.5109780439121756</v>
      </c>
      <c r="X349" s="38" t="n">
        <v>0</v>
      </c>
      <c r="Y349" s="33" t="n">
        <v>51414494</v>
      </c>
      <c r="Z349" s="33" t="n">
        <v>1259655103000</v>
      </c>
      <c r="AA349" s="33" t="n">
        <v>16705692500</v>
      </c>
      <c r="AB349" s="33" t="n">
        <v>11225234500</v>
      </c>
      <c r="AC349" s="38" t="n">
        <v>0.01326211632074022</v>
      </c>
      <c r="AD349" s="27" t="inlineStr">
        <is>
          <t>yfinance_download</t>
        </is>
      </c>
      <c r="AE349" s="27" t="inlineStr">
        <is>
          <t>005290.KQ</t>
        </is>
      </c>
    </row>
    <row r="350" ht="24" customHeight="1">
      <c r="A350" s="32" t="inlineStr">
        <is>
          <t>2024-11-12</t>
        </is>
      </c>
      <c r="B350" s="34" t="n">
        <v>24350</v>
      </c>
      <c r="C350" s="34" t="n">
        <v>24600</v>
      </c>
      <c r="D350" s="34" t="n">
        <v>23600</v>
      </c>
      <c r="E350" s="34" t="n">
        <v>23850</v>
      </c>
      <c r="F350" s="34" t="n">
        <v>23474.90234375</v>
      </c>
      <c r="G350" s="34" t="n">
        <v>459842</v>
      </c>
      <c r="H350" s="39" t="n">
        <v>-0.02653061224489794</v>
      </c>
      <c r="I350" s="39" t="n">
        <v>-0.5323529411764706</v>
      </c>
      <c r="J350" s="34" t="n">
        <v>26797.5</v>
      </c>
      <c r="K350" s="34" t="n">
        <v>28922.5</v>
      </c>
      <c r="L350" s="34" t="n">
        <v>34138.75</v>
      </c>
      <c r="M350" s="39" t="n">
        <v>0.5598646809785977</v>
      </c>
      <c r="N350" s="39" t="n">
        <v>0.4373235415253841</v>
      </c>
      <c r="O350" s="39" t="n">
        <v>-0.166083916083916</v>
      </c>
      <c r="P350" s="39" t="n">
        <v>-0.2672811059907834</v>
      </c>
      <c r="Q350" s="39" t="n">
        <v>-0.4622322435174746</v>
      </c>
      <c r="R350" s="39" t="n">
        <v>-0.1099916036943744</v>
      </c>
      <c r="S350" s="39" t="n">
        <v>-0.1753824876826</v>
      </c>
      <c r="T350" s="39" t="n">
        <v>-0.3013803961773645</v>
      </c>
      <c r="U350" s="34" t="n">
        <v>50100</v>
      </c>
      <c r="V350" s="34" t="n">
        <v>23850</v>
      </c>
      <c r="W350" s="39" t="n">
        <v>-0.5239520958083832</v>
      </c>
      <c r="X350" s="39" t="n">
        <v>0</v>
      </c>
      <c r="Y350" s="34" t="n">
        <v>51414494</v>
      </c>
      <c r="Z350" s="34" t="n">
        <v>1226235681900</v>
      </c>
      <c r="AA350" s="34" t="n">
        <v>10967231700</v>
      </c>
      <c r="AB350" s="34" t="n">
        <v>11375226685</v>
      </c>
      <c r="AC350" s="39" t="n">
        <v>0.008943820394303598</v>
      </c>
      <c r="AD350" s="32" t="inlineStr">
        <is>
          <t>yfinance_download</t>
        </is>
      </c>
      <c r="AE350" s="32" t="inlineStr">
        <is>
          <t>005290.KQ</t>
        </is>
      </c>
    </row>
    <row r="351" ht="24" customHeight="1">
      <c r="A351" s="27" t="inlineStr">
        <is>
          <t>2024-11-13</t>
        </is>
      </c>
      <c r="B351" s="33" t="n">
        <v>23600</v>
      </c>
      <c r="C351" s="33" t="n">
        <v>23900</v>
      </c>
      <c r="D351" s="33" t="n">
        <v>23000</v>
      </c>
      <c r="E351" s="33" t="n">
        <v>23100</v>
      </c>
      <c r="F351" s="33" t="n">
        <v>22736.697265625</v>
      </c>
      <c r="G351" s="33" t="n">
        <v>452102</v>
      </c>
      <c r="H351" s="38" t="n">
        <v>-0.03144654088050314</v>
      </c>
      <c r="I351" s="38" t="n">
        <v>-0.5470588235294118</v>
      </c>
      <c r="J351" s="33" t="n">
        <v>26585</v>
      </c>
      <c r="K351" s="33" t="n">
        <v>28764.16666666667</v>
      </c>
      <c r="L351" s="33" t="n">
        <v>33969.16666666666</v>
      </c>
      <c r="M351" s="38" t="n">
        <v>0.5512503185786716</v>
      </c>
      <c r="N351" s="38" t="n">
        <v>0.440495646668695</v>
      </c>
      <c r="O351" s="38" t="n">
        <v>-0.1553930530164533</v>
      </c>
      <c r="P351" s="38" t="n">
        <v>-0.2914110429447853</v>
      </c>
      <c r="Q351" s="38" t="n">
        <v>-0.4683544303797469</v>
      </c>
      <c r="R351" s="38" t="n">
        <v>-0.1310889599398157</v>
      </c>
      <c r="S351" s="38" t="n">
        <v>-0.1969174609612655</v>
      </c>
      <c r="T351" s="38" t="n">
        <v>-0.3199715428206952</v>
      </c>
      <c r="U351" s="33" t="n">
        <v>50100</v>
      </c>
      <c r="V351" s="33" t="n">
        <v>23100</v>
      </c>
      <c r="W351" s="38" t="n">
        <v>-0.5389221556886228</v>
      </c>
      <c r="X351" s="38" t="n">
        <v>0</v>
      </c>
      <c r="Y351" s="33" t="n">
        <v>51414494</v>
      </c>
      <c r="Z351" s="33" t="n">
        <v>1187674811400</v>
      </c>
      <c r="AA351" s="33" t="n">
        <v>10443556200</v>
      </c>
      <c r="AB351" s="33" t="n">
        <v>11416190817.5</v>
      </c>
      <c r="AC351" s="38" t="n">
        <v>0.008793279186993458</v>
      </c>
      <c r="AD351" s="27" t="inlineStr">
        <is>
          <t>yfinance_download</t>
        </is>
      </c>
      <c r="AE351" s="27" t="inlineStr">
        <is>
          <t>005290.KQ</t>
        </is>
      </c>
    </row>
    <row r="352" ht="24" customHeight="1">
      <c r="A352" s="32" t="inlineStr">
        <is>
          <t>2024-11-14</t>
        </is>
      </c>
      <c r="B352" s="34" t="n">
        <v>23300</v>
      </c>
      <c r="C352" s="34" t="n">
        <v>23600</v>
      </c>
      <c r="D352" s="34" t="n">
        <v>22550</v>
      </c>
      <c r="E352" s="34" t="n">
        <v>22550</v>
      </c>
      <c r="F352" s="34" t="n">
        <v>22195.34765625</v>
      </c>
      <c r="G352" s="34" t="n">
        <v>537912</v>
      </c>
      <c r="H352" s="39" t="n">
        <v>-0.02380952380952384</v>
      </c>
      <c r="I352" s="39" t="n">
        <v>-0.557843137254902</v>
      </c>
      <c r="J352" s="34" t="n">
        <v>26335</v>
      </c>
      <c r="K352" s="34" t="n">
        <v>28599.16666666667</v>
      </c>
      <c r="L352" s="34" t="n">
        <v>33797.08333333334</v>
      </c>
      <c r="M352" s="39" t="n">
        <v>0.5509752372806868</v>
      </c>
      <c r="N352" s="39" t="n">
        <v>0.4421127215113649</v>
      </c>
      <c r="O352" s="39" t="n">
        <v>-0.1814882032667876</v>
      </c>
      <c r="P352" s="39" t="n">
        <v>-0.3050847457627118</v>
      </c>
      <c r="Q352" s="39" t="n">
        <v>-0.4780092592592593</v>
      </c>
      <c r="R352" s="39" t="n">
        <v>-0.1437250806910955</v>
      </c>
      <c r="S352" s="39" t="n">
        <v>-0.2115154870479909</v>
      </c>
      <c r="T352" s="39" t="n">
        <v>-0.3327826612256976</v>
      </c>
      <c r="U352" s="34" t="n">
        <v>50100</v>
      </c>
      <c r="V352" s="34" t="n">
        <v>22550</v>
      </c>
      <c r="W352" s="39" t="n">
        <v>-0.5499001996007984</v>
      </c>
      <c r="X352" s="39" t="n">
        <v>0</v>
      </c>
      <c r="Y352" s="34" t="n">
        <v>51414494</v>
      </c>
      <c r="Z352" s="34" t="n">
        <v>1159396839700</v>
      </c>
      <c r="AA352" s="34" t="n">
        <v>12129915600</v>
      </c>
      <c r="AB352" s="34" t="n">
        <v>11703844937.5</v>
      </c>
      <c r="AC352" s="39" t="n">
        <v>0.01046226381222384</v>
      </c>
      <c r="AD352" s="32" t="inlineStr">
        <is>
          <t>yfinance_download</t>
        </is>
      </c>
      <c r="AE352" s="32" t="inlineStr">
        <is>
          <t>005290.KQ</t>
        </is>
      </c>
    </row>
    <row r="353" ht="24" customHeight="1">
      <c r="A353" s="27" t="inlineStr">
        <is>
          <t>2024-11-15</t>
        </is>
      </c>
      <c r="B353" s="33" t="n">
        <v>22250</v>
      </c>
      <c r="C353" s="33" t="n">
        <v>24100</v>
      </c>
      <c r="D353" s="33" t="n">
        <v>22250</v>
      </c>
      <c r="E353" s="33" t="n">
        <v>23800</v>
      </c>
      <c r="F353" s="33" t="n">
        <v>23425.6875</v>
      </c>
      <c r="G353" s="33" t="n">
        <v>455682</v>
      </c>
      <c r="H353" s="38" t="n">
        <v>0.05543237250554323</v>
      </c>
      <c r="I353" s="38" t="n">
        <v>-0.5333333333333333</v>
      </c>
      <c r="J353" s="33" t="n">
        <v>26195</v>
      </c>
      <c r="K353" s="33" t="n">
        <v>28443.33333333333</v>
      </c>
      <c r="L353" s="33" t="n">
        <v>33627.5</v>
      </c>
      <c r="M353" s="38" t="n">
        <v>0.587878526537715</v>
      </c>
      <c r="N353" s="38" t="n">
        <v>0.4562433888118667</v>
      </c>
      <c r="O353" s="38" t="n">
        <v>-0.1052631578947368</v>
      </c>
      <c r="P353" s="38" t="n">
        <v>-0.282051282051282</v>
      </c>
      <c r="Q353" s="38" t="n">
        <v>-0.4609286523216308</v>
      </c>
      <c r="R353" s="38" t="n">
        <v>-0.09142966214926518</v>
      </c>
      <c r="S353" s="38" t="n">
        <v>-0.1632485643970467</v>
      </c>
      <c r="T353" s="38" t="n">
        <v>-0.2922459296706564</v>
      </c>
      <c r="U353" s="33" t="n">
        <v>50100</v>
      </c>
      <c r="V353" s="33" t="n">
        <v>22550</v>
      </c>
      <c r="W353" s="38" t="n">
        <v>-0.5249500998003992</v>
      </c>
      <c r="X353" s="38" t="n">
        <v>0.05543237250554323</v>
      </c>
      <c r="Y353" s="33" t="n">
        <v>51414494</v>
      </c>
      <c r="Z353" s="33" t="n">
        <v>1223664957200</v>
      </c>
      <c r="AA353" s="33" t="n">
        <v>10845231600</v>
      </c>
      <c r="AB353" s="33" t="n">
        <v>11827604727.5</v>
      </c>
      <c r="AC353" s="38" t="n">
        <v>0.008862909357816494</v>
      </c>
      <c r="AD353" s="27" t="inlineStr">
        <is>
          <t>yfinance_download</t>
        </is>
      </c>
      <c r="AE353" s="27" t="inlineStr">
        <is>
          <t>005290.KQ</t>
        </is>
      </c>
    </row>
    <row r="354" ht="24" customHeight="1">
      <c r="A354" s="32" t="inlineStr">
        <is>
          <t>2024-11-18</t>
        </is>
      </c>
      <c r="B354" s="34" t="n">
        <v>24050</v>
      </c>
      <c r="C354" s="34" t="n">
        <v>24500</v>
      </c>
      <c r="D354" s="34" t="n">
        <v>23250</v>
      </c>
      <c r="E354" s="34" t="n">
        <v>23500</v>
      </c>
      <c r="F354" s="34" t="n">
        <v>23130.40625</v>
      </c>
      <c r="G354" s="34" t="n">
        <v>375083</v>
      </c>
      <c r="H354" s="39" t="n">
        <v>-0.01260504201680668</v>
      </c>
      <c r="I354" s="39" t="n">
        <v>-0.5392156862745099</v>
      </c>
      <c r="J354" s="34" t="n">
        <v>26007.5</v>
      </c>
      <c r="K354" s="34" t="n">
        <v>28275</v>
      </c>
      <c r="L354" s="34" t="n">
        <v>33452.08333333334</v>
      </c>
      <c r="M354" s="39" t="n">
        <v>0.5779846626625107</v>
      </c>
      <c r="N354" s="39" t="n">
        <v>0.454818237742771</v>
      </c>
      <c r="O354" s="39" t="n">
        <v>-0.1376146788990825</v>
      </c>
      <c r="P354" s="39" t="n">
        <v>-0.3005952380952381</v>
      </c>
      <c r="Q354" s="39" t="n">
        <v>-0.4725028058361391</v>
      </c>
      <c r="R354" s="39" t="n">
        <v>-0.09641449581851391</v>
      </c>
      <c r="S354" s="39" t="n">
        <v>-0.1688770999115826</v>
      </c>
      <c r="T354" s="39" t="n">
        <v>-0.2975026468207013</v>
      </c>
      <c r="U354" s="34" t="n">
        <v>50100</v>
      </c>
      <c r="V354" s="34" t="n">
        <v>22550</v>
      </c>
      <c r="W354" s="39" t="n">
        <v>-0.5309381237524951</v>
      </c>
      <c r="X354" s="39" t="n">
        <v>0.04212860310421296</v>
      </c>
      <c r="Y354" s="34" t="n">
        <v>51414494</v>
      </c>
      <c r="Z354" s="34" t="n">
        <v>1208240609000</v>
      </c>
      <c r="AA354" s="34" t="n">
        <v>8814450500</v>
      </c>
      <c r="AB354" s="34" t="n">
        <v>12005308890</v>
      </c>
      <c r="AC354" s="39" t="n">
        <v>0.007295277475647237</v>
      </c>
      <c r="AD354" s="32" t="inlineStr">
        <is>
          <t>yfinance_download</t>
        </is>
      </c>
      <c r="AE354" s="32" t="inlineStr">
        <is>
          <t>005290.KQ</t>
        </is>
      </c>
    </row>
    <row r="355" ht="24" customHeight="1">
      <c r="A355" s="27" t="inlineStr">
        <is>
          <t>2024-11-19</t>
        </is>
      </c>
      <c r="B355" s="33" t="n">
        <v>23450</v>
      </c>
      <c r="C355" s="33" t="n">
        <v>24350</v>
      </c>
      <c r="D355" s="33" t="n">
        <v>23050</v>
      </c>
      <c r="E355" s="33" t="n">
        <v>24150</v>
      </c>
      <c r="F355" s="33" t="n">
        <v>23770.18359375</v>
      </c>
      <c r="G355" s="33" t="n">
        <v>298825</v>
      </c>
      <c r="H355" s="38" t="n">
        <v>0.0276595744680852</v>
      </c>
      <c r="I355" s="38" t="n">
        <v>-0.5264705882352941</v>
      </c>
      <c r="J355" s="33" t="n">
        <v>25900</v>
      </c>
      <c r="K355" s="33" t="n">
        <v>28126.66666666667</v>
      </c>
      <c r="L355" s="33" t="n">
        <v>33289.58333333334</v>
      </c>
      <c r="M355" s="38" t="n">
        <v>0.5802551085409219</v>
      </c>
      <c r="N355" s="38" t="n">
        <v>0.4592692122042873</v>
      </c>
      <c r="O355" s="38" t="n">
        <v>-0.08174904942965777</v>
      </c>
      <c r="P355" s="38" t="n">
        <v>-0.2692889561270801</v>
      </c>
      <c r="Q355" s="38" t="n">
        <v>-0.4467353951890034</v>
      </c>
      <c r="R355" s="38" t="n">
        <v>-0.06756756756756754</v>
      </c>
      <c r="S355" s="38" t="n">
        <v>-0.1413842142687841</v>
      </c>
      <c r="T355" s="38" t="n">
        <v>-0.2745478440453095</v>
      </c>
      <c r="U355" s="33" t="n">
        <v>50100</v>
      </c>
      <c r="V355" s="33" t="n">
        <v>22550</v>
      </c>
      <c r="W355" s="38" t="n">
        <v>-0.5179640718562875</v>
      </c>
      <c r="X355" s="38" t="n">
        <v>0.07095343680709543</v>
      </c>
      <c r="Y355" s="33" t="n">
        <v>51414494</v>
      </c>
      <c r="Z355" s="33" t="n">
        <v>1241660030100</v>
      </c>
      <c r="AA355" s="33" t="n">
        <v>7216623750</v>
      </c>
      <c r="AB355" s="33" t="n">
        <v>12089573222.5</v>
      </c>
      <c r="AC355" s="38" t="n">
        <v>0.005812077038043008</v>
      </c>
      <c r="AD355" s="27" t="inlineStr">
        <is>
          <t>yfinance_download</t>
        </is>
      </c>
      <c r="AE355" s="27" t="inlineStr">
        <is>
          <t>005290.KQ</t>
        </is>
      </c>
    </row>
    <row r="356" ht="24" customHeight="1">
      <c r="A356" s="32" t="inlineStr">
        <is>
          <t>2024-11-20</t>
        </is>
      </c>
      <c r="B356" s="34" t="n">
        <v>24300</v>
      </c>
      <c r="C356" s="34" t="n">
        <v>24800</v>
      </c>
      <c r="D356" s="34" t="n">
        <v>24000</v>
      </c>
      <c r="E356" s="34" t="n">
        <v>24400</v>
      </c>
      <c r="F356" s="34" t="n">
        <v>24016.251953125</v>
      </c>
      <c r="G356" s="34" t="n">
        <v>278509</v>
      </c>
      <c r="H356" s="39" t="n">
        <v>0.01035196687370599</v>
      </c>
      <c r="I356" s="39" t="n">
        <v>-0.5215686274509803</v>
      </c>
      <c r="J356" s="34" t="n">
        <v>25752.5</v>
      </c>
      <c r="K356" s="34" t="n">
        <v>27970</v>
      </c>
      <c r="L356" s="34" t="n">
        <v>33144.58333333334</v>
      </c>
      <c r="M356" s="39" t="n">
        <v>0.5599590695468153</v>
      </c>
      <c r="N356" s="39" t="n">
        <v>0.4568029913371698</v>
      </c>
      <c r="O356" s="39" t="n">
        <v>-0.1078610603290676</v>
      </c>
      <c r="P356" s="39" t="n">
        <v>-0.2781065088757396</v>
      </c>
      <c r="Q356" s="39" t="n">
        <v>-0.416267942583732</v>
      </c>
      <c r="R356" s="39" t="n">
        <v>-0.05251917289583541</v>
      </c>
      <c r="S356" s="39" t="n">
        <v>-0.1276367536646407</v>
      </c>
      <c r="T356" s="39" t="n">
        <v>-0.2638314455604863</v>
      </c>
      <c r="U356" s="34" t="n">
        <v>50100</v>
      </c>
      <c r="V356" s="34" t="n">
        <v>22550</v>
      </c>
      <c r="W356" s="39" t="n">
        <v>-0.5129740518962076</v>
      </c>
      <c r="X356" s="39" t="n">
        <v>0.08203991130820398</v>
      </c>
      <c r="Y356" s="34" t="n">
        <v>51414494</v>
      </c>
      <c r="Z356" s="34" t="n">
        <v>1254513653600</v>
      </c>
      <c r="AA356" s="34" t="n">
        <v>6795619600</v>
      </c>
      <c r="AB356" s="34" t="n">
        <v>12039639950</v>
      </c>
      <c r="AC356" s="39" t="n">
        <v>0.005416935543506468</v>
      </c>
      <c r="AD356" s="32" t="inlineStr">
        <is>
          <t>yfinance_download</t>
        </is>
      </c>
      <c r="AE356" s="32" t="inlineStr">
        <is>
          <t>005290.KQ</t>
        </is>
      </c>
    </row>
    <row r="357" ht="24" customHeight="1">
      <c r="A357" s="27" t="inlineStr">
        <is>
          <t>2024-11-21</t>
        </is>
      </c>
      <c r="B357" s="33" t="n">
        <v>24500</v>
      </c>
      <c r="C357" s="33" t="n">
        <v>24750</v>
      </c>
      <c r="D357" s="33" t="n">
        <v>24050</v>
      </c>
      <c r="E357" s="33" t="n">
        <v>24150</v>
      </c>
      <c r="F357" s="33" t="n">
        <v>23770.18359375</v>
      </c>
      <c r="G357" s="33" t="n">
        <v>193818</v>
      </c>
      <c r="H357" s="38" t="n">
        <v>-0.01024590163934425</v>
      </c>
      <c r="I357" s="38" t="n">
        <v>-0.5264705882352941</v>
      </c>
      <c r="J357" s="33" t="n">
        <v>25625</v>
      </c>
      <c r="K357" s="33" t="n">
        <v>27810</v>
      </c>
      <c r="L357" s="33" t="n">
        <v>32990</v>
      </c>
      <c r="M357" s="38" t="n">
        <v>0.5560251205939923</v>
      </c>
      <c r="N357" s="38" t="n">
        <v>0.4568667974859255</v>
      </c>
      <c r="O357" s="38" t="n">
        <v>-0.0955056179775281</v>
      </c>
      <c r="P357" s="38" t="n">
        <v>-0.2844444444444445</v>
      </c>
      <c r="Q357" s="38" t="n">
        <v>-0.4344262295081968</v>
      </c>
      <c r="R357" s="38" t="n">
        <v>-0.05756097560975615</v>
      </c>
      <c r="S357" s="38" t="n">
        <v>-0.1316073354908306</v>
      </c>
      <c r="T357" s="38" t="n">
        <v>-0.2679599878751137</v>
      </c>
      <c r="U357" s="33" t="n">
        <v>50100</v>
      </c>
      <c r="V357" s="33" t="n">
        <v>22550</v>
      </c>
      <c r="W357" s="38" t="n">
        <v>-0.5179640718562875</v>
      </c>
      <c r="X357" s="38" t="n">
        <v>0.07095343680709543</v>
      </c>
      <c r="Y357" s="33" t="n">
        <v>51414494</v>
      </c>
      <c r="Z357" s="33" t="n">
        <v>1241660030100</v>
      </c>
      <c r="AA357" s="33" t="n">
        <v>4680704700</v>
      </c>
      <c r="AB357" s="33" t="n">
        <v>12064154945</v>
      </c>
      <c r="AC357" s="38" t="n">
        <v>0.003769715209100375</v>
      </c>
      <c r="AD357" s="27" t="inlineStr">
        <is>
          <t>yfinance_download</t>
        </is>
      </c>
      <c r="AE357" s="27" t="inlineStr">
        <is>
          <t>005290.KQ</t>
        </is>
      </c>
    </row>
    <row r="358" ht="24" customHeight="1">
      <c r="A358" s="32" t="inlineStr">
        <is>
          <t>2024-11-22</t>
        </is>
      </c>
      <c r="B358" s="34" t="n">
        <v>24300</v>
      </c>
      <c r="C358" s="34" t="n">
        <v>24800</v>
      </c>
      <c r="D358" s="34" t="n">
        <v>24200</v>
      </c>
      <c r="E358" s="34" t="n">
        <v>24550</v>
      </c>
      <c r="F358" s="34" t="n">
        <v>24163.892578125</v>
      </c>
      <c r="G358" s="34" t="n">
        <v>190551</v>
      </c>
      <c r="H358" s="39" t="n">
        <v>0.01656314699792971</v>
      </c>
      <c r="I358" s="39" t="n">
        <v>-0.5186274509803921</v>
      </c>
      <c r="J358" s="34" t="n">
        <v>25515</v>
      </c>
      <c r="K358" s="34" t="n">
        <v>27667.5</v>
      </c>
      <c r="L358" s="34" t="n">
        <v>32825</v>
      </c>
      <c r="M358" s="39" t="n">
        <v>0.5606584165997259</v>
      </c>
      <c r="N358" s="39" t="n">
        <v>0.4580409863893029</v>
      </c>
      <c r="O358" s="39" t="n">
        <v>-0.08224299065420559</v>
      </c>
      <c r="P358" s="39" t="n">
        <v>-0.2583081570996979</v>
      </c>
      <c r="Q358" s="39" t="n">
        <v>-0.4464487034949267</v>
      </c>
      <c r="R358" s="39" t="n">
        <v>-0.03782088967274155</v>
      </c>
      <c r="S358" s="39" t="n">
        <v>-0.1126773289961146</v>
      </c>
      <c r="T358" s="39" t="n">
        <v>-0.2520944402132521</v>
      </c>
      <c r="U358" s="34" t="n">
        <v>50100</v>
      </c>
      <c r="V358" s="34" t="n">
        <v>22550</v>
      </c>
      <c r="W358" s="39" t="n">
        <v>-0.5099800399201597</v>
      </c>
      <c r="X358" s="39" t="n">
        <v>0.08869179600886912</v>
      </c>
      <c r="Y358" s="34" t="n">
        <v>51414494</v>
      </c>
      <c r="Z358" s="34" t="n">
        <v>1262225827700</v>
      </c>
      <c r="AA358" s="34" t="n">
        <v>4678027050</v>
      </c>
      <c r="AB358" s="34" t="n">
        <v>12036550972.5</v>
      </c>
      <c r="AC358" s="39" t="n">
        <v>0.003706172815782258</v>
      </c>
      <c r="AD358" s="32" t="inlineStr">
        <is>
          <t>yfinance_download</t>
        </is>
      </c>
      <c r="AE358" s="32" t="inlineStr">
        <is>
          <t>005290.KQ</t>
        </is>
      </c>
    </row>
    <row r="359" ht="24" customHeight="1">
      <c r="A359" s="27" t="inlineStr">
        <is>
          <t>2024-11-25</t>
        </is>
      </c>
      <c r="B359" s="33" t="n">
        <v>24650</v>
      </c>
      <c r="C359" s="33" t="n">
        <v>24950</v>
      </c>
      <c r="D359" s="33" t="n">
        <v>24600</v>
      </c>
      <c r="E359" s="33" t="n">
        <v>24850</v>
      </c>
      <c r="F359" s="33" t="n">
        <v>24459.173828125</v>
      </c>
      <c r="G359" s="33" t="n">
        <v>264910</v>
      </c>
      <c r="H359" s="38" t="n">
        <v>0.01221995926680242</v>
      </c>
      <c r="I359" s="38" t="n">
        <v>-0.5127450980392156</v>
      </c>
      <c r="J359" s="33" t="n">
        <v>25397.5</v>
      </c>
      <c r="K359" s="33" t="n">
        <v>27540.83333333333</v>
      </c>
      <c r="L359" s="33" t="n">
        <v>32673.75</v>
      </c>
      <c r="M359" s="38" t="n">
        <v>0.5586593055257768</v>
      </c>
      <c r="N359" s="38" t="n">
        <v>0.4582150084529934</v>
      </c>
      <c r="O359" s="38" t="n">
        <v>-0.08639705882352944</v>
      </c>
      <c r="P359" s="38" t="n">
        <v>-0.234206471494607</v>
      </c>
      <c r="Q359" s="38" t="n">
        <v>-0.422093023255814</v>
      </c>
      <c r="R359" s="38" t="n">
        <v>-0.02155723988581548</v>
      </c>
      <c r="S359" s="38" t="n">
        <v>-0.09770341008805106</v>
      </c>
      <c r="T359" s="38" t="n">
        <v>-0.2394506293278243</v>
      </c>
      <c r="U359" s="33" t="n">
        <v>50100</v>
      </c>
      <c r="V359" s="33" t="n">
        <v>22550</v>
      </c>
      <c r="W359" s="38" t="n">
        <v>-0.5039920159680639</v>
      </c>
      <c r="X359" s="38" t="n">
        <v>0.1019955654101996</v>
      </c>
      <c r="Y359" s="33" t="n">
        <v>51414494</v>
      </c>
      <c r="Z359" s="33" t="n">
        <v>1277650175900</v>
      </c>
      <c r="AA359" s="33" t="n">
        <v>6583013500</v>
      </c>
      <c r="AB359" s="33" t="n">
        <v>12091143487.5</v>
      </c>
      <c r="AC359" s="38" t="n">
        <v>0.005152438143220859</v>
      </c>
      <c r="AD359" s="27" t="inlineStr">
        <is>
          <t>yfinance_download</t>
        </is>
      </c>
      <c r="AE359" s="27" t="inlineStr">
        <is>
          <t>005290.KQ</t>
        </is>
      </c>
    </row>
    <row r="360" ht="24" customHeight="1">
      <c r="A360" s="32" t="inlineStr">
        <is>
          <t>2024-11-26</t>
        </is>
      </c>
      <c r="B360" s="34" t="n">
        <v>24200</v>
      </c>
      <c r="C360" s="34" t="n">
        <v>24250</v>
      </c>
      <c r="D360" s="34" t="n">
        <v>23250</v>
      </c>
      <c r="E360" s="34" t="n">
        <v>23700</v>
      </c>
      <c r="F360" s="34" t="n">
        <v>23327.259765625</v>
      </c>
      <c r="G360" s="34" t="n">
        <v>644384</v>
      </c>
      <c r="H360" s="39" t="n">
        <v>-0.04627766599597583</v>
      </c>
      <c r="I360" s="39" t="n">
        <v>-0.5352941176470588</v>
      </c>
      <c r="J360" s="34" t="n">
        <v>25225</v>
      </c>
      <c r="K360" s="34" t="n">
        <v>27406.66666666667</v>
      </c>
      <c r="L360" s="34" t="n">
        <v>32516.66666666667</v>
      </c>
      <c r="M360" s="39" t="n">
        <v>0.5783830190744715</v>
      </c>
      <c r="N360" s="39" t="n">
        <v>0.4650020675270206</v>
      </c>
      <c r="O360" s="39" t="n">
        <v>-0.1270718232044199</v>
      </c>
      <c r="P360" s="39" t="n">
        <v>-0.2535433070866142</v>
      </c>
      <c r="Q360" s="39" t="n">
        <v>-0.4430082256169212</v>
      </c>
      <c r="R360" s="39" t="n">
        <v>-0.06045589692765119</v>
      </c>
      <c r="S360" s="39" t="n">
        <v>-0.1352468985648261</v>
      </c>
      <c r="T360" s="39" t="n">
        <v>-0.2711430035879037</v>
      </c>
      <c r="U360" s="34" t="n">
        <v>50100</v>
      </c>
      <c r="V360" s="34" t="n">
        <v>22550</v>
      </c>
      <c r="W360" s="39" t="n">
        <v>-0.5269461077844311</v>
      </c>
      <c r="X360" s="39" t="n">
        <v>0.0509977827050998</v>
      </c>
      <c r="Y360" s="34" t="n">
        <v>51414494</v>
      </c>
      <c r="Z360" s="34" t="n">
        <v>1218523507800</v>
      </c>
      <c r="AA360" s="34" t="n">
        <v>15271900800</v>
      </c>
      <c r="AB360" s="34" t="n">
        <v>12621965287.5</v>
      </c>
      <c r="AC360" s="39" t="n">
        <v>0.01253311955185244</v>
      </c>
      <c r="AD360" s="32" t="inlineStr">
        <is>
          <t>yfinance_download</t>
        </is>
      </c>
      <c r="AE360" s="32" t="inlineStr">
        <is>
          <t>005290.KQ</t>
        </is>
      </c>
    </row>
    <row r="361" ht="24" customHeight="1">
      <c r="A361" s="27" t="inlineStr">
        <is>
          <t>2024-11-27</t>
        </is>
      </c>
      <c r="B361" s="33" t="n">
        <v>23400</v>
      </c>
      <c r="C361" s="33" t="n">
        <v>23400</v>
      </c>
      <c r="D361" s="33" t="n">
        <v>22600</v>
      </c>
      <c r="E361" s="33" t="n">
        <v>22800</v>
      </c>
      <c r="F361" s="33" t="n">
        <v>22441.416015625</v>
      </c>
      <c r="G361" s="33" t="n">
        <v>368306</v>
      </c>
      <c r="H361" s="38" t="n">
        <v>-0.03797468354430378</v>
      </c>
      <c r="I361" s="38" t="n">
        <v>-0.5529411764705883</v>
      </c>
      <c r="J361" s="33" t="n">
        <v>25035</v>
      </c>
      <c r="K361" s="33" t="n">
        <v>27260</v>
      </c>
      <c r="L361" s="33" t="n">
        <v>32357.08333333333</v>
      </c>
      <c r="M361" s="38" t="n">
        <v>0.5874647225631185</v>
      </c>
      <c r="N361" s="38" t="n">
        <v>0.470054118394686</v>
      </c>
      <c r="O361" s="38" t="n">
        <v>-0.1428571428571429</v>
      </c>
      <c r="P361" s="38" t="n">
        <v>-0.2784810126582279</v>
      </c>
      <c r="Q361" s="38" t="n">
        <v>-0.4564958283671037</v>
      </c>
      <c r="R361" s="38" t="n">
        <v>-0.08927501497902934</v>
      </c>
      <c r="S361" s="38" t="n">
        <v>-0.1636096845194424</v>
      </c>
      <c r="T361" s="38" t="n">
        <v>-0.2953629421687678</v>
      </c>
      <c r="U361" s="33" t="n">
        <v>50100</v>
      </c>
      <c r="V361" s="33" t="n">
        <v>22550</v>
      </c>
      <c r="W361" s="38" t="n">
        <v>-0.5449101796407185</v>
      </c>
      <c r="X361" s="38" t="n">
        <v>0.01108647450110856</v>
      </c>
      <c r="Y361" s="33" t="n">
        <v>51414494</v>
      </c>
      <c r="Z361" s="33" t="n">
        <v>1172250463200</v>
      </c>
      <c r="AA361" s="33" t="n">
        <v>8397376800</v>
      </c>
      <c r="AB361" s="33" t="n">
        <v>12826476537.5</v>
      </c>
      <c r="AC361" s="38" t="n">
        <v>0.007163466395293125</v>
      </c>
      <c r="AD361" s="27" t="inlineStr">
        <is>
          <t>yfinance_download</t>
        </is>
      </c>
      <c r="AE361" s="27" t="inlineStr">
        <is>
          <t>005290.KQ</t>
        </is>
      </c>
    </row>
    <row r="362" ht="24" customHeight="1">
      <c r="A362" s="32" t="inlineStr">
        <is>
          <t>2024-11-28</t>
        </is>
      </c>
      <c r="B362" s="34" t="n">
        <v>22800</v>
      </c>
      <c r="C362" s="34" t="n">
        <v>22950</v>
      </c>
      <c r="D362" s="34" t="n">
        <v>22400</v>
      </c>
      <c r="E362" s="34" t="n">
        <v>22550</v>
      </c>
      <c r="F362" s="34" t="n">
        <v>22195.34765625</v>
      </c>
      <c r="G362" s="34" t="n">
        <v>193591</v>
      </c>
      <c r="H362" s="39" t="n">
        <v>-0.01096491228070173</v>
      </c>
      <c r="I362" s="39" t="n">
        <v>-0.557843137254902</v>
      </c>
      <c r="J362" s="34" t="n">
        <v>24810</v>
      </c>
      <c r="K362" s="34" t="n">
        <v>27107.5</v>
      </c>
      <c r="L362" s="34" t="n">
        <v>32189.58333333333</v>
      </c>
      <c r="M362" s="39" t="n">
        <v>0.5806880040652875</v>
      </c>
      <c r="N362" s="39" t="n">
        <v>0.4698983969405192</v>
      </c>
      <c r="O362" s="39" t="n">
        <v>-0.166358595194085</v>
      </c>
      <c r="P362" s="39" t="n">
        <v>-0.2886435331230284</v>
      </c>
      <c r="Q362" s="39" t="n">
        <v>-0.4712778429073857</v>
      </c>
      <c r="R362" s="39" t="n">
        <v>-0.09109230149133418</v>
      </c>
      <c r="S362" s="39" t="n">
        <v>-0.1681269021488518</v>
      </c>
      <c r="T362" s="39" t="n">
        <v>-0.2994628179405864</v>
      </c>
      <c r="U362" s="34" t="n">
        <v>50100</v>
      </c>
      <c r="V362" s="34" t="n">
        <v>22550</v>
      </c>
      <c r="W362" s="39" t="n">
        <v>-0.5499001996007984</v>
      </c>
      <c r="X362" s="39" t="n">
        <v>0</v>
      </c>
      <c r="Y362" s="34" t="n">
        <v>51414494</v>
      </c>
      <c r="Z362" s="34" t="n">
        <v>1159396839700</v>
      </c>
      <c r="AA362" s="34" t="n">
        <v>4365477050</v>
      </c>
      <c r="AB362" s="34" t="n">
        <v>12587693302.5</v>
      </c>
      <c r="AC362" s="39" t="n">
        <v>0.00376530011167668</v>
      </c>
      <c r="AD362" s="32" t="inlineStr">
        <is>
          <t>yfinance_download</t>
        </is>
      </c>
      <c r="AE362" s="32" t="inlineStr">
        <is>
          <t>005290.KQ</t>
        </is>
      </c>
    </row>
    <row r="363" ht="24" customHeight="1">
      <c r="A363" s="27" t="inlineStr">
        <is>
          <t>2024-11-29</t>
        </is>
      </c>
      <c r="B363" s="33" t="n">
        <v>22500</v>
      </c>
      <c r="C363" s="33" t="n">
        <v>22550</v>
      </c>
      <c r="D363" s="33" t="n">
        <v>21450</v>
      </c>
      <c r="E363" s="33" t="n">
        <v>21850</v>
      </c>
      <c r="F363" s="33" t="n">
        <v>21506.35546875</v>
      </c>
      <c r="G363" s="33" t="n">
        <v>453507</v>
      </c>
      <c r="H363" s="38" t="n">
        <v>-0.03104212860310418</v>
      </c>
      <c r="I363" s="38" t="n">
        <v>-0.5715686274509804</v>
      </c>
      <c r="J363" s="33" t="n">
        <v>24570</v>
      </c>
      <c r="K363" s="33" t="n">
        <v>26958.33333333333</v>
      </c>
      <c r="L363" s="33" t="n">
        <v>32020.83333333333</v>
      </c>
      <c r="M363" s="38" t="n">
        <v>0.5858936710018461</v>
      </c>
      <c r="N363" s="38" t="n">
        <v>0.4704875149081175</v>
      </c>
      <c r="O363" s="38" t="n">
        <v>-0.1801125703564728</v>
      </c>
      <c r="P363" s="38" t="n">
        <v>-0.2905844155844156</v>
      </c>
      <c r="Q363" s="38" t="n">
        <v>-0.4809976247030879</v>
      </c>
      <c r="R363" s="38" t="n">
        <v>-0.1107041107041107</v>
      </c>
      <c r="S363" s="38" t="n">
        <v>-0.1894899536321484</v>
      </c>
      <c r="T363" s="38" t="n">
        <v>-0.3176317501626545</v>
      </c>
      <c r="U363" s="33" t="n">
        <v>50100</v>
      </c>
      <c r="V363" s="33" t="n">
        <v>21850</v>
      </c>
      <c r="W363" s="38" t="n">
        <v>-0.563872255489022</v>
      </c>
      <c r="X363" s="38" t="n">
        <v>0</v>
      </c>
      <c r="Y363" s="33" t="n">
        <v>51414494</v>
      </c>
      <c r="Z363" s="33" t="n">
        <v>1123406693900</v>
      </c>
      <c r="AA363" s="33" t="n">
        <v>9909127950</v>
      </c>
      <c r="AB363" s="33" t="n">
        <v>12839944465</v>
      </c>
      <c r="AC363" s="38" t="n">
        <v>0.008820606111576241</v>
      </c>
      <c r="AD363" s="27" t="inlineStr">
        <is>
          <t>yfinance_download</t>
        </is>
      </c>
      <c r="AE363" s="27" t="inlineStr">
        <is>
          <t>005290.KQ</t>
        </is>
      </c>
    </row>
    <row r="364" ht="24" customHeight="1">
      <c r="A364" s="32" t="inlineStr">
        <is>
          <t>2024-12-02</t>
        </is>
      </c>
      <c r="B364" s="34" t="n">
        <v>22000</v>
      </c>
      <c r="C364" s="34" t="n">
        <v>22050</v>
      </c>
      <c r="D364" s="34" t="n">
        <v>21250</v>
      </c>
      <c r="E364" s="34" t="n">
        <v>21350</v>
      </c>
      <c r="F364" s="34" t="n">
        <v>21014.220703125</v>
      </c>
      <c r="G364" s="34" t="n">
        <v>331561</v>
      </c>
      <c r="H364" s="39" t="n">
        <v>-0.02288329519450805</v>
      </c>
      <c r="I364" s="39" t="n">
        <v>-0.5813725490196078</v>
      </c>
      <c r="J364" s="34" t="n">
        <v>24275</v>
      </c>
      <c r="K364" s="34" t="n">
        <v>26792.5</v>
      </c>
      <c r="L364" s="34" t="n">
        <v>31844.58333333333</v>
      </c>
      <c r="M364" s="39" t="n">
        <v>0.575329268769703</v>
      </c>
      <c r="N364" s="39" t="n">
        <v>0.4696785794888181</v>
      </c>
      <c r="O364" s="39" t="n">
        <v>-0.2165137614678899</v>
      </c>
      <c r="P364" s="39" t="n">
        <v>-0.3178913738019169</v>
      </c>
      <c r="Q364" s="39" t="n">
        <v>-0.4976470588235294</v>
      </c>
      <c r="R364" s="39" t="n">
        <v>-0.1204943357363543</v>
      </c>
      <c r="S364" s="39" t="n">
        <v>-0.2031352057478772</v>
      </c>
      <c r="T364" s="39" t="n">
        <v>-0.3295563086343831</v>
      </c>
      <c r="U364" s="34" t="n">
        <v>50100</v>
      </c>
      <c r="V364" s="34" t="n">
        <v>21350</v>
      </c>
      <c r="W364" s="39" t="n">
        <v>-0.5738522954091816</v>
      </c>
      <c r="X364" s="39" t="n">
        <v>0</v>
      </c>
      <c r="Y364" s="34" t="n">
        <v>51414494</v>
      </c>
      <c r="Z364" s="34" t="n">
        <v>1097699446900</v>
      </c>
      <c r="AA364" s="34" t="n">
        <v>7078827350</v>
      </c>
      <c r="AB364" s="34" t="n">
        <v>12859928907.5</v>
      </c>
      <c r="AC364" s="39" t="n">
        <v>0.006448784655937682</v>
      </c>
      <c r="AD364" s="32" t="inlineStr">
        <is>
          <t>yfinance_download</t>
        </is>
      </c>
      <c r="AE364" s="32" t="inlineStr">
        <is>
          <t>005290.KQ</t>
        </is>
      </c>
    </row>
    <row r="365" ht="24" customHeight="1">
      <c r="A365" s="27" t="inlineStr">
        <is>
          <t>2024-12-03</t>
        </is>
      </c>
      <c r="B365" s="33" t="n">
        <v>21150</v>
      </c>
      <c r="C365" s="33" t="n">
        <v>21950</v>
      </c>
      <c r="D365" s="33" t="n">
        <v>21150</v>
      </c>
      <c r="E365" s="33" t="n">
        <v>21800</v>
      </c>
      <c r="F365" s="33" t="n">
        <v>21457.142578125</v>
      </c>
      <c r="G365" s="33" t="n">
        <v>280216</v>
      </c>
      <c r="H365" s="38" t="n">
        <v>0.02107728337236536</v>
      </c>
      <c r="I365" s="38" t="n">
        <v>-0.5725490196078431</v>
      </c>
      <c r="J365" s="33" t="n">
        <v>24017.5</v>
      </c>
      <c r="K365" s="33" t="n">
        <v>26643.33333333333</v>
      </c>
      <c r="L365" s="33" t="n">
        <v>31663.75</v>
      </c>
      <c r="M365" s="38" t="n">
        <v>0.5868555566707678</v>
      </c>
      <c r="N365" s="38" t="n">
        <v>0.4722573928363861</v>
      </c>
      <c r="O365" s="38" t="n">
        <v>-0.1910946196660482</v>
      </c>
      <c r="P365" s="38" t="n">
        <v>-0.2910569105691057</v>
      </c>
      <c r="Q365" s="38" t="n">
        <v>-0.4988505747126437</v>
      </c>
      <c r="R365" s="38" t="n">
        <v>-0.09232851046112212</v>
      </c>
      <c r="S365" s="38" t="n">
        <v>-0.1817840610534217</v>
      </c>
      <c r="T365" s="38" t="n">
        <v>-0.31151553432553</v>
      </c>
      <c r="U365" s="33" t="n">
        <v>50100</v>
      </c>
      <c r="V365" s="33" t="n">
        <v>21350</v>
      </c>
      <c r="W365" s="38" t="n">
        <v>-0.564870259481038</v>
      </c>
      <c r="X365" s="38" t="n">
        <v>0.02107728337236536</v>
      </c>
      <c r="Y365" s="33" t="n">
        <v>51414494</v>
      </c>
      <c r="Z365" s="33" t="n">
        <v>1120835969200</v>
      </c>
      <c r="AA365" s="33" t="n">
        <v>6108708800</v>
      </c>
      <c r="AB365" s="33" t="n">
        <v>12887228220</v>
      </c>
      <c r="AC365" s="38" t="n">
        <v>0.005450136298141921</v>
      </c>
      <c r="AD365" s="27" t="inlineStr">
        <is>
          <t>yfinance_download</t>
        </is>
      </c>
      <c r="AE365" s="27" t="inlineStr">
        <is>
          <t>005290.KQ</t>
        </is>
      </c>
    </row>
    <row r="366" ht="24" customHeight="1">
      <c r="A366" s="32" t="inlineStr">
        <is>
          <t>2024-12-04</t>
        </is>
      </c>
      <c r="B366" s="34" t="n">
        <v>21100</v>
      </c>
      <c r="C366" s="34" t="n">
        <v>21800</v>
      </c>
      <c r="D366" s="34" t="n">
        <v>21100</v>
      </c>
      <c r="E366" s="34" t="n">
        <v>21700</v>
      </c>
      <c r="F366" s="34" t="n">
        <v>21358.71484375</v>
      </c>
      <c r="G366" s="34" t="n">
        <v>227641</v>
      </c>
      <c r="H366" s="39" t="n">
        <v>-0.004587155963302725</v>
      </c>
      <c r="I366" s="39" t="n">
        <v>-0.5745098039215686</v>
      </c>
      <c r="J366" s="34" t="n">
        <v>23650</v>
      </c>
      <c r="K366" s="34" t="n">
        <v>26504.16666666667</v>
      </c>
      <c r="L366" s="34" t="n">
        <v>31484.58333333333</v>
      </c>
      <c r="M366" s="39" t="n">
        <v>0.4878104046013148</v>
      </c>
      <c r="N366" s="39" t="n">
        <v>0.470850596039958</v>
      </c>
      <c r="O366" s="39" t="n">
        <v>-0.2530120481927711</v>
      </c>
      <c r="P366" s="39" t="n">
        <v>-0.2778702163061564</v>
      </c>
      <c r="Q366" s="39" t="n">
        <v>-0.4976851851851852</v>
      </c>
      <c r="R366" s="39" t="n">
        <v>-0.08245243128964064</v>
      </c>
      <c r="S366" s="39" t="n">
        <v>-0.181260808049049</v>
      </c>
      <c r="T366" s="39" t="n">
        <v>-0.3107737914058467</v>
      </c>
      <c r="U366" s="34" t="n">
        <v>50100</v>
      </c>
      <c r="V366" s="34" t="n">
        <v>21350</v>
      </c>
      <c r="W366" s="39" t="n">
        <v>-0.5668662674650699</v>
      </c>
      <c r="X366" s="39" t="n">
        <v>0.01639344262295084</v>
      </c>
      <c r="Y366" s="34" t="n">
        <v>51414494</v>
      </c>
      <c r="Z366" s="34" t="n">
        <v>1115694519800</v>
      </c>
      <c r="AA366" s="34" t="n">
        <v>4939809700</v>
      </c>
      <c r="AB366" s="34" t="n">
        <v>9575914707.5</v>
      </c>
      <c r="AC366" s="39" t="n">
        <v>0.004427564725230982</v>
      </c>
      <c r="AD366" s="32" t="inlineStr">
        <is>
          <t>yfinance_download</t>
        </is>
      </c>
      <c r="AE366" s="32" t="inlineStr">
        <is>
          <t>005290.KQ</t>
        </is>
      </c>
    </row>
    <row r="367" ht="24" customHeight="1">
      <c r="A367" s="27" t="inlineStr">
        <is>
          <t>2024-12-05</t>
        </is>
      </c>
      <c r="B367" s="33" t="n">
        <v>21900</v>
      </c>
      <c r="C367" s="33" t="n">
        <v>22200</v>
      </c>
      <c r="D367" s="33" t="n">
        <v>21650</v>
      </c>
      <c r="E367" s="33" t="n">
        <v>21900</v>
      </c>
      <c r="F367" s="33" t="n">
        <v>21555.5703125</v>
      </c>
      <c r="G367" s="33" t="n">
        <v>258262</v>
      </c>
      <c r="H367" s="38" t="n">
        <v>0.009216589861751112</v>
      </c>
      <c r="I367" s="38" t="n">
        <v>-0.5705882352941176</v>
      </c>
      <c r="J367" s="33" t="n">
        <v>23365</v>
      </c>
      <c r="K367" s="33" t="n">
        <v>26394.16666666667</v>
      </c>
      <c r="L367" s="33" t="n">
        <v>31314.58333333333</v>
      </c>
      <c r="M367" s="38" t="n">
        <v>0.4751062897760966</v>
      </c>
      <c r="N367" s="38" t="n">
        <v>0.4615434801565042</v>
      </c>
      <c r="O367" s="38" t="n">
        <v>-0.2065217391304348</v>
      </c>
      <c r="P367" s="38" t="n">
        <v>-0.2315789473684211</v>
      </c>
      <c r="Q367" s="38" t="n">
        <v>-0.4822695035460993</v>
      </c>
      <c r="R367" s="38" t="n">
        <v>-0.06270062058634707</v>
      </c>
      <c r="S367" s="38" t="n">
        <v>-0.1702712089161116</v>
      </c>
      <c r="T367" s="38" t="n">
        <v>-0.300645332978511</v>
      </c>
      <c r="U367" s="33" t="n">
        <v>50100</v>
      </c>
      <c r="V367" s="33" t="n">
        <v>21350</v>
      </c>
      <c r="W367" s="38" t="n">
        <v>-0.562874251497006</v>
      </c>
      <c r="X367" s="38" t="n">
        <v>0.02576112412177989</v>
      </c>
      <c r="Y367" s="33" t="n">
        <v>51414494</v>
      </c>
      <c r="Z367" s="33" t="n">
        <v>1125977418600</v>
      </c>
      <c r="AA367" s="33" t="n">
        <v>5655937800</v>
      </c>
      <c r="AB367" s="33" t="n">
        <v>8903627397.5</v>
      </c>
      <c r="AC367" s="38" t="n">
        <v>0.005023136082988583</v>
      </c>
      <c r="AD367" s="27" t="inlineStr">
        <is>
          <t>yfinance_download</t>
        </is>
      </c>
      <c r="AE367" s="27" t="inlineStr">
        <is>
          <t>005290.KQ</t>
        </is>
      </c>
    </row>
    <row r="368" ht="24" customHeight="1">
      <c r="A368" s="32" t="inlineStr">
        <is>
          <t>2024-12-06</t>
        </is>
      </c>
      <c r="B368" s="34" t="n">
        <v>22100</v>
      </c>
      <c r="C368" s="34" t="n">
        <v>22100</v>
      </c>
      <c r="D368" s="34" t="n">
        <v>21100</v>
      </c>
      <c r="E368" s="34" t="n">
        <v>21550</v>
      </c>
      <c r="F368" s="34" t="n">
        <v>21211.07421875</v>
      </c>
      <c r="G368" s="34" t="n">
        <v>328179</v>
      </c>
      <c r="H368" s="39" t="n">
        <v>-0.01598173515981738</v>
      </c>
      <c r="I368" s="39" t="n">
        <v>-0.5774509803921568</v>
      </c>
      <c r="J368" s="34" t="n">
        <v>23130</v>
      </c>
      <c r="K368" s="34" t="n">
        <v>26283.33333333333</v>
      </c>
      <c r="L368" s="34" t="n">
        <v>31140</v>
      </c>
      <c r="M368" s="39" t="n">
        <v>0.4542398263388169</v>
      </c>
      <c r="N368" s="39" t="n">
        <v>0.4620098392450198</v>
      </c>
      <c r="O368" s="39" t="n">
        <v>-0.179047619047619</v>
      </c>
      <c r="P368" s="39" t="n">
        <v>-0.2358156028368794</v>
      </c>
      <c r="Q368" s="39" t="n">
        <v>-0.4929411764705882</v>
      </c>
      <c r="R368" s="39" t="n">
        <v>-0.06830955469087763</v>
      </c>
      <c r="S368" s="39" t="n">
        <v>-0.1800887761572606</v>
      </c>
      <c r="T368" s="39" t="n">
        <v>-0.3079640333975594</v>
      </c>
      <c r="U368" s="34" t="n">
        <v>50100</v>
      </c>
      <c r="V368" s="34" t="n">
        <v>21350</v>
      </c>
      <c r="W368" s="39" t="n">
        <v>-0.5698602794411178</v>
      </c>
      <c r="X368" s="39" t="n">
        <v>0.00936768149882905</v>
      </c>
      <c r="Y368" s="34" t="n">
        <v>51414494</v>
      </c>
      <c r="Z368" s="34" t="n">
        <v>1107982345700</v>
      </c>
      <c r="AA368" s="34" t="n">
        <v>7072257450</v>
      </c>
      <c r="AB368" s="34" t="n">
        <v>8432974520</v>
      </c>
      <c r="AC368" s="39" t="n">
        <v>0.006383005539255137</v>
      </c>
      <c r="AD368" s="32" t="inlineStr">
        <is>
          <t>yfinance_download</t>
        </is>
      </c>
      <c r="AE368" s="32" t="inlineStr">
        <is>
          <t>005290.KQ</t>
        </is>
      </c>
    </row>
    <row r="369" ht="24" customHeight="1">
      <c r="A369" s="27" t="inlineStr">
        <is>
          <t>2024-12-09</t>
        </is>
      </c>
      <c r="B369" s="33" t="n">
        <v>20950</v>
      </c>
      <c r="C369" s="33" t="n">
        <v>21150</v>
      </c>
      <c r="D369" s="33" t="n">
        <v>20200</v>
      </c>
      <c r="E369" s="33" t="n">
        <v>20400</v>
      </c>
      <c r="F369" s="33" t="n">
        <v>20079.16015625</v>
      </c>
      <c r="G369" s="33" t="n">
        <v>333196</v>
      </c>
      <c r="H369" s="38" t="n">
        <v>-0.05336426914153136</v>
      </c>
      <c r="I369" s="38" t="n">
        <v>-0.6</v>
      </c>
      <c r="J369" s="33" t="n">
        <v>22925</v>
      </c>
      <c r="K369" s="33" t="n">
        <v>26164.16666666667</v>
      </c>
      <c r="L369" s="33" t="n">
        <v>30959.58333333333</v>
      </c>
      <c r="M369" s="38" t="n">
        <v>0.4340101937722176</v>
      </c>
      <c r="N369" s="38" t="n">
        <v>0.4714138662356453</v>
      </c>
      <c r="O369" s="38" t="n">
        <v>-0.1673469387755102</v>
      </c>
      <c r="P369" s="38" t="n">
        <v>-0.2595281306715064</v>
      </c>
      <c r="Q369" s="38" t="n">
        <v>-0.5148632580261594</v>
      </c>
      <c r="R369" s="38" t="n">
        <v>-0.1101417666303163</v>
      </c>
      <c r="S369" s="38" t="n">
        <v>-0.2203076727075836</v>
      </c>
      <c r="T369" s="38" t="n">
        <v>-0.3410764033753684</v>
      </c>
      <c r="U369" s="33" t="n">
        <v>50100</v>
      </c>
      <c r="V369" s="33" t="n">
        <v>20400</v>
      </c>
      <c r="W369" s="38" t="n">
        <v>-0.592814371257485</v>
      </c>
      <c r="X369" s="38" t="n">
        <v>0</v>
      </c>
      <c r="Y369" s="33" t="n">
        <v>51414494</v>
      </c>
      <c r="Z369" s="33" t="n">
        <v>1048855677600</v>
      </c>
      <c r="AA369" s="33" t="n">
        <v>6797198400</v>
      </c>
      <c r="AB369" s="33" t="n">
        <v>7937549815</v>
      </c>
      <c r="AC369" s="38" t="n">
        <v>0.00648058502724932</v>
      </c>
      <c r="AD369" s="27" t="inlineStr">
        <is>
          <t>yfinance_download</t>
        </is>
      </c>
      <c r="AE369" s="27" t="inlineStr">
        <is>
          <t>005290.KQ</t>
        </is>
      </c>
    </row>
    <row r="370" ht="24" customHeight="1">
      <c r="A370" s="32" t="inlineStr">
        <is>
          <t>2024-12-10</t>
        </is>
      </c>
      <c r="B370" s="34" t="n">
        <v>20650</v>
      </c>
      <c r="C370" s="34" t="n">
        <v>21550</v>
      </c>
      <c r="D370" s="34" t="n">
        <v>20600</v>
      </c>
      <c r="E370" s="34" t="n">
        <v>21450</v>
      </c>
      <c r="F370" s="34" t="n">
        <v>21112.646484375</v>
      </c>
      <c r="G370" s="34" t="n">
        <v>264538</v>
      </c>
      <c r="H370" s="39" t="n">
        <v>0.05147058823529416</v>
      </c>
      <c r="I370" s="39" t="n">
        <v>-0.5794117647058823</v>
      </c>
      <c r="J370" s="34" t="n">
        <v>22805</v>
      </c>
      <c r="K370" s="34" t="n">
        <v>26049.16666666667</v>
      </c>
      <c r="L370" s="34" t="n">
        <v>30793.75</v>
      </c>
      <c r="M370" s="39" t="n">
        <v>0.4777613857522175</v>
      </c>
      <c r="N370" s="39" t="n">
        <v>0.480399120416506</v>
      </c>
      <c r="O370" s="39" t="n">
        <v>-0.10062893081761</v>
      </c>
      <c r="P370" s="39" t="n">
        <v>-0.2433862433862434</v>
      </c>
      <c r="Q370" s="39" t="n">
        <v>-0.4812575574365175</v>
      </c>
      <c r="R370" s="39" t="n">
        <v>-0.05941679456259596</v>
      </c>
      <c r="S370" s="39" t="n">
        <v>-0.1765571515403564</v>
      </c>
      <c r="T370" s="39" t="n">
        <v>-0.3034300791556728</v>
      </c>
      <c r="U370" s="34" t="n">
        <v>50100</v>
      </c>
      <c r="V370" s="34" t="n">
        <v>20400</v>
      </c>
      <c r="W370" s="39" t="n">
        <v>-0.5718562874251497</v>
      </c>
      <c r="X370" s="39" t="n">
        <v>0.05147058823529416</v>
      </c>
      <c r="Y370" s="34" t="n">
        <v>51414494</v>
      </c>
      <c r="Z370" s="34" t="n">
        <v>1102840896300</v>
      </c>
      <c r="AA370" s="34" t="n">
        <v>5674340100</v>
      </c>
      <c r="AB370" s="34" t="n">
        <v>7672905235</v>
      </c>
      <c r="AC370" s="39" t="n">
        <v>0.005145202829381147</v>
      </c>
      <c r="AD370" s="32" t="inlineStr">
        <is>
          <t>yfinance_download</t>
        </is>
      </c>
      <c r="AE370" s="32" t="inlineStr">
        <is>
          <t>005290.KQ</t>
        </is>
      </c>
    </row>
    <row r="371" ht="24" customHeight="1">
      <c r="A371" s="27" t="inlineStr">
        <is>
          <t>2024-12-11</t>
        </is>
      </c>
      <c r="B371" s="33" t="n">
        <v>21450</v>
      </c>
      <c r="C371" s="33" t="n">
        <v>22050</v>
      </c>
      <c r="D371" s="33" t="n">
        <v>21300</v>
      </c>
      <c r="E371" s="33" t="n">
        <v>21900</v>
      </c>
      <c r="F371" s="33" t="n">
        <v>21555.5703125</v>
      </c>
      <c r="G371" s="33" t="n">
        <v>276245</v>
      </c>
      <c r="H371" s="38" t="n">
        <v>0.02097902097902105</v>
      </c>
      <c r="I371" s="38" t="n">
        <v>-0.5705882352941176</v>
      </c>
      <c r="J371" s="33" t="n">
        <v>22745</v>
      </c>
      <c r="K371" s="33" t="n">
        <v>25958.33333333333</v>
      </c>
      <c r="L371" s="33" t="n">
        <v>30636.66666666667</v>
      </c>
      <c r="M371" s="38" t="n">
        <v>0.475302977646364</v>
      </c>
      <c r="N371" s="38" t="n">
        <v>0.4786819407105656</v>
      </c>
      <c r="O371" s="38" t="n">
        <v>-0.05194805194805197</v>
      </c>
      <c r="P371" s="38" t="n">
        <v>-0.1992687385740403</v>
      </c>
      <c r="Q371" s="38" t="n">
        <v>-0.4625766871165644</v>
      </c>
      <c r="R371" s="38" t="n">
        <v>-0.03715102220268196</v>
      </c>
      <c r="S371" s="38" t="n">
        <v>-0.1563402889245585</v>
      </c>
      <c r="T371" s="38" t="n">
        <v>-0.2851702752692852</v>
      </c>
      <c r="U371" s="33" t="n">
        <v>50100</v>
      </c>
      <c r="V371" s="33" t="n">
        <v>20400</v>
      </c>
      <c r="W371" s="38" t="n">
        <v>-0.562874251497006</v>
      </c>
      <c r="X371" s="38" t="n">
        <v>0.07352941176470584</v>
      </c>
      <c r="Y371" s="33" t="n">
        <v>51414494</v>
      </c>
      <c r="Z371" s="33" t="n">
        <v>1125977418600</v>
      </c>
      <c r="AA371" s="33" t="n">
        <v>6049765500</v>
      </c>
      <c r="AB371" s="33" t="n">
        <v>7453215700</v>
      </c>
      <c r="AC371" s="38" t="n">
        <v>0.005372901267879831</v>
      </c>
      <c r="AD371" s="27" t="inlineStr">
        <is>
          <t>yfinance_download</t>
        </is>
      </c>
      <c r="AE371" s="27" t="inlineStr">
        <is>
          <t>005290.KQ</t>
        </is>
      </c>
    </row>
    <row r="372" ht="24" customHeight="1">
      <c r="A372" s="32" t="inlineStr">
        <is>
          <t>2024-12-12</t>
        </is>
      </c>
      <c r="B372" s="34" t="n">
        <v>22200</v>
      </c>
      <c r="C372" s="34" t="n">
        <v>22400</v>
      </c>
      <c r="D372" s="34" t="n">
        <v>21750</v>
      </c>
      <c r="E372" s="34" t="n">
        <v>22150</v>
      </c>
      <c r="F372" s="34" t="n">
        <v>21801.638671875</v>
      </c>
      <c r="G372" s="34" t="n">
        <v>506451</v>
      </c>
      <c r="H372" s="39" t="n">
        <v>0.01141552511415522</v>
      </c>
      <c r="I372" s="39" t="n">
        <v>-0.5656862745098039</v>
      </c>
      <c r="J372" s="34" t="n">
        <v>22725</v>
      </c>
      <c r="K372" s="34" t="n">
        <v>25874.16666666667</v>
      </c>
      <c r="L372" s="34" t="n">
        <v>30469.58333333333</v>
      </c>
      <c r="M372" s="39" t="n">
        <v>0.4705221467330215</v>
      </c>
      <c r="N372" s="39" t="n">
        <v>0.4795972688013842</v>
      </c>
      <c r="O372" s="39" t="n">
        <v>-0.0177383592017738</v>
      </c>
      <c r="P372" s="39" t="n">
        <v>-0.1856617647058824</v>
      </c>
      <c r="Q372" s="39" t="n">
        <v>-0.4751184834123223</v>
      </c>
      <c r="R372" s="39" t="n">
        <v>-0.02530253025302531</v>
      </c>
      <c r="S372" s="39" t="n">
        <v>-0.1439337820863796</v>
      </c>
      <c r="T372" s="39" t="n">
        <v>-0.2730455235412365</v>
      </c>
      <c r="U372" s="34" t="n">
        <v>50100</v>
      </c>
      <c r="V372" s="34" t="n">
        <v>20400</v>
      </c>
      <c r="W372" s="39" t="n">
        <v>-0.5578842315369261</v>
      </c>
      <c r="X372" s="39" t="n">
        <v>0.08578431372549011</v>
      </c>
      <c r="Y372" s="34" t="n">
        <v>51414494</v>
      </c>
      <c r="Z372" s="34" t="n">
        <v>1138831042100</v>
      </c>
      <c r="AA372" s="34" t="n">
        <v>11217889650</v>
      </c>
      <c r="AB372" s="34" t="n">
        <v>7407614402.5</v>
      </c>
      <c r="AC372" s="39" t="n">
        <v>0.009850354649021733</v>
      </c>
      <c r="AD372" s="32" t="inlineStr">
        <is>
          <t>yfinance_download</t>
        </is>
      </c>
      <c r="AE372" s="32" t="inlineStr">
        <is>
          <t>005290.KQ</t>
        </is>
      </c>
    </row>
    <row r="373" ht="24" customHeight="1">
      <c r="A373" s="27" t="inlineStr">
        <is>
          <t>2024-12-13</t>
        </is>
      </c>
      <c r="B373" s="33" t="n">
        <v>22150</v>
      </c>
      <c r="C373" s="33" t="n">
        <v>22350</v>
      </c>
      <c r="D373" s="33" t="n">
        <v>21200</v>
      </c>
      <c r="E373" s="33" t="n">
        <v>21600</v>
      </c>
      <c r="F373" s="33" t="n">
        <v>21260.2890625</v>
      </c>
      <c r="G373" s="33" t="n">
        <v>725011</v>
      </c>
      <c r="H373" s="38" t="n">
        <v>-0.02483069977426633</v>
      </c>
      <c r="I373" s="38" t="n">
        <v>-0.5764705882352941</v>
      </c>
      <c r="J373" s="33" t="n">
        <v>22615</v>
      </c>
      <c r="K373" s="33" t="n">
        <v>25759.16666666667</v>
      </c>
      <c r="L373" s="33" t="n">
        <v>30292.5</v>
      </c>
      <c r="M373" s="38" t="n">
        <v>0.4283999381581644</v>
      </c>
      <c r="N373" s="38" t="n">
        <v>0.4697581852025203</v>
      </c>
      <c r="O373" s="38" t="n">
        <v>-0.09243697478991597</v>
      </c>
      <c r="P373" s="38" t="n">
        <v>-0.2421052631578947</v>
      </c>
      <c r="Q373" s="38" t="n">
        <v>-0.4959159859976663</v>
      </c>
      <c r="R373" s="38" t="n">
        <v>-0.04488171567543664</v>
      </c>
      <c r="S373" s="38" t="n">
        <v>-0.1614635566626768</v>
      </c>
      <c r="T373" s="38" t="n">
        <v>-0.2869522158950235</v>
      </c>
      <c r="U373" s="33" t="n">
        <v>50100</v>
      </c>
      <c r="V373" s="33" t="n">
        <v>20400</v>
      </c>
      <c r="W373" s="38" t="n">
        <v>-0.5688622754491017</v>
      </c>
      <c r="X373" s="38" t="n">
        <v>0.05882352941176472</v>
      </c>
      <c r="Y373" s="33" t="n">
        <v>51414494</v>
      </c>
      <c r="Z373" s="33" t="n">
        <v>1110553070400</v>
      </c>
      <c r="AA373" s="33" t="n">
        <v>15660237600</v>
      </c>
      <c r="AB373" s="33" t="n">
        <v>7648364702.5</v>
      </c>
      <c r="AC373" s="38" t="n">
        <v>0.01410129602753652</v>
      </c>
      <c r="AD373" s="27" t="inlineStr">
        <is>
          <t>yfinance_download</t>
        </is>
      </c>
      <c r="AE373" s="27" t="inlineStr">
        <is>
          <t>005290.KQ</t>
        </is>
      </c>
    </row>
    <row r="374" ht="24" customHeight="1">
      <c r="A374" s="32" t="inlineStr">
        <is>
          <t>2024-12-16</t>
        </is>
      </c>
      <c r="B374" s="34" t="n">
        <v>21900</v>
      </c>
      <c r="C374" s="34" t="n">
        <v>23250</v>
      </c>
      <c r="D374" s="34" t="n">
        <v>21850</v>
      </c>
      <c r="E374" s="34" t="n">
        <v>22350</v>
      </c>
      <c r="F374" s="34" t="n">
        <v>21998.4921875</v>
      </c>
      <c r="G374" s="34" t="n">
        <v>517056</v>
      </c>
      <c r="H374" s="39" t="n">
        <v>0.03472222222222232</v>
      </c>
      <c r="I374" s="39" t="n">
        <v>-0.5617647058823529</v>
      </c>
      <c r="J374" s="34" t="n">
        <v>22557.5</v>
      </c>
      <c r="K374" s="34" t="n">
        <v>25664.16666666667</v>
      </c>
      <c r="L374" s="34" t="n">
        <v>30130.41666666667</v>
      </c>
      <c r="M374" s="39" t="n">
        <v>0.4489558324246564</v>
      </c>
      <c r="N374" s="39" t="n">
        <v>0.4757933725886884</v>
      </c>
      <c r="O374" s="39" t="n">
        <v>-0.04893617021276597</v>
      </c>
      <c r="P374" s="39" t="n">
        <v>-0.2032085561497327</v>
      </c>
      <c r="Q374" s="39" t="n">
        <v>-0.465311004784689</v>
      </c>
      <c r="R374" s="39" t="n">
        <v>-0.009198714396542185</v>
      </c>
      <c r="S374" s="39" t="n">
        <v>-0.1291359548007923</v>
      </c>
      <c r="T374" s="39" t="n">
        <v>-0.2582246622322404</v>
      </c>
      <c r="U374" s="34" t="n">
        <v>50100</v>
      </c>
      <c r="V374" s="34" t="n">
        <v>20400</v>
      </c>
      <c r="W374" s="39" t="n">
        <v>-0.5538922155688623</v>
      </c>
      <c r="X374" s="39" t="n">
        <v>0.09558823529411775</v>
      </c>
      <c r="Y374" s="34" t="n">
        <v>51414494</v>
      </c>
      <c r="Z374" s="34" t="n">
        <v>1149113940900</v>
      </c>
      <c r="AA374" s="34" t="n">
        <v>11556201600</v>
      </c>
      <c r="AB374" s="34" t="n">
        <v>7785452257.5</v>
      </c>
      <c r="AC374" s="39" t="n">
        <v>0.01005661944275869</v>
      </c>
      <c r="AD374" s="32" t="inlineStr">
        <is>
          <t>yfinance_download</t>
        </is>
      </c>
      <c r="AE374" s="32" t="inlineStr">
        <is>
          <t>005290.KQ</t>
        </is>
      </c>
    </row>
    <row r="375" ht="24" customHeight="1">
      <c r="A375" s="27" t="inlineStr">
        <is>
          <t>2024-12-17</t>
        </is>
      </c>
      <c r="B375" s="33" t="n">
        <v>22600</v>
      </c>
      <c r="C375" s="33" t="n">
        <v>22600</v>
      </c>
      <c r="D375" s="33" t="n">
        <v>21500</v>
      </c>
      <c r="E375" s="33" t="n">
        <v>21700</v>
      </c>
      <c r="F375" s="33" t="n">
        <v>21358.71484375</v>
      </c>
      <c r="G375" s="33" t="n">
        <v>581720</v>
      </c>
      <c r="H375" s="38" t="n">
        <v>-0.029082774049217</v>
      </c>
      <c r="I375" s="38" t="n">
        <v>-0.5745098039215686</v>
      </c>
      <c r="J375" s="33" t="n">
        <v>22435</v>
      </c>
      <c r="K375" s="33" t="n">
        <v>25571.66666666667</v>
      </c>
      <c r="L375" s="33" t="n">
        <v>29975.83333333333</v>
      </c>
      <c r="M375" s="38" t="n">
        <v>0.4441852496824735</v>
      </c>
      <c r="N375" s="38" t="n">
        <v>0.4759218600774038</v>
      </c>
      <c r="O375" s="38" t="n">
        <v>-0.1014492753623188</v>
      </c>
      <c r="P375" s="38" t="n">
        <v>-0.2036697247706422</v>
      </c>
      <c r="Q375" s="38" t="n">
        <v>-0.4608695652173913</v>
      </c>
      <c r="R375" s="38" t="n">
        <v>-0.03276131045241815</v>
      </c>
      <c r="S375" s="38" t="n">
        <v>-0.1514045493058724</v>
      </c>
      <c r="T375" s="38" t="n">
        <v>-0.2760835117177726</v>
      </c>
      <c r="U375" s="33" t="n">
        <v>50100</v>
      </c>
      <c r="V375" s="33" t="n">
        <v>20400</v>
      </c>
      <c r="W375" s="38" t="n">
        <v>-0.5668662674650699</v>
      </c>
      <c r="X375" s="38" t="n">
        <v>0.06372549019607843</v>
      </c>
      <c r="Y375" s="33" t="n">
        <v>51414494</v>
      </c>
      <c r="Z375" s="33" t="n">
        <v>1115694519800</v>
      </c>
      <c r="AA375" s="33" t="n">
        <v>12623324000</v>
      </c>
      <c r="AB375" s="33" t="n">
        <v>8055787270</v>
      </c>
      <c r="AC375" s="38" t="n">
        <v>0.01131431926569189</v>
      </c>
      <c r="AD375" s="27" t="inlineStr">
        <is>
          <t>yfinance_download</t>
        </is>
      </c>
      <c r="AE375" s="27" t="inlineStr">
        <is>
          <t>005290.KQ</t>
        </is>
      </c>
    </row>
    <row r="376" ht="24" customHeight="1">
      <c r="A376" s="32" t="inlineStr">
        <is>
          <t>2024-12-18</t>
        </is>
      </c>
      <c r="B376" s="34" t="n">
        <v>21700</v>
      </c>
      <c r="C376" s="34" t="n">
        <v>22350</v>
      </c>
      <c r="D376" s="34" t="n">
        <v>21550</v>
      </c>
      <c r="E376" s="34" t="n">
        <v>22350</v>
      </c>
      <c r="F376" s="34" t="n">
        <v>21998.4921875</v>
      </c>
      <c r="G376" s="34" t="n">
        <v>306367</v>
      </c>
      <c r="H376" s="39" t="n">
        <v>0.02995391705069128</v>
      </c>
      <c r="I376" s="39" t="n">
        <v>-0.5617647058823529</v>
      </c>
      <c r="J376" s="34" t="n">
        <v>22332.5</v>
      </c>
      <c r="K376" s="34" t="n">
        <v>25493.33333333333</v>
      </c>
      <c r="L376" s="34" t="n">
        <v>29829.58333333333</v>
      </c>
      <c r="M376" s="39" t="n">
        <v>0.4583711734087847</v>
      </c>
      <c r="N376" s="39" t="n">
        <v>0.4806986405637432</v>
      </c>
      <c r="O376" s="39" t="n">
        <v>-0.08401639344262291</v>
      </c>
      <c r="P376" s="39" t="n">
        <v>-0.1737523105360443</v>
      </c>
      <c r="Q376" s="39" t="n">
        <v>-0.4398496240601504</v>
      </c>
      <c r="R376" s="39" t="n">
        <v>0.0007836113287809088</v>
      </c>
      <c r="S376" s="39" t="n">
        <v>-0.1233002092050208</v>
      </c>
      <c r="T376" s="39" t="n">
        <v>-0.2507438085792907</v>
      </c>
      <c r="U376" s="34" t="n">
        <v>50100</v>
      </c>
      <c r="V376" s="34" t="n">
        <v>20400</v>
      </c>
      <c r="W376" s="39" t="n">
        <v>-0.5538922155688623</v>
      </c>
      <c r="X376" s="39" t="n">
        <v>0.09558823529411775</v>
      </c>
      <c r="Y376" s="34" t="n">
        <v>51414494</v>
      </c>
      <c r="Z376" s="34" t="n">
        <v>1149113940900</v>
      </c>
      <c r="AA376" s="34" t="n">
        <v>6847302450</v>
      </c>
      <c r="AB376" s="34" t="n">
        <v>8058371412.5</v>
      </c>
      <c r="AC376" s="39" t="n">
        <v>0.005958767191212657</v>
      </c>
      <c r="AD376" s="32" t="inlineStr">
        <is>
          <t>yfinance_download</t>
        </is>
      </c>
      <c r="AE376" s="32" t="inlineStr">
        <is>
          <t>005290.KQ</t>
        </is>
      </c>
    </row>
    <row r="377" ht="24" customHeight="1">
      <c r="A377" s="27" t="inlineStr">
        <is>
          <t>2024-12-19</t>
        </is>
      </c>
      <c r="B377" s="33" t="n">
        <v>21600</v>
      </c>
      <c r="C377" s="33" t="n">
        <v>21800</v>
      </c>
      <c r="D377" s="33" t="n">
        <v>21200</v>
      </c>
      <c r="E377" s="33" t="n">
        <v>21400</v>
      </c>
      <c r="F377" s="33" t="n">
        <v>21063.43359375</v>
      </c>
      <c r="G377" s="33" t="n">
        <v>365047</v>
      </c>
      <c r="H377" s="38" t="n">
        <v>-0.04250559284116329</v>
      </c>
      <c r="I377" s="38" t="n">
        <v>-0.580392156862745</v>
      </c>
      <c r="J377" s="33" t="n">
        <v>22195</v>
      </c>
      <c r="K377" s="33" t="n">
        <v>25392.5</v>
      </c>
      <c r="L377" s="33" t="n">
        <v>29680.41666666667</v>
      </c>
      <c r="M377" s="38" t="n">
        <v>0.4780983121390209</v>
      </c>
      <c r="N377" s="38" t="n">
        <v>0.4860929356368978</v>
      </c>
      <c r="O377" s="38" t="n">
        <v>-0.1138716356107661</v>
      </c>
      <c r="P377" s="38" t="n">
        <v>-0.2204007285974499</v>
      </c>
      <c r="Q377" s="38" t="n">
        <v>-0.455470737913486</v>
      </c>
      <c r="R377" s="38" t="n">
        <v>-0.03581887812570395</v>
      </c>
      <c r="S377" s="38" t="n">
        <v>-0.1572314659840504</v>
      </c>
      <c r="T377" s="38" t="n">
        <v>-0.2789858632936981</v>
      </c>
      <c r="U377" s="33" t="n">
        <v>50100</v>
      </c>
      <c r="V377" s="33" t="n">
        <v>20400</v>
      </c>
      <c r="W377" s="38" t="n">
        <v>-0.5728542914171657</v>
      </c>
      <c r="X377" s="38" t="n">
        <v>0.0490196078431373</v>
      </c>
      <c r="Y377" s="33" t="n">
        <v>51414494</v>
      </c>
      <c r="Z377" s="33" t="n">
        <v>1100270171600</v>
      </c>
      <c r="AA377" s="33" t="n">
        <v>7812005800</v>
      </c>
      <c r="AB377" s="33" t="n">
        <v>8214936467.5</v>
      </c>
      <c r="AC377" s="38" t="n">
        <v>0.007100079600122097</v>
      </c>
      <c r="AD377" s="27" t="inlineStr">
        <is>
          <t>yfinance_download</t>
        </is>
      </c>
      <c r="AE377" s="27" t="inlineStr">
        <is>
          <t>005290.KQ</t>
        </is>
      </c>
    </row>
    <row r="378" ht="24" customHeight="1">
      <c r="A378" s="32" t="inlineStr">
        <is>
          <t>2024-12-20</t>
        </is>
      </c>
      <c r="B378" s="34" t="n">
        <v>21300</v>
      </c>
      <c r="C378" s="34" t="n">
        <v>21650</v>
      </c>
      <c r="D378" s="34" t="n">
        <v>20750</v>
      </c>
      <c r="E378" s="34" t="n">
        <v>20900</v>
      </c>
      <c r="F378" s="34" t="n">
        <v>20571.296875</v>
      </c>
      <c r="G378" s="34" t="n">
        <v>283407</v>
      </c>
      <c r="H378" s="39" t="n">
        <v>-0.02336448598130836</v>
      </c>
      <c r="I378" s="39" t="n">
        <v>-0.5901960784313726</v>
      </c>
      <c r="J378" s="34" t="n">
        <v>22012.5</v>
      </c>
      <c r="K378" s="34" t="n">
        <v>25270</v>
      </c>
      <c r="L378" s="34" t="n">
        <v>29518.33333333333</v>
      </c>
      <c r="M378" s="39" t="n">
        <v>0.4745502369689229</v>
      </c>
      <c r="N378" s="39" t="n">
        <v>0.4828487800564232</v>
      </c>
      <c r="O378" s="39" t="n">
        <v>-0.1486761710794298</v>
      </c>
      <c r="P378" s="39" t="n">
        <v>-0.2601769911504425</v>
      </c>
      <c r="Q378" s="39" t="n">
        <v>-0.4820322180916976</v>
      </c>
      <c r="R378" s="39" t="n">
        <v>-0.05053946621237937</v>
      </c>
      <c r="S378" s="39" t="n">
        <v>-0.1729323308270677</v>
      </c>
      <c r="T378" s="39" t="n">
        <v>-0.2919654452035458</v>
      </c>
      <c r="U378" s="34" t="n">
        <v>50100</v>
      </c>
      <c r="V378" s="34" t="n">
        <v>20400</v>
      </c>
      <c r="W378" s="39" t="n">
        <v>-0.5828343313373254</v>
      </c>
      <c r="X378" s="39" t="n">
        <v>0.02450980392156854</v>
      </c>
      <c r="Y378" s="34" t="n">
        <v>51414494</v>
      </c>
      <c r="Z378" s="34" t="n">
        <v>1074562924600</v>
      </c>
      <c r="AA378" s="34" t="n">
        <v>5923206300</v>
      </c>
      <c r="AB378" s="34" t="n">
        <v>8277195430</v>
      </c>
      <c r="AC378" s="39" t="n">
        <v>0.005512200509062678</v>
      </c>
      <c r="AD378" s="32" t="inlineStr">
        <is>
          <t>yfinance_download</t>
        </is>
      </c>
      <c r="AE378" s="32" t="inlineStr">
        <is>
          <t>005290.KQ</t>
        </is>
      </c>
    </row>
    <row r="379" ht="24" customHeight="1">
      <c r="A379" s="27" t="inlineStr">
        <is>
          <t>2024-12-23</t>
        </is>
      </c>
      <c r="B379" s="33" t="n">
        <v>21100</v>
      </c>
      <c r="C379" s="33" t="n">
        <v>21650</v>
      </c>
      <c r="D379" s="33" t="n">
        <v>20800</v>
      </c>
      <c r="E379" s="33" t="n">
        <v>21550</v>
      </c>
      <c r="F379" s="33" t="n">
        <v>21211.07421875</v>
      </c>
      <c r="G379" s="33" t="n">
        <v>252367</v>
      </c>
      <c r="H379" s="38" t="n">
        <v>0.03110047846889952</v>
      </c>
      <c r="I379" s="38" t="n">
        <v>-0.5774509803921568</v>
      </c>
      <c r="J379" s="33" t="n">
        <v>21847.5</v>
      </c>
      <c r="K379" s="33" t="n">
        <v>25160</v>
      </c>
      <c r="L379" s="33" t="n">
        <v>29363.75</v>
      </c>
      <c r="M379" s="38" t="n">
        <v>0.4895008084148222</v>
      </c>
      <c r="N379" s="38" t="n">
        <v>0.4883476059055232</v>
      </c>
      <c r="O379" s="38" t="n">
        <v>-0.1327967806841046</v>
      </c>
      <c r="P379" s="38" t="n">
        <v>-0.2344582593250444</v>
      </c>
      <c r="Q379" s="38" t="n">
        <v>-0.4625935162094763</v>
      </c>
      <c r="R379" s="38" t="n">
        <v>-0.0136171186634626</v>
      </c>
      <c r="S379" s="38" t="n">
        <v>-0.1434817170111288</v>
      </c>
      <c r="T379" s="38" t="n">
        <v>-0.266101911370312</v>
      </c>
      <c r="U379" s="33" t="n">
        <v>50100</v>
      </c>
      <c r="V379" s="33" t="n">
        <v>20400</v>
      </c>
      <c r="W379" s="38" t="n">
        <v>-0.5698602794411178</v>
      </c>
      <c r="X379" s="38" t="n">
        <v>0.05637254901960786</v>
      </c>
      <c r="Y379" s="33" t="n">
        <v>51414494</v>
      </c>
      <c r="Z379" s="33" t="n">
        <v>1107982345700</v>
      </c>
      <c r="AA379" s="33" t="n">
        <v>5438508850</v>
      </c>
      <c r="AB379" s="33" t="n">
        <v>8219970197.5</v>
      </c>
      <c r="AC379" s="38" t="n">
        <v>0.004908479698351208</v>
      </c>
      <c r="AD379" s="27" t="inlineStr">
        <is>
          <t>yfinance_download</t>
        </is>
      </c>
      <c r="AE379" s="27" t="inlineStr">
        <is>
          <t>005290.KQ</t>
        </is>
      </c>
    </row>
    <row r="380" ht="24" customHeight="1">
      <c r="A380" s="32" t="inlineStr">
        <is>
          <t>2024-12-24</t>
        </is>
      </c>
      <c r="B380" s="34" t="n">
        <v>21850</v>
      </c>
      <c r="C380" s="34" t="n">
        <v>22100</v>
      </c>
      <c r="D380" s="34" t="n">
        <v>21450</v>
      </c>
      <c r="E380" s="34" t="n">
        <v>21800</v>
      </c>
      <c r="F380" s="34" t="n">
        <v>21457.142578125</v>
      </c>
      <c r="G380" s="34" t="n">
        <v>256943</v>
      </c>
      <c r="H380" s="39" t="n">
        <v>0.01160092807424595</v>
      </c>
      <c r="I380" s="39" t="n">
        <v>-0.5725490196078431</v>
      </c>
      <c r="J380" s="34" t="n">
        <v>21752.5</v>
      </c>
      <c r="K380" s="34" t="n">
        <v>25028.33333333333</v>
      </c>
      <c r="L380" s="34" t="n">
        <v>29211.66666666667</v>
      </c>
      <c r="M380" s="39" t="n">
        <v>0.4700784410147386</v>
      </c>
      <c r="N380" s="39" t="n">
        <v>0.4738112671347171</v>
      </c>
      <c r="O380" s="39" t="n">
        <v>-0.08016877637130804</v>
      </c>
      <c r="P380" s="39" t="n">
        <v>-0.265993265993266</v>
      </c>
      <c r="Q380" s="39" t="n">
        <v>-0.4556803995006242</v>
      </c>
      <c r="R380" s="39" t="n">
        <v>0.002183657050913723</v>
      </c>
      <c r="S380" s="39" t="n">
        <v>-0.1289871478990477</v>
      </c>
      <c r="T380" s="39" t="n">
        <v>-0.2537228276373595</v>
      </c>
      <c r="U380" s="34" t="n">
        <v>50100</v>
      </c>
      <c r="V380" s="34" t="n">
        <v>20400</v>
      </c>
      <c r="W380" s="39" t="n">
        <v>-0.564870259481038</v>
      </c>
      <c r="X380" s="39" t="n">
        <v>0.06862745098039214</v>
      </c>
      <c r="Y380" s="34" t="n">
        <v>51414494</v>
      </c>
      <c r="Z380" s="34" t="n">
        <v>1120835969200</v>
      </c>
      <c r="AA380" s="34" t="n">
        <v>5601357400</v>
      </c>
      <c r="AB380" s="34" t="n">
        <v>7736443027.5</v>
      </c>
      <c r="AC380" s="39" t="n">
        <v>0.004997481838487023</v>
      </c>
      <c r="AD380" s="32" t="inlineStr">
        <is>
          <t>yfinance_download</t>
        </is>
      </c>
      <c r="AE380" s="32" t="inlineStr">
        <is>
          <t>005290.KQ</t>
        </is>
      </c>
    </row>
    <row r="381" ht="24" customHeight="1">
      <c r="A381" s="27" t="inlineStr">
        <is>
          <t>2024-12-26</t>
        </is>
      </c>
      <c r="B381" s="33" t="n">
        <v>22000</v>
      </c>
      <c r="C381" s="33" t="n">
        <v>22000</v>
      </c>
      <c r="D381" s="33" t="n">
        <v>20950</v>
      </c>
      <c r="E381" s="33" t="n">
        <v>21050</v>
      </c>
      <c r="F381" s="33" t="n">
        <v>20718.9375</v>
      </c>
      <c r="G381" s="33" t="n">
        <v>267731</v>
      </c>
      <c r="H381" s="38" t="n">
        <v>-0.0344036697247706</v>
      </c>
      <c r="I381" s="38" t="n">
        <v>-0.5872549019607843</v>
      </c>
      <c r="J381" s="33" t="n">
        <v>21665</v>
      </c>
      <c r="K381" s="33" t="n">
        <v>24884.16666666667</v>
      </c>
      <c r="L381" s="33" t="n">
        <v>29052.08333333333</v>
      </c>
      <c r="M381" s="38" t="n">
        <v>0.4667897489686035</v>
      </c>
      <c r="N381" s="38" t="n">
        <v>0.4775836828306335</v>
      </c>
      <c r="O381" s="38" t="n">
        <v>-0.07675438596491224</v>
      </c>
      <c r="P381" s="38" t="n">
        <v>-0.2912457912457912</v>
      </c>
      <c r="Q381" s="38" t="n">
        <v>-0.4763681592039801</v>
      </c>
      <c r="R381" s="38" t="n">
        <v>-0.02838679898453722</v>
      </c>
      <c r="S381" s="38" t="n">
        <v>-0.1540805733230636</v>
      </c>
      <c r="T381" s="38" t="n">
        <v>-0.2754392255288634</v>
      </c>
      <c r="U381" s="33" t="n">
        <v>50100</v>
      </c>
      <c r="V381" s="33" t="n">
        <v>20400</v>
      </c>
      <c r="W381" s="38" t="n">
        <v>-0.5798403193612774</v>
      </c>
      <c r="X381" s="38" t="n">
        <v>0.03186274509803932</v>
      </c>
      <c r="Y381" s="33" t="n">
        <v>51414494</v>
      </c>
      <c r="Z381" s="33" t="n">
        <v>1082275098700</v>
      </c>
      <c r="AA381" s="33" t="n">
        <v>5635737550</v>
      </c>
      <c r="AB381" s="33" t="n">
        <v>7598361065</v>
      </c>
      <c r="AC381" s="38" t="n">
        <v>0.005207305939838676</v>
      </c>
      <c r="AD381" s="27" t="inlineStr">
        <is>
          <t>yfinance_download</t>
        </is>
      </c>
      <c r="AE381" s="27" t="inlineStr">
        <is>
          <t>005290.KQ</t>
        </is>
      </c>
    </row>
    <row r="382" ht="24" customHeight="1">
      <c r="A382" s="32" t="inlineStr">
        <is>
          <t>2024-12-27</t>
        </is>
      </c>
      <c r="B382" s="34" t="n">
        <v>20900</v>
      </c>
      <c r="C382" s="34" t="n">
        <v>21350</v>
      </c>
      <c r="D382" s="34" t="n">
        <v>20550</v>
      </c>
      <c r="E382" s="34" t="n">
        <v>20700</v>
      </c>
      <c r="F382" s="34" t="n">
        <v>20374.443359375</v>
      </c>
      <c r="G382" s="34" t="n">
        <v>272439</v>
      </c>
      <c r="H382" s="39" t="n">
        <v>-0.01662707838479816</v>
      </c>
      <c r="I382" s="39" t="n">
        <v>-0.5941176470588235</v>
      </c>
      <c r="J382" s="34" t="n">
        <v>21572.5</v>
      </c>
      <c r="K382" s="34" t="n">
        <v>24745.83333333333</v>
      </c>
      <c r="L382" s="34" t="n">
        <v>28903.75</v>
      </c>
      <c r="M382" s="39" t="n">
        <v>0.468408752690337</v>
      </c>
      <c r="N382" s="39" t="n">
        <v>0.4766589978286495</v>
      </c>
      <c r="O382" s="39" t="n">
        <v>-0.08203991130820398</v>
      </c>
      <c r="P382" s="39" t="n">
        <v>-0.2862068965517242</v>
      </c>
      <c r="Q382" s="39" t="n">
        <v>-0.4623376623376624</v>
      </c>
      <c r="R382" s="39" t="n">
        <v>-0.04044501100938691</v>
      </c>
      <c r="S382" s="39" t="n">
        <v>-0.1634955379693551</v>
      </c>
      <c r="T382" s="39" t="n">
        <v>-0.2838299528607879</v>
      </c>
      <c r="U382" s="34" t="n">
        <v>50100</v>
      </c>
      <c r="V382" s="34" t="n">
        <v>20400</v>
      </c>
      <c r="W382" s="39" t="n">
        <v>-0.5868263473053892</v>
      </c>
      <c r="X382" s="39" t="n">
        <v>0.01470588235294112</v>
      </c>
      <c r="Y382" s="34" t="n">
        <v>51414494</v>
      </c>
      <c r="Z382" s="34" t="n">
        <v>1064280025800</v>
      </c>
      <c r="AA382" s="34" t="n">
        <v>5639487300</v>
      </c>
      <c r="AB382" s="34" t="n">
        <v>7662061577.5</v>
      </c>
      <c r="AC382" s="39" t="n">
        <v>0.005298875449401486</v>
      </c>
      <c r="AD382" s="32" t="inlineStr">
        <is>
          <t>yfinance_download</t>
        </is>
      </c>
      <c r="AE382" s="32" t="inlineStr">
        <is>
          <t>005290.KQ</t>
        </is>
      </c>
    </row>
    <row r="383" ht="24" customHeight="1">
      <c r="A383" s="27" t="inlineStr">
        <is>
          <t>2024-12-30</t>
        </is>
      </c>
      <c r="B383" s="33" t="n">
        <v>20550</v>
      </c>
      <c r="C383" s="33" t="n">
        <v>21050</v>
      </c>
      <c r="D383" s="33" t="n">
        <v>20350</v>
      </c>
      <c r="E383" s="33" t="n">
        <v>20900</v>
      </c>
      <c r="F383" s="33" t="n">
        <v>20571.296875</v>
      </c>
      <c r="G383" s="33" t="n">
        <v>130597</v>
      </c>
      <c r="H383" s="38" t="n">
        <v>0.009661835748792313</v>
      </c>
      <c r="I383" s="38" t="n">
        <v>-0.5901960784313726</v>
      </c>
      <c r="J383" s="33" t="n">
        <v>21525</v>
      </c>
      <c r="K383" s="33" t="n">
        <v>24595.83333333333</v>
      </c>
      <c r="L383" s="33" t="n">
        <v>28757.91666666667</v>
      </c>
      <c r="M383" s="38" t="n">
        <v>0.4592710591837107</v>
      </c>
      <c r="N383" s="38" t="n">
        <v>0.4717139805986182</v>
      </c>
      <c r="O383" s="38" t="n">
        <v>-0.04347826086956519</v>
      </c>
      <c r="P383" s="38" t="n">
        <v>-0.3010033444816054</v>
      </c>
      <c r="Q383" s="38" t="n">
        <v>-0.4557291666666666</v>
      </c>
      <c r="R383" s="38" t="n">
        <v>-0.02903600464576073</v>
      </c>
      <c r="S383" s="38" t="n">
        <v>-0.1502625783499915</v>
      </c>
      <c r="T383" s="38" t="n">
        <v>-0.2732435995885192</v>
      </c>
      <c r="U383" s="33" t="n">
        <v>50100</v>
      </c>
      <c r="V383" s="33" t="n">
        <v>20400</v>
      </c>
      <c r="W383" s="38" t="n">
        <v>-0.5828343313373254</v>
      </c>
      <c r="X383" s="38" t="n">
        <v>0.02450980392156854</v>
      </c>
      <c r="Y383" s="33" t="n">
        <v>51414494</v>
      </c>
      <c r="Z383" s="33" t="n">
        <v>1074562924600</v>
      </c>
      <c r="AA383" s="33" t="n">
        <v>2729477300</v>
      </c>
      <c r="AB383" s="33" t="n">
        <v>7303079045</v>
      </c>
      <c r="AC383" s="38" t="n">
        <v>0.002540081401948641</v>
      </c>
      <c r="AD383" s="27" t="inlineStr">
        <is>
          <t>yfinance_download</t>
        </is>
      </c>
      <c r="AE383" s="27" t="inlineStr">
        <is>
          <t>005290.KQ</t>
        </is>
      </c>
    </row>
    <row r="384" ht="24" customHeight="1">
      <c r="A384" s="32" t="inlineStr">
        <is>
          <t>2025-01-02</t>
        </is>
      </c>
      <c r="B384" s="34" t="n">
        <v>20750</v>
      </c>
      <c r="C384" s="34" t="n">
        <v>21100</v>
      </c>
      <c r="D384" s="34" t="n">
        <v>20250</v>
      </c>
      <c r="E384" s="34" t="n">
        <v>21000</v>
      </c>
      <c r="F384" s="34" t="n">
        <v>20669.724609375</v>
      </c>
      <c r="G384" s="34" t="n">
        <v>151974</v>
      </c>
      <c r="H384" s="39" t="n">
        <v>0.004784688995215225</v>
      </c>
      <c r="I384" s="39" t="n">
        <v>-0.5882352941176471</v>
      </c>
      <c r="J384" s="34" t="n">
        <v>21507.5</v>
      </c>
      <c r="K384" s="34" t="n">
        <v>24452.5</v>
      </c>
      <c r="L384" s="34" t="n">
        <v>28599.58333333333</v>
      </c>
      <c r="M384" s="39" t="n">
        <v>0.4528991438890015</v>
      </c>
      <c r="N384" s="39" t="n">
        <v>0.4720853433887013</v>
      </c>
      <c r="O384" s="39" t="n">
        <v>-0.01639344262295084</v>
      </c>
      <c r="P384" s="39" t="n">
        <v>-0.2905405405405406</v>
      </c>
      <c r="Q384" s="39" t="n">
        <v>-0.475</v>
      </c>
      <c r="R384" s="39" t="n">
        <v>-0.02359641985353944</v>
      </c>
      <c r="S384" s="39" t="n">
        <v>-0.1411921071465085</v>
      </c>
      <c r="T384" s="39" t="n">
        <v>-0.2657235682338029</v>
      </c>
      <c r="U384" s="34" t="n">
        <v>50100</v>
      </c>
      <c r="V384" s="34" t="n">
        <v>20400</v>
      </c>
      <c r="W384" s="39" t="n">
        <v>-0.5808383233532934</v>
      </c>
      <c r="X384" s="39" t="n">
        <v>0.02941176470588225</v>
      </c>
      <c r="Y384" s="34" t="n">
        <v>51414494</v>
      </c>
      <c r="Z384" s="34" t="n">
        <v>1079704374000</v>
      </c>
      <c r="AA384" s="34" t="n">
        <v>3191454000</v>
      </c>
      <c r="AB384" s="34" t="n">
        <v>7108710377.5</v>
      </c>
      <c r="AC384" s="39" t="n">
        <v>0.00295585910074307</v>
      </c>
      <c r="AD384" s="32" t="inlineStr">
        <is>
          <t>yfinance_download</t>
        </is>
      </c>
      <c r="AE384" s="32" t="inlineStr">
        <is>
          <t>005290.KQ</t>
        </is>
      </c>
    </row>
    <row r="385" ht="24" customHeight="1">
      <c r="A385" s="27" t="inlineStr">
        <is>
          <t>2025-01-03</t>
        </is>
      </c>
      <c r="B385" s="33" t="n">
        <v>20950</v>
      </c>
      <c r="C385" s="33" t="n">
        <v>22600</v>
      </c>
      <c r="D385" s="33" t="n">
        <v>20850</v>
      </c>
      <c r="E385" s="33" t="n">
        <v>22200</v>
      </c>
      <c r="F385" s="33" t="n">
        <v>21850.8515625</v>
      </c>
      <c r="G385" s="33" t="n">
        <v>649034</v>
      </c>
      <c r="H385" s="38" t="n">
        <v>0.05714285714285716</v>
      </c>
      <c r="I385" s="38" t="n">
        <v>-0.5647058823529412</v>
      </c>
      <c r="J385" s="33" t="n">
        <v>21527.5</v>
      </c>
      <c r="K385" s="33" t="n">
        <v>24325.83333333333</v>
      </c>
      <c r="L385" s="33" t="n">
        <v>28447.08333333333</v>
      </c>
      <c r="M385" s="38" t="n">
        <v>0.4920268025934155</v>
      </c>
      <c r="N385" s="38" t="n">
        <v>0.4885732147864137</v>
      </c>
      <c r="O385" s="38" t="n">
        <v>0.0183486238532109</v>
      </c>
      <c r="P385" s="38" t="n">
        <v>-0.2550335570469798</v>
      </c>
      <c r="Q385" s="38" t="n">
        <v>-0.4518518518518518</v>
      </c>
      <c r="R385" s="38" t="n">
        <v>0.03123911276274538</v>
      </c>
      <c r="S385" s="38" t="n">
        <v>-0.08738994895687024</v>
      </c>
      <c r="T385" s="38" t="n">
        <v>-0.2196036500519971</v>
      </c>
      <c r="U385" s="33" t="n">
        <v>50100</v>
      </c>
      <c r="V385" s="33" t="n">
        <v>20400</v>
      </c>
      <c r="W385" s="38" t="n">
        <v>-0.5568862275449102</v>
      </c>
      <c r="X385" s="38" t="n">
        <v>0.08823529411764697</v>
      </c>
      <c r="Y385" s="33" t="n">
        <v>51414494</v>
      </c>
      <c r="Z385" s="33" t="n">
        <v>1141401766800</v>
      </c>
      <c r="AA385" s="33" t="n">
        <v>14408554800</v>
      </c>
      <c r="AB385" s="33" t="n">
        <v>7523702677.5</v>
      </c>
      <c r="AC385" s="38" t="n">
        <v>0.01262356097484884</v>
      </c>
      <c r="AD385" s="27" t="inlineStr">
        <is>
          <t>yfinance_download</t>
        </is>
      </c>
      <c r="AE385" s="27" t="inlineStr">
        <is>
          <t>005290.KQ</t>
        </is>
      </c>
    </row>
    <row r="386" ht="24" customHeight="1">
      <c r="A386" s="32" t="inlineStr">
        <is>
          <t>2025-01-06</t>
        </is>
      </c>
      <c r="B386" s="34" t="n">
        <v>22500</v>
      </c>
      <c r="C386" s="34" t="n">
        <v>23350</v>
      </c>
      <c r="D386" s="34" t="n">
        <v>22350</v>
      </c>
      <c r="E386" s="34" t="n">
        <v>23050</v>
      </c>
      <c r="F386" s="34" t="n">
        <v>22687.484375</v>
      </c>
      <c r="G386" s="34" t="n">
        <v>706533</v>
      </c>
      <c r="H386" s="39" t="n">
        <v>0.03828828828828823</v>
      </c>
      <c r="I386" s="39" t="n">
        <v>-0.5480392156862746</v>
      </c>
      <c r="J386" s="34" t="n">
        <v>21595</v>
      </c>
      <c r="K386" s="34" t="n">
        <v>24229.16666666667</v>
      </c>
      <c r="L386" s="34" t="n">
        <v>28302.5</v>
      </c>
      <c r="M386" s="39" t="n">
        <v>0.5084126105025069</v>
      </c>
      <c r="N386" s="39" t="n">
        <v>0.4928787221048059</v>
      </c>
      <c r="O386" s="39" t="n">
        <v>0.06221198156682028</v>
      </c>
      <c r="P386" s="39" t="n">
        <v>-0.2010398613518197</v>
      </c>
      <c r="Q386" s="39" t="n">
        <v>-0.4294554455445545</v>
      </c>
      <c r="R386" s="39" t="n">
        <v>0.06737670757119707</v>
      </c>
      <c r="S386" s="39" t="n">
        <v>-0.04866723989681865</v>
      </c>
      <c r="T386" s="39" t="n">
        <v>-0.1855843123398992</v>
      </c>
      <c r="U386" s="34" t="n">
        <v>50100</v>
      </c>
      <c r="V386" s="34" t="n">
        <v>20400</v>
      </c>
      <c r="W386" s="39" t="n">
        <v>-0.5399201596806387</v>
      </c>
      <c r="X386" s="39" t="n">
        <v>0.1299019607843137</v>
      </c>
      <c r="Y386" s="34" t="n">
        <v>51414494</v>
      </c>
      <c r="Z386" s="34" t="n">
        <v>1185104086700</v>
      </c>
      <c r="AA386" s="34" t="n">
        <v>16285585650</v>
      </c>
      <c r="AB386" s="34" t="n">
        <v>8090991475</v>
      </c>
      <c r="AC386" s="39" t="n">
        <v>0.01374190320729404</v>
      </c>
      <c r="AD386" s="32" t="inlineStr">
        <is>
          <t>yfinance_download</t>
        </is>
      </c>
      <c r="AE386" s="32" t="inlineStr">
        <is>
          <t>005290.KQ</t>
        </is>
      </c>
    </row>
    <row r="387" ht="24" customHeight="1">
      <c r="A387" s="27" t="inlineStr">
        <is>
          <t>2025-01-07</t>
        </is>
      </c>
      <c r="B387" s="33" t="n">
        <v>23350</v>
      </c>
      <c r="C387" s="33" t="n">
        <v>23450</v>
      </c>
      <c r="D387" s="33" t="n">
        <v>22550</v>
      </c>
      <c r="E387" s="33" t="n">
        <v>22600</v>
      </c>
      <c r="F387" s="33" t="n">
        <v>22244.560546875</v>
      </c>
      <c r="G387" s="33" t="n">
        <v>496915</v>
      </c>
      <c r="H387" s="38" t="n">
        <v>-0.0195227765726681</v>
      </c>
      <c r="I387" s="38" t="n">
        <v>-0.5568627450980392</v>
      </c>
      <c r="J387" s="33" t="n">
        <v>21630</v>
      </c>
      <c r="K387" s="33" t="n">
        <v>24130.83333333333</v>
      </c>
      <c r="L387" s="33" t="n">
        <v>28159.58333333333</v>
      </c>
      <c r="M387" s="38" t="n">
        <v>0.5143336084989989</v>
      </c>
      <c r="N387" s="38" t="n">
        <v>0.4936790165199921</v>
      </c>
      <c r="O387" s="38" t="n">
        <v>0.03196347031963476</v>
      </c>
      <c r="P387" s="38" t="n">
        <v>-0.2070175438596491</v>
      </c>
      <c r="Q387" s="38" t="n">
        <v>-0.4314465408805032</v>
      </c>
      <c r="R387" s="38" t="n">
        <v>0.04484512251502548</v>
      </c>
      <c r="S387" s="38" t="n">
        <v>-0.06343889215042986</v>
      </c>
      <c r="T387" s="38" t="n">
        <v>-0.1974313066895521</v>
      </c>
      <c r="U387" s="33" t="n">
        <v>50100</v>
      </c>
      <c r="V387" s="33" t="n">
        <v>20400</v>
      </c>
      <c r="W387" s="38" t="n">
        <v>-0.5489021956087825</v>
      </c>
      <c r="X387" s="38" t="n">
        <v>0.107843137254902</v>
      </c>
      <c r="Y387" s="33" t="n">
        <v>51414494</v>
      </c>
      <c r="Z387" s="33" t="n">
        <v>1161967564400</v>
      </c>
      <c r="AA387" s="33" t="n">
        <v>11230279000</v>
      </c>
      <c r="AB387" s="33" t="n">
        <v>8369708535</v>
      </c>
      <c r="AC387" s="38" t="n">
        <v>0.009664881657689755</v>
      </c>
      <c r="AD387" s="27" t="inlineStr">
        <is>
          <t>yfinance_download</t>
        </is>
      </c>
      <c r="AE387" s="27" t="inlineStr">
        <is>
          <t>005290.KQ</t>
        </is>
      </c>
    </row>
    <row r="388" ht="24" customHeight="1">
      <c r="A388" s="32" t="inlineStr">
        <is>
          <t>2025-01-08</t>
        </is>
      </c>
      <c r="B388" s="34" t="n">
        <v>22450</v>
      </c>
      <c r="C388" s="34" t="n">
        <v>24250</v>
      </c>
      <c r="D388" s="34" t="n">
        <v>22300</v>
      </c>
      <c r="E388" s="34" t="n">
        <v>24150</v>
      </c>
      <c r="F388" s="34" t="n">
        <v>23770.18359375</v>
      </c>
      <c r="G388" s="34" t="n">
        <v>890940</v>
      </c>
      <c r="H388" s="39" t="n">
        <v>0.06858407079646023</v>
      </c>
      <c r="I388" s="39" t="n">
        <v>-0.5264705882352941</v>
      </c>
      <c r="J388" s="34" t="n">
        <v>21760</v>
      </c>
      <c r="K388" s="34" t="n">
        <v>24053.33333333333</v>
      </c>
      <c r="L388" s="34" t="n">
        <v>28038.75</v>
      </c>
      <c r="M388" s="39" t="n">
        <v>0.5604892615119642</v>
      </c>
      <c r="N388" s="39" t="n">
        <v>0.5145625630050076</v>
      </c>
      <c r="O388" s="39" t="n">
        <v>0.1206496519721578</v>
      </c>
      <c r="P388" s="39" t="n">
        <v>-0.1614583333333334</v>
      </c>
      <c r="Q388" s="39" t="n">
        <v>-0.3751617076326003</v>
      </c>
      <c r="R388" s="39" t="n">
        <v>0.1098345588235294</v>
      </c>
      <c r="S388" s="39" t="n">
        <v>0.004018847006652004</v>
      </c>
      <c r="T388" s="39" t="n">
        <v>-0.1386919887655477</v>
      </c>
      <c r="U388" s="34" t="n">
        <v>50100</v>
      </c>
      <c r="V388" s="34" t="n">
        <v>20400</v>
      </c>
      <c r="W388" s="39" t="n">
        <v>-0.5179640718562875</v>
      </c>
      <c r="X388" s="39" t="n">
        <v>0.1838235294117647</v>
      </c>
      <c r="Y388" s="34" t="n">
        <v>51414494</v>
      </c>
      <c r="Z388" s="34" t="n">
        <v>1241660030100</v>
      </c>
      <c r="AA388" s="34" t="n">
        <v>21516201000</v>
      </c>
      <c r="AB388" s="34" t="n">
        <v>9091905712.5</v>
      </c>
      <c r="AC388" s="39" t="n">
        <v>0.01732857664611073</v>
      </c>
      <c r="AD388" s="32" t="inlineStr">
        <is>
          <t>yfinance_download</t>
        </is>
      </c>
      <c r="AE388" s="32" t="inlineStr">
        <is>
          <t>005290.KQ</t>
        </is>
      </c>
    </row>
    <row r="389" ht="24" customHeight="1">
      <c r="A389" s="27" t="inlineStr">
        <is>
          <t>2025-01-09</t>
        </is>
      </c>
      <c r="B389" s="33" t="n">
        <v>24200</v>
      </c>
      <c r="C389" s="33" t="n">
        <v>24200</v>
      </c>
      <c r="D389" s="33" t="n">
        <v>23250</v>
      </c>
      <c r="E389" s="33" t="n">
        <v>23250</v>
      </c>
      <c r="F389" s="33" t="n">
        <v>22884.337890625</v>
      </c>
      <c r="G389" s="33" t="n">
        <v>635236</v>
      </c>
      <c r="H389" s="38" t="n">
        <v>-0.03726708074534157</v>
      </c>
      <c r="I389" s="38" t="n">
        <v>-0.5441176470588236</v>
      </c>
      <c r="J389" s="33" t="n">
        <v>21902.5</v>
      </c>
      <c r="K389" s="33" t="n">
        <v>23954.16666666667</v>
      </c>
      <c r="L389" s="33" t="n">
        <v>27910.83333333333</v>
      </c>
      <c r="M389" s="38" t="n">
        <v>0.5403114496422347</v>
      </c>
      <c r="N389" s="38" t="n">
        <v>0.5183054819574456</v>
      </c>
      <c r="O389" s="38" t="n">
        <v>0.1397058823529411</v>
      </c>
      <c r="P389" s="38" t="n">
        <v>-0.2037671232876712</v>
      </c>
      <c r="Q389" s="38" t="n">
        <v>-0.3976683937823834</v>
      </c>
      <c r="R389" s="38" t="n">
        <v>0.06152265723090977</v>
      </c>
      <c r="S389" s="38" t="n">
        <v>-0.02939641676813365</v>
      </c>
      <c r="T389" s="38" t="n">
        <v>-0.1669901173379512</v>
      </c>
      <c r="U389" s="33" t="n">
        <v>50100</v>
      </c>
      <c r="V389" s="33" t="n">
        <v>20400</v>
      </c>
      <c r="W389" s="38" t="n">
        <v>-0.5359281437125749</v>
      </c>
      <c r="X389" s="38" t="n">
        <v>0.1397058823529411</v>
      </c>
      <c r="Y389" s="33" t="n">
        <v>51414494</v>
      </c>
      <c r="Z389" s="33" t="n">
        <v>1195386985500</v>
      </c>
      <c r="AA389" s="33" t="n">
        <v>14769237000</v>
      </c>
      <c r="AB389" s="33" t="n">
        <v>9490507642.5</v>
      </c>
      <c r="AC389" s="38" t="n">
        <v>0.01235519307065436</v>
      </c>
      <c r="AD389" s="27" t="inlineStr">
        <is>
          <t>yfinance_download</t>
        </is>
      </c>
      <c r="AE389" s="27" t="inlineStr">
        <is>
          <t>005290.KQ</t>
        </is>
      </c>
    </row>
    <row r="390" ht="24" customHeight="1">
      <c r="A390" s="32" t="inlineStr">
        <is>
          <t>2025-01-10</t>
        </is>
      </c>
      <c r="B390" s="34" t="n">
        <v>23400</v>
      </c>
      <c r="C390" s="34" t="n">
        <v>23600</v>
      </c>
      <c r="D390" s="34" t="n">
        <v>22900</v>
      </c>
      <c r="E390" s="34" t="n">
        <v>22900</v>
      </c>
      <c r="F390" s="34" t="n">
        <v>22539.841796875</v>
      </c>
      <c r="G390" s="34" t="n">
        <v>329118</v>
      </c>
      <c r="H390" s="39" t="n">
        <v>-0.01505376344086018</v>
      </c>
      <c r="I390" s="39" t="n">
        <v>-0.5509803921568628</v>
      </c>
      <c r="J390" s="34" t="n">
        <v>21975</v>
      </c>
      <c r="K390" s="34" t="n">
        <v>23859.16666666667</v>
      </c>
      <c r="L390" s="34" t="n">
        <v>27782.5</v>
      </c>
      <c r="M390" s="39" t="n">
        <v>0.5190453696744607</v>
      </c>
      <c r="N390" s="39" t="n">
        <v>0.5176450345124526</v>
      </c>
      <c r="O390" s="39" t="n">
        <v>0.06759906759906764</v>
      </c>
      <c r="P390" s="39" t="n">
        <v>-0.1993006993006993</v>
      </c>
      <c r="Q390" s="39" t="n">
        <v>-0.402088772845953</v>
      </c>
      <c r="R390" s="39" t="n">
        <v>0.04209328782707633</v>
      </c>
      <c r="S390" s="39" t="n">
        <v>-0.04020118053857713</v>
      </c>
      <c r="T390" s="39" t="n">
        <v>-0.1757401241788896</v>
      </c>
      <c r="U390" s="34" t="n">
        <v>50100</v>
      </c>
      <c r="V390" s="34" t="n">
        <v>20400</v>
      </c>
      <c r="W390" s="39" t="n">
        <v>-0.5429141716566867</v>
      </c>
      <c r="X390" s="39" t="n">
        <v>0.1225490196078431</v>
      </c>
      <c r="Y390" s="34" t="n">
        <v>51414494</v>
      </c>
      <c r="Z390" s="34" t="n">
        <v>1177391912600</v>
      </c>
      <c r="AA390" s="34" t="n">
        <v>7536802200</v>
      </c>
      <c r="AB390" s="34" t="n">
        <v>9583630747.5</v>
      </c>
      <c r="AC390" s="39" t="n">
        <v>0.006401268871769894</v>
      </c>
      <c r="AD390" s="32" t="inlineStr">
        <is>
          <t>yfinance_download</t>
        </is>
      </c>
      <c r="AE390" s="32" t="inlineStr">
        <is>
          <t>005290.KQ</t>
        </is>
      </c>
    </row>
    <row r="391" ht="24" customHeight="1">
      <c r="A391" s="27" t="inlineStr">
        <is>
          <t>2025-01-13</t>
        </is>
      </c>
      <c r="B391" s="33" t="n">
        <v>22600</v>
      </c>
      <c r="C391" s="33" t="n">
        <v>22800</v>
      </c>
      <c r="D391" s="33" t="n">
        <v>22200</v>
      </c>
      <c r="E391" s="33" t="n">
        <v>22200</v>
      </c>
      <c r="F391" s="33" t="n">
        <v>21850.8515625</v>
      </c>
      <c r="G391" s="33" t="n">
        <v>276139</v>
      </c>
      <c r="H391" s="38" t="n">
        <v>-0.03056768558951961</v>
      </c>
      <c r="I391" s="38" t="n">
        <v>-0.5647058823529412</v>
      </c>
      <c r="J391" s="33" t="n">
        <v>21990</v>
      </c>
      <c r="K391" s="33" t="n">
        <v>23773.33333333333</v>
      </c>
      <c r="L391" s="33" t="n">
        <v>27643.33333333333</v>
      </c>
      <c r="M391" s="38" t="n">
        <v>0.5285531764325658</v>
      </c>
      <c r="N391" s="38" t="n">
        <v>0.5139383365730688</v>
      </c>
      <c r="O391" s="38" t="n">
        <v>0.01369863013698636</v>
      </c>
      <c r="P391" s="38" t="n">
        <v>-0.1882998171846435</v>
      </c>
      <c r="Q391" s="38" t="n">
        <v>-0.4293059125964011</v>
      </c>
      <c r="R391" s="38" t="n">
        <v>0.009549795361528002</v>
      </c>
      <c r="S391" s="38" t="n">
        <v>-0.06618059450364544</v>
      </c>
      <c r="T391" s="38" t="n">
        <v>-0.1969130592065597</v>
      </c>
      <c r="U391" s="33" t="n">
        <v>50100</v>
      </c>
      <c r="V391" s="33" t="n">
        <v>20400</v>
      </c>
      <c r="W391" s="38" t="n">
        <v>-0.5568862275449102</v>
      </c>
      <c r="X391" s="38" t="n">
        <v>0.08823529411764697</v>
      </c>
      <c r="Y391" s="33" t="n">
        <v>51414494</v>
      </c>
      <c r="Z391" s="33" t="n">
        <v>1141401766800</v>
      </c>
      <c r="AA391" s="33" t="n">
        <v>6130285800</v>
      </c>
      <c r="AB391" s="33" t="n">
        <v>9587656762.5</v>
      </c>
      <c r="AC391" s="38" t="n">
        <v>0.005370839592430882</v>
      </c>
      <c r="AD391" s="27" t="inlineStr">
        <is>
          <t>yfinance_download</t>
        </is>
      </c>
      <c r="AE391" s="27" t="inlineStr">
        <is>
          <t>005290.KQ</t>
        </is>
      </c>
    </row>
    <row r="392" ht="24" customHeight="1">
      <c r="A392" s="32" t="inlineStr">
        <is>
          <t>2025-01-14</t>
        </is>
      </c>
      <c r="B392" s="34" t="n">
        <v>22450</v>
      </c>
      <c r="C392" s="34" t="n">
        <v>22550</v>
      </c>
      <c r="D392" s="34" t="n">
        <v>21950</v>
      </c>
      <c r="E392" s="34" t="n">
        <v>22500</v>
      </c>
      <c r="F392" s="34" t="n">
        <v>22146.1328125</v>
      </c>
      <c r="G392" s="34" t="n">
        <v>191241</v>
      </c>
      <c r="H392" s="39" t="n">
        <v>0.0135135135135136</v>
      </c>
      <c r="I392" s="39" t="n">
        <v>-0.5588235294117647</v>
      </c>
      <c r="J392" s="34" t="n">
        <v>22007.5</v>
      </c>
      <c r="K392" s="34" t="n">
        <v>23689.16666666667</v>
      </c>
      <c r="L392" s="34" t="n">
        <v>27509.16666666667</v>
      </c>
      <c r="M392" s="39" t="n">
        <v>0.5291430355392122</v>
      </c>
      <c r="N392" s="39" t="n">
        <v>0.5146242862216144</v>
      </c>
      <c r="O392" s="39" t="n">
        <v>0.01580135440180586</v>
      </c>
      <c r="P392" s="39" t="n">
        <v>-0.1833030852994555</v>
      </c>
      <c r="Q392" s="39" t="n">
        <v>-0.417098445595855</v>
      </c>
      <c r="R392" s="39" t="n">
        <v>0.02237873452232186</v>
      </c>
      <c r="S392" s="39" t="n">
        <v>-0.05019875470503399</v>
      </c>
      <c r="T392" s="39" t="n">
        <v>-0.1820908182121111</v>
      </c>
      <c r="U392" s="34" t="n">
        <v>50100</v>
      </c>
      <c r="V392" s="34" t="n">
        <v>20400</v>
      </c>
      <c r="W392" s="39" t="n">
        <v>-0.5508982035928144</v>
      </c>
      <c r="X392" s="39" t="n">
        <v>0.1029411764705883</v>
      </c>
      <c r="Y392" s="34" t="n">
        <v>51414494</v>
      </c>
      <c r="Z392" s="34" t="n">
        <v>1156826115000</v>
      </c>
      <c r="AA392" s="34" t="n">
        <v>4302922500</v>
      </c>
      <c r="AB392" s="34" t="n">
        <v>9241908405</v>
      </c>
      <c r="AC392" s="39" t="n">
        <v>0.003719593155968821</v>
      </c>
      <c r="AD392" s="32" t="inlineStr">
        <is>
          <t>yfinance_download</t>
        </is>
      </c>
      <c r="AE392" s="32" t="inlineStr">
        <is>
          <t>005290.KQ</t>
        </is>
      </c>
    </row>
    <row r="393" ht="24" customHeight="1">
      <c r="A393" s="27" t="inlineStr">
        <is>
          <t>2025-01-15</t>
        </is>
      </c>
      <c r="B393" s="33" t="n">
        <v>22600</v>
      </c>
      <c r="C393" s="33" t="n">
        <v>23150</v>
      </c>
      <c r="D393" s="33" t="n">
        <v>22250</v>
      </c>
      <c r="E393" s="33" t="n">
        <v>22450</v>
      </c>
      <c r="F393" s="33" t="n">
        <v>22096.919921875</v>
      </c>
      <c r="G393" s="33" t="n">
        <v>255606</v>
      </c>
      <c r="H393" s="38" t="n">
        <v>-0.002222222222222237</v>
      </c>
      <c r="I393" s="38" t="n">
        <v>-0.5598039215686275</v>
      </c>
      <c r="J393" s="33" t="n">
        <v>22050</v>
      </c>
      <c r="K393" s="33" t="n">
        <v>23620</v>
      </c>
      <c r="L393" s="33" t="n">
        <v>27383.75</v>
      </c>
      <c r="M393" s="38" t="n">
        <v>0.5203439726545117</v>
      </c>
      <c r="N393" s="38" t="n">
        <v>0.5103853418365809</v>
      </c>
      <c r="O393" s="38" t="n">
        <v>0.03935185185185186</v>
      </c>
      <c r="P393" s="38" t="n">
        <v>-0.1560150375939849</v>
      </c>
      <c r="Q393" s="38" t="n">
        <v>-0.4013333333333333</v>
      </c>
      <c r="R393" s="38" t="n">
        <v>0.01814058956916109</v>
      </c>
      <c r="S393" s="38" t="n">
        <v>-0.04953429297205758</v>
      </c>
      <c r="T393" s="38" t="n">
        <v>-0.180170721687132</v>
      </c>
      <c r="U393" s="33" t="n">
        <v>50100</v>
      </c>
      <c r="V393" s="33" t="n">
        <v>20400</v>
      </c>
      <c r="W393" s="38" t="n">
        <v>-0.5518962075848304</v>
      </c>
      <c r="X393" s="38" t="n">
        <v>0.1004901960784315</v>
      </c>
      <c r="Y393" s="33" t="n">
        <v>51414494</v>
      </c>
      <c r="Z393" s="33" t="n">
        <v>1154255390300</v>
      </c>
      <c r="AA393" s="33" t="n">
        <v>5738354700</v>
      </c>
      <c r="AB393" s="33" t="n">
        <v>8745814260</v>
      </c>
      <c r="AC393" s="38" t="n">
        <v>0.004971477498154509</v>
      </c>
      <c r="AD393" s="27" t="inlineStr">
        <is>
          <t>yfinance_download</t>
        </is>
      </c>
      <c r="AE393" s="27" t="inlineStr">
        <is>
          <t>005290.KQ</t>
        </is>
      </c>
    </row>
    <row r="394" ht="24" customHeight="1">
      <c r="A394" s="32" t="inlineStr">
        <is>
          <t>2025-01-16</t>
        </is>
      </c>
      <c r="B394" s="34" t="n">
        <v>22950</v>
      </c>
      <c r="C394" s="34" t="n">
        <v>23200</v>
      </c>
      <c r="D394" s="34" t="n">
        <v>22550</v>
      </c>
      <c r="E394" s="34" t="n">
        <v>22600</v>
      </c>
      <c r="F394" s="34" t="n">
        <v>22244.560546875</v>
      </c>
      <c r="G394" s="34" t="n">
        <v>323097</v>
      </c>
      <c r="H394" s="39" t="n">
        <v>0.006681514476614803</v>
      </c>
      <c r="I394" s="39" t="n">
        <v>-0.5568627450980392</v>
      </c>
      <c r="J394" s="34" t="n">
        <v>22062.5</v>
      </c>
      <c r="K394" s="34" t="n">
        <v>23542.5</v>
      </c>
      <c r="L394" s="34" t="n">
        <v>27259.16666666667</v>
      </c>
      <c r="M394" s="39" t="n">
        <v>0.5066068956256492</v>
      </c>
      <c r="N394" s="39" t="n">
        <v>0.5077002861638059</v>
      </c>
      <c r="O394" s="39" t="n">
        <v>0.01118568232662187</v>
      </c>
      <c r="P394" s="39" t="n">
        <v>-0.1706422018348623</v>
      </c>
      <c r="Q394" s="39" t="n">
        <v>-0.3981358189081226</v>
      </c>
      <c r="R394" s="39" t="n">
        <v>0.02436260623229458</v>
      </c>
      <c r="S394" s="39" t="n">
        <v>-0.04003398109801426</v>
      </c>
      <c r="T394" s="39" t="n">
        <v>-0.1709210968787258</v>
      </c>
      <c r="U394" s="34" t="n">
        <v>50100</v>
      </c>
      <c r="V394" s="34" t="n">
        <v>20400</v>
      </c>
      <c r="W394" s="39" t="n">
        <v>-0.5489021956087825</v>
      </c>
      <c r="X394" s="39" t="n">
        <v>0.107843137254902</v>
      </c>
      <c r="Y394" s="34" t="n">
        <v>51414494</v>
      </c>
      <c r="Z394" s="34" t="n">
        <v>1161967564400</v>
      </c>
      <c r="AA394" s="34" t="n">
        <v>7301992200</v>
      </c>
      <c r="AB394" s="34" t="n">
        <v>8533103790</v>
      </c>
      <c r="AC394" s="39" t="n">
        <v>0.006284161816315843</v>
      </c>
      <c r="AD394" s="32" t="inlineStr">
        <is>
          <t>yfinance_download</t>
        </is>
      </c>
      <c r="AE394" s="32" t="inlineStr">
        <is>
          <t>005290.KQ</t>
        </is>
      </c>
    </row>
    <row r="395" ht="24" customHeight="1">
      <c r="A395" s="27" t="inlineStr">
        <is>
          <t>2025-01-17</t>
        </is>
      </c>
      <c r="B395" s="33" t="n">
        <v>22600</v>
      </c>
      <c r="C395" s="33" t="n">
        <v>23000</v>
      </c>
      <c r="D395" s="33" t="n">
        <v>22400</v>
      </c>
      <c r="E395" s="33" t="n">
        <v>22950</v>
      </c>
      <c r="F395" s="33" t="n">
        <v>22589.056640625</v>
      </c>
      <c r="G395" s="33" t="n">
        <v>340939</v>
      </c>
      <c r="H395" s="38" t="n">
        <v>0.01548672566371678</v>
      </c>
      <c r="I395" s="38" t="n">
        <v>-0.55</v>
      </c>
      <c r="J395" s="33" t="n">
        <v>22125</v>
      </c>
      <c r="K395" s="33" t="n">
        <v>23486.66666666667</v>
      </c>
      <c r="L395" s="33" t="n">
        <v>27137.08333333333</v>
      </c>
      <c r="M395" s="38" t="n">
        <v>0.4960572683434651</v>
      </c>
      <c r="N395" s="38" t="n">
        <v>0.5045158597781978</v>
      </c>
      <c r="O395" s="38" t="n">
        <v>0.05760368663594462</v>
      </c>
      <c r="P395" s="38" t="n">
        <v>-0.1273764258555133</v>
      </c>
      <c r="Q395" s="38" t="n">
        <v>-0.3896276595744681</v>
      </c>
      <c r="R395" s="38" t="n">
        <v>0.03728813559322042</v>
      </c>
      <c r="S395" s="38" t="n">
        <v>-0.02284984388305422</v>
      </c>
      <c r="T395" s="38" t="n">
        <v>-0.1542937861782001</v>
      </c>
      <c r="U395" s="33" t="n">
        <v>50100</v>
      </c>
      <c r="V395" s="33" t="n">
        <v>20400</v>
      </c>
      <c r="W395" s="38" t="n">
        <v>-0.5419161676646707</v>
      </c>
      <c r="X395" s="38" t="n">
        <v>0.125</v>
      </c>
      <c r="Y395" s="33" t="n">
        <v>51414494</v>
      </c>
      <c r="Z395" s="33" t="n">
        <v>1179962637300</v>
      </c>
      <c r="AA395" s="33" t="n">
        <v>7824550050</v>
      </c>
      <c r="AB395" s="33" t="n">
        <v>8293165092.5</v>
      </c>
      <c r="AC395" s="38" t="n">
        <v>0.00663118458386462</v>
      </c>
      <c r="AD395" s="27" t="inlineStr">
        <is>
          <t>yfinance_download</t>
        </is>
      </c>
      <c r="AE395" s="27" t="inlineStr">
        <is>
          <t>005290.KQ</t>
        </is>
      </c>
    </row>
    <row r="396" ht="24" customHeight="1">
      <c r="A396" s="32" t="inlineStr">
        <is>
          <t>2025-01-20</t>
        </is>
      </c>
      <c r="B396" s="34" t="n">
        <v>23200</v>
      </c>
      <c r="C396" s="34" t="n">
        <v>23200</v>
      </c>
      <c r="D396" s="34" t="n">
        <v>22600</v>
      </c>
      <c r="E396" s="34" t="n">
        <v>23050</v>
      </c>
      <c r="F396" s="34" t="n">
        <v>22687.484375</v>
      </c>
      <c r="G396" s="34" t="n">
        <v>318750</v>
      </c>
      <c r="H396" s="39" t="n">
        <v>0.004357298474945592</v>
      </c>
      <c r="I396" s="39" t="n">
        <v>-0.5480392156862746</v>
      </c>
      <c r="J396" s="34" t="n">
        <v>22160</v>
      </c>
      <c r="K396" s="34" t="n">
        <v>23415</v>
      </c>
      <c r="L396" s="34" t="n">
        <v>27025</v>
      </c>
      <c r="M396" s="39" t="n">
        <v>0.4860098912707813</v>
      </c>
      <c r="N396" s="39" t="n">
        <v>0.4971724088942235</v>
      </c>
      <c r="O396" s="39" t="n">
        <v>0.03131991051454142</v>
      </c>
      <c r="P396" s="39" t="n">
        <v>-0.1572212065813529</v>
      </c>
      <c r="Q396" s="39" t="n">
        <v>-0.3684931506849315</v>
      </c>
      <c r="R396" s="39" t="n">
        <v>0.04016245487364611</v>
      </c>
      <c r="S396" s="39" t="n">
        <v>-0.0155882980995089</v>
      </c>
      <c r="T396" s="39" t="n">
        <v>-0.1470860314523589</v>
      </c>
      <c r="U396" s="34" t="n">
        <v>50100</v>
      </c>
      <c r="V396" s="34" t="n">
        <v>20400</v>
      </c>
      <c r="W396" s="39" t="n">
        <v>-0.5399201596806387</v>
      </c>
      <c r="X396" s="39" t="n">
        <v>0.1299019607843137</v>
      </c>
      <c r="Y396" s="34" t="n">
        <v>51414494</v>
      </c>
      <c r="Z396" s="34" t="n">
        <v>1185104086700</v>
      </c>
      <c r="AA396" s="34" t="n">
        <v>7347187500</v>
      </c>
      <c r="AB396" s="34" t="n">
        <v>8318159345</v>
      </c>
      <c r="AC396" s="39" t="n">
        <v>0.006199613673140496</v>
      </c>
      <c r="AD396" s="32" t="inlineStr">
        <is>
          <t>yfinance_download</t>
        </is>
      </c>
      <c r="AE396" s="32" t="inlineStr">
        <is>
          <t>005290.KQ</t>
        </is>
      </c>
    </row>
    <row r="397" ht="24" customHeight="1">
      <c r="A397" s="27" t="inlineStr">
        <is>
          <t>2025-01-21</t>
        </is>
      </c>
      <c r="B397" s="33" t="n">
        <v>23200</v>
      </c>
      <c r="C397" s="33" t="n">
        <v>23550</v>
      </c>
      <c r="D397" s="33" t="n">
        <v>22550</v>
      </c>
      <c r="E397" s="33" t="n">
        <v>22950</v>
      </c>
      <c r="F397" s="33" t="n">
        <v>22589.056640625</v>
      </c>
      <c r="G397" s="33" t="n">
        <v>449403</v>
      </c>
      <c r="H397" s="38" t="n">
        <v>-0.004338394793926281</v>
      </c>
      <c r="I397" s="38" t="n">
        <v>-0.55</v>
      </c>
      <c r="J397" s="33" t="n">
        <v>22237.5</v>
      </c>
      <c r="K397" s="33" t="n">
        <v>23352.5</v>
      </c>
      <c r="L397" s="33" t="n">
        <v>26917.5</v>
      </c>
      <c r="M397" s="38" t="n">
        <v>0.4577316499083927</v>
      </c>
      <c r="N397" s="38" t="n">
        <v>0.495191107811032</v>
      </c>
      <c r="O397" s="38" t="n">
        <v>0.07242990654205617</v>
      </c>
      <c r="P397" s="38" t="n">
        <v>-0.1404494382022472</v>
      </c>
      <c r="Q397" s="38" t="n">
        <v>-0.3598326359832636</v>
      </c>
      <c r="R397" s="38" t="n">
        <v>0.03204047217537953</v>
      </c>
      <c r="S397" s="38" t="n">
        <v>-0.01723584198693928</v>
      </c>
      <c r="T397" s="38" t="n">
        <v>-0.1473948174979103</v>
      </c>
      <c r="U397" s="33" t="n">
        <v>50100</v>
      </c>
      <c r="V397" s="33" t="n">
        <v>20400</v>
      </c>
      <c r="W397" s="38" t="n">
        <v>-0.5419161676646707</v>
      </c>
      <c r="X397" s="38" t="n">
        <v>0.125</v>
      </c>
      <c r="Y397" s="33" t="n">
        <v>51414494</v>
      </c>
      <c r="Z397" s="33" t="n">
        <v>1179962637300</v>
      </c>
      <c r="AA397" s="33" t="n">
        <v>10313798850</v>
      </c>
      <c r="AB397" s="33" t="n">
        <v>8443248997.5</v>
      </c>
      <c r="AC397" s="38" t="n">
        <v>0.008740784262118771</v>
      </c>
      <c r="AD397" s="27" t="inlineStr">
        <is>
          <t>yfinance_download</t>
        </is>
      </c>
      <c r="AE397" s="27" t="inlineStr">
        <is>
          <t>005290.KQ</t>
        </is>
      </c>
    </row>
    <row r="398" ht="24" customHeight="1">
      <c r="A398" s="32" t="inlineStr">
        <is>
          <t>2025-01-22</t>
        </is>
      </c>
      <c r="B398" s="34" t="n">
        <v>23000</v>
      </c>
      <c r="C398" s="34" t="n">
        <v>23600</v>
      </c>
      <c r="D398" s="34" t="n">
        <v>22550</v>
      </c>
      <c r="E398" s="34" t="n">
        <v>23500</v>
      </c>
      <c r="F398" s="34" t="n">
        <v>23130.40625</v>
      </c>
      <c r="G398" s="34" t="n">
        <v>540983</v>
      </c>
      <c r="H398" s="39" t="n">
        <v>0.02396514161220042</v>
      </c>
      <c r="I398" s="39" t="n">
        <v>-0.5392156862745099</v>
      </c>
      <c r="J398" s="34" t="n">
        <v>22367.5</v>
      </c>
      <c r="K398" s="34" t="n">
        <v>23298.33333333333</v>
      </c>
      <c r="L398" s="34" t="n">
        <v>26813.33333333333</v>
      </c>
      <c r="M398" s="39" t="n">
        <v>0.4511360812894946</v>
      </c>
      <c r="N398" s="39" t="n">
        <v>0.4979991065935081</v>
      </c>
      <c r="O398" s="39" t="n">
        <v>0.1244019138755981</v>
      </c>
      <c r="P398" s="39" t="n">
        <v>-0.1214953271028038</v>
      </c>
      <c r="Q398" s="39" t="n">
        <v>-0.3472222222222222</v>
      </c>
      <c r="R398" s="39" t="n">
        <v>0.05063149659103616</v>
      </c>
      <c r="S398" s="39" t="n">
        <v>0.008655840904213452</v>
      </c>
      <c r="T398" s="39" t="n">
        <v>-0.1235703630034808</v>
      </c>
      <c r="U398" s="34" t="n">
        <v>50100</v>
      </c>
      <c r="V398" s="34" t="n">
        <v>20400</v>
      </c>
      <c r="W398" s="39" t="n">
        <v>-0.5309381237524951</v>
      </c>
      <c r="X398" s="39" t="n">
        <v>0.1519607843137254</v>
      </c>
      <c r="Y398" s="34" t="n">
        <v>51414494</v>
      </c>
      <c r="Z398" s="34" t="n">
        <v>1208240609000</v>
      </c>
      <c r="AA398" s="34" t="n">
        <v>12713100500</v>
      </c>
      <c r="AB398" s="34" t="n">
        <v>8782743707.5</v>
      </c>
      <c r="AC398" s="39" t="n">
        <v>0.01052199405093824</v>
      </c>
      <c r="AD398" s="32" t="inlineStr">
        <is>
          <t>yfinance_download</t>
        </is>
      </c>
      <c r="AE398" s="32" t="inlineStr">
        <is>
          <t>005290.KQ</t>
        </is>
      </c>
    </row>
    <row r="399" ht="24" customHeight="1">
      <c r="A399" s="27" t="inlineStr">
        <is>
          <t>2025-01-23</t>
        </is>
      </c>
      <c r="B399" s="33" t="n">
        <v>23600</v>
      </c>
      <c r="C399" s="33" t="n">
        <v>23650</v>
      </c>
      <c r="D399" s="33" t="n">
        <v>22600</v>
      </c>
      <c r="E399" s="33" t="n">
        <v>22600</v>
      </c>
      <c r="F399" s="33" t="n">
        <v>22244.560546875</v>
      </c>
      <c r="G399" s="33" t="n">
        <v>443208</v>
      </c>
      <c r="H399" s="38" t="n">
        <v>-0.03829787234042559</v>
      </c>
      <c r="I399" s="38" t="n">
        <v>-0.5568627450980392</v>
      </c>
      <c r="J399" s="33" t="n">
        <v>22420</v>
      </c>
      <c r="K399" s="33" t="n">
        <v>23221.66666666667</v>
      </c>
      <c r="L399" s="33" t="n">
        <v>26710</v>
      </c>
      <c r="M399" s="38" t="n">
        <v>0.4674134785014267</v>
      </c>
      <c r="N399" s="38" t="n">
        <v>0.5020500338796814</v>
      </c>
      <c r="O399" s="38" t="n">
        <v>0.04872389791183296</v>
      </c>
      <c r="P399" s="38" t="n">
        <v>-0.1691176470588235</v>
      </c>
      <c r="Q399" s="38" t="n">
        <v>-0.3542857142857143</v>
      </c>
      <c r="R399" s="38" t="n">
        <v>0.00802854594112401</v>
      </c>
      <c r="S399" s="38" t="n">
        <v>-0.0267709753821862</v>
      </c>
      <c r="T399" s="38" t="n">
        <v>-0.1538749532010483</v>
      </c>
      <c r="U399" s="33" t="n">
        <v>50100</v>
      </c>
      <c r="V399" s="33" t="n">
        <v>20400</v>
      </c>
      <c r="W399" s="38" t="n">
        <v>-0.5489021956087825</v>
      </c>
      <c r="X399" s="38" t="n">
        <v>0.107843137254902</v>
      </c>
      <c r="Y399" s="33" t="n">
        <v>51414494</v>
      </c>
      <c r="Z399" s="33" t="n">
        <v>1161967564400</v>
      </c>
      <c r="AA399" s="33" t="n">
        <v>10016500800</v>
      </c>
      <c r="AB399" s="33" t="n">
        <v>9011643305</v>
      </c>
      <c r="AC399" s="38" t="n">
        <v>0.008620292946965499</v>
      </c>
      <c r="AD399" s="27" t="inlineStr">
        <is>
          <t>yfinance_download</t>
        </is>
      </c>
      <c r="AE399" s="27" t="inlineStr">
        <is>
          <t>005290.KQ</t>
        </is>
      </c>
    </row>
    <row r="400" ht="24" customHeight="1">
      <c r="A400" s="32" t="inlineStr">
        <is>
          <t>2025-01-24</t>
        </is>
      </c>
      <c r="B400" s="34" t="n">
        <v>22850</v>
      </c>
      <c r="C400" s="34" t="n">
        <v>23350</v>
      </c>
      <c r="D400" s="34" t="n">
        <v>22600</v>
      </c>
      <c r="E400" s="34" t="n">
        <v>23150</v>
      </c>
      <c r="F400" s="34" t="n">
        <v>22785.91015625</v>
      </c>
      <c r="G400" s="34" t="n">
        <v>364167</v>
      </c>
      <c r="H400" s="39" t="n">
        <v>0.02433628318584069</v>
      </c>
      <c r="I400" s="39" t="n">
        <v>-0.5460784313725491</v>
      </c>
      <c r="J400" s="34" t="n">
        <v>22487.5</v>
      </c>
      <c r="K400" s="34" t="n">
        <v>23155</v>
      </c>
      <c r="L400" s="34" t="n">
        <v>26609.58333333333</v>
      </c>
      <c r="M400" s="39" t="n">
        <v>0.4727536772895832</v>
      </c>
      <c r="N400" s="39" t="n">
        <v>0.5050747637710958</v>
      </c>
      <c r="O400" s="39" t="n">
        <v>0.06192660550458706</v>
      </c>
      <c r="P400" s="39" t="n">
        <v>-0.147329650092081</v>
      </c>
      <c r="Q400" s="39" t="n">
        <v>-0.3423295454545454</v>
      </c>
      <c r="R400" s="39" t="n">
        <v>0.02946081156197877</v>
      </c>
      <c r="S400" s="39" t="n">
        <v>-0.0002159360829194767</v>
      </c>
      <c r="T400" s="39" t="n">
        <v>-0.1300126834004039</v>
      </c>
      <c r="U400" s="34" t="n">
        <v>50100</v>
      </c>
      <c r="V400" s="34" t="n">
        <v>20400</v>
      </c>
      <c r="W400" s="39" t="n">
        <v>-0.5379241516966068</v>
      </c>
      <c r="X400" s="39" t="n">
        <v>0.1348039215686274</v>
      </c>
      <c r="Y400" s="34" t="n">
        <v>51414494</v>
      </c>
      <c r="Z400" s="34" t="n">
        <v>1190245536100</v>
      </c>
      <c r="AA400" s="34" t="n">
        <v>8430466050</v>
      </c>
      <c r="AB400" s="34" t="n">
        <v>9153098737.5</v>
      </c>
      <c r="AC400" s="39" t="n">
        <v>0.007082963803942134</v>
      </c>
      <c r="AD400" s="32" t="inlineStr">
        <is>
          <t>yfinance_download</t>
        </is>
      </c>
      <c r="AE400" s="32" t="inlineStr">
        <is>
          <t>005290.KQ</t>
        </is>
      </c>
    </row>
    <row r="401" ht="24" customHeight="1">
      <c r="A401" s="27" t="inlineStr">
        <is>
          <t>2025-01-31</t>
        </is>
      </c>
      <c r="B401" s="33" t="n">
        <v>22900</v>
      </c>
      <c r="C401" s="33" t="n">
        <v>22900</v>
      </c>
      <c r="D401" s="33" t="n">
        <v>21700</v>
      </c>
      <c r="E401" s="33" t="n">
        <v>21900</v>
      </c>
      <c r="F401" s="33" t="n">
        <v>21555.5703125</v>
      </c>
      <c r="G401" s="33" t="n">
        <v>665494</v>
      </c>
      <c r="H401" s="38" t="n">
        <v>-0.05399568034557234</v>
      </c>
      <c r="I401" s="38" t="n">
        <v>-0.5705882352941176</v>
      </c>
      <c r="J401" s="33" t="n">
        <v>22530</v>
      </c>
      <c r="K401" s="33" t="n">
        <v>23076.66666666667</v>
      </c>
      <c r="L401" s="33" t="n">
        <v>26495</v>
      </c>
      <c r="M401" s="38" t="n">
        <v>0.4979882119915934</v>
      </c>
      <c r="N401" s="38" t="n">
        <v>0.5148764784432532</v>
      </c>
      <c r="O401" s="38" t="n">
        <v>0.04038004750593815</v>
      </c>
      <c r="P401" s="38" t="n">
        <v>-0.1766917293233082</v>
      </c>
      <c r="Q401" s="38" t="n">
        <v>-0.3856942496493688</v>
      </c>
      <c r="R401" s="38" t="n">
        <v>-0.0279627163781625</v>
      </c>
      <c r="S401" s="38" t="n">
        <v>-0.05098945543839384</v>
      </c>
      <c r="T401" s="38" t="n">
        <v>-0.1734289488582752</v>
      </c>
      <c r="U401" s="33" t="n">
        <v>50100</v>
      </c>
      <c r="V401" s="33" t="n">
        <v>20400</v>
      </c>
      <c r="W401" s="38" t="n">
        <v>-0.562874251497006</v>
      </c>
      <c r="X401" s="38" t="n">
        <v>0.07352941176470584</v>
      </c>
      <c r="Y401" s="33" t="n">
        <v>51414494</v>
      </c>
      <c r="Z401" s="33" t="n">
        <v>1125977418600</v>
      </c>
      <c r="AA401" s="33" t="n">
        <v>14574318600</v>
      </c>
      <c r="AB401" s="33" t="n">
        <v>9600027790</v>
      </c>
      <c r="AC401" s="38" t="n">
        <v>0.01294370416248772</v>
      </c>
      <c r="AD401" s="27" t="inlineStr">
        <is>
          <t>yfinance_download</t>
        </is>
      </c>
      <c r="AE401" s="27" t="inlineStr">
        <is>
          <t>005290.KQ</t>
        </is>
      </c>
    </row>
    <row r="402" ht="24" customHeight="1">
      <c r="A402" s="32" t="inlineStr">
        <is>
          <t>2025-02-03</t>
        </is>
      </c>
      <c r="B402" s="34" t="n">
        <v>21350</v>
      </c>
      <c r="C402" s="34" t="n">
        <v>21350</v>
      </c>
      <c r="D402" s="34" t="n">
        <v>20550</v>
      </c>
      <c r="E402" s="34" t="n">
        <v>20750</v>
      </c>
      <c r="F402" s="34" t="n">
        <v>20423.65625</v>
      </c>
      <c r="G402" s="34" t="n">
        <v>472238</v>
      </c>
      <c r="H402" s="39" t="n">
        <v>-0.05251141552511418</v>
      </c>
      <c r="I402" s="39" t="n">
        <v>-0.5931372549019608</v>
      </c>
      <c r="J402" s="34" t="n">
        <v>22532.5</v>
      </c>
      <c r="K402" s="34" t="n">
        <v>22971.66666666667</v>
      </c>
      <c r="L402" s="34" t="n">
        <v>26377.5</v>
      </c>
      <c r="M402" s="39" t="n">
        <v>0.5313867464084043</v>
      </c>
      <c r="N402" s="39" t="n">
        <v>0.5231605783060025</v>
      </c>
      <c r="O402" s="39" t="n">
        <v>0.002415458937198078</v>
      </c>
      <c r="P402" s="39" t="n">
        <v>-0.232902033271719</v>
      </c>
      <c r="Q402" s="39" t="n">
        <v>-0.4045911047345767</v>
      </c>
      <c r="R402" s="39" t="n">
        <v>-0.07910795517585711</v>
      </c>
      <c r="S402" s="39" t="n">
        <v>-0.09671334252339847</v>
      </c>
      <c r="T402" s="39" t="n">
        <v>-0.2133447066628755</v>
      </c>
      <c r="U402" s="34" t="n">
        <v>50100</v>
      </c>
      <c r="V402" s="34" t="n">
        <v>20400</v>
      </c>
      <c r="W402" s="39" t="n">
        <v>-0.5858283433133733</v>
      </c>
      <c r="X402" s="39" t="n">
        <v>0.01715686274509798</v>
      </c>
      <c r="Y402" s="34" t="n">
        <v>51414494</v>
      </c>
      <c r="Z402" s="34" t="n">
        <v>1066850750500</v>
      </c>
      <c r="AA402" s="34" t="n">
        <v>9798938500</v>
      </c>
      <c r="AB402" s="34" t="n">
        <v>9808000350</v>
      </c>
      <c r="AC402" s="39" t="n">
        <v>0.009184919723220461</v>
      </c>
      <c r="AD402" s="32" t="inlineStr">
        <is>
          <t>yfinance_download</t>
        </is>
      </c>
      <c r="AE402" s="32" t="inlineStr">
        <is>
          <t>005290.KQ</t>
        </is>
      </c>
    </row>
    <row r="403" ht="24" customHeight="1">
      <c r="A403" s="27" t="inlineStr">
        <is>
          <t>2025-02-04</t>
        </is>
      </c>
      <c r="B403" s="33" t="n">
        <v>21200</v>
      </c>
      <c r="C403" s="33" t="n">
        <v>21900</v>
      </c>
      <c r="D403" s="33" t="n">
        <v>21000</v>
      </c>
      <c r="E403" s="33" t="n">
        <v>21400</v>
      </c>
      <c r="F403" s="33" t="n">
        <v>21063.43359375</v>
      </c>
      <c r="G403" s="33" t="n">
        <v>312160</v>
      </c>
      <c r="H403" s="38" t="n">
        <v>0.03132530120481936</v>
      </c>
      <c r="I403" s="38" t="n">
        <v>-0.580392156862745</v>
      </c>
      <c r="J403" s="33" t="n">
        <v>22557.5</v>
      </c>
      <c r="K403" s="33" t="n">
        <v>22884.16666666667</v>
      </c>
      <c r="L403" s="33" t="n">
        <v>26254.58333333333</v>
      </c>
      <c r="M403" s="38" t="n">
        <v>0.541722315954843</v>
      </c>
      <c r="N403" s="38" t="n">
        <v>0.5275697821453882</v>
      </c>
      <c r="O403" s="38" t="n">
        <v>0.02392344497607657</v>
      </c>
      <c r="P403" s="38" t="n">
        <v>-0.1969981238273921</v>
      </c>
      <c r="Q403" s="38" t="n">
        <v>-0.4080221300138313</v>
      </c>
      <c r="R403" s="38" t="n">
        <v>-0.05131331042890386</v>
      </c>
      <c r="S403" s="38" t="n">
        <v>-0.06485561341538915</v>
      </c>
      <c r="T403" s="38" t="n">
        <v>-0.1849042230721619</v>
      </c>
      <c r="U403" s="33" t="n">
        <v>50100</v>
      </c>
      <c r="V403" s="33" t="n">
        <v>20400</v>
      </c>
      <c r="W403" s="38" t="n">
        <v>-0.5728542914171657</v>
      </c>
      <c r="X403" s="38" t="n">
        <v>0.0490196078431373</v>
      </c>
      <c r="Y403" s="33" t="n">
        <v>51414494</v>
      </c>
      <c r="Z403" s="33" t="n">
        <v>1100270171600</v>
      </c>
      <c r="AA403" s="33" t="n">
        <v>6680224000</v>
      </c>
      <c r="AB403" s="33" t="n">
        <v>10005537685</v>
      </c>
      <c r="AC403" s="38" t="n">
        <v>0.006071439699474626</v>
      </c>
      <c r="AD403" s="27" t="inlineStr">
        <is>
          <t>yfinance_download</t>
        </is>
      </c>
      <c r="AE403" s="27" t="inlineStr">
        <is>
          <t>005290.KQ</t>
        </is>
      </c>
    </row>
    <row r="404" ht="24" customHeight="1">
      <c r="A404" s="32" t="inlineStr">
        <is>
          <t>2025-02-05</t>
        </is>
      </c>
      <c r="B404" s="34" t="n">
        <v>21600</v>
      </c>
      <c r="C404" s="34" t="n">
        <v>22050</v>
      </c>
      <c r="D404" s="34" t="n">
        <v>21550</v>
      </c>
      <c r="E404" s="34" t="n">
        <v>21650</v>
      </c>
      <c r="F404" s="34" t="n">
        <v>21309.501953125</v>
      </c>
      <c r="G404" s="34" t="n">
        <v>300325</v>
      </c>
      <c r="H404" s="39" t="n">
        <v>0.01168224299065423</v>
      </c>
      <c r="I404" s="39" t="n">
        <v>-0.5754901960784313</v>
      </c>
      <c r="J404" s="34" t="n">
        <v>22590</v>
      </c>
      <c r="K404" s="34" t="n">
        <v>22790.83333333333</v>
      </c>
      <c r="L404" s="34" t="n">
        <v>26134.58333333333</v>
      </c>
      <c r="M404" s="39" t="n">
        <v>0.5427896668340134</v>
      </c>
      <c r="N404" s="39" t="n">
        <v>0.5257868926778217</v>
      </c>
      <c r="O404" s="39" t="n">
        <v>0.03095238095238084</v>
      </c>
      <c r="P404" s="39" t="n">
        <v>-0.2055045871559633</v>
      </c>
      <c r="Q404" s="39" t="n">
        <v>-0.3994452149791956</v>
      </c>
      <c r="R404" s="39" t="n">
        <v>-0.04161133244798587</v>
      </c>
      <c r="S404" s="39" t="n">
        <v>-0.05005667483271781</v>
      </c>
      <c r="T404" s="39" t="n">
        <v>-0.1715957463769271</v>
      </c>
      <c r="U404" s="34" t="n">
        <v>50100</v>
      </c>
      <c r="V404" s="34" t="n">
        <v>20400</v>
      </c>
      <c r="W404" s="39" t="n">
        <v>-0.5678642714570858</v>
      </c>
      <c r="X404" s="39" t="n">
        <v>0.06127450980392157</v>
      </c>
      <c r="Y404" s="34" t="n">
        <v>51414494</v>
      </c>
      <c r="Z404" s="34" t="n">
        <v>1113123795100</v>
      </c>
      <c r="AA404" s="34" t="n">
        <v>6502036250</v>
      </c>
      <c r="AB404" s="34" t="n">
        <v>10171066797.5</v>
      </c>
      <c r="AC404" s="39" t="n">
        <v>0.005841251690622493</v>
      </c>
      <c r="AD404" s="32" t="inlineStr">
        <is>
          <t>yfinance_download</t>
        </is>
      </c>
      <c r="AE404" s="32" t="inlineStr">
        <is>
          <t>005290.KQ</t>
        </is>
      </c>
    </row>
    <row r="405" ht="24" customHeight="1">
      <c r="A405" s="27" t="inlineStr">
        <is>
          <t>2025-02-06</t>
        </is>
      </c>
      <c r="B405" s="33" t="n">
        <v>21950</v>
      </c>
      <c r="C405" s="33" t="n">
        <v>22200</v>
      </c>
      <c r="D405" s="33" t="n">
        <v>21650</v>
      </c>
      <c r="E405" s="33" t="n">
        <v>22100</v>
      </c>
      <c r="F405" s="33" t="n">
        <v>21752.423828125</v>
      </c>
      <c r="G405" s="33" t="n">
        <v>252909</v>
      </c>
      <c r="H405" s="38" t="n">
        <v>0.02078521939953815</v>
      </c>
      <c r="I405" s="38" t="n">
        <v>-0.5666666666666667</v>
      </c>
      <c r="J405" s="33" t="n">
        <v>22585</v>
      </c>
      <c r="K405" s="33" t="n">
        <v>22710</v>
      </c>
      <c r="L405" s="33" t="n">
        <v>26033.75</v>
      </c>
      <c r="M405" s="38" t="n">
        <v>0.5081054251508028</v>
      </c>
      <c r="N405" s="38" t="n">
        <v>0.5278263395006542</v>
      </c>
      <c r="O405" s="38" t="n">
        <v>-0.004504504504504458</v>
      </c>
      <c r="P405" s="38" t="n">
        <v>-0.1799628942486086</v>
      </c>
      <c r="Q405" s="38" t="n">
        <v>-0.3538011695906432</v>
      </c>
      <c r="R405" s="38" t="n">
        <v>-0.02147442993137039</v>
      </c>
      <c r="S405" s="38" t="n">
        <v>-0.02686041391457505</v>
      </c>
      <c r="T405" s="38" t="n">
        <v>-0.1511019349882364</v>
      </c>
      <c r="U405" s="33" t="n">
        <v>50100</v>
      </c>
      <c r="V405" s="33" t="n">
        <v>20400</v>
      </c>
      <c r="W405" s="38" t="n">
        <v>-0.5588822355289421</v>
      </c>
      <c r="X405" s="38" t="n">
        <v>0.08333333333333326</v>
      </c>
      <c r="Y405" s="33" t="n">
        <v>51414494</v>
      </c>
      <c r="Z405" s="33" t="n">
        <v>1136260317400</v>
      </c>
      <c r="AA405" s="33" t="n">
        <v>5589288900</v>
      </c>
      <c r="AB405" s="33" t="n">
        <v>9730103502.5</v>
      </c>
      <c r="AC405" s="38" t="n">
        <v>0.004919021472816595</v>
      </c>
      <c r="AD405" s="27" t="inlineStr">
        <is>
          <t>yfinance_download</t>
        </is>
      </c>
      <c r="AE405" s="27" t="inlineStr">
        <is>
          <t>005290.KQ</t>
        </is>
      </c>
    </row>
    <row r="406" ht="24" customHeight="1">
      <c r="A406" s="32" t="inlineStr">
        <is>
          <t>2025-02-07</t>
        </is>
      </c>
      <c r="B406" s="34" t="n">
        <v>22250</v>
      </c>
      <c r="C406" s="34" t="n">
        <v>24750</v>
      </c>
      <c r="D406" s="34" t="n">
        <v>21950</v>
      </c>
      <c r="E406" s="34" t="n">
        <v>24100</v>
      </c>
      <c r="F406" s="34" t="n">
        <v>23720.96875</v>
      </c>
      <c r="G406" s="34" t="n">
        <v>1674074</v>
      </c>
      <c r="H406" s="39" t="n">
        <v>0.09049773755656099</v>
      </c>
      <c r="I406" s="39" t="n">
        <v>-0.5274509803921569</v>
      </c>
      <c r="J406" s="34" t="n">
        <v>22637.5</v>
      </c>
      <c r="K406" s="34" t="n">
        <v>22627.5</v>
      </c>
      <c r="L406" s="34" t="n">
        <v>25987.5</v>
      </c>
      <c r="M406" s="39" t="n">
        <v>0.587520937683924</v>
      </c>
      <c r="N406" s="39" t="n">
        <v>0.5365930174470739</v>
      </c>
      <c r="O406" s="39" t="n">
        <v>0.04555314533622568</v>
      </c>
      <c r="P406" s="39" t="n">
        <v>-0.1703958691910499</v>
      </c>
      <c r="Q406" s="39" t="n">
        <v>-0.1871838111298483</v>
      </c>
      <c r="R406" s="39" t="n">
        <v>0.06460519050248492</v>
      </c>
      <c r="S406" s="39" t="n">
        <v>0.06507568224505578</v>
      </c>
      <c r="T406" s="39" t="n">
        <v>-0.0726310726310726</v>
      </c>
      <c r="U406" s="34" t="n">
        <v>50100</v>
      </c>
      <c r="V406" s="34" t="n">
        <v>20400</v>
      </c>
      <c r="W406" s="39" t="n">
        <v>-0.5189620758483033</v>
      </c>
      <c r="X406" s="39" t="n">
        <v>0.1813725490196079</v>
      </c>
      <c r="Y406" s="34" t="n">
        <v>51414494</v>
      </c>
      <c r="Z406" s="34" t="n">
        <v>1239089305400</v>
      </c>
      <c r="AA406" s="34" t="n">
        <v>40345183400</v>
      </c>
      <c r="AB406" s="34" t="n">
        <v>10933083390</v>
      </c>
      <c r="AC406" s="39" t="n">
        <v>0.0325603515615655</v>
      </c>
      <c r="AD406" s="32" t="inlineStr">
        <is>
          <t>yfinance_download</t>
        </is>
      </c>
      <c r="AE406" s="32" t="inlineStr">
        <is>
          <t>005290.KQ</t>
        </is>
      </c>
    </row>
    <row r="407" ht="24" customHeight="1">
      <c r="A407" s="27" t="inlineStr">
        <is>
          <t>2025-02-10</t>
        </is>
      </c>
      <c r="B407" s="33" t="n">
        <v>23700</v>
      </c>
      <c r="C407" s="33" t="n">
        <v>25950</v>
      </c>
      <c r="D407" s="33" t="n">
        <v>23600</v>
      </c>
      <c r="E407" s="33" t="n">
        <v>25750</v>
      </c>
      <c r="F407" s="33" t="n">
        <v>25345.01953125</v>
      </c>
      <c r="G407" s="33" t="n">
        <v>1671337</v>
      </c>
      <c r="H407" s="38" t="n">
        <v>0.06846473029045641</v>
      </c>
      <c r="I407" s="38" t="n">
        <v>-0.4950980392156863</v>
      </c>
      <c r="J407" s="33" t="n">
        <v>22795</v>
      </c>
      <c r="K407" s="33" t="n">
        <v>22596.66666666667</v>
      </c>
      <c r="L407" s="33" t="n">
        <v>25938.75</v>
      </c>
      <c r="M407" s="38" t="n">
        <v>0.6248669501974619</v>
      </c>
      <c r="N407" s="38" t="n">
        <v>0.546709947845971</v>
      </c>
      <c r="O407" s="38" t="n">
        <v>0.1393805309734513</v>
      </c>
      <c r="P407" s="38" t="n">
        <v>-0.06702898550724634</v>
      </c>
      <c r="Q407" s="38" t="n">
        <v>-0.185126582278481</v>
      </c>
      <c r="R407" s="38" t="n">
        <v>0.1296336915990348</v>
      </c>
      <c r="S407" s="38" t="n">
        <v>0.1395486059890838</v>
      </c>
      <c r="T407" s="38" t="n">
        <v>-0.007276757746614626</v>
      </c>
      <c r="U407" s="33" t="n">
        <v>50100</v>
      </c>
      <c r="V407" s="33" t="n">
        <v>20400</v>
      </c>
      <c r="W407" s="38" t="n">
        <v>-0.4860279441117764</v>
      </c>
      <c r="X407" s="38" t="n">
        <v>0.2622549019607843</v>
      </c>
      <c r="Y407" s="33" t="n">
        <v>51414494</v>
      </c>
      <c r="Z407" s="33" t="n">
        <v>1323923220500</v>
      </c>
      <c r="AA407" s="33" t="n">
        <v>43036927750</v>
      </c>
      <c r="AB407" s="33" t="n">
        <v>12523415827.5</v>
      </c>
      <c r="AC407" s="38" t="n">
        <v>0.03250711754549213</v>
      </c>
      <c r="AD407" s="27" t="inlineStr">
        <is>
          <t>yfinance_download</t>
        </is>
      </c>
      <c r="AE407" s="27" t="inlineStr">
        <is>
          <t>005290.KQ</t>
        </is>
      </c>
    </row>
    <row r="408" ht="24" customHeight="1">
      <c r="A408" s="32" t="inlineStr">
        <is>
          <t>2025-02-11</t>
        </is>
      </c>
      <c r="B408" s="34" t="n">
        <v>26100</v>
      </c>
      <c r="C408" s="34" t="n">
        <v>28250</v>
      </c>
      <c r="D408" s="34" t="n">
        <v>25700</v>
      </c>
      <c r="E408" s="34" t="n">
        <v>26400</v>
      </c>
      <c r="F408" s="34" t="n">
        <v>25984.796875</v>
      </c>
      <c r="G408" s="34" t="n">
        <v>2192218</v>
      </c>
      <c r="H408" s="39" t="n">
        <v>0.02524271844660197</v>
      </c>
      <c r="I408" s="39" t="n">
        <v>-0.4823529411764705</v>
      </c>
      <c r="J408" s="34" t="n">
        <v>22907.5</v>
      </c>
      <c r="K408" s="34" t="n">
        <v>22599.16666666667</v>
      </c>
      <c r="L408" s="34" t="n">
        <v>25890</v>
      </c>
      <c r="M408" s="39" t="n">
        <v>0.5862055825728081</v>
      </c>
      <c r="N408" s="39" t="n">
        <v>0.5397851833166969</v>
      </c>
      <c r="O408" s="39" t="n">
        <v>0.0931677018633541</v>
      </c>
      <c r="P408" s="39" t="n">
        <v>0.005714285714285783</v>
      </c>
      <c r="Q408" s="39" t="n">
        <v>-0.1813953488372093</v>
      </c>
      <c r="R408" s="39" t="n">
        <v>0.1524609843937574</v>
      </c>
      <c r="S408" s="39" t="n">
        <v>0.168184667576238</v>
      </c>
      <c r="T408" s="39" t="n">
        <v>0.01969872537659323</v>
      </c>
      <c r="U408" s="34" t="n">
        <v>50100</v>
      </c>
      <c r="V408" s="34" t="n">
        <v>20400</v>
      </c>
      <c r="W408" s="39" t="n">
        <v>-0.4730538922155688</v>
      </c>
      <c r="X408" s="39" t="n">
        <v>0.2941176470588236</v>
      </c>
      <c r="Y408" s="34" t="n">
        <v>51414494</v>
      </c>
      <c r="Z408" s="34" t="n">
        <v>1357342641600</v>
      </c>
      <c r="AA408" s="34" t="n">
        <v>57874555200</v>
      </c>
      <c r="AB408" s="34" t="n">
        <v>14341333537.5</v>
      </c>
      <c r="AC408" s="39" t="n">
        <v>0.04263813235232851</v>
      </c>
      <c r="AD408" s="32" t="inlineStr">
        <is>
          <t>yfinance_download</t>
        </is>
      </c>
      <c r="AE408" s="32" t="inlineStr">
        <is>
          <t>005290.KQ</t>
        </is>
      </c>
    </row>
    <row r="409" ht="24" customHeight="1">
      <c r="A409" s="27" t="inlineStr">
        <is>
          <t>2025-02-12</t>
        </is>
      </c>
      <c r="B409" s="33" t="n">
        <v>26200</v>
      </c>
      <c r="C409" s="33" t="n">
        <v>27150</v>
      </c>
      <c r="D409" s="33" t="n">
        <v>26000</v>
      </c>
      <c r="E409" s="33" t="n">
        <v>26600</v>
      </c>
      <c r="F409" s="33" t="n">
        <v>26181.650390625</v>
      </c>
      <c r="G409" s="33" t="n">
        <v>692846</v>
      </c>
      <c r="H409" s="38" t="n">
        <v>0.007575757575757569</v>
      </c>
      <c r="I409" s="38" t="n">
        <v>-0.4784313725490196</v>
      </c>
      <c r="J409" s="33" t="n">
        <v>23075</v>
      </c>
      <c r="K409" s="33" t="n">
        <v>22634.16666666667</v>
      </c>
      <c r="L409" s="33" t="n">
        <v>25850.83333333333</v>
      </c>
      <c r="M409" s="38" t="n">
        <v>0.56442251023125</v>
      </c>
      <c r="N409" s="38" t="n">
        <v>0.5213628816197785</v>
      </c>
      <c r="O409" s="38" t="n">
        <v>0.1440860215053763</v>
      </c>
      <c r="P409" s="38" t="n">
        <v>0.08571428571428563</v>
      </c>
      <c r="Q409" s="38" t="n">
        <v>-0.1501597444089456</v>
      </c>
      <c r="R409" s="38" t="n">
        <v>0.152762730227519</v>
      </c>
      <c r="S409" s="38" t="n">
        <v>0.1752144619123006</v>
      </c>
      <c r="T409" s="38" t="n">
        <v>0.02898036813771321</v>
      </c>
      <c r="U409" s="33" t="n">
        <v>50100</v>
      </c>
      <c r="V409" s="33" t="n">
        <v>20400</v>
      </c>
      <c r="W409" s="38" t="n">
        <v>-0.4690618762475049</v>
      </c>
      <c r="X409" s="38" t="n">
        <v>0.303921568627451</v>
      </c>
      <c r="Y409" s="33" t="n">
        <v>51414494</v>
      </c>
      <c r="Z409" s="33" t="n">
        <v>1367625540400</v>
      </c>
      <c r="AA409" s="33" t="n">
        <v>18429703600</v>
      </c>
      <c r="AB409" s="33" t="n">
        <v>14524356867.5</v>
      </c>
      <c r="AC409" s="38" t="n">
        <v>0.01347569422739043</v>
      </c>
      <c r="AD409" s="27" t="inlineStr">
        <is>
          <t>yfinance_download</t>
        </is>
      </c>
      <c r="AE409" s="27" t="inlineStr">
        <is>
          <t>005290.KQ</t>
        </is>
      </c>
    </row>
    <row r="410" ht="24" customHeight="1">
      <c r="A410" s="32" t="inlineStr">
        <is>
          <t>2025-02-13</t>
        </is>
      </c>
      <c r="B410" s="34" t="n">
        <v>27200</v>
      </c>
      <c r="C410" s="34" t="n">
        <v>27750</v>
      </c>
      <c r="D410" s="34" t="n">
        <v>26400</v>
      </c>
      <c r="E410" s="34" t="n">
        <v>26500</v>
      </c>
      <c r="F410" s="34" t="n">
        <v>26083.224609375</v>
      </c>
      <c r="G410" s="34" t="n">
        <v>765039</v>
      </c>
      <c r="H410" s="39" t="n">
        <v>-0.003759398496240629</v>
      </c>
      <c r="I410" s="39" t="n">
        <v>-0.4803921568627451</v>
      </c>
      <c r="J410" s="34" t="n">
        <v>23255</v>
      </c>
      <c r="K410" s="34" t="n">
        <v>22678.33333333333</v>
      </c>
      <c r="L410" s="34" t="n">
        <v>25800.41666666667</v>
      </c>
      <c r="M410" s="39" t="n">
        <v>0.5598830510203048</v>
      </c>
      <c r="N410" s="39" t="n">
        <v>0.5181382824801826</v>
      </c>
      <c r="O410" s="39" t="n">
        <v>0.1572052401746724</v>
      </c>
      <c r="P410" s="39" t="n">
        <v>0.1111111111111112</v>
      </c>
      <c r="Q410" s="39" t="n">
        <v>-0.1858678955453149</v>
      </c>
      <c r="R410" s="39" t="n">
        <v>0.1395398838959363</v>
      </c>
      <c r="S410" s="39" t="n">
        <v>0.1685162048945397</v>
      </c>
      <c r="T410" s="39" t="n">
        <v>0.02711519516803662</v>
      </c>
      <c r="U410" s="34" t="n">
        <v>50100</v>
      </c>
      <c r="V410" s="34" t="n">
        <v>20400</v>
      </c>
      <c r="W410" s="39" t="n">
        <v>-0.4710578842315369</v>
      </c>
      <c r="X410" s="39" t="n">
        <v>0.2990196078431373</v>
      </c>
      <c r="Y410" s="34" t="n">
        <v>51414494</v>
      </c>
      <c r="Z410" s="34" t="n">
        <v>1362484091000</v>
      </c>
      <c r="AA410" s="34" t="n">
        <v>20273533500</v>
      </c>
      <c r="AB410" s="34" t="n">
        <v>15161193432.5</v>
      </c>
      <c r="AC410" s="39" t="n">
        <v>0.01487983135650426</v>
      </c>
      <c r="AD410" s="32" t="inlineStr">
        <is>
          <t>yfinance_download</t>
        </is>
      </c>
      <c r="AE410" s="32" t="inlineStr">
        <is>
          <t>005290.KQ</t>
        </is>
      </c>
    </row>
    <row r="411" ht="24" customHeight="1">
      <c r="A411" s="27" t="inlineStr">
        <is>
          <t>2025-02-14</t>
        </is>
      </c>
      <c r="B411" s="33" t="n">
        <v>27100</v>
      </c>
      <c r="C411" s="33" t="n">
        <v>28150</v>
      </c>
      <c r="D411" s="33" t="n">
        <v>26450</v>
      </c>
      <c r="E411" s="33" t="n">
        <v>27450</v>
      </c>
      <c r="F411" s="33" t="n">
        <v>27018.283203125</v>
      </c>
      <c r="G411" s="33" t="n">
        <v>1006225</v>
      </c>
      <c r="H411" s="38" t="n">
        <v>0.03584905660377369</v>
      </c>
      <c r="I411" s="38" t="n">
        <v>-0.461764705882353</v>
      </c>
      <c r="J411" s="33" t="n">
        <v>23517.5</v>
      </c>
      <c r="K411" s="33" t="n">
        <v>22750.83333333333</v>
      </c>
      <c r="L411" s="33" t="n">
        <v>25757.5</v>
      </c>
      <c r="M411" s="38" t="n">
        <v>0.548870103889363</v>
      </c>
      <c r="N411" s="38" t="n">
        <v>0.5177851775631517</v>
      </c>
      <c r="O411" s="38" t="n">
        <v>0.2364864864864864</v>
      </c>
      <c r="P411" s="38" t="n">
        <v>0.1883116883116882</v>
      </c>
      <c r="Q411" s="38" t="n">
        <v>-0.1579754601226994</v>
      </c>
      <c r="R411" s="38" t="n">
        <v>0.1672159030509195</v>
      </c>
      <c r="S411" s="38" t="n">
        <v>0.2065492106516245</v>
      </c>
      <c r="T411" s="38" t="n">
        <v>0.06570901679122576</v>
      </c>
      <c r="U411" s="33" t="n">
        <v>50100</v>
      </c>
      <c r="V411" s="33" t="n">
        <v>20400</v>
      </c>
      <c r="W411" s="38" t="n">
        <v>-0.4520958083832335</v>
      </c>
      <c r="X411" s="38" t="n">
        <v>0.3455882352941178</v>
      </c>
      <c r="Y411" s="33" t="n">
        <v>51414494</v>
      </c>
      <c r="Z411" s="33" t="n">
        <v>1411327860300</v>
      </c>
      <c r="AA411" s="33" t="n">
        <v>27620876250</v>
      </c>
      <c r="AB411" s="33" t="n">
        <v>16235722955</v>
      </c>
      <c r="AC411" s="38" t="n">
        <v>0.01957084319452798</v>
      </c>
      <c r="AD411" s="27" t="inlineStr">
        <is>
          <t>yfinance_download</t>
        </is>
      </c>
      <c r="AE411" s="27" t="inlineStr">
        <is>
          <t>005290.KQ</t>
        </is>
      </c>
    </row>
    <row r="412" ht="24" customHeight="1">
      <c r="A412" s="32" t="inlineStr">
        <is>
          <t>2025-02-17</t>
        </is>
      </c>
      <c r="B412" s="34" t="n">
        <v>28000</v>
      </c>
      <c r="C412" s="34" t="n">
        <v>28000</v>
      </c>
      <c r="D412" s="34" t="n">
        <v>26900</v>
      </c>
      <c r="E412" s="34" t="n">
        <v>27100</v>
      </c>
      <c r="F412" s="34" t="n">
        <v>26673.787109375</v>
      </c>
      <c r="G412" s="34" t="n">
        <v>555878</v>
      </c>
      <c r="H412" s="39" t="n">
        <v>-0.01275045537340624</v>
      </c>
      <c r="I412" s="39" t="n">
        <v>-0.4686274509803922</v>
      </c>
      <c r="J412" s="34" t="n">
        <v>23747.5</v>
      </c>
      <c r="K412" s="34" t="n">
        <v>22826.66666666667</v>
      </c>
      <c r="L412" s="34" t="n">
        <v>25712.91666666667</v>
      </c>
      <c r="M412" s="39" t="n">
        <v>0.5553019550943761</v>
      </c>
      <c r="N412" s="39" t="n">
        <v>0.5157953229185892</v>
      </c>
      <c r="O412" s="39" t="n">
        <v>0.2044444444444444</v>
      </c>
      <c r="P412" s="39" t="n">
        <v>0.2017738359201773</v>
      </c>
      <c r="Q412" s="39" t="n">
        <v>-0.1648690292758089</v>
      </c>
      <c r="R412" s="39" t="n">
        <v>0.1411727550268449</v>
      </c>
      <c r="S412" s="39" t="n">
        <v>0.1872079439252337</v>
      </c>
      <c r="T412" s="39" t="n">
        <v>0.05394500170147953</v>
      </c>
      <c r="U412" s="34" t="n">
        <v>50100</v>
      </c>
      <c r="V412" s="34" t="n">
        <v>20400</v>
      </c>
      <c r="W412" s="39" t="n">
        <v>-0.4590818363273453</v>
      </c>
      <c r="X412" s="39" t="n">
        <v>0.3284313725490196</v>
      </c>
      <c r="Y412" s="34" t="n">
        <v>51414494</v>
      </c>
      <c r="Z412" s="34" t="n">
        <v>1393332787400</v>
      </c>
      <c r="AA412" s="34" t="n">
        <v>15064293800</v>
      </c>
      <c r="AB412" s="34" t="n">
        <v>16773791520</v>
      </c>
      <c r="AC412" s="39" t="n">
        <v>0.01081169835105253</v>
      </c>
      <c r="AD412" s="32" t="inlineStr">
        <is>
          <t>yfinance_download</t>
        </is>
      </c>
      <c r="AE412" s="32" t="inlineStr">
        <is>
          <t>005290.KQ</t>
        </is>
      </c>
    </row>
    <row r="413" ht="24" customHeight="1">
      <c r="A413" s="27" t="inlineStr">
        <is>
          <t>2025-02-18</t>
        </is>
      </c>
      <c r="B413" s="33" t="n">
        <v>27250</v>
      </c>
      <c r="C413" s="33" t="n">
        <v>28450</v>
      </c>
      <c r="D413" s="33" t="n">
        <v>26950</v>
      </c>
      <c r="E413" s="33" t="n">
        <v>27450</v>
      </c>
      <c r="F413" s="33" t="n">
        <v>27018.283203125</v>
      </c>
      <c r="G413" s="33" t="n">
        <v>665903</v>
      </c>
      <c r="H413" s="38" t="n">
        <v>0.01291512915129145</v>
      </c>
      <c r="I413" s="38" t="n">
        <v>-0.461764705882353</v>
      </c>
      <c r="J413" s="33" t="n">
        <v>23997.5</v>
      </c>
      <c r="K413" s="33" t="n">
        <v>22887.5</v>
      </c>
      <c r="L413" s="33" t="n">
        <v>25665.41666666667</v>
      </c>
      <c r="M413" s="38" t="n">
        <v>0.55350914035975</v>
      </c>
      <c r="N413" s="38" t="n">
        <v>0.5047826359574833</v>
      </c>
      <c r="O413" s="38" t="n">
        <v>0.22271714922049</v>
      </c>
      <c r="P413" s="38" t="n">
        <v>0.153361344537815</v>
      </c>
      <c r="Q413" s="38" t="n">
        <v>-0.1719457013574661</v>
      </c>
      <c r="R413" s="38" t="n">
        <v>0.1438691530367746</v>
      </c>
      <c r="S413" s="38" t="n">
        <v>0.1993446204259968</v>
      </c>
      <c r="T413" s="38" t="n">
        <v>0.06953260710748888</v>
      </c>
      <c r="U413" s="33" t="n">
        <v>50100</v>
      </c>
      <c r="V413" s="33" t="n">
        <v>20400</v>
      </c>
      <c r="W413" s="38" t="n">
        <v>-0.4520958083832335</v>
      </c>
      <c r="X413" s="38" t="n">
        <v>0.3455882352941178</v>
      </c>
      <c r="Y413" s="33" t="n">
        <v>51414494</v>
      </c>
      <c r="Z413" s="33" t="n">
        <v>1411327860300</v>
      </c>
      <c r="AA413" s="33" t="n">
        <v>18279037350</v>
      </c>
      <c r="AB413" s="33" t="n">
        <v>17400825652.5</v>
      </c>
      <c r="AC413" s="38" t="n">
        <v>0.01295165911775773</v>
      </c>
      <c r="AD413" s="27" t="inlineStr">
        <is>
          <t>yfinance_download</t>
        </is>
      </c>
      <c r="AE413" s="27" t="inlineStr">
        <is>
          <t>005290.KQ</t>
        </is>
      </c>
    </row>
    <row r="414" ht="24" customHeight="1">
      <c r="A414" s="32" t="inlineStr">
        <is>
          <t>2025-02-19</t>
        </is>
      </c>
      <c r="B414" s="34" t="n">
        <v>28100</v>
      </c>
      <c r="C414" s="34" t="n">
        <v>28850</v>
      </c>
      <c r="D414" s="34" t="n">
        <v>27700</v>
      </c>
      <c r="E414" s="34" t="n">
        <v>28150</v>
      </c>
      <c r="F414" s="34" t="n">
        <v>27707.2734375</v>
      </c>
      <c r="G414" s="34" t="n">
        <v>1060512</v>
      </c>
      <c r="H414" s="39" t="n">
        <v>0.02550091074681249</v>
      </c>
      <c r="I414" s="39" t="n">
        <v>-0.4480392156862745</v>
      </c>
      <c r="J414" s="34" t="n">
        <v>24275</v>
      </c>
      <c r="K414" s="34" t="n">
        <v>22965</v>
      </c>
      <c r="L414" s="34" t="n">
        <v>25620</v>
      </c>
      <c r="M414" s="39" t="n">
        <v>0.5557346767465382</v>
      </c>
      <c r="N414" s="39" t="n">
        <v>0.5058314873821916</v>
      </c>
      <c r="O414" s="39" t="n">
        <v>0.2455752212389382</v>
      </c>
      <c r="P414" s="39" t="n">
        <v>0.1978723404255318</v>
      </c>
      <c r="Q414" s="39" t="n">
        <v>-0.1622023809523809</v>
      </c>
      <c r="R414" s="39" t="n">
        <v>0.1596292481977344</v>
      </c>
      <c r="S414" s="39" t="n">
        <v>0.2257783583714348</v>
      </c>
      <c r="T414" s="39" t="n">
        <v>0.09875097580015613</v>
      </c>
      <c r="U414" s="34" t="n">
        <v>50100</v>
      </c>
      <c r="V414" s="34" t="n">
        <v>20400</v>
      </c>
      <c r="W414" s="39" t="n">
        <v>-0.43812375249501</v>
      </c>
      <c r="X414" s="39" t="n">
        <v>0.3799019607843137</v>
      </c>
      <c r="Y414" s="34" t="n">
        <v>51414494</v>
      </c>
      <c r="Z414" s="34" t="n">
        <v>1447318006100</v>
      </c>
      <c r="AA414" s="34" t="n">
        <v>29853412800</v>
      </c>
      <c r="AB414" s="34" t="n">
        <v>18528396682.5</v>
      </c>
      <c r="AC414" s="39" t="n">
        <v>0.02062671277091631</v>
      </c>
      <c r="AD414" s="32" t="inlineStr">
        <is>
          <t>yfinance_download</t>
        </is>
      </c>
      <c r="AE414" s="32" t="inlineStr">
        <is>
          <t>005290.KQ</t>
        </is>
      </c>
    </row>
    <row r="415" ht="24" customHeight="1">
      <c r="A415" s="27" t="inlineStr">
        <is>
          <t>2025-02-20</t>
        </is>
      </c>
      <c r="B415" s="33" t="n">
        <v>29150</v>
      </c>
      <c r="C415" s="33" t="n">
        <v>31500</v>
      </c>
      <c r="D415" s="33" t="n">
        <v>27950</v>
      </c>
      <c r="E415" s="33" t="n">
        <v>27950</v>
      </c>
      <c r="F415" s="33" t="n">
        <v>27510.419921875</v>
      </c>
      <c r="G415" s="33" t="n">
        <v>3223434</v>
      </c>
      <c r="H415" s="38" t="n">
        <v>-0.007104795737122527</v>
      </c>
      <c r="I415" s="38" t="n">
        <v>-0.4519607843137254</v>
      </c>
      <c r="J415" s="33" t="n">
        <v>24525</v>
      </c>
      <c r="K415" s="33" t="n">
        <v>23028.33333333333</v>
      </c>
      <c r="L415" s="33" t="n">
        <v>25577.5</v>
      </c>
      <c r="M415" s="38" t="n">
        <v>0.5594215768780829</v>
      </c>
      <c r="N415" s="38" t="n">
        <v>0.503755394091621</v>
      </c>
      <c r="O415" s="38" t="n">
        <v>0.2178649237472767</v>
      </c>
      <c r="P415" s="38" t="n">
        <v>0.1573498964803313</v>
      </c>
      <c r="Q415" s="38" t="n">
        <v>-0.1543116490166414</v>
      </c>
      <c r="R415" s="38" t="n">
        <v>0.1396534148827726</v>
      </c>
      <c r="S415" s="38" t="n">
        <v>0.2137222262430341</v>
      </c>
      <c r="T415" s="38" t="n">
        <v>0.09275730622617528</v>
      </c>
      <c r="U415" s="33" t="n">
        <v>50100</v>
      </c>
      <c r="V415" s="33" t="n">
        <v>20400</v>
      </c>
      <c r="W415" s="38" t="n">
        <v>-0.4421157684630739</v>
      </c>
      <c r="X415" s="38" t="n">
        <v>0.3700980392156863</v>
      </c>
      <c r="Y415" s="33" t="n">
        <v>51414494</v>
      </c>
      <c r="Z415" s="33" t="n">
        <v>1437035107300</v>
      </c>
      <c r="AA415" s="33" t="n">
        <v>90094980300</v>
      </c>
      <c r="AB415" s="33" t="n">
        <v>22641918195</v>
      </c>
      <c r="AC415" s="38" t="n">
        <v>0.0626950447085991</v>
      </c>
      <c r="AD415" s="27" t="inlineStr">
        <is>
          <t>yfinance_download</t>
        </is>
      </c>
      <c r="AE415" s="27" t="inlineStr">
        <is>
          <t>005290.KQ</t>
        </is>
      </c>
    </row>
    <row r="416" ht="24" customHeight="1">
      <c r="A416" s="32" t="inlineStr">
        <is>
          <t>2025-02-21</t>
        </is>
      </c>
      <c r="B416" s="34" t="n">
        <v>28100</v>
      </c>
      <c r="C416" s="34" t="n">
        <v>28850</v>
      </c>
      <c r="D416" s="34" t="n">
        <v>27100</v>
      </c>
      <c r="E416" s="34" t="n">
        <v>28350</v>
      </c>
      <c r="F416" s="34" t="n">
        <v>27904.12890625</v>
      </c>
      <c r="G416" s="34" t="n">
        <v>711822</v>
      </c>
      <c r="H416" s="39" t="n">
        <v>0.01431127012522371</v>
      </c>
      <c r="I416" s="39" t="n">
        <v>-0.4441176470588235</v>
      </c>
      <c r="J416" s="34" t="n">
        <v>24790</v>
      </c>
      <c r="K416" s="34" t="n">
        <v>23094.16666666667</v>
      </c>
      <c r="L416" s="34" t="n">
        <v>25532.08333333333</v>
      </c>
      <c r="M416" s="39" t="n">
        <v>0.559090721428554</v>
      </c>
      <c r="N416" s="39" t="n">
        <v>0.5040698063316277</v>
      </c>
      <c r="O416" s="39" t="n">
        <v>0.229934924078091</v>
      </c>
      <c r="P416" s="39" t="n">
        <v>0.1618852459016393</v>
      </c>
      <c r="Q416" s="39" t="n">
        <v>-0.1612426035502958</v>
      </c>
      <c r="R416" s="39" t="n">
        <v>0.1436062928600241</v>
      </c>
      <c r="S416" s="39" t="n">
        <v>0.2275827229098257</v>
      </c>
      <c r="T416" s="39" t="n">
        <v>0.110367674657702</v>
      </c>
      <c r="U416" s="34" t="n">
        <v>50100</v>
      </c>
      <c r="V416" s="34" t="n">
        <v>20400</v>
      </c>
      <c r="W416" s="39" t="n">
        <v>-0.4341317365269461</v>
      </c>
      <c r="X416" s="39" t="n">
        <v>0.3897058823529411</v>
      </c>
      <c r="Y416" s="34" t="n">
        <v>51414494</v>
      </c>
      <c r="Z416" s="34" t="n">
        <v>1457600904900</v>
      </c>
      <c r="AA416" s="34" t="n">
        <v>20180153700</v>
      </c>
      <c r="AB416" s="34" t="n">
        <v>23283566505</v>
      </c>
      <c r="AC416" s="39" t="n">
        <v>0.0138447730322893</v>
      </c>
      <c r="AD416" s="32" t="inlineStr">
        <is>
          <t>yfinance_download</t>
        </is>
      </c>
      <c r="AE416" s="32" t="inlineStr">
        <is>
          <t>005290.KQ</t>
        </is>
      </c>
    </row>
    <row r="417" ht="24" customHeight="1">
      <c r="A417" s="27" t="inlineStr">
        <is>
          <t>2025-02-24</t>
        </is>
      </c>
      <c r="B417" s="33" t="n">
        <v>27700</v>
      </c>
      <c r="C417" s="33" t="n">
        <v>27950</v>
      </c>
      <c r="D417" s="33" t="n">
        <v>27100</v>
      </c>
      <c r="E417" s="33" t="n">
        <v>27850</v>
      </c>
      <c r="F417" s="33" t="n">
        <v>27411.9921875</v>
      </c>
      <c r="G417" s="33" t="n">
        <v>573069</v>
      </c>
      <c r="H417" s="38" t="n">
        <v>-0.01763668430335097</v>
      </c>
      <c r="I417" s="38" t="n">
        <v>-0.453921568627451</v>
      </c>
      <c r="J417" s="33" t="n">
        <v>25035</v>
      </c>
      <c r="K417" s="33" t="n">
        <v>23155.83333333333</v>
      </c>
      <c r="L417" s="33" t="n">
        <v>25482.91666666667</v>
      </c>
      <c r="M417" s="38" t="n">
        <v>0.5658762754028168</v>
      </c>
      <c r="N417" s="38" t="n">
        <v>0.5051255266788452</v>
      </c>
      <c r="O417" s="38" t="n">
        <v>0.2135076252723311</v>
      </c>
      <c r="P417" s="38" t="n">
        <v>0.1532091097308488</v>
      </c>
      <c r="Q417" s="38" t="n">
        <v>-0.1748148148148149</v>
      </c>
      <c r="R417" s="38" t="n">
        <v>0.1124425803874576</v>
      </c>
      <c r="S417" s="38" t="n">
        <v>0.2027206967286861</v>
      </c>
      <c r="T417" s="38" t="n">
        <v>0.09288902696250756</v>
      </c>
      <c r="U417" s="33" t="n">
        <v>50100</v>
      </c>
      <c r="V417" s="33" t="n">
        <v>20400</v>
      </c>
      <c r="W417" s="38" t="n">
        <v>-0.4441117764471058</v>
      </c>
      <c r="X417" s="38" t="n">
        <v>0.3651960784313726</v>
      </c>
      <c r="Y417" s="33" t="n">
        <v>51414494</v>
      </c>
      <c r="Z417" s="33" t="n">
        <v>1431893657900</v>
      </c>
      <c r="AA417" s="33" t="n">
        <v>15959971650</v>
      </c>
      <c r="AB417" s="33" t="n">
        <v>23565875145</v>
      </c>
      <c r="AC417" s="38" t="n">
        <v>0.01114605931938181</v>
      </c>
      <c r="AD417" s="27" t="inlineStr">
        <is>
          <t>yfinance_download</t>
        </is>
      </c>
      <c r="AE417" s="27" t="inlineStr">
        <is>
          <t>005290.KQ</t>
        </is>
      </c>
    </row>
    <row r="418" ht="24" customHeight="1">
      <c r="A418" s="32" t="inlineStr">
        <is>
          <t>2025-02-25</t>
        </is>
      </c>
      <c r="B418" s="34" t="n">
        <v>27500</v>
      </c>
      <c r="C418" s="34" t="n">
        <v>33600</v>
      </c>
      <c r="D418" s="34" t="n">
        <v>27350</v>
      </c>
      <c r="E418" s="34" t="n">
        <v>29400</v>
      </c>
      <c r="F418" s="34" t="n">
        <v>28937.615234375</v>
      </c>
      <c r="G418" s="34" t="n">
        <v>20243290</v>
      </c>
      <c r="H418" s="39" t="n">
        <v>0.05565529622980248</v>
      </c>
      <c r="I418" s="39" t="n">
        <v>-0.4235294117647059</v>
      </c>
      <c r="J418" s="34" t="n">
        <v>25330</v>
      </c>
      <c r="K418" s="34" t="n">
        <v>23236.66666666667</v>
      </c>
      <c r="L418" s="34" t="n">
        <v>25452.08333333333</v>
      </c>
      <c r="M418" s="39" t="n">
        <v>0.5868051906967067</v>
      </c>
      <c r="N418" s="39" t="n">
        <v>0.5158895737422364</v>
      </c>
      <c r="O418" s="39" t="n">
        <v>0.2510638297872341</v>
      </c>
      <c r="P418" s="39" t="n">
        <v>0.1975560081466394</v>
      </c>
      <c r="Q418" s="39" t="n">
        <v>-0.1117824773413897</v>
      </c>
      <c r="R418" s="39" t="n">
        <v>0.1606790367153572</v>
      </c>
      <c r="S418" s="39" t="n">
        <v>0.2652417156792426</v>
      </c>
      <c r="T418" s="39" t="n">
        <v>0.1551117295571744</v>
      </c>
      <c r="U418" s="34" t="n">
        <v>50100</v>
      </c>
      <c r="V418" s="34" t="n">
        <v>20400</v>
      </c>
      <c r="W418" s="39" t="n">
        <v>-0.4131736526946108</v>
      </c>
      <c r="X418" s="39" t="n">
        <v>0.4411764705882353</v>
      </c>
      <c r="Y418" s="34" t="n">
        <v>51414494</v>
      </c>
      <c r="Z418" s="34" t="n">
        <v>1511586123600</v>
      </c>
      <c r="AA418" s="34" t="n">
        <v>595152726000</v>
      </c>
      <c r="AB418" s="34" t="n">
        <v>52687856420</v>
      </c>
      <c r="AC418" s="39" t="n">
        <v>0.393727301877171</v>
      </c>
      <c r="AD418" s="32" t="inlineStr">
        <is>
          <t>yfinance_download</t>
        </is>
      </c>
      <c r="AE418" s="32" t="inlineStr">
        <is>
          <t>005290.KQ</t>
        </is>
      </c>
    </row>
    <row r="419" ht="24" customHeight="1">
      <c r="A419" s="27" t="inlineStr">
        <is>
          <t>2025-02-26</t>
        </is>
      </c>
      <c r="B419" s="33" t="n">
        <v>29800</v>
      </c>
      <c r="C419" s="33" t="n">
        <v>29850</v>
      </c>
      <c r="D419" s="33" t="n">
        <v>27800</v>
      </c>
      <c r="E419" s="33" t="n">
        <v>28450</v>
      </c>
      <c r="F419" s="33" t="n">
        <v>28002.5546875</v>
      </c>
      <c r="G419" s="33" t="n">
        <v>2930857</v>
      </c>
      <c r="H419" s="38" t="n">
        <v>-0.03231292517006801</v>
      </c>
      <c r="I419" s="38" t="n">
        <v>-0.442156862745098</v>
      </c>
      <c r="J419" s="33" t="n">
        <v>25622.5</v>
      </c>
      <c r="K419" s="33" t="n">
        <v>23296.66666666667</v>
      </c>
      <c r="L419" s="33" t="n">
        <v>25418.75</v>
      </c>
      <c r="M419" s="38" t="n">
        <v>0.5803633666210822</v>
      </c>
      <c r="N419" s="38" t="n">
        <v>0.5207334720717347</v>
      </c>
      <c r="O419" s="38" t="n">
        <v>0.2588495575221239</v>
      </c>
      <c r="P419" s="38" t="n">
        <v>0.1448692152917506</v>
      </c>
      <c r="Q419" s="38" t="n">
        <v>-0.1232665639445301</v>
      </c>
      <c r="R419" s="38" t="n">
        <v>0.1103522294858035</v>
      </c>
      <c r="S419" s="38" t="n">
        <v>0.2212047503219343</v>
      </c>
      <c r="T419" s="38" t="n">
        <v>0.1192525202852226</v>
      </c>
      <c r="U419" s="33" t="n">
        <v>50100</v>
      </c>
      <c r="V419" s="33" t="n">
        <v>20400</v>
      </c>
      <c r="W419" s="38" t="n">
        <v>-0.4321357285429142</v>
      </c>
      <c r="X419" s="38" t="n">
        <v>0.3946078431372548</v>
      </c>
      <c r="Y419" s="33" t="n">
        <v>51414494</v>
      </c>
      <c r="Z419" s="33" t="n">
        <v>1462742354300</v>
      </c>
      <c r="AA419" s="33" t="n">
        <v>83382881650</v>
      </c>
      <c r="AB419" s="33" t="n">
        <v>56356175462.5</v>
      </c>
      <c r="AC419" s="38" t="n">
        <v>0.05700448982343383</v>
      </c>
      <c r="AD419" s="27" t="inlineStr">
        <is>
          <t>yfinance_download</t>
        </is>
      </c>
      <c r="AE419" s="27" t="inlineStr">
        <is>
          <t>005290.KQ</t>
        </is>
      </c>
    </row>
    <row r="420" ht="24" customHeight="1">
      <c r="A420" s="32" t="inlineStr">
        <is>
          <t>2025-02-27</t>
        </is>
      </c>
      <c r="B420" s="34" t="n">
        <v>28650</v>
      </c>
      <c r="C420" s="34" t="n">
        <v>28800</v>
      </c>
      <c r="D420" s="34" t="n">
        <v>27200</v>
      </c>
      <c r="E420" s="34" t="n">
        <v>27400</v>
      </c>
      <c r="F420" s="34" t="n">
        <v>26969.068359375</v>
      </c>
      <c r="G420" s="34" t="n">
        <v>1357962</v>
      </c>
      <c r="H420" s="39" t="n">
        <v>-0.03690685413005268</v>
      </c>
      <c r="I420" s="39" t="n">
        <v>-0.4627450980392157</v>
      </c>
      <c r="J420" s="34" t="n">
        <v>25835</v>
      </c>
      <c r="K420" s="34" t="n">
        <v>23358.33333333333</v>
      </c>
      <c r="L420" s="34" t="n">
        <v>25382.5</v>
      </c>
      <c r="M420" s="39" t="n">
        <v>0.6036310014742303</v>
      </c>
      <c r="N420" s="39" t="n">
        <v>0.5173055128987747</v>
      </c>
      <c r="O420" s="39" t="n">
        <v>0.1835853131749461</v>
      </c>
      <c r="P420" s="39" t="n">
        <v>0.1561181434599157</v>
      </c>
      <c r="Q420" s="39" t="n">
        <v>-0.137007874015748</v>
      </c>
      <c r="R420" s="39" t="n">
        <v>0.06057673698471056</v>
      </c>
      <c r="S420" s="39" t="n">
        <v>0.1730288976097039</v>
      </c>
      <c r="T420" s="39" t="n">
        <v>0.07948389638530484</v>
      </c>
      <c r="U420" s="34" t="n">
        <v>50100</v>
      </c>
      <c r="V420" s="34" t="n">
        <v>20400</v>
      </c>
      <c r="W420" s="39" t="n">
        <v>-0.4530938123752495</v>
      </c>
      <c r="X420" s="39" t="n">
        <v>0.3431372549019607</v>
      </c>
      <c r="Y420" s="34" t="n">
        <v>51414494</v>
      </c>
      <c r="Z420" s="34" t="n">
        <v>1408757135600</v>
      </c>
      <c r="AA420" s="34" t="n">
        <v>37208158800</v>
      </c>
      <c r="AB420" s="34" t="n">
        <v>57795060100</v>
      </c>
      <c r="AC420" s="39" t="n">
        <v>0.02641204637742812</v>
      </c>
      <c r="AD420" s="32" t="inlineStr">
        <is>
          <t>yfinance_download</t>
        </is>
      </c>
      <c r="AE420" s="32" t="inlineStr">
        <is>
          <t>005290.KQ</t>
        </is>
      </c>
    </row>
    <row r="421" ht="24" customHeight="1">
      <c r="A421" s="27" t="inlineStr">
        <is>
          <t>2025-02-28</t>
        </is>
      </c>
      <c r="B421" s="33" t="n">
        <v>26600</v>
      </c>
      <c r="C421" s="33" t="n">
        <v>26950</v>
      </c>
      <c r="D421" s="33" t="n">
        <v>26150</v>
      </c>
      <c r="E421" s="33" t="n">
        <v>26200</v>
      </c>
      <c r="F421" s="33" t="n">
        <v>25787.94140625</v>
      </c>
      <c r="G421" s="33" t="n">
        <v>1364598</v>
      </c>
      <c r="H421" s="38" t="n">
        <v>-0.04379562043795615</v>
      </c>
      <c r="I421" s="38" t="n">
        <v>-0.4862745098039216</v>
      </c>
      <c r="J421" s="33" t="n">
        <v>26050</v>
      </c>
      <c r="K421" s="33" t="n">
        <v>23415</v>
      </c>
      <c r="L421" s="33" t="n">
        <v>25337.5</v>
      </c>
      <c r="M421" s="38" t="n">
        <v>0.5904221508503409</v>
      </c>
      <c r="N421" s="38" t="n">
        <v>0.5194051154610123</v>
      </c>
      <c r="O421" s="38" t="n">
        <v>0.1963470319634704</v>
      </c>
      <c r="P421" s="38" t="n">
        <v>0.1491228070175439</v>
      </c>
      <c r="Q421" s="38" t="n">
        <v>-0.1708860759493671</v>
      </c>
      <c r="R421" s="38" t="n">
        <v>0.005758157389635254</v>
      </c>
      <c r="S421" s="38" t="n">
        <v>0.1189408498825539</v>
      </c>
      <c r="T421" s="38" t="n">
        <v>0.03404045387271837</v>
      </c>
      <c r="U421" s="33" t="n">
        <v>50100</v>
      </c>
      <c r="V421" s="33" t="n">
        <v>20400</v>
      </c>
      <c r="W421" s="38" t="n">
        <v>-0.4770459081836327</v>
      </c>
      <c r="X421" s="38" t="n">
        <v>0.2843137254901962</v>
      </c>
      <c r="Y421" s="33" t="n">
        <v>51414494</v>
      </c>
      <c r="Z421" s="33" t="n">
        <v>1347059742800</v>
      </c>
      <c r="AA421" s="33" t="n">
        <v>35752467600</v>
      </c>
      <c r="AB421" s="33" t="n">
        <v>58853967550</v>
      </c>
      <c r="AC421" s="38" t="n">
        <v>0.02654111504043976</v>
      </c>
      <c r="AD421" s="27" t="inlineStr">
        <is>
          <t>yfinance_download</t>
        </is>
      </c>
      <c r="AE421" s="27" t="inlineStr">
        <is>
          <t>005290.KQ</t>
        </is>
      </c>
    </row>
    <row r="422" ht="24" customHeight="1">
      <c r="A422" s="32" t="inlineStr">
        <is>
          <t>2025-03-04</t>
        </is>
      </c>
      <c r="B422" s="34" t="n">
        <v>26000</v>
      </c>
      <c r="C422" s="34" t="n">
        <v>26650</v>
      </c>
      <c r="D422" s="34" t="n">
        <v>25600</v>
      </c>
      <c r="E422" s="34" t="n">
        <v>26000</v>
      </c>
      <c r="F422" s="34" t="n">
        <v>25591.087890625</v>
      </c>
      <c r="G422" s="34" t="n">
        <v>768330</v>
      </c>
      <c r="H422" s="39" t="n">
        <v>-0.007633587786259555</v>
      </c>
      <c r="I422" s="39" t="n">
        <v>-0.4901960784313726</v>
      </c>
      <c r="J422" s="34" t="n">
        <v>26312.5</v>
      </c>
      <c r="K422" s="34" t="n">
        <v>23472.5</v>
      </c>
      <c r="L422" s="34" t="n">
        <v>25290</v>
      </c>
      <c r="M422" s="39" t="n">
        <v>0.5476985411079687</v>
      </c>
      <c r="N422" s="39" t="n">
        <v>0.5190716737832609</v>
      </c>
      <c r="O422" s="39" t="n">
        <v>0.2530120481927711</v>
      </c>
      <c r="P422" s="39" t="n">
        <v>0.1529933481152994</v>
      </c>
      <c r="Q422" s="39" t="n">
        <v>-0.1798107255520505</v>
      </c>
      <c r="R422" s="39" t="n">
        <v>-0.01187648456057011</v>
      </c>
      <c r="S422" s="39" t="n">
        <v>0.107679199062733</v>
      </c>
      <c r="T422" s="39" t="n">
        <v>0.0280743376828787</v>
      </c>
      <c r="U422" s="34" t="n">
        <v>50100</v>
      </c>
      <c r="V422" s="34" t="n">
        <v>20400</v>
      </c>
      <c r="W422" s="39" t="n">
        <v>-0.4810379241516967</v>
      </c>
      <c r="X422" s="39" t="n">
        <v>0.2745098039215685</v>
      </c>
      <c r="Y422" s="34" t="n">
        <v>51414494</v>
      </c>
      <c r="Z422" s="34" t="n">
        <v>1336776844000</v>
      </c>
      <c r="AA422" s="34" t="n">
        <v>19976580000</v>
      </c>
      <c r="AB422" s="34" t="n">
        <v>59362849625</v>
      </c>
      <c r="AC422" s="39" t="n">
        <v>0.01494384054426365</v>
      </c>
      <c r="AD422" s="32" t="inlineStr">
        <is>
          <t>yfinance_download</t>
        </is>
      </c>
      <c r="AE422" s="32" t="inlineStr">
        <is>
          <t>005290.KQ</t>
        </is>
      </c>
    </row>
    <row r="423" ht="24" customHeight="1">
      <c r="A423" s="27" t="inlineStr">
        <is>
          <t>2025-03-05</t>
        </is>
      </c>
      <c r="B423" s="33" t="n">
        <v>26300</v>
      </c>
      <c r="C423" s="33" t="n">
        <v>27350</v>
      </c>
      <c r="D423" s="33" t="n">
        <v>26250</v>
      </c>
      <c r="E423" s="33" t="n">
        <v>27200</v>
      </c>
      <c r="F423" s="33" t="n">
        <v>26772.21484375</v>
      </c>
      <c r="G423" s="33" t="n">
        <v>829342</v>
      </c>
      <c r="H423" s="38" t="n">
        <v>0.04615384615384621</v>
      </c>
      <c r="I423" s="38" t="n">
        <v>-0.4666666666666667</v>
      </c>
      <c r="J423" s="33" t="n">
        <v>26602.5</v>
      </c>
      <c r="K423" s="33" t="n">
        <v>23561.66666666667</v>
      </c>
      <c r="L423" s="33" t="n">
        <v>25260</v>
      </c>
      <c r="M423" s="38" t="n">
        <v>0.5571238616529649</v>
      </c>
      <c r="N423" s="38" t="n">
        <v>0.5216164253281088</v>
      </c>
      <c r="O423" s="38" t="n">
        <v>0.2710280373831775</v>
      </c>
      <c r="P423" s="38" t="n">
        <v>0.2448512585812357</v>
      </c>
      <c r="Q423" s="38" t="n">
        <v>-0.1168831168831169</v>
      </c>
      <c r="R423" s="38" t="n">
        <v>0.02246029508504832</v>
      </c>
      <c r="S423" s="38" t="n">
        <v>0.1544174860295677</v>
      </c>
      <c r="T423" s="38" t="n">
        <v>0.07680126682501975</v>
      </c>
      <c r="U423" s="33" t="n">
        <v>50100</v>
      </c>
      <c r="V423" s="33" t="n">
        <v>20400</v>
      </c>
      <c r="W423" s="38" t="n">
        <v>-0.4570858283433133</v>
      </c>
      <c r="X423" s="38" t="n">
        <v>0.3333333333333333</v>
      </c>
      <c r="Y423" s="33" t="n">
        <v>51414494</v>
      </c>
      <c r="Z423" s="33" t="n">
        <v>1398474236800</v>
      </c>
      <c r="AA423" s="33" t="n">
        <v>22558102400</v>
      </c>
      <c r="AB423" s="33" t="n">
        <v>60156743545</v>
      </c>
      <c r="AC423" s="38" t="n">
        <v>0.01613050981304999</v>
      </c>
      <c r="AD423" s="27" t="inlineStr">
        <is>
          <t>yfinance_download</t>
        </is>
      </c>
      <c r="AE423" s="27" t="inlineStr">
        <is>
          <t>005290.KQ</t>
        </is>
      </c>
    </row>
    <row r="424" ht="24" customHeight="1">
      <c r="A424" s="32" t="inlineStr">
        <is>
          <t>2025-03-06</t>
        </is>
      </c>
      <c r="B424" s="34" t="n">
        <v>27300</v>
      </c>
      <c r="C424" s="34" t="n">
        <v>27350</v>
      </c>
      <c r="D424" s="34" t="n">
        <v>26100</v>
      </c>
      <c r="E424" s="34" t="n">
        <v>26250</v>
      </c>
      <c r="F424" s="34" t="n">
        <v>25837.15625</v>
      </c>
      <c r="G424" s="34" t="n">
        <v>482686</v>
      </c>
      <c r="H424" s="39" t="n">
        <v>-0.03492647058823528</v>
      </c>
      <c r="I424" s="39" t="n">
        <v>-0.4852941176470589</v>
      </c>
      <c r="J424" s="34" t="n">
        <v>26832.5</v>
      </c>
      <c r="K424" s="34" t="n">
        <v>23643.33333333333</v>
      </c>
      <c r="L424" s="34" t="n">
        <v>25217.91666666667</v>
      </c>
      <c r="M424" s="39" t="n">
        <v>0.5821846027167528</v>
      </c>
      <c r="N424" s="39" t="n">
        <v>0.5248593902097012</v>
      </c>
      <c r="O424" s="39" t="n">
        <v>0.2124711316397228</v>
      </c>
      <c r="P424" s="39" t="n">
        <v>0.2295081967213115</v>
      </c>
      <c r="Q424" s="39" t="n">
        <v>-0.1613418530351438</v>
      </c>
      <c r="R424" s="39" t="n">
        <v>-0.02170874871890427</v>
      </c>
      <c r="S424" s="39" t="n">
        <v>0.1102495418017764</v>
      </c>
      <c r="T424" s="39" t="n">
        <v>0.04092658989144615</v>
      </c>
      <c r="U424" s="34" t="n">
        <v>50100</v>
      </c>
      <c r="V424" s="34" t="n">
        <v>20400</v>
      </c>
      <c r="W424" s="39" t="n">
        <v>-0.4760479041916168</v>
      </c>
      <c r="X424" s="39" t="n">
        <v>0.286764705882353</v>
      </c>
      <c r="Y424" s="34" t="n">
        <v>51414494</v>
      </c>
      <c r="Z424" s="34" t="n">
        <v>1349630467500</v>
      </c>
      <c r="AA424" s="34" t="n">
        <v>12670507500</v>
      </c>
      <c r="AB424" s="34" t="n">
        <v>60465167107.5</v>
      </c>
      <c r="AC424" s="39" t="n">
        <v>0.009388130903320763</v>
      </c>
      <c r="AD424" s="32" t="inlineStr">
        <is>
          <t>yfinance_download</t>
        </is>
      </c>
      <c r="AE424" s="32" t="inlineStr">
        <is>
          <t>005290.KQ</t>
        </is>
      </c>
    </row>
    <row r="425" ht="24" customHeight="1">
      <c r="A425" s="27" t="inlineStr">
        <is>
          <t>2025-03-07</t>
        </is>
      </c>
      <c r="B425" s="33" t="n">
        <v>26000</v>
      </c>
      <c r="C425" s="33" t="n">
        <v>27900</v>
      </c>
      <c r="D425" s="33" t="n">
        <v>25600</v>
      </c>
      <c r="E425" s="33" t="n">
        <v>27850</v>
      </c>
      <c r="F425" s="33" t="n">
        <v>27411.9921875</v>
      </c>
      <c r="G425" s="33" t="n">
        <v>974814</v>
      </c>
      <c r="H425" s="38" t="n">
        <v>0.06095238095238087</v>
      </c>
      <c r="I425" s="38" t="n">
        <v>-0.453921568627451</v>
      </c>
      <c r="J425" s="33" t="n">
        <v>27120</v>
      </c>
      <c r="K425" s="33" t="n">
        <v>23744.16666666667</v>
      </c>
      <c r="L425" s="33" t="n">
        <v>25193.75</v>
      </c>
      <c r="M425" s="38" t="n">
        <v>0.6086320502916081</v>
      </c>
      <c r="N425" s="38" t="n">
        <v>0.5366362425109753</v>
      </c>
      <c r="O425" s="38" t="n">
        <v>0.2601809954751131</v>
      </c>
      <c r="P425" s="38" t="n">
        <v>0.2775229357798166</v>
      </c>
      <c r="Q425" s="38" t="n">
        <v>-0.09430894308943094</v>
      </c>
      <c r="R425" s="38" t="n">
        <v>0.02691740412979349</v>
      </c>
      <c r="S425" s="38" t="n">
        <v>0.1729196644789948</v>
      </c>
      <c r="T425" s="38" t="n">
        <v>0.1054328950632597</v>
      </c>
      <c r="U425" s="33" t="n">
        <v>50100</v>
      </c>
      <c r="V425" s="33" t="n">
        <v>20400</v>
      </c>
      <c r="W425" s="38" t="n">
        <v>-0.4441117764471058</v>
      </c>
      <c r="X425" s="38" t="n">
        <v>0.3651960784313726</v>
      </c>
      <c r="Y425" s="33" t="n">
        <v>51414494</v>
      </c>
      <c r="Z425" s="33" t="n">
        <v>1431893657900</v>
      </c>
      <c r="AA425" s="33" t="n">
        <v>27148569900</v>
      </c>
      <c r="AB425" s="33" t="n">
        <v>61543131157.5</v>
      </c>
      <c r="AC425" s="38" t="n">
        <v>0.01895990651974519</v>
      </c>
      <c r="AD425" s="27" t="inlineStr">
        <is>
          <t>yfinance_download</t>
        </is>
      </c>
      <c r="AE425" s="27" t="inlineStr">
        <is>
          <t>005290.KQ</t>
        </is>
      </c>
    </row>
    <row r="426" ht="24" customHeight="1">
      <c r="A426" s="32" t="inlineStr">
        <is>
          <t>2025-03-10</t>
        </is>
      </c>
      <c r="B426" s="34" t="n">
        <v>27550</v>
      </c>
      <c r="C426" s="34" t="n">
        <v>28800</v>
      </c>
      <c r="D426" s="34" t="n">
        <v>27500</v>
      </c>
      <c r="E426" s="34" t="n">
        <v>27750</v>
      </c>
      <c r="F426" s="34" t="n">
        <v>27313.564453125</v>
      </c>
      <c r="G426" s="34" t="n">
        <v>771555</v>
      </c>
      <c r="H426" s="39" t="n">
        <v>-0.003590664272890454</v>
      </c>
      <c r="I426" s="39" t="n">
        <v>-0.4558823529411765</v>
      </c>
      <c r="J426" s="34" t="n">
        <v>27302.5</v>
      </c>
      <c r="K426" s="34" t="n">
        <v>23845</v>
      </c>
      <c r="L426" s="34" t="n">
        <v>25174.58333333333</v>
      </c>
      <c r="M426" s="39" t="n">
        <v>0.5355792649493313</v>
      </c>
      <c r="N426" s="39" t="n">
        <v>0.5365668851321886</v>
      </c>
      <c r="O426" s="39" t="n">
        <v>0.1514522821576763</v>
      </c>
      <c r="P426" s="39" t="n">
        <v>0.2788018433179724</v>
      </c>
      <c r="Q426" s="39" t="n">
        <v>-0.0765391014975042</v>
      </c>
      <c r="R426" s="39" t="n">
        <v>0.01639044043585747</v>
      </c>
      <c r="S426" s="39" t="n">
        <v>0.1637659886768714</v>
      </c>
      <c r="T426" s="39" t="n">
        <v>0.1023022559128752</v>
      </c>
      <c r="U426" s="34" t="n">
        <v>50100</v>
      </c>
      <c r="V426" s="34" t="n">
        <v>20400</v>
      </c>
      <c r="W426" s="39" t="n">
        <v>-0.4461077844311377</v>
      </c>
      <c r="X426" s="39" t="n">
        <v>0.3602941176470589</v>
      </c>
      <c r="Y426" s="34" t="n">
        <v>51414494</v>
      </c>
      <c r="Z426" s="34" t="n">
        <v>1426752208500</v>
      </c>
      <c r="AA426" s="34" t="n">
        <v>21410651250</v>
      </c>
      <c r="AB426" s="34" t="n">
        <v>60596404550</v>
      </c>
      <c r="AC426" s="39" t="n">
        <v>0.01500656604730954</v>
      </c>
      <c r="AD426" s="32" t="inlineStr">
        <is>
          <t>yfinance_download</t>
        </is>
      </c>
      <c r="AE426" s="32" t="inlineStr">
        <is>
          <t>005290.KQ</t>
        </is>
      </c>
    </row>
    <row r="427" ht="24" customHeight="1">
      <c r="A427" s="27" t="inlineStr">
        <is>
          <t>2025-03-11</t>
        </is>
      </c>
      <c r="B427" s="33" t="n">
        <v>26750</v>
      </c>
      <c r="C427" s="33" t="n">
        <v>28100</v>
      </c>
      <c r="D427" s="33" t="n">
        <v>26700</v>
      </c>
      <c r="E427" s="33" t="n">
        <v>28100</v>
      </c>
      <c r="F427" s="33" t="n">
        <v>27658.060546875</v>
      </c>
      <c r="G427" s="33" t="n">
        <v>607909</v>
      </c>
      <c r="H427" s="38" t="n">
        <v>0.01261261261261271</v>
      </c>
      <c r="I427" s="38" t="n">
        <v>-0.4490196078431372</v>
      </c>
      <c r="J427" s="33" t="n">
        <v>27420</v>
      </c>
      <c r="K427" s="33" t="n">
        <v>23948.33333333333</v>
      </c>
      <c r="L427" s="33" t="n">
        <v>25171.25</v>
      </c>
      <c r="M427" s="38" t="n">
        <v>0.4857892769510463</v>
      </c>
      <c r="N427" s="38" t="n">
        <v>0.5367350763442994</v>
      </c>
      <c r="O427" s="38" t="n">
        <v>0.09126213592233001</v>
      </c>
      <c r="P427" s="38" t="n">
        <v>0.2831050228310503</v>
      </c>
      <c r="Q427" s="38" t="n">
        <v>-0.01403508771929829</v>
      </c>
      <c r="R427" s="38" t="n">
        <v>0.02479941648431794</v>
      </c>
      <c r="S427" s="38" t="n">
        <v>0.1733593151924282</v>
      </c>
      <c r="T427" s="38" t="n">
        <v>0.1163529820728013</v>
      </c>
      <c r="U427" s="33" t="n">
        <v>50100</v>
      </c>
      <c r="V427" s="33" t="n">
        <v>20400</v>
      </c>
      <c r="W427" s="38" t="n">
        <v>-0.4391217564870259</v>
      </c>
      <c r="X427" s="38" t="n">
        <v>0.3774509803921569</v>
      </c>
      <c r="Y427" s="33" t="n">
        <v>51414494</v>
      </c>
      <c r="Z427" s="33" t="n">
        <v>1444747281400</v>
      </c>
      <c r="AA427" s="33" t="n">
        <v>17082242900</v>
      </c>
      <c r="AB427" s="33" t="n">
        <v>59298670307.5</v>
      </c>
      <c r="AC427" s="38" t="n">
        <v>0.01182368924996131</v>
      </c>
      <c r="AD427" s="27" t="inlineStr">
        <is>
          <t>yfinance_download</t>
        </is>
      </c>
      <c r="AE427" s="27" t="inlineStr">
        <is>
          <t>005290.KQ</t>
        </is>
      </c>
    </row>
    <row r="428" ht="24" customHeight="1">
      <c r="A428" s="32" t="inlineStr">
        <is>
          <t>2025-03-12</t>
        </is>
      </c>
      <c r="B428" s="34" t="n">
        <v>28200</v>
      </c>
      <c r="C428" s="34" t="n">
        <v>29350</v>
      </c>
      <c r="D428" s="34" t="n">
        <v>28000</v>
      </c>
      <c r="E428" s="34" t="n">
        <v>29250</v>
      </c>
      <c r="F428" s="34" t="n">
        <v>28789.97265625</v>
      </c>
      <c r="G428" s="34" t="n">
        <v>1113235</v>
      </c>
      <c r="H428" s="39" t="n">
        <v>0.04092526690391463</v>
      </c>
      <c r="I428" s="39" t="n">
        <v>-0.4264705882352942</v>
      </c>
      <c r="J428" s="34" t="n">
        <v>27562.5</v>
      </c>
      <c r="K428" s="34" t="n">
        <v>24076.66666666667</v>
      </c>
      <c r="L428" s="34" t="n">
        <v>25180</v>
      </c>
      <c r="M428" s="39" t="n">
        <v>0.4975811078344721</v>
      </c>
      <c r="N428" s="39" t="n">
        <v>0.5400205452312191</v>
      </c>
      <c r="O428" s="39" t="n">
        <v>0.1079545454545454</v>
      </c>
      <c r="P428" s="39" t="n">
        <v>0.357308584686775</v>
      </c>
      <c r="Q428" s="39" t="n">
        <v>0.0372340425531914</v>
      </c>
      <c r="R428" s="39" t="n">
        <v>0.06122448979591844</v>
      </c>
      <c r="S428" s="39" t="n">
        <v>0.2148691679357606</v>
      </c>
      <c r="T428" s="39" t="n">
        <v>0.1616362192216045</v>
      </c>
      <c r="U428" s="34" t="n">
        <v>50100</v>
      </c>
      <c r="V428" s="34" t="n">
        <v>20400</v>
      </c>
      <c r="W428" s="39" t="n">
        <v>-0.4161676646706587</v>
      </c>
      <c r="X428" s="39" t="n">
        <v>0.4338235294117647</v>
      </c>
      <c r="Y428" s="34" t="n">
        <v>51414494</v>
      </c>
      <c r="Z428" s="34" t="n">
        <v>1503873949500</v>
      </c>
      <c r="AA428" s="34" t="n">
        <v>32562123750</v>
      </c>
      <c r="AB428" s="34" t="n">
        <v>58033048735</v>
      </c>
      <c r="AC428" s="39" t="n">
        <v>0.02165216290954843</v>
      </c>
      <c r="AD428" s="32" t="inlineStr">
        <is>
          <t>yfinance_download</t>
        </is>
      </c>
      <c r="AE428" s="32" t="inlineStr">
        <is>
          <t>005290.KQ</t>
        </is>
      </c>
    </row>
    <row r="429" ht="24" customHeight="1">
      <c r="A429" s="27" t="inlineStr">
        <is>
          <t>2025-03-13</t>
        </is>
      </c>
      <c r="B429" s="33" t="n">
        <v>29600</v>
      </c>
      <c r="C429" s="33" t="n">
        <v>29800</v>
      </c>
      <c r="D429" s="33" t="n">
        <v>28350</v>
      </c>
      <c r="E429" s="33" t="n">
        <v>28500</v>
      </c>
      <c r="F429" s="33" t="n">
        <v>28051.76953125</v>
      </c>
      <c r="G429" s="33" t="n">
        <v>991254</v>
      </c>
      <c r="H429" s="38" t="n">
        <v>-0.02564102564102566</v>
      </c>
      <c r="I429" s="38" t="n">
        <v>-0.4411764705882353</v>
      </c>
      <c r="J429" s="33" t="n">
        <v>27657.5</v>
      </c>
      <c r="K429" s="33" t="n">
        <v>24211.66666666667</v>
      </c>
      <c r="L429" s="33" t="n">
        <v>25187.91666666667</v>
      </c>
      <c r="M429" s="38" t="n">
        <v>0.5096566016921275</v>
      </c>
      <c r="N429" s="38" t="n">
        <v>0.5299716005875752</v>
      </c>
      <c r="O429" s="38" t="n">
        <v>0.0714285714285714</v>
      </c>
      <c r="P429" s="38" t="n">
        <v>0.3970588235294117</v>
      </c>
      <c r="Q429" s="38" t="n">
        <v>0.03448275862068972</v>
      </c>
      <c r="R429" s="38" t="n">
        <v>0.03046190002711735</v>
      </c>
      <c r="S429" s="38" t="n">
        <v>0.1771184690576169</v>
      </c>
      <c r="T429" s="38" t="n">
        <v>0.1314949297778365</v>
      </c>
      <c r="U429" s="33" t="n">
        <v>50100</v>
      </c>
      <c r="V429" s="33" t="n">
        <v>20400</v>
      </c>
      <c r="W429" s="38" t="n">
        <v>-0.4311377245508982</v>
      </c>
      <c r="X429" s="38" t="n">
        <v>0.3970588235294117</v>
      </c>
      <c r="Y429" s="33" t="n">
        <v>51414494</v>
      </c>
      <c r="Z429" s="33" t="n">
        <v>1465313079000</v>
      </c>
      <c r="AA429" s="33" t="n">
        <v>28250739000</v>
      </c>
      <c r="AB429" s="33" t="n">
        <v>58524100505</v>
      </c>
      <c r="AC429" s="38" t="n">
        <v>0.01927966071201634</v>
      </c>
      <c r="AD429" s="27" t="inlineStr">
        <is>
          <t>yfinance_download</t>
        </is>
      </c>
      <c r="AE429" s="27" t="inlineStr">
        <is>
          <t>005290.KQ</t>
        </is>
      </c>
    </row>
    <row r="430" ht="24" customHeight="1">
      <c r="A430" s="32" t="inlineStr">
        <is>
          <t>2025-03-14</t>
        </is>
      </c>
      <c r="B430" s="34" t="n">
        <v>28650</v>
      </c>
      <c r="C430" s="34" t="n">
        <v>30900</v>
      </c>
      <c r="D430" s="34" t="n">
        <v>28400</v>
      </c>
      <c r="E430" s="34" t="n">
        <v>30700</v>
      </c>
      <c r="F430" s="34" t="n">
        <v>30217.16796875</v>
      </c>
      <c r="G430" s="34" t="n">
        <v>1951786</v>
      </c>
      <c r="H430" s="39" t="n">
        <v>0.07719298245614037</v>
      </c>
      <c r="I430" s="39" t="n">
        <v>-0.3980392156862745</v>
      </c>
      <c r="J430" s="34" t="n">
        <v>27867.5</v>
      </c>
      <c r="K430" s="34" t="n">
        <v>24365.83333333333</v>
      </c>
      <c r="L430" s="34" t="n">
        <v>25207.5</v>
      </c>
      <c r="M430" s="39" t="n">
        <v>0.5707766453628494</v>
      </c>
      <c r="N430" s="39" t="n">
        <v>0.5418591408984821</v>
      </c>
      <c r="O430" s="39" t="n">
        <v>0.1584905660377358</v>
      </c>
      <c r="P430" s="39" t="n">
        <v>0.4312354312354312</v>
      </c>
      <c r="Q430" s="39" t="n">
        <v>0.08289241622574961</v>
      </c>
      <c r="R430" s="39" t="n">
        <v>0.1016416973176639</v>
      </c>
      <c r="S430" s="39" t="n">
        <v>0.2599610109784878</v>
      </c>
      <c r="T430" s="39" t="n">
        <v>0.2178915005454727</v>
      </c>
      <c r="U430" s="34" t="n">
        <v>50100</v>
      </c>
      <c r="V430" s="34" t="n">
        <v>20400</v>
      </c>
      <c r="W430" s="39" t="n">
        <v>-0.3872255489021956</v>
      </c>
      <c r="X430" s="39" t="n">
        <v>0.5049019607843137</v>
      </c>
      <c r="Y430" s="34" t="n">
        <v>51414494</v>
      </c>
      <c r="Z430" s="34" t="n">
        <v>1578424965800</v>
      </c>
      <c r="AA430" s="34" t="n">
        <v>59919830200</v>
      </c>
      <c r="AB430" s="34" t="n">
        <v>60506415340</v>
      </c>
      <c r="AC430" s="39" t="n">
        <v>0.03796178563966807</v>
      </c>
      <c r="AD430" s="32" t="inlineStr">
        <is>
          <t>yfinance_download</t>
        </is>
      </c>
      <c r="AE430" s="32" t="inlineStr">
        <is>
          <t>005290.KQ</t>
        </is>
      </c>
    </row>
    <row r="431" ht="24" customHeight="1">
      <c r="A431" s="27" t="inlineStr">
        <is>
          <t>2025-03-17</t>
        </is>
      </c>
      <c r="B431" s="33" t="n">
        <v>31000</v>
      </c>
      <c r="C431" s="33" t="n">
        <v>32250</v>
      </c>
      <c r="D431" s="33" t="n">
        <v>30800</v>
      </c>
      <c r="E431" s="33" t="n">
        <v>31500</v>
      </c>
      <c r="F431" s="33" t="n">
        <v>31004.5859375</v>
      </c>
      <c r="G431" s="33" t="n">
        <v>1781612</v>
      </c>
      <c r="H431" s="38" t="n">
        <v>0.02605863192182412</v>
      </c>
      <c r="I431" s="38" t="n">
        <v>-0.3823529411764706</v>
      </c>
      <c r="J431" s="33" t="n">
        <v>28070</v>
      </c>
      <c r="K431" s="33" t="n">
        <v>24525.83333333333</v>
      </c>
      <c r="L431" s="33" t="n">
        <v>25242.08333333333</v>
      </c>
      <c r="M431" s="38" t="n">
        <v>0.5654716791351885</v>
      </c>
      <c r="N431" s="38" t="n">
        <v>0.5425360742024067</v>
      </c>
      <c r="O431" s="38" t="n">
        <v>0.1475409836065573</v>
      </c>
      <c r="P431" s="38" t="n">
        <v>0.4383561643835616</v>
      </c>
      <c r="Q431" s="38" t="n">
        <v>0.1517367458866545</v>
      </c>
      <c r="R431" s="38" t="n">
        <v>0.1221945137157108</v>
      </c>
      <c r="S431" s="38" t="n">
        <v>0.2843600285413341</v>
      </c>
      <c r="T431" s="38" t="n">
        <v>0.2479160132714877</v>
      </c>
      <c r="U431" s="33" t="n">
        <v>50100</v>
      </c>
      <c r="V431" s="33" t="n">
        <v>20400</v>
      </c>
      <c r="W431" s="38" t="n">
        <v>-0.3712574850299402</v>
      </c>
      <c r="X431" s="38" t="n">
        <v>0.5441176470588236</v>
      </c>
      <c r="Y431" s="33" t="n">
        <v>51414494</v>
      </c>
      <c r="Z431" s="33" t="n">
        <v>1619556561000</v>
      </c>
      <c r="AA431" s="33" t="n">
        <v>56120778000</v>
      </c>
      <c r="AB431" s="33" t="n">
        <v>61931410427.5</v>
      </c>
      <c r="AC431" s="38" t="n">
        <v>0.03465194075429392</v>
      </c>
      <c r="AD431" s="27" t="inlineStr">
        <is>
          <t>yfinance_download</t>
        </is>
      </c>
      <c r="AE431" s="27" t="inlineStr">
        <is>
          <t>005290.KQ</t>
        </is>
      </c>
    </row>
    <row r="432" ht="24" customHeight="1">
      <c r="A432" s="32" t="inlineStr">
        <is>
          <t>2025-03-18</t>
        </is>
      </c>
      <c r="B432" s="34" t="n">
        <v>31700</v>
      </c>
      <c r="C432" s="34" t="n">
        <v>31750</v>
      </c>
      <c r="D432" s="34" t="n">
        <v>30550</v>
      </c>
      <c r="E432" s="34" t="n">
        <v>30650</v>
      </c>
      <c r="F432" s="34" t="n">
        <v>30167.955078125</v>
      </c>
      <c r="G432" s="34" t="n">
        <v>810360</v>
      </c>
      <c r="H432" s="39" t="n">
        <v>-0.026984126984127</v>
      </c>
      <c r="I432" s="39" t="n">
        <v>-0.3990196078431373</v>
      </c>
      <c r="J432" s="34" t="n">
        <v>28247.5</v>
      </c>
      <c r="K432" s="34" t="n">
        <v>24667.5</v>
      </c>
      <c r="L432" s="34" t="n">
        <v>25270.83333333333</v>
      </c>
      <c r="M432" s="39" t="n">
        <v>0.5744183635705156</v>
      </c>
      <c r="N432" s="39" t="n">
        <v>0.5467845030719194</v>
      </c>
      <c r="O432" s="39" t="n">
        <v>0.1309963099630995</v>
      </c>
      <c r="P432" s="39" t="n">
        <v>0.3837471783295712</v>
      </c>
      <c r="Q432" s="39" t="n">
        <v>0.1268382352941178</v>
      </c>
      <c r="R432" s="39" t="n">
        <v>0.08505177449331791</v>
      </c>
      <c r="S432" s="39" t="n">
        <v>0.2425255903516772</v>
      </c>
      <c r="T432" s="39" t="n">
        <v>0.2128606760098928</v>
      </c>
      <c r="U432" s="34" t="n">
        <v>50100</v>
      </c>
      <c r="V432" s="34" t="n">
        <v>20400</v>
      </c>
      <c r="W432" s="39" t="n">
        <v>-0.3882235528942116</v>
      </c>
      <c r="X432" s="39" t="n">
        <v>0.5024509803921569</v>
      </c>
      <c r="Y432" s="34" t="n">
        <v>51414494</v>
      </c>
      <c r="Z432" s="34" t="n">
        <v>1575854241100</v>
      </c>
      <c r="AA432" s="34" t="n">
        <v>24837534000</v>
      </c>
      <c r="AB432" s="34" t="n">
        <v>62420072437.5</v>
      </c>
      <c r="AC432" s="39" t="n">
        <v>0.01576131430954081</v>
      </c>
      <c r="AD432" s="32" t="inlineStr">
        <is>
          <t>yfinance_download</t>
        </is>
      </c>
      <c r="AE432" s="32" t="inlineStr">
        <is>
          <t>005290.KQ</t>
        </is>
      </c>
    </row>
    <row r="433" ht="24" customHeight="1">
      <c r="A433" s="27" t="inlineStr">
        <is>
          <t>2025-03-19</t>
        </is>
      </c>
      <c r="B433" s="33" t="n">
        <v>30450</v>
      </c>
      <c r="C433" s="33" t="n">
        <v>32900</v>
      </c>
      <c r="D433" s="33" t="n">
        <v>30300</v>
      </c>
      <c r="E433" s="33" t="n">
        <v>32350</v>
      </c>
      <c r="F433" s="33" t="n">
        <v>31841.21875</v>
      </c>
      <c r="G433" s="33" t="n">
        <v>1958047</v>
      </c>
      <c r="H433" s="38" t="n">
        <v>0.05546492659053825</v>
      </c>
      <c r="I433" s="38" t="n">
        <v>-0.365686274509804</v>
      </c>
      <c r="J433" s="33" t="n">
        <v>28492.5</v>
      </c>
      <c r="K433" s="33" t="n">
        <v>24846.66666666667</v>
      </c>
      <c r="L433" s="33" t="n">
        <v>25302.91666666667</v>
      </c>
      <c r="M433" s="38" t="n">
        <v>0.5997374512547964</v>
      </c>
      <c r="N433" s="38" t="n">
        <v>0.5521795463939763</v>
      </c>
      <c r="O433" s="38" t="n">
        <v>0.1785063752276868</v>
      </c>
      <c r="P433" s="38" t="n">
        <v>0.4976851851851851</v>
      </c>
      <c r="Q433" s="38" t="n">
        <v>0.1350877192982456</v>
      </c>
      <c r="R433" s="38" t="n">
        <v>0.1353865052206722</v>
      </c>
      <c r="S433" s="38" t="n">
        <v>0.301985511134961</v>
      </c>
      <c r="T433" s="38" t="n">
        <v>0.2785087358176757</v>
      </c>
      <c r="U433" s="33" t="n">
        <v>50100</v>
      </c>
      <c r="V433" s="33" t="n">
        <v>20400</v>
      </c>
      <c r="W433" s="38" t="n">
        <v>-0.3542914171656687</v>
      </c>
      <c r="X433" s="38" t="n">
        <v>0.5857843137254901</v>
      </c>
      <c r="Y433" s="33" t="n">
        <v>51414494</v>
      </c>
      <c r="Z433" s="33" t="n">
        <v>1663258880900</v>
      </c>
      <c r="AA433" s="33" t="n">
        <v>63342820450</v>
      </c>
      <c r="AB433" s="33" t="n">
        <v>64673261592.5</v>
      </c>
      <c r="AC433" s="38" t="n">
        <v>0.03808356063953484</v>
      </c>
      <c r="AD433" s="27" t="inlineStr">
        <is>
          <t>yfinance_download</t>
        </is>
      </c>
      <c r="AE433" s="27" t="inlineStr">
        <is>
          <t>005290.KQ</t>
        </is>
      </c>
    </row>
    <row r="434" ht="24" customHeight="1">
      <c r="A434" s="32" t="inlineStr">
        <is>
          <t>2025-03-20</t>
        </is>
      </c>
      <c r="B434" s="34" t="n">
        <v>32550</v>
      </c>
      <c r="C434" s="34" t="n">
        <v>32700</v>
      </c>
      <c r="D434" s="34" t="n">
        <v>31600</v>
      </c>
      <c r="E434" s="34" t="n">
        <v>32100</v>
      </c>
      <c r="F434" s="34" t="n">
        <v>31595.150390625</v>
      </c>
      <c r="G434" s="34" t="n">
        <v>868677</v>
      </c>
      <c r="H434" s="39" t="n">
        <v>-0.007727975270479082</v>
      </c>
      <c r="I434" s="39" t="n">
        <v>-0.3705882352941177</v>
      </c>
      <c r="J434" s="34" t="n">
        <v>28690</v>
      </c>
      <c r="K434" s="34" t="n">
        <v>25009.16666666667</v>
      </c>
      <c r="L434" s="34" t="n">
        <v>25336.66666666667</v>
      </c>
      <c r="M434" s="39" t="n">
        <v>0.5991474978452117</v>
      </c>
      <c r="N434" s="39" t="n">
        <v>0.5500382759239001</v>
      </c>
      <c r="O434" s="39" t="n">
        <v>0.1403197158081706</v>
      </c>
      <c r="P434" s="39" t="n">
        <v>0.436241610738255</v>
      </c>
      <c r="Q434" s="39" t="n">
        <v>0.1443850267379678</v>
      </c>
      <c r="R434" s="39" t="n">
        <v>0.1188567445102824</v>
      </c>
      <c r="S434" s="39" t="n">
        <v>0.2835293725633934</v>
      </c>
      <c r="T434" s="39" t="n">
        <v>0.2669385607156953</v>
      </c>
      <c r="U434" s="34" t="n">
        <v>50100</v>
      </c>
      <c r="V434" s="34" t="n">
        <v>20400</v>
      </c>
      <c r="W434" s="39" t="n">
        <v>-0.3592814371257484</v>
      </c>
      <c r="X434" s="39" t="n">
        <v>0.5735294117647058</v>
      </c>
      <c r="Y434" s="34" t="n">
        <v>51414494</v>
      </c>
      <c r="Z434" s="34" t="n">
        <v>1650405257400</v>
      </c>
      <c r="AA434" s="34" t="n">
        <v>27884531700</v>
      </c>
      <c r="AB434" s="34" t="n">
        <v>64574817537.5</v>
      </c>
      <c r="AC434" s="39" t="n">
        <v>0.01689556645252601</v>
      </c>
      <c r="AD434" s="32" t="inlineStr">
        <is>
          <t>yfinance_download</t>
        </is>
      </c>
      <c r="AE434" s="32" t="inlineStr">
        <is>
          <t>005290.KQ</t>
        </is>
      </c>
    </row>
    <row r="435" ht="24" customHeight="1">
      <c r="A435" s="27" t="inlineStr">
        <is>
          <t>2025-03-21</t>
        </is>
      </c>
      <c r="B435" s="33" t="n">
        <v>32300</v>
      </c>
      <c r="C435" s="33" t="n">
        <v>32450</v>
      </c>
      <c r="D435" s="33" t="n">
        <v>31450</v>
      </c>
      <c r="E435" s="33" t="n">
        <v>31800</v>
      </c>
      <c r="F435" s="33" t="n">
        <v>31299.869140625</v>
      </c>
      <c r="G435" s="33" t="n">
        <v>911942</v>
      </c>
      <c r="H435" s="38" t="n">
        <v>-0.009345794392523366</v>
      </c>
      <c r="I435" s="38" t="n">
        <v>-0.3764705882352941</v>
      </c>
      <c r="J435" s="33" t="n">
        <v>28882.5</v>
      </c>
      <c r="K435" s="33" t="n">
        <v>25177.5</v>
      </c>
      <c r="L435" s="33" t="n">
        <v>25374.58333333333</v>
      </c>
      <c r="M435" s="38" t="n">
        <v>0.5999120994333177</v>
      </c>
      <c r="N435" s="38" t="n">
        <v>0.5460368025014729</v>
      </c>
      <c r="O435" s="38" t="n">
        <v>0.1377459749552772</v>
      </c>
      <c r="P435" s="38" t="n">
        <v>0.4654377880184333</v>
      </c>
      <c r="Q435" s="38" t="n">
        <v>0.1669724770642202</v>
      </c>
      <c r="R435" s="38" t="n">
        <v>0.1010127239678005</v>
      </c>
      <c r="S435" s="38" t="n">
        <v>0.2630324694667858</v>
      </c>
      <c r="T435" s="38" t="n">
        <v>0.2532225488103252</v>
      </c>
      <c r="U435" s="33" t="n">
        <v>50100</v>
      </c>
      <c r="V435" s="33" t="n">
        <v>20400</v>
      </c>
      <c r="W435" s="38" t="n">
        <v>-0.3652694610778443</v>
      </c>
      <c r="X435" s="38" t="n">
        <v>0.5588235294117647</v>
      </c>
      <c r="Y435" s="33" t="n">
        <v>51414494</v>
      </c>
      <c r="Z435" s="33" t="n">
        <v>1634980909200</v>
      </c>
      <c r="AA435" s="33" t="n">
        <v>28999755600</v>
      </c>
      <c r="AB435" s="33" t="n">
        <v>61520056302.5</v>
      </c>
      <c r="AC435" s="38" t="n">
        <v>0.01773706068176028</v>
      </c>
      <c r="AD435" s="27" t="inlineStr">
        <is>
          <t>yfinance_download</t>
        </is>
      </c>
      <c r="AE435" s="27" t="inlineStr">
        <is>
          <t>005290.KQ</t>
        </is>
      </c>
    </row>
    <row r="436" ht="24" customHeight="1">
      <c r="A436" s="32" t="inlineStr">
        <is>
          <t>2025-03-24</t>
        </is>
      </c>
      <c r="B436" s="34" t="n">
        <v>32100</v>
      </c>
      <c r="C436" s="34" t="n">
        <v>32550</v>
      </c>
      <c r="D436" s="34" t="n">
        <v>31000</v>
      </c>
      <c r="E436" s="34" t="n">
        <v>31650</v>
      </c>
      <c r="F436" s="34" t="n">
        <v>31152.228515625</v>
      </c>
      <c r="G436" s="34" t="n">
        <v>399653</v>
      </c>
      <c r="H436" s="39" t="n">
        <v>-0.004716981132075526</v>
      </c>
      <c r="I436" s="39" t="n">
        <v>-0.3794117647058823</v>
      </c>
      <c r="J436" s="34" t="n">
        <v>29047.5</v>
      </c>
      <c r="K436" s="34" t="n">
        <v>25332.5</v>
      </c>
      <c r="L436" s="34" t="n">
        <v>25412.91666666667</v>
      </c>
      <c r="M436" s="39" t="n">
        <v>0.6006976050189171</v>
      </c>
      <c r="N436" s="39" t="n">
        <v>0.5444225132050964</v>
      </c>
      <c r="O436" s="39" t="n">
        <v>0.1164021164021165</v>
      </c>
      <c r="P436" s="39" t="n">
        <v>0.4161073825503356</v>
      </c>
      <c r="Q436" s="39" t="n">
        <v>0.1700554528650646</v>
      </c>
      <c r="R436" s="39" t="n">
        <v>0.08959462948618646</v>
      </c>
      <c r="S436" s="39" t="n">
        <v>0.2493832033948484</v>
      </c>
      <c r="T436" s="39" t="n">
        <v>0.2454296535554426</v>
      </c>
      <c r="U436" s="34" t="n">
        <v>50100</v>
      </c>
      <c r="V436" s="34" t="n">
        <v>20400</v>
      </c>
      <c r="W436" s="39" t="n">
        <v>-0.3682634730538922</v>
      </c>
      <c r="X436" s="39" t="n">
        <v>0.5514705882352942</v>
      </c>
      <c r="Y436" s="34" t="n">
        <v>51414494</v>
      </c>
      <c r="Z436" s="34" t="n">
        <v>1627268735100</v>
      </c>
      <c r="AA436" s="34" t="n">
        <v>12649017450</v>
      </c>
      <c r="AB436" s="34" t="n">
        <v>61143499490</v>
      </c>
      <c r="AC436" s="39" t="n">
        <v>0.007773158284899196</v>
      </c>
      <c r="AD436" s="32" t="inlineStr">
        <is>
          <t>yfinance_download</t>
        </is>
      </c>
      <c r="AE436" s="32" t="inlineStr">
        <is>
          <t>005290.KQ</t>
        </is>
      </c>
    </row>
    <row r="437" ht="24" customHeight="1">
      <c r="A437" s="27" t="inlineStr">
        <is>
          <t>2025-03-25</t>
        </is>
      </c>
      <c r="B437" s="33" t="n">
        <v>32250</v>
      </c>
      <c r="C437" s="33" t="n">
        <v>32450</v>
      </c>
      <c r="D437" s="33" t="n">
        <v>31100</v>
      </c>
      <c r="E437" s="33" t="n">
        <v>31200</v>
      </c>
      <c r="F437" s="33" t="n">
        <v>30709.3046875</v>
      </c>
      <c r="G437" s="33" t="n">
        <v>427764</v>
      </c>
      <c r="H437" s="38" t="n">
        <v>-0.01421800947867302</v>
      </c>
      <c r="I437" s="38" t="n">
        <v>-0.388235294117647</v>
      </c>
      <c r="J437" s="33" t="n">
        <v>29215</v>
      </c>
      <c r="K437" s="33" t="n">
        <v>25495.83333333333</v>
      </c>
      <c r="L437" s="33" t="n">
        <v>25444.16666666667</v>
      </c>
      <c r="M437" s="38" t="n">
        <v>0.5990193372736484</v>
      </c>
      <c r="N437" s="38" t="n">
        <v>0.5366025999819224</v>
      </c>
      <c r="O437" s="38" t="n">
        <v>0.1202872531418313</v>
      </c>
      <c r="P437" s="38" t="n">
        <v>0.4579439252336448</v>
      </c>
      <c r="Q437" s="38" t="n">
        <v>0.1366120218579234</v>
      </c>
      <c r="R437" s="38" t="n">
        <v>0.06794454903303104</v>
      </c>
      <c r="S437" s="38" t="n">
        <v>0.2237293675437164</v>
      </c>
      <c r="T437" s="38" t="n">
        <v>0.2262142599810042</v>
      </c>
      <c r="U437" s="33" t="n">
        <v>50100</v>
      </c>
      <c r="V437" s="33" t="n">
        <v>20400</v>
      </c>
      <c r="W437" s="38" t="n">
        <v>-0.3772455089820359</v>
      </c>
      <c r="X437" s="38" t="n">
        <v>0.5294117647058822</v>
      </c>
      <c r="Y437" s="33" t="n">
        <v>51414494</v>
      </c>
      <c r="Z437" s="33" t="n">
        <v>1604132212800</v>
      </c>
      <c r="AA437" s="33" t="n">
        <v>13346236800</v>
      </c>
      <c r="AB437" s="33" t="n">
        <v>61012812747.5</v>
      </c>
      <c r="AC437" s="38" t="n">
        <v>0.008319910724007125</v>
      </c>
      <c r="AD437" s="27" t="inlineStr">
        <is>
          <t>yfinance_download</t>
        </is>
      </c>
      <c r="AE437" s="27" t="inlineStr">
        <is>
          <t>005290.KQ</t>
        </is>
      </c>
    </row>
    <row r="438" ht="24" customHeight="1">
      <c r="A438" s="32" t="inlineStr">
        <is>
          <t>2025-03-26</t>
        </is>
      </c>
      <c r="B438" s="34" t="n">
        <v>31350</v>
      </c>
      <c r="C438" s="34" t="n">
        <v>31750</v>
      </c>
      <c r="D438" s="34" t="n">
        <v>30550</v>
      </c>
      <c r="E438" s="34" t="n">
        <v>31350</v>
      </c>
      <c r="F438" s="34" t="n">
        <v>30856.9453125</v>
      </c>
      <c r="G438" s="34" t="n">
        <v>384153</v>
      </c>
      <c r="H438" s="39" t="n">
        <v>0.004807692307692291</v>
      </c>
      <c r="I438" s="39" t="n">
        <v>-0.3852941176470588</v>
      </c>
      <c r="J438" s="34" t="n">
        <v>29312.5</v>
      </c>
      <c r="K438" s="34" t="n">
        <v>25670</v>
      </c>
      <c r="L438" s="34" t="n">
        <v>25470</v>
      </c>
      <c r="M438" s="39" t="n">
        <v>0.570011225076371</v>
      </c>
      <c r="N438" s="39" t="n">
        <v>0.5329189868195168</v>
      </c>
      <c r="O438" s="39" t="n">
        <v>0.06632653061224492</v>
      </c>
      <c r="P438" s="39" t="n">
        <v>0.5</v>
      </c>
      <c r="Q438" s="39" t="n">
        <v>0.1097345132743364</v>
      </c>
      <c r="R438" s="39" t="n">
        <v>0.06950959488272912</v>
      </c>
      <c r="S438" s="39" t="n">
        <v>0.2212699649396181</v>
      </c>
      <c r="T438" s="39" t="n">
        <v>0.2308598351001179</v>
      </c>
      <c r="U438" s="34" t="n">
        <v>50100</v>
      </c>
      <c r="V438" s="34" t="n">
        <v>20400</v>
      </c>
      <c r="W438" s="39" t="n">
        <v>-0.374251497005988</v>
      </c>
      <c r="X438" s="39" t="n">
        <v>0.536764705882353</v>
      </c>
      <c r="Y438" s="34" t="n">
        <v>51414494</v>
      </c>
      <c r="Z438" s="34" t="n">
        <v>1611844386900</v>
      </c>
      <c r="AA438" s="34" t="n">
        <v>12043196550</v>
      </c>
      <c r="AB438" s="34" t="n">
        <v>31857336275</v>
      </c>
      <c r="AC438" s="39" t="n">
        <v>0.007471686874911188</v>
      </c>
      <c r="AD438" s="32" t="inlineStr">
        <is>
          <t>yfinance_download</t>
        </is>
      </c>
      <c r="AE438" s="32" t="inlineStr">
        <is>
          <t>005290.KQ</t>
        </is>
      </c>
    </row>
    <row r="439" ht="24" customHeight="1">
      <c r="A439" s="27" t="inlineStr">
        <is>
          <t>2025-03-27</t>
        </is>
      </c>
      <c r="B439" s="33" t="n">
        <v>30800</v>
      </c>
      <c r="C439" s="33" t="n">
        <v>31950</v>
      </c>
      <c r="D439" s="33" t="n">
        <v>30650</v>
      </c>
      <c r="E439" s="33" t="n">
        <v>31550</v>
      </c>
      <c r="F439" s="33" t="n">
        <v>31053.80078125</v>
      </c>
      <c r="G439" s="33" t="n">
        <v>440930</v>
      </c>
      <c r="H439" s="38" t="n">
        <v>0.006379585326953707</v>
      </c>
      <c r="I439" s="38" t="n">
        <v>-0.3813725490196078</v>
      </c>
      <c r="J439" s="33" t="n">
        <v>29467.5</v>
      </c>
      <c r="K439" s="33" t="n">
        <v>25836.66666666667</v>
      </c>
      <c r="L439" s="33" t="n">
        <v>25498.33333333333</v>
      </c>
      <c r="M439" s="38" t="n">
        <v>0.5537980430315752</v>
      </c>
      <c r="N439" s="38" t="n">
        <v>0.5306119005209626</v>
      </c>
      <c r="O439" s="38" t="n">
        <v>0.10896309314587</v>
      </c>
      <c r="P439" s="38" t="n">
        <v>0.4640371229698377</v>
      </c>
      <c r="Q439" s="38" t="n">
        <v>0.1207815275310835</v>
      </c>
      <c r="R439" s="38" t="n">
        <v>0.0706710783066089</v>
      </c>
      <c r="S439" s="38" t="n">
        <v>0.2211327570636046</v>
      </c>
      <c r="T439" s="38" t="n">
        <v>0.2373357735799726</v>
      </c>
      <c r="U439" s="33" t="n">
        <v>50100</v>
      </c>
      <c r="V439" s="33" t="n">
        <v>20400</v>
      </c>
      <c r="W439" s="38" t="n">
        <v>-0.3702594810379242</v>
      </c>
      <c r="X439" s="38" t="n">
        <v>0.5465686274509804</v>
      </c>
      <c r="Y439" s="33" t="n">
        <v>51414494</v>
      </c>
      <c r="Z439" s="33" t="n">
        <v>1622127285700</v>
      </c>
      <c r="AA439" s="33" t="n">
        <v>13911341500</v>
      </c>
      <c r="AB439" s="33" t="n">
        <v>28383759267.5</v>
      </c>
      <c r="AC439" s="38" t="n">
        <v>0.008575986374581455</v>
      </c>
      <c r="AD439" s="27" t="inlineStr">
        <is>
          <t>yfinance_download</t>
        </is>
      </c>
      <c r="AE439" s="27" t="inlineStr">
        <is>
          <t>005290.KQ</t>
        </is>
      </c>
    </row>
    <row r="440" ht="24" customHeight="1">
      <c r="A440" s="32" t="inlineStr">
        <is>
          <t>2025-03-28</t>
        </is>
      </c>
      <c r="B440" s="34" t="n">
        <v>31600</v>
      </c>
      <c r="C440" s="34" t="n">
        <v>31600</v>
      </c>
      <c r="D440" s="34" t="n">
        <v>29900</v>
      </c>
      <c r="E440" s="34" t="n">
        <v>30000</v>
      </c>
      <c r="F440" s="34" t="n">
        <v>29528.177734375</v>
      </c>
      <c r="G440" s="34" t="n">
        <v>604910</v>
      </c>
      <c r="H440" s="39" t="n">
        <v>-0.04912836767036455</v>
      </c>
      <c r="I440" s="39" t="n">
        <v>-0.4117647058823529</v>
      </c>
      <c r="J440" s="34" t="n">
        <v>29597.5</v>
      </c>
      <c r="K440" s="34" t="n">
        <v>25973.33333333333</v>
      </c>
      <c r="L440" s="34" t="n">
        <v>25500.83333333333</v>
      </c>
      <c r="M440" s="39" t="n">
        <v>0.5678065352231745</v>
      </c>
      <c r="N440" s="39" t="n">
        <v>0.5427778883317886</v>
      </c>
      <c r="O440" s="39" t="n">
        <v>0.0948905109489051</v>
      </c>
      <c r="P440" s="39" t="n">
        <v>0.3761467889908257</v>
      </c>
      <c r="Q440" s="39" t="n">
        <v>0.01010101010101017</v>
      </c>
      <c r="R440" s="39" t="n">
        <v>0.01359912154742804</v>
      </c>
      <c r="S440" s="39" t="n">
        <v>0.1550308008213552</v>
      </c>
      <c r="T440" s="39" t="n">
        <v>0.1764321427404334</v>
      </c>
      <c r="U440" s="34" t="n">
        <v>50100</v>
      </c>
      <c r="V440" s="34" t="n">
        <v>20400</v>
      </c>
      <c r="W440" s="39" t="n">
        <v>-0.4011976047904192</v>
      </c>
      <c r="X440" s="39" t="n">
        <v>0.4705882352941178</v>
      </c>
      <c r="Y440" s="34" t="n">
        <v>51414494</v>
      </c>
      <c r="Z440" s="34" t="n">
        <v>1542434820000</v>
      </c>
      <c r="AA440" s="34" t="n">
        <v>18147300000</v>
      </c>
      <c r="AB440" s="34" t="n">
        <v>27430716327.5</v>
      </c>
      <c r="AC440" s="39" t="n">
        <v>0.01176535939457072</v>
      </c>
      <c r="AD440" s="32" t="inlineStr">
        <is>
          <t>yfinance_download</t>
        </is>
      </c>
      <c r="AE440" s="32" t="inlineStr">
        <is>
          <t>005290.KQ</t>
        </is>
      </c>
    </row>
    <row r="441" ht="24" customHeight="1">
      <c r="A441" s="27" t="inlineStr">
        <is>
          <t>2025-03-31</t>
        </is>
      </c>
      <c r="B441" s="33" t="n">
        <v>29250</v>
      </c>
      <c r="C441" s="33" t="n">
        <v>29850</v>
      </c>
      <c r="D441" s="33" t="n">
        <v>28700</v>
      </c>
      <c r="E441" s="33" t="n">
        <v>29150</v>
      </c>
      <c r="F441" s="33" t="n">
        <v>28691.546875</v>
      </c>
      <c r="G441" s="33" t="n">
        <v>515019</v>
      </c>
      <c r="H441" s="38" t="n">
        <v>-0.02833333333333332</v>
      </c>
      <c r="I441" s="38" t="n">
        <v>-0.4284313725490196</v>
      </c>
      <c r="J441" s="33" t="n">
        <v>29745</v>
      </c>
      <c r="K441" s="33" t="n">
        <v>26108.33333333333</v>
      </c>
      <c r="L441" s="33" t="n">
        <v>25496.25</v>
      </c>
      <c r="M441" s="38" t="n">
        <v>0.5525799312834426</v>
      </c>
      <c r="N441" s="38" t="n">
        <v>0.5409921502073771</v>
      </c>
      <c r="O441" s="38" t="n">
        <v>0.1125954198473282</v>
      </c>
      <c r="P441" s="38" t="n">
        <v>0.3847980997624703</v>
      </c>
      <c r="Q441" s="38" t="n">
        <v>-0.01851851851851849</v>
      </c>
      <c r="R441" s="38" t="n">
        <v>-0.02000336190956464</v>
      </c>
      <c r="S441" s="38" t="n">
        <v>0.1165017555059049</v>
      </c>
      <c r="T441" s="38" t="n">
        <v>0.1433053880472619</v>
      </c>
      <c r="U441" s="33" t="n">
        <v>50100</v>
      </c>
      <c r="V441" s="33" t="n">
        <v>20400</v>
      </c>
      <c r="W441" s="38" t="n">
        <v>-0.4181636726546906</v>
      </c>
      <c r="X441" s="38" t="n">
        <v>0.428921568627451</v>
      </c>
      <c r="Y441" s="33" t="n">
        <v>51414494</v>
      </c>
      <c r="Z441" s="33" t="n">
        <v>1498732500100</v>
      </c>
      <c r="AA441" s="33" t="n">
        <v>15012803850</v>
      </c>
      <c r="AB441" s="33" t="n">
        <v>26393733140</v>
      </c>
      <c r="AC441" s="38" t="n">
        <v>0.01001700026455575</v>
      </c>
      <c r="AD441" s="27" t="inlineStr">
        <is>
          <t>yfinance_download</t>
        </is>
      </c>
      <c r="AE441" s="27" t="inlineStr">
        <is>
          <t>005290.KQ</t>
        </is>
      </c>
    </row>
    <row r="442" ht="24" customHeight="1">
      <c r="A442" s="32" t="inlineStr">
        <is>
          <t>2025-04-01</t>
        </is>
      </c>
      <c r="B442" s="34" t="n">
        <v>29750</v>
      </c>
      <c r="C442" s="34" t="n">
        <v>30100</v>
      </c>
      <c r="D442" s="34" t="n">
        <v>28950</v>
      </c>
      <c r="E442" s="34" t="n">
        <v>29400</v>
      </c>
      <c r="F442" s="34" t="n">
        <v>28937.615234375</v>
      </c>
      <c r="G442" s="34" t="n">
        <v>362614</v>
      </c>
      <c r="H442" s="39" t="n">
        <v>0.008576329331046351</v>
      </c>
      <c r="I442" s="39" t="n">
        <v>-0.4235294117647059</v>
      </c>
      <c r="J442" s="34" t="n">
        <v>29915</v>
      </c>
      <c r="K442" s="34" t="n">
        <v>26253.33333333333</v>
      </c>
      <c r="L442" s="34" t="n">
        <v>25499.58333333333</v>
      </c>
      <c r="M442" s="39" t="n">
        <v>0.5502995468265685</v>
      </c>
      <c r="N442" s="39" t="n">
        <v>0.5389508329052909</v>
      </c>
      <c r="O442" s="39" t="n">
        <v>0.1307692307692307</v>
      </c>
      <c r="P442" s="39" t="n">
        <v>0.4202898550724639</v>
      </c>
      <c r="Q442" s="39" t="n">
        <v>0.01379310344827589</v>
      </c>
      <c r="R442" s="39" t="n">
        <v>-0.01721544375731243</v>
      </c>
      <c r="S442" s="39" t="n">
        <v>0.1198577958354494</v>
      </c>
      <c r="T442" s="39" t="n">
        <v>0.1529600156865309</v>
      </c>
      <c r="U442" s="34" t="n">
        <v>50100</v>
      </c>
      <c r="V442" s="34" t="n">
        <v>20400</v>
      </c>
      <c r="W442" s="39" t="n">
        <v>-0.4131736526946108</v>
      </c>
      <c r="X442" s="39" t="n">
        <v>0.4411764705882353</v>
      </c>
      <c r="Y442" s="34" t="n">
        <v>51414494</v>
      </c>
      <c r="Z442" s="34" t="n">
        <v>1511586123600</v>
      </c>
      <c r="AA442" s="34" t="n">
        <v>10660851600</v>
      </c>
      <c r="AB442" s="34" t="n">
        <v>25927946720</v>
      </c>
      <c r="AC442" s="39" t="n">
        <v>0.007052758313638174</v>
      </c>
      <c r="AD442" s="32" t="inlineStr">
        <is>
          <t>yfinance_download</t>
        </is>
      </c>
      <c r="AE442" s="32" t="inlineStr">
        <is>
          <t>005290.KQ</t>
        </is>
      </c>
    </row>
    <row r="443" ht="24" customHeight="1">
      <c r="A443" s="27" t="inlineStr">
        <is>
          <t>2025-04-02</t>
        </is>
      </c>
      <c r="B443" s="33" t="n">
        <v>29700</v>
      </c>
      <c r="C443" s="33" t="n">
        <v>29750</v>
      </c>
      <c r="D443" s="33" t="n">
        <v>29200</v>
      </c>
      <c r="E443" s="33" t="n">
        <v>29550</v>
      </c>
      <c r="F443" s="33" t="n">
        <v>29085.255859375</v>
      </c>
      <c r="G443" s="33" t="n">
        <v>236672</v>
      </c>
      <c r="H443" s="38" t="n">
        <v>0.005102040816326481</v>
      </c>
      <c r="I443" s="38" t="n">
        <v>-0.4205882352941176</v>
      </c>
      <c r="J443" s="33" t="n">
        <v>30032.5</v>
      </c>
      <c r="K443" s="33" t="n">
        <v>26397.5</v>
      </c>
      <c r="L443" s="33" t="n">
        <v>25496.66666666667</v>
      </c>
      <c r="M443" s="38" t="n">
        <v>0.530215249203756</v>
      </c>
      <c r="N443" s="38" t="n">
        <v>0.5389148432899995</v>
      </c>
      <c r="O443" s="38" t="n">
        <v>0.08639705882352944</v>
      </c>
      <c r="P443" s="38" t="n">
        <v>0.4138755980861244</v>
      </c>
      <c r="Q443" s="38" t="n">
        <v>-0.01170568561872909</v>
      </c>
      <c r="R443" s="38" t="n">
        <v>-0.01606592857737454</v>
      </c>
      <c r="S443" s="38" t="n">
        <v>0.1194241878965812</v>
      </c>
      <c r="T443" s="38" t="n">
        <v>0.1589750294156098</v>
      </c>
      <c r="U443" s="33" t="n">
        <v>50100</v>
      </c>
      <c r="V443" s="33" t="n">
        <v>20400</v>
      </c>
      <c r="W443" s="38" t="n">
        <v>-0.4101796407185628</v>
      </c>
      <c r="X443" s="38" t="n">
        <v>0.4485294117647058</v>
      </c>
      <c r="Y443" s="33" t="n">
        <v>51414494</v>
      </c>
      <c r="Z443" s="33" t="n">
        <v>1519298297700</v>
      </c>
      <c r="AA443" s="33" t="n">
        <v>6993657600</v>
      </c>
      <c r="AB443" s="33" t="n">
        <v>25149724480</v>
      </c>
      <c r="AC443" s="38" t="n">
        <v>0.004603215583527867</v>
      </c>
      <c r="AD443" s="27" t="inlineStr">
        <is>
          <t>yfinance_download</t>
        </is>
      </c>
      <c r="AE443" s="27" t="inlineStr">
        <is>
          <t>005290.KQ</t>
        </is>
      </c>
    </row>
    <row r="444" ht="24" customHeight="1">
      <c r="A444" s="32" t="inlineStr">
        <is>
          <t>2025-04-03</t>
        </is>
      </c>
      <c r="B444" s="34" t="n">
        <v>28650</v>
      </c>
      <c r="C444" s="34" t="n">
        <v>28950</v>
      </c>
      <c r="D444" s="34" t="n">
        <v>28150</v>
      </c>
      <c r="E444" s="34" t="n">
        <v>28800</v>
      </c>
      <c r="F444" s="34" t="n">
        <v>28347.05078125</v>
      </c>
      <c r="G444" s="34" t="n">
        <v>280128</v>
      </c>
      <c r="H444" s="39" t="n">
        <v>-0.02538071065989844</v>
      </c>
      <c r="I444" s="39" t="n">
        <v>-0.4352941176470588</v>
      </c>
      <c r="J444" s="34" t="n">
        <v>30160</v>
      </c>
      <c r="K444" s="34" t="n">
        <v>26527.5</v>
      </c>
      <c r="L444" s="34" t="n">
        <v>25490</v>
      </c>
      <c r="M444" s="39" t="n">
        <v>0.5217750583253731</v>
      </c>
      <c r="N444" s="39" t="n">
        <v>0.5428202771330661</v>
      </c>
      <c r="O444" s="39" t="n">
        <v>0.0971428571428572</v>
      </c>
      <c r="P444" s="39" t="n">
        <v>0.3714285714285714</v>
      </c>
      <c r="Q444" s="39" t="n">
        <v>-0.02702702702702697</v>
      </c>
      <c r="R444" s="39" t="n">
        <v>-0.04509283819628651</v>
      </c>
      <c r="S444" s="39" t="n">
        <v>0.0856658184902459</v>
      </c>
      <c r="T444" s="39" t="n">
        <v>0.1298548450372696</v>
      </c>
      <c r="U444" s="34" t="n">
        <v>50100</v>
      </c>
      <c r="V444" s="34" t="n">
        <v>20400</v>
      </c>
      <c r="W444" s="39" t="n">
        <v>-0.4251497005988024</v>
      </c>
      <c r="X444" s="39" t="n">
        <v>0.411764705882353</v>
      </c>
      <c r="Y444" s="34" t="n">
        <v>51414494</v>
      </c>
      <c r="Z444" s="34" t="n">
        <v>1480737427200</v>
      </c>
      <c r="AA444" s="34" t="n">
        <v>8067686400</v>
      </c>
      <c r="AB444" s="34" t="n">
        <v>24919583425</v>
      </c>
      <c r="AC444" s="39" t="n">
        <v>0.005448424718523925</v>
      </c>
      <c r="AD444" s="32" t="inlineStr">
        <is>
          <t>yfinance_download</t>
        </is>
      </c>
      <c r="AE444" s="32" t="inlineStr">
        <is>
          <t>005290.KQ</t>
        </is>
      </c>
    </row>
    <row r="445" ht="24" customHeight="1">
      <c r="A445" s="27" t="inlineStr">
        <is>
          <t>2025-04-04</t>
        </is>
      </c>
      <c r="B445" s="33" t="n">
        <v>28000</v>
      </c>
      <c r="C445" s="33" t="n">
        <v>29050</v>
      </c>
      <c r="D445" s="33" t="n">
        <v>26750</v>
      </c>
      <c r="E445" s="33" t="n">
        <v>27550</v>
      </c>
      <c r="F445" s="33" t="n">
        <v>27116.7109375</v>
      </c>
      <c r="G445" s="33" t="n">
        <v>557814</v>
      </c>
      <c r="H445" s="38" t="n">
        <v>-0.04340277777777779</v>
      </c>
      <c r="I445" s="38" t="n">
        <v>-0.4598039215686275</v>
      </c>
      <c r="J445" s="33" t="n">
        <v>30145</v>
      </c>
      <c r="K445" s="33" t="n">
        <v>26616.66666666667</v>
      </c>
      <c r="L445" s="33" t="n">
        <v>25471.25</v>
      </c>
      <c r="M445" s="38" t="n">
        <v>0.504969459678085</v>
      </c>
      <c r="N445" s="38" t="n">
        <v>0.541344652993447</v>
      </c>
      <c r="O445" s="38" t="n">
        <v>-0.01077199281867147</v>
      </c>
      <c r="P445" s="38" t="n">
        <v>0.2409909909909911</v>
      </c>
      <c r="Q445" s="38" t="n">
        <v>-0.07550335570469802</v>
      </c>
      <c r="R445" s="38" t="n">
        <v>-0.0860839276828661</v>
      </c>
      <c r="S445" s="38" t="n">
        <v>0.03506574827802122</v>
      </c>
      <c r="T445" s="38" t="n">
        <v>0.08161162094518337</v>
      </c>
      <c r="U445" s="33" t="n">
        <v>50100</v>
      </c>
      <c r="V445" s="33" t="n">
        <v>20400</v>
      </c>
      <c r="W445" s="38" t="n">
        <v>-0.4500998003992016</v>
      </c>
      <c r="X445" s="38" t="n">
        <v>0.3504901960784315</v>
      </c>
      <c r="Y445" s="33" t="n">
        <v>51414494</v>
      </c>
      <c r="Z445" s="33" t="n">
        <v>1416469309700</v>
      </c>
      <c r="AA445" s="33" t="n">
        <v>15367775700</v>
      </c>
      <c r="AB445" s="33" t="n">
        <v>24330543715</v>
      </c>
      <c r="AC445" s="38" t="n">
        <v>0.01084935310264845</v>
      </c>
      <c r="AD445" s="27" t="inlineStr">
        <is>
          <t>yfinance_download</t>
        </is>
      </c>
      <c r="AE445" s="27" t="inlineStr">
        <is>
          <t>005290.KQ</t>
        </is>
      </c>
    </row>
    <row r="446" ht="24" customHeight="1">
      <c r="A446" s="32" t="inlineStr">
        <is>
          <t>2025-04-07</t>
        </is>
      </c>
      <c r="B446" s="34" t="n">
        <v>26150</v>
      </c>
      <c r="C446" s="34" t="n">
        <v>26450</v>
      </c>
      <c r="D446" s="34" t="n">
        <v>25500</v>
      </c>
      <c r="E446" s="34" t="n">
        <v>25750</v>
      </c>
      <c r="F446" s="34" t="n">
        <v>25345.01953125</v>
      </c>
      <c r="G446" s="34" t="n">
        <v>466330</v>
      </c>
      <c r="H446" s="39" t="n">
        <v>-0.06533575317604357</v>
      </c>
      <c r="I446" s="39" t="n">
        <v>-0.4950980392156863</v>
      </c>
      <c r="J446" s="34" t="n">
        <v>30045</v>
      </c>
      <c r="K446" s="34" t="n">
        <v>26661.66666666667</v>
      </c>
      <c r="L446" s="34" t="n">
        <v>25445.41666666667</v>
      </c>
      <c r="M446" s="39" t="n">
        <v>0.5556992079010886</v>
      </c>
      <c r="N446" s="39" t="n">
        <v>0.5549338856384197</v>
      </c>
      <c r="O446" s="39" t="n">
        <v>-0.07207207207207211</v>
      </c>
      <c r="P446" s="39" t="n">
        <v>0.1171366594360086</v>
      </c>
      <c r="Q446" s="39" t="n">
        <v>-0.1074523396880416</v>
      </c>
      <c r="R446" s="39" t="n">
        <v>-0.1429522383092029</v>
      </c>
      <c r="S446" s="39" t="n">
        <v>-0.03419391135837979</v>
      </c>
      <c r="T446" s="39" t="n">
        <v>0.01197006664592504</v>
      </c>
      <c r="U446" s="34" t="n">
        <v>50100</v>
      </c>
      <c r="V446" s="34" t="n">
        <v>20400</v>
      </c>
      <c r="W446" s="39" t="n">
        <v>-0.4860279441117764</v>
      </c>
      <c r="X446" s="39" t="n">
        <v>0.2622549019607843</v>
      </c>
      <c r="Y446" s="34" t="n">
        <v>51414494</v>
      </c>
      <c r="Z446" s="34" t="n">
        <v>1323923220500</v>
      </c>
      <c r="AA446" s="34" t="n">
        <v>12007997500</v>
      </c>
      <c r="AB446" s="34" t="n">
        <v>23860411027.5</v>
      </c>
      <c r="AC446" s="39" t="n">
        <v>0.009070010491594062</v>
      </c>
      <c r="AD446" s="32" t="inlineStr">
        <is>
          <t>yfinance_download</t>
        </is>
      </c>
      <c r="AE446" s="32" t="inlineStr">
        <is>
          <t>005290.KQ</t>
        </is>
      </c>
    </row>
    <row r="447" ht="24" customHeight="1">
      <c r="A447" s="27" t="inlineStr">
        <is>
          <t>2025-04-08</t>
        </is>
      </c>
      <c r="B447" s="33" t="n">
        <v>26700</v>
      </c>
      <c r="C447" s="33" t="n">
        <v>27050</v>
      </c>
      <c r="D447" s="33" t="n">
        <v>25700</v>
      </c>
      <c r="E447" s="33" t="n">
        <v>26050</v>
      </c>
      <c r="F447" s="33" t="n">
        <v>25640.30078125</v>
      </c>
      <c r="G447" s="33" t="n">
        <v>351087</v>
      </c>
      <c r="H447" s="38" t="n">
        <v>0.01165048543689329</v>
      </c>
      <c r="I447" s="38" t="n">
        <v>-0.4892156862745098</v>
      </c>
      <c r="J447" s="33" t="n">
        <v>29942.5</v>
      </c>
      <c r="K447" s="33" t="n">
        <v>26719.16666666667</v>
      </c>
      <c r="L447" s="33" t="n">
        <v>25425</v>
      </c>
      <c r="M447" s="38" t="n">
        <v>0.5553475163188075</v>
      </c>
      <c r="N447" s="38" t="n">
        <v>0.5533388302127239</v>
      </c>
      <c r="O447" s="38" t="n">
        <v>-0.07295373665480431</v>
      </c>
      <c r="P447" s="38" t="n">
        <v>0.1526548672566372</v>
      </c>
      <c r="Q447" s="38" t="n">
        <v>-0.0859649122807018</v>
      </c>
      <c r="R447" s="38" t="n">
        <v>-0.1299991650663772</v>
      </c>
      <c r="S447" s="38" t="n">
        <v>-0.0250444437513645</v>
      </c>
      <c r="T447" s="38" t="n">
        <v>0.02458210422812201</v>
      </c>
      <c r="U447" s="33" t="n">
        <v>50100</v>
      </c>
      <c r="V447" s="33" t="n">
        <v>20400</v>
      </c>
      <c r="W447" s="38" t="n">
        <v>-0.4800399201596807</v>
      </c>
      <c r="X447" s="38" t="n">
        <v>0.2769607843137254</v>
      </c>
      <c r="Y447" s="33" t="n">
        <v>51414494</v>
      </c>
      <c r="Z447" s="33" t="n">
        <v>1339347568700</v>
      </c>
      <c r="AA447" s="33" t="n">
        <v>9145816350</v>
      </c>
      <c r="AB447" s="33" t="n">
        <v>23463589700</v>
      </c>
      <c r="AC447" s="38" t="n">
        <v>0.006828560833449027</v>
      </c>
      <c r="AD447" s="27" t="inlineStr">
        <is>
          <t>yfinance_download</t>
        </is>
      </c>
      <c r="AE447" s="27" t="inlineStr">
        <is>
          <t>005290.KQ</t>
        </is>
      </c>
    </row>
    <row r="448" ht="24" customHeight="1">
      <c r="A448" s="32" t="inlineStr">
        <is>
          <t>2025-04-09</t>
        </is>
      </c>
      <c r="B448" s="34" t="n">
        <v>25850</v>
      </c>
      <c r="C448" s="34" t="n">
        <v>26500</v>
      </c>
      <c r="D448" s="34" t="n">
        <v>24800</v>
      </c>
      <c r="E448" s="34" t="n">
        <v>25400</v>
      </c>
      <c r="F448" s="34" t="n">
        <v>25000.5234375</v>
      </c>
      <c r="G448" s="34" t="n">
        <v>502996</v>
      </c>
      <c r="H448" s="39" t="n">
        <v>-0.0249520153550864</v>
      </c>
      <c r="I448" s="39" t="n">
        <v>-0.5019607843137255</v>
      </c>
      <c r="J448" s="34" t="n">
        <v>29750</v>
      </c>
      <c r="K448" s="34" t="n">
        <v>26740</v>
      </c>
      <c r="L448" s="34" t="n">
        <v>25396.66666666667</v>
      </c>
      <c r="M448" s="39" t="n">
        <v>0.5347704974655052</v>
      </c>
      <c r="N448" s="39" t="n">
        <v>0.5389770931269992</v>
      </c>
      <c r="O448" s="39" t="n">
        <v>-0.1316239316239316</v>
      </c>
      <c r="P448" s="39" t="n">
        <v>0.05175983436852993</v>
      </c>
      <c r="Q448" s="39" t="n">
        <v>-0.1180555555555556</v>
      </c>
      <c r="R448" s="39" t="n">
        <v>-0.146218487394958</v>
      </c>
      <c r="S448" s="39" t="n">
        <v>-0.05011219147344803</v>
      </c>
      <c r="T448" s="39" t="n">
        <v>0.0001312508203175078</v>
      </c>
      <c r="U448" s="34" t="n">
        <v>50100</v>
      </c>
      <c r="V448" s="34" t="n">
        <v>20400</v>
      </c>
      <c r="W448" s="39" t="n">
        <v>-0.4930139720558883</v>
      </c>
      <c r="X448" s="39" t="n">
        <v>0.2450980392156863</v>
      </c>
      <c r="Y448" s="34" t="n">
        <v>51414494</v>
      </c>
      <c r="Z448" s="34" t="n">
        <v>1305928147600</v>
      </c>
      <c r="AA448" s="34" t="n">
        <v>12776098400</v>
      </c>
      <c r="AB448" s="34" t="n">
        <v>22474288432.5</v>
      </c>
      <c r="AC448" s="39" t="n">
        <v>0.009783155699246987</v>
      </c>
      <c r="AD448" s="32" t="inlineStr">
        <is>
          <t>yfinance_download</t>
        </is>
      </c>
      <c r="AE448" s="32" t="inlineStr">
        <is>
          <t>005290.KQ</t>
        </is>
      </c>
    </row>
    <row r="449" ht="24" customHeight="1">
      <c r="A449" s="27" t="inlineStr">
        <is>
          <t>2025-04-10</t>
        </is>
      </c>
      <c r="B449" s="33" t="n">
        <v>27750</v>
      </c>
      <c r="C449" s="33" t="n">
        <v>27750</v>
      </c>
      <c r="D449" s="33" t="n">
        <v>26600</v>
      </c>
      <c r="E449" s="33" t="n">
        <v>27050</v>
      </c>
      <c r="F449" s="33" t="n">
        <v>26624.57421875</v>
      </c>
      <c r="G449" s="33" t="n">
        <v>553138</v>
      </c>
      <c r="H449" s="38" t="n">
        <v>0.06496062992125995</v>
      </c>
      <c r="I449" s="38" t="n">
        <v>-0.4696078431372549</v>
      </c>
      <c r="J449" s="33" t="n">
        <v>29677.5</v>
      </c>
      <c r="K449" s="33" t="n">
        <v>26803.33333333333</v>
      </c>
      <c r="L449" s="33" t="n">
        <v>25378.75</v>
      </c>
      <c r="M449" s="38" t="n">
        <v>0.5860021571635806</v>
      </c>
      <c r="N449" s="38" t="n">
        <v>0.5482873810624997</v>
      </c>
      <c r="O449" s="38" t="n">
        <v>-0.05087719298245619</v>
      </c>
      <c r="P449" s="38" t="n">
        <v>0.1634408602150537</v>
      </c>
      <c r="Q449" s="38" t="n">
        <v>-0.07363013698630139</v>
      </c>
      <c r="R449" s="38" t="n">
        <v>-0.08853508550248501</v>
      </c>
      <c r="S449" s="38" t="n">
        <v>0.009202835468225423</v>
      </c>
      <c r="T449" s="38" t="n">
        <v>0.06585233709304039</v>
      </c>
      <c r="U449" s="33" t="n">
        <v>50100</v>
      </c>
      <c r="V449" s="33" t="n">
        <v>20400</v>
      </c>
      <c r="W449" s="38" t="n">
        <v>-0.4600798403193613</v>
      </c>
      <c r="X449" s="38" t="n">
        <v>0.3259803921568627</v>
      </c>
      <c r="Y449" s="33" t="n">
        <v>51414494</v>
      </c>
      <c r="Z449" s="33" t="n">
        <v>1390762062700</v>
      </c>
      <c r="AA449" s="33" t="n">
        <v>14962382900</v>
      </c>
      <c r="AB449" s="33" t="n">
        <v>21809870627.5</v>
      </c>
      <c r="AC449" s="38" t="n">
        <v>0.010758405985674</v>
      </c>
      <c r="AD449" s="27" t="inlineStr">
        <is>
          <t>yfinance_download</t>
        </is>
      </c>
      <c r="AE449" s="27" t="inlineStr">
        <is>
          <t>005290.KQ</t>
        </is>
      </c>
    </row>
    <row r="450" ht="24" customHeight="1">
      <c r="A450" s="32" t="inlineStr">
        <is>
          <t>2025-04-11</t>
        </is>
      </c>
      <c r="B450" s="34" t="n">
        <v>26450</v>
      </c>
      <c r="C450" s="34" t="n">
        <v>28050</v>
      </c>
      <c r="D450" s="34" t="n">
        <v>26450</v>
      </c>
      <c r="E450" s="34" t="n">
        <v>28050</v>
      </c>
      <c r="F450" s="34" t="n">
        <v>27608.845703125</v>
      </c>
      <c r="G450" s="34" t="n">
        <v>463626</v>
      </c>
      <c r="H450" s="39" t="n">
        <v>0.0369685767097967</v>
      </c>
      <c r="I450" s="39" t="n">
        <v>-0.45</v>
      </c>
      <c r="J450" s="34" t="n">
        <v>29545</v>
      </c>
      <c r="K450" s="34" t="n">
        <v>26889.16666666667</v>
      </c>
      <c r="L450" s="34" t="n">
        <v>25374.16666666667</v>
      </c>
      <c r="M450" s="39" t="n">
        <v>0.5285088851254155</v>
      </c>
      <c r="N450" s="39" t="n">
        <v>0.5512849844507095</v>
      </c>
      <c r="O450" s="39" t="n">
        <v>-0.08631921824104238</v>
      </c>
      <c r="P450" s="39" t="n">
        <v>0.2248908296943231</v>
      </c>
      <c r="Q450" s="39" t="n">
        <v>-0.01923076923076927</v>
      </c>
      <c r="R450" s="39" t="n">
        <v>-0.05060077847351496</v>
      </c>
      <c r="S450" s="39" t="n">
        <v>0.04317104162147078</v>
      </c>
      <c r="T450" s="39" t="n">
        <v>0.1054550231534697</v>
      </c>
      <c r="U450" s="34" t="n">
        <v>50100</v>
      </c>
      <c r="V450" s="34" t="n">
        <v>20400</v>
      </c>
      <c r="W450" s="39" t="n">
        <v>-0.4401197604790419</v>
      </c>
      <c r="X450" s="39" t="n">
        <v>0.375</v>
      </c>
      <c r="Y450" s="34" t="n">
        <v>51414494</v>
      </c>
      <c r="Z450" s="34" t="n">
        <v>1442176556700</v>
      </c>
      <c r="AA450" s="34" t="n">
        <v>13004709300</v>
      </c>
      <c r="AB450" s="34" t="n">
        <v>19464114582.5</v>
      </c>
      <c r="AC450" s="39" t="n">
        <v>0.009017418317877446</v>
      </c>
      <c r="AD450" s="32" t="inlineStr">
        <is>
          <t>yfinance_download</t>
        </is>
      </c>
      <c r="AE450" s="32" t="inlineStr">
        <is>
          <t>005290.KQ</t>
        </is>
      </c>
    </row>
    <row r="451" ht="24" customHeight="1">
      <c r="A451" s="27" t="inlineStr">
        <is>
          <t>2025-04-14</t>
        </is>
      </c>
      <c r="B451" s="33" t="n">
        <v>28450</v>
      </c>
      <c r="C451" s="33" t="n">
        <v>28450</v>
      </c>
      <c r="D451" s="33" t="n">
        <v>27750</v>
      </c>
      <c r="E451" s="33" t="n">
        <v>27900</v>
      </c>
      <c r="F451" s="33" t="n">
        <v>27461.205078125</v>
      </c>
      <c r="G451" s="33" t="n">
        <v>278047</v>
      </c>
      <c r="H451" s="38" t="n">
        <v>-0.005347593582887722</v>
      </c>
      <c r="I451" s="38" t="n">
        <v>-0.4529411764705882</v>
      </c>
      <c r="J451" s="33" t="n">
        <v>29365</v>
      </c>
      <c r="K451" s="33" t="n">
        <v>26984.16666666667</v>
      </c>
      <c r="L451" s="33" t="n">
        <v>25378.75</v>
      </c>
      <c r="M451" s="38" t="n">
        <v>0.51645573869718</v>
      </c>
      <c r="N451" s="38" t="n">
        <v>0.5469414378988473</v>
      </c>
      <c r="O451" s="38" t="n">
        <v>-0.1142857142857143</v>
      </c>
      <c r="P451" s="38" t="n">
        <v>0.2567567567567568</v>
      </c>
      <c r="Q451" s="38" t="n">
        <v>0.02010968921389389</v>
      </c>
      <c r="R451" s="38" t="n">
        <v>-0.04988932402520008</v>
      </c>
      <c r="S451" s="38" t="n">
        <v>0.03393965597109405</v>
      </c>
      <c r="T451" s="38" t="n">
        <v>0.09934492439540965</v>
      </c>
      <c r="U451" s="33" t="n">
        <v>50100</v>
      </c>
      <c r="V451" s="33" t="n">
        <v>20400</v>
      </c>
      <c r="W451" s="38" t="n">
        <v>-0.4431137724550899</v>
      </c>
      <c r="X451" s="38" t="n">
        <v>0.3676470588235294</v>
      </c>
      <c r="Y451" s="33" t="n">
        <v>51414494</v>
      </c>
      <c r="Z451" s="33" t="n">
        <v>1434464382600</v>
      </c>
      <c r="AA451" s="33" t="n">
        <v>7757511300</v>
      </c>
      <c r="AB451" s="33" t="n">
        <v>17045951247.5</v>
      </c>
      <c r="AC451" s="38" t="n">
        <v>0.005407949750511986</v>
      </c>
      <c r="AD451" s="27" t="inlineStr">
        <is>
          <t>yfinance_download</t>
        </is>
      </c>
      <c r="AE451" s="27" t="inlineStr">
        <is>
          <t>005290.KQ</t>
        </is>
      </c>
    </row>
    <row r="452" ht="24" customHeight="1">
      <c r="A452" s="32" t="inlineStr">
        <is>
          <t>2025-04-15</t>
        </is>
      </c>
      <c r="B452" s="34" t="n">
        <v>28100</v>
      </c>
      <c r="C452" s="34" t="n">
        <v>28550</v>
      </c>
      <c r="D452" s="34" t="n">
        <v>27800</v>
      </c>
      <c r="E452" s="34" t="n">
        <v>28200</v>
      </c>
      <c r="F452" s="34" t="n">
        <v>27756.486328125</v>
      </c>
      <c r="G452" s="34" t="n">
        <v>216845</v>
      </c>
      <c r="H452" s="39" t="n">
        <v>0.010752688172043</v>
      </c>
      <c r="I452" s="39" t="n">
        <v>-0.4470588235294117</v>
      </c>
      <c r="J452" s="34" t="n">
        <v>29242.5</v>
      </c>
      <c r="K452" s="34" t="n">
        <v>27079.16666666667</v>
      </c>
      <c r="L452" s="34" t="n">
        <v>25384.16666666667</v>
      </c>
      <c r="M452" s="39" t="n">
        <v>0.5130418816389835</v>
      </c>
      <c r="N452" s="39" t="n">
        <v>0.5467740672144069</v>
      </c>
      <c r="O452" s="39" t="n">
        <v>-0.07993474714518756</v>
      </c>
      <c r="P452" s="39" t="n">
        <v>0.2533333333333334</v>
      </c>
      <c r="Q452" s="39" t="n">
        <v>0.02359346642468241</v>
      </c>
      <c r="R452" s="39" t="n">
        <v>-0.03565016670941268</v>
      </c>
      <c r="S452" s="39" t="n">
        <v>0.0413909832281889</v>
      </c>
      <c r="T452" s="39" t="n">
        <v>0.1109287285381306</v>
      </c>
      <c r="U452" s="34" t="n">
        <v>50100</v>
      </c>
      <c r="V452" s="34" t="n">
        <v>20400</v>
      </c>
      <c r="W452" s="39" t="n">
        <v>-0.437125748502994</v>
      </c>
      <c r="X452" s="39" t="n">
        <v>0.3823529411764706</v>
      </c>
      <c r="Y452" s="34" t="n">
        <v>51414494</v>
      </c>
      <c r="Z452" s="34" t="n">
        <v>1449888730800</v>
      </c>
      <c r="AA452" s="34" t="n">
        <v>6115029000</v>
      </c>
      <c r="AB452" s="34" t="n">
        <v>16109825997.5</v>
      </c>
      <c r="AC452" s="39" t="n">
        <v>0.004217585025732238</v>
      </c>
      <c r="AD452" s="32" t="inlineStr">
        <is>
          <t>yfinance_download</t>
        </is>
      </c>
      <c r="AE452" s="32" t="inlineStr">
        <is>
          <t>005290.KQ</t>
        </is>
      </c>
    </row>
    <row r="453" ht="24" customHeight="1">
      <c r="A453" s="27" t="inlineStr">
        <is>
          <t>2025-04-16</t>
        </is>
      </c>
      <c r="B453" s="33" t="n">
        <v>27850</v>
      </c>
      <c r="C453" s="33" t="n">
        <v>27850</v>
      </c>
      <c r="D453" s="33" t="n">
        <v>26750</v>
      </c>
      <c r="E453" s="33" t="n">
        <v>26850</v>
      </c>
      <c r="F453" s="33" t="n">
        <v>26427.71875</v>
      </c>
      <c r="G453" s="33" t="n">
        <v>295446</v>
      </c>
      <c r="H453" s="38" t="n">
        <v>-0.0478723404255319</v>
      </c>
      <c r="I453" s="38" t="n">
        <v>-0.4735294117647059</v>
      </c>
      <c r="J453" s="33" t="n">
        <v>28967.5</v>
      </c>
      <c r="K453" s="33" t="n">
        <v>27152.5</v>
      </c>
      <c r="L453" s="33" t="n">
        <v>25386.25</v>
      </c>
      <c r="M453" s="38" t="n">
        <v>0.4854769801731565</v>
      </c>
      <c r="N453" s="38" t="n">
        <v>0.557024787783319</v>
      </c>
      <c r="O453" s="38" t="n">
        <v>-0.1700154559505409</v>
      </c>
      <c r="P453" s="38" t="n">
        <v>0.1959910913140313</v>
      </c>
      <c r="Q453" s="38" t="n">
        <v>0.009398496240601517</v>
      </c>
      <c r="R453" s="38" t="n">
        <v>-0.07309916285492357</v>
      </c>
      <c r="S453" s="38" t="n">
        <v>-0.01114077893379983</v>
      </c>
      <c r="T453" s="38" t="n">
        <v>0.05765916588704512</v>
      </c>
      <c r="U453" s="33" t="n">
        <v>48950</v>
      </c>
      <c r="V453" s="33" t="n">
        <v>20400</v>
      </c>
      <c r="W453" s="38" t="n">
        <v>-0.4514811031664965</v>
      </c>
      <c r="X453" s="38" t="n">
        <v>0.3161764705882353</v>
      </c>
      <c r="Y453" s="33" t="n">
        <v>51414494</v>
      </c>
      <c r="Z453" s="33" t="n">
        <v>1380479163900</v>
      </c>
      <c r="AA453" s="33" t="n">
        <v>7932725100</v>
      </c>
      <c r="AB453" s="33" t="n">
        <v>13339321230</v>
      </c>
      <c r="AC453" s="38" t="n">
        <v>0.005746356270665622</v>
      </c>
      <c r="AD453" s="27" t="inlineStr">
        <is>
          <t>yfinance_download</t>
        </is>
      </c>
      <c r="AE453" s="27" t="inlineStr">
        <is>
          <t>005290.KQ</t>
        </is>
      </c>
    </row>
    <row r="454" ht="24" customHeight="1">
      <c r="A454" s="32" t="inlineStr">
        <is>
          <t>2025-04-17</t>
        </is>
      </c>
      <c r="B454" s="34" t="n">
        <v>26800</v>
      </c>
      <c r="C454" s="34" t="n">
        <v>27400</v>
      </c>
      <c r="D454" s="34" t="n">
        <v>26800</v>
      </c>
      <c r="E454" s="34" t="n">
        <v>27400</v>
      </c>
      <c r="F454" s="34" t="n">
        <v>26969.068359375</v>
      </c>
      <c r="G454" s="34" t="n">
        <v>166221</v>
      </c>
      <c r="H454" s="39" t="n">
        <v>0.02048417132216018</v>
      </c>
      <c r="I454" s="39" t="n">
        <v>-0.4627450980392157</v>
      </c>
      <c r="J454" s="34" t="n">
        <v>28732.5</v>
      </c>
      <c r="K454" s="34" t="n">
        <v>27232.5</v>
      </c>
      <c r="L454" s="34" t="n">
        <v>25387.5</v>
      </c>
      <c r="M454" s="39" t="n">
        <v>0.4965278550607481</v>
      </c>
      <c r="N454" s="39" t="n">
        <v>0.5580695212481945</v>
      </c>
      <c r="O454" s="39" t="n">
        <v>-0.1464174454828661</v>
      </c>
      <c r="P454" s="39" t="n">
        <v>0.2123893805309736</v>
      </c>
      <c r="Q454" s="39" t="n">
        <v>0.005504587155963359</v>
      </c>
      <c r="R454" s="39" t="n">
        <v>-0.04637605498999386</v>
      </c>
      <c r="S454" s="39" t="n">
        <v>0.006150739006701489</v>
      </c>
      <c r="T454" s="39" t="n">
        <v>0.07927129492860652</v>
      </c>
      <c r="U454" s="34" t="n">
        <v>48450</v>
      </c>
      <c r="V454" s="34" t="n">
        <v>20400</v>
      </c>
      <c r="W454" s="39" t="n">
        <v>-0.4344685242518059</v>
      </c>
      <c r="X454" s="39" t="n">
        <v>0.3431372549019607</v>
      </c>
      <c r="Y454" s="34" t="n">
        <v>51414494</v>
      </c>
      <c r="Z454" s="34" t="n">
        <v>1408757135600</v>
      </c>
      <c r="AA454" s="34" t="n">
        <v>4554455400</v>
      </c>
      <c r="AB454" s="34" t="n">
        <v>12172817415</v>
      </c>
      <c r="AC454" s="39" t="n">
        <v>0.003232959950943016</v>
      </c>
      <c r="AD454" s="32" t="inlineStr">
        <is>
          <t>yfinance_download</t>
        </is>
      </c>
      <c r="AE454" s="32" t="inlineStr">
        <is>
          <t>005290.KQ</t>
        </is>
      </c>
    </row>
    <row r="455" ht="24" customHeight="1">
      <c r="A455" s="27" t="inlineStr">
        <is>
          <t>2025-04-18</t>
        </is>
      </c>
      <c r="B455" s="33" t="n">
        <v>27150</v>
      </c>
      <c r="C455" s="33" t="n">
        <v>27800</v>
      </c>
      <c r="D455" s="33" t="n">
        <v>26800</v>
      </c>
      <c r="E455" s="33" t="n">
        <v>27700</v>
      </c>
      <c r="F455" s="33" t="n">
        <v>27264.3515625</v>
      </c>
      <c r="G455" s="33" t="n">
        <v>200349</v>
      </c>
      <c r="H455" s="38" t="n">
        <v>0.01094890510948909</v>
      </c>
      <c r="I455" s="38" t="n">
        <v>-0.4568627450980393</v>
      </c>
      <c r="J455" s="33" t="n">
        <v>28527.5</v>
      </c>
      <c r="K455" s="33" t="n">
        <v>27311.66666666667</v>
      </c>
      <c r="L455" s="33" t="n">
        <v>25399.16666666667</v>
      </c>
      <c r="M455" s="38" t="n">
        <v>0.5006910109999242</v>
      </c>
      <c r="N455" s="38" t="n">
        <v>0.557741634277185</v>
      </c>
      <c r="O455" s="38" t="n">
        <v>-0.1289308176100629</v>
      </c>
      <c r="P455" s="38" t="n">
        <v>0.2069716775599129</v>
      </c>
      <c r="Q455" s="38" t="n">
        <v>0.05323193916349811</v>
      </c>
      <c r="R455" s="38" t="n">
        <v>-0.02900709841381122</v>
      </c>
      <c r="S455" s="38" t="n">
        <v>0.01421858790504671</v>
      </c>
      <c r="T455" s="38" t="n">
        <v>0.09058696151448542</v>
      </c>
      <c r="U455" s="33" t="n">
        <v>48450</v>
      </c>
      <c r="V455" s="33" t="n">
        <v>20400</v>
      </c>
      <c r="W455" s="38" t="n">
        <v>-0.4282765737874097</v>
      </c>
      <c r="X455" s="38" t="n">
        <v>0.357843137254902</v>
      </c>
      <c r="Y455" s="33" t="n">
        <v>51414494</v>
      </c>
      <c r="Z455" s="33" t="n">
        <v>1424181483800</v>
      </c>
      <c r="AA455" s="33" t="n">
        <v>5549667300</v>
      </c>
      <c r="AB455" s="33" t="n">
        <v>11000313000</v>
      </c>
      <c r="AC455" s="38" t="n">
        <v>0.003896741646431452</v>
      </c>
      <c r="AD455" s="27" t="inlineStr">
        <is>
          <t>yfinance_download</t>
        </is>
      </c>
      <c r="AE455" s="27" t="inlineStr">
        <is>
          <t>005290.KQ</t>
        </is>
      </c>
    </row>
    <row r="456" ht="24" customHeight="1">
      <c r="A456" s="32" t="inlineStr">
        <is>
          <t>2025-04-21</t>
        </is>
      </c>
      <c r="B456" s="34" t="n">
        <v>27450</v>
      </c>
      <c r="C456" s="34" t="n">
        <v>29750</v>
      </c>
      <c r="D456" s="34" t="n">
        <v>27450</v>
      </c>
      <c r="E456" s="34" t="n">
        <v>29400</v>
      </c>
      <c r="F456" s="34" t="n">
        <v>28937.615234375</v>
      </c>
      <c r="G456" s="34" t="n">
        <v>643897</v>
      </c>
      <c r="H456" s="39" t="n">
        <v>0.06137184115523464</v>
      </c>
      <c r="I456" s="39" t="n">
        <v>-0.4235294117647059</v>
      </c>
      <c r="J456" s="34" t="n">
        <v>28415</v>
      </c>
      <c r="K456" s="34" t="n">
        <v>27417.5</v>
      </c>
      <c r="L456" s="34" t="n">
        <v>25416.25</v>
      </c>
      <c r="M456" s="39" t="n">
        <v>0.5555901209925522</v>
      </c>
      <c r="N456" s="39" t="n">
        <v>0.5701125018724643</v>
      </c>
      <c r="O456" s="39" t="n">
        <v>-0.07109004739336489</v>
      </c>
      <c r="P456" s="39" t="n">
        <v>0.2754880694143167</v>
      </c>
      <c r="Q456" s="39" t="n">
        <v>0.07495429616087756</v>
      </c>
      <c r="R456" s="39" t="n">
        <v>0.03466478972373754</v>
      </c>
      <c r="S456" s="39" t="n">
        <v>0.07230783258867501</v>
      </c>
      <c r="T456" s="39" t="n">
        <v>0.1567402744307285</v>
      </c>
      <c r="U456" s="34" t="n">
        <v>48450</v>
      </c>
      <c r="V456" s="34" t="n">
        <v>20400</v>
      </c>
      <c r="W456" s="39" t="n">
        <v>-0.3931888544891641</v>
      </c>
      <c r="X456" s="39" t="n">
        <v>0.4411764705882353</v>
      </c>
      <c r="Y456" s="34" t="n">
        <v>51414494</v>
      </c>
      <c r="Z456" s="34" t="n">
        <v>1511586123600</v>
      </c>
      <c r="AA456" s="34" t="n">
        <v>18930571800</v>
      </c>
      <c r="AB456" s="34" t="n">
        <v>11314390717.5</v>
      </c>
      <c r="AC456" s="39" t="n">
        <v>0.0125236475146483</v>
      </c>
      <c r="AD456" s="32" t="inlineStr">
        <is>
          <t>yfinance_download</t>
        </is>
      </c>
      <c r="AE456" s="32" t="inlineStr">
        <is>
          <t>005290.KQ</t>
        </is>
      </c>
    </row>
    <row r="457" ht="24" customHeight="1">
      <c r="A457" s="27" t="inlineStr">
        <is>
          <t>2025-04-22</t>
        </is>
      </c>
      <c r="B457" s="33" t="n">
        <v>29100</v>
      </c>
      <c r="C457" s="33" t="n">
        <v>29950</v>
      </c>
      <c r="D457" s="33" t="n">
        <v>29050</v>
      </c>
      <c r="E457" s="33" t="n">
        <v>29350</v>
      </c>
      <c r="F457" s="33" t="n">
        <v>28888.400390625</v>
      </c>
      <c r="G457" s="33" t="n">
        <v>436143</v>
      </c>
      <c r="H457" s="38" t="n">
        <v>-0.00170068027210879</v>
      </c>
      <c r="I457" s="38" t="n">
        <v>-0.4245098039215687</v>
      </c>
      <c r="J457" s="33" t="n">
        <v>28322.5</v>
      </c>
      <c r="K457" s="33" t="n">
        <v>27524.16666666667</v>
      </c>
      <c r="L457" s="33" t="n">
        <v>25438.33333333333</v>
      </c>
      <c r="M457" s="38" t="n">
        <v>0.5540419247919652</v>
      </c>
      <c r="N457" s="38" t="n">
        <v>0.5699596560086968</v>
      </c>
      <c r="O457" s="38" t="n">
        <v>-0.05929487179487181</v>
      </c>
      <c r="P457" s="38" t="n">
        <v>0.2788671023965141</v>
      </c>
      <c r="Q457" s="38" t="n">
        <v>0.09925093632958792</v>
      </c>
      <c r="R457" s="38" t="n">
        <v>0.03627857710301008</v>
      </c>
      <c r="S457" s="38" t="n">
        <v>0.06633564443367934</v>
      </c>
      <c r="T457" s="38" t="n">
        <v>0.1537705562471336</v>
      </c>
      <c r="U457" s="33" t="n">
        <v>48050</v>
      </c>
      <c r="V457" s="33" t="n">
        <v>20400</v>
      </c>
      <c r="W457" s="38" t="n">
        <v>-0.3891779396462018</v>
      </c>
      <c r="X457" s="38" t="n">
        <v>0.4387254901960784</v>
      </c>
      <c r="Y457" s="33" t="n">
        <v>51414494</v>
      </c>
      <c r="Z457" s="33" t="n">
        <v>1509015398900</v>
      </c>
      <c r="AA457" s="33" t="n">
        <v>12800797050</v>
      </c>
      <c r="AB457" s="33" t="n">
        <v>11287118730</v>
      </c>
      <c r="AC457" s="38" t="n">
        <v>0.008482880333316126</v>
      </c>
      <c r="AD457" s="27" t="inlineStr">
        <is>
          <t>yfinance_download</t>
        </is>
      </c>
      <c r="AE457" s="27" t="inlineStr">
        <is>
          <t>005290.KQ</t>
        </is>
      </c>
    </row>
    <row r="458" ht="24" customHeight="1">
      <c r="A458" s="32" t="inlineStr">
        <is>
          <t>2025-04-23</t>
        </is>
      </c>
      <c r="B458" s="34" t="n">
        <v>30050</v>
      </c>
      <c r="C458" s="34" t="n">
        <v>30200</v>
      </c>
      <c r="D458" s="34" t="n">
        <v>29500</v>
      </c>
      <c r="E458" s="34" t="n">
        <v>29650</v>
      </c>
      <c r="F458" s="34" t="n">
        <v>29183.681640625</v>
      </c>
      <c r="G458" s="34" t="n">
        <v>363863</v>
      </c>
      <c r="H458" s="39" t="n">
        <v>0.010221465076661</v>
      </c>
      <c r="I458" s="39" t="n">
        <v>-0.4186274509803921</v>
      </c>
      <c r="J458" s="34" t="n">
        <v>28237.5</v>
      </c>
      <c r="K458" s="34" t="n">
        <v>27626.66666666667</v>
      </c>
      <c r="L458" s="34" t="n">
        <v>25462.5</v>
      </c>
      <c r="M458" s="39" t="n">
        <v>0.5553172438701169</v>
      </c>
      <c r="N458" s="39" t="n">
        <v>0.5686736956152687</v>
      </c>
      <c r="O458" s="39" t="n">
        <v>-0.05422647527910684</v>
      </c>
      <c r="P458" s="39" t="n">
        <v>0.2617021276595746</v>
      </c>
      <c r="Q458" s="39" t="n">
        <v>0.108411214953271</v>
      </c>
      <c r="R458" s="39" t="n">
        <v>0.05002213368747244</v>
      </c>
      <c r="S458" s="39" t="n">
        <v>0.07323841698841704</v>
      </c>
      <c r="T458" s="39" t="n">
        <v>0.1644575355915563</v>
      </c>
      <c r="U458" s="34" t="n">
        <v>48050</v>
      </c>
      <c r="V458" s="34" t="n">
        <v>20400</v>
      </c>
      <c r="W458" s="39" t="n">
        <v>-0.3829344432882414</v>
      </c>
      <c r="X458" s="39" t="n">
        <v>0.4534313725490196</v>
      </c>
      <c r="Y458" s="34" t="n">
        <v>51414494</v>
      </c>
      <c r="Z458" s="34" t="n">
        <v>1524439747100</v>
      </c>
      <c r="AA458" s="34" t="n">
        <v>10788537950</v>
      </c>
      <c r="AB458" s="34" t="n">
        <v>11224385800</v>
      </c>
      <c r="AC458" s="39" t="n">
        <v>0.007077051074352692</v>
      </c>
      <c r="AD458" s="32" t="inlineStr">
        <is>
          <t>yfinance_download</t>
        </is>
      </c>
      <c r="AE458" s="32" t="inlineStr">
        <is>
          <t>005290.KQ</t>
        </is>
      </c>
    </row>
    <row r="459" ht="24" customHeight="1">
      <c r="A459" s="27" t="inlineStr">
        <is>
          <t>2025-04-24</t>
        </is>
      </c>
      <c r="B459" s="33" t="n">
        <v>29900</v>
      </c>
      <c r="C459" s="33" t="n">
        <v>31150</v>
      </c>
      <c r="D459" s="33" t="n">
        <v>29600</v>
      </c>
      <c r="E459" s="33" t="n">
        <v>30600</v>
      </c>
      <c r="F459" s="33" t="n">
        <v>30118.7421875</v>
      </c>
      <c r="G459" s="33" t="n">
        <v>606711</v>
      </c>
      <c r="H459" s="38" t="n">
        <v>0.03204047217537953</v>
      </c>
      <c r="I459" s="38" t="n">
        <v>-0.4</v>
      </c>
      <c r="J459" s="33" t="n">
        <v>28190</v>
      </c>
      <c r="K459" s="33" t="n">
        <v>27760</v>
      </c>
      <c r="L459" s="33" t="n">
        <v>25490.83333333333</v>
      </c>
      <c r="M459" s="38" t="n">
        <v>0.5679043803427952</v>
      </c>
      <c r="N459" s="38" t="n">
        <v>0.5643134336659453</v>
      </c>
      <c r="O459" s="38" t="n">
        <v>-0.03011093502377182</v>
      </c>
      <c r="P459" s="38" t="n">
        <v>0.3539823008849559</v>
      </c>
      <c r="Q459" s="38" t="n">
        <v>0.125</v>
      </c>
      <c r="R459" s="38" t="n">
        <v>0.08549130897481372</v>
      </c>
      <c r="S459" s="38" t="n">
        <v>0.1023054755043227</v>
      </c>
      <c r="T459" s="38" t="n">
        <v>0.2004315276733466</v>
      </c>
      <c r="U459" s="33" t="n">
        <v>48050</v>
      </c>
      <c r="V459" s="33" t="n">
        <v>20400</v>
      </c>
      <c r="W459" s="38" t="n">
        <v>-0.3631633714880333</v>
      </c>
      <c r="X459" s="38" t="n">
        <v>0.5</v>
      </c>
      <c r="Y459" s="33" t="n">
        <v>51414494</v>
      </c>
      <c r="Z459" s="33" t="n">
        <v>1573283516400</v>
      </c>
      <c r="AA459" s="33" t="n">
        <v>18565356600</v>
      </c>
      <c r="AB459" s="33" t="n">
        <v>11457086555</v>
      </c>
      <c r="AC459" s="38" t="n">
        <v>0.01180038842743449</v>
      </c>
      <c r="AD459" s="27" t="inlineStr">
        <is>
          <t>yfinance_download</t>
        </is>
      </c>
      <c r="AE459" s="27" t="inlineStr">
        <is>
          <t>005290.KQ</t>
        </is>
      </c>
    </row>
    <row r="460" ht="24" customHeight="1">
      <c r="A460" s="32" t="inlineStr">
        <is>
          <t>2025-04-25</t>
        </is>
      </c>
      <c r="B460" s="34" t="n">
        <v>31300</v>
      </c>
      <c r="C460" s="34" t="n">
        <v>32050</v>
      </c>
      <c r="D460" s="34" t="n">
        <v>30850</v>
      </c>
      <c r="E460" s="34" t="n">
        <v>31100</v>
      </c>
      <c r="F460" s="34" t="n">
        <v>30610.876953125</v>
      </c>
      <c r="G460" s="34" t="n">
        <v>584839</v>
      </c>
      <c r="H460" s="39" t="n">
        <v>0.01633986928104569</v>
      </c>
      <c r="I460" s="39" t="n">
        <v>-0.3901960784313725</v>
      </c>
      <c r="J460" s="34" t="n">
        <v>28245</v>
      </c>
      <c r="K460" s="34" t="n">
        <v>27892.5</v>
      </c>
      <c r="L460" s="34" t="n">
        <v>25523.75</v>
      </c>
      <c r="M460" s="39" t="n">
        <v>0.5411080124256201</v>
      </c>
      <c r="N460" s="39" t="n">
        <v>0.5634214936543216</v>
      </c>
      <c r="O460" s="39" t="n">
        <v>0.03666666666666663</v>
      </c>
      <c r="P460" s="39" t="n">
        <v>0.3434125269978401</v>
      </c>
      <c r="Q460" s="39" t="n">
        <v>0.14548802946593</v>
      </c>
      <c r="R460" s="39" t="n">
        <v>0.1010798371393167</v>
      </c>
      <c r="S460" s="39" t="n">
        <v>0.1149950703594156</v>
      </c>
      <c r="T460" s="39" t="n">
        <v>0.218472990841863</v>
      </c>
      <c r="U460" s="34" t="n">
        <v>48050</v>
      </c>
      <c r="V460" s="34" t="n">
        <v>20400</v>
      </c>
      <c r="W460" s="39" t="n">
        <v>-0.3527575442247659</v>
      </c>
      <c r="X460" s="39" t="n">
        <v>0.5245098039215685</v>
      </c>
      <c r="Y460" s="34" t="n">
        <v>51414494</v>
      </c>
      <c r="Z460" s="34" t="n">
        <v>1598990763400</v>
      </c>
      <c r="AA460" s="34" t="n">
        <v>18188492900</v>
      </c>
      <c r="AB460" s="34" t="n">
        <v>11459146200</v>
      </c>
      <c r="AC460" s="39" t="n">
        <v>0.01137498309328883</v>
      </c>
      <c r="AD460" s="32" t="inlineStr">
        <is>
          <t>yfinance_download</t>
        </is>
      </c>
      <c r="AE460" s="32" t="inlineStr">
        <is>
          <t>005290.KQ</t>
        </is>
      </c>
    </row>
    <row r="461" ht="24" customHeight="1">
      <c r="A461" s="27" t="inlineStr">
        <is>
          <t>2025-04-28</t>
        </is>
      </c>
      <c r="B461" s="33" t="n">
        <v>30800</v>
      </c>
      <c r="C461" s="33" t="n">
        <v>30850</v>
      </c>
      <c r="D461" s="33" t="n">
        <v>29300</v>
      </c>
      <c r="E461" s="33" t="n">
        <v>29650</v>
      </c>
      <c r="F461" s="33" t="n">
        <v>29183.681640625</v>
      </c>
      <c r="G461" s="33" t="n">
        <v>442104</v>
      </c>
      <c r="H461" s="38" t="n">
        <v>-0.04662379421221863</v>
      </c>
      <c r="I461" s="38" t="n">
        <v>-0.4186274509803921</v>
      </c>
      <c r="J461" s="33" t="n">
        <v>28270</v>
      </c>
      <c r="K461" s="33" t="n">
        <v>28021.66666666667</v>
      </c>
      <c r="L461" s="33" t="n">
        <v>25549.16666666667</v>
      </c>
      <c r="M461" s="38" t="n">
        <v>0.5584820771270057</v>
      </c>
      <c r="N461" s="38" t="n">
        <v>0.5602878604244697</v>
      </c>
      <c r="O461" s="38" t="n">
        <v>0.0171526586620927</v>
      </c>
      <c r="P461" s="38" t="n">
        <v>0.3538812785388128</v>
      </c>
      <c r="Q461" s="38" t="n">
        <v>0.1146616541353382</v>
      </c>
      <c r="R461" s="38" t="n">
        <v>0.04881499823134061</v>
      </c>
      <c r="S461" s="38" t="n">
        <v>0.05810979599119714</v>
      </c>
      <c r="T461" s="38" t="n">
        <v>0.1605075181838937</v>
      </c>
      <c r="U461" s="33" t="n">
        <v>48050</v>
      </c>
      <c r="V461" s="33" t="n">
        <v>20400</v>
      </c>
      <c r="W461" s="38" t="n">
        <v>-0.3829344432882414</v>
      </c>
      <c r="X461" s="38" t="n">
        <v>0.4534313725490196</v>
      </c>
      <c r="Y461" s="33" t="n">
        <v>51414494</v>
      </c>
      <c r="Z461" s="33" t="n">
        <v>1524439747100</v>
      </c>
      <c r="AA461" s="33" t="n">
        <v>13108383600</v>
      </c>
      <c r="AB461" s="33" t="n">
        <v>11363925187.5</v>
      </c>
      <c r="AC461" s="38" t="n">
        <v>0.008598820402666999</v>
      </c>
      <c r="AD461" s="27" t="inlineStr">
        <is>
          <t>yfinance_download</t>
        </is>
      </c>
      <c r="AE461" s="27" t="inlineStr">
        <is>
          <t>005290.KQ</t>
        </is>
      </c>
    </row>
    <row r="462" ht="24" customHeight="1">
      <c r="A462" s="32" t="inlineStr">
        <is>
          <t>2025-04-29</t>
        </is>
      </c>
      <c r="B462" s="34" t="n">
        <v>29700</v>
      </c>
      <c r="C462" s="34" t="n">
        <v>30000</v>
      </c>
      <c r="D462" s="34" t="n">
        <v>29400</v>
      </c>
      <c r="E462" s="34" t="n">
        <v>29600</v>
      </c>
      <c r="F462" s="34" t="n">
        <v>29134.46875</v>
      </c>
      <c r="G462" s="34" t="n">
        <v>189495</v>
      </c>
      <c r="H462" s="39" t="n">
        <v>-0.001686340640809414</v>
      </c>
      <c r="I462" s="39" t="n">
        <v>-0.4196078431372549</v>
      </c>
      <c r="J462" s="34" t="n">
        <v>28280</v>
      </c>
      <c r="K462" s="34" t="n">
        <v>28169.16666666667</v>
      </c>
      <c r="L462" s="34" t="n">
        <v>25570.41666666667</v>
      </c>
      <c r="M462" s="39" t="n">
        <v>0.55793063050398</v>
      </c>
      <c r="N462" s="39" t="n">
        <v>0.5472768436508014</v>
      </c>
      <c r="O462" s="39" t="n">
        <v>0.006802721088435382</v>
      </c>
      <c r="P462" s="39" t="n">
        <v>0.4265060240963856</v>
      </c>
      <c r="Q462" s="39" t="n">
        <v>0.0942698706099816</v>
      </c>
      <c r="R462" s="39" t="n">
        <v>0.04667609618104662</v>
      </c>
      <c r="S462" s="39" t="n">
        <v>0.05079430819749731</v>
      </c>
      <c r="T462" s="39" t="n">
        <v>0.1575877071485603</v>
      </c>
      <c r="U462" s="34" t="n">
        <v>47800</v>
      </c>
      <c r="V462" s="34" t="n">
        <v>20400</v>
      </c>
      <c r="W462" s="39" t="n">
        <v>-0.3807531380753139</v>
      </c>
      <c r="X462" s="39" t="n">
        <v>0.4509803921568627</v>
      </c>
      <c r="Y462" s="34" t="n">
        <v>51414494</v>
      </c>
      <c r="Z462" s="34" t="n">
        <v>1521869022400</v>
      </c>
      <c r="AA462" s="34" t="n">
        <v>5609052000</v>
      </c>
      <c r="AB462" s="34" t="n">
        <v>11111335207.5</v>
      </c>
      <c r="AC462" s="39" t="n">
        <v>0.003685633860366301</v>
      </c>
      <c r="AD462" s="32" t="inlineStr">
        <is>
          <t>yfinance_download</t>
        </is>
      </c>
      <c r="AE462" s="32" t="inlineStr">
        <is>
          <t>005290.KQ</t>
        </is>
      </c>
    </row>
    <row r="463" ht="24" customHeight="1">
      <c r="A463" s="27" t="inlineStr">
        <is>
          <t>2025-04-30</t>
        </is>
      </c>
      <c r="B463" s="33" t="n">
        <v>29500</v>
      </c>
      <c r="C463" s="33" t="n">
        <v>29600</v>
      </c>
      <c r="D463" s="33" t="n">
        <v>28900</v>
      </c>
      <c r="E463" s="33" t="n">
        <v>29150</v>
      </c>
      <c r="F463" s="33" t="n">
        <v>28691.546875</v>
      </c>
      <c r="G463" s="33" t="n">
        <v>272219</v>
      </c>
      <c r="H463" s="38" t="n">
        <v>-0.01520270270270274</v>
      </c>
      <c r="I463" s="38" t="n">
        <v>-0.4284313725490196</v>
      </c>
      <c r="J463" s="33" t="n">
        <v>28260</v>
      </c>
      <c r="K463" s="33" t="n">
        <v>28298.33333333333</v>
      </c>
      <c r="L463" s="33" t="n">
        <v>25591.25</v>
      </c>
      <c r="M463" s="38" t="n">
        <v>0.5605645433419992</v>
      </c>
      <c r="N463" s="38" t="n">
        <v>0.5465744348021772</v>
      </c>
      <c r="O463" s="38" t="n">
        <v>-0.01353637901861249</v>
      </c>
      <c r="P463" s="38" t="n">
        <v>0.3621495327102804</v>
      </c>
      <c r="Q463" s="38" t="n">
        <v>0.09380863039399623</v>
      </c>
      <c r="R463" s="38" t="n">
        <v>0.03149327671620661</v>
      </c>
      <c r="S463" s="38" t="n">
        <v>0.03009600094234055</v>
      </c>
      <c r="T463" s="38" t="n">
        <v>0.1390612025594686</v>
      </c>
      <c r="U463" s="33" t="n">
        <v>47800</v>
      </c>
      <c r="V463" s="33" t="n">
        <v>20400</v>
      </c>
      <c r="W463" s="38" t="n">
        <v>-0.3901673640167364</v>
      </c>
      <c r="X463" s="38" t="n">
        <v>0.428921568627451</v>
      </c>
      <c r="Y463" s="33" t="n">
        <v>51414494</v>
      </c>
      <c r="Z463" s="33" t="n">
        <v>1498732500100</v>
      </c>
      <c r="AA463" s="33" t="n">
        <v>7935183850</v>
      </c>
      <c r="AB463" s="33" t="n">
        <v>11158411520</v>
      </c>
      <c r="AC463" s="38" t="n">
        <v>0.005294596500356494</v>
      </c>
      <c r="AD463" s="27" t="inlineStr">
        <is>
          <t>yfinance_download</t>
        </is>
      </c>
      <c r="AE463" s="27" t="inlineStr">
        <is>
          <t>005290.KQ</t>
        </is>
      </c>
    </row>
    <row r="464" ht="24" customHeight="1">
      <c r="A464" s="32" t="inlineStr">
        <is>
          <t>2025-05-02</t>
        </is>
      </c>
      <c r="B464" s="34" t="n">
        <v>29150</v>
      </c>
      <c r="C464" s="34" t="n">
        <v>30200</v>
      </c>
      <c r="D464" s="34" t="n">
        <v>28700</v>
      </c>
      <c r="E464" s="34" t="n">
        <v>29950</v>
      </c>
      <c r="F464" s="34" t="n">
        <v>29478.96484375</v>
      </c>
      <c r="G464" s="34" t="n">
        <v>375840</v>
      </c>
      <c r="H464" s="39" t="n">
        <v>0.02744425385934823</v>
      </c>
      <c r="I464" s="39" t="n">
        <v>-0.4127450980392157</v>
      </c>
      <c r="J464" s="34" t="n">
        <v>28317.5</v>
      </c>
      <c r="K464" s="34" t="n">
        <v>28436.66666666667</v>
      </c>
      <c r="L464" s="34" t="n">
        <v>25613.75</v>
      </c>
      <c r="M464" s="39" t="n">
        <v>0.5603138004639991</v>
      </c>
      <c r="N464" s="39" t="n">
        <v>0.5482582383685644</v>
      </c>
      <c r="O464" s="39" t="n">
        <v>0.03993055555555558</v>
      </c>
      <c r="P464" s="39" t="n">
        <v>0.3833718244803694</v>
      </c>
      <c r="Q464" s="39" t="n">
        <v>0.09908256880733934</v>
      </c>
      <c r="R464" s="39" t="n">
        <v>0.05764986315882403</v>
      </c>
      <c r="S464" s="39" t="n">
        <v>0.05321767670847488</v>
      </c>
      <c r="T464" s="39" t="n">
        <v>0.1692938363183836</v>
      </c>
      <c r="U464" s="34" t="n">
        <v>47800</v>
      </c>
      <c r="V464" s="34" t="n">
        <v>20400</v>
      </c>
      <c r="W464" s="39" t="n">
        <v>-0.3734309623430963</v>
      </c>
      <c r="X464" s="39" t="n">
        <v>0.4681372549019607</v>
      </c>
      <c r="Y464" s="34" t="n">
        <v>51414494</v>
      </c>
      <c r="Z464" s="34" t="n">
        <v>1539864095300</v>
      </c>
      <c r="AA464" s="34" t="n">
        <v>11256408000</v>
      </c>
      <c r="AB464" s="34" t="n">
        <v>11317847600</v>
      </c>
      <c r="AC464" s="39" t="n">
        <v>0.007310000950315683</v>
      </c>
      <c r="AD464" s="32" t="inlineStr">
        <is>
          <t>yfinance_download</t>
        </is>
      </c>
      <c r="AE464" s="32" t="inlineStr">
        <is>
          <t>005290.KQ</t>
        </is>
      </c>
    </row>
    <row r="465" ht="24" customHeight="1">
      <c r="A465" s="27" t="inlineStr">
        <is>
          <t>2025-05-07</t>
        </is>
      </c>
      <c r="B465" s="33" t="n">
        <v>30200</v>
      </c>
      <c r="C465" s="33" t="n">
        <v>30350</v>
      </c>
      <c r="D465" s="33" t="n">
        <v>29750</v>
      </c>
      <c r="E465" s="33" t="n">
        <v>29950</v>
      </c>
      <c r="F465" s="33" t="n">
        <v>29478.96484375</v>
      </c>
      <c r="G465" s="33" t="n">
        <v>174959</v>
      </c>
      <c r="H465" s="38" t="n">
        <v>0</v>
      </c>
      <c r="I465" s="38" t="n">
        <v>-0.4127450980392157</v>
      </c>
      <c r="J465" s="33" t="n">
        <v>28437.5</v>
      </c>
      <c r="K465" s="33" t="n">
        <v>28567.5</v>
      </c>
      <c r="L465" s="33" t="n">
        <v>25638.75</v>
      </c>
      <c r="M465" s="38" t="n">
        <v>0.5336458313829222</v>
      </c>
      <c r="N465" s="38" t="n">
        <v>0.5475189245441939</v>
      </c>
      <c r="O465" s="38" t="n">
        <v>0.08711433756805809</v>
      </c>
      <c r="P465" s="38" t="n">
        <v>0.3552036199095023</v>
      </c>
      <c r="Q465" s="38" t="n">
        <v>0.111317254174397</v>
      </c>
      <c r="R465" s="38" t="n">
        <v>0.05318681318681318</v>
      </c>
      <c r="S465" s="38" t="n">
        <v>0.04839415419620208</v>
      </c>
      <c r="T465" s="38" t="n">
        <v>0.1681536736385354</v>
      </c>
      <c r="U465" s="33" t="n">
        <v>47800</v>
      </c>
      <c r="V465" s="33" t="n">
        <v>20400</v>
      </c>
      <c r="W465" s="38" t="n">
        <v>-0.3734309623430963</v>
      </c>
      <c r="X465" s="38" t="n">
        <v>0.4681372549019607</v>
      </c>
      <c r="Y465" s="33" t="n">
        <v>51414494</v>
      </c>
      <c r="Z465" s="33" t="n">
        <v>1539864095300</v>
      </c>
      <c r="AA465" s="33" t="n">
        <v>5240022050</v>
      </c>
      <c r="AB465" s="33" t="n">
        <v>10811459917.5</v>
      </c>
      <c r="AC465" s="38" t="n">
        <v>0.003402912027102708</v>
      </c>
      <c r="AD465" s="27" t="inlineStr">
        <is>
          <t>yfinance_download</t>
        </is>
      </c>
      <c r="AE465" s="27" t="inlineStr">
        <is>
          <t>005290.KQ</t>
        </is>
      </c>
    </row>
    <row r="466" ht="24" customHeight="1">
      <c r="A466" s="32" t="inlineStr">
        <is>
          <t>2025-05-08</t>
        </is>
      </c>
      <c r="B466" s="34" t="n">
        <v>30300</v>
      </c>
      <c r="C466" s="34" t="n">
        <v>31300</v>
      </c>
      <c r="D466" s="34" t="n">
        <v>29750</v>
      </c>
      <c r="E466" s="34" t="n">
        <v>29900</v>
      </c>
      <c r="F466" s="34" t="n">
        <v>29429.75</v>
      </c>
      <c r="G466" s="34" t="n">
        <v>703150</v>
      </c>
      <c r="H466" s="39" t="n">
        <v>-0.001669449081802998</v>
      </c>
      <c r="I466" s="39" t="n">
        <v>-0.4137254901960784</v>
      </c>
      <c r="J466" s="34" t="n">
        <v>28645</v>
      </c>
      <c r="K466" s="34" t="n">
        <v>28664.16666666667</v>
      </c>
      <c r="L466" s="34" t="n">
        <v>25645.83333333333</v>
      </c>
      <c r="M466" s="39" t="n">
        <v>0.4664043446603106</v>
      </c>
      <c r="N466" s="39" t="n">
        <v>0.5183218396234965</v>
      </c>
      <c r="O466" s="39" t="n">
        <v>0.1611650485436893</v>
      </c>
      <c r="P466" s="39" t="n">
        <v>0.2406639004149378</v>
      </c>
      <c r="Q466" s="39" t="n">
        <v>0.02925989672977636</v>
      </c>
      <c r="R466" s="39" t="n">
        <v>0.04381218362716011</v>
      </c>
      <c r="S466" s="39" t="n">
        <v>0.0431142250777683</v>
      </c>
      <c r="T466" s="39" t="n">
        <v>0.165881397238018</v>
      </c>
      <c r="U466" s="34" t="n">
        <v>47800</v>
      </c>
      <c r="V466" s="34" t="n">
        <v>20400</v>
      </c>
      <c r="W466" s="39" t="n">
        <v>-0.3744769874476988</v>
      </c>
      <c r="X466" s="39" t="n">
        <v>0.4656862745098038</v>
      </c>
      <c r="Y466" s="34" t="n">
        <v>51414494</v>
      </c>
      <c r="Z466" s="34" t="n">
        <v>1537293370600</v>
      </c>
      <c r="AA466" s="34" t="n">
        <v>21024185000</v>
      </c>
      <c r="AB466" s="34" t="n">
        <v>11262269292.5</v>
      </c>
      <c r="AC466" s="39" t="n">
        <v>0.01367610464084311</v>
      </c>
      <c r="AD466" s="32" t="inlineStr">
        <is>
          <t>yfinance_download</t>
        </is>
      </c>
      <c r="AE466" s="32" t="inlineStr">
        <is>
          <t>005290.KQ</t>
        </is>
      </c>
    </row>
    <row r="467" ht="24" customHeight="1">
      <c r="A467" s="27" t="inlineStr">
        <is>
          <t>2025-05-09</t>
        </is>
      </c>
      <c r="B467" s="33" t="n">
        <v>30000</v>
      </c>
      <c r="C467" s="33" t="n">
        <v>30100</v>
      </c>
      <c r="D467" s="33" t="n">
        <v>27850</v>
      </c>
      <c r="E467" s="33" t="n">
        <v>28150</v>
      </c>
      <c r="F467" s="33" t="n">
        <v>27707.2734375</v>
      </c>
      <c r="G467" s="33" t="n">
        <v>698055</v>
      </c>
      <c r="H467" s="38" t="n">
        <v>-0.05852842809364545</v>
      </c>
      <c r="I467" s="38" t="n">
        <v>-0.4480392156862745</v>
      </c>
      <c r="J467" s="33" t="n">
        <v>28750</v>
      </c>
      <c r="K467" s="33" t="n">
        <v>28704.16666666667</v>
      </c>
      <c r="L467" s="33" t="n">
        <v>25650.41666666667</v>
      </c>
      <c r="M467" s="38" t="n">
        <v>0.5221294054596778</v>
      </c>
      <c r="N467" s="38" t="n">
        <v>0.5163236074292133</v>
      </c>
      <c r="O467" s="38" t="n">
        <v>0.08061420345489445</v>
      </c>
      <c r="P467" s="38" t="n">
        <v>0.09320388349514563</v>
      </c>
      <c r="Q467" s="38" t="n">
        <v>0.01992753623188404</v>
      </c>
      <c r="R467" s="38" t="n">
        <v>-0.02086956521739125</v>
      </c>
      <c r="S467" s="38" t="n">
        <v>-0.01930614022354482</v>
      </c>
      <c r="T467" s="38" t="n">
        <v>0.09744805964815373</v>
      </c>
      <c r="U467" s="33" t="n">
        <v>47800</v>
      </c>
      <c r="V467" s="33" t="n">
        <v>20400</v>
      </c>
      <c r="W467" s="38" t="n">
        <v>-0.4110878661087866</v>
      </c>
      <c r="X467" s="38" t="n">
        <v>0.3799019607843137</v>
      </c>
      <c r="Y467" s="33" t="n">
        <v>51414494</v>
      </c>
      <c r="Z467" s="33" t="n">
        <v>1447318006100</v>
      </c>
      <c r="AA467" s="33" t="n">
        <v>19650248250</v>
      </c>
      <c r="AB467" s="33" t="n">
        <v>11787490887.5</v>
      </c>
      <c r="AC467" s="38" t="n">
        <v>0.01357700807091479</v>
      </c>
      <c r="AD467" s="27" t="inlineStr">
        <is>
          <t>yfinance_download</t>
        </is>
      </c>
      <c r="AE467" s="27" t="inlineStr">
        <is>
          <t>005290.KQ</t>
        </is>
      </c>
    </row>
    <row r="468" ht="24" customHeight="1">
      <c r="A468" s="32" t="inlineStr">
        <is>
          <t>2025-05-12</t>
        </is>
      </c>
      <c r="B468" s="34" t="n">
        <v>28600</v>
      </c>
      <c r="C468" s="34" t="n">
        <v>30600</v>
      </c>
      <c r="D468" s="34" t="n">
        <v>28500</v>
      </c>
      <c r="E468" s="34" t="n">
        <v>30500</v>
      </c>
      <c r="F468" s="34" t="n">
        <v>30020.314453125</v>
      </c>
      <c r="G468" s="34" t="n">
        <v>690636</v>
      </c>
      <c r="H468" s="39" t="n">
        <v>0.08348134991119016</v>
      </c>
      <c r="I468" s="39" t="n">
        <v>-0.4019607843137255</v>
      </c>
      <c r="J468" s="34" t="n">
        <v>29005</v>
      </c>
      <c r="K468" s="34" t="n">
        <v>28772.5</v>
      </c>
      <c r="L468" s="34" t="n">
        <v>25685.83333333333</v>
      </c>
      <c r="M468" s="39" t="n">
        <v>0.5799554120363253</v>
      </c>
      <c r="N468" s="39" t="n">
        <v>0.5407370022921654</v>
      </c>
      <c r="O468" s="39" t="n">
        <v>0.2007874015748032</v>
      </c>
      <c r="P468" s="39" t="n">
        <v>0.1553030303030303</v>
      </c>
      <c r="Q468" s="39" t="n">
        <v>0.161904761904762</v>
      </c>
      <c r="R468" s="39" t="n">
        <v>0.05154283744182031</v>
      </c>
      <c r="S468" s="39" t="n">
        <v>0.06003996872013206</v>
      </c>
      <c r="T468" s="39" t="n">
        <v>0.1874249748564385</v>
      </c>
      <c r="U468" s="34" t="n">
        <v>47800</v>
      </c>
      <c r="V468" s="34" t="n">
        <v>20400</v>
      </c>
      <c r="W468" s="39" t="n">
        <v>-0.3619246861924686</v>
      </c>
      <c r="X468" s="39" t="n">
        <v>0.4950980392156863</v>
      </c>
      <c r="Y468" s="34" t="n">
        <v>51414494</v>
      </c>
      <c r="Z468" s="34" t="n">
        <v>1568142067000</v>
      </c>
      <c r="AA468" s="34" t="n">
        <v>21064398000</v>
      </c>
      <c r="AB468" s="34" t="n">
        <v>12201905867.5</v>
      </c>
      <c r="AC468" s="39" t="n">
        <v>0.01343271023925666</v>
      </c>
      <c r="AD468" s="32" t="inlineStr">
        <is>
          <t>yfinance_download</t>
        </is>
      </c>
      <c r="AE468" s="32" t="inlineStr">
        <is>
          <t>005290.KQ</t>
        </is>
      </c>
    </row>
    <row r="469" ht="24" customHeight="1">
      <c r="A469" s="27" t="inlineStr">
        <is>
          <t>2025-05-13</t>
        </is>
      </c>
      <c r="B469" s="33" t="n">
        <v>31500</v>
      </c>
      <c r="C469" s="33" t="n">
        <v>31550</v>
      </c>
      <c r="D469" s="33" t="n">
        <v>30150</v>
      </c>
      <c r="E469" s="33" t="n">
        <v>30700</v>
      </c>
      <c r="F469" s="33" t="n">
        <v>30217.16796875</v>
      </c>
      <c r="G469" s="33" t="n">
        <v>531651</v>
      </c>
      <c r="H469" s="38" t="n">
        <v>0.006557377049180246</v>
      </c>
      <c r="I469" s="38" t="n">
        <v>-0.3980392156862745</v>
      </c>
      <c r="J469" s="33" t="n">
        <v>29187.5</v>
      </c>
      <c r="K469" s="33" t="n">
        <v>28840.83333333333</v>
      </c>
      <c r="L469" s="33" t="n">
        <v>25737.5</v>
      </c>
      <c r="M469" s="38" t="n">
        <v>0.5421251322191001</v>
      </c>
      <c r="N469" s="38" t="n">
        <v>0.5407040181077379</v>
      </c>
      <c r="O469" s="38" t="n">
        <v>0.1349353049907578</v>
      </c>
      <c r="P469" s="38" t="n">
        <v>0.1541353383458646</v>
      </c>
      <c r="Q469" s="38" t="n">
        <v>0.2530612244897958</v>
      </c>
      <c r="R469" s="38" t="n">
        <v>0.05182012847965733</v>
      </c>
      <c r="S469" s="38" t="n">
        <v>0.06446300095350921</v>
      </c>
      <c r="T469" s="38" t="n">
        <v>0.1928120446818844</v>
      </c>
      <c r="U469" s="33" t="n">
        <v>47800</v>
      </c>
      <c r="V469" s="33" t="n">
        <v>20400</v>
      </c>
      <c r="W469" s="38" t="n">
        <v>-0.3577405857740585</v>
      </c>
      <c r="X469" s="38" t="n">
        <v>0.5049019607843137</v>
      </c>
      <c r="Y469" s="33" t="n">
        <v>51414494</v>
      </c>
      <c r="Z469" s="33" t="n">
        <v>1578424965800</v>
      </c>
      <c r="AA469" s="33" t="n">
        <v>16321685700</v>
      </c>
      <c r="AB469" s="33" t="n">
        <v>12269871007.5</v>
      </c>
      <c r="AC469" s="38" t="n">
        <v>0.01034048881235708</v>
      </c>
      <c r="AD469" s="27" t="inlineStr">
        <is>
          <t>yfinance_download</t>
        </is>
      </c>
      <c r="AE469" s="27" t="inlineStr">
        <is>
          <t>005290.KQ</t>
        </is>
      </c>
    </row>
    <row r="470" ht="24" customHeight="1">
      <c r="A470" s="32" t="inlineStr">
        <is>
          <t>2025-05-14</t>
        </is>
      </c>
      <c r="B470" s="34" t="n">
        <v>31100</v>
      </c>
      <c r="C470" s="34" t="n">
        <v>31400</v>
      </c>
      <c r="D470" s="34" t="n">
        <v>30600</v>
      </c>
      <c r="E470" s="34" t="n">
        <v>30800</v>
      </c>
      <c r="F470" s="34" t="n">
        <v>30315.595703125</v>
      </c>
      <c r="G470" s="34" t="n">
        <v>367855</v>
      </c>
      <c r="H470" s="39" t="n">
        <v>0.003257328990228014</v>
      </c>
      <c r="I470" s="39" t="n">
        <v>-0.3960784313725491</v>
      </c>
      <c r="J470" s="34" t="n">
        <v>29325</v>
      </c>
      <c r="K470" s="34" t="n">
        <v>28912.5</v>
      </c>
      <c r="L470" s="34" t="n">
        <v>25795.41666666667</v>
      </c>
      <c r="M470" s="39" t="n">
        <v>0.5304051437418189</v>
      </c>
      <c r="N470" s="39" t="n">
        <v>0.5405228931522469</v>
      </c>
      <c r="O470" s="39" t="n">
        <v>0.09803921568627461</v>
      </c>
      <c r="P470" s="39" t="n">
        <v>0.1622641509433962</v>
      </c>
      <c r="Q470" s="39" t="n">
        <v>0.2914046121593292</v>
      </c>
      <c r="R470" s="39" t="n">
        <v>0.05029838022165389</v>
      </c>
      <c r="S470" s="39" t="n">
        <v>0.06528318201469951</v>
      </c>
      <c r="T470" s="39" t="n">
        <v>0.1940105638921643</v>
      </c>
      <c r="U470" s="34" t="n">
        <v>47800</v>
      </c>
      <c r="V470" s="34" t="n">
        <v>20400</v>
      </c>
      <c r="W470" s="39" t="n">
        <v>-0.3556485355648535</v>
      </c>
      <c r="X470" s="39" t="n">
        <v>0.5098039215686274</v>
      </c>
      <c r="Y470" s="34" t="n">
        <v>51414494</v>
      </c>
      <c r="Z470" s="34" t="n">
        <v>1583566415200</v>
      </c>
      <c r="AA470" s="34" t="n">
        <v>11329934000</v>
      </c>
      <c r="AB470" s="34" t="n">
        <v>12186132242.5</v>
      </c>
      <c r="AC470" s="39" t="n">
        <v>0.007154694549750893</v>
      </c>
      <c r="AD470" s="32" t="inlineStr">
        <is>
          <t>yfinance_download</t>
        </is>
      </c>
      <c r="AE470" s="32" t="inlineStr">
        <is>
          <t>005290.KQ</t>
        </is>
      </c>
    </row>
    <row r="471" ht="24" customHeight="1">
      <c r="A471" s="27" t="inlineStr">
        <is>
          <t>2025-05-15</t>
        </is>
      </c>
      <c r="B471" s="33" t="n">
        <v>30650</v>
      </c>
      <c r="C471" s="33" t="n">
        <v>31500</v>
      </c>
      <c r="D471" s="33" t="n">
        <v>29950</v>
      </c>
      <c r="E471" s="33" t="n">
        <v>30000</v>
      </c>
      <c r="F471" s="33" t="n">
        <v>29528.177734375</v>
      </c>
      <c r="G471" s="33" t="n">
        <v>352100</v>
      </c>
      <c r="H471" s="38" t="n">
        <v>-0.02597402597402598</v>
      </c>
      <c r="I471" s="38" t="n">
        <v>-0.4117647058823529</v>
      </c>
      <c r="J471" s="33" t="n">
        <v>29430</v>
      </c>
      <c r="K471" s="33" t="n">
        <v>28955</v>
      </c>
      <c r="L471" s="33" t="n">
        <v>25852.91666666667</v>
      </c>
      <c r="M471" s="38" t="n">
        <v>0.5408037260386405</v>
      </c>
      <c r="N471" s="38" t="n">
        <v>0.5393599231954447</v>
      </c>
      <c r="O471" s="38" t="n">
        <v>0.07526881720430101</v>
      </c>
      <c r="P471" s="38" t="n">
        <v>0.09289617486338808</v>
      </c>
      <c r="Q471" s="38" t="n">
        <v>0.2987012987012987</v>
      </c>
      <c r="R471" s="38" t="n">
        <v>0.019367991845056</v>
      </c>
      <c r="S471" s="38" t="n">
        <v>0.03609048523571068</v>
      </c>
      <c r="T471" s="38" t="n">
        <v>0.1604106564378616</v>
      </c>
      <c r="U471" s="33" t="n">
        <v>47800</v>
      </c>
      <c r="V471" s="33" t="n">
        <v>20400</v>
      </c>
      <c r="W471" s="38" t="n">
        <v>-0.3723849372384938</v>
      </c>
      <c r="X471" s="38" t="n">
        <v>0.4705882352941178</v>
      </c>
      <c r="Y471" s="33" t="n">
        <v>51414494</v>
      </c>
      <c r="Z471" s="33" t="n">
        <v>1542434820000</v>
      </c>
      <c r="AA471" s="33" t="n">
        <v>10563000000</v>
      </c>
      <c r="AB471" s="33" t="n">
        <v>12326406677.5</v>
      </c>
      <c r="AC471" s="38" t="n">
        <v>0.006848263448824372</v>
      </c>
      <c r="AD471" s="27" t="inlineStr">
        <is>
          <t>yfinance_download</t>
        </is>
      </c>
      <c r="AE471" s="27" t="inlineStr">
        <is>
          <t>005290.KQ</t>
        </is>
      </c>
    </row>
    <row r="472" ht="24" customHeight="1">
      <c r="A472" s="32" t="inlineStr">
        <is>
          <t>2025-05-16</t>
        </is>
      </c>
      <c r="B472" s="34" t="n">
        <v>30350</v>
      </c>
      <c r="C472" s="34" t="n">
        <v>30400</v>
      </c>
      <c r="D472" s="34" t="n">
        <v>29200</v>
      </c>
      <c r="E472" s="34" t="n">
        <v>29500</v>
      </c>
      <c r="F472" s="34" t="n">
        <v>29036.041015625</v>
      </c>
      <c r="G472" s="34" t="n">
        <v>358466</v>
      </c>
      <c r="H472" s="39" t="n">
        <v>-0.01666666666666672</v>
      </c>
      <c r="I472" s="39" t="n">
        <v>-0.4215686274509803</v>
      </c>
      <c r="J472" s="34" t="n">
        <v>29495</v>
      </c>
      <c r="K472" s="34" t="n">
        <v>28995</v>
      </c>
      <c r="L472" s="34" t="n">
        <v>25910.83333333333</v>
      </c>
      <c r="M472" s="39" t="n">
        <v>0.5451262223403097</v>
      </c>
      <c r="N472" s="39" t="n">
        <v>0.5398782092384515</v>
      </c>
      <c r="O472" s="39" t="n">
        <v>0.04609929078014185</v>
      </c>
      <c r="P472" s="39" t="n">
        <v>0.088560885608856</v>
      </c>
      <c r="Q472" s="39" t="n">
        <v>0.3082039911308203</v>
      </c>
      <c r="R472" s="39" t="n">
        <v>0.0001695202576708077</v>
      </c>
      <c r="S472" s="39" t="n">
        <v>0.01741679599931012</v>
      </c>
      <c r="T472" s="39" t="n">
        <v>0.1385199240986719</v>
      </c>
      <c r="U472" s="34" t="n">
        <v>47800</v>
      </c>
      <c r="V472" s="34" t="n">
        <v>20400</v>
      </c>
      <c r="W472" s="39" t="n">
        <v>-0.3828451882845189</v>
      </c>
      <c r="X472" s="39" t="n">
        <v>0.446078431372549</v>
      </c>
      <c r="Y472" s="34" t="n">
        <v>51414494</v>
      </c>
      <c r="Z472" s="34" t="n">
        <v>1516727573000</v>
      </c>
      <c r="AA472" s="34" t="n">
        <v>10574747000</v>
      </c>
      <c r="AB472" s="34" t="n">
        <v>12549392577.5</v>
      </c>
      <c r="AC472" s="39" t="n">
        <v>0.006972080674371705</v>
      </c>
      <c r="AD472" s="32" t="inlineStr">
        <is>
          <t>yfinance_download</t>
        </is>
      </c>
      <c r="AE472" s="32" t="inlineStr">
        <is>
          <t>005290.KQ</t>
        </is>
      </c>
    </row>
    <row r="473" ht="24" customHeight="1">
      <c r="A473" s="27" t="inlineStr">
        <is>
          <t>2025-05-19</t>
        </is>
      </c>
      <c r="B473" s="33" t="n">
        <v>29400</v>
      </c>
      <c r="C473" s="33" t="n">
        <v>29450</v>
      </c>
      <c r="D473" s="33" t="n">
        <v>28450</v>
      </c>
      <c r="E473" s="33" t="n">
        <v>29000</v>
      </c>
      <c r="F473" s="33" t="n">
        <v>28543.90625</v>
      </c>
      <c r="G473" s="33" t="n">
        <v>385774</v>
      </c>
      <c r="H473" s="38" t="n">
        <v>-0.01694915254237284</v>
      </c>
      <c r="I473" s="38" t="n">
        <v>-0.4313725490196079</v>
      </c>
      <c r="J473" s="33" t="n">
        <v>29602.5</v>
      </c>
      <c r="K473" s="33" t="n">
        <v>29020.83333333333</v>
      </c>
      <c r="L473" s="33" t="n">
        <v>25954.16666666667</v>
      </c>
      <c r="M473" s="38" t="n">
        <v>0.5173361755043117</v>
      </c>
      <c r="N473" s="38" t="n">
        <v>0.5407628213731672</v>
      </c>
      <c r="O473" s="38" t="n">
        <v>0.08007448789571692</v>
      </c>
      <c r="P473" s="38" t="n">
        <v>0.0564663023679417</v>
      </c>
      <c r="Q473" s="38" t="n">
        <v>0.2184873949579831</v>
      </c>
      <c r="R473" s="38" t="n">
        <v>-0.02035301072544549</v>
      </c>
      <c r="S473" s="38" t="n">
        <v>-0.00071787508973431</v>
      </c>
      <c r="T473" s="38" t="n">
        <v>0.1173543104832235</v>
      </c>
      <c r="U473" s="33" t="n">
        <v>47800</v>
      </c>
      <c r="V473" s="33" t="n">
        <v>20400</v>
      </c>
      <c r="W473" s="38" t="n">
        <v>-0.393305439330544</v>
      </c>
      <c r="X473" s="38" t="n">
        <v>0.4215686274509804</v>
      </c>
      <c r="Y473" s="33" t="n">
        <v>51414494</v>
      </c>
      <c r="Z473" s="33" t="n">
        <v>1491020326000</v>
      </c>
      <c r="AA473" s="33" t="n">
        <v>11187446000</v>
      </c>
      <c r="AB473" s="33" t="n">
        <v>12712128622.5</v>
      </c>
      <c r="AC473" s="38" t="n">
        <v>0.007503214949465417</v>
      </c>
      <c r="AD473" s="27" t="inlineStr">
        <is>
          <t>yfinance_download</t>
        </is>
      </c>
      <c r="AE473" s="27" t="inlineStr">
        <is>
          <t>005290.KQ</t>
        </is>
      </c>
    </row>
    <row r="474" ht="24" customHeight="1">
      <c r="A474" s="32" t="inlineStr">
        <is>
          <t>2025-05-20</t>
        </is>
      </c>
      <c r="B474" s="34" t="n">
        <v>29450</v>
      </c>
      <c r="C474" s="34" t="n">
        <v>29550</v>
      </c>
      <c r="D474" s="34" t="n">
        <v>28550</v>
      </c>
      <c r="E474" s="34" t="n">
        <v>28600</v>
      </c>
      <c r="F474" s="34" t="n">
        <v>28150.197265625</v>
      </c>
      <c r="G474" s="34" t="n">
        <v>193585</v>
      </c>
      <c r="H474" s="39" t="n">
        <v>-0.01379310344827589</v>
      </c>
      <c r="I474" s="39" t="n">
        <v>-0.4392156862745098</v>
      </c>
      <c r="J474" s="34" t="n">
        <v>29662.5</v>
      </c>
      <c r="K474" s="34" t="n">
        <v>29028.33333333333</v>
      </c>
      <c r="L474" s="34" t="n">
        <v>25996.66666666667</v>
      </c>
      <c r="M474" s="39" t="n">
        <v>0.5174722138149608</v>
      </c>
      <c r="N474" s="39" t="n">
        <v>0.5393021295929975</v>
      </c>
      <c r="O474" s="39" t="n">
        <v>0.04379562043795615</v>
      </c>
      <c r="P474" s="39" t="n">
        <v>0.01598579040852566</v>
      </c>
      <c r="Q474" s="39" t="n">
        <v>0.2170212765957447</v>
      </c>
      <c r="R474" s="39" t="n">
        <v>-0.03581963758954909</v>
      </c>
      <c r="S474" s="39" t="n">
        <v>-0.01475569845553193</v>
      </c>
      <c r="T474" s="39" t="n">
        <v>0.1001410437235541</v>
      </c>
      <c r="U474" s="34" t="n">
        <v>47800</v>
      </c>
      <c r="V474" s="34" t="n">
        <v>20400</v>
      </c>
      <c r="W474" s="39" t="n">
        <v>-0.4016736401673641</v>
      </c>
      <c r="X474" s="39" t="n">
        <v>0.4019607843137254</v>
      </c>
      <c r="Y474" s="34" t="n">
        <v>51414494</v>
      </c>
      <c r="Z474" s="34" t="n">
        <v>1470454528400</v>
      </c>
      <c r="AA474" s="34" t="n">
        <v>5536531000</v>
      </c>
      <c r="AB474" s="34" t="n">
        <v>12761232402.5</v>
      </c>
      <c r="AC474" s="39" t="n">
        <v>0.003765183413066362</v>
      </c>
      <c r="AD474" s="32" t="inlineStr">
        <is>
          <t>yfinance_download</t>
        </is>
      </c>
      <c r="AE474" s="32" t="inlineStr">
        <is>
          <t>005290.KQ</t>
        </is>
      </c>
    </row>
    <row r="475" ht="24" customHeight="1">
      <c r="A475" s="27" t="inlineStr">
        <is>
          <t>2025-05-21</t>
        </is>
      </c>
      <c r="B475" s="33" t="n">
        <v>28700</v>
      </c>
      <c r="C475" s="33" t="n">
        <v>29000</v>
      </c>
      <c r="D475" s="33" t="n">
        <v>28550</v>
      </c>
      <c r="E475" s="33" t="n">
        <v>28600</v>
      </c>
      <c r="F475" s="33" t="n">
        <v>28150.197265625</v>
      </c>
      <c r="G475" s="33" t="n">
        <v>192120</v>
      </c>
      <c r="H475" s="38" t="n">
        <v>0</v>
      </c>
      <c r="I475" s="38" t="n">
        <v>-0.4392156862745098</v>
      </c>
      <c r="J475" s="33" t="n">
        <v>29707.5</v>
      </c>
      <c r="K475" s="33" t="n">
        <v>29039.16666666667</v>
      </c>
      <c r="L475" s="33" t="n">
        <v>26033.75</v>
      </c>
      <c r="M475" s="38" t="n">
        <v>0.5166002003252977</v>
      </c>
      <c r="N475" s="38" t="n">
        <v>0.539052350814386</v>
      </c>
      <c r="O475" s="38" t="n">
        <v>0.03249097472924189</v>
      </c>
      <c r="P475" s="38" t="n">
        <v>0.02325581395348841</v>
      </c>
      <c r="Q475" s="38" t="n">
        <v>0.184265010351967</v>
      </c>
      <c r="R475" s="38" t="n">
        <v>-0.03728014811074642</v>
      </c>
      <c r="S475" s="38" t="n">
        <v>-0.01512325307773987</v>
      </c>
      <c r="T475" s="38" t="n">
        <v>0.09857396648581163</v>
      </c>
      <c r="U475" s="33" t="n">
        <v>47800</v>
      </c>
      <c r="V475" s="33" t="n">
        <v>20400</v>
      </c>
      <c r="W475" s="38" t="n">
        <v>-0.4016736401673641</v>
      </c>
      <c r="X475" s="38" t="n">
        <v>0.4019607843137254</v>
      </c>
      <c r="Y475" s="33" t="n">
        <v>51414494</v>
      </c>
      <c r="Z475" s="33" t="n">
        <v>1470454528400</v>
      </c>
      <c r="AA475" s="33" t="n">
        <v>5494632000</v>
      </c>
      <c r="AB475" s="33" t="n">
        <v>12758480637.5</v>
      </c>
      <c r="AC475" s="38" t="n">
        <v>0.003736689502380399</v>
      </c>
      <c r="AD475" s="27" t="inlineStr">
        <is>
          <t>yfinance_download</t>
        </is>
      </c>
      <c r="AE475" s="27" t="inlineStr">
        <is>
          <t>005290.KQ</t>
        </is>
      </c>
    </row>
    <row r="476" ht="24" customHeight="1">
      <c r="A476" s="32" t="inlineStr">
        <is>
          <t>2025-05-22</t>
        </is>
      </c>
      <c r="B476" s="34" t="n">
        <v>28250</v>
      </c>
      <c r="C476" s="34" t="n">
        <v>28400</v>
      </c>
      <c r="D476" s="34" t="n">
        <v>27300</v>
      </c>
      <c r="E476" s="34" t="n">
        <v>27650</v>
      </c>
      <c r="F476" s="34" t="n">
        <v>27215.13671875</v>
      </c>
      <c r="G476" s="34" t="n">
        <v>332749</v>
      </c>
      <c r="H476" s="39" t="n">
        <v>-0.03321678321678323</v>
      </c>
      <c r="I476" s="39" t="n">
        <v>-0.457843137254902</v>
      </c>
      <c r="J476" s="34" t="n">
        <v>29620</v>
      </c>
      <c r="K476" s="34" t="n">
        <v>29027.5</v>
      </c>
      <c r="L476" s="34" t="n">
        <v>26060.83333333333</v>
      </c>
      <c r="M476" s="39" t="n">
        <v>0.4804994614262335</v>
      </c>
      <c r="N476" s="39" t="n">
        <v>0.5428057362834703</v>
      </c>
      <c r="O476" s="39" t="n">
        <v>-0.05952380952380953</v>
      </c>
      <c r="P476" s="39" t="n">
        <v>-0.02469135802469136</v>
      </c>
      <c r="Q476" s="39" t="n">
        <v>0.1331967213114753</v>
      </c>
      <c r="R476" s="39" t="n">
        <v>-0.06650911546252536</v>
      </c>
      <c r="S476" s="39" t="n">
        <v>-0.04745499956937382</v>
      </c>
      <c r="T476" s="39" t="n">
        <v>0.06097911936814504</v>
      </c>
      <c r="U476" s="34" t="n">
        <v>47800</v>
      </c>
      <c r="V476" s="34" t="n">
        <v>20400</v>
      </c>
      <c r="W476" s="39" t="n">
        <v>-0.4215481171548117</v>
      </c>
      <c r="X476" s="39" t="n">
        <v>0.3553921568627452</v>
      </c>
      <c r="Y476" s="34" t="n">
        <v>51414494</v>
      </c>
      <c r="Z476" s="34" t="n">
        <v>1421610759100</v>
      </c>
      <c r="AA476" s="34" t="n">
        <v>9200509850</v>
      </c>
      <c r="AB476" s="34" t="n">
        <v>12271977540</v>
      </c>
      <c r="AC476" s="39" t="n">
        <v>0.006471890980780634</v>
      </c>
      <c r="AD476" s="32" t="inlineStr">
        <is>
          <t>yfinance_download</t>
        </is>
      </c>
      <c r="AE476" s="32" t="inlineStr">
        <is>
          <t>005290.KQ</t>
        </is>
      </c>
    </row>
    <row r="477" ht="24" customHeight="1">
      <c r="A477" s="27" t="inlineStr">
        <is>
          <t>2025-05-23</t>
        </is>
      </c>
      <c r="B477" s="33" t="n">
        <v>27850</v>
      </c>
      <c r="C477" s="33" t="n">
        <v>28000</v>
      </c>
      <c r="D477" s="33" t="n">
        <v>27300</v>
      </c>
      <c r="E477" s="33" t="n">
        <v>27600</v>
      </c>
      <c r="F477" s="33" t="n">
        <v>27165.923828125</v>
      </c>
      <c r="G477" s="33" t="n">
        <v>140263</v>
      </c>
      <c r="H477" s="38" t="n">
        <v>-0.001808318264014508</v>
      </c>
      <c r="I477" s="38" t="n">
        <v>-0.4588235294117647</v>
      </c>
      <c r="J477" s="33" t="n">
        <v>29532.5</v>
      </c>
      <c r="K477" s="33" t="n">
        <v>29023.33333333333</v>
      </c>
      <c r="L477" s="33" t="n">
        <v>26089.58333333333</v>
      </c>
      <c r="M477" s="38" t="n">
        <v>0.4804968419577442</v>
      </c>
      <c r="N477" s="38" t="n">
        <v>0.5415579309814261</v>
      </c>
      <c r="O477" s="38" t="n">
        <v>-0.05962521294718914</v>
      </c>
      <c r="P477" s="38" t="n">
        <v>-0.008976660682226245</v>
      </c>
      <c r="Q477" s="38" t="n">
        <v>0.1428571428571428</v>
      </c>
      <c r="R477" s="38" t="n">
        <v>-0.06543638364513671</v>
      </c>
      <c r="S477" s="38" t="n">
        <v>-0.04904100149305157</v>
      </c>
      <c r="T477" s="38" t="n">
        <v>0.05789347600415251</v>
      </c>
      <c r="U477" s="33" t="n">
        <v>47800</v>
      </c>
      <c r="V477" s="33" t="n">
        <v>20400</v>
      </c>
      <c r="W477" s="38" t="n">
        <v>-0.4225941422594143</v>
      </c>
      <c r="X477" s="38" t="n">
        <v>0.3529411764705883</v>
      </c>
      <c r="Y477" s="33" t="n">
        <v>51414494</v>
      </c>
      <c r="Z477" s="33" t="n">
        <v>1419040034400</v>
      </c>
      <c r="AA477" s="33" t="n">
        <v>3871258800</v>
      </c>
      <c r="AB477" s="33" t="n">
        <v>11825500627.5</v>
      </c>
      <c r="AC477" s="38" t="n">
        <v>0.002728082863170841</v>
      </c>
      <c r="AD477" s="27" t="inlineStr">
        <is>
          <t>yfinance_download</t>
        </is>
      </c>
      <c r="AE477" s="27" t="inlineStr">
        <is>
          <t>005290.KQ</t>
        </is>
      </c>
    </row>
    <row r="478" ht="24" customHeight="1">
      <c r="A478" s="32" t="inlineStr">
        <is>
          <t>2025-05-26</t>
        </is>
      </c>
      <c r="B478" s="34" t="n">
        <v>27500</v>
      </c>
      <c r="C478" s="34" t="n">
        <v>28800</v>
      </c>
      <c r="D478" s="34" t="n">
        <v>27500</v>
      </c>
      <c r="E478" s="34" t="n">
        <v>28550</v>
      </c>
      <c r="F478" s="34" t="n">
        <v>28100.982421875</v>
      </c>
      <c r="G478" s="34" t="n">
        <v>319424</v>
      </c>
      <c r="H478" s="39" t="n">
        <v>0.03442028985507251</v>
      </c>
      <c r="I478" s="39" t="n">
        <v>-0.4401960784313725</v>
      </c>
      <c r="J478" s="34" t="n">
        <v>29477.5</v>
      </c>
      <c r="K478" s="34" t="n">
        <v>29009.16666666667</v>
      </c>
      <c r="L478" s="34" t="n">
        <v>26122.91666666667</v>
      </c>
      <c r="M478" s="39" t="n">
        <v>0.4964983990987632</v>
      </c>
      <c r="N478" s="39" t="n">
        <v>0.5340025324989686</v>
      </c>
      <c r="O478" s="39" t="n">
        <v>-0.03709949409780777</v>
      </c>
      <c r="P478" s="39" t="n">
        <v>-0.02891156462585032</v>
      </c>
      <c r="Q478" s="39" t="n">
        <v>0.1629327902240325</v>
      </c>
      <c r="R478" s="39" t="n">
        <v>-0.03146467644813844</v>
      </c>
      <c r="S478" s="39" t="n">
        <v>-0.01582833012553508</v>
      </c>
      <c r="T478" s="39" t="n">
        <v>0.09291012042427615</v>
      </c>
      <c r="U478" s="34" t="n">
        <v>46650</v>
      </c>
      <c r="V478" s="34" t="n">
        <v>20400</v>
      </c>
      <c r="W478" s="39" t="n">
        <v>-0.3879957127545552</v>
      </c>
      <c r="X478" s="39" t="n">
        <v>0.3995098039215685</v>
      </c>
      <c r="Y478" s="34" t="n">
        <v>51414494</v>
      </c>
      <c r="Z478" s="34" t="n">
        <v>1467883803700</v>
      </c>
      <c r="AA478" s="34" t="n">
        <v>9119555200</v>
      </c>
      <c r="AB478" s="34" t="n">
        <v>11742051490</v>
      </c>
      <c r="AC478" s="39" t="n">
        <v>0.006212722817032878</v>
      </c>
      <c r="AD478" s="32" t="inlineStr">
        <is>
          <t>yfinance_download</t>
        </is>
      </c>
      <c r="AE478" s="32" t="inlineStr">
        <is>
          <t>005290.KQ</t>
        </is>
      </c>
    </row>
    <row r="479" ht="24" customHeight="1">
      <c r="A479" s="27" t="inlineStr">
        <is>
          <t>2025-05-27</t>
        </is>
      </c>
      <c r="B479" s="33" t="n">
        <v>28400</v>
      </c>
      <c r="C479" s="33" t="n">
        <v>28550</v>
      </c>
      <c r="D479" s="33" t="n">
        <v>27950</v>
      </c>
      <c r="E479" s="33" t="n">
        <v>28100</v>
      </c>
      <c r="F479" s="33" t="n">
        <v>27658.060546875</v>
      </c>
      <c r="G479" s="33" t="n">
        <v>169921</v>
      </c>
      <c r="H479" s="38" t="n">
        <v>-0.01576182136602455</v>
      </c>
      <c r="I479" s="38" t="n">
        <v>-0.4490196078431372</v>
      </c>
      <c r="J479" s="33" t="n">
        <v>29352.5</v>
      </c>
      <c r="K479" s="33" t="n">
        <v>29003.33333333333</v>
      </c>
      <c r="L479" s="33" t="n">
        <v>26150</v>
      </c>
      <c r="M479" s="38" t="n">
        <v>0.4825584185637444</v>
      </c>
      <c r="N479" s="38" t="n">
        <v>0.5307841538370692</v>
      </c>
      <c r="O479" s="38" t="n">
        <v>-0.0816993464052288</v>
      </c>
      <c r="P479" s="38" t="n">
        <v>-0.0123022847100176</v>
      </c>
      <c r="Q479" s="38" t="n">
        <v>0.1307847082494971</v>
      </c>
      <c r="R479" s="38" t="n">
        <v>-0.04267098202878805</v>
      </c>
      <c r="S479" s="38" t="n">
        <v>-0.03114584530513731</v>
      </c>
      <c r="T479" s="38" t="n">
        <v>0.0745697896749522</v>
      </c>
      <c r="U479" s="33" t="n">
        <v>44550</v>
      </c>
      <c r="V479" s="33" t="n">
        <v>20400</v>
      </c>
      <c r="W479" s="38" t="n">
        <v>-0.3692480359147026</v>
      </c>
      <c r="X479" s="38" t="n">
        <v>0.3774509803921569</v>
      </c>
      <c r="Y479" s="33" t="n">
        <v>51414494</v>
      </c>
      <c r="Z479" s="33" t="n">
        <v>1444747281400</v>
      </c>
      <c r="AA479" s="33" t="n">
        <v>4774780100</v>
      </c>
      <c r="AB479" s="33" t="n">
        <v>11052522665</v>
      </c>
      <c r="AC479" s="38" t="n">
        <v>0.003304924093972412</v>
      </c>
      <c r="AD479" s="27" t="inlineStr">
        <is>
          <t>yfinance_download</t>
        </is>
      </c>
      <c r="AE479" s="27" t="inlineStr">
        <is>
          <t>005290.KQ</t>
        </is>
      </c>
    </row>
    <row r="480" ht="24" customHeight="1">
      <c r="A480" s="32" t="inlineStr">
        <is>
          <t>2025-05-28</t>
        </is>
      </c>
      <c r="B480" s="34" t="n">
        <v>28500</v>
      </c>
      <c r="C480" s="34" t="n">
        <v>29150</v>
      </c>
      <c r="D480" s="34" t="n">
        <v>28250</v>
      </c>
      <c r="E480" s="34" t="n">
        <v>28700</v>
      </c>
      <c r="F480" s="34" t="n">
        <v>28248.623046875</v>
      </c>
      <c r="G480" s="34" t="n">
        <v>369091</v>
      </c>
      <c r="H480" s="39" t="n">
        <v>0.02135231316725972</v>
      </c>
      <c r="I480" s="39" t="n">
        <v>-0.4372549019607843</v>
      </c>
      <c r="J480" s="34" t="n">
        <v>29232.5</v>
      </c>
      <c r="K480" s="34" t="n">
        <v>29025</v>
      </c>
      <c r="L480" s="34" t="n">
        <v>26191.66666666667</v>
      </c>
      <c r="M480" s="39" t="n">
        <v>0.485653739715833</v>
      </c>
      <c r="N480" s="39" t="n">
        <v>0.5267364214442645</v>
      </c>
      <c r="O480" s="39" t="n">
        <v>-0.07717041800643087</v>
      </c>
      <c r="P480" s="39" t="n">
        <v>0.04744525547445266</v>
      </c>
      <c r="Q480" s="39" t="n">
        <v>0.2109704641350212</v>
      </c>
      <c r="R480" s="39" t="n">
        <v>-0.01821602668263067</v>
      </c>
      <c r="S480" s="39" t="n">
        <v>-0.01119724375538333</v>
      </c>
      <c r="T480" s="39" t="n">
        <v>0.09576837416481054</v>
      </c>
      <c r="U480" s="34" t="n">
        <v>44550</v>
      </c>
      <c r="V480" s="34" t="n">
        <v>20400</v>
      </c>
      <c r="W480" s="39" t="n">
        <v>-0.3557800224466892</v>
      </c>
      <c r="X480" s="39" t="n">
        <v>0.4068627450980393</v>
      </c>
      <c r="Y480" s="34" t="n">
        <v>51414494</v>
      </c>
      <c r="Z480" s="34" t="n">
        <v>1475595977800</v>
      </c>
      <c r="AA480" s="34" t="n">
        <v>10592911700</v>
      </c>
      <c r="AB480" s="34" t="n">
        <v>10672743605</v>
      </c>
      <c r="AC480" s="39" t="n">
        <v>0.007178734463476388</v>
      </c>
      <c r="AD480" s="32" t="inlineStr">
        <is>
          <t>yfinance_download</t>
        </is>
      </c>
      <c r="AE480" s="32" t="inlineStr">
        <is>
          <t>005290.KQ</t>
        </is>
      </c>
    </row>
    <row r="481" ht="24" customHeight="1">
      <c r="A481" s="27" t="inlineStr">
        <is>
          <t>2025-05-29</t>
        </is>
      </c>
      <c r="B481" s="33" t="n">
        <v>29300</v>
      </c>
      <c r="C481" s="33" t="n">
        <v>29300</v>
      </c>
      <c r="D481" s="33" t="n">
        <v>28500</v>
      </c>
      <c r="E481" s="33" t="n">
        <v>28800</v>
      </c>
      <c r="F481" s="33" t="n">
        <v>28347.05078125</v>
      </c>
      <c r="G481" s="33" t="n">
        <v>246595</v>
      </c>
      <c r="H481" s="38" t="n">
        <v>0.003484320557491261</v>
      </c>
      <c r="I481" s="38" t="n">
        <v>-0.4352941176470588</v>
      </c>
      <c r="J481" s="33" t="n">
        <v>29190</v>
      </c>
      <c r="K481" s="33" t="n">
        <v>29068.33333333333</v>
      </c>
      <c r="L481" s="33" t="n">
        <v>26241.66666666667</v>
      </c>
      <c r="M481" s="38" t="n">
        <v>0.4585492099340726</v>
      </c>
      <c r="N481" s="38" t="n">
        <v>0.5182883004562009</v>
      </c>
      <c r="O481" s="38" t="n">
        <v>-0.02866779089376059</v>
      </c>
      <c r="P481" s="38" t="n">
        <v>0.0992366412213741</v>
      </c>
      <c r="Q481" s="38" t="n">
        <v>0.263157894736842</v>
      </c>
      <c r="R481" s="38" t="n">
        <v>-0.01336073997944498</v>
      </c>
      <c r="S481" s="38" t="n">
        <v>-0.009231122068688702</v>
      </c>
      <c r="T481" s="38" t="n">
        <v>0.09749126706891076</v>
      </c>
      <c r="U481" s="33" t="n">
        <v>44550</v>
      </c>
      <c r="V481" s="33" t="n">
        <v>20400</v>
      </c>
      <c r="W481" s="38" t="n">
        <v>-0.3535353535353535</v>
      </c>
      <c r="X481" s="38" t="n">
        <v>0.411764705882353</v>
      </c>
      <c r="Y481" s="33" t="n">
        <v>51414494</v>
      </c>
      <c r="Z481" s="33" t="n">
        <v>1480737427200</v>
      </c>
      <c r="AA481" s="33" t="n">
        <v>7101936000</v>
      </c>
      <c r="AB481" s="33" t="n">
        <v>10372421225</v>
      </c>
      <c r="AC481" s="38" t="n">
        <v>0.004796215635225351</v>
      </c>
      <c r="AD481" s="27" t="inlineStr">
        <is>
          <t>yfinance_download</t>
        </is>
      </c>
      <c r="AE481" s="27" t="inlineStr">
        <is>
          <t>005290.KQ</t>
        </is>
      </c>
    </row>
    <row r="482" ht="24" customHeight="1">
      <c r="A482" s="32" t="inlineStr">
        <is>
          <t>2025-05-30</t>
        </is>
      </c>
      <c r="B482" s="34" t="n">
        <v>28500</v>
      </c>
      <c r="C482" s="34" t="n">
        <v>28900</v>
      </c>
      <c r="D482" s="34" t="n">
        <v>28100</v>
      </c>
      <c r="E482" s="34" t="n">
        <v>28300</v>
      </c>
      <c r="F482" s="34" t="n">
        <v>27854.9140625</v>
      </c>
      <c r="G482" s="34" t="n">
        <v>302520</v>
      </c>
      <c r="H482" s="39" t="n">
        <v>-0.01736111111111116</v>
      </c>
      <c r="I482" s="39" t="n">
        <v>-0.4450980392156862</v>
      </c>
      <c r="J482" s="34" t="n">
        <v>29125</v>
      </c>
      <c r="K482" s="34" t="n">
        <v>29106.66666666667</v>
      </c>
      <c r="L482" s="34" t="n">
        <v>26289.58333333333</v>
      </c>
      <c r="M482" s="39" t="n">
        <v>0.4621929992545425</v>
      </c>
      <c r="N482" s="39" t="n">
        <v>0.5194504725085582</v>
      </c>
      <c r="O482" s="39" t="n">
        <v>-0.04391891891891897</v>
      </c>
      <c r="P482" s="39" t="n">
        <v>0.08846153846153837</v>
      </c>
      <c r="Q482" s="39" t="n">
        <v>0.2549889135254988</v>
      </c>
      <c r="R482" s="39" t="n">
        <v>-0.02832618025751077</v>
      </c>
      <c r="S482" s="39" t="n">
        <v>-0.02771415483279893</v>
      </c>
      <c r="T482" s="39" t="n">
        <v>0.07647198668674227</v>
      </c>
      <c r="U482" s="34" t="n">
        <v>44550</v>
      </c>
      <c r="V482" s="34" t="n">
        <v>20400</v>
      </c>
      <c r="W482" s="39" t="n">
        <v>-0.3647586980920314</v>
      </c>
      <c r="X482" s="39" t="n">
        <v>0.3872549019607843</v>
      </c>
      <c r="Y482" s="34" t="n">
        <v>51414494</v>
      </c>
      <c r="Z482" s="34" t="n">
        <v>1455030180200</v>
      </c>
      <c r="AA482" s="34" t="n">
        <v>8561316000</v>
      </c>
      <c r="AB482" s="34" t="n">
        <v>10520034425</v>
      </c>
      <c r="AC482" s="39" t="n">
        <v>0.005883943932230472</v>
      </c>
      <c r="AD482" s="32" t="inlineStr">
        <is>
          <t>yfinance_download</t>
        </is>
      </c>
      <c r="AE482" s="32" t="inlineStr">
        <is>
          <t>005290.KQ</t>
        </is>
      </c>
    </row>
    <row r="483" ht="24" customHeight="1">
      <c r="A483" s="27" t="inlineStr">
        <is>
          <t>2025-06-02</t>
        </is>
      </c>
      <c r="B483" s="33" t="n">
        <v>28400</v>
      </c>
      <c r="C483" s="33" t="n">
        <v>29150</v>
      </c>
      <c r="D483" s="33" t="n">
        <v>27850</v>
      </c>
      <c r="E483" s="33" t="n">
        <v>27950</v>
      </c>
      <c r="F483" s="33" t="n">
        <v>27510.419921875</v>
      </c>
      <c r="G483" s="33" t="n">
        <v>349615</v>
      </c>
      <c r="H483" s="38" t="n">
        <v>-0.01236749116607772</v>
      </c>
      <c r="I483" s="38" t="n">
        <v>-0.4519607843137254</v>
      </c>
      <c r="J483" s="33" t="n">
        <v>29065</v>
      </c>
      <c r="K483" s="33" t="n">
        <v>29119.16666666667</v>
      </c>
      <c r="L483" s="33" t="n">
        <v>26340.41666666667</v>
      </c>
      <c r="M483" s="38" t="n">
        <v>0.4612148951194223</v>
      </c>
      <c r="N483" s="38" t="n">
        <v>0.5119642321953637</v>
      </c>
      <c r="O483" s="38" t="n">
        <v>-0.04116638078902235</v>
      </c>
      <c r="P483" s="38" t="n">
        <v>0.02757352941176472</v>
      </c>
      <c r="Q483" s="38" t="n">
        <v>0.2791762013729977</v>
      </c>
      <c r="R483" s="38" t="n">
        <v>-0.03836229141579217</v>
      </c>
      <c r="S483" s="38" t="n">
        <v>-0.04015110322525262</v>
      </c>
      <c r="T483" s="38" t="n">
        <v>0.06110698071721199</v>
      </c>
      <c r="U483" s="33" t="n">
        <v>44550</v>
      </c>
      <c r="V483" s="33" t="n">
        <v>20400</v>
      </c>
      <c r="W483" s="38" t="n">
        <v>-0.3726150392817059</v>
      </c>
      <c r="X483" s="38" t="n">
        <v>0.3700980392156863</v>
      </c>
      <c r="Y483" s="33" t="n">
        <v>51414494</v>
      </c>
      <c r="Z483" s="33" t="n">
        <v>1437035107300</v>
      </c>
      <c r="AA483" s="33" t="n">
        <v>9771739250</v>
      </c>
      <c r="AB483" s="33" t="n">
        <v>10611862195</v>
      </c>
      <c r="AC483" s="38" t="n">
        <v>0.00679993077438436</v>
      </c>
      <c r="AD483" s="27" t="inlineStr">
        <is>
          <t>yfinance_download</t>
        </is>
      </c>
      <c r="AE483" s="27" t="inlineStr">
        <is>
          <t>005290.KQ</t>
        </is>
      </c>
    </row>
    <row r="484" ht="24" customHeight="1">
      <c r="A484" s="32" t="inlineStr">
        <is>
          <t>2025-06-04</t>
        </is>
      </c>
      <c r="B484" s="34" t="n">
        <v>28600</v>
      </c>
      <c r="C484" s="34" t="n">
        <v>28900</v>
      </c>
      <c r="D484" s="34" t="n">
        <v>28100</v>
      </c>
      <c r="E484" s="34" t="n">
        <v>28200</v>
      </c>
      <c r="F484" s="34" t="n">
        <v>27756.486328125</v>
      </c>
      <c r="G484" s="34" t="n">
        <v>293808</v>
      </c>
      <c r="H484" s="39" t="n">
        <v>0.008944543828264706</v>
      </c>
      <c r="I484" s="39" t="n">
        <v>-0.4470588235294117</v>
      </c>
      <c r="J484" s="34" t="n">
        <v>28977.5</v>
      </c>
      <c r="K484" s="34" t="n">
        <v>29151.66666666667</v>
      </c>
      <c r="L484" s="34" t="n">
        <v>26397.5</v>
      </c>
      <c r="M484" s="39" t="n">
        <v>0.4502521819733496</v>
      </c>
      <c r="N484" s="39" t="n">
        <v>0.5066972444098896</v>
      </c>
      <c r="O484" s="39" t="n">
        <v>-0.05843071786310516</v>
      </c>
      <c r="P484" s="39" t="n">
        <v>0.07428571428571429</v>
      </c>
      <c r="Q484" s="39" t="n">
        <v>0.3208430913348945</v>
      </c>
      <c r="R484" s="39" t="n">
        <v>-0.02683116210853254</v>
      </c>
      <c r="S484" s="39" t="n">
        <v>-0.03264536047109945</v>
      </c>
      <c r="T484" s="39" t="n">
        <v>0.0682829813429302</v>
      </c>
      <c r="U484" s="34" t="n">
        <v>44550</v>
      </c>
      <c r="V484" s="34" t="n">
        <v>20400</v>
      </c>
      <c r="W484" s="39" t="n">
        <v>-0.367003367003367</v>
      </c>
      <c r="X484" s="39" t="n">
        <v>0.3823529411764706</v>
      </c>
      <c r="Y484" s="34" t="n">
        <v>51414494</v>
      </c>
      <c r="Z484" s="34" t="n">
        <v>1449888730800</v>
      </c>
      <c r="AA484" s="34" t="n">
        <v>8285385600</v>
      </c>
      <c r="AB484" s="34" t="n">
        <v>10463311075</v>
      </c>
      <c r="AC484" s="39" t="n">
        <v>0.005714497550048825</v>
      </c>
      <c r="AD484" s="32" t="inlineStr">
        <is>
          <t>yfinance_download</t>
        </is>
      </c>
      <c r="AE484" s="32" t="inlineStr">
        <is>
          <t>005290.KQ</t>
        </is>
      </c>
    </row>
    <row r="485" ht="24" customHeight="1">
      <c r="A485" s="27" t="inlineStr">
        <is>
          <t>2025-06-05</t>
        </is>
      </c>
      <c r="B485" s="33" t="n">
        <v>28550</v>
      </c>
      <c r="C485" s="33" t="n">
        <v>30150</v>
      </c>
      <c r="D485" s="33" t="n">
        <v>28300</v>
      </c>
      <c r="E485" s="33" t="n">
        <v>29700</v>
      </c>
      <c r="F485" s="33" t="n">
        <v>29232.896484375</v>
      </c>
      <c r="G485" s="33" t="n">
        <v>629332</v>
      </c>
      <c r="H485" s="38" t="n">
        <v>0.05319148936170204</v>
      </c>
      <c r="I485" s="38" t="n">
        <v>-0.4176470588235294</v>
      </c>
      <c r="J485" s="33" t="n">
        <v>28965</v>
      </c>
      <c r="K485" s="33" t="n">
        <v>29182.5</v>
      </c>
      <c r="L485" s="33" t="n">
        <v>26463.33333333333</v>
      </c>
      <c r="M485" s="38" t="n">
        <v>0.4920238024029175</v>
      </c>
      <c r="N485" s="38" t="n">
        <v>0.5030569134496268</v>
      </c>
      <c r="O485" s="38" t="n">
        <v>-0.008347245409014992</v>
      </c>
      <c r="P485" s="38" t="n">
        <v>0.06642728904847406</v>
      </c>
      <c r="Q485" s="38" t="n">
        <v>0.3623853211009174</v>
      </c>
      <c r="R485" s="38" t="n">
        <v>0.02537545313309164</v>
      </c>
      <c r="S485" s="38" t="n">
        <v>0.01773323053199682</v>
      </c>
      <c r="T485" s="38" t="n">
        <v>0.1223075954150397</v>
      </c>
      <c r="U485" s="33" t="n">
        <v>44550</v>
      </c>
      <c r="V485" s="33" t="n">
        <v>20400</v>
      </c>
      <c r="W485" s="38" t="n">
        <v>-0.3333333333333334</v>
      </c>
      <c r="X485" s="38" t="n">
        <v>0.4558823529411764</v>
      </c>
      <c r="Y485" s="33" t="n">
        <v>51414494</v>
      </c>
      <c r="Z485" s="33" t="n">
        <v>1527010471800</v>
      </c>
      <c r="AA485" s="33" t="n">
        <v>18691160400</v>
      </c>
      <c r="AB485" s="33" t="n">
        <v>11135867992.5</v>
      </c>
      <c r="AC485" s="38" t="n">
        <v>0.01224036163810151</v>
      </c>
      <c r="AD485" s="27" t="inlineStr">
        <is>
          <t>yfinance_download</t>
        </is>
      </c>
      <c r="AE485" s="27" t="inlineStr">
        <is>
          <t>005290.KQ</t>
        </is>
      </c>
    </row>
    <row r="486" ht="24" customHeight="1">
      <c r="A486" s="32" t="inlineStr">
        <is>
          <t>2025-06-09</t>
        </is>
      </c>
      <c r="B486" s="34" t="n">
        <v>30250</v>
      </c>
      <c r="C486" s="34" t="n">
        <v>30650</v>
      </c>
      <c r="D486" s="34" t="n">
        <v>29900</v>
      </c>
      <c r="E486" s="34" t="n">
        <v>30000</v>
      </c>
      <c r="F486" s="34" t="n">
        <v>29528.177734375</v>
      </c>
      <c r="G486" s="34" t="n">
        <v>355959</v>
      </c>
      <c r="H486" s="39" t="n">
        <v>0.01010101010101017</v>
      </c>
      <c r="I486" s="39" t="n">
        <v>-0.4117647058823529</v>
      </c>
      <c r="J486" s="34" t="n">
        <v>28970</v>
      </c>
      <c r="K486" s="34" t="n">
        <v>29220</v>
      </c>
      <c r="L486" s="34" t="n">
        <v>26532.5</v>
      </c>
      <c r="M486" s="39" t="n">
        <v>0.4932571070756229</v>
      </c>
      <c r="N486" s="39" t="n">
        <v>0.5032404742572517</v>
      </c>
      <c r="O486" s="39" t="n">
        <v>0.003344481605351168</v>
      </c>
      <c r="P486" s="39" t="n">
        <v>0.08108108108108114</v>
      </c>
      <c r="Q486" s="39" t="n">
        <v>0.3824884792626728</v>
      </c>
      <c r="R486" s="39" t="n">
        <v>0.03555402140144981</v>
      </c>
      <c r="S486" s="39" t="n">
        <v>0.02669404517453788</v>
      </c>
      <c r="T486" s="39" t="n">
        <v>0.1306887779138792</v>
      </c>
      <c r="U486" s="34" t="n">
        <v>44350</v>
      </c>
      <c r="V486" s="34" t="n">
        <v>20400</v>
      </c>
      <c r="W486" s="39" t="n">
        <v>-0.3235625704622322</v>
      </c>
      <c r="X486" s="39" t="n">
        <v>0.4705882352941178</v>
      </c>
      <c r="Y486" s="34" t="n">
        <v>51414494</v>
      </c>
      <c r="Z486" s="34" t="n">
        <v>1542434820000</v>
      </c>
      <c r="AA486" s="34" t="n">
        <v>10678770000</v>
      </c>
      <c r="AB486" s="34" t="n">
        <v>10618597242.5</v>
      </c>
      <c r="AC486" s="39" t="n">
        <v>0.006923320105027194</v>
      </c>
      <c r="AD486" s="32" t="inlineStr">
        <is>
          <t>yfinance_download</t>
        </is>
      </c>
      <c r="AE486" s="32" t="inlineStr">
        <is>
          <t>005290.KQ</t>
        </is>
      </c>
    </row>
    <row r="487" ht="24" customHeight="1">
      <c r="A487" s="27" t="inlineStr">
        <is>
          <t>2025-06-10</t>
        </is>
      </c>
      <c r="B487" s="33" t="n">
        <v>30450</v>
      </c>
      <c r="C487" s="33" t="n">
        <v>30450</v>
      </c>
      <c r="D487" s="33" t="n">
        <v>29600</v>
      </c>
      <c r="E487" s="33" t="n">
        <v>30050</v>
      </c>
      <c r="F487" s="33" t="n">
        <v>29577.392578125</v>
      </c>
      <c r="G487" s="33" t="n">
        <v>342641</v>
      </c>
      <c r="H487" s="38" t="n">
        <v>0.001666666666666705</v>
      </c>
      <c r="I487" s="38" t="n">
        <v>-0.4107843137254902</v>
      </c>
      <c r="J487" s="33" t="n">
        <v>29065</v>
      </c>
      <c r="K487" s="33" t="n">
        <v>29252.5</v>
      </c>
      <c r="L487" s="33" t="n">
        <v>26600.41666666667</v>
      </c>
      <c r="M487" s="38" t="n">
        <v>0.4410390983202374</v>
      </c>
      <c r="N487" s="38" t="n">
        <v>0.50273474736262</v>
      </c>
      <c r="O487" s="38" t="n">
        <v>0.06749555950266428</v>
      </c>
      <c r="P487" s="38" t="n">
        <v>0.06939501779359425</v>
      </c>
      <c r="Q487" s="38" t="n">
        <v>0.3721461187214612</v>
      </c>
      <c r="R487" s="38" t="n">
        <v>0.03388955788749359</v>
      </c>
      <c r="S487" s="38" t="n">
        <v>0.02726262712588667</v>
      </c>
      <c r="T487" s="38" t="n">
        <v>0.1296815526072586</v>
      </c>
      <c r="U487" s="33" t="n">
        <v>44350</v>
      </c>
      <c r="V487" s="33" t="n">
        <v>20400</v>
      </c>
      <c r="W487" s="38" t="n">
        <v>-0.322435174746336</v>
      </c>
      <c r="X487" s="38" t="n">
        <v>0.4730392156862746</v>
      </c>
      <c r="Y487" s="33" t="n">
        <v>51414494</v>
      </c>
      <c r="Z487" s="33" t="n">
        <v>1545005544700</v>
      </c>
      <c r="AA487" s="33" t="n">
        <v>10296362050</v>
      </c>
      <c r="AB487" s="33" t="n">
        <v>10150902932.5</v>
      </c>
      <c r="AC487" s="38" t="n">
        <v>0.006664288089658142</v>
      </c>
      <c r="AD487" s="27" t="inlineStr">
        <is>
          <t>yfinance_download</t>
        </is>
      </c>
      <c r="AE487" s="27" t="inlineStr">
        <is>
          <t>005290.KQ</t>
        </is>
      </c>
    </row>
    <row r="488" ht="24" customHeight="1">
      <c r="A488" s="32" t="inlineStr">
        <is>
          <t>2025-06-11</t>
        </is>
      </c>
      <c r="B488" s="34" t="n">
        <v>30300</v>
      </c>
      <c r="C488" s="34" t="n">
        <v>31100</v>
      </c>
      <c r="D488" s="34" t="n">
        <v>30125</v>
      </c>
      <c r="E488" s="34" t="n">
        <v>30800</v>
      </c>
      <c r="F488" s="34" t="n">
        <v>30315.595703125</v>
      </c>
      <c r="G488" s="34" t="n">
        <v>614720</v>
      </c>
      <c r="H488" s="39" t="n">
        <v>0.0249584026622296</v>
      </c>
      <c r="I488" s="39" t="n">
        <v>-0.3960784313725491</v>
      </c>
      <c r="J488" s="34" t="n">
        <v>29080</v>
      </c>
      <c r="K488" s="34" t="n">
        <v>29278.33333333333</v>
      </c>
      <c r="L488" s="34" t="n">
        <v>26677.5</v>
      </c>
      <c r="M488" s="39" t="n">
        <v>0.3372022214934617</v>
      </c>
      <c r="N488" s="39" t="n">
        <v>0.4984478268124163</v>
      </c>
      <c r="O488" s="39" t="n">
        <v>0.009836065573770592</v>
      </c>
      <c r="P488" s="39" t="n">
        <v>0.05299145299145303</v>
      </c>
      <c r="Q488" s="39" t="n">
        <v>0.4292343387470998</v>
      </c>
      <c r="R488" s="39" t="n">
        <v>0.05914718019257226</v>
      </c>
      <c r="S488" s="39" t="n">
        <v>0.05197244834063874</v>
      </c>
      <c r="T488" s="39" t="n">
        <v>0.1545309717927092</v>
      </c>
      <c r="U488" s="34" t="n">
        <v>44350</v>
      </c>
      <c r="V488" s="34" t="n">
        <v>20400</v>
      </c>
      <c r="W488" s="39" t="n">
        <v>-0.3055242390078917</v>
      </c>
      <c r="X488" s="39" t="n">
        <v>0.5098039215686274</v>
      </c>
      <c r="Y488" s="34" t="n">
        <v>51414494</v>
      </c>
      <c r="Z488" s="34" t="n">
        <v>1583566415200</v>
      </c>
      <c r="AA488" s="34" t="n">
        <v>18933376000</v>
      </c>
      <c r="AB488" s="34" t="n">
        <v>10044351832.5</v>
      </c>
      <c r="AC488" s="39" t="n">
        <v>0.01195616162244055</v>
      </c>
      <c r="AD488" s="32" t="inlineStr">
        <is>
          <t>yfinance_download</t>
        </is>
      </c>
      <c r="AE488" s="32" t="inlineStr">
        <is>
          <t>005290.KQ</t>
        </is>
      </c>
    </row>
    <row r="489" ht="24" customHeight="1">
      <c r="A489" s="27" t="inlineStr">
        <is>
          <t>2025-06-12</t>
        </is>
      </c>
      <c r="B489" s="33" t="n">
        <v>30800</v>
      </c>
      <c r="C489" s="33" t="n">
        <v>31350</v>
      </c>
      <c r="D489" s="33" t="n">
        <v>30500</v>
      </c>
      <c r="E489" s="33" t="n">
        <v>30750</v>
      </c>
      <c r="F489" s="33" t="n">
        <v>30266.3828125</v>
      </c>
      <c r="G489" s="33" t="n">
        <v>483872</v>
      </c>
      <c r="H489" s="38" t="n">
        <v>-0.001623376623376638</v>
      </c>
      <c r="I489" s="38" t="n">
        <v>-0.3970588235294118</v>
      </c>
      <c r="J489" s="33" t="n">
        <v>29082.5</v>
      </c>
      <c r="K489" s="33" t="n">
        <v>29315.83333333333</v>
      </c>
      <c r="L489" s="33" t="n">
        <v>26763.75</v>
      </c>
      <c r="M489" s="38" t="n">
        <v>0.3365678101907792</v>
      </c>
      <c r="N489" s="38" t="n">
        <v>0.4953151248901746</v>
      </c>
      <c r="O489" s="38" t="n">
        <v>0.001628664495114007</v>
      </c>
      <c r="P489" s="38" t="n">
        <v>0.07894736842105265</v>
      </c>
      <c r="Q489" s="38" t="n">
        <v>0.5073529411764706</v>
      </c>
      <c r="R489" s="38" t="n">
        <v>0.05733688644373758</v>
      </c>
      <c r="S489" s="38" t="n">
        <v>0.0489212314164702</v>
      </c>
      <c r="T489" s="38" t="n">
        <v>0.1489421325486899</v>
      </c>
      <c r="U489" s="33" t="n">
        <v>44350</v>
      </c>
      <c r="V489" s="33" t="n">
        <v>20400</v>
      </c>
      <c r="W489" s="38" t="n">
        <v>-0.3066516347237881</v>
      </c>
      <c r="X489" s="38" t="n">
        <v>0.5073529411764706</v>
      </c>
      <c r="Y489" s="33" t="n">
        <v>51414494</v>
      </c>
      <c r="Z489" s="33" t="n">
        <v>1580995690500</v>
      </c>
      <c r="AA489" s="33" t="n">
        <v>14879064000</v>
      </c>
      <c r="AB489" s="33" t="n">
        <v>9972220747.5</v>
      </c>
      <c r="AC489" s="38" t="n">
        <v>0.009411198328626942</v>
      </c>
      <c r="AD489" s="27" t="inlineStr">
        <is>
          <t>yfinance_download</t>
        </is>
      </c>
      <c r="AE489" s="27" t="inlineStr">
        <is>
          <t>005290.KQ</t>
        </is>
      </c>
    </row>
    <row r="490" ht="24" customHeight="1">
      <c r="A490" s="32" t="inlineStr">
        <is>
          <t>2025-06-13</t>
        </is>
      </c>
      <c r="B490" s="34" t="n">
        <v>31200</v>
      </c>
      <c r="C490" s="34" t="n">
        <v>31600</v>
      </c>
      <c r="D490" s="34" t="n">
        <v>29400</v>
      </c>
      <c r="E490" s="34" t="n">
        <v>29800</v>
      </c>
      <c r="F490" s="34" t="n">
        <v>29331.32421875</v>
      </c>
      <c r="G490" s="34" t="n">
        <v>556715</v>
      </c>
      <c r="H490" s="39" t="n">
        <v>-0.03089430894308942</v>
      </c>
      <c r="I490" s="39" t="n">
        <v>-0.4156862745098039</v>
      </c>
      <c r="J490" s="34" t="n">
        <v>29032.5</v>
      </c>
      <c r="K490" s="34" t="n">
        <v>29300.83333333333</v>
      </c>
      <c r="L490" s="34" t="n">
        <v>26833.33333333333</v>
      </c>
      <c r="M490" s="39" t="n">
        <v>0.3539604767315067</v>
      </c>
      <c r="N490" s="39" t="n">
        <v>0.4740667302838462</v>
      </c>
      <c r="O490" s="39" t="n">
        <v>-0.03246753246753242</v>
      </c>
      <c r="P490" s="39" t="n">
        <v>-0.02931596091205213</v>
      </c>
      <c r="Q490" s="39" t="n">
        <v>0.3892773892773893</v>
      </c>
      <c r="R490" s="39" t="n">
        <v>0.02643589081202102</v>
      </c>
      <c r="S490" s="39" t="n">
        <v>0.0170359204800774</v>
      </c>
      <c r="T490" s="39" t="n">
        <v>0.1105590062111801</v>
      </c>
      <c r="U490" s="34" t="n">
        <v>43500</v>
      </c>
      <c r="V490" s="34" t="n">
        <v>20400</v>
      </c>
      <c r="W490" s="39" t="n">
        <v>-0.3149425287356322</v>
      </c>
      <c r="X490" s="39" t="n">
        <v>0.4607843137254901</v>
      </c>
      <c r="Y490" s="34" t="n">
        <v>51414494</v>
      </c>
      <c r="Z490" s="34" t="n">
        <v>1532151921200</v>
      </c>
      <c r="AA490" s="34" t="n">
        <v>16590107000</v>
      </c>
      <c r="AB490" s="34" t="n">
        <v>10235229397.5</v>
      </c>
      <c r="AC490" s="39" t="n">
        <v>0.01082797780719188</v>
      </c>
      <c r="AD490" s="32" t="inlineStr">
        <is>
          <t>yfinance_download</t>
        </is>
      </c>
      <c r="AE490" s="32" t="inlineStr">
        <is>
          <t>005290.KQ</t>
        </is>
      </c>
    </row>
    <row r="491" ht="24" customHeight="1">
      <c r="A491" s="27" t="inlineStr">
        <is>
          <t>2025-06-16</t>
        </is>
      </c>
      <c r="B491" s="33" t="n">
        <v>29600</v>
      </c>
      <c r="C491" s="33" t="n">
        <v>30000</v>
      </c>
      <c r="D491" s="33" t="n">
        <v>29000</v>
      </c>
      <c r="E491" s="33" t="n">
        <v>29850</v>
      </c>
      <c r="F491" s="33" t="n">
        <v>29380.537109375</v>
      </c>
      <c r="G491" s="33" t="n">
        <v>308208</v>
      </c>
      <c r="H491" s="38" t="n">
        <v>0.001677852348993314</v>
      </c>
      <c r="I491" s="38" t="n">
        <v>-0.4147058823529411</v>
      </c>
      <c r="J491" s="33" t="n">
        <v>29025</v>
      </c>
      <c r="K491" s="33" t="n">
        <v>29273.33333333333</v>
      </c>
      <c r="L491" s="33" t="n">
        <v>26899.58333333333</v>
      </c>
      <c r="M491" s="38" t="n">
        <v>0.3419182651126368</v>
      </c>
      <c r="N491" s="38" t="n">
        <v>0.4709524059925604</v>
      </c>
      <c r="O491" s="38" t="n">
        <v>-0.005000000000000004</v>
      </c>
      <c r="P491" s="38" t="n">
        <v>-0.05238095238095242</v>
      </c>
      <c r="Q491" s="38" t="n">
        <v>0.3630136986301369</v>
      </c>
      <c r="R491" s="38" t="n">
        <v>0.0284237726098191</v>
      </c>
      <c r="S491" s="38" t="n">
        <v>0.01969938510589841</v>
      </c>
      <c r="T491" s="38" t="n">
        <v>0.1096826159017334</v>
      </c>
      <c r="U491" s="33" t="n">
        <v>43500</v>
      </c>
      <c r="V491" s="33" t="n">
        <v>20400</v>
      </c>
      <c r="W491" s="38" t="n">
        <v>-0.3137931034482758</v>
      </c>
      <c r="X491" s="38" t="n">
        <v>0.463235294117647</v>
      </c>
      <c r="Y491" s="33" t="n">
        <v>51414494</v>
      </c>
      <c r="Z491" s="33" t="n">
        <v>1534722645900</v>
      </c>
      <c r="AA491" s="33" t="n">
        <v>9200008800</v>
      </c>
      <c r="AB491" s="33" t="n">
        <v>10167079837.5</v>
      </c>
      <c r="AC491" s="38" t="n">
        <v>0.005994574214811877</v>
      </c>
      <c r="AD491" s="27" t="inlineStr">
        <is>
          <t>yfinance_download</t>
        </is>
      </c>
      <c r="AE491" s="27" t="inlineStr">
        <is>
          <t>005290.KQ</t>
        </is>
      </c>
    </row>
    <row r="492" ht="24" customHeight="1">
      <c r="A492" s="32" t="inlineStr">
        <is>
          <t>2025-06-17</t>
        </is>
      </c>
      <c r="B492" s="34" t="n">
        <v>30200</v>
      </c>
      <c r="C492" s="34" t="n">
        <v>31550</v>
      </c>
      <c r="D492" s="34" t="n">
        <v>29750</v>
      </c>
      <c r="E492" s="34" t="n">
        <v>30900</v>
      </c>
      <c r="F492" s="34" t="n">
        <v>30414.0234375</v>
      </c>
      <c r="G492" s="34" t="n">
        <v>791662</v>
      </c>
      <c r="H492" s="39" t="n">
        <v>0.03517587939698497</v>
      </c>
      <c r="I492" s="39" t="n">
        <v>-0.3941176470588236</v>
      </c>
      <c r="J492" s="34" t="n">
        <v>29095</v>
      </c>
      <c r="K492" s="34" t="n">
        <v>29277.5</v>
      </c>
      <c r="L492" s="34" t="n">
        <v>26972.5</v>
      </c>
      <c r="M492" s="39" t="n">
        <v>0.3576268852467804</v>
      </c>
      <c r="N492" s="39" t="n">
        <v>0.4732266894762218</v>
      </c>
      <c r="O492" s="39" t="n">
        <v>0.04745762711864399</v>
      </c>
      <c r="P492" s="39" t="n">
        <v>0.00815660685154973</v>
      </c>
      <c r="Q492" s="39" t="n">
        <v>0.3950338600451466</v>
      </c>
      <c r="R492" s="39" t="n">
        <v>0.06203815088503184</v>
      </c>
      <c r="S492" s="39" t="n">
        <v>0.05541798309281876</v>
      </c>
      <c r="T492" s="39" t="n">
        <v>0.1456112707387154</v>
      </c>
      <c r="U492" s="34" t="n">
        <v>43500</v>
      </c>
      <c r="V492" s="34" t="n">
        <v>20400</v>
      </c>
      <c r="W492" s="39" t="n">
        <v>-0.2896551724137931</v>
      </c>
      <c r="X492" s="39" t="n">
        <v>0.5147058823529411</v>
      </c>
      <c r="Y492" s="34" t="n">
        <v>51414494</v>
      </c>
      <c r="Z492" s="34" t="n">
        <v>1588707864600</v>
      </c>
      <c r="AA492" s="34" t="n">
        <v>24462355800</v>
      </c>
      <c r="AB492" s="34" t="n">
        <v>10861460277.5</v>
      </c>
      <c r="AC492" s="39" t="n">
        <v>0.01539764254025334</v>
      </c>
      <c r="AD492" s="32" t="inlineStr">
        <is>
          <t>yfinance_download</t>
        </is>
      </c>
      <c r="AE492" s="32" t="inlineStr">
        <is>
          <t>005290.KQ</t>
        </is>
      </c>
    </row>
    <row r="493" ht="24" customHeight="1">
      <c r="A493" s="27" t="inlineStr">
        <is>
          <t>2025-06-18</t>
        </is>
      </c>
      <c r="B493" s="33" t="n">
        <v>30900</v>
      </c>
      <c r="C493" s="33" t="n">
        <v>31450</v>
      </c>
      <c r="D493" s="33" t="n">
        <v>30600</v>
      </c>
      <c r="E493" s="33" t="n">
        <v>31400</v>
      </c>
      <c r="F493" s="33" t="n">
        <v>30906.16015625</v>
      </c>
      <c r="G493" s="33" t="n">
        <v>460294</v>
      </c>
      <c r="H493" s="38" t="n">
        <v>0.0161812297734627</v>
      </c>
      <c r="I493" s="38" t="n">
        <v>-0.384313725490196</v>
      </c>
      <c r="J493" s="33" t="n">
        <v>29215</v>
      </c>
      <c r="K493" s="33" t="n">
        <v>29261.66666666667</v>
      </c>
      <c r="L493" s="33" t="n">
        <v>27054.16666666667</v>
      </c>
      <c r="M493" s="38" t="n">
        <v>0.3529617232581935</v>
      </c>
      <c r="N493" s="38" t="n">
        <v>0.4604384014501547</v>
      </c>
      <c r="O493" s="38" t="n">
        <v>0.08275862068965512</v>
      </c>
      <c r="P493" s="38" t="n">
        <v>-0.02936630602782075</v>
      </c>
      <c r="Q493" s="38" t="n">
        <v>0.4537037037037037</v>
      </c>
      <c r="R493" s="38" t="n">
        <v>0.07479034742426838</v>
      </c>
      <c r="S493" s="38" t="n">
        <v>0.07307626587685823</v>
      </c>
      <c r="T493" s="38" t="n">
        <v>0.1606345294933005</v>
      </c>
      <c r="U493" s="33" t="n">
        <v>43500</v>
      </c>
      <c r="V493" s="33" t="n">
        <v>20400</v>
      </c>
      <c r="W493" s="38" t="n">
        <v>-0.2781609195402299</v>
      </c>
      <c r="X493" s="38" t="n">
        <v>0.5392156862745099</v>
      </c>
      <c r="Y493" s="33" t="n">
        <v>51414494</v>
      </c>
      <c r="Z493" s="33" t="n">
        <v>1614415111600</v>
      </c>
      <c r="AA493" s="33" t="n">
        <v>14453231600</v>
      </c>
      <c r="AB493" s="33" t="n">
        <v>11024749557.5</v>
      </c>
      <c r="AC493" s="38" t="n">
        <v>0.008952611689614217</v>
      </c>
      <c r="AD493" s="27" t="inlineStr">
        <is>
          <t>yfinance_download</t>
        </is>
      </c>
      <c r="AE493" s="27" t="inlineStr">
        <is>
          <t>005290.KQ</t>
        </is>
      </c>
    </row>
    <row r="494" ht="24" customHeight="1">
      <c r="A494" s="32" t="inlineStr">
        <is>
          <t>2025-06-19</t>
        </is>
      </c>
      <c r="B494" s="34" t="n">
        <v>31500</v>
      </c>
      <c r="C494" s="34" t="n">
        <v>31500</v>
      </c>
      <c r="D494" s="34" t="n">
        <v>30600</v>
      </c>
      <c r="E494" s="34" t="n">
        <v>30900</v>
      </c>
      <c r="F494" s="34" t="n">
        <v>30414.0234375</v>
      </c>
      <c r="G494" s="34" t="n">
        <v>353889</v>
      </c>
      <c r="H494" s="39" t="n">
        <v>-0.01592356687898089</v>
      </c>
      <c r="I494" s="39" t="n">
        <v>-0.3941176470588236</v>
      </c>
      <c r="J494" s="34" t="n">
        <v>29330</v>
      </c>
      <c r="K494" s="34" t="n">
        <v>29241.66666666667</v>
      </c>
      <c r="L494" s="34" t="n">
        <v>27125.41666666667</v>
      </c>
      <c r="M494" s="39" t="n">
        <v>0.3544812326542863</v>
      </c>
      <c r="N494" s="39" t="n">
        <v>0.4613249620655335</v>
      </c>
      <c r="O494" s="39" t="n">
        <v>0.08041958041958042</v>
      </c>
      <c r="P494" s="39" t="n">
        <v>-0.03738317757009346</v>
      </c>
      <c r="Q494" s="39" t="n">
        <v>0.3825503355704698</v>
      </c>
      <c r="R494" s="39" t="n">
        <v>0.0535288100920559</v>
      </c>
      <c r="S494" s="39" t="n">
        <v>0.05671131376460536</v>
      </c>
      <c r="T494" s="39" t="n">
        <v>0.1391530084023287</v>
      </c>
      <c r="U494" s="34" t="n">
        <v>43500</v>
      </c>
      <c r="V494" s="34" t="n">
        <v>20400</v>
      </c>
      <c r="W494" s="39" t="n">
        <v>-0.2896551724137931</v>
      </c>
      <c r="X494" s="39" t="n">
        <v>0.5147058823529411</v>
      </c>
      <c r="Y494" s="34" t="n">
        <v>51414494</v>
      </c>
      <c r="Z494" s="34" t="n">
        <v>1588707864600</v>
      </c>
      <c r="AA494" s="34" t="n">
        <v>10935170100</v>
      </c>
      <c r="AB494" s="34" t="n">
        <v>11294681512.5</v>
      </c>
      <c r="AC494" s="39" t="n">
        <v>0.006883059084467505</v>
      </c>
      <c r="AD494" s="32" t="inlineStr">
        <is>
          <t>yfinance_download</t>
        </is>
      </c>
      <c r="AE494" s="32" t="inlineStr">
        <is>
          <t>005290.KQ</t>
        </is>
      </c>
    </row>
    <row r="495" ht="24" customHeight="1">
      <c r="A495" s="27" t="inlineStr">
        <is>
          <t>2025-06-20</t>
        </is>
      </c>
      <c r="B495" s="33" t="n">
        <v>30950</v>
      </c>
      <c r="C495" s="33" t="n">
        <v>31450</v>
      </c>
      <c r="D495" s="33" t="n">
        <v>30650</v>
      </c>
      <c r="E495" s="33" t="n">
        <v>30950</v>
      </c>
      <c r="F495" s="33" t="n">
        <v>30463.236328125</v>
      </c>
      <c r="G495" s="33" t="n">
        <v>446481</v>
      </c>
      <c r="H495" s="38" t="n">
        <v>0.001618122977346204</v>
      </c>
      <c r="I495" s="38" t="n">
        <v>-0.3931372549019608</v>
      </c>
      <c r="J495" s="33" t="n">
        <v>29447.5</v>
      </c>
      <c r="K495" s="33" t="n">
        <v>29227.5</v>
      </c>
      <c r="L495" s="33" t="n">
        <v>27202.5</v>
      </c>
      <c r="M495" s="38" t="n">
        <v>0.3542788848492431</v>
      </c>
      <c r="N495" s="38" t="n">
        <v>0.4609457922837589</v>
      </c>
      <c r="O495" s="38" t="n">
        <v>0.08216783216783208</v>
      </c>
      <c r="P495" s="38" t="n">
        <v>-0.02672955974842772</v>
      </c>
      <c r="Q495" s="38" t="n">
        <v>0.4262672811059909</v>
      </c>
      <c r="R495" s="38" t="n">
        <v>0.05102300704643858</v>
      </c>
      <c r="S495" s="38" t="n">
        <v>0.05893422290650929</v>
      </c>
      <c r="T495" s="38" t="n">
        <v>0.1377630732469441</v>
      </c>
      <c r="U495" s="33" t="n">
        <v>43500</v>
      </c>
      <c r="V495" s="33" t="n">
        <v>20400</v>
      </c>
      <c r="W495" s="38" t="n">
        <v>-0.2885057471264367</v>
      </c>
      <c r="X495" s="38" t="n">
        <v>0.517156862745098</v>
      </c>
      <c r="Y495" s="33" t="n">
        <v>51414494</v>
      </c>
      <c r="Z495" s="33" t="n">
        <v>1591278589300</v>
      </c>
      <c r="AA495" s="33" t="n">
        <v>13818586950</v>
      </c>
      <c r="AB495" s="33" t="n">
        <v>11710879260</v>
      </c>
      <c r="AC495" s="38" t="n">
        <v>0.008683952038893935</v>
      </c>
      <c r="AD495" s="27" t="inlineStr">
        <is>
          <t>yfinance_download</t>
        </is>
      </c>
      <c r="AE495" s="27" t="inlineStr">
        <is>
          <t>005290.KQ</t>
        </is>
      </c>
    </row>
    <row r="496" ht="24" customHeight="1">
      <c r="A496" s="32" t="inlineStr">
        <is>
          <t>2025-06-23</t>
        </is>
      </c>
      <c r="B496" s="34" t="n">
        <v>30350</v>
      </c>
      <c r="C496" s="34" t="n">
        <v>30450</v>
      </c>
      <c r="D496" s="34" t="n">
        <v>29450</v>
      </c>
      <c r="E496" s="34" t="n">
        <v>29800</v>
      </c>
      <c r="F496" s="34" t="n">
        <v>29331.32421875</v>
      </c>
      <c r="G496" s="34" t="n">
        <v>541851</v>
      </c>
      <c r="H496" s="39" t="n">
        <v>-0.03715670436187402</v>
      </c>
      <c r="I496" s="39" t="n">
        <v>-0.4156862745098039</v>
      </c>
      <c r="J496" s="34" t="n">
        <v>29555</v>
      </c>
      <c r="K496" s="34" t="n">
        <v>29196.66666666667</v>
      </c>
      <c r="L496" s="34" t="n">
        <v>27264.58333333333</v>
      </c>
      <c r="M496" s="39" t="n">
        <v>0.3600258885705844</v>
      </c>
      <c r="N496" s="39" t="n">
        <v>0.4671051731511241</v>
      </c>
      <c r="O496" s="39" t="n">
        <v>0.07775768535262206</v>
      </c>
      <c r="P496" s="39" t="n">
        <v>-0.05845181674565558</v>
      </c>
      <c r="Q496" s="39" t="n">
        <v>0.3333333333333333</v>
      </c>
      <c r="R496" s="39" t="n">
        <v>0.008289629504314</v>
      </c>
      <c r="S496" s="39" t="n">
        <v>0.02066445941317507</v>
      </c>
      <c r="T496" s="39" t="n">
        <v>0.09299304653472906</v>
      </c>
      <c r="U496" s="34" t="n">
        <v>43500</v>
      </c>
      <c r="V496" s="34" t="n">
        <v>20400</v>
      </c>
      <c r="W496" s="39" t="n">
        <v>-0.3149425287356322</v>
      </c>
      <c r="X496" s="39" t="n">
        <v>0.4607843137254901</v>
      </c>
      <c r="Y496" s="34" t="n">
        <v>51414494</v>
      </c>
      <c r="Z496" s="34" t="n">
        <v>1532151921200</v>
      </c>
      <c r="AA496" s="34" t="n">
        <v>16147159800</v>
      </c>
      <c r="AB496" s="34" t="n">
        <v>12058211757.5</v>
      </c>
      <c r="AC496" s="39" t="n">
        <v>0.01053887644989757</v>
      </c>
      <c r="AD496" s="32" t="inlineStr">
        <is>
          <t>yfinance_download</t>
        </is>
      </c>
      <c r="AE496" s="32" t="inlineStr">
        <is>
          <t>005290.KQ</t>
        </is>
      </c>
    </row>
    <row r="497" ht="24" customHeight="1">
      <c r="A497" s="27" t="inlineStr">
        <is>
          <t>2025-06-24</t>
        </is>
      </c>
      <c r="B497" s="33" t="n">
        <v>30400</v>
      </c>
      <c r="C497" s="33" t="n">
        <v>32400</v>
      </c>
      <c r="D497" s="33" t="n">
        <v>30300</v>
      </c>
      <c r="E497" s="33" t="n">
        <v>32100</v>
      </c>
      <c r="F497" s="33" t="n">
        <v>31595.150390625</v>
      </c>
      <c r="G497" s="33" t="n">
        <v>1391415</v>
      </c>
      <c r="H497" s="38" t="n">
        <v>0.07718120805369133</v>
      </c>
      <c r="I497" s="38" t="n">
        <v>-0.3705882352941177</v>
      </c>
      <c r="J497" s="33" t="n">
        <v>29780</v>
      </c>
      <c r="K497" s="33" t="n">
        <v>29211.66666666667</v>
      </c>
      <c r="L497" s="33" t="n">
        <v>27353.75</v>
      </c>
      <c r="M497" s="38" t="n">
        <v>0.4428061274197816</v>
      </c>
      <c r="N497" s="38" t="n">
        <v>0.4925694639613757</v>
      </c>
      <c r="O497" s="38" t="n">
        <v>0.1630434782608696</v>
      </c>
      <c r="P497" s="38" t="n">
        <v>0.02884615384615374</v>
      </c>
      <c r="Q497" s="38" t="n">
        <v>0.5</v>
      </c>
      <c r="R497" s="38" t="n">
        <v>0.07790463398253866</v>
      </c>
      <c r="S497" s="38" t="n">
        <v>0.09887601985508065</v>
      </c>
      <c r="T497" s="38" t="n">
        <v>0.1735136864232509</v>
      </c>
      <c r="U497" s="33" t="n">
        <v>43200</v>
      </c>
      <c r="V497" s="33" t="n">
        <v>20400</v>
      </c>
      <c r="W497" s="38" t="n">
        <v>-0.2569444444444444</v>
      </c>
      <c r="X497" s="38" t="n">
        <v>0.5735294117647058</v>
      </c>
      <c r="Y497" s="33" t="n">
        <v>51414494</v>
      </c>
      <c r="Z497" s="33" t="n">
        <v>1650405257400</v>
      </c>
      <c r="AA497" s="33" t="n">
        <v>44664421500</v>
      </c>
      <c r="AB497" s="33" t="n">
        <v>14097869892.5</v>
      </c>
      <c r="AC497" s="38" t="n">
        <v>0.02706269947925579</v>
      </c>
      <c r="AD497" s="27" t="inlineStr">
        <is>
          <t>yfinance_download</t>
        </is>
      </c>
      <c r="AE497" s="27" t="inlineStr">
        <is>
          <t>005290.KQ</t>
        </is>
      </c>
    </row>
    <row r="498" ht="24" customHeight="1">
      <c r="A498" s="32" t="inlineStr">
        <is>
          <t>2025-06-25</t>
        </is>
      </c>
      <c r="B498" s="34" t="n">
        <v>33750</v>
      </c>
      <c r="C498" s="34" t="n">
        <v>34200</v>
      </c>
      <c r="D498" s="34" t="n">
        <v>33000</v>
      </c>
      <c r="E498" s="34" t="n">
        <v>33750</v>
      </c>
      <c r="F498" s="34" t="n">
        <v>33219.19921875</v>
      </c>
      <c r="G498" s="34" t="n">
        <v>1098152</v>
      </c>
      <c r="H498" s="39" t="n">
        <v>0.05140186915887845</v>
      </c>
      <c r="I498" s="39" t="n">
        <v>-0.3382352941176471</v>
      </c>
      <c r="J498" s="34" t="n">
        <v>30040</v>
      </c>
      <c r="K498" s="34" t="n">
        <v>29251.66666666667</v>
      </c>
      <c r="L498" s="34" t="n">
        <v>27460.83333333333</v>
      </c>
      <c r="M498" s="39" t="n">
        <v>0.4600408616411757</v>
      </c>
      <c r="N498" s="39" t="n">
        <v>0.503270116812591</v>
      </c>
      <c r="O498" s="39" t="n">
        <v>0.1821366024518389</v>
      </c>
      <c r="P498" s="39" t="n">
        <v>0.07655502392344493</v>
      </c>
      <c r="Q498" s="39" t="n">
        <v>0.6148325358851674</v>
      </c>
      <c r="R498" s="39" t="n">
        <v>0.1235019973368841</v>
      </c>
      <c r="S498" s="39" t="n">
        <v>0.1537804113725714</v>
      </c>
      <c r="T498" s="39" t="n">
        <v>0.2290231541893</v>
      </c>
      <c r="U498" s="34" t="n">
        <v>42850</v>
      </c>
      <c r="V498" s="34" t="n">
        <v>20400</v>
      </c>
      <c r="W498" s="39" t="n">
        <v>-0.2123687281213535</v>
      </c>
      <c r="X498" s="39" t="n">
        <v>0.6544117647058822</v>
      </c>
      <c r="Y498" s="34" t="n">
        <v>51414494</v>
      </c>
      <c r="Z498" s="34" t="n">
        <v>1735239172500</v>
      </c>
      <c r="AA498" s="34" t="n">
        <v>37062630000</v>
      </c>
      <c r="AB498" s="34" t="n">
        <v>15495023632.5</v>
      </c>
      <c r="AC498" s="39" t="n">
        <v>0.02135880205297751</v>
      </c>
      <c r="AD498" s="32" t="inlineStr">
        <is>
          <t>yfinance_download</t>
        </is>
      </c>
      <c r="AE498" s="32" t="inlineStr">
        <is>
          <t>005290.KQ</t>
        </is>
      </c>
    </row>
    <row r="499" ht="24" customHeight="1">
      <c r="A499" s="27" t="inlineStr">
        <is>
          <t>2025-06-26</t>
        </is>
      </c>
      <c r="B499" s="33" t="n">
        <v>34550</v>
      </c>
      <c r="C499" s="33" t="n">
        <v>34550</v>
      </c>
      <c r="D499" s="33" t="n">
        <v>32850</v>
      </c>
      <c r="E499" s="33" t="n">
        <v>33300</v>
      </c>
      <c r="F499" s="33" t="n">
        <v>32776.27734375</v>
      </c>
      <c r="G499" s="33" t="n">
        <v>772562</v>
      </c>
      <c r="H499" s="38" t="n">
        <v>-0.01333333333333331</v>
      </c>
      <c r="I499" s="38" t="n">
        <v>-0.3470588235294118</v>
      </c>
      <c r="J499" s="33" t="n">
        <v>30300</v>
      </c>
      <c r="K499" s="33" t="n">
        <v>29280.83333333333</v>
      </c>
      <c r="L499" s="33" t="n">
        <v>27558.75</v>
      </c>
      <c r="M499" s="38" t="n">
        <v>0.4583995569757638</v>
      </c>
      <c r="N499" s="38" t="n">
        <v>0.5041114608911343</v>
      </c>
      <c r="O499" s="38" t="n">
        <v>0.1850533807829182</v>
      </c>
      <c r="P499" s="38" t="n">
        <v>0.05546751188589538</v>
      </c>
      <c r="Q499" s="38" t="n">
        <v>0.5452436194895591</v>
      </c>
      <c r="R499" s="38" t="n">
        <v>0.0990099009900991</v>
      </c>
      <c r="S499" s="38" t="n">
        <v>0.1372627145174603</v>
      </c>
      <c r="T499" s="38" t="n">
        <v>0.2083276636277045</v>
      </c>
      <c r="U499" s="33" t="n">
        <v>42850</v>
      </c>
      <c r="V499" s="33" t="n">
        <v>20400</v>
      </c>
      <c r="W499" s="38" t="n">
        <v>-0.2228704784130688</v>
      </c>
      <c r="X499" s="38" t="n">
        <v>0.6323529411764706</v>
      </c>
      <c r="Y499" s="33" t="n">
        <v>51414494</v>
      </c>
      <c r="Z499" s="33" t="n">
        <v>1712102650200</v>
      </c>
      <c r="AA499" s="33" t="n">
        <v>25726314600</v>
      </c>
      <c r="AB499" s="33" t="n">
        <v>16542600357.5</v>
      </c>
      <c r="AC499" s="38" t="n">
        <v>0.01502615196407457</v>
      </c>
      <c r="AD499" s="27" t="inlineStr">
        <is>
          <t>yfinance_download</t>
        </is>
      </c>
      <c r="AE499" s="27" t="inlineStr">
        <is>
          <t>005290.KQ</t>
        </is>
      </c>
    </row>
    <row r="500" ht="24" customHeight="1">
      <c r="A500" s="32" t="inlineStr">
        <is>
          <t>2025-06-27</t>
        </is>
      </c>
      <c r="B500" s="34" t="n">
        <v>33200</v>
      </c>
      <c r="C500" s="34" t="n">
        <v>33200</v>
      </c>
      <c r="D500" s="34" t="n">
        <v>32250</v>
      </c>
      <c r="E500" s="34" t="n">
        <v>32650</v>
      </c>
      <c r="F500" s="34" t="n">
        <v>32136.5</v>
      </c>
      <c r="G500" s="34" t="n">
        <v>391647</v>
      </c>
      <c r="H500" s="39" t="n">
        <v>-0.01951951951951947</v>
      </c>
      <c r="I500" s="39" t="n">
        <v>-0.3598039215686275</v>
      </c>
      <c r="J500" s="34" t="n">
        <v>30497.5</v>
      </c>
      <c r="K500" s="34" t="n">
        <v>29325</v>
      </c>
      <c r="L500" s="34" t="n">
        <v>27649.16666666667</v>
      </c>
      <c r="M500" s="39" t="n">
        <v>0.4665757264012389</v>
      </c>
      <c r="N500" s="39" t="n">
        <v>0.4950074082911997</v>
      </c>
      <c r="O500" s="39" t="n">
        <v>0.137630662020906</v>
      </c>
      <c r="P500" s="39" t="n">
        <v>0.08833333333333337</v>
      </c>
      <c r="Q500" s="39" t="n">
        <v>0.4977064220183487</v>
      </c>
      <c r="R500" s="39" t="n">
        <v>0.07057955570128693</v>
      </c>
      <c r="S500" s="39" t="n">
        <v>0.1133844842284739</v>
      </c>
      <c r="T500" s="39" t="n">
        <v>0.180867416136713</v>
      </c>
      <c r="U500" s="34" t="n">
        <v>42850</v>
      </c>
      <c r="V500" s="34" t="n">
        <v>20400</v>
      </c>
      <c r="W500" s="39" t="n">
        <v>-0.2380396732788798</v>
      </c>
      <c r="X500" s="39" t="n">
        <v>0.6004901960784315</v>
      </c>
      <c r="Y500" s="34" t="n">
        <v>51414494</v>
      </c>
      <c r="Z500" s="34" t="n">
        <v>1678683229100</v>
      </c>
      <c r="AA500" s="34" t="n">
        <v>12787274550</v>
      </c>
      <c r="AB500" s="34" t="n">
        <v>16652318500</v>
      </c>
      <c r="AC500" s="39" t="n">
        <v>0.007617443439198293</v>
      </c>
      <c r="AD500" s="32" t="inlineStr">
        <is>
          <t>yfinance_download</t>
        </is>
      </c>
      <c r="AE500" s="32" t="inlineStr">
        <is>
          <t>005290.KQ</t>
        </is>
      </c>
    </row>
    <row r="501" ht="24" customHeight="1">
      <c r="A501" s="27" t="inlineStr">
        <is>
          <t>2025-06-30</t>
        </is>
      </c>
      <c r="B501" s="33" t="n">
        <v>32950</v>
      </c>
      <c r="C501" s="33" t="n">
        <v>33150</v>
      </c>
      <c r="D501" s="33" t="n">
        <v>32500</v>
      </c>
      <c r="E501" s="33" t="n">
        <v>32700</v>
      </c>
      <c r="F501" s="33" t="n">
        <v>32185.71484375</v>
      </c>
      <c r="G501" s="33" t="n">
        <v>243174</v>
      </c>
      <c r="H501" s="38" t="n">
        <v>0.00153139356814691</v>
      </c>
      <c r="I501" s="38" t="n">
        <v>-0.3588235294117647</v>
      </c>
      <c r="J501" s="33" t="n">
        <v>30692.5</v>
      </c>
      <c r="K501" s="33" t="n">
        <v>29384.16666666667</v>
      </c>
      <c r="L501" s="33" t="n">
        <v>27746.25</v>
      </c>
      <c r="M501" s="38" t="n">
        <v>0.4668151280188655</v>
      </c>
      <c r="N501" s="38" t="n">
        <v>0.4909878154685731</v>
      </c>
      <c r="O501" s="38" t="n">
        <v>0.1354166666666667</v>
      </c>
      <c r="P501" s="38" t="n">
        <v>0.1217838765008576</v>
      </c>
      <c r="Q501" s="38" t="n">
        <v>0.5534441805225654</v>
      </c>
      <c r="R501" s="38" t="n">
        <v>0.06540685835301785</v>
      </c>
      <c r="S501" s="38" t="n">
        <v>0.1128442188253311</v>
      </c>
      <c r="T501" s="38" t="n">
        <v>0.1785376402216516</v>
      </c>
      <c r="U501" s="33" t="n">
        <v>42850</v>
      </c>
      <c r="V501" s="33" t="n">
        <v>20400</v>
      </c>
      <c r="W501" s="38" t="n">
        <v>-0.2368728121353559</v>
      </c>
      <c r="X501" s="38" t="n">
        <v>0.6029411764705883</v>
      </c>
      <c r="Y501" s="33" t="n">
        <v>51414494</v>
      </c>
      <c r="Z501" s="33" t="n">
        <v>1681253953800</v>
      </c>
      <c r="AA501" s="33" t="n">
        <v>7951789800</v>
      </c>
      <c r="AB501" s="33" t="n">
        <v>16694811190</v>
      </c>
      <c r="AC501" s="38" t="n">
        <v>0.00472967797757574</v>
      </c>
      <c r="AD501" s="27" t="inlineStr">
        <is>
          <t>yfinance_download</t>
        </is>
      </c>
      <c r="AE501" s="27" t="inlineStr">
        <is>
          <t>005290.KQ</t>
        </is>
      </c>
    </row>
    <row r="502" ht="24" customHeight="1">
      <c r="A502" s="32" t="inlineStr">
        <is>
          <t>2025-07-01</t>
        </is>
      </c>
      <c r="B502" s="34" t="n">
        <v>32700</v>
      </c>
      <c r="C502" s="34" t="n">
        <v>33100</v>
      </c>
      <c r="D502" s="34" t="n">
        <v>32250</v>
      </c>
      <c r="E502" s="34" t="n">
        <v>32350</v>
      </c>
      <c r="F502" s="34" t="n">
        <v>31841.21875</v>
      </c>
      <c r="G502" s="34" t="n">
        <v>366011</v>
      </c>
      <c r="H502" s="39" t="n">
        <v>-0.0107033639143731</v>
      </c>
      <c r="I502" s="39" t="n">
        <v>-0.365686274509804</v>
      </c>
      <c r="J502" s="34" t="n">
        <v>30895</v>
      </c>
      <c r="K502" s="34" t="n">
        <v>29433.33333333333</v>
      </c>
      <c r="L502" s="34" t="n">
        <v>27843.33333333333</v>
      </c>
      <c r="M502" s="39" t="n">
        <v>0.4628312170227435</v>
      </c>
      <c r="N502" s="39" t="n">
        <v>0.4915386359702713</v>
      </c>
      <c r="O502" s="39" t="n">
        <v>0.1431095406360423</v>
      </c>
      <c r="P502" s="39" t="n">
        <v>0.1003401360544218</v>
      </c>
      <c r="Q502" s="39" t="n">
        <v>0.5628019323671498</v>
      </c>
      <c r="R502" s="39" t="n">
        <v>0.04709499919080762</v>
      </c>
      <c r="S502" s="39" t="n">
        <v>0.09909399773499428</v>
      </c>
      <c r="T502" s="39" t="n">
        <v>0.1618580150844009</v>
      </c>
      <c r="U502" s="34" t="n">
        <v>42850</v>
      </c>
      <c r="V502" s="34" t="n">
        <v>20400</v>
      </c>
      <c r="W502" s="39" t="n">
        <v>-0.2450408401400234</v>
      </c>
      <c r="X502" s="39" t="n">
        <v>0.5857843137254901</v>
      </c>
      <c r="Y502" s="34" t="n">
        <v>51414494</v>
      </c>
      <c r="Z502" s="34" t="n">
        <v>1663258880900</v>
      </c>
      <c r="AA502" s="34" t="n">
        <v>11840455850</v>
      </c>
      <c r="AB502" s="34" t="n">
        <v>16858768182.5</v>
      </c>
      <c r="AC502" s="39" t="n">
        <v>0.007118829176846513</v>
      </c>
      <c r="AD502" s="32" t="inlineStr">
        <is>
          <t>yfinance_download</t>
        </is>
      </c>
      <c r="AE502" s="32" t="inlineStr">
        <is>
          <t>005290.KQ</t>
        </is>
      </c>
    </row>
    <row r="503" ht="24" customHeight="1">
      <c r="A503" s="27" t="inlineStr">
        <is>
          <t>2025-07-02</t>
        </is>
      </c>
      <c r="B503" s="33" t="n">
        <v>32250</v>
      </c>
      <c r="C503" s="33" t="n">
        <v>32450</v>
      </c>
      <c r="D503" s="33" t="n">
        <v>31700</v>
      </c>
      <c r="E503" s="33" t="n">
        <v>31850</v>
      </c>
      <c r="F503" s="33" t="n">
        <v>31349.08203125</v>
      </c>
      <c r="G503" s="33" t="n">
        <v>365841</v>
      </c>
      <c r="H503" s="38" t="n">
        <v>-0.01545595054095827</v>
      </c>
      <c r="I503" s="38" t="n">
        <v>-0.3754901960784314</v>
      </c>
      <c r="J503" s="33" t="n">
        <v>31090</v>
      </c>
      <c r="K503" s="33" t="n">
        <v>29471.66666666667</v>
      </c>
      <c r="L503" s="33" t="n">
        <v>27934.58333333333</v>
      </c>
      <c r="M503" s="38" t="n">
        <v>0.4646808011249146</v>
      </c>
      <c r="N503" s="38" t="n">
        <v>0.4927995394072646</v>
      </c>
      <c r="O503" s="38" t="n">
        <v>0.1395348837209303</v>
      </c>
      <c r="P503" s="38" t="n">
        <v>0.07783417935702208</v>
      </c>
      <c r="Q503" s="38" t="n">
        <v>0.5239234449760766</v>
      </c>
      <c r="R503" s="38" t="n">
        <v>0.02444515921518176</v>
      </c>
      <c r="S503" s="38" t="n">
        <v>0.08069897641802859</v>
      </c>
      <c r="T503" s="38" t="n">
        <v>0.1401637754873739</v>
      </c>
      <c r="U503" s="33" t="n">
        <v>42850</v>
      </c>
      <c r="V503" s="33" t="n">
        <v>20400</v>
      </c>
      <c r="W503" s="38" t="n">
        <v>-0.2567094515752626</v>
      </c>
      <c r="X503" s="38" t="n">
        <v>0.5612745098039216</v>
      </c>
      <c r="Y503" s="33" t="n">
        <v>51414494</v>
      </c>
      <c r="Z503" s="33" t="n">
        <v>1637551633900</v>
      </c>
      <c r="AA503" s="33" t="n">
        <v>11652035850</v>
      </c>
      <c r="AB503" s="33" t="n">
        <v>16952783012.5</v>
      </c>
      <c r="AC503" s="38" t="n">
        <v>0.007115522716220839</v>
      </c>
      <c r="AD503" s="27" t="inlineStr">
        <is>
          <t>yfinance_download</t>
        </is>
      </c>
      <c r="AE503" s="27" t="inlineStr">
        <is>
          <t>005290.KQ</t>
        </is>
      </c>
    </row>
    <row r="504" ht="24" customHeight="1">
      <c r="A504" s="32" t="inlineStr">
        <is>
          <t>2025-07-03</t>
        </is>
      </c>
      <c r="B504" s="34" t="n">
        <v>32300</v>
      </c>
      <c r="C504" s="34" t="n">
        <v>33150</v>
      </c>
      <c r="D504" s="34" t="n">
        <v>32150</v>
      </c>
      <c r="E504" s="34" t="n">
        <v>33000</v>
      </c>
      <c r="F504" s="34" t="n">
        <v>32480.99609375</v>
      </c>
      <c r="G504" s="34" t="n">
        <v>699476</v>
      </c>
      <c r="H504" s="39" t="n">
        <v>0.03610675039246458</v>
      </c>
      <c r="I504" s="39" t="n">
        <v>-0.3529411764705882</v>
      </c>
      <c r="J504" s="34" t="n">
        <v>31330</v>
      </c>
      <c r="K504" s="34" t="n">
        <v>29541.66666666667</v>
      </c>
      <c r="L504" s="34" t="n">
        <v>28034.58333333333</v>
      </c>
      <c r="M504" s="39" t="n">
        <v>0.4760889990479412</v>
      </c>
      <c r="N504" s="39" t="n">
        <v>0.4944655076805566</v>
      </c>
      <c r="O504" s="39" t="n">
        <v>0.1702127659574468</v>
      </c>
      <c r="P504" s="39" t="n">
        <v>0.1458333333333333</v>
      </c>
      <c r="Q504" s="39" t="n">
        <v>0.5714285714285714</v>
      </c>
      <c r="R504" s="39" t="n">
        <v>0.05330354293009898</v>
      </c>
      <c r="S504" s="39" t="n">
        <v>0.1170662905500706</v>
      </c>
      <c r="T504" s="39" t="n">
        <v>0.1771175482662783</v>
      </c>
      <c r="U504" s="34" t="n">
        <v>42850</v>
      </c>
      <c r="V504" s="34" t="n">
        <v>20400</v>
      </c>
      <c r="W504" s="39" t="n">
        <v>-0.2298716452742123</v>
      </c>
      <c r="X504" s="39" t="n">
        <v>0.6176470588235294</v>
      </c>
      <c r="Y504" s="34" t="n">
        <v>51414494</v>
      </c>
      <c r="Z504" s="34" t="n">
        <v>1696678302000</v>
      </c>
      <c r="AA504" s="34" t="n">
        <v>23082708000</v>
      </c>
      <c r="AB504" s="34" t="n">
        <v>17692649132.5</v>
      </c>
      <c r="AC504" s="39" t="n">
        <v>0.01360464619179175</v>
      </c>
      <c r="AD504" s="32" t="inlineStr">
        <is>
          <t>yfinance_download</t>
        </is>
      </c>
      <c r="AE504" s="32" t="inlineStr">
        <is>
          <t>005290.KQ</t>
        </is>
      </c>
    </row>
    <row r="505" ht="24" customHeight="1">
      <c r="A505" s="27" t="inlineStr">
        <is>
          <t>2025-07-04</t>
        </is>
      </c>
      <c r="B505" s="33" t="n">
        <v>33350</v>
      </c>
      <c r="C505" s="33" t="n">
        <v>33400</v>
      </c>
      <c r="D505" s="33" t="n">
        <v>31800</v>
      </c>
      <c r="E505" s="33" t="n">
        <v>31950</v>
      </c>
      <c r="F505" s="33" t="n">
        <v>31447.509765625</v>
      </c>
      <c r="G505" s="33" t="n">
        <v>444040</v>
      </c>
      <c r="H505" s="38" t="n">
        <v>-0.03181818181818186</v>
      </c>
      <c r="I505" s="38" t="n">
        <v>-0.3735294117647059</v>
      </c>
      <c r="J505" s="33" t="n">
        <v>31442.5</v>
      </c>
      <c r="K505" s="33" t="n">
        <v>29615</v>
      </c>
      <c r="L505" s="33" t="n">
        <v>28115.83333333333</v>
      </c>
      <c r="M505" s="38" t="n">
        <v>0.4653030546789266</v>
      </c>
      <c r="N505" s="38" t="n">
        <v>0.4904009627466098</v>
      </c>
      <c r="O505" s="38" t="n">
        <v>0.07575757575757569</v>
      </c>
      <c r="P505" s="38" t="n">
        <v>0.1597096188747731</v>
      </c>
      <c r="Q505" s="38" t="n">
        <v>0.4391891891891893</v>
      </c>
      <c r="R505" s="38" t="n">
        <v>0.01614057406376723</v>
      </c>
      <c r="S505" s="38" t="n">
        <v>0.07884517980753003</v>
      </c>
      <c r="T505" s="38" t="n">
        <v>0.1363703725658734</v>
      </c>
      <c r="U505" s="33" t="n">
        <v>41800</v>
      </c>
      <c r="V505" s="33" t="n">
        <v>20400</v>
      </c>
      <c r="W505" s="38" t="n">
        <v>-0.2356459330143541</v>
      </c>
      <c r="X505" s="38" t="n">
        <v>0.5661764705882353</v>
      </c>
      <c r="Y505" s="33" t="n">
        <v>51414494</v>
      </c>
      <c r="Z505" s="33" t="n">
        <v>1642693083300</v>
      </c>
      <c r="AA505" s="33" t="n">
        <v>14187078000</v>
      </c>
      <c r="AB505" s="33" t="n">
        <v>17467445012.5</v>
      </c>
      <c r="AC505" s="38" t="n">
        <v>0.008636475154262921</v>
      </c>
      <c r="AD505" s="27" t="inlineStr">
        <is>
          <t>yfinance_download</t>
        </is>
      </c>
      <c r="AE505" s="27" t="inlineStr">
        <is>
          <t>005290.KQ</t>
        </is>
      </c>
    </row>
    <row r="506" ht="24" customHeight="1">
      <c r="A506" s="32" t="inlineStr">
        <is>
          <t>2025-07-07</t>
        </is>
      </c>
      <c r="B506" s="34" t="n">
        <v>31650</v>
      </c>
      <c r="C506" s="34" t="n">
        <v>31750</v>
      </c>
      <c r="D506" s="34" t="n">
        <v>31100</v>
      </c>
      <c r="E506" s="34" t="n">
        <v>31550</v>
      </c>
      <c r="F506" s="34" t="n">
        <v>31053.80078125</v>
      </c>
      <c r="G506" s="34" t="n">
        <v>294386</v>
      </c>
      <c r="H506" s="39" t="n">
        <v>-0.01251956181533642</v>
      </c>
      <c r="I506" s="39" t="n">
        <v>-0.3813725490196078</v>
      </c>
      <c r="J506" s="34" t="n">
        <v>31520</v>
      </c>
      <c r="K506" s="34" t="n">
        <v>29711.66666666667</v>
      </c>
      <c r="L506" s="34" t="n">
        <v>28186.66666666667</v>
      </c>
      <c r="M506" s="39" t="n">
        <v>0.4683252525109936</v>
      </c>
      <c r="N506" s="39" t="n">
        <v>0.4705381625325318</v>
      </c>
      <c r="O506" s="39" t="n">
        <v>0.05166666666666675</v>
      </c>
      <c r="P506" s="39" t="n">
        <v>0.2252427184466019</v>
      </c>
      <c r="Q506" s="39" t="n">
        <v>0.3687635574837311</v>
      </c>
      <c r="R506" s="39" t="n">
        <v>0.0009517766497462166</v>
      </c>
      <c r="S506" s="39" t="n">
        <v>0.06187244067986764</v>
      </c>
      <c r="T506" s="39" t="n">
        <v>0.1193235572374645</v>
      </c>
      <c r="U506" s="34" t="n">
        <v>40500</v>
      </c>
      <c r="V506" s="34" t="n">
        <v>20400</v>
      </c>
      <c r="W506" s="39" t="n">
        <v>-0.2209876543209877</v>
      </c>
      <c r="X506" s="39" t="n">
        <v>0.5465686274509804</v>
      </c>
      <c r="Y506" s="34" t="n">
        <v>51414494</v>
      </c>
      <c r="Z506" s="34" t="n">
        <v>1622127285700</v>
      </c>
      <c r="AA506" s="34" t="n">
        <v>9287878300</v>
      </c>
      <c r="AB506" s="34" t="n">
        <v>17397900427.5</v>
      </c>
      <c r="AC506" s="39" t="n">
        <v>0.00572573951617612</v>
      </c>
      <c r="AD506" s="32" t="inlineStr">
        <is>
          <t>yfinance_download</t>
        </is>
      </c>
      <c r="AE506" s="32" t="inlineStr">
        <is>
          <t>005290.KQ</t>
        </is>
      </c>
    </row>
    <row r="507" ht="24" customHeight="1">
      <c r="A507" s="27" t="inlineStr">
        <is>
          <t>2025-07-08</t>
        </is>
      </c>
      <c r="B507" s="33" t="n">
        <v>31400</v>
      </c>
      <c r="C507" s="33" t="n">
        <v>31900</v>
      </c>
      <c r="D507" s="33" t="n">
        <v>31100</v>
      </c>
      <c r="E507" s="33" t="n">
        <v>31600</v>
      </c>
      <c r="F507" s="33" t="n">
        <v>31103.013671875</v>
      </c>
      <c r="G507" s="33" t="n">
        <v>376145</v>
      </c>
      <c r="H507" s="38" t="n">
        <v>0.001584786053882681</v>
      </c>
      <c r="I507" s="38" t="n">
        <v>-0.3803921568627451</v>
      </c>
      <c r="J507" s="33" t="n">
        <v>31597.5</v>
      </c>
      <c r="K507" s="33" t="n">
        <v>29804.16666666667</v>
      </c>
      <c r="L507" s="33" t="n">
        <v>28261.66666666667</v>
      </c>
      <c r="M507" s="38" t="n">
        <v>0.4683282666012083</v>
      </c>
      <c r="N507" s="38" t="n">
        <v>0.4702745691892458</v>
      </c>
      <c r="O507" s="38" t="n">
        <v>0.0515806988352745</v>
      </c>
      <c r="P507" s="38" t="n">
        <v>0.2130518234165066</v>
      </c>
      <c r="Q507" s="38" t="n">
        <v>0.3982300884955752</v>
      </c>
      <c r="R507" s="38" t="n">
        <v>7.912018355882289e-05</v>
      </c>
      <c r="S507" s="38" t="n">
        <v>0.06025443869705005</v>
      </c>
      <c r="T507" s="38" t="n">
        <v>0.1181223093707613</v>
      </c>
      <c r="U507" s="33" t="n">
        <v>40500</v>
      </c>
      <c r="V507" s="33" t="n">
        <v>20400</v>
      </c>
      <c r="W507" s="38" t="n">
        <v>-0.2197530864197531</v>
      </c>
      <c r="X507" s="38" t="n">
        <v>0.5490196078431373</v>
      </c>
      <c r="Y507" s="33" t="n">
        <v>51414494</v>
      </c>
      <c r="Z507" s="33" t="n">
        <v>1624698010400</v>
      </c>
      <c r="AA507" s="33" t="n">
        <v>11886182000</v>
      </c>
      <c r="AB507" s="33" t="n">
        <v>17477391425</v>
      </c>
      <c r="AC507" s="38" t="n">
        <v>0.007315933129673512</v>
      </c>
      <c r="AD507" s="27" t="inlineStr">
        <is>
          <t>yfinance_download</t>
        </is>
      </c>
      <c r="AE507" s="27" t="inlineStr">
        <is>
          <t>005290.KQ</t>
        </is>
      </c>
    </row>
    <row r="508" ht="24" customHeight="1">
      <c r="A508" s="32" t="inlineStr">
        <is>
          <t>2025-07-09</t>
        </is>
      </c>
      <c r="B508" s="34" t="n">
        <v>31800</v>
      </c>
      <c r="C508" s="34" t="n">
        <v>31800</v>
      </c>
      <c r="D508" s="34" t="n">
        <v>30550</v>
      </c>
      <c r="E508" s="34" t="n">
        <v>30650</v>
      </c>
      <c r="F508" s="34" t="n">
        <v>30167.955078125</v>
      </c>
      <c r="G508" s="34" t="n">
        <v>361645</v>
      </c>
      <c r="H508" s="39" t="n">
        <v>-0.03006329113924056</v>
      </c>
      <c r="I508" s="39" t="n">
        <v>-0.3990196078431373</v>
      </c>
      <c r="J508" s="34" t="n">
        <v>31590</v>
      </c>
      <c r="K508" s="34" t="n">
        <v>29891.66666666667</v>
      </c>
      <c r="L508" s="34" t="n">
        <v>28315.83333333333</v>
      </c>
      <c r="M508" s="39" t="n">
        <v>0.4746745919116585</v>
      </c>
      <c r="N508" s="39" t="n">
        <v>0.4717167718651714</v>
      </c>
      <c r="O508" s="39" t="n">
        <v>-0.004870129870129913</v>
      </c>
      <c r="P508" s="39" t="n">
        <v>0.2066929133858268</v>
      </c>
      <c r="Q508" s="39" t="n">
        <v>0.2691511387163561</v>
      </c>
      <c r="R508" s="39" t="n">
        <v>-0.0297562519784742</v>
      </c>
      <c r="S508" s="39" t="n">
        <v>0.02536938946194578</v>
      </c>
      <c r="T508" s="39" t="n">
        <v>0.08243326760646297</v>
      </c>
      <c r="U508" s="34" t="n">
        <v>40500</v>
      </c>
      <c r="V508" s="34" t="n">
        <v>20400</v>
      </c>
      <c r="W508" s="39" t="n">
        <v>-0.2432098765432099</v>
      </c>
      <c r="X508" s="39" t="n">
        <v>0.5024509803921569</v>
      </c>
      <c r="Y508" s="34" t="n">
        <v>51414494</v>
      </c>
      <c r="Z508" s="34" t="n">
        <v>1575854241100</v>
      </c>
      <c r="AA508" s="34" t="n">
        <v>11084419250</v>
      </c>
      <c r="AB508" s="34" t="n">
        <v>17084943587.5</v>
      </c>
      <c r="AC508" s="39" t="n">
        <v>0.007033911488071826</v>
      </c>
      <c r="AD508" s="32" t="inlineStr">
        <is>
          <t>yfinance_download</t>
        </is>
      </c>
      <c r="AE508" s="32" t="inlineStr">
        <is>
          <t>005290.KQ</t>
        </is>
      </c>
    </row>
    <row r="509" ht="24" customHeight="1">
      <c r="A509" s="27" t="inlineStr">
        <is>
          <t>2025-07-10</t>
        </is>
      </c>
      <c r="B509" s="33" t="n">
        <v>30950</v>
      </c>
      <c r="C509" s="33" t="n">
        <v>31300</v>
      </c>
      <c r="D509" s="33" t="n">
        <v>30400</v>
      </c>
      <c r="E509" s="33" t="n">
        <v>30500</v>
      </c>
      <c r="F509" s="33" t="n">
        <v>30020.314453125</v>
      </c>
      <c r="G509" s="33" t="n">
        <v>378675</v>
      </c>
      <c r="H509" s="38" t="n">
        <v>-0.004893964110929905</v>
      </c>
      <c r="I509" s="38" t="n">
        <v>-0.4019607843137255</v>
      </c>
      <c r="J509" s="33" t="n">
        <v>31577.5</v>
      </c>
      <c r="K509" s="33" t="n">
        <v>29949.16666666667</v>
      </c>
      <c r="L509" s="33" t="n">
        <v>28376.25</v>
      </c>
      <c r="M509" s="38" t="n">
        <v>0.4749805705611501</v>
      </c>
      <c r="N509" s="38" t="n">
        <v>0.4542848451297251</v>
      </c>
      <c r="O509" s="38" t="n">
        <v>-0.008130081300813052</v>
      </c>
      <c r="P509" s="38" t="n">
        <v>0.1275415896487986</v>
      </c>
      <c r="Q509" s="38" t="n">
        <v>0.3118279569892473</v>
      </c>
      <c r="R509" s="38" t="n">
        <v>-0.03412239727654187</v>
      </c>
      <c r="S509" s="38" t="n">
        <v>0.01839227580066227</v>
      </c>
      <c r="T509" s="38" t="n">
        <v>0.07484251795075103</v>
      </c>
      <c r="U509" s="33" t="n">
        <v>40500</v>
      </c>
      <c r="V509" s="33" t="n">
        <v>20400</v>
      </c>
      <c r="W509" s="38" t="n">
        <v>-0.2469135802469136</v>
      </c>
      <c r="X509" s="38" t="n">
        <v>0.4950980392156863</v>
      </c>
      <c r="Y509" s="33" t="n">
        <v>51414494</v>
      </c>
      <c r="Z509" s="33" t="n">
        <v>1568142067000</v>
      </c>
      <c r="AA509" s="33" t="n">
        <v>11549587500</v>
      </c>
      <c r="AB509" s="33" t="n">
        <v>16918469762.5</v>
      </c>
      <c r="AC509" s="38" t="n">
        <v>0.00736514104369091</v>
      </c>
      <c r="AD509" s="27" t="inlineStr">
        <is>
          <t>yfinance_download</t>
        </is>
      </c>
      <c r="AE509" s="27" t="inlineStr">
        <is>
          <t>005290.KQ</t>
        </is>
      </c>
    </row>
    <row r="510" ht="24" customHeight="1">
      <c r="A510" s="32" t="inlineStr">
        <is>
          <t>2025-07-11</t>
        </is>
      </c>
      <c r="B510" s="34" t="n">
        <v>30650</v>
      </c>
      <c r="C510" s="34" t="n">
        <v>31500</v>
      </c>
      <c r="D510" s="34" t="n">
        <v>30650</v>
      </c>
      <c r="E510" s="34" t="n">
        <v>30850</v>
      </c>
      <c r="F510" s="34" t="n">
        <v>30364.810546875</v>
      </c>
      <c r="G510" s="34" t="n">
        <v>412630</v>
      </c>
      <c r="H510" s="39" t="n">
        <v>0.01147540983606565</v>
      </c>
      <c r="I510" s="39" t="n">
        <v>-0.3950980392156863</v>
      </c>
      <c r="J510" s="34" t="n">
        <v>31630</v>
      </c>
      <c r="K510" s="34" t="n">
        <v>29995.83333333333</v>
      </c>
      <c r="L510" s="34" t="n">
        <v>28442.5</v>
      </c>
      <c r="M510" s="39" t="n">
        <v>0.4620535767732039</v>
      </c>
      <c r="N510" s="39" t="n">
        <v>0.4489724668200903</v>
      </c>
      <c r="O510" s="39" t="n">
        <v>0.03523489932885915</v>
      </c>
      <c r="P510" s="39" t="n">
        <v>0.09982174688057044</v>
      </c>
      <c r="Q510" s="39" t="n">
        <v>0.3471615720524017</v>
      </c>
      <c r="R510" s="39" t="n">
        <v>-0.02466013278533041</v>
      </c>
      <c r="S510" s="39" t="n">
        <v>0.02847617724683982</v>
      </c>
      <c r="T510" s="39" t="n">
        <v>0.08464445811725407</v>
      </c>
      <c r="U510" s="34" t="n">
        <v>40500</v>
      </c>
      <c r="V510" s="34" t="n">
        <v>20400</v>
      </c>
      <c r="W510" s="39" t="n">
        <v>-0.2382716049382716</v>
      </c>
      <c r="X510" s="39" t="n">
        <v>0.5122549019607843</v>
      </c>
      <c r="Y510" s="34" t="n">
        <v>51414494</v>
      </c>
      <c r="Z510" s="34" t="n">
        <v>1586137139900</v>
      </c>
      <c r="AA510" s="34" t="n">
        <v>12729635500</v>
      </c>
      <c r="AB510" s="34" t="n">
        <v>16725446187.5</v>
      </c>
      <c r="AC510" s="39" t="n">
        <v>0.008025557929248511</v>
      </c>
      <c r="AD510" s="32" t="inlineStr">
        <is>
          <t>yfinance_download</t>
        </is>
      </c>
      <c r="AE510" s="32" t="inlineStr">
        <is>
          <t>005290.KQ</t>
        </is>
      </c>
    </row>
    <row r="511" ht="24" customHeight="1">
      <c r="A511" s="27" t="inlineStr">
        <is>
          <t>2025-07-14</t>
        </is>
      </c>
      <c r="B511" s="33" t="n">
        <v>30900</v>
      </c>
      <c r="C511" s="33" t="n">
        <v>31000</v>
      </c>
      <c r="D511" s="33" t="n">
        <v>30450</v>
      </c>
      <c r="E511" s="33" t="n">
        <v>30450</v>
      </c>
      <c r="F511" s="33" t="n">
        <v>29971.1015625</v>
      </c>
      <c r="G511" s="33" t="n">
        <v>236587</v>
      </c>
      <c r="H511" s="38" t="n">
        <v>-0.01296596434359809</v>
      </c>
      <c r="I511" s="38" t="n">
        <v>-0.4029411764705882</v>
      </c>
      <c r="J511" s="33" t="n">
        <v>31660</v>
      </c>
      <c r="K511" s="33" t="n">
        <v>30038.33333333333</v>
      </c>
      <c r="L511" s="33" t="n">
        <v>28511.25</v>
      </c>
      <c r="M511" s="38" t="n">
        <v>0.4651559696216821</v>
      </c>
      <c r="N511" s="38" t="n">
        <v>0.4497739530675225</v>
      </c>
      <c r="O511" s="38" t="n">
        <v>0.0201005025125629</v>
      </c>
      <c r="P511" s="38" t="n">
        <v>0.09139784946236551</v>
      </c>
      <c r="Q511" s="38" t="n">
        <v>0.3716216216216217</v>
      </c>
      <c r="R511" s="38" t="n">
        <v>-0.03821857233101711</v>
      </c>
      <c r="S511" s="38" t="n">
        <v>0.01370471064750611</v>
      </c>
      <c r="T511" s="38" t="n">
        <v>0.06799947389188477</v>
      </c>
      <c r="U511" s="33" t="n">
        <v>40500</v>
      </c>
      <c r="V511" s="33" t="n">
        <v>20400</v>
      </c>
      <c r="W511" s="38" t="n">
        <v>-0.2481481481481481</v>
      </c>
      <c r="X511" s="38" t="n">
        <v>0.4926470588235294</v>
      </c>
      <c r="Y511" s="33" t="n">
        <v>51414494</v>
      </c>
      <c r="Z511" s="33" t="n">
        <v>1565571342300</v>
      </c>
      <c r="AA511" s="33" t="n">
        <v>7204074150</v>
      </c>
      <c r="AB511" s="33" t="n">
        <v>16625649455</v>
      </c>
      <c r="AC511" s="38" t="n">
        <v>0.004601562353215029</v>
      </c>
      <c r="AD511" s="27" t="inlineStr">
        <is>
          <t>yfinance_download</t>
        </is>
      </c>
      <c r="AE511" s="27" t="inlineStr">
        <is>
          <t>005290.KQ</t>
        </is>
      </c>
    </row>
    <row r="512" ht="24" customHeight="1">
      <c r="A512" s="32" t="inlineStr">
        <is>
          <t>2025-07-15</t>
        </is>
      </c>
      <c r="B512" s="34" t="n">
        <v>30500</v>
      </c>
      <c r="C512" s="34" t="n">
        <v>31150</v>
      </c>
      <c r="D512" s="34" t="n">
        <v>30400</v>
      </c>
      <c r="E512" s="34" t="n">
        <v>30950</v>
      </c>
      <c r="F512" s="34" t="n">
        <v>30463.236328125</v>
      </c>
      <c r="G512" s="34" t="n">
        <v>288410</v>
      </c>
      <c r="H512" s="39" t="n">
        <v>0.01642036124794743</v>
      </c>
      <c r="I512" s="39" t="n">
        <v>-0.3931372549019608</v>
      </c>
      <c r="J512" s="34" t="n">
        <v>31662.5</v>
      </c>
      <c r="K512" s="34" t="n">
        <v>30084.16666666667</v>
      </c>
      <c r="L512" s="34" t="n">
        <v>28581.66666666667</v>
      </c>
      <c r="M512" s="39" t="n">
        <v>0.4516591244546342</v>
      </c>
      <c r="N512" s="39" t="n">
        <v>0.4504027432843932</v>
      </c>
      <c r="O512" s="39" t="n">
        <v>0.001618122977346204</v>
      </c>
      <c r="P512" s="39" t="n">
        <v>0.09751773049645385</v>
      </c>
      <c r="Q512" s="39" t="n">
        <v>0.3755555555555556</v>
      </c>
      <c r="R512" s="39" t="n">
        <v>-0.02250296091590998</v>
      </c>
      <c r="S512" s="39" t="n">
        <v>0.02878036619484226</v>
      </c>
      <c r="T512" s="39" t="n">
        <v>0.08286197445915211</v>
      </c>
      <c r="U512" s="34" t="n">
        <v>40500</v>
      </c>
      <c r="V512" s="34" t="n">
        <v>20400</v>
      </c>
      <c r="W512" s="39" t="n">
        <v>-0.2358024691358025</v>
      </c>
      <c r="X512" s="39" t="n">
        <v>0.517156862745098</v>
      </c>
      <c r="Y512" s="34" t="n">
        <v>51414494</v>
      </c>
      <c r="Z512" s="34" t="n">
        <v>1591278589300</v>
      </c>
      <c r="AA512" s="34" t="n">
        <v>8926289500</v>
      </c>
      <c r="AB512" s="34" t="n">
        <v>15848846140</v>
      </c>
      <c r="AC512" s="39" t="n">
        <v>0.005609507700299453</v>
      </c>
      <c r="AD512" s="32" t="inlineStr">
        <is>
          <t>yfinance_download</t>
        </is>
      </c>
      <c r="AE512" s="32" t="inlineStr">
        <is>
          <t>005290.KQ</t>
        </is>
      </c>
    </row>
    <row r="513" ht="24" customHeight="1">
      <c r="A513" s="27" t="inlineStr">
        <is>
          <t>2025-07-16</t>
        </is>
      </c>
      <c r="B513" s="33" t="n">
        <v>31250</v>
      </c>
      <c r="C513" s="33" t="n">
        <v>31800</v>
      </c>
      <c r="D513" s="33" t="n">
        <v>30750</v>
      </c>
      <c r="E513" s="33" t="n">
        <v>31150</v>
      </c>
      <c r="F513" s="33" t="n">
        <v>30660.091796875</v>
      </c>
      <c r="G513" s="33" t="n">
        <v>321215</v>
      </c>
      <c r="H513" s="38" t="n">
        <v>0.00646203554119551</v>
      </c>
      <c r="I513" s="38" t="n">
        <v>-0.3892156862745098</v>
      </c>
      <c r="J513" s="33" t="n">
        <v>31650</v>
      </c>
      <c r="K513" s="33" t="n">
        <v>30155.83333333333</v>
      </c>
      <c r="L513" s="33" t="n">
        <v>28654.16666666667</v>
      </c>
      <c r="M513" s="38" t="n">
        <v>0.4484778274478621</v>
      </c>
      <c r="N513" s="38" t="n">
        <v>0.4383384001720566</v>
      </c>
      <c r="O513" s="38" t="n">
        <v>-0.0079617834394905</v>
      </c>
      <c r="P513" s="38" t="n">
        <v>0.1601489757914338</v>
      </c>
      <c r="Q513" s="38" t="n">
        <v>0.3875278396436526</v>
      </c>
      <c r="R513" s="38" t="n">
        <v>-0.01579778830963663</v>
      </c>
      <c r="S513" s="38" t="n">
        <v>0.03296764031281962</v>
      </c>
      <c r="T513" s="38" t="n">
        <v>0.08710193398284138</v>
      </c>
      <c r="U513" s="33" t="n">
        <v>40500</v>
      </c>
      <c r="V513" s="33" t="n">
        <v>20400</v>
      </c>
      <c r="W513" s="38" t="n">
        <v>-0.2308641975308642</v>
      </c>
      <c r="X513" s="38" t="n">
        <v>0.5269607843137254</v>
      </c>
      <c r="Y513" s="33" t="n">
        <v>51414494</v>
      </c>
      <c r="Z513" s="33" t="n">
        <v>1601561488100</v>
      </c>
      <c r="AA513" s="33" t="n">
        <v>10005847250</v>
      </c>
      <c r="AB513" s="33" t="n">
        <v>15626476922.5</v>
      </c>
      <c r="AC513" s="38" t="n">
        <v>0.006247557352212782</v>
      </c>
      <c r="AD513" s="27" t="inlineStr">
        <is>
          <t>yfinance_download</t>
        </is>
      </c>
      <c r="AE513" s="27" t="inlineStr">
        <is>
          <t>005290.KQ</t>
        </is>
      </c>
    </row>
    <row r="514" ht="24" customHeight="1">
      <c r="A514" s="32" t="inlineStr">
        <is>
          <t>2025-07-17</t>
        </is>
      </c>
      <c r="B514" s="34" t="n">
        <v>31250</v>
      </c>
      <c r="C514" s="34" t="n">
        <v>31700</v>
      </c>
      <c r="D514" s="34" t="n">
        <v>30400</v>
      </c>
      <c r="E514" s="34" t="n">
        <v>31300</v>
      </c>
      <c r="F514" s="34" t="n">
        <v>30807.732421875</v>
      </c>
      <c r="G514" s="34" t="n">
        <v>393960</v>
      </c>
      <c r="H514" s="39" t="n">
        <v>0.004815409309791407</v>
      </c>
      <c r="I514" s="39" t="n">
        <v>-0.3862745098039215</v>
      </c>
      <c r="J514" s="34" t="n">
        <v>31670</v>
      </c>
      <c r="K514" s="34" t="n">
        <v>30220.83333333333</v>
      </c>
      <c r="L514" s="34" t="n">
        <v>28726.66666666667</v>
      </c>
      <c r="M514" s="39" t="n">
        <v>0.4447554331291033</v>
      </c>
      <c r="N514" s="39" t="n">
        <v>0.4368193804697589</v>
      </c>
      <c r="O514" s="39" t="n">
        <v>0.01294498381877029</v>
      </c>
      <c r="P514" s="39" t="n">
        <v>0.1423357664233578</v>
      </c>
      <c r="Q514" s="39" t="n">
        <v>0.3849557522123894</v>
      </c>
      <c r="R514" s="39" t="n">
        <v>-0.01168298073886964</v>
      </c>
      <c r="S514" s="39" t="n">
        <v>0.03570936164345784</v>
      </c>
      <c r="T514" s="39" t="n">
        <v>0.08957994894407051</v>
      </c>
      <c r="U514" s="34" t="n">
        <v>40500</v>
      </c>
      <c r="V514" s="34" t="n">
        <v>20400</v>
      </c>
      <c r="W514" s="39" t="n">
        <v>-0.2271604938271605</v>
      </c>
      <c r="X514" s="39" t="n">
        <v>0.5343137254901962</v>
      </c>
      <c r="Y514" s="34" t="n">
        <v>51414494</v>
      </c>
      <c r="Z514" s="34" t="n">
        <v>1609273662200</v>
      </c>
      <c r="AA514" s="34" t="n">
        <v>12330948000</v>
      </c>
      <c r="AB514" s="34" t="n">
        <v>15696265817.5</v>
      </c>
      <c r="AC514" s="39" t="n">
        <v>0.007662430753475859</v>
      </c>
      <c r="AD514" s="32" t="inlineStr">
        <is>
          <t>yfinance_download</t>
        </is>
      </c>
      <c r="AE514" s="32" t="inlineStr">
        <is>
          <t>005290.KQ</t>
        </is>
      </c>
    </row>
    <row r="515" ht="24" customHeight="1">
      <c r="A515" s="27" t="inlineStr">
        <is>
          <t>2025-07-18</t>
        </is>
      </c>
      <c r="B515" s="33" t="n">
        <v>31450</v>
      </c>
      <c r="C515" s="33" t="n">
        <v>31500</v>
      </c>
      <c r="D515" s="33" t="n">
        <v>31100</v>
      </c>
      <c r="E515" s="33" t="n">
        <v>31200</v>
      </c>
      <c r="F515" s="33" t="n">
        <v>30709.3046875</v>
      </c>
      <c r="G515" s="33" t="n">
        <v>236881</v>
      </c>
      <c r="H515" s="38" t="n">
        <v>-0.00319488817891378</v>
      </c>
      <c r="I515" s="38" t="n">
        <v>-0.388235294117647</v>
      </c>
      <c r="J515" s="33" t="n">
        <v>31682.5</v>
      </c>
      <c r="K515" s="33" t="n">
        <v>30279.16666666667</v>
      </c>
      <c r="L515" s="33" t="n">
        <v>28795.41666666667</v>
      </c>
      <c r="M515" s="38" t="n">
        <v>0.4449959864104407</v>
      </c>
      <c r="N515" s="38" t="n">
        <v>0.4366246630457989</v>
      </c>
      <c r="O515" s="38" t="n">
        <v>0.008077544426494443</v>
      </c>
      <c r="P515" s="38" t="n">
        <v>0.1263537906137184</v>
      </c>
      <c r="Q515" s="38" t="n">
        <v>0.3594771241830066</v>
      </c>
      <c r="R515" s="38" t="n">
        <v>-0.01522922749151745</v>
      </c>
      <c r="S515" s="38" t="n">
        <v>0.03041144901610005</v>
      </c>
      <c r="T515" s="38" t="n">
        <v>0.08350576625330985</v>
      </c>
      <c r="U515" s="33" t="n">
        <v>40500</v>
      </c>
      <c r="V515" s="33" t="n">
        <v>20400</v>
      </c>
      <c r="W515" s="38" t="n">
        <v>-0.2296296296296296</v>
      </c>
      <c r="X515" s="38" t="n">
        <v>0.5294117647058822</v>
      </c>
      <c r="Y515" s="33" t="n">
        <v>51414494</v>
      </c>
      <c r="Z515" s="33" t="n">
        <v>1604132212800</v>
      </c>
      <c r="AA515" s="33" t="n">
        <v>7390687200</v>
      </c>
      <c r="AB515" s="33" t="n">
        <v>15374870830</v>
      </c>
      <c r="AC515" s="38" t="n">
        <v>0.004607280585120608</v>
      </c>
      <c r="AD515" s="27" t="inlineStr">
        <is>
          <t>yfinance_download</t>
        </is>
      </c>
      <c r="AE515" s="27" t="inlineStr">
        <is>
          <t>005290.KQ</t>
        </is>
      </c>
    </row>
    <row r="516" ht="24" customHeight="1">
      <c r="A516" s="32" t="inlineStr">
        <is>
          <t>2025-07-21</t>
        </is>
      </c>
      <c r="B516" s="34" t="n">
        <v>31300</v>
      </c>
      <c r="C516" s="34" t="n">
        <v>32200</v>
      </c>
      <c r="D516" s="34" t="n">
        <v>31100</v>
      </c>
      <c r="E516" s="34" t="n">
        <v>31900</v>
      </c>
      <c r="F516" s="34" t="n">
        <v>31398.296875</v>
      </c>
      <c r="G516" s="34" t="n">
        <v>616589</v>
      </c>
      <c r="H516" s="39" t="n">
        <v>0.02243589743589736</v>
      </c>
      <c r="I516" s="39" t="n">
        <v>-0.3745098039215686</v>
      </c>
      <c r="J516" s="34" t="n">
        <v>31787.5</v>
      </c>
      <c r="K516" s="34" t="n">
        <v>30320.83333333333</v>
      </c>
      <c r="L516" s="34" t="n">
        <v>28869.16666666667</v>
      </c>
      <c r="M516" s="39" t="n">
        <v>0.4275718073565381</v>
      </c>
      <c r="N516" s="39" t="n">
        <v>0.4211624918657059</v>
      </c>
      <c r="O516" s="39" t="n">
        <v>0.07046979865771807</v>
      </c>
      <c r="P516" s="39" t="n">
        <v>0.08503401360544216</v>
      </c>
      <c r="Q516" s="39" t="n">
        <v>0.3839479392624729</v>
      </c>
      <c r="R516" s="39" t="n">
        <v>0.003539127015336208</v>
      </c>
      <c r="S516" s="39" t="n">
        <v>0.05208190188264394</v>
      </c>
      <c r="T516" s="39" t="n">
        <v>0.1049851340819212</v>
      </c>
      <c r="U516" s="34" t="n">
        <v>40500</v>
      </c>
      <c r="V516" s="34" t="n">
        <v>20400</v>
      </c>
      <c r="W516" s="39" t="n">
        <v>-0.2123456790123457</v>
      </c>
      <c r="X516" s="39" t="n">
        <v>0.5637254901960784</v>
      </c>
      <c r="Y516" s="34" t="n">
        <v>51414494</v>
      </c>
      <c r="Z516" s="34" t="n">
        <v>1640122358600</v>
      </c>
      <c r="AA516" s="34" t="n">
        <v>19669189100</v>
      </c>
      <c r="AB516" s="34" t="n">
        <v>15550972295</v>
      </c>
      <c r="AC516" s="39" t="n">
        <v>0.01199251323955459</v>
      </c>
      <c r="AD516" s="32" t="inlineStr">
        <is>
          <t>yfinance_download</t>
        </is>
      </c>
      <c r="AE516" s="32" t="inlineStr">
        <is>
          <t>005290.KQ</t>
        </is>
      </c>
    </row>
    <row r="517" ht="24" customHeight="1">
      <c r="A517" s="27" t="inlineStr">
        <is>
          <t>2025-07-22</t>
        </is>
      </c>
      <c r="B517" s="33" t="n">
        <v>31900</v>
      </c>
      <c r="C517" s="33" t="n">
        <v>32050</v>
      </c>
      <c r="D517" s="33" t="n">
        <v>30550</v>
      </c>
      <c r="E517" s="33" t="n">
        <v>30650</v>
      </c>
      <c r="F517" s="33" t="n">
        <v>30167.955078125</v>
      </c>
      <c r="G517" s="33" t="n">
        <v>415750</v>
      </c>
      <c r="H517" s="38" t="n">
        <v>-0.03918495297805646</v>
      </c>
      <c r="I517" s="38" t="n">
        <v>-0.3990196078431373</v>
      </c>
      <c r="J517" s="33" t="n">
        <v>31715</v>
      </c>
      <c r="K517" s="33" t="n">
        <v>30342.5</v>
      </c>
      <c r="L517" s="33" t="n">
        <v>28933.33333333333</v>
      </c>
      <c r="M517" s="38" t="n">
        <v>0.3560368173474995</v>
      </c>
      <c r="N517" s="38" t="n">
        <v>0.4293819678809289</v>
      </c>
      <c r="O517" s="38" t="n">
        <v>-0.04517133956386288</v>
      </c>
      <c r="P517" s="38" t="n">
        <v>0.04429301533219765</v>
      </c>
      <c r="Q517" s="38" t="n">
        <v>0.3355119825708062</v>
      </c>
      <c r="R517" s="38" t="n">
        <v>-0.0335803247674602</v>
      </c>
      <c r="S517" s="38" t="n">
        <v>0.01013430007415339</v>
      </c>
      <c r="T517" s="38" t="n">
        <v>0.05933179723502313</v>
      </c>
      <c r="U517" s="33" t="n">
        <v>40400</v>
      </c>
      <c r="V517" s="33" t="n">
        <v>20400</v>
      </c>
      <c r="W517" s="38" t="n">
        <v>-0.2413366336633663</v>
      </c>
      <c r="X517" s="38" t="n">
        <v>0.5024509803921569</v>
      </c>
      <c r="Y517" s="33" t="n">
        <v>51414494</v>
      </c>
      <c r="Z517" s="33" t="n">
        <v>1575854241100</v>
      </c>
      <c r="AA517" s="33" t="n">
        <v>12742737500</v>
      </c>
      <c r="AB517" s="33" t="n">
        <v>13954888095</v>
      </c>
      <c r="AC517" s="38" t="n">
        <v>0.00808624120661384</v>
      </c>
      <c r="AD517" s="27" t="inlineStr">
        <is>
          <t>yfinance_download</t>
        </is>
      </c>
      <c r="AE517" s="27" t="inlineStr">
        <is>
          <t>005290.KQ</t>
        </is>
      </c>
    </row>
    <row r="518" ht="24" customHeight="1">
      <c r="A518" s="32" t="inlineStr">
        <is>
          <t>2025-07-23</t>
        </is>
      </c>
      <c r="B518" s="34" t="n">
        <v>30700</v>
      </c>
      <c r="C518" s="34" t="n">
        <v>30950</v>
      </c>
      <c r="D518" s="34" t="n">
        <v>30400</v>
      </c>
      <c r="E518" s="34" t="n">
        <v>30700</v>
      </c>
      <c r="F518" s="34" t="n">
        <v>30217.16796875</v>
      </c>
      <c r="G518" s="34" t="n">
        <v>298301</v>
      </c>
      <c r="H518" s="39" t="n">
        <v>0.001631321370309857</v>
      </c>
      <c r="I518" s="39" t="n">
        <v>-0.3980392156862745</v>
      </c>
      <c r="J518" s="34" t="n">
        <v>31562.5</v>
      </c>
      <c r="K518" s="34" t="n">
        <v>30360</v>
      </c>
      <c r="L518" s="34" t="n">
        <v>28993.33333333333</v>
      </c>
      <c r="M518" s="39" t="n">
        <v>0.2955966578080982</v>
      </c>
      <c r="N518" s="39" t="n">
        <v>0.4289613411236468</v>
      </c>
      <c r="O518" s="39" t="n">
        <v>-0.09037037037037032</v>
      </c>
      <c r="P518" s="39" t="n">
        <v>0.03541315345699836</v>
      </c>
      <c r="Q518" s="39" t="n">
        <v>0.3063829787234043</v>
      </c>
      <c r="R518" s="39" t="n">
        <v>-0.02732673267326735</v>
      </c>
      <c r="S518" s="39" t="n">
        <v>0.01119894598155469</v>
      </c>
      <c r="T518" s="39" t="n">
        <v>0.05886410669119346</v>
      </c>
      <c r="U518" s="34" t="n">
        <v>39750</v>
      </c>
      <c r="V518" s="34" t="n">
        <v>20400</v>
      </c>
      <c r="W518" s="39" t="n">
        <v>-0.2276729559748427</v>
      </c>
      <c r="X518" s="39" t="n">
        <v>0.5049019607843137</v>
      </c>
      <c r="Y518" s="34" t="n">
        <v>51414494</v>
      </c>
      <c r="Z518" s="34" t="n">
        <v>1578424965800</v>
      </c>
      <c r="AA518" s="34" t="n">
        <v>9157840700</v>
      </c>
      <c r="AB518" s="34" t="n">
        <v>12559648630</v>
      </c>
      <c r="AC518" s="39" t="n">
        <v>0.005801885359408575</v>
      </c>
      <c r="AD518" s="32" t="inlineStr">
        <is>
          <t>yfinance_download</t>
        </is>
      </c>
      <c r="AE518" s="32" t="inlineStr">
        <is>
          <t>005290.KQ</t>
        </is>
      </c>
    </row>
    <row r="519" ht="24" customHeight="1">
      <c r="A519" s="27" t="inlineStr">
        <is>
          <t>2025-07-24</t>
        </is>
      </c>
      <c r="B519" s="33" t="n">
        <v>30950</v>
      </c>
      <c r="C519" s="33" t="n">
        <v>31150</v>
      </c>
      <c r="D519" s="33" t="n">
        <v>30250</v>
      </c>
      <c r="E519" s="33" t="n">
        <v>30400</v>
      </c>
      <c r="F519" s="33" t="n">
        <v>29921.88671875</v>
      </c>
      <c r="G519" s="33" t="n">
        <v>314812</v>
      </c>
      <c r="H519" s="38" t="n">
        <v>-0.009771986970684043</v>
      </c>
      <c r="I519" s="38" t="n">
        <v>-0.403921568627451</v>
      </c>
      <c r="J519" s="33" t="n">
        <v>31417.5</v>
      </c>
      <c r="K519" s="33" t="n">
        <v>30356.66666666667</v>
      </c>
      <c r="L519" s="33" t="n">
        <v>29058.33333333333</v>
      </c>
      <c r="M519" s="38" t="n">
        <v>0.2944627848524562</v>
      </c>
      <c r="N519" s="38" t="n">
        <v>0.4245471853871177</v>
      </c>
      <c r="O519" s="38" t="n">
        <v>-0.08708708708708712</v>
      </c>
      <c r="P519" s="38" t="n">
        <v>-0.006535947712418277</v>
      </c>
      <c r="Q519" s="38" t="n">
        <v>0.345132743362832</v>
      </c>
      <c r="R519" s="38" t="n">
        <v>-0.03238640884857169</v>
      </c>
      <c r="S519" s="38" t="n">
        <v>0.001427473372131338</v>
      </c>
      <c r="T519" s="38" t="n">
        <v>0.04617149412102095</v>
      </c>
      <c r="U519" s="33" t="n">
        <v>38900</v>
      </c>
      <c r="V519" s="33" t="n">
        <v>20400</v>
      </c>
      <c r="W519" s="38" t="n">
        <v>-0.218508997429306</v>
      </c>
      <c r="X519" s="38" t="n">
        <v>0.4901960784313726</v>
      </c>
      <c r="Y519" s="33" t="n">
        <v>51414494</v>
      </c>
      <c r="Z519" s="33" t="n">
        <v>1563000617600</v>
      </c>
      <c r="AA519" s="33" t="n">
        <v>9570284800</v>
      </c>
      <c r="AB519" s="33" t="n">
        <v>11751847140</v>
      </c>
      <c r="AC519" s="38" t="n">
        <v>0.006123020485235156</v>
      </c>
      <c r="AD519" s="27" t="inlineStr">
        <is>
          <t>yfinance_download</t>
        </is>
      </c>
      <c r="AE519" s="27" t="inlineStr">
        <is>
          <t>005290.KQ</t>
        </is>
      </c>
    </row>
    <row r="520" ht="24" customHeight="1">
      <c r="A520" s="32" t="inlineStr">
        <is>
          <t>2025-07-25</t>
        </is>
      </c>
      <c r="B520" s="34" t="n">
        <v>30250</v>
      </c>
      <c r="C520" s="34" t="n">
        <v>30550</v>
      </c>
      <c r="D520" s="34" t="n">
        <v>29750</v>
      </c>
      <c r="E520" s="34" t="n">
        <v>29800</v>
      </c>
      <c r="F520" s="34" t="n">
        <v>29331.32421875</v>
      </c>
      <c r="G520" s="34" t="n">
        <v>274546</v>
      </c>
      <c r="H520" s="39" t="n">
        <v>-0.01973684210526316</v>
      </c>
      <c r="I520" s="39" t="n">
        <v>-0.4156862745098039</v>
      </c>
      <c r="J520" s="34" t="n">
        <v>31275</v>
      </c>
      <c r="K520" s="34" t="n">
        <v>30335</v>
      </c>
      <c r="L520" s="34" t="n">
        <v>29113.75</v>
      </c>
      <c r="M520" s="39" t="n">
        <v>0.2946119386832147</v>
      </c>
      <c r="N520" s="39" t="n">
        <v>0.4251404244970589</v>
      </c>
      <c r="O520" s="39" t="n">
        <v>-0.08728943338437978</v>
      </c>
      <c r="P520" s="39" t="n">
        <v>-0.04180064308681675</v>
      </c>
      <c r="Q520" s="39" t="n">
        <v>0.2872570194384449</v>
      </c>
      <c r="R520" s="39" t="n">
        <v>-0.04716227018385288</v>
      </c>
      <c r="S520" s="39" t="n">
        <v>-0.017636393604747</v>
      </c>
      <c r="T520" s="39" t="n">
        <v>0.02357133656777299</v>
      </c>
      <c r="U520" s="34" t="n">
        <v>38900</v>
      </c>
      <c r="V520" s="34" t="n">
        <v>20400</v>
      </c>
      <c r="W520" s="39" t="n">
        <v>-0.2339331619537275</v>
      </c>
      <c r="X520" s="39" t="n">
        <v>0.4607843137254901</v>
      </c>
      <c r="Y520" s="34" t="n">
        <v>51414494</v>
      </c>
      <c r="Z520" s="34" t="n">
        <v>1532151921200</v>
      </c>
      <c r="AA520" s="34" t="n">
        <v>8181470800</v>
      </c>
      <c r="AB520" s="34" t="n">
        <v>11521556952.5</v>
      </c>
      <c r="AC520" s="39" t="n">
        <v>0.005339856111391469</v>
      </c>
      <c r="AD520" s="32" t="inlineStr">
        <is>
          <t>yfinance_download</t>
        </is>
      </c>
      <c r="AE520" s="32" t="inlineStr">
        <is>
          <t>005290.KQ</t>
        </is>
      </c>
    </row>
    <row r="521" ht="24" customHeight="1">
      <c r="A521" s="27" t="inlineStr">
        <is>
          <t>2025-07-28</t>
        </is>
      </c>
      <c r="B521" s="33" t="n">
        <v>30650</v>
      </c>
      <c r="C521" s="33" t="n">
        <v>33150</v>
      </c>
      <c r="D521" s="33" t="n">
        <v>30000</v>
      </c>
      <c r="E521" s="33" t="n">
        <v>32550</v>
      </c>
      <c r="F521" s="33" t="n">
        <v>32038.072265625</v>
      </c>
      <c r="G521" s="33" t="n">
        <v>2144738</v>
      </c>
      <c r="H521" s="38" t="n">
        <v>0.09228187919463093</v>
      </c>
      <c r="I521" s="38" t="n">
        <v>-0.361764705882353</v>
      </c>
      <c r="J521" s="33" t="n">
        <v>31267.5</v>
      </c>
      <c r="K521" s="33" t="n">
        <v>30383.33333333333</v>
      </c>
      <c r="L521" s="33" t="n">
        <v>29202.5</v>
      </c>
      <c r="M521" s="38" t="n">
        <v>0.4525763006587613</v>
      </c>
      <c r="N521" s="38" t="n">
        <v>0.454852455226035</v>
      </c>
      <c r="O521" s="38" t="n">
        <v>-0.004587155963302725</v>
      </c>
      <c r="P521" s="38" t="n">
        <v>0.09780775716694778</v>
      </c>
      <c r="Q521" s="38" t="n">
        <v>0.4863013698630136</v>
      </c>
      <c r="R521" s="38" t="n">
        <v>0.0410170304629407</v>
      </c>
      <c r="S521" s="38" t="n">
        <v>0.07131102578167869</v>
      </c>
      <c r="T521" s="38" t="n">
        <v>0.1146305966954884</v>
      </c>
      <c r="U521" s="33" t="n">
        <v>38900</v>
      </c>
      <c r="V521" s="33" t="n">
        <v>20400</v>
      </c>
      <c r="W521" s="38" t="n">
        <v>-0.1632390745501285</v>
      </c>
      <c r="X521" s="38" t="n">
        <v>0.5955882352941178</v>
      </c>
      <c r="Y521" s="33" t="n">
        <v>51414494</v>
      </c>
      <c r="Z521" s="33" t="n">
        <v>1673541779700</v>
      </c>
      <c r="AA521" s="33" t="n">
        <v>69811221900</v>
      </c>
      <c r="AB521" s="33" t="n">
        <v>14614528557.5</v>
      </c>
      <c r="AC521" s="38" t="n">
        <v>0.04171465734934589</v>
      </c>
      <c r="AD521" s="27" t="inlineStr">
        <is>
          <t>yfinance_download</t>
        </is>
      </c>
      <c r="AE521" s="27" t="inlineStr">
        <is>
          <t>005290.KQ</t>
        </is>
      </c>
    </row>
    <row r="522" ht="24" customHeight="1">
      <c r="A522" s="32" t="inlineStr">
        <is>
          <t>2025-07-29</t>
        </is>
      </c>
      <c r="B522" s="34" t="n">
        <v>33150</v>
      </c>
      <c r="C522" s="34" t="n">
        <v>33200</v>
      </c>
      <c r="D522" s="34" t="n">
        <v>31550</v>
      </c>
      <c r="E522" s="34" t="n">
        <v>32700</v>
      </c>
      <c r="F522" s="34" t="n">
        <v>32185.71484375</v>
      </c>
      <c r="G522" s="34" t="n">
        <v>843500</v>
      </c>
      <c r="H522" s="39" t="n">
        <v>0.004608294930875667</v>
      </c>
      <c r="I522" s="39" t="n">
        <v>-0.3588235294117647</v>
      </c>
      <c r="J522" s="34" t="n">
        <v>31285</v>
      </c>
      <c r="K522" s="34" t="n">
        <v>30435</v>
      </c>
      <c r="L522" s="34" t="n">
        <v>29302.08333333333</v>
      </c>
      <c r="M522" s="39" t="n">
        <v>0.4509690091125012</v>
      </c>
      <c r="N522" s="39" t="n">
        <v>0.4548203540531757</v>
      </c>
      <c r="O522" s="39" t="n">
        <v>0.01081916537867089</v>
      </c>
      <c r="P522" s="39" t="n">
        <v>0.1047297297297298</v>
      </c>
      <c r="Q522" s="39" t="n">
        <v>0.5759036144578313</v>
      </c>
      <c r="R522" s="39" t="n">
        <v>0.04522934313568805</v>
      </c>
      <c r="S522" s="39" t="n">
        <v>0.07442089699359289</v>
      </c>
      <c r="T522" s="39" t="n">
        <v>0.1159616068254532</v>
      </c>
      <c r="U522" s="34" t="n">
        <v>38900</v>
      </c>
      <c r="V522" s="34" t="n">
        <v>20400</v>
      </c>
      <c r="W522" s="39" t="n">
        <v>-0.1593830334190232</v>
      </c>
      <c r="X522" s="39" t="n">
        <v>0.6029411764705883</v>
      </c>
      <c r="Y522" s="34" t="n">
        <v>51414494</v>
      </c>
      <c r="Z522" s="34" t="n">
        <v>1681253953800</v>
      </c>
      <c r="AA522" s="34" t="n">
        <v>27582450000</v>
      </c>
      <c r="AB522" s="34" t="n">
        <v>15401628265</v>
      </c>
      <c r="AC522" s="39" t="n">
        <v>0.01640587963386356</v>
      </c>
      <c r="AD522" s="32" t="inlineStr">
        <is>
          <t>yfinance_download</t>
        </is>
      </c>
      <c r="AE522" s="32" t="inlineStr">
        <is>
          <t>005290.KQ</t>
        </is>
      </c>
    </row>
    <row r="523" ht="24" customHeight="1">
      <c r="A523" s="27" t="inlineStr">
        <is>
          <t>2025-07-30</t>
        </is>
      </c>
      <c r="B523" s="33" t="n">
        <v>32500</v>
      </c>
      <c r="C523" s="33" t="n">
        <v>33200</v>
      </c>
      <c r="D523" s="33" t="n">
        <v>32200</v>
      </c>
      <c r="E523" s="33" t="n">
        <v>32250</v>
      </c>
      <c r="F523" s="33" t="n">
        <v>31742.791015625</v>
      </c>
      <c r="G523" s="33" t="n">
        <v>676406</v>
      </c>
      <c r="H523" s="38" t="n">
        <v>-0.01376146788990829</v>
      </c>
      <c r="I523" s="38" t="n">
        <v>-0.3676470588235294</v>
      </c>
      <c r="J523" s="33" t="n">
        <v>31305</v>
      </c>
      <c r="K523" s="33" t="n">
        <v>30486.66666666667</v>
      </c>
      <c r="L523" s="33" t="n">
        <v>29392.5</v>
      </c>
      <c r="M523" s="38" t="n">
        <v>0.4501928086774991</v>
      </c>
      <c r="N523" s="38" t="n">
        <v>0.4545962941736522</v>
      </c>
      <c r="O523" s="38" t="n">
        <v>0.01255886970172693</v>
      </c>
      <c r="P523" s="38" t="n">
        <v>0.1063464837049743</v>
      </c>
      <c r="Q523" s="38" t="n">
        <v>0.5070093457943925</v>
      </c>
      <c r="R523" s="38" t="n">
        <v>0.03018687110685203</v>
      </c>
      <c r="S523" s="38" t="n">
        <v>0.05783949267439303</v>
      </c>
      <c r="T523" s="38" t="n">
        <v>0.09721867823424346</v>
      </c>
      <c r="U523" s="33" t="n">
        <v>38600</v>
      </c>
      <c r="V523" s="33" t="n">
        <v>20400</v>
      </c>
      <c r="W523" s="38" t="n">
        <v>-0.1645077720207254</v>
      </c>
      <c r="X523" s="38" t="n">
        <v>0.5808823529411764</v>
      </c>
      <c r="Y523" s="33" t="n">
        <v>51414494</v>
      </c>
      <c r="Z523" s="33" t="n">
        <v>1658117431500</v>
      </c>
      <c r="AA523" s="33" t="n">
        <v>21814093500</v>
      </c>
      <c r="AB523" s="33" t="n">
        <v>15909731147.5</v>
      </c>
      <c r="AC523" s="38" t="n">
        <v>0.01315594003511928</v>
      </c>
      <c r="AD523" s="27" t="inlineStr">
        <is>
          <t>yfinance_download</t>
        </is>
      </c>
      <c r="AE523" s="27" t="inlineStr">
        <is>
          <t>005290.KQ</t>
        </is>
      </c>
    </row>
    <row r="524" ht="24" customHeight="1">
      <c r="A524" s="32" t="inlineStr">
        <is>
          <t>2025-07-31</t>
        </is>
      </c>
      <c r="B524" s="34" t="n">
        <v>32450</v>
      </c>
      <c r="C524" s="34" t="n">
        <v>32550</v>
      </c>
      <c r="D524" s="34" t="n">
        <v>31350</v>
      </c>
      <c r="E524" s="34" t="n">
        <v>31700</v>
      </c>
      <c r="F524" s="34" t="n">
        <v>31201.44140625</v>
      </c>
      <c r="G524" s="34" t="n">
        <v>547434</v>
      </c>
      <c r="H524" s="39" t="n">
        <v>-0.01705426356589146</v>
      </c>
      <c r="I524" s="39" t="n">
        <v>-0.3784313725490196</v>
      </c>
      <c r="J524" s="34" t="n">
        <v>31240</v>
      </c>
      <c r="K524" s="34" t="n">
        <v>30515.83333333333</v>
      </c>
      <c r="L524" s="34" t="n">
        <v>29476.25</v>
      </c>
      <c r="M524" s="39" t="n">
        <v>0.4344763853827227</v>
      </c>
      <c r="N524" s="39" t="n">
        <v>0.4531367910668758</v>
      </c>
      <c r="O524" s="39" t="n">
        <v>-0.03939393939393943</v>
      </c>
      <c r="P524" s="39" t="n">
        <v>0.05843071786310516</v>
      </c>
      <c r="Q524" s="39" t="n">
        <v>0.464203233256351</v>
      </c>
      <c r="R524" s="39" t="n">
        <v>0.01472471190781044</v>
      </c>
      <c r="S524" s="39" t="n">
        <v>0.03880499194407272</v>
      </c>
      <c r="T524" s="39" t="n">
        <v>0.07544209321063566</v>
      </c>
      <c r="U524" s="34" t="n">
        <v>37600</v>
      </c>
      <c r="V524" s="34" t="n">
        <v>20400</v>
      </c>
      <c r="W524" s="39" t="n">
        <v>-0.1569148936170213</v>
      </c>
      <c r="X524" s="39" t="n">
        <v>0.553921568627451</v>
      </c>
      <c r="Y524" s="34" t="n">
        <v>51414494</v>
      </c>
      <c r="Z524" s="34" t="n">
        <v>1629839459800</v>
      </c>
      <c r="AA524" s="34" t="n">
        <v>17353657800</v>
      </c>
      <c r="AB524" s="34" t="n">
        <v>15623278637.5</v>
      </c>
      <c r="AC524" s="39" t="n">
        <v>0.01064746450679841</v>
      </c>
      <c r="AD524" s="32" t="inlineStr">
        <is>
          <t>yfinance_download</t>
        </is>
      </c>
      <c r="AE524" s="32" t="inlineStr">
        <is>
          <t>005290.KQ</t>
        </is>
      </c>
    </row>
    <row r="525" ht="24" customHeight="1">
      <c r="A525" s="27" t="inlineStr">
        <is>
          <t>2025-08-01</t>
        </is>
      </c>
      <c r="B525" s="33" t="n">
        <v>31000</v>
      </c>
      <c r="C525" s="33" t="n">
        <v>31650</v>
      </c>
      <c r="D525" s="33" t="n">
        <v>29650</v>
      </c>
      <c r="E525" s="33" t="n">
        <v>29650</v>
      </c>
      <c r="F525" s="33" t="n">
        <v>29183.681640625</v>
      </c>
      <c r="G525" s="33" t="n">
        <v>638714</v>
      </c>
      <c r="H525" s="38" t="n">
        <v>-0.06466876971608837</v>
      </c>
      <c r="I525" s="38" t="n">
        <v>-0.4186274509803921</v>
      </c>
      <c r="J525" s="33" t="n">
        <v>31125</v>
      </c>
      <c r="K525" s="33" t="n">
        <v>30510.83333333333</v>
      </c>
      <c r="L525" s="33" t="n">
        <v>29539.16666666667</v>
      </c>
      <c r="M525" s="38" t="n">
        <v>0.4781683541593534</v>
      </c>
      <c r="N525" s="38" t="n">
        <v>0.4729029417638391</v>
      </c>
      <c r="O525" s="38" t="n">
        <v>-0.0719874804381847</v>
      </c>
      <c r="P525" s="38" t="n">
        <v>-0.01001669449081799</v>
      </c>
      <c r="Q525" s="38" t="n">
        <v>0.341628959276018</v>
      </c>
      <c r="R525" s="38" t="n">
        <v>-0.04738955823293167</v>
      </c>
      <c r="S525" s="38" t="n">
        <v>-0.02821402234179116</v>
      </c>
      <c r="T525" s="38" t="n">
        <v>0.003752080570993188</v>
      </c>
      <c r="U525" s="33" t="n">
        <v>37600</v>
      </c>
      <c r="V525" s="33" t="n">
        <v>20400</v>
      </c>
      <c r="W525" s="38" t="n">
        <v>-0.211436170212766</v>
      </c>
      <c r="X525" s="38" t="n">
        <v>0.4534313725490196</v>
      </c>
      <c r="Y525" s="33" t="n">
        <v>51414494</v>
      </c>
      <c r="Z525" s="33" t="n">
        <v>1524439747100</v>
      </c>
      <c r="AA525" s="33" t="n">
        <v>18937870100</v>
      </c>
      <c r="AB525" s="33" t="n">
        <v>15860818242.5</v>
      </c>
      <c r="AC525" s="38" t="n">
        <v>0.01242283936510199</v>
      </c>
      <c r="AD525" s="27" t="inlineStr">
        <is>
          <t>yfinance_download</t>
        </is>
      </c>
      <c r="AE525" s="27" t="inlineStr">
        <is>
          <t>005290.KQ</t>
        </is>
      </c>
    </row>
    <row r="526" ht="24" customHeight="1">
      <c r="A526" s="32" t="inlineStr">
        <is>
          <t>2025-08-04</t>
        </is>
      </c>
      <c r="B526" s="34" t="n">
        <v>29600</v>
      </c>
      <c r="C526" s="34" t="n">
        <v>30000</v>
      </c>
      <c r="D526" s="34" t="n">
        <v>29350</v>
      </c>
      <c r="E526" s="34" t="n">
        <v>29600</v>
      </c>
      <c r="F526" s="34" t="n">
        <v>29134.46875</v>
      </c>
      <c r="G526" s="34" t="n">
        <v>327630</v>
      </c>
      <c r="H526" s="39" t="n">
        <v>-0.001686340640809414</v>
      </c>
      <c r="I526" s="39" t="n">
        <v>-0.4196078431372549</v>
      </c>
      <c r="J526" s="34" t="n">
        <v>31027.5</v>
      </c>
      <c r="K526" s="34" t="n">
        <v>30505.83333333333</v>
      </c>
      <c r="L526" s="34" t="n">
        <v>29585</v>
      </c>
      <c r="M526" s="39" t="n">
        <v>0.4769441850483787</v>
      </c>
      <c r="N526" s="39" t="n">
        <v>0.4729032375545003</v>
      </c>
      <c r="O526" s="39" t="n">
        <v>-0.06180665610142633</v>
      </c>
      <c r="P526" s="39" t="n">
        <v>-0.01003344481605351</v>
      </c>
      <c r="Q526" s="39" t="n">
        <v>0.2282157676348548</v>
      </c>
      <c r="R526" s="39" t="n">
        <v>-0.04600757392635568</v>
      </c>
      <c r="S526" s="39" t="n">
        <v>-0.02969377441472942</v>
      </c>
      <c r="T526" s="39" t="n">
        <v>0.0005070136893696731</v>
      </c>
      <c r="U526" s="34" t="n">
        <v>37600</v>
      </c>
      <c r="V526" s="34" t="n">
        <v>20400</v>
      </c>
      <c r="W526" s="39" t="n">
        <v>-0.2127659574468085</v>
      </c>
      <c r="X526" s="39" t="n">
        <v>0.4509803921568627</v>
      </c>
      <c r="Y526" s="34" t="n">
        <v>51414494</v>
      </c>
      <c r="Z526" s="34" t="n">
        <v>1521869022400</v>
      </c>
      <c r="AA526" s="34" t="n">
        <v>9697848000</v>
      </c>
      <c r="AB526" s="34" t="n">
        <v>15881316727.5</v>
      </c>
      <c r="AC526" s="39" t="n">
        <v>0.006372327616411045</v>
      </c>
      <c r="AD526" s="32" t="inlineStr">
        <is>
          <t>yfinance_download</t>
        </is>
      </c>
      <c r="AE526" s="32" t="inlineStr">
        <is>
          <t>005290.KQ</t>
        </is>
      </c>
    </row>
    <row r="527" ht="24" customHeight="1">
      <c r="A527" s="27" t="inlineStr">
        <is>
          <t>2025-08-05</t>
        </is>
      </c>
      <c r="B527" s="33" t="n">
        <v>30150</v>
      </c>
      <c r="C527" s="33" t="n">
        <v>30600</v>
      </c>
      <c r="D527" s="33" t="n">
        <v>29650</v>
      </c>
      <c r="E527" s="33" t="n">
        <v>29800</v>
      </c>
      <c r="F527" s="33" t="n">
        <v>29331.32421875</v>
      </c>
      <c r="G527" s="33" t="n">
        <v>261069</v>
      </c>
      <c r="H527" s="38" t="n">
        <v>0.006756756756756799</v>
      </c>
      <c r="I527" s="38" t="n">
        <v>-0.4156862745098039</v>
      </c>
      <c r="J527" s="33" t="n">
        <v>30937.5</v>
      </c>
      <c r="K527" s="33" t="n">
        <v>30533.33333333333</v>
      </c>
      <c r="L527" s="33" t="n">
        <v>29618.75</v>
      </c>
      <c r="M527" s="38" t="n">
        <v>0.4779218912725924</v>
      </c>
      <c r="N527" s="38" t="n">
        <v>0.456894236660401</v>
      </c>
      <c r="O527" s="38" t="n">
        <v>-0.05696202531645567</v>
      </c>
      <c r="P527" s="38" t="n">
        <v>0.05861456483126104</v>
      </c>
      <c r="Q527" s="38" t="n">
        <v>0.1572815533980583</v>
      </c>
      <c r="R527" s="38" t="n">
        <v>-0.03676767676767678</v>
      </c>
      <c r="S527" s="38" t="n">
        <v>-0.0240174672489083</v>
      </c>
      <c r="T527" s="38" t="n">
        <v>0.006119434479848085</v>
      </c>
      <c r="U527" s="33" t="n">
        <v>36500</v>
      </c>
      <c r="V527" s="33" t="n">
        <v>20400</v>
      </c>
      <c r="W527" s="38" t="n">
        <v>-0.1835616438356165</v>
      </c>
      <c r="X527" s="38" t="n">
        <v>0.4607843137254901</v>
      </c>
      <c r="Y527" s="33" t="n">
        <v>51414494</v>
      </c>
      <c r="Z527" s="33" t="n">
        <v>1532151921200</v>
      </c>
      <c r="AA527" s="33" t="n">
        <v>7779856200</v>
      </c>
      <c r="AB527" s="33" t="n">
        <v>15676000437.5</v>
      </c>
      <c r="AC527" s="38" t="n">
        <v>0.005077731582848992</v>
      </c>
      <c r="AD527" s="27" t="inlineStr">
        <is>
          <t>yfinance_download</t>
        </is>
      </c>
      <c r="AE527" s="27" t="inlineStr">
        <is>
          <t>005290.KQ</t>
        </is>
      </c>
    </row>
    <row r="528" ht="24" customHeight="1">
      <c r="A528" s="32" t="inlineStr">
        <is>
          <t>2025-08-06</t>
        </is>
      </c>
      <c r="B528" s="34" t="n">
        <v>29600</v>
      </c>
      <c r="C528" s="34" t="n">
        <v>29650</v>
      </c>
      <c r="D528" s="34" t="n">
        <v>28950</v>
      </c>
      <c r="E528" s="34" t="n">
        <v>29400</v>
      </c>
      <c r="F528" s="34" t="n">
        <v>28937.615234375</v>
      </c>
      <c r="G528" s="34" t="n">
        <v>448646</v>
      </c>
      <c r="H528" s="39" t="n">
        <v>-0.01342281879194629</v>
      </c>
      <c r="I528" s="39" t="n">
        <v>-0.4235294117647059</v>
      </c>
      <c r="J528" s="34" t="n">
        <v>30875</v>
      </c>
      <c r="K528" s="34" t="n">
        <v>30515</v>
      </c>
      <c r="L528" s="34" t="n">
        <v>29643.75</v>
      </c>
      <c r="M528" s="39" t="n">
        <v>0.4687576366606646</v>
      </c>
      <c r="N528" s="39" t="n">
        <v>0.4245038636755721</v>
      </c>
      <c r="O528" s="39" t="n">
        <v>-0.04078303425774876</v>
      </c>
      <c r="P528" s="39" t="n">
        <v>-0.0360655737704918</v>
      </c>
      <c r="Q528" s="39" t="n">
        <v>0.1136363636363635</v>
      </c>
      <c r="R528" s="39" t="n">
        <v>-0.04777327935222675</v>
      </c>
      <c r="S528" s="39" t="n">
        <v>-0.03653940684909063</v>
      </c>
      <c r="T528" s="39" t="n">
        <v>-0.008222643896268145</v>
      </c>
      <c r="U528" s="34" t="n">
        <v>36150</v>
      </c>
      <c r="V528" s="34" t="n">
        <v>20400</v>
      </c>
      <c r="W528" s="39" t="n">
        <v>-0.1867219917012448</v>
      </c>
      <c r="X528" s="39" t="n">
        <v>0.4411764705882353</v>
      </c>
      <c r="Y528" s="34" t="n">
        <v>51414494</v>
      </c>
      <c r="Z528" s="34" t="n">
        <v>1511586123600</v>
      </c>
      <c r="AA528" s="34" t="n">
        <v>13190192400</v>
      </c>
      <c r="AB528" s="34" t="n">
        <v>15781289095</v>
      </c>
      <c r="AC528" s="39" t="n">
        <v>0.008726060787450324</v>
      </c>
      <c r="AD528" s="32" t="inlineStr">
        <is>
          <t>yfinance_download</t>
        </is>
      </c>
      <c r="AE528" s="32" t="inlineStr">
        <is>
          <t>005290.KQ</t>
        </is>
      </c>
    </row>
    <row r="529" ht="24" customHeight="1">
      <c r="A529" s="27" t="inlineStr">
        <is>
          <t>2025-08-07</t>
        </is>
      </c>
      <c r="B529" s="33" t="n">
        <v>30250</v>
      </c>
      <c r="C529" s="33" t="n">
        <v>31400</v>
      </c>
      <c r="D529" s="33" t="n">
        <v>30050</v>
      </c>
      <c r="E529" s="33" t="n">
        <v>30400</v>
      </c>
      <c r="F529" s="33" t="n">
        <v>29921.88671875</v>
      </c>
      <c r="G529" s="33" t="n">
        <v>818780</v>
      </c>
      <c r="H529" s="38" t="n">
        <v>0.03401360544217691</v>
      </c>
      <c r="I529" s="38" t="n">
        <v>-0.403921568627451</v>
      </c>
      <c r="J529" s="33" t="n">
        <v>30870</v>
      </c>
      <c r="K529" s="33" t="n">
        <v>30510</v>
      </c>
      <c r="L529" s="33" t="n">
        <v>29675.41666666667</v>
      </c>
      <c r="M529" s="38" t="n">
        <v>0.4852659586006682</v>
      </c>
      <c r="N529" s="38" t="n">
        <v>0.430081488545091</v>
      </c>
      <c r="O529" s="38" t="n">
        <v>-0.003278688524590123</v>
      </c>
      <c r="P529" s="38" t="n">
        <v>-0.009771986970684043</v>
      </c>
      <c r="Q529" s="38" t="n">
        <v>0.1428571428571428</v>
      </c>
      <c r="R529" s="38" t="n">
        <v>-0.01522513767411726</v>
      </c>
      <c r="S529" s="38" t="n">
        <v>-0.003605375286791168</v>
      </c>
      <c r="T529" s="38" t="n">
        <v>0.02441695567318614</v>
      </c>
      <c r="U529" s="33" t="n">
        <v>36150</v>
      </c>
      <c r="V529" s="33" t="n">
        <v>20400</v>
      </c>
      <c r="W529" s="38" t="n">
        <v>-0.1590594744121715</v>
      </c>
      <c r="X529" s="38" t="n">
        <v>0.4901960784313726</v>
      </c>
      <c r="Y529" s="33" t="n">
        <v>51414494</v>
      </c>
      <c r="Z529" s="33" t="n">
        <v>1563000617600</v>
      </c>
      <c r="AA529" s="33" t="n">
        <v>24890912000</v>
      </c>
      <c r="AB529" s="33" t="n">
        <v>16448355320</v>
      </c>
      <c r="AC529" s="38" t="n">
        <v>0.01592508135935365</v>
      </c>
      <c r="AD529" s="27" t="inlineStr">
        <is>
          <t>yfinance_download</t>
        </is>
      </c>
      <c r="AE529" s="27" t="inlineStr">
        <is>
          <t>005290.KQ</t>
        </is>
      </c>
    </row>
    <row r="530" ht="24" customHeight="1">
      <c r="A530" s="32" t="inlineStr">
        <is>
          <t>2025-08-08</t>
        </is>
      </c>
      <c r="B530" s="34" t="n">
        <v>30600</v>
      </c>
      <c r="C530" s="34" t="n">
        <v>31750</v>
      </c>
      <c r="D530" s="34" t="n">
        <v>30350</v>
      </c>
      <c r="E530" s="34" t="n">
        <v>31200</v>
      </c>
      <c r="F530" s="34" t="n">
        <v>30709.3046875</v>
      </c>
      <c r="G530" s="34" t="n">
        <v>514847</v>
      </c>
      <c r="H530" s="39" t="n">
        <v>0.02631578947368429</v>
      </c>
      <c r="I530" s="39" t="n">
        <v>-0.388235294117647</v>
      </c>
      <c r="J530" s="34" t="n">
        <v>30887.5</v>
      </c>
      <c r="K530" s="34" t="n">
        <v>30516.66666666667</v>
      </c>
      <c r="L530" s="34" t="n">
        <v>29714.58333333333</v>
      </c>
      <c r="M530" s="39" t="n">
        <v>0.4926135672229555</v>
      </c>
      <c r="N530" s="39" t="n">
        <v>0.4333671678221186</v>
      </c>
      <c r="O530" s="39" t="n">
        <v>0.0113452188006482</v>
      </c>
      <c r="P530" s="39" t="n">
        <v>0.01298701298701288</v>
      </c>
      <c r="Q530" s="39" t="n">
        <v>0.1773584905660377</v>
      </c>
      <c r="R530" s="39" t="n">
        <v>0.01011736139214903</v>
      </c>
      <c r="S530" s="39" t="n">
        <v>0.02239213544511198</v>
      </c>
      <c r="T530" s="39" t="n">
        <v>0.04998948327841268</v>
      </c>
      <c r="U530" s="34" t="n">
        <v>36150</v>
      </c>
      <c r="V530" s="34" t="n">
        <v>20400</v>
      </c>
      <c r="W530" s="39" t="n">
        <v>-0.1369294605809128</v>
      </c>
      <c r="X530" s="39" t="n">
        <v>0.5294117647058822</v>
      </c>
      <c r="Y530" s="34" t="n">
        <v>51414494</v>
      </c>
      <c r="Z530" s="34" t="n">
        <v>1604132212800</v>
      </c>
      <c r="AA530" s="34" t="n">
        <v>16063226400</v>
      </c>
      <c r="AB530" s="34" t="n">
        <v>16615034865</v>
      </c>
      <c r="AC530" s="39" t="n">
        <v>0.0100136549043933</v>
      </c>
      <c r="AD530" s="32" t="inlineStr">
        <is>
          <t>yfinance_download</t>
        </is>
      </c>
      <c r="AE530" s="32" t="inlineStr">
        <is>
          <t>005290.KQ</t>
        </is>
      </c>
    </row>
    <row r="531" ht="24" customHeight="1">
      <c r="A531" s="27" t="inlineStr">
        <is>
          <t>2025-08-11</t>
        </is>
      </c>
      <c r="B531" s="33" t="n">
        <v>31800</v>
      </c>
      <c r="C531" s="33" t="n">
        <v>31850</v>
      </c>
      <c r="D531" s="33" t="n">
        <v>31200</v>
      </c>
      <c r="E531" s="33" t="n">
        <v>31700</v>
      </c>
      <c r="F531" s="33" t="n">
        <v>31201.44140625</v>
      </c>
      <c r="G531" s="33" t="n">
        <v>275593</v>
      </c>
      <c r="H531" s="38" t="n">
        <v>0.01602564102564097</v>
      </c>
      <c r="I531" s="38" t="n">
        <v>-0.3784313725490196</v>
      </c>
      <c r="J531" s="33" t="n">
        <v>30950</v>
      </c>
      <c r="K531" s="33" t="n">
        <v>30545</v>
      </c>
      <c r="L531" s="33" t="n">
        <v>29750</v>
      </c>
      <c r="M531" s="38" t="n">
        <v>0.4924499286360823</v>
      </c>
      <c r="N531" s="38" t="n">
        <v>0.4309180346004414</v>
      </c>
      <c r="O531" s="38" t="n">
        <v>0.0410509031198687</v>
      </c>
      <c r="P531" s="38" t="n">
        <v>0.05666666666666664</v>
      </c>
      <c r="Q531" s="38" t="n">
        <v>0.1548269581056467</v>
      </c>
      <c r="R531" s="38" t="n">
        <v>0.02423263327948311</v>
      </c>
      <c r="S531" s="38" t="n">
        <v>0.03781306269438534</v>
      </c>
      <c r="T531" s="38" t="n">
        <v>0.06554621848739495</v>
      </c>
      <c r="U531" s="33" t="n">
        <v>36150</v>
      </c>
      <c r="V531" s="33" t="n">
        <v>20400</v>
      </c>
      <c r="W531" s="38" t="n">
        <v>-0.1230982019363762</v>
      </c>
      <c r="X531" s="38" t="n">
        <v>0.553921568627451</v>
      </c>
      <c r="Y531" s="33" t="n">
        <v>51414494</v>
      </c>
      <c r="Z531" s="33" t="n">
        <v>1629839459800</v>
      </c>
      <c r="AA531" s="33" t="n">
        <v>8736298100</v>
      </c>
      <c r="AB531" s="33" t="n">
        <v>16691646062.5</v>
      </c>
      <c r="AC531" s="38" t="n">
        <v>0.005360220018891949</v>
      </c>
      <c r="AD531" s="27" t="inlineStr">
        <is>
          <t>yfinance_download</t>
        </is>
      </c>
      <c r="AE531" s="27" t="inlineStr">
        <is>
          <t>005290.KQ</t>
        </is>
      </c>
    </row>
    <row r="532" ht="24" customHeight="1">
      <c r="A532" s="32" t="inlineStr">
        <is>
          <t>2025-08-12</t>
        </is>
      </c>
      <c r="B532" s="34" t="n">
        <v>31650</v>
      </c>
      <c r="C532" s="34" t="n">
        <v>32650</v>
      </c>
      <c r="D532" s="34" t="n">
        <v>31450</v>
      </c>
      <c r="E532" s="34" t="n">
        <v>31700</v>
      </c>
      <c r="F532" s="34" t="n">
        <v>31201.44140625</v>
      </c>
      <c r="G532" s="34" t="n">
        <v>505642</v>
      </c>
      <c r="H532" s="39" t="n">
        <v>0</v>
      </c>
      <c r="I532" s="39" t="n">
        <v>-0.3784313725490196</v>
      </c>
      <c r="J532" s="34" t="n">
        <v>30987.5</v>
      </c>
      <c r="K532" s="34" t="n">
        <v>30581.66666666667</v>
      </c>
      <c r="L532" s="34" t="n">
        <v>29788.33333333333</v>
      </c>
      <c r="M532" s="39" t="n">
        <v>0.4897196688072533</v>
      </c>
      <c r="N532" s="39" t="n">
        <v>0.4293046834072806</v>
      </c>
      <c r="O532" s="39" t="n">
        <v>0.02423263327948311</v>
      </c>
      <c r="P532" s="39" t="n">
        <v>0.07457627118644061</v>
      </c>
      <c r="Q532" s="39" t="n">
        <v>0.1697416974169741</v>
      </c>
      <c r="R532" s="39" t="n">
        <v>0.02299314239612738</v>
      </c>
      <c r="S532" s="39" t="n">
        <v>0.03656875034061802</v>
      </c>
      <c r="T532" s="39" t="n">
        <v>0.06417501258882119</v>
      </c>
      <c r="U532" s="34" t="n">
        <v>36150</v>
      </c>
      <c r="V532" s="34" t="n">
        <v>20400</v>
      </c>
      <c r="W532" s="39" t="n">
        <v>-0.1230982019363762</v>
      </c>
      <c r="X532" s="39" t="n">
        <v>0.553921568627451</v>
      </c>
      <c r="Y532" s="34" t="n">
        <v>51414494</v>
      </c>
      <c r="Z532" s="34" t="n">
        <v>1629839459800</v>
      </c>
      <c r="AA532" s="34" t="n">
        <v>16028851400</v>
      </c>
      <c r="AB532" s="34" t="n">
        <v>17046774157.5</v>
      </c>
      <c r="AC532" s="39" t="n">
        <v>0.009834619786397198</v>
      </c>
      <c r="AD532" s="32" t="inlineStr">
        <is>
          <t>yfinance_download</t>
        </is>
      </c>
      <c r="AE532" s="32" t="inlineStr">
        <is>
          <t>005290.KQ</t>
        </is>
      </c>
    </row>
    <row r="533" ht="24" customHeight="1">
      <c r="A533" s="27" t="inlineStr">
        <is>
          <t>2025-08-13</t>
        </is>
      </c>
      <c r="B533" s="33" t="n">
        <v>32450</v>
      </c>
      <c r="C533" s="33" t="n">
        <v>32700</v>
      </c>
      <c r="D533" s="33" t="n">
        <v>32000</v>
      </c>
      <c r="E533" s="33" t="n">
        <v>32500</v>
      </c>
      <c r="F533" s="33" t="n">
        <v>31988.859375</v>
      </c>
      <c r="G533" s="33" t="n">
        <v>421343</v>
      </c>
      <c r="H533" s="38" t="n">
        <v>0.02523659305993697</v>
      </c>
      <c r="I533" s="38" t="n">
        <v>-0.3627450980392157</v>
      </c>
      <c r="J533" s="33" t="n">
        <v>31055</v>
      </c>
      <c r="K533" s="33" t="n">
        <v>30640</v>
      </c>
      <c r="L533" s="33" t="n">
        <v>29830.41666666667</v>
      </c>
      <c r="M533" s="38" t="n">
        <v>0.4966553340036303</v>
      </c>
      <c r="N533" s="38" t="n">
        <v>0.4302432538173568</v>
      </c>
      <c r="O533" s="38" t="n">
        <v>0.043338683788122</v>
      </c>
      <c r="P533" s="38" t="n">
        <v>0.1206896551724137</v>
      </c>
      <c r="Q533" s="38" t="n">
        <v>0.1839708561020037</v>
      </c>
      <c r="R533" s="38" t="n">
        <v>0.04653034938013212</v>
      </c>
      <c r="S533" s="38" t="n">
        <v>0.06070496083550925</v>
      </c>
      <c r="T533" s="38" t="n">
        <v>0.08949198944030834</v>
      </c>
      <c r="U533" s="33" t="n">
        <v>36150</v>
      </c>
      <c r="V533" s="33" t="n">
        <v>20400</v>
      </c>
      <c r="W533" s="38" t="n">
        <v>-0.1009681881051175</v>
      </c>
      <c r="X533" s="38" t="n">
        <v>0.5931372549019607</v>
      </c>
      <c r="Y533" s="33" t="n">
        <v>51414494</v>
      </c>
      <c r="Z533" s="33" t="n">
        <v>1670971055000</v>
      </c>
      <c r="AA533" s="33" t="n">
        <v>13693647500</v>
      </c>
      <c r="AB533" s="33" t="n">
        <v>17231164170</v>
      </c>
      <c r="AC533" s="38" t="n">
        <v>0.008195023761198544</v>
      </c>
      <c r="AD533" s="27" t="inlineStr">
        <is>
          <t>yfinance_download</t>
        </is>
      </c>
      <c r="AE533" s="27" t="inlineStr">
        <is>
          <t>005290.KQ</t>
        </is>
      </c>
    </row>
    <row r="534" ht="24" customHeight="1">
      <c r="A534" s="32" t="inlineStr">
        <is>
          <t>2025-08-14</t>
        </is>
      </c>
      <c r="B534" s="34" t="n">
        <v>32500</v>
      </c>
      <c r="C534" s="34" t="n">
        <v>32650</v>
      </c>
      <c r="D534" s="34" t="n">
        <v>32000</v>
      </c>
      <c r="E534" s="34" t="n">
        <v>32450</v>
      </c>
      <c r="F534" s="34" t="n">
        <v>31939.646484375</v>
      </c>
      <c r="G534" s="34" t="n">
        <v>318054</v>
      </c>
      <c r="H534" s="39" t="n">
        <v>-0.001538461538461489</v>
      </c>
      <c r="I534" s="39" t="n">
        <v>-0.3637254901960785</v>
      </c>
      <c r="J534" s="34" t="n">
        <v>31112.5</v>
      </c>
      <c r="K534" s="34" t="n">
        <v>30704.16666666667</v>
      </c>
      <c r="L534" s="34" t="n">
        <v>29866.25</v>
      </c>
      <c r="M534" s="39" t="n">
        <v>0.4967884507254191</v>
      </c>
      <c r="N534" s="39" t="n">
        <v>0.429021976869967</v>
      </c>
      <c r="O534" s="39" t="n">
        <v>0.03674121405750808</v>
      </c>
      <c r="P534" s="39" t="n">
        <v>0.1346153846153846</v>
      </c>
      <c r="Q534" s="39" t="n">
        <v>0.152753108348135</v>
      </c>
      <c r="R534" s="39" t="n">
        <v>0.0429891522699879</v>
      </c>
      <c r="S534" s="39" t="n">
        <v>0.05685981815714469</v>
      </c>
      <c r="T534" s="39" t="n">
        <v>0.08651069350855889</v>
      </c>
      <c r="U534" s="34" t="n">
        <v>36150</v>
      </c>
      <c r="V534" s="34" t="n">
        <v>20400</v>
      </c>
      <c r="W534" s="39" t="n">
        <v>-0.1023513139695712</v>
      </c>
      <c r="X534" s="39" t="n">
        <v>0.5906862745098038</v>
      </c>
      <c r="Y534" s="34" t="n">
        <v>51414494</v>
      </c>
      <c r="Z534" s="34" t="n">
        <v>1668400330300</v>
      </c>
      <c r="AA534" s="34" t="n">
        <v>10320852300</v>
      </c>
      <c r="AB534" s="34" t="n">
        <v>17130659385</v>
      </c>
      <c r="AC534" s="39" t="n">
        <v>0.006186076634343615</v>
      </c>
      <c r="AD534" s="32" t="inlineStr">
        <is>
          <t>yfinance_download</t>
        </is>
      </c>
      <c r="AE534" s="32" t="inlineStr">
        <is>
          <t>005290.KQ</t>
        </is>
      </c>
    </row>
    <row r="535" ht="24" customHeight="1">
      <c r="A535" s="27" t="inlineStr">
        <is>
          <t>2025-08-18</t>
        </is>
      </c>
      <c r="B535" s="33" t="n">
        <v>31650</v>
      </c>
      <c r="C535" s="33" t="n">
        <v>31850</v>
      </c>
      <c r="D535" s="33" t="n">
        <v>31100</v>
      </c>
      <c r="E535" s="33" t="n">
        <v>31150</v>
      </c>
      <c r="F535" s="33" t="n">
        <v>30660.091796875</v>
      </c>
      <c r="G535" s="33" t="n">
        <v>241768</v>
      </c>
      <c r="H535" s="38" t="n">
        <v>-0.04006163328197232</v>
      </c>
      <c r="I535" s="38" t="n">
        <v>-0.3892156862745098</v>
      </c>
      <c r="J535" s="33" t="n">
        <v>31110</v>
      </c>
      <c r="K535" s="33" t="n">
        <v>30746.66666666667</v>
      </c>
      <c r="L535" s="33" t="n">
        <v>29892.91666666667</v>
      </c>
      <c r="M535" s="38" t="n">
        <v>0.5189054294236261</v>
      </c>
      <c r="N535" s="38" t="n">
        <v>0.4377701789944827</v>
      </c>
      <c r="O535" s="38" t="n">
        <v>-0.001602564102564097</v>
      </c>
      <c r="P535" s="38" t="n">
        <v>0.08916083916083917</v>
      </c>
      <c r="Q535" s="38" t="n">
        <v>0.114490161001789</v>
      </c>
      <c r="R535" s="38" t="n">
        <v>0.001285760205721687</v>
      </c>
      <c r="S535" s="38" t="n">
        <v>0.01311795316565467</v>
      </c>
      <c r="T535" s="38" t="n">
        <v>0.04205288320811773</v>
      </c>
      <c r="U535" s="33" t="n">
        <v>36050</v>
      </c>
      <c r="V535" s="33" t="n">
        <v>20400</v>
      </c>
      <c r="W535" s="38" t="n">
        <v>-0.1359223300970874</v>
      </c>
      <c r="X535" s="38" t="n">
        <v>0.5269607843137254</v>
      </c>
      <c r="Y535" s="33" t="n">
        <v>51414494</v>
      </c>
      <c r="Z535" s="33" t="n">
        <v>1601561488100</v>
      </c>
      <c r="AA535" s="33" t="n">
        <v>7531073200</v>
      </c>
      <c r="AB535" s="33" t="n">
        <v>17137678685</v>
      </c>
      <c r="AC535" s="38" t="n">
        <v>0.004702331603224569</v>
      </c>
      <c r="AD535" s="27" t="inlineStr">
        <is>
          <t>yfinance_download</t>
        </is>
      </c>
      <c r="AE535" s="27" t="inlineStr">
        <is>
          <t>005290.KQ</t>
        </is>
      </c>
    </row>
    <row r="536" ht="24" customHeight="1">
      <c r="A536" s="32" t="inlineStr">
        <is>
          <t>2025-08-19</t>
        </is>
      </c>
      <c r="B536" s="34" t="n">
        <v>31400</v>
      </c>
      <c r="C536" s="34" t="n">
        <v>31450</v>
      </c>
      <c r="D536" s="34" t="n">
        <v>30750</v>
      </c>
      <c r="E536" s="34" t="n">
        <v>30900</v>
      </c>
      <c r="F536" s="34" t="n">
        <v>30414.0234375</v>
      </c>
      <c r="G536" s="34" t="n">
        <v>212483</v>
      </c>
      <c r="H536" s="39" t="n">
        <v>-0.008025682182985605</v>
      </c>
      <c r="I536" s="39" t="n">
        <v>-0.3941176470588236</v>
      </c>
      <c r="J536" s="34" t="n">
        <v>31060</v>
      </c>
      <c r="K536" s="34" t="n">
        <v>30800.83333333333</v>
      </c>
      <c r="L536" s="34" t="n">
        <v>29914.16666666667</v>
      </c>
      <c r="M536" s="39" t="n">
        <v>0.5129967233086422</v>
      </c>
      <c r="N536" s="39" t="n">
        <v>0.4321737702732162</v>
      </c>
      <c r="O536" s="39" t="n">
        <v>-0.03134796238244519</v>
      </c>
      <c r="P536" s="39" t="n">
        <v>0.1175406871609403</v>
      </c>
      <c r="Q536" s="39" t="n">
        <v>0.08994708994709</v>
      </c>
      <c r="R536" s="39" t="n">
        <v>-0.005151320025756578</v>
      </c>
      <c r="S536" s="39" t="n">
        <v>0.003219609859040684</v>
      </c>
      <c r="T536" s="39" t="n">
        <v>0.03295540017271636</v>
      </c>
      <c r="U536" s="34" t="n">
        <v>34200</v>
      </c>
      <c r="V536" s="34" t="n">
        <v>20400</v>
      </c>
      <c r="W536" s="39" t="n">
        <v>-0.09649122807017541</v>
      </c>
      <c r="X536" s="39" t="n">
        <v>0.5147058823529411</v>
      </c>
      <c r="Y536" s="34" t="n">
        <v>51414494</v>
      </c>
      <c r="Z536" s="34" t="n">
        <v>1588707864600</v>
      </c>
      <c r="AA536" s="34" t="n">
        <v>6565724700</v>
      </c>
      <c r="AB536" s="34" t="n">
        <v>16482505465</v>
      </c>
      <c r="AC536" s="39" t="n">
        <v>0.004132745136031096</v>
      </c>
      <c r="AD536" s="32" t="inlineStr">
        <is>
          <t>yfinance_download</t>
        </is>
      </c>
      <c r="AE536" s="32" t="inlineStr">
        <is>
          <t>005290.KQ</t>
        </is>
      </c>
    </row>
    <row r="537" ht="24" customHeight="1">
      <c r="A537" s="27" t="inlineStr">
        <is>
          <t>2025-08-20</t>
        </is>
      </c>
      <c r="B537" s="33" t="n">
        <v>30150</v>
      </c>
      <c r="C537" s="33" t="n">
        <v>30400</v>
      </c>
      <c r="D537" s="33" t="n">
        <v>29750</v>
      </c>
      <c r="E537" s="33" t="n">
        <v>30150</v>
      </c>
      <c r="F537" s="33" t="n">
        <v>29675.818359375</v>
      </c>
      <c r="G537" s="33" t="n">
        <v>268303</v>
      </c>
      <c r="H537" s="38" t="n">
        <v>-0.02427184466019416</v>
      </c>
      <c r="I537" s="38" t="n">
        <v>-0.4088235294117647</v>
      </c>
      <c r="J537" s="33" t="n">
        <v>31035</v>
      </c>
      <c r="K537" s="33" t="n">
        <v>30843.33333333333</v>
      </c>
      <c r="L537" s="33" t="n">
        <v>29933.33333333333</v>
      </c>
      <c r="M537" s="38" t="n">
        <v>0.5009019122498168</v>
      </c>
      <c r="N537" s="38" t="n">
        <v>0.4355056661613207</v>
      </c>
      <c r="O537" s="38" t="n">
        <v>-0.01631321370309946</v>
      </c>
      <c r="P537" s="38" t="n">
        <v>0.09239130434782616</v>
      </c>
      <c r="Q537" s="38" t="n">
        <v>0.0825852782764811</v>
      </c>
      <c r="R537" s="38" t="n">
        <v>-0.02851619139681005</v>
      </c>
      <c r="S537" s="38" t="n">
        <v>-0.02247919593645298</v>
      </c>
      <c r="T537" s="38" t="n">
        <v>0.007238307349666018</v>
      </c>
      <c r="U537" s="33" t="n">
        <v>33800</v>
      </c>
      <c r="V537" s="33" t="n">
        <v>20400</v>
      </c>
      <c r="W537" s="38" t="n">
        <v>-0.1079881656804734</v>
      </c>
      <c r="X537" s="38" t="n">
        <v>0.4779411764705883</v>
      </c>
      <c r="Y537" s="33" t="n">
        <v>51414494</v>
      </c>
      <c r="Z537" s="33" t="n">
        <v>1550146994100</v>
      </c>
      <c r="AA537" s="33" t="n">
        <v>8089335450</v>
      </c>
      <c r="AB537" s="33" t="n">
        <v>16249835362.5</v>
      </c>
      <c r="AC537" s="38" t="n">
        <v>0.005218431207355653</v>
      </c>
      <c r="AD537" s="27" t="inlineStr">
        <is>
          <t>yfinance_download</t>
        </is>
      </c>
      <c r="AE537" s="27" t="inlineStr">
        <is>
          <t>005290.KQ</t>
        </is>
      </c>
    </row>
    <row r="538" ht="24" customHeight="1">
      <c r="A538" s="32" t="inlineStr">
        <is>
          <t>2025-08-21</t>
        </is>
      </c>
      <c r="B538" s="34" t="n">
        <v>30500</v>
      </c>
      <c r="C538" s="34" t="n">
        <v>30500</v>
      </c>
      <c r="D538" s="34" t="n">
        <v>29700</v>
      </c>
      <c r="E538" s="34" t="n">
        <v>29850</v>
      </c>
      <c r="F538" s="34" t="n">
        <v>29380.537109375</v>
      </c>
      <c r="G538" s="34" t="n">
        <v>250376</v>
      </c>
      <c r="H538" s="39" t="n">
        <v>-0.00995024875621886</v>
      </c>
      <c r="I538" s="39" t="n">
        <v>-0.4147058823529411</v>
      </c>
      <c r="J538" s="34" t="n">
        <v>30992.5</v>
      </c>
      <c r="K538" s="34" t="n">
        <v>30865</v>
      </c>
      <c r="L538" s="34" t="n">
        <v>29937.08333333333</v>
      </c>
      <c r="M538" s="39" t="n">
        <v>0.5019781904842407</v>
      </c>
      <c r="N538" s="39" t="n">
        <v>0.4307951754179357</v>
      </c>
      <c r="O538" s="39" t="n">
        <v>-0.02768729641693812</v>
      </c>
      <c r="P538" s="39" t="n">
        <v>0.04553415061295962</v>
      </c>
      <c r="Q538" s="39" t="n">
        <v>0.01530612244897966</v>
      </c>
      <c r="R538" s="39" t="n">
        <v>-0.03686375736065173</v>
      </c>
      <c r="S538" s="39" t="n">
        <v>-0.03288514498623041</v>
      </c>
      <c r="T538" s="39" t="n">
        <v>-0.002908878342078536</v>
      </c>
      <c r="U538" s="34" t="n">
        <v>33800</v>
      </c>
      <c r="V538" s="34" t="n">
        <v>20400</v>
      </c>
      <c r="W538" s="39" t="n">
        <v>-0.1168639053254438</v>
      </c>
      <c r="X538" s="39" t="n">
        <v>0.463235294117647</v>
      </c>
      <c r="Y538" s="34" t="n">
        <v>51414494</v>
      </c>
      <c r="Z538" s="34" t="n">
        <v>1534722645900</v>
      </c>
      <c r="AA538" s="34" t="n">
        <v>7473723600</v>
      </c>
      <c r="AB538" s="34" t="n">
        <v>16165629507.5</v>
      </c>
      <c r="AC538" s="39" t="n">
        <v>0.004869755209494038</v>
      </c>
      <c r="AD538" s="32" t="inlineStr">
        <is>
          <t>yfinance_download</t>
        </is>
      </c>
      <c r="AE538" s="32" t="inlineStr">
        <is>
          <t>005290.KQ</t>
        </is>
      </c>
    </row>
    <row r="539" ht="24" customHeight="1">
      <c r="A539" s="27" t="inlineStr">
        <is>
          <t>2025-08-22</t>
        </is>
      </c>
      <c r="B539" s="33" t="n">
        <v>29950</v>
      </c>
      <c r="C539" s="33" t="n">
        <v>30200</v>
      </c>
      <c r="D539" s="33" t="n">
        <v>29700</v>
      </c>
      <c r="E539" s="33" t="n">
        <v>29750</v>
      </c>
      <c r="F539" s="33" t="n">
        <v>29282.109375</v>
      </c>
      <c r="G539" s="33" t="n">
        <v>165721</v>
      </c>
      <c r="H539" s="38" t="n">
        <v>-0.00335008375209378</v>
      </c>
      <c r="I539" s="38" t="n">
        <v>-0.4166666666666666</v>
      </c>
      <c r="J539" s="33" t="n">
        <v>30960</v>
      </c>
      <c r="K539" s="33" t="n">
        <v>30892.5</v>
      </c>
      <c r="L539" s="33" t="n">
        <v>29947.91666666667</v>
      </c>
      <c r="M539" s="38" t="n">
        <v>0.5009954721433747</v>
      </c>
      <c r="N539" s="38" t="n">
        <v>0.4294692178150903</v>
      </c>
      <c r="O539" s="38" t="n">
        <v>-0.02138157894736847</v>
      </c>
      <c r="P539" s="38" t="n">
        <v>0.0587188612099645</v>
      </c>
      <c r="Q539" s="38" t="n">
        <v>0.04569420035149374</v>
      </c>
      <c r="R539" s="38" t="n">
        <v>-0.03908268733850129</v>
      </c>
      <c r="S539" s="38" t="n">
        <v>-0.03698308650967064</v>
      </c>
      <c r="T539" s="38" t="n">
        <v>-0.006608695652173924</v>
      </c>
      <c r="U539" s="33" t="n">
        <v>33800</v>
      </c>
      <c r="V539" s="33" t="n">
        <v>20400</v>
      </c>
      <c r="W539" s="38" t="n">
        <v>-0.1198224852071006</v>
      </c>
      <c r="X539" s="38" t="n">
        <v>0.4583333333333333</v>
      </c>
      <c r="Y539" s="33" t="n">
        <v>51414494</v>
      </c>
      <c r="Z539" s="33" t="n">
        <v>1529581196500</v>
      </c>
      <c r="AA539" s="33" t="n">
        <v>4930199750</v>
      </c>
      <c r="AB539" s="33" t="n">
        <v>15933625255</v>
      </c>
      <c r="AC539" s="38" t="n">
        <v>0.003223235066749854</v>
      </c>
      <c r="AD539" s="27" t="inlineStr">
        <is>
          <t>yfinance_download</t>
        </is>
      </c>
      <c r="AE539" s="27" t="inlineStr">
        <is>
          <t>005290.KQ</t>
        </is>
      </c>
    </row>
    <row r="540" ht="24" customHeight="1">
      <c r="A540" s="32" t="inlineStr">
        <is>
          <t>2025-08-25</t>
        </is>
      </c>
      <c r="B540" s="34" t="n">
        <v>30150</v>
      </c>
      <c r="C540" s="34" t="n">
        <v>30300</v>
      </c>
      <c r="D540" s="34" t="n">
        <v>29850</v>
      </c>
      <c r="E540" s="34" t="n">
        <v>30000</v>
      </c>
      <c r="F540" s="34" t="n">
        <v>29528.177734375</v>
      </c>
      <c r="G540" s="34" t="n">
        <v>157171</v>
      </c>
      <c r="H540" s="39" t="n">
        <v>0.008403361344537785</v>
      </c>
      <c r="I540" s="39" t="n">
        <v>-0.4117647058823529</v>
      </c>
      <c r="J540" s="34" t="n">
        <v>30970</v>
      </c>
      <c r="K540" s="34" t="n">
        <v>30914.16666666667</v>
      </c>
      <c r="L540" s="34" t="n">
        <v>29969.58333333333</v>
      </c>
      <c r="M540" s="39" t="n">
        <v>0.4966890868224312</v>
      </c>
      <c r="N540" s="39" t="n">
        <v>0.4277038944454065</v>
      </c>
      <c r="O540" s="39" t="n">
        <v>0.006711409395973256</v>
      </c>
      <c r="P540" s="39" t="n">
        <v>0.04529616724738683</v>
      </c>
      <c r="Q540" s="39" t="n">
        <v>0.0948905109489051</v>
      </c>
      <c r="R540" s="39" t="n">
        <v>-0.03132063287051989</v>
      </c>
      <c r="S540" s="39" t="n">
        <v>-0.0295711243496779</v>
      </c>
      <c r="T540" s="39" t="n">
        <v>0.00101491790287378</v>
      </c>
      <c r="U540" s="34" t="n">
        <v>33800</v>
      </c>
      <c r="V540" s="34" t="n">
        <v>20400</v>
      </c>
      <c r="W540" s="39" t="n">
        <v>-0.1124260355029586</v>
      </c>
      <c r="X540" s="39" t="n">
        <v>0.4705882352941178</v>
      </c>
      <c r="Y540" s="34" t="n">
        <v>51414494</v>
      </c>
      <c r="Z540" s="34" t="n">
        <v>1542434820000</v>
      </c>
      <c r="AA540" s="34" t="n">
        <v>4715130000</v>
      </c>
      <c r="AB540" s="34" t="n">
        <v>15760308215</v>
      </c>
      <c r="AC540" s="39" t="n">
        <v>0.003056939547046792</v>
      </c>
      <c r="AD540" s="32" t="inlineStr">
        <is>
          <t>yfinance_download</t>
        </is>
      </c>
      <c r="AE540" s="32" t="inlineStr">
        <is>
          <t>005290.KQ</t>
        </is>
      </c>
    </row>
    <row r="541" ht="24" customHeight="1">
      <c r="A541" s="27" t="inlineStr">
        <is>
          <t>2025-08-26</t>
        </is>
      </c>
      <c r="B541" s="33" t="n">
        <v>29800</v>
      </c>
      <c r="C541" s="33" t="n">
        <v>30250</v>
      </c>
      <c r="D541" s="33" t="n">
        <v>29700</v>
      </c>
      <c r="E541" s="33" t="n">
        <v>30000</v>
      </c>
      <c r="F541" s="33" t="n">
        <v>29528.177734375</v>
      </c>
      <c r="G541" s="33" t="n">
        <v>160485</v>
      </c>
      <c r="H541" s="38" t="n">
        <v>0</v>
      </c>
      <c r="I541" s="38" t="n">
        <v>-0.4117647058823529</v>
      </c>
      <c r="J541" s="33" t="n">
        <v>30842.5</v>
      </c>
      <c r="K541" s="33" t="n">
        <v>30934.16666666667</v>
      </c>
      <c r="L541" s="33" t="n">
        <v>30001.25</v>
      </c>
      <c r="M541" s="38" t="n">
        <v>0.3606165600305</v>
      </c>
      <c r="N541" s="38" t="n">
        <v>0.4276801957897078</v>
      </c>
      <c r="O541" s="38" t="n">
        <v>-0.07834101382488479</v>
      </c>
      <c r="P541" s="38" t="n">
        <v>0.04166666666666674</v>
      </c>
      <c r="Q541" s="38" t="n">
        <v>0.1450381679389312</v>
      </c>
      <c r="R541" s="38" t="n">
        <v>-0.02731620329091355</v>
      </c>
      <c r="S541" s="38" t="n">
        <v>-0.03019853991002397</v>
      </c>
      <c r="T541" s="38" t="n">
        <v>-4.166493062784937e-05</v>
      </c>
      <c r="U541" s="33" t="n">
        <v>33800</v>
      </c>
      <c r="V541" s="33" t="n">
        <v>20400</v>
      </c>
      <c r="W541" s="38" t="n">
        <v>-0.1124260355029586</v>
      </c>
      <c r="X541" s="38" t="n">
        <v>0.4705882352941178</v>
      </c>
      <c r="Y541" s="33" t="n">
        <v>51414494</v>
      </c>
      <c r="Z541" s="33" t="n">
        <v>1542434820000</v>
      </c>
      <c r="AA541" s="33" t="n">
        <v>4814550000</v>
      </c>
      <c r="AB541" s="33" t="n">
        <v>12510474620</v>
      </c>
      <c r="AC541" s="38" t="n">
        <v>0.003121396079479067</v>
      </c>
      <c r="AD541" s="27" t="inlineStr">
        <is>
          <t>yfinance_download</t>
        </is>
      </c>
      <c r="AE541" s="27" t="inlineStr">
        <is>
          <t>005290.KQ</t>
        </is>
      </c>
    </row>
    <row r="542" ht="24" customHeight="1">
      <c r="A542" s="32" t="inlineStr">
        <is>
          <t>2025-08-27</t>
        </is>
      </c>
      <c r="B542" s="34" t="n">
        <v>30150</v>
      </c>
      <c r="C542" s="34" t="n">
        <v>30200</v>
      </c>
      <c r="D542" s="34" t="n">
        <v>29750</v>
      </c>
      <c r="E542" s="34" t="n">
        <v>29900</v>
      </c>
      <c r="F542" s="34" t="n">
        <v>29429.75</v>
      </c>
      <c r="G542" s="34" t="n">
        <v>150793</v>
      </c>
      <c r="H542" s="39" t="n">
        <v>-0.003333333333333299</v>
      </c>
      <c r="I542" s="39" t="n">
        <v>-0.4137254901960784</v>
      </c>
      <c r="J542" s="34" t="n">
        <v>30702.5</v>
      </c>
      <c r="K542" s="34" t="n">
        <v>30960.83333333333</v>
      </c>
      <c r="L542" s="34" t="n">
        <v>30033.75</v>
      </c>
      <c r="M542" s="39" t="n">
        <v>0.3592535641557091</v>
      </c>
      <c r="N542" s="39" t="n">
        <v>0.4260666107077836</v>
      </c>
      <c r="O542" s="39" t="n">
        <v>-0.08562691131498468</v>
      </c>
      <c r="P542" s="39" t="n">
        <v>0.05653710247349819</v>
      </c>
      <c r="Q542" s="39" t="n">
        <v>0.1499999999999999</v>
      </c>
      <c r="R542" s="39" t="n">
        <v>-0.02613793665010988</v>
      </c>
      <c r="S542" s="39" t="n">
        <v>-0.03426372029176639</v>
      </c>
      <c r="T542" s="39" t="n">
        <v>-0.004453323344570714</v>
      </c>
      <c r="U542" s="34" t="n">
        <v>33800</v>
      </c>
      <c r="V542" s="34" t="n">
        <v>20400</v>
      </c>
      <c r="W542" s="39" t="n">
        <v>-0.1153846153846154</v>
      </c>
      <c r="X542" s="39" t="n">
        <v>0.4656862745098038</v>
      </c>
      <c r="Y542" s="34" t="n">
        <v>51414494</v>
      </c>
      <c r="Z542" s="34" t="n">
        <v>1537293370600</v>
      </c>
      <c r="AA542" s="34" t="n">
        <v>4508710700</v>
      </c>
      <c r="AB542" s="34" t="n">
        <v>11356787655</v>
      </c>
      <c r="AC542" s="39" t="n">
        <v>0.002932888924278823</v>
      </c>
      <c r="AD542" s="32" t="inlineStr">
        <is>
          <t>yfinance_download</t>
        </is>
      </c>
      <c r="AE542" s="32" t="inlineStr">
        <is>
          <t>005290.KQ</t>
        </is>
      </c>
    </row>
    <row r="543" ht="24" customHeight="1">
      <c r="A543" s="27" t="inlineStr">
        <is>
          <t>2025-08-28</t>
        </is>
      </c>
      <c r="B543" s="33" t="n">
        <v>29700</v>
      </c>
      <c r="C543" s="33" t="n">
        <v>30050</v>
      </c>
      <c r="D543" s="33" t="n">
        <v>29550</v>
      </c>
      <c r="E543" s="33" t="n">
        <v>29750</v>
      </c>
      <c r="F543" s="33" t="n">
        <v>29282.109375</v>
      </c>
      <c r="G543" s="33" t="n">
        <v>206457</v>
      </c>
      <c r="H543" s="38" t="n">
        <v>-0.005016722408026753</v>
      </c>
      <c r="I543" s="38" t="n">
        <v>-0.4166666666666666</v>
      </c>
      <c r="J543" s="33" t="n">
        <v>30577.5</v>
      </c>
      <c r="K543" s="33" t="n">
        <v>30990.83333333333</v>
      </c>
      <c r="L543" s="33" t="n">
        <v>30055</v>
      </c>
      <c r="M543" s="38" t="n">
        <v>0.3575095058395062</v>
      </c>
      <c r="N543" s="38" t="n">
        <v>0.4253276617485387</v>
      </c>
      <c r="O543" s="38" t="n">
        <v>-0.07751937984496127</v>
      </c>
      <c r="P543" s="38" t="n">
        <v>0.06440071556350624</v>
      </c>
      <c r="Q543" s="38" t="n">
        <v>0.09375</v>
      </c>
      <c r="R543" s="38" t="n">
        <v>-0.02706238247077097</v>
      </c>
      <c r="S543" s="38" t="n">
        <v>-0.04003872112721496</v>
      </c>
      <c r="T543" s="38" t="n">
        <v>-0.01014806188654138</v>
      </c>
      <c r="U543" s="33" t="n">
        <v>33800</v>
      </c>
      <c r="V543" s="33" t="n">
        <v>20400</v>
      </c>
      <c r="W543" s="38" t="n">
        <v>-0.1198224852071006</v>
      </c>
      <c r="X543" s="38" t="n">
        <v>0.4583333333333333</v>
      </c>
      <c r="Y543" s="33" t="n">
        <v>51414494</v>
      </c>
      <c r="Z543" s="33" t="n">
        <v>1529581196500</v>
      </c>
      <c r="AA543" s="33" t="n">
        <v>6142095750</v>
      </c>
      <c r="AB543" s="33" t="n">
        <v>10573187767.5</v>
      </c>
      <c r="AC543" s="38" t="n">
        <v>0.004015540831735114</v>
      </c>
      <c r="AD543" s="27" t="inlineStr">
        <is>
          <t>yfinance_download</t>
        </is>
      </c>
      <c r="AE543" s="27" t="inlineStr">
        <is>
          <t>005290.KQ</t>
        </is>
      </c>
    </row>
    <row r="544" ht="24" customHeight="1">
      <c r="A544" s="32" t="inlineStr">
        <is>
          <t>2025-08-29</t>
        </is>
      </c>
      <c r="B544" s="34" t="n">
        <v>30250</v>
      </c>
      <c r="C544" s="34" t="n">
        <v>30850</v>
      </c>
      <c r="D544" s="34" t="n">
        <v>29900</v>
      </c>
      <c r="E544" s="34" t="n">
        <v>29950</v>
      </c>
      <c r="F544" s="34" t="n">
        <v>29478.96484375</v>
      </c>
      <c r="G544" s="34" t="n">
        <v>406973</v>
      </c>
      <c r="H544" s="39" t="n">
        <v>0.006722689075630228</v>
      </c>
      <c r="I544" s="39" t="n">
        <v>-0.4127450980392157</v>
      </c>
      <c r="J544" s="34" t="n">
        <v>30490</v>
      </c>
      <c r="K544" s="34" t="n">
        <v>31020</v>
      </c>
      <c r="L544" s="34" t="n">
        <v>30085.83333333333</v>
      </c>
      <c r="M544" s="39" t="n">
        <v>0.3557597439325647</v>
      </c>
      <c r="N544" s="39" t="n">
        <v>0.4251834171227984</v>
      </c>
      <c r="O544" s="39" t="n">
        <v>-0.05520504731861198</v>
      </c>
      <c r="P544" s="39" t="n">
        <v>0.06205673758865249</v>
      </c>
      <c r="Q544" s="39" t="n">
        <v>0.1409523809523809</v>
      </c>
      <c r="R544" s="39" t="n">
        <v>-0.01771072482781244</v>
      </c>
      <c r="S544" s="39" t="n">
        <v>-0.03449387491940681</v>
      </c>
      <c r="T544" s="39" t="n">
        <v>-0.004514860260920073</v>
      </c>
      <c r="U544" s="34" t="n">
        <v>33800</v>
      </c>
      <c r="V544" s="34" t="n">
        <v>20400</v>
      </c>
      <c r="W544" s="39" t="n">
        <v>-0.113905325443787</v>
      </c>
      <c r="X544" s="39" t="n">
        <v>0.4681372549019607</v>
      </c>
      <c r="Y544" s="34" t="n">
        <v>51414494</v>
      </c>
      <c r="Z544" s="34" t="n">
        <v>1539864095300</v>
      </c>
      <c r="AA544" s="34" t="n">
        <v>12188841350</v>
      </c>
      <c r="AB544" s="34" t="n">
        <v>10314946945</v>
      </c>
      <c r="AC544" s="39" t="n">
        <v>0.007915530589487081</v>
      </c>
      <c r="AD544" s="32" t="inlineStr">
        <is>
          <t>yfinance_download</t>
        </is>
      </c>
      <c r="AE544" s="32" t="inlineStr">
        <is>
          <t>005290.KQ</t>
        </is>
      </c>
    </row>
    <row r="545" ht="24" customHeight="1">
      <c r="A545" s="27" t="inlineStr">
        <is>
          <t>2025-09-01</t>
        </is>
      </c>
      <c r="B545" s="33" t="n">
        <v>29250</v>
      </c>
      <c r="C545" s="33" t="n">
        <v>29300</v>
      </c>
      <c r="D545" s="33" t="n">
        <v>28000</v>
      </c>
      <c r="E545" s="33" t="n">
        <v>28000</v>
      </c>
      <c r="F545" s="33" t="n">
        <v>27559.6328125</v>
      </c>
      <c r="G545" s="33" t="n">
        <v>736272</v>
      </c>
      <c r="H545" s="38" t="n">
        <v>-0.06510851419031716</v>
      </c>
      <c r="I545" s="38" t="n">
        <v>-0.4509803921568627</v>
      </c>
      <c r="J545" s="33" t="n">
        <v>30407.5</v>
      </c>
      <c r="K545" s="33" t="n">
        <v>30991.66666666667</v>
      </c>
      <c r="L545" s="33" t="n">
        <v>30087.08333333333</v>
      </c>
      <c r="M545" s="38" t="n">
        <v>0.3567793973508052</v>
      </c>
      <c r="N545" s="38" t="n">
        <v>0.4326335102217074</v>
      </c>
      <c r="O545" s="38" t="n">
        <v>-0.05564924114671166</v>
      </c>
      <c r="P545" s="38" t="n">
        <v>-0.0572390572390572</v>
      </c>
      <c r="Q545" s="38" t="n">
        <v>0.00538599640933568</v>
      </c>
      <c r="R545" s="38" t="n">
        <v>-0.07917454575351479</v>
      </c>
      <c r="S545" s="38" t="n">
        <v>-0.09653132562516809</v>
      </c>
      <c r="T545" s="38" t="n">
        <v>-0.06936808431081998</v>
      </c>
      <c r="U545" s="33" t="n">
        <v>33800</v>
      </c>
      <c r="V545" s="33" t="n">
        <v>20400</v>
      </c>
      <c r="W545" s="38" t="n">
        <v>-0.1715976331360947</v>
      </c>
      <c r="X545" s="38" t="n">
        <v>0.3725490196078431</v>
      </c>
      <c r="Y545" s="33" t="n">
        <v>51414494</v>
      </c>
      <c r="Z545" s="33" t="n">
        <v>1439605832000</v>
      </c>
      <c r="AA545" s="33" t="n">
        <v>20615616000</v>
      </c>
      <c r="AB545" s="33" t="n">
        <v>10398834240</v>
      </c>
      <c r="AC545" s="38" t="n">
        <v>0.0143203198693349</v>
      </c>
      <c r="AD545" s="27" t="inlineStr">
        <is>
          <t>yfinance_download</t>
        </is>
      </c>
      <c r="AE545" s="27" t="inlineStr">
        <is>
          <t>005290.KQ</t>
        </is>
      </c>
    </row>
    <row r="546" ht="24" customHeight="1">
      <c r="A546" s="32" t="inlineStr">
        <is>
          <t>2025-09-02</t>
        </is>
      </c>
      <c r="B546" s="34" t="n">
        <v>28150</v>
      </c>
      <c r="C546" s="34" t="n">
        <v>28450</v>
      </c>
      <c r="D546" s="34" t="n">
        <v>27950</v>
      </c>
      <c r="E546" s="34" t="n">
        <v>28200</v>
      </c>
      <c r="F546" s="34" t="n">
        <v>27756.486328125</v>
      </c>
      <c r="G546" s="34" t="n">
        <v>232820</v>
      </c>
      <c r="H546" s="39" t="n">
        <v>0.007142857142857117</v>
      </c>
      <c r="I546" s="39" t="n">
        <v>-0.4470588235294117</v>
      </c>
      <c r="J546" s="34" t="n">
        <v>30337.5</v>
      </c>
      <c r="K546" s="34" t="n">
        <v>30961.66666666667</v>
      </c>
      <c r="L546" s="34" t="n">
        <v>30090.83333333333</v>
      </c>
      <c r="M546" s="39" t="n">
        <v>0.3584566406082847</v>
      </c>
      <c r="N546" s="39" t="n">
        <v>0.4323627904232326</v>
      </c>
      <c r="O546" s="39" t="n">
        <v>-0.04729729729729726</v>
      </c>
      <c r="P546" s="39" t="n">
        <v>-0.06000000000000005</v>
      </c>
      <c r="Q546" s="39" t="n">
        <v>0.01621621621621627</v>
      </c>
      <c r="R546" s="39" t="n">
        <v>-0.07045735475896164</v>
      </c>
      <c r="S546" s="39" t="n">
        <v>-0.0891963180276687</v>
      </c>
      <c r="T546" s="39" t="n">
        <v>-0.06283751973192275</v>
      </c>
      <c r="U546" s="34" t="n">
        <v>33800</v>
      </c>
      <c r="V546" s="34" t="n">
        <v>20400</v>
      </c>
      <c r="W546" s="39" t="n">
        <v>-0.165680473372781</v>
      </c>
      <c r="X546" s="39" t="n">
        <v>0.3823529411764706</v>
      </c>
      <c r="Y546" s="34" t="n">
        <v>51414494</v>
      </c>
      <c r="Z546" s="34" t="n">
        <v>1449888730800</v>
      </c>
      <c r="AA546" s="34" t="n">
        <v>6565524000</v>
      </c>
      <c r="AB546" s="34" t="n">
        <v>10242218040</v>
      </c>
      <c r="AC546" s="39" t="n">
        <v>0.00452829507570375</v>
      </c>
      <c r="AD546" s="32" t="inlineStr">
        <is>
          <t>yfinance_download</t>
        </is>
      </c>
      <c r="AE546" s="32" t="inlineStr">
        <is>
          <t>005290.KQ</t>
        </is>
      </c>
    </row>
    <row r="547" ht="24" customHeight="1">
      <c r="A547" s="27" t="inlineStr">
        <is>
          <t>2025-09-03</t>
        </is>
      </c>
      <c r="B547" s="33" t="n">
        <v>28300</v>
      </c>
      <c r="C547" s="33" t="n">
        <v>28500</v>
      </c>
      <c r="D547" s="33" t="n">
        <v>28150</v>
      </c>
      <c r="E547" s="33" t="n">
        <v>28400</v>
      </c>
      <c r="F547" s="33" t="n">
        <v>27953.341796875</v>
      </c>
      <c r="G547" s="33" t="n">
        <v>165575</v>
      </c>
      <c r="H547" s="38" t="n">
        <v>0.007092198581560183</v>
      </c>
      <c r="I547" s="38" t="n">
        <v>-0.4431372549019608</v>
      </c>
      <c r="J547" s="33" t="n">
        <v>30267.5</v>
      </c>
      <c r="K547" s="33" t="n">
        <v>30934.16666666667</v>
      </c>
      <c r="L547" s="33" t="n">
        <v>30093.33333333333</v>
      </c>
      <c r="M547" s="38" t="n">
        <v>0.3585694342389676</v>
      </c>
      <c r="N547" s="38" t="n">
        <v>0.4326308999784457</v>
      </c>
      <c r="O547" s="38" t="n">
        <v>-0.04697986577181212</v>
      </c>
      <c r="P547" s="38" t="n">
        <v>-0.05490848585690511</v>
      </c>
      <c r="Q547" s="38" t="n">
        <v>0.01067615658362997</v>
      </c>
      <c r="R547" s="38" t="n">
        <v>-0.06169984306599485</v>
      </c>
      <c r="S547" s="38" t="n">
        <v>-0.08192128444815605</v>
      </c>
      <c r="T547" s="38" t="n">
        <v>-0.05626938413823657</v>
      </c>
      <c r="U547" s="33" t="n">
        <v>33800</v>
      </c>
      <c r="V547" s="33" t="n">
        <v>20400</v>
      </c>
      <c r="W547" s="38" t="n">
        <v>-0.1597633136094675</v>
      </c>
      <c r="X547" s="38" t="n">
        <v>0.392156862745098</v>
      </c>
      <c r="Y547" s="33" t="n">
        <v>51414494</v>
      </c>
      <c r="Z547" s="33" t="n">
        <v>1460171629600</v>
      </c>
      <c r="AA547" s="33" t="n">
        <v>4702330000</v>
      </c>
      <c r="AB547" s="33" t="n">
        <v>10088341730</v>
      </c>
      <c r="AC547" s="38" t="n">
        <v>0.003220395400565451</v>
      </c>
      <c r="AD547" s="27" t="inlineStr">
        <is>
          <t>yfinance_download</t>
        </is>
      </c>
      <c r="AE547" s="27" t="inlineStr">
        <is>
          <t>005290.KQ</t>
        </is>
      </c>
    </row>
    <row r="548" ht="24" customHeight="1">
      <c r="A548" s="32" t="inlineStr">
        <is>
          <t>2025-09-04</t>
        </is>
      </c>
      <c r="B548" s="34" t="n">
        <v>28500</v>
      </c>
      <c r="C548" s="34" t="n">
        <v>29150</v>
      </c>
      <c r="D548" s="34" t="n">
        <v>28450</v>
      </c>
      <c r="E548" s="34" t="n">
        <v>28850</v>
      </c>
      <c r="F548" s="34" t="n">
        <v>28396.263671875</v>
      </c>
      <c r="G548" s="34" t="n">
        <v>224760</v>
      </c>
      <c r="H548" s="39" t="n">
        <v>0.01584507042253525</v>
      </c>
      <c r="I548" s="39" t="n">
        <v>-0.4343137254901961</v>
      </c>
      <c r="J548" s="34" t="n">
        <v>30240</v>
      </c>
      <c r="K548" s="34" t="n">
        <v>30901.66666666667</v>
      </c>
      <c r="L548" s="34" t="n">
        <v>30090</v>
      </c>
      <c r="M548" s="39" t="n">
        <v>0.3614116232836024</v>
      </c>
      <c r="N548" s="39" t="n">
        <v>0.4307321997311747</v>
      </c>
      <c r="O548" s="39" t="n">
        <v>-0.01870748299319724</v>
      </c>
      <c r="P548" s="39" t="n">
        <v>-0.06331168831168832</v>
      </c>
      <c r="Q548" s="39" t="n">
        <v>-0.01367521367521363</v>
      </c>
      <c r="R548" s="39" t="n">
        <v>-0.04596560846560849</v>
      </c>
      <c r="S548" s="39" t="n">
        <v>-0.06639339841432501</v>
      </c>
      <c r="T548" s="39" t="n">
        <v>-0.04120970422067127</v>
      </c>
      <c r="U548" s="34" t="n">
        <v>33750</v>
      </c>
      <c r="V548" s="34" t="n">
        <v>20400</v>
      </c>
      <c r="W548" s="39" t="n">
        <v>-0.1451851851851852</v>
      </c>
      <c r="X548" s="39" t="n">
        <v>0.4142156862745099</v>
      </c>
      <c r="Y548" s="34" t="n">
        <v>51414494</v>
      </c>
      <c r="Z548" s="34" t="n">
        <v>1483308151900</v>
      </c>
      <c r="AA548" s="34" t="n">
        <v>6484326000</v>
      </c>
      <c r="AB548" s="34" t="n">
        <v>9753048410</v>
      </c>
      <c r="AC548" s="39" t="n">
        <v>0.004371529942509986</v>
      </c>
      <c r="AD548" s="32" t="inlineStr">
        <is>
          <t>yfinance_download</t>
        </is>
      </c>
      <c r="AE548" s="32" t="inlineStr">
        <is>
          <t>005290.KQ</t>
        </is>
      </c>
    </row>
    <row r="549" ht="24" customHeight="1">
      <c r="A549" s="27" t="inlineStr">
        <is>
          <t>2025-09-05</t>
        </is>
      </c>
      <c r="B549" s="33" t="n">
        <v>29350</v>
      </c>
      <c r="C549" s="33" t="n">
        <v>29350</v>
      </c>
      <c r="D549" s="33" t="n">
        <v>28550</v>
      </c>
      <c r="E549" s="33" t="n">
        <v>28750</v>
      </c>
      <c r="F549" s="33" t="n">
        <v>28297.837890625</v>
      </c>
      <c r="G549" s="33" t="n">
        <v>226827</v>
      </c>
      <c r="H549" s="38" t="n">
        <v>-0.003466204506065829</v>
      </c>
      <c r="I549" s="38" t="n">
        <v>-0.4362745098039216</v>
      </c>
      <c r="J549" s="33" t="n">
        <v>30157.5</v>
      </c>
      <c r="K549" s="33" t="n">
        <v>30868.33333333333</v>
      </c>
      <c r="L549" s="33" t="n">
        <v>30092.08333333333</v>
      </c>
      <c r="M549" s="38" t="n">
        <v>0.3373614520395584</v>
      </c>
      <c r="N549" s="38" t="n">
        <v>0.4307650607454313</v>
      </c>
      <c r="O549" s="38" t="n">
        <v>-0.05427631578947367</v>
      </c>
      <c r="P549" s="38" t="n">
        <v>-0.06504065040650409</v>
      </c>
      <c r="Q549" s="38" t="n">
        <v>0.008771929824561431</v>
      </c>
      <c r="R549" s="38" t="n">
        <v>-0.04667164055375939</v>
      </c>
      <c r="S549" s="38" t="n">
        <v>-0.06862480427622697</v>
      </c>
      <c r="T549" s="38" t="n">
        <v>-0.04459921629442953</v>
      </c>
      <c r="U549" s="33" t="n">
        <v>33750</v>
      </c>
      <c r="V549" s="33" t="n">
        <v>20400</v>
      </c>
      <c r="W549" s="38" t="n">
        <v>-0.1481481481481481</v>
      </c>
      <c r="X549" s="38" t="n">
        <v>0.4093137254901962</v>
      </c>
      <c r="Y549" s="33" t="n">
        <v>51414494</v>
      </c>
      <c r="Z549" s="33" t="n">
        <v>1478166702500</v>
      </c>
      <c r="AA549" s="33" t="n">
        <v>6521276250</v>
      </c>
      <c r="AB549" s="33" t="n">
        <v>8834566622.5</v>
      </c>
      <c r="AC549" s="38" t="n">
        <v>0.004411732613764516</v>
      </c>
      <c r="AD549" s="27" t="inlineStr">
        <is>
          <t>yfinance_download</t>
        </is>
      </c>
      <c r="AE549" s="27" t="inlineStr">
        <is>
          <t>005290.KQ</t>
        </is>
      </c>
    </row>
    <row r="550" ht="24" customHeight="1">
      <c r="A550" s="32" t="inlineStr">
        <is>
          <t>2025-09-08</t>
        </is>
      </c>
      <c r="B550" s="34" t="n">
        <v>28950</v>
      </c>
      <c r="C550" s="34" t="n">
        <v>29300</v>
      </c>
      <c r="D550" s="34" t="n">
        <v>28800</v>
      </c>
      <c r="E550" s="34" t="n">
        <v>29250</v>
      </c>
      <c r="F550" s="34" t="n">
        <v>28789.97265625</v>
      </c>
      <c r="G550" s="34" t="n">
        <v>175929</v>
      </c>
      <c r="H550" s="39" t="n">
        <v>0.01739130434782599</v>
      </c>
      <c r="I550" s="39" t="n">
        <v>-0.4264705882352942</v>
      </c>
      <c r="J550" s="34" t="n">
        <v>30060</v>
      </c>
      <c r="K550" s="34" t="n">
        <v>30859.16666666667</v>
      </c>
      <c r="L550" s="34" t="n">
        <v>30080</v>
      </c>
      <c r="M550" s="39" t="n">
        <v>0.3286012505917212</v>
      </c>
      <c r="N550" s="39" t="n">
        <v>0.4276937865785821</v>
      </c>
      <c r="O550" s="39" t="n">
        <v>-0.0625</v>
      </c>
      <c r="P550" s="39" t="n">
        <v>-0.01845637583892612</v>
      </c>
      <c r="Q550" s="39" t="n">
        <v>-0.04723127035830621</v>
      </c>
      <c r="R550" s="39" t="n">
        <v>-0.02694610778443118</v>
      </c>
      <c r="S550" s="39" t="n">
        <v>-0.05214549971645377</v>
      </c>
      <c r="T550" s="39" t="n">
        <v>-0.02759308510638303</v>
      </c>
      <c r="U550" s="34" t="n">
        <v>33750</v>
      </c>
      <c r="V550" s="34" t="n">
        <v>20400</v>
      </c>
      <c r="W550" s="39" t="n">
        <v>-0.1333333333333333</v>
      </c>
      <c r="X550" s="39" t="n">
        <v>0.4338235294117647</v>
      </c>
      <c r="Y550" s="34" t="n">
        <v>51414494</v>
      </c>
      <c r="Z550" s="34" t="n">
        <v>1503873949500</v>
      </c>
      <c r="AA550" s="34" t="n">
        <v>5145923250</v>
      </c>
      <c r="AB550" s="34" t="n">
        <v>8288701465</v>
      </c>
      <c r="AC550" s="39" t="n">
        <v>0.003421778302437441</v>
      </c>
      <c r="AD550" s="32" t="inlineStr">
        <is>
          <t>yfinance_download</t>
        </is>
      </c>
      <c r="AE550" s="32" t="inlineStr">
        <is>
          <t>005290.KQ</t>
        </is>
      </c>
    </row>
    <row r="551" ht="24" customHeight="1">
      <c r="A551" s="27" t="inlineStr">
        <is>
          <t>2025-09-09</t>
        </is>
      </c>
      <c r="B551" s="33" t="n">
        <v>29450</v>
      </c>
      <c r="C551" s="33" t="n">
        <v>31750</v>
      </c>
      <c r="D551" s="33" t="n">
        <v>29300</v>
      </c>
      <c r="E551" s="33" t="n">
        <v>31700</v>
      </c>
      <c r="F551" s="33" t="n">
        <v>31201.44140625</v>
      </c>
      <c r="G551" s="33" t="n">
        <v>1029752</v>
      </c>
      <c r="H551" s="38" t="n">
        <v>0.08376068376068369</v>
      </c>
      <c r="I551" s="38" t="n">
        <v>-0.3784313725490196</v>
      </c>
      <c r="J551" s="33" t="n">
        <v>30060</v>
      </c>
      <c r="K551" s="33" t="n">
        <v>30890</v>
      </c>
      <c r="L551" s="33" t="n">
        <v>30081.66666666667</v>
      </c>
      <c r="M551" s="38" t="n">
        <v>0.4472093431930237</v>
      </c>
      <c r="N551" s="38" t="n">
        <v>0.460832096625864</v>
      </c>
      <c r="O551" s="38" t="n">
        <v>0</v>
      </c>
      <c r="P551" s="38" t="n">
        <v>0.06197654941373543</v>
      </c>
      <c r="Q551" s="38" t="n">
        <v>0.006349206349206327</v>
      </c>
      <c r="R551" s="38" t="n">
        <v>0.0545575515635397</v>
      </c>
      <c r="S551" s="38" t="n">
        <v>0.02622207834250556</v>
      </c>
      <c r="T551" s="38" t="n">
        <v>0.05379799434871724</v>
      </c>
      <c r="U551" s="33" t="n">
        <v>33750</v>
      </c>
      <c r="V551" s="33" t="n">
        <v>20400</v>
      </c>
      <c r="W551" s="38" t="n">
        <v>-0.06074074074074076</v>
      </c>
      <c r="X551" s="38" t="n">
        <v>0.553921568627451</v>
      </c>
      <c r="Y551" s="33" t="n">
        <v>51414494</v>
      </c>
      <c r="Z551" s="33" t="n">
        <v>1629839459800</v>
      </c>
      <c r="AA551" s="33" t="n">
        <v>32643138400</v>
      </c>
      <c r="AB551" s="33" t="n">
        <v>9484043480</v>
      </c>
      <c r="AC551" s="38" t="n">
        <v>0.02002843789535301</v>
      </c>
      <c r="AD551" s="27" t="inlineStr">
        <is>
          <t>yfinance_download</t>
        </is>
      </c>
      <c r="AE551" s="27" t="inlineStr">
        <is>
          <t>005290.KQ</t>
        </is>
      </c>
    </row>
    <row r="552" ht="24" customHeight="1">
      <c r="A552" s="32" t="inlineStr">
        <is>
          <t>2025-09-10</t>
        </is>
      </c>
      <c r="B552" s="34" t="n">
        <v>32050</v>
      </c>
      <c r="C552" s="34" t="n">
        <v>33200</v>
      </c>
      <c r="D552" s="34" t="n">
        <v>31800</v>
      </c>
      <c r="E552" s="34" t="n">
        <v>33150</v>
      </c>
      <c r="F552" s="34" t="n">
        <v>32628.63671875</v>
      </c>
      <c r="G552" s="34" t="n">
        <v>992372</v>
      </c>
      <c r="H552" s="39" t="n">
        <v>0.04574132492113558</v>
      </c>
      <c r="I552" s="39" t="n">
        <v>-0.35</v>
      </c>
      <c r="J552" s="34" t="n">
        <v>30132.5</v>
      </c>
      <c r="K552" s="34" t="n">
        <v>30927.5</v>
      </c>
      <c r="L552" s="34" t="n">
        <v>30102.5</v>
      </c>
      <c r="M552" s="39" t="n">
        <v>0.4752951448303054</v>
      </c>
      <c r="N552" s="39" t="n">
        <v>0.4646315489190783</v>
      </c>
      <c r="O552" s="39" t="n">
        <v>0.04574132492113558</v>
      </c>
      <c r="P552" s="39" t="n">
        <v>0.07281553398058249</v>
      </c>
      <c r="Q552" s="39" t="n">
        <v>0.08156606851549753</v>
      </c>
      <c r="R552" s="39" t="n">
        <v>0.1001410437235544</v>
      </c>
      <c r="S552" s="39" t="n">
        <v>0.0718616118341282</v>
      </c>
      <c r="T552" s="39" t="n">
        <v>0.1012374387509343</v>
      </c>
      <c r="U552" s="34" t="n">
        <v>33750</v>
      </c>
      <c r="V552" s="34" t="n">
        <v>20400</v>
      </c>
      <c r="W552" s="39" t="n">
        <v>-0.01777777777777778</v>
      </c>
      <c r="X552" s="39" t="n">
        <v>0.625</v>
      </c>
      <c r="Y552" s="34" t="n">
        <v>51414494</v>
      </c>
      <c r="Z552" s="34" t="n">
        <v>1704390476100</v>
      </c>
      <c r="AA552" s="34" t="n">
        <v>32897131800</v>
      </c>
      <c r="AB552" s="34" t="n">
        <v>10327457500</v>
      </c>
      <c r="AC552" s="39" t="n">
        <v>0.01930140555307225</v>
      </c>
      <c r="AD552" s="32" t="inlineStr">
        <is>
          <t>yfinance_download</t>
        </is>
      </c>
      <c r="AE552" s="32" t="inlineStr">
        <is>
          <t>005290.KQ</t>
        </is>
      </c>
    </row>
    <row r="553" ht="24" customHeight="1">
      <c r="A553" s="27" t="inlineStr">
        <is>
          <t>2025-09-11</t>
        </is>
      </c>
      <c r="B553" s="33" t="n">
        <v>33550</v>
      </c>
      <c r="C553" s="33" t="n">
        <v>33600</v>
      </c>
      <c r="D553" s="33" t="n">
        <v>32900</v>
      </c>
      <c r="E553" s="33" t="n">
        <v>33600</v>
      </c>
      <c r="F553" s="33" t="n">
        <v>33071.55859375</v>
      </c>
      <c r="G553" s="33" t="n">
        <v>691531</v>
      </c>
      <c r="H553" s="38" t="n">
        <v>0.01357466063348411</v>
      </c>
      <c r="I553" s="38" t="n">
        <v>-0.3411764705882353</v>
      </c>
      <c r="J553" s="33" t="n">
        <v>30187.5</v>
      </c>
      <c r="K553" s="33" t="n">
        <v>30964.16666666667</v>
      </c>
      <c r="L553" s="33" t="n">
        <v>30112.91666666667</v>
      </c>
      <c r="M553" s="38" t="n">
        <v>0.4697182809396704</v>
      </c>
      <c r="N553" s="38" t="n">
        <v>0.4643124536479252</v>
      </c>
      <c r="O553" s="38" t="n">
        <v>0.03384615384615386</v>
      </c>
      <c r="P553" s="38" t="n">
        <v>0.07006369426751591</v>
      </c>
      <c r="Q553" s="38" t="n">
        <v>0.03863987635239563</v>
      </c>
      <c r="R553" s="38" t="n">
        <v>0.1130434782608696</v>
      </c>
      <c r="S553" s="38" t="n">
        <v>0.08512527922060431</v>
      </c>
      <c r="T553" s="38" t="n">
        <v>0.1158002518299179</v>
      </c>
      <c r="U553" s="33" t="n">
        <v>33750</v>
      </c>
      <c r="V553" s="33" t="n">
        <v>20400</v>
      </c>
      <c r="W553" s="38" t="n">
        <v>-0.004444444444444473</v>
      </c>
      <c r="X553" s="38" t="n">
        <v>0.6470588235294117</v>
      </c>
      <c r="Y553" s="33" t="n">
        <v>51414494</v>
      </c>
      <c r="Z553" s="33" t="n">
        <v>1727526998400</v>
      </c>
      <c r="AA553" s="33" t="n">
        <v>23235441600</v>
      </c>
      <c r="AB553" s="33" t="n">
        <v>10804547205</v>
      </c>
      <c r="AC553" s="38" t="n">
        <v>0.01345011778196242</v>
      </c>
      <c r="AD553" s="27" t="inlineStr">
        <is>
          <t>yfinance_download</t>
        </is>
      </c>
      <c r="AE553" s="27" t="inlineStr">
        <is>
          <t>005290.KQ</t>
        </is>
      </c>
    </row>
    <row r="554" ht="24" customHeight="1">
      <c r="A554" s="32" t="inlineStr">
        <is>
          <t>2025-09-12</t>
        </is>
      </c>
      <c r="B554" s="34" t="n">
        <v>34250</v>
      </c>
      <c r="C554" s="34" t="n">
        <v>36900</v>
      </c>
      <c r="D554" s="34" t="n">
        <v>34000</v>
      </c>
      <c r="E554" s="34" t="n">
        <v>36200</v>
      </c>
      <c r="F554" s="34" t="n">
        <v>35630.66796875</v>
      </c>
      <c r="G554" s="34" t="n">
        <v>2234862</v>
      </c>
      <c r="H554" s="39" t="n">
        <v>0.07738095238095233</v>
      </c>
      <c r="I554" s="39" t="n">
        <v>-0.2901960784313725</v>
      </c>
      <c r="J554" s="34" t="n">
        <v>30375</v>
      </c>
      <c r="K554" s="34" t="n">
        <v>31052.5</v>
      </c>
      <c r="L554" s="34" t="n">
        <v>30147.08333333333</v>
      </c>
      <c r="M554" s="39" t="n">
        <v>0.5399458884868648</v>
      </c>
      <c r="N554" s="39" t="n">
        <v>0.4880860903742548</v>
      </c>
      <c r="O554" s="39" t="n">
        <v>0.115562403697997</v>
      </c>
      <c r="P554" s="39" t="n">
        <v>0.1715210355987056</v>
      </c>
      <c r="Q554" s="39" t="n">
        <v>0.1277258566978192</v>
      </c>
      <c r="R554" s="39" t="n">
        <v>0.1917695473251029</v>
      </c>
      <c r="S554" s="39" t="n">
        <v>0.1657676515578457</v>
      </c>
      <c r="T554" s="39" t="n">
        <v>0.2007795115613729</v>
      </c>
      <c r="U554" s="34" t="n">
        <v>36200</v>
      </c>
      <c r="V554" s="34" t="n">
        <v>20400</v>
      </c>
      <c r="W554" s="39" t="n">
        <v>0</v>
      </c>
      <c r="X554" s="39" t="n">
        <v>0.7745098039215685</v>
      </c>
      <c r="Y554" s="34" t="n">
        <v>51414494</v>
      </c>
      <c r="Z554" s="34" t="n">
        <v>1861204682800</v>
      </c>
      <c r="AA554" s="34" t="n">
        <v>80902004400</v>
      </c>
      <c r="AB554" s="34" t="n">
        <v>14333604810</v>
      </c>
      <c r="AC554" s="39" t="n">
        <v>0.04346754827539488</v>
      </c>
      <c r="AD554" s="32" t="inlineStr">
        <is>
          <t>yfinance_download</t>
        </is>
      </c>
      <c r="AE554" s="32" t="inlineStr">
        <is>
          <t>005290.KQ</t>
        </is>
      </c>
    </row>
    <row r="555" ht="24" customHeight="1">
      <c r="A555" s="27" t="inlineStr">
        <is>
          <t>2025-09-15</t>
        </is>
      </c>
      <c r="B555" s="33" t="n">
        <v>37250</v>
      </c>
      <c r="C555" s="33" t="n">
        <v>37650</v>
      </c>
      <c r="D555" s="33" t="n">
        <v>36100</v>
      </c>
      <c r="E555" s="33" t="n">
        <v>37200</v>
      </c>
      <c r="F555" s="33" t="n">
        <v>36614.94140625</v>
      </c>
      <c r="G555" s="33" t="n">
        <v>1128761</v>
      </c>
      <c r="H555" s="38" t="n">
        <v>0.02762430939226523</v>
      </c>
      <c r="I555" s="38" t="n">
        <v>-0.2705882352941177</v>
      </c>
      <c r="J555" s="33" t="n">
        <v>30677.5</v>
      </c>
      <c r="K555" s="33" t="n">
        <v>31156.66666666667</v>
      </c>
      <c r="L555" s="33" t="n">
        <v>30192.08333333333</v>
      </c>
      <c r="M555" s="38" t="n">
        <v>0.5162586644204504</v>
      </c>
      <c r="N555" s="38" t="n">
        <v>0.4906522811981588</v>
      </c>
      <c r="O555" s="38" t="n">
        <v>0.1942215088282504</v>
      </c>
      <c r="P555" s="38" t="n">
        <v>0.2019386106623586</v>
      </c>
      <c r="Q555" s="38" t="n">
        <v>0.1698113207547169</v>
      </c>
      <c r="R555" s="38" t="n">
        <v>0.2126151087930894</v>
      </c>
      <c r="S555" s="38" t="n">
        <v>0.1939659783887877</v>
      </c>
      <c r="T555" s="38" t="n">
        <v>0.2321110666427457</v>
      </c>
      <c r="U555" s="33" t="n">
        <v>37200</v>
      </c>
      <c r="V555" s="33" t="n">
        <v>20400</v>
      </c>
      <c r="W555" s="38" t="n">
        <v>0</v>
      </c>
      <c r="X555" s="38" t="n">
        <v>0.8235294117647058</v>
      </c>
      <c r="Y555" s="33" t="n">
        <v>51414494</v>
      </c>
      <c r="Z555" s="33" t="n">
        <v>1912619176800</v>
      </c>
      <c r="AA555" s="33" t="n">
        <v>41989909200</v>
      </c>
      <c r="AB555" s="33" t="n">
        <v>16056546610</v>
      </c>
      <c r="AC555" s="38" t="n">
        <v>0.02195414001351448</v>
      </c>
      <c r="AD555" s="27" t="inlineStr">
        <is>
          <t>yfinance_download</t>
        </is>
      </c>
      <c r="AE555" s="27" t="inlineStr">
        <is>
          <t>005290.KQ</t>
        </is>
      </c>
    </row>
    <row r="556" ht="24" customHeight="1">
      <c r="A556" s="32" t="inlineStr">
        <is>
          <t>2025-09-16</t>
        </is>
      </c>
      <c r="B556" s="34" t="n">
        <v>37300</v>
      </c>
      <c r="C556" s="34" t="n">
        <v>37750</v>
      </c>
      <c r="D556" s="34" t="n">
        <v>36800</v>
      </c>
      <c r="E556" s="34" t="n">
        <v>37650</v>
      </c>
      <c r="F556" s="34" t="n">
        <v>37057.86328125</v>
      </c>
      <c r="G556" s="34" t="n">
        <v>581157</v>
      </c>
      <c r="H556" s="39" t="n">
        <v>0.01209677419354849</v>
      </c>
      <c r="I556" s="39" t="n">
        <v>-0.2617647058823529</v>
      </c>
      <c r="J556" s="34" t="n">
        <v>31015</v>
      </c>
      <c r="K556" s="34" t="n">
        <v>31287.5</v>
      </c>
      <c r="L556" s="34" t="n">
        <v>30242.08333333333</v>
      </c>
      <c r="M556" s="39" t="n">
        <v>0.5121712059804994</v>
      </c>
      <c r="N556" s="39" t="n">
        <v>0.4835379676694595</v>
      </c>
      <c r="O556" s="39" t="n">
        <v>0.2184466019417475</v>
      </c>
      <c r="P556" s="39" t="n">
        <v>0.2634228187919463</v>
      </c>
      <c r="Q556" s="39" t="n">
        <v>0.1895734597156398</v>
      </c>
      <c r="R556" s="39" t="n">
        <v>0.2139287441560536</v>
      </c>
      <c r="S556" s="39" t="n">
        <v>0.2033559728326009</v>
      </c>
      <c r="T556" s="39" t="n">
        <v>0.2449539135586449</v>
      </c>
      <c r="U556" s="34" t="n">
        <v>37650</v>
      </c>
      <c r="V556" s="34" t="n">
        <v>20400</v>
      </c>
      <c r="W556" s="39" t="n">
        <v>0</v>
      </c>
      <c r="X556" s="39" t="n">
        <v>0.8455882352941178</v>
      </c>
      <c r="Y556" s="34" t="n">
        <v>51414494</v>
      </c>
      <c r="Z556" s="34" t="n">
        <v>1935755699100</v>
      </c>
      <c r="AA556" s="34" t="n">
        <v>21880561050</v>
      </c>
      <c r="AB556" s="34" t="n">
        <v>16822288427.5</v>
      </c>
      <c r="AC556" s="39" t="n">
        <v>0.01130336904609039</v>
      </c>
      <c r="AD556" s="32" t="inlineStr">
        <is>
          <t>yfinance_download</t>
        </is>
      </c>
      <c r="AE556" s="32" t="inlineStr">
        <is>
          <t>005290.KQ</t>
        </is>
      </c>
    </row>
    <row r="557" ht="24" customHeight="1">
      <c r="A557" s="27" t="inlineStr">
        <is>
          <t>2025-09-17</t>
        </is>
      </c>
      <c r="B557" s="33" t="n">
        <v>36550</v>
      </c>
      <c r="C557" s="33" t="n">
        <v>37450</v>
      </c>
      <c r="D557" s="33" t="n">
        <v>36400</v>
      </c>
      <c r="E557" s="33" t="n">
        <v>37300</v>
      </c>
      <c r="F557" s="33" t="n">
        <v>36713.3671875</v>
      </c>
      <c r="G557" s="33" t="n">
        <v>451509</v>
      </c>
      <c r="H557" s="38" t="n">
        <v>-0.009296148738379806</v>
      </c>
      <c r="I557" s="38" t="n">
        <v>-0.2686274509803922</v>
      </c>
      <c r="J557" s="33" t="n">
        <v>31372.5</v>
      </c>
      <c r="K557" s="33" t="n">
        <v>31374.16666666667</v>
      </c>
      <c r="L557" s="33" t="n">
        <v>30292.91666666667</v>
      </c>
      <c r="M557" s="38" t="n">
        <v>0.5013643652963451</v>
      </c>
      <c r="N557" s="38" t="n">
        <v>0.4598023659583257</v>
      </c>
      <c r="O557" s="38" t="n">
        <v>0.2371475953565505</v>
      </c>
      <c r="P557" s="38" t="n">
        <v>0.161993769470405</v>
      </c>
      <c r="Q557" s="38" t="n">
        <v>0.1955128205128205</v>
      </c>
      <c r="R557" s="38" t="n">
        <v>0.1889393577177465</v>
      </c>
      <c r="S557" s="38" t="n">
        <v>0.1888761985710112</v>
      </c>
      <c r="T557" s="38" t="n">
        <v>0.2313109500295722</v>
      </c>
      <c r="U557" s="33" t="n">
        <v>37650</v>
      </c>
      <c r="V557" s="33" t="n">
        <v>20400</v>
      </c>
      <c r="W557" s="38" t="n">
        <v>-0.009296148738379806</v>
      </c>
      <c r="X557" s="38" t="n">
        <v>0.8284313725490196</v>
      </c>
      <c r="Y557" s="33" t="n">
        <v>51414494</v>
      </c>
      <c r="Z557" s="33" t="n">
        <v>1917760626200</v>
      </c>
      <c r="AA557" s="33" t="n">
        <v>16841285700</v>
      </c>
      <c r="AB557" s="33" t="n">
        <v>17259885940</v>
      </c>
      <c r="AC557" s="38" t="n">
        <v>0.008781745474340368</v>
      </c>
      <c r="AD557" s="27" t="inlineStr">
        <is>
          <t>yfinance_download</t>
        </is>
      </c>
      <c r="AE557" s="27" t="inlineStr">
        <is>
          <t>005290.KQ</t>
        </is>
      </c>
    </row>
    <row r="558" ht="24" customHeight="1">
      <c r="A558" s="32" t="inlineStr">
        <is>
          <t>2025-09-18</t>
        </is>
      </c>
      <c r="B558" s="34" t="n">
        <v>37650</v>
      </c>
      <c r="C558" s="34" t="n">
        <v>39250</v>
      </c>
      <c r="D558" s="34" t="n">
        <v>37050</v>
      </c>
      <c r="E558" s="34" t="n">
        <v>38500</v>
      </c>
      <c r="F558" s="34" t="n">
        <v>37894.49609375</v>
      </c>
      <c r="G558" s="34" t="n">
        <v>996764</v>
      </c>
      <c r="H558" s="39" t="n">
        <v>0.03217158176943702</v>
      </c>
      <c r="I558" s="39" t="n">
        <v>-0.2450980392156863</v>
      </c>
      <c r="J558" s="34" t="n">
        <v>31805</v>
      </c>
      <c r="K558" s="34" t="n">
        <v>31453.33333333333</v>
      </c>
      <c r="L558" s="34" t="n">
        <v>30352.5</v>
      </c>
      <c r="M558" s="39" t="n">
        <v>0.5001314116180731</v>
      </c>
      <c r="N558" s="39" t="n">
        <v>0.4527756744805582</v>
      </c>
      <c r="O558" s="39" t="n">
        <v>0.289782244556114</v>
      </c>
      <c r="P558" s="39" t="n">
        <v>0.1407407407407408</v>
      </c>
      <c r="Q558" s="39" t="n">
        <v>0.2280701754385965</v>
      </c>
      <c r="R558" s="39" t="n">
        <v>0.2105014934758687</v>
      </c>
      <c r="S558" s="39" t="n">
        <v>0.2240356083086055</v>
      </c>
      <c r="T558" s="39" t="n">
        <v>0.2684292891854048</v>
      </c>
      <c r="U558" s="34" t="n">
        <v>38500</v>
      </c>
      <c r="V558" s="34" t="n">
        <v>20400</v>
      </c>
      <c r="W558" s="39" t="n">
        <v>0</v>
      </c>
      <c r="X558" s="39" t="n">
        <v>0.8872549019607843</v>
      </c>
      <c r="Y558" s="34" t="n">
        <v>51414494</v>
      </c>
      <c r="Z558" s="34" t="n">
        <v>1979458019000</v>
      </c>
      <c r="AA558" s="34" t="n">
        <v>38375414000</v>
      </c>
      <c r="AB558" s="34" t="n">
        <v>18804970460</v>
      </c>
      <c r="AC558" s="39" t="n">
        <v>0.01938682893582498</v>
      </c>
      <c r="AD558" s="32" t="inlineStr">
        <is>
          <t>yfinance_download</t>
        </is>
      </c>
      <c r="AE558" s="32" t="inlineStr">
        <is>
          <t>005290.KQ</t>
        </is>
      </c>
    </row>
    <row r="559" ht="24" customHeight="1">
      <c r="A559" s="27" t="inlineStr">
        <is>
          <t>2025-09-19</t>
        </is>
      </c>
      <c r="B559" s="33" t="n">
        <v>39100</v>
      </c>
      <c r="C559" s="33" t="n">
        <v>39200</v>
      </c>
      <c r="D559" s="33" t="n">
        <v>38150</v>
      </c>
      <c r="E559" s="33" t="n">
        <v>38950</v>
      </c>
      <c r="F559" s="33" t="n">
        <v>38337.41796875</v>
      </c>
      <c r="G559" s="33" t="n">
        <v>538973</v>
      </c>
      <c r="H559" s="38" t="n">
        <v>0.01168831168831175</v>
      </c>
      <c r="I559" s="38" t="n">
        <v>-0.2362745098039216</v>
      </c>
      <c r="J559" s="33" t="n">
        <v>32265</v>
      </c>
      <c r="K559" s="33" t="n">
        <v>31547.5</v>
      </c>
      <c r="L559" s="33" t="n">
        <v>30414.16666666667</v>
      </c>
      <c r="M559" s="38" t="n">
        <v>0.4963380432952524</v>
      </c>
      <c r="N559" s="38" t="n">
        <v>0.451919871093953</v>
      </c>
      <c r="O559" s="38" t="n">
        <v>0.3092436974789916</v>
      </c>
      <c r="P559" s="38" t="n">
        <v>0.1696696696696696</v>
      </c>
      <c r="Q559" s="38" t="n">
        <v>0.2345483359746434</v>
      </c>
      <c r="R559" s="38" t="n">
        <v>0.2071904540523788</v>
      </c>
      <c r="S559" s="38" t="n">
        <v>0.2346461684761074</v>
      </c>
      <c r="T559" s="38" t="n">
        <v>0.2806532043729622</v>
      </c>
      <c r="U559" s="33" t="n">
        <v>38950</v>
      </c>
      <c r="V559" s="33" t="n">
        <v>20400</v>
      </c>
      <c r="W559" s="38" t="n">
        <v>0</v>
      </c>
      <c r="X559" s="38" t="n">
        <v>0.9093137254901962</v>
      </c>
      <c r="Y559" s="33" t="n">
        <v>51414494</v>
      </c>
      <c r="Z559" s="33" t="n">
        <v>2002594541300</v>
      </c>
      <c r="AA559" s="33" t="n">
        <v>20992998350</v>
      </c>
      <c r="AB559" s="33" t="n">
        <v>19608110390</v>
      </c>
      <c r="AC559" s="38" t="n">
        <v>0.01048290001648173</v>
      </c>
      <c r="AD559" s="27" t="inlineStr">
        <is>
          <t>yfinance_download</t>
        </is>
      </c>
      <c r="AE559" s="27" t="inlineStr">
        <is>
          <t>005290.KQ</t>
        </is>
      </c>
    </row>
    <row r="560" ht="24" customHeight="1">
      <c r="A560" s="32" t="inlineStr">
        <is>
          <t>2025-09-22</t>
        </is>
      </c>
      <c r="B560" s="34" t="n">
        <v>39000</v>
      </c>
      <c r="C560" s="34" t="n">
        <v>41550</v>
      </c>
      <c r="D560" s="34" t="n">
        <v>38850</v>
      </c>
      <c r="E560" s="34" t="n">
        <v>41350</v>
      </c>
      <c r="F560" s="34" t="n">
        <v>40699.671875</v>
      </c>
      <c r="G560" s="34" t="n">
        <v>1153979</v>
      </c>
      <c r="H560" s="39" t="n">
        <v>0.06161745827984588</v>
      </c>
      <c r="I560" s="39" t="n">
        <v>-0.1892156862745098</v>
      </c>
      <c r="J560" s="34" t="n">
        <v>32832.5</v>
      </c>
      <c r="K560" s="34" t="n">
        <v>31692.5</v>
      </c>
      <c r="L560" s="34" t="n">
        <v>30508.75</v>
      </c>
      <c r="M560" s="39" t="n">
        <v>0.5235475223528702</v>
      </c>
      <c r="N560" s="39" t="n">
        <v>0.46504513329969</v>
      </c>
      <c r="O560" s="39" t="n">
        <v>0.3783333333333334</v>
      </c>
      <c r="P560" s="39" t="n">
        <v>0.2664624808575804</v>
      </c>
      <c r="Q560" s="39" t="n">
        <v>0.3783333333333334</v>
      </c>
      <c r="R560" s="39" t="n">
        <v>0.2594228279905582</v>
      </c>
      <c r="S560" s="39" t="n">
        <v>0.3047250926875444</v>
      </c>
      <c r="T560" s="39" t="n">
        <v>0.3553488753226532</v>
      </c>
      <c r="U560" s="34" t="n">
        <v>41350</v>
      </c>
      <c r="V560" s="34" t="n">
        <v>20400</v>
      </c>
      <c r="W560" s="39" t="n">
        <v>0</v>
      </c>
      <c r="X560" s="39" t="n">
        <v>1.026960784313725</v>
      </c>
      <c r="Y560" s="34" t="n">
        <v>51414494</v>
      </c>
      <c r="Z560" s="34" t="n">
        <v>2125989326900</v>
      </c>
      <c r="AA560" s="34" t="n">
        <v>47717031650</v>
      </c>
      <c r="AB560" s="34" t="n">
        <v>21758205472.5</v>
      </c>
      <c r="AC560" s="39" t="n">
        <v>0.02244462427268077</v>
      </c>
      <c r="AD560" s="32" t="inlineStr">
        <is>
          <t>yfinance_download</t>
        </is>
      </c>
      <c r="AE560" s="32" t="inlineStr">
        <is>
          <t>005290.KQ</t>
        </is>
      </c>
    </row>
    <row r="561" ht="24" customHeight="1">
      <c r="A561" s="27" t="inlineStr">
        <is>
          <t>2025-09-23</t>
        </is>
      </c>
      <c r="B561" s="33" t="n">
        <v>42250</v>
      </c>
      <c r="C561" s="33" t="n">
        <v>42300</v>
      </c>
      <c r="D561" s="33" t="n">
        <v>40700</v>
      </c>
      <c r="E561" s="33" t="n">
        <v>41350</v>
      </c>
      <c r="F561" s="33" t="n">
        <v>40699.671875</v>
      </c>
      <c r="G561" s="33" t="n">
        <v>587549</v>
      </c>
      <c r="H561" s="38" t="n">
        <v>0</v>
      </c>
      <c r="I561" s="38" t="n">
        <v>-0.1892156862745098</v>
      </c>
      <c r="J561" s="33" t="n">
        <v>33400</v>
      </c>
      <c r="K561" s="33" t="n">
        <v>31836.66666666667</v>
      </c>
      <c r="L561" s="33" t="n">
        <v>30610.41666666667</v>
      </c>
      <c r="M561" s="38" t="n">
        <v>0.5235475223528702</v>
      </c>
      <c r="N561" s="38" t="n">
        <v>0.4650955129770303</v>
      </c>
      <c r="O561" s="38" t="n">
        <v>0.3783333333333334</v>
      </c>
      <c r="P561" s="38" t="n">
        <v>0.2645259938837921</v>
      </c>
      <c r="Q561" s="38" t="n">
        <v>0.41852487135506</v>
      </c>
      <c r="R561" s="38" t="n">
        <v>0.2380239520958083</v>
      </c>
      <c r="S561" s="38" t="n">
        <v>0.2988168778138414</v>
      </c>
      <c r="T561" s="38" t="n">
        <v>0.3508473422718301</v>
      </c>
      <c r="U561" s="33" t="n">
        <v>41350</v>
      </c>
      <c r="V561" s="33" t="n">
        <v>20400</v>
      </c>
      <c r="W561" s="38" t="n">
        <v>0</v>
      </c>
      <c r="X561" s="38" t="n">
        <v>1.026960784313725</v>
      </c>
      <c r="Y561" s="33" t="n">
        <v>51414494</v>
      </c>
      <c r="Z561" s="33" t="n">
        <v>2125989326900</v>
      </c>
      <c r="AA561" s="33" t="n">
        <v>24295151150</v>
      </c>
      <c r="AB561" s="33" t="n">
        <v>22732235530</v>
      </c>
      <c r="AC561" s="38" t="n">
        <v>0.01142769196561577</v>
      </c>
      <c r="AD561" s="27" t="inlineStr">
        <is>
          <t>yfinance_download</t>
        </is>
      </c>
      <c r="AE561" s="27" t="inlineStr">
        <is>
          <t>005290.KQ</t>
        </is>
      </c>
    </row>
    <row r="562" ht="24" customHeight="1">
      <c r="A562" s="32" t="inlineStr">
        <is>
          <t>2025-09-24</t>
        </is>
      </c>
      <c r="B562" s="34" t="n">
        <v>40450</v>
      </c>
      <c r="C562" s="34" t="n">
        <v>41950</v>
      </c>
      <c r="D562" s="34" t="n">
        <v>40000</v>
      </c>
      <c r="E562" s="34" t="n">
        <v>41850</v>
      </c>
      <c r="F562" s="34" t="n">
        <v>41191.80859375</v>
      </c>
      <c r="G562" s="34" t="n">
        <v>634049</v>
      </c>
      <c r="H562" s="39" t="n">
        <v>0.01209189842805314</v>
      </c>
      <c r="I562" s="39" t="n">
        <v>-0.1794117647058824</v>
      </c>
      <c r="J562" s="34" t="n">
        <v>33997.5</v>
      </c>
      <c r="K562" s="34" t="n">
        <v>31995</v>
      </c>
      <c r="L562" s="34" t="n">
        <v>30714.16666666667</v>
      </c>
      <c r="M562" s="39" t="n">
        <v>0.5185657900405094</v>
      </c>
      <c r="N562" s="39" t="n">
        <v>0.4642928963981524</v>
      </c>
      <c r="O562" s="39" t="n">
        <v>0.3996655518394649</v>
      </c>
      <c r="P562" s="39" t="n">
        <v>0.2936630602782071</v>
      </c>
      <c r="Q562" s="39" t="n">
        <v>0.4234693877551021</v>
      </c>
      <c r="R562" s="39" t="n">
        <v>0.2309728656518861</v>
      </c>
      <c r="S562" s="39" t="n">
        <v>0.3080168776371308</v>
      </c>
      <c r="T562" s="39" t="n">
        <v>0.3625634207884527</v>
      </c>
      <c r="U562" s="34" t="n">
        <v>41850</v>
      </c>
      <c r="V562" s="34" t="n">
        <v>20400</v>
      </c>
      <c r="W562" s="39" t="n">
        <v>0</v>
      </c>
      <c r="X562" s="39" t="n">
        <v>1.051470588235294</v>
      </c>
      <c r="Y562" s="34" t="n">
        <v>51414494</v>
      </c>
      <c r="Z562" s="34" t="n">
        <v>2151696573900</v>
      </c>
      <c r="AA562" s="34" t="n">
        <v>26534950650</v>
      </c>
      <c r="AB562" s="34" t="n">
        <v>23833547527.5</v>
      </c>
      <c r="AC562" s="39" t="n">
        <v>0.01233210619557979</v>
      </c>
      <c r="AD562" s="32" t="inlineStr">
        <is>
          <t>yfinance_download</t>
        </is>
      </c>
      <c r="AE562" s="32" t="inlineStr">
        <is>
          <t>005290.KQ</t>
        </is>
      </c>
    </row>
    <row r="563" ht="24" customHeight="1">
      <c r="A563" s="27" t="inlineStr">
        <is>
          <t>2025-09-25</t>
        </is>
      </c>
      <c r="B563" s="33" t="n">
        <v>40800</v>
      </c>
      <c r="C563" s="33" t="n">
        <v>42100</v>
      </c>
      <c r="D563" s="33" t="n">
        <v>40700</v>
      </c>
      <c r="E563" s="33" t="n">
        <v>41500</v>
      </c>
      <c r="F563" s="33" t="n">
        <v>40847.3125</v>
      </c>
      <c r="G563" s="33" t="n">
        <v>529861</v>
      </c>
      <c r="H563" s="38" t="n">
        <v>-0.008363201911589013</v>
      </c>
      <c r="I563" s="38" t="n">
        <v>-0.1862745098039216</v>
      </c>
      <c r="J563" s="33" t="n">
        <v>34585</v>
      </c>
      <c r="K563" s="33" t="n">
        <v>32155.83333333333</v>
      </c>
      <c r="L563" s="33" t="n">
        <v>30813.75</v>
      </c>
      <c r="M563" s="38" t="n">
        <v>0.5206209683790042</v>
      </c>
      <c r="N563" s="38" t="n">
        <v>0.463203033014466</v>
      </c>
      <c r="O563" s="38" t="n">
        <v>0.3949579831932772</v>
      </c>
      <c r="P563" s="38" t="n">
        <v>0.3029827315541602</v>
      </c>
      <c r="Q563" s="38" t="n">
        <v>0.404399323181049</v>
      </c>
      <c r="R563" s="38" t="n">
        <v>0.1999421714616163</v>
      </c>
      <c r="S563" s="38" t="n">
        <v>0.290590095109752</v>
      </c>
      <c r="T563" s="38" t="n">
        <v>0.3468013468013469</v>
      </c>
      <c r="U563" s="33" t="n">
        <v>41850</v>
      </c>
      <c r="V563" s="33" t="n">
        <v>20400</v>
      </c>
      <c r="W563" s="38" t="n">
        <v>-0.008363201911589013</v>
      </c>
      <c r="X563" s="38" t="n">
        <v>1.034313725490196</v>
      </c>
      <c r="Y563" s="33" t="n">
        <v>51414494</v>
      </c>
      <c r="Z563" s="33" t="n">
        <v>2133701501000</v>
      </c>
      <c r="AA563" s="33" t="n">
        <v>21989231500</v>
      </c>
      <c r="AB563" s="33" t="n">
        <v>24625904315</v>
      </c>
      <c r="AC563" s="38" t="n">
        <v>0.01030567372694556</v>
      </c>
      <c r="AD563" s="27" t="inlineStr">
        <is>
          <t>yfinance_download</t>
        </is>
      </c>
      <c r="AE563" s="27" t="inlineStr">
        <is>
          <t>005290.KQ</t>
        </is>
      </c>
    </row>
    <row r="564" ht="24" customHeight="1">
      <c r="A564" s="32" t="inlineStr">
        <is>
          <t>2025-09-26</t>
        </is>
      </c>
      <c r="B564" s="34" t="n">
        <v>40700</v>
      </c>
      <c r="C564" s="34" t="n">
        <v>41150</v>
      </c>
      <c r="D564" s="34" t="n">
        <v>39700</v>
      </c>
      <c r="E564" s="34" t="n">
        <v>40400</v>
      </c>
      <c r="F564" s="34" t="n">
        <v>39764.61328125</v>
      </c>
      <c r="G564" s="34" t="n">
        <v>619931</v>
      </c>
      <c r="H564" s="39" t="n">
        <v>-0.02650602409638558</v>
      </c>
      <c r="I564" s="39" t="n">
        <v>-0.207843137254902</v>
      </c>
      <c r="J564" s="34" t="n">
        <v>35107.5</v>
      </c>
      <c r="K564" s="34" t="n">
        <v>32279.16666666667</v>
      </c>
      <c r="L564" s="34" t="n">
        <v>30910.41666666667</v>
      </c>
      <c r="M564" s="39" t="n">
        <v>0.5424654796622687</v>
      </c>
      <c r="N564" s="39" t="n">
        <v>0.4629206454604244</v>
      </c>
      <c r="O564" s="39" t="n">
        <v>0.348914858096828</v>
      </c>
      <c r="P564" s="39" t="n">
        <v>0.2242424242424241</v>
      </c>
      <c r="Q564" s="39" t="n">
        <v>0.4027777777777777</v>
      </c>
      <c r="R564" s="39" t="n">
        <v>0.1507512639749342</v>
      </c>
      <c r="S564" s="39" t="n">
        <v>0.2515812572608751</v>
      </c>
      <c r="T564" s="39" t="n">
        <v>0.3070027633618655</v>
      </c>
      <c r="U564" s="34" t="n">
        <v>41850</v>
      </c>
      <c r="V564" s="34" t="n">
        <v>20400</v>
      </c>
      <c r="W564" s="39" t="n">
        <v>-0.03464755077658299</v>
      </c>
      <c r="X564" s="39" t="n">
        <v>0.9803921568627452</v>
      </c>
      <c r="Y564" s="34" t="n">
        <v>51414494</v>
      </c>
      <c r="Z564" s="34" t="n">
        <v>2077145557600</v>
      </c>
      <c r="AA564" s="34" t="n">
        <v>25045212400</v>
      </c>
      <c r="AB564" s="34" t="n">
        <v>25268722867.5</v>
      </c>
      <c r="AC564" s="39" t="n">
        <v>0.01205751436550168</v>
      </c>
      <c r="AD564" s="32" t="inlineStr">
        <is>
          <t>yfinance_download</t>
        </is>
      </c>
      <c r="AE564" s="32" t="inlineStr">
        <is>
          <t>005290.KQ</t>
        </is>
      </c>
    </row>
    <row r="565" ht="24" customHeight="1">
      <c r="A565" s="27" t="inlineStr">
        <is>
          <t>2025-09-29</t>
        </is>
      </c>
      <c r="B565" s="33" t="n">
        <v>40400</v>
      </c>
      <c r="C565" s="33" t="n">
        <v>41250</v>
      </c>
      <c r="D565" s="33" t="n">
        <v>40100</v>
      </c>
      <c r="E565" s="33" t="n">
        <v>40900</v>
      </c>
      <c r="F565" s="33" t="n">
        <v>40256.75</v>
      </c>
      <c r="G565" s="33" t="n">
        <v>313319</v>
      </c>
      <c r="H565" s="38" t="n">
        <v>0.01237623762376239</v>
      </c>
      <c r="I565" s="38" t="n">
        <v>-0.1980392156862745</v>
      </c>
      <c r="J565" s="33" t="n">
        <v>35752.5</v>
      </c>
      <c r="K565" s="33" t="n">
        <v>32428.33333333333</v>
      </c>
      <c r="L565" s="33" t="n">
        <v>31021.66666666667</v>
      </c>
      <c r="M565" s="38" t="n">
        <v>0.4516430495890197</v>
      </c>
      <c r="N565" s="38" t="n">
        <v>0.4572263043741811</v>
      </c>
      <c r="O565" s="38" t="n">
        <v>0.4607142857142856</v>
      </c>
      <c r="P565" s="38" t="n">
        <v>0.2801251956181534</v>
      </c>
      <c r="Q565" s="38" t="n">
        <v>0.484573502722323</v>
      </c>
      <c r="R565" s="38" t="n">
        <v>0.1439759457380603</v>
      </c>
      <c r="S565" s="38" t="n">
        <v>0.261242740401912</v>
      </c>
      <c r="T565" s="38" t="n">
        <v>0.3184333530328265</v>
      </c>
      <c r="U565" s="33" t="n">
        <v>41850</v>
      </c>
      <c r="V565" s="33" t="n">
        <v>20400</v>
      </c>
      <c r="W565" s="38" t="n">
        <v>-0.02270011947431305</v>
      </c>
      <c r="X565" s="38" t="n">
        <v>1.004901960784314</v>
      </c>
      <c r="Y565" s="33" t="n">
        <v>51414494</v>
      </c>
      <c r="Z565" s="33" t="n">
        <v>2102852804600</v>
      </c>
      <c r="AA565" s="33" t="n">
        <v>12814747100</v>
      </c>
      <c r="AB565" s="33" t="n">
        <v>24878679422.5</v>
      </c>
      <c r="AC565" s="38" t="n">
        <v>0.006093981981034375</v>
      </c>
      <c r="AD565" s="27" t="inlineStr">
        <is>
          <t>yfinance_download</t>
        </is>
      </c>
      <c r="AE565" s="27" t="inlineStr">
        <is>
          <t>005290.KQ</t>
        </is>
      </c>
    </row>
    <row r="566" ht="24" customHeight="1">
      <c r="A566" s="32" t="inlineStr">
        <is>
          <t>2025-09-30</t>
        </is>
      </c>
      <c r="B566" s="34" t="n">
        <v>41200</v>
      </c>
      <c r="C566" s="34" t="n">
        <v>41950</v>
      </c>
      <c r="D566" s="34" t="n">
        <v>40950</v>
      </c>
      <c r="E566" s="34" t="n">
        <v>41150</v>
      </c>
      <c r="F566" s="34" t="n">
        <v>40502.81640625</v>
      </c>
      <c r="G566" s="34" t="n">
        <v>402315</v>
      </c>
      <c r="H566" s="39" t="n">
        <v>0.006112469437652868</v>
      </c>
      <c r="I566" s="39" t="n">
        <v>-0.1931372549019608</v>
      </c>
      <c r="J566" s="34" t="n">
        <v>36400</v>
      </c>
      <c r="K566" s="34" t="n">
        <v>32588.33333333333</v>
      </c>
      <c r="L566" s="34" t="n">
        <v>31150</v>
      </c>
      <c r="M566" s="39" t="n">
        <v>0.452031550616855</v>
      </c>
      <c r="N566" s="39" t="n">
        <v>0.4558518402114661</v>
      </c>
      <c r="O566" s="39" t="n">
        <v>0.4592198581560283</v>
      </c>
      <c r="P566" s="39" t="n">
        <v>0.3042789223454834</v>
      </c>
      <c r="Q566" s="39" t="n">
        <v>0.5980582524271845</v>
      </c>
      <c r="R566" s="39" t="n">
        <v>0.1304945054945055</v>
      </c>
      <c r="S566" s="39" t="n">
        <v>0.2627218329668082</v>
      </c>
      <c r="T566" s="39" t="n">
        <v>0.3210272873194222</v>
      </c>
      <c r="U566" s="34" t="n">
        <v>41850</v>
      </c>
      <c r="V566" s="34" t="n">
        <v>20400</v>
      </c>
      <c r="W566" s="39" t="n">
        <v>-0.01672640382317803</v>
      </c>
      <c r="X566" s="39" t="n">
        <v>1.017156862745098</v>
      </c>
      <c r="Y566" s="34" t="n">
        <v>51414494</v>
      </c>
      <c r="Z566" s="34" t="n">
        <v>2115706428100</v>
      </c>
      <c r="AA566" s="34" t="n">
        <v>16555262250</v>
      </c>
      <c r="AB566" s="34" t="n">
        <v>25378166335</v>
      </c>
      <c r="AC566" s="39" t="n">
        <v>0.007824933568343588</v>
      </c>
      <c r="AD566" s="32" t="inlineStr">
        <is>
          <t>yfinance_download</t>
        </is>
      </c>
      <c r="AE566" s="32" t="inlineStr">
        <is>
          <t>005290.KQ</t>
        </is>
      </c>
    </row>
    <row r="567" ht="24" customHeight="1">
      <c r="A567" s="27" t="inlineStr">
        <is>
          <t>2025-10-01</t>
        </is>
      </c>
      <c r="B567" s="33" t="n">
        <v>41500</v>
      </c>
      <c r="C567" s="33" t="n">
        <v>43450</v>
      </c>
      <c r="D567" s="33" t="n">
        <v>41500</v>
      </c>
      <c r="E567" s="33" t="n">
        <v>43150</v>
      </c>
      <c r="F567" s="33" t="n">
        <v>42471.36328125</v>
      </c>
      <c r="G567" s="33" t="n">
        <v>771159</v>
      </c>
      <c r="H567" s="38" t="n">
        <v>0.04860267314702305</v>
      </c>
      <c r="I567" s="38" t="n">
        <v>-0.153921568627451</v>
      </c>
      <c r="J567" s="33" t="n">
        <v>37137.5</v>
      </c>
      <c r="K567" s="33" t="n">
        <v>32780.83333333334</v>
      </c>
      <c r="L567" s="33" t="n">
        <v>31292.5</v>
      </c>
      <c r="M567" s="38" t="n">
        <v>0.4609122034319528</v>
      </c>
      <c r="N567" s="38" t="n">
        <v>0.4645208665035881</v>
      </c>
      <c r="O567" s="38" t="n">
        <v>0.5193661971830985</v>
      </c>
      <c r="P567" s="38" t="n">
        <v>0.365506329113924</v>
      </c>
      <c r="Q567" s="38" t="n">
        <v>0.6564299424184261</v>
      </c>
      <c r="R567" s="38" t="n">
        <v>0.161898350723662</v>
      </c>
      <c r="S567" s="38" t="n">
        <v>0.3163179703586954</v>
      </c>
      <c r="T567" s="38" t="n">
        <v>0.3789246624590557</v>
      </c>
      <c r="U567" s="33" t="n">
        <v>43150</v>
      </c>
      <c r="V567" s="33" t="n">
        <v>20400</v>
      </c>
      <c r="W567" s="38" t="n">
        <v>0</v>
      </c>
      <c r="X567" s="38" t="n">
        <v>1.115196078431373</v>
      </c>
      <c r="Y567" s="33" t="n">
        <v>51414494</v>
      </c>
      <c r="Z567" s="33" t="n">
        <v>2218535416100</v>
      </c>
      <c r="AA567" s="33" t="n">
        <v>33275510850</v>
      </c>
      <c r="AB567" s="33" t="n">
        <v>26806825377.5</v>
      </c>
      <c r="AC567" s="38" t="n">
        <v>0.01499886393902856</v>
      </c>
      <c r="AD567" s="27" t="inlineStr">
        <is>
          <t>yfinance_download</t>
        </is>
      </c>
      <c r="AE567" s="27" t="inlineStr">
        <is>
          <t>005290.KQ</t>
        </is>
      </c>
    </row>
    <row r="568" ht="24" customHeight="1">
      <c r="A568" s="32" t="inlineStr">
        <is>
          <t>2025-10-02</t>
        </is>
      </c>
      <c r="B568" s="34" t="n">
        <v>44150</v>
      </c>
      <c r="C568" s="34" t="n">
        <v>45000</v>
      </c>
      <c r="D568" s="34" t="n">
        <v>43450</v>
      </c>
      <c r="E568" s="34" t="n">
        <v>44000</v>
      </c>
      <c r="F568" s="34" t="n">
        <v>43307.99609375</v>
      </c>
      <c r="G568" s="34" t="n">
        <v>1383824</v>
      </c>
      <c r="H568" s="39" t="n">
        <v>0.01969872537659323</v>
      </c>
      <c r="I568" s="39" t="n">
        <v>-0.1372549019607843</v>
      </c>
      <c r="J568" s="34" t="n">
        <v>37895</v>
      </c>
      <c r="K568" s="34" t="n">
        <v>33003.33333333334</v>
      </c>
      <c r="L568" s="34" t="n">
        <v>31447.5</v>
      </c>
      <c r="M568" s="39" t="n">
        <v>0.4604854418266577</v>
      </c>
      <c r="N568" s="39" t="n">
        <v>0.4593596700179353</v>
      </c>
      <c r="O568" s="39" t="n">
        <v>0.5251299826689775</v>
      </c>
      <c r="P568" s="39" t="n">
        <v>0.435562805872757</v>
      </c>
      <c r="Q568" s="39" t="n">
        <v>0.7322834645669292</v>
      </c>
      <c r="R568" s="39" t="n">
        <v>0.1611030478955007</v>
      </c>
      <c r="S568" s="39" t="n">
        <v>0.3331986668013331</v>
      </c>
      <c r="T568" s="39" t="n">
        <v>0.3991573257015661</v>
      </c>
      <c r="U568" s="34" t="n">
        <v>44000</v>
      </c>
      <c r="V568" s="34" t="n">
        <v>20400</v>
      </c>
      <c r="W568" s="39" t="n">
        <v>0</v>
      </c>
      <c r="X568" s="39" t="n">
        <v>1.156862745098039</v>
      </c>
      <c r="Y568" s="34" t="n">
        <v>51414494</v>
      </c>
      <c r="Z568" s="34" t="n">
        <v>2262237736000</v>
      </c>
      <c r="AA568" s="34" t="n">
        <v>60888256000</v>
      </c>
      <c r="AB568" s="34" t="n">
        <v>29527021877.5</v>
      </c>
      <c r="AC568" s="39" t="n">
        <v>0.02691505628743521</v>
      </c>
      <c r="AD568" s="32" t="inlineStr">
        <is>
          <t>yfinance_download</t>
        </is>
      </c>
      <c r="AE568" s="32" t="inlineStr">
        <is>
          <t>005290.KQ</t>
        </is>
      </c>
    </row>
    <row r="569" ht="24" customHeight="1">
      <c r="A569" s="27" t="inlineStr">
        <is>
          <t>2025-10-10</t>
        </is>
      </c>
      <c r="B569" s="33" t="n">
        <v>45600</v>
      </c>
      <c r="C569" s="33" t="n">
        <v>47250</v>
      </c>
      <c r="D569" s="33" t="n">
        <v>44700</v>
      </c>
      <c r="E569" s="33" t="n">
        <v>46850</v>
      </c>
      <c r="F569" s="33" t="n">
        <v>46113.171875</v>
      </c>
      <c r="G569" s="33" t="n">
        <v>1090982</v>
      </c>
      <c r="H569" s="38" t="n">
        <v>0.0647727272727272</v>
      </c>
      <c r="I569" s="38" t="n">
        <v>-0.08137254901960789</v>
      </c>
      <c r="J569" s="33" t="n">
        <v>38800</v>
      </c>
      <c r="K569" s="33" t="n">
        <v>33275.83333333334</v>
      </c>
      <c r="L569" s="33" t="n">
        <v>31612.5</v>
      </c>
      <c r="M569" s="38" t="n">
        <v>0.474487519040359</v>
      </c>
      <c r="N569" s="38" t="n">
        <v>0.4739672326311908</v>
      </c>
      <c r="O569" s="38" t="n">
        <v>0.6295652173913044</v>
      </c>
      <c r="P569" s="38" t="n">
        <v>0.5360655737704918</v>
      </c>
      <c r="Q569" s="38" t="n">
        <v>0.7319778188539741</v>
      </c>
      <c r="R569" s="38" t="n">
        <v>0.2074742268041236</v>
      </c>
      <c r="S569" s="38" t="n">
        <v>0.4079286769677692</v>
      </c>
      <c r="T569" s="38" t="n">
        <v>0.4820086990905497</v>
      </c>
      <c r="U569" s="33" t="n">
        <v>46850</v>
      </c>
      <c r="V569" s="33" t="n">
        <v>20400</v>
      </c>
      <c r="W569" s="38" t="n">
        <v>0</v>
      </c>
      <c r="X569" s="38" t="n">
        <v>1.29656862745098</v>
      </c>
      <c r="Y569" s="33" t="n">
        <v>51414494</v>
      </c>
      <c r="Z569" s="33" t="n">
        <v>2408769043900</v>
      </c>
      <c r="AA569" s="33" t="n">
        <v>51112506700</v>
      </c>
      <c r="AB569" s="33" t="n">
        <v>31756583400</v>
      </c>
      <c r="AC569" s="38" t="n">
        <v>0.02121934721364757</v>
      </c>
      <c r="AD569" s="27" t="inlineStr">
        <is>
          <t>yfinance_download</t>
        </is>
      </c>
      <c r="AE569" s="27" t="inlineStr">
        <is>
          <t>005290.KQ</t>
        </is>
      </c>
    </row>
    <row r="570" ht="24" customHeight="1">
      <c r="A570" s="32" t="inlineStr">
        <is>
          <t>2025-10-13</t>
        </is>
      </c>
      <c r="B570" s="34" t="n">
        <v>45000</v>
      </c>
      <c r="C570" s="34" t="n">
        <v>45750</v>
      </c>
      <c r="D570" s="34" t="n">
        <v>44500</v>
      </c>
      <c r="E570" s="34" t="n">
        <v>45650</v>
      </c>
      <c r="F570" s="34" t="n">
        <v>44932.04296875</v>
      </c>
      <c r="G570" s="34" t="n">
        <v>625689</v>
      </c>
      <c r="H570" s="39" t="n">
        <v>-0.02561366061899684</v>
      </c>
      <c r="I570" s="39" t="n">
        <v>-0.1049019607843137</v>
      </c>
      <c r="J570" s="34" t="n">
        <v>39620</v>
      </c>
      <c r="K570" s="34" t="n">
        <v>33522.5</v>
      </c>
      <c r="L570" s="34" t="n">
        <v>31759.16666666667</v>
      </c>
      <c r="M570" s="39" t="n">
        <v>0.5072135609621424</v>
      </c>
      <c r="N570" s="39" t="n">
        <v>0.4787463315405298</v>
      </c>
      <c r="O570" s="39" t="n">
        <v>0.5606837606837607</v>
      </c>
      <c r="P570" s="39" t="n">
        <v>0.4797406807131281</v>
      </c>
      <c r="Q570" s="39" t="n">
        <v>0.6274509803921569</v>
      </c>
      <c r="R570" s="39" t="n">
        <v>0.152195860676426</v>
      </c>
      <c r="S570" s="39" t="n">
        <v>0.361771944216571</v>
      </c>
      <c r="T570" s="39" t="n">
        <v>0.4373802839075331</v>
      </c>
      <c r="U570" s="34" t="n">
        <v>46850</v>
      </c>
      <c r="V570" s="34" t="n">
        <v>20400</v>
      </c>
      <c r="W570" s="39" t="n">
        <v>-0.02561366061899684</v>
      </c>
      <c r="X570" s="39" t="n">
        <v>1.237745098039216</v>
      </c>
      <c r="Y570" s="34" t="n">
        <v>51414494</v>
      </c>
      <c r="Z570" s="34" t="n">
        <v>2347071651100</v>
      </c>
      <c r="AA570" s="34" t="n">
        <v>28562702850</v>
      </c>
      <c r="AB570" s="34" t="n">
        <v>32927422380</v>
      </c>
      <c r="AC570" s="39" t="n">
        <v>0.01216950613187013</v>
      </c>
      <c r="AD570" s="32" t="inlineStr">
        <is>
          <t>yfinance_download</t>
        </is>
      </c>
      <c r="AE570" s="32" t="inlineStr">
        <is>
          <t>005290.KQ</t>
        </is>
      </c>
    </row>
    <row r="571" ht="24" customHeight="1">
      <c r="A571" s="27" t="inlineStr">
        <is>
          <t>2025-10-14</t>
        </is>
      </c>
      <c r="B571" s="33" t="n">
        <v>46950</v>
      </c>
      <c r="C571" s="33" t="n">
        <v>47000</v>
      </c>
      <c r="D571" s="33" t="n">
        <v>43050</v>
      </c>
      <c r="E571" s="33" t="n">
        <v>43850</v>
      </c>
      <c r="F571" s="33" t="n">
        <v>43160.3515625</v>
      </c>
      <c r="G571" s="33" t="n">
        <v>753919</v>
      </c>
      <c r="H571" s="38" t="n">
        <v>-0.03943044906900328</v>
      </c>
      <c r="I571" s="38" t="n">
        <v>-0.1401960784313725</v>
      </c>
      <c r="J571" s="33" t="n">
        <v>40227.5</v>
      </c>
      <c r="K571" s="33" t="n">
        <v>33745.83333333334</v>
      </c>
      <c r="L571" s="33" t="n">
        <v>31892.08333333333</v>
      </c>
      <c r="M571" s="38" t="n">
        <v>0.4998531822891264</v>
      </c>
      <c r="N571" s="38" t="n">
        <v>0.4864685436795986</v>
      </c>
      <c r="O571" s="38" t="n">
        <v>0.3832807570977919</v>
      </c>
      <c r="P571" s="38" t="n">
        <v>0.4400656814449917</v>
      </c>
      <c r="Q571" s="38" t="n">
        <v>0.5716845878136201</v>
      </c>
      <c r="R571" s="38" t="n">
        <v>0.09005033869865131</v>
      </c>
      <c r="S571" s="38" t="n">
        <v>0.2994196814421533</v>
      </c>
      <c r="T571" s="38" t="n">
        <v>0.3749493735383651</v>
      </c>
      <c r="U571" s="33" t="n">
        <v>46850</v>
      </c>
      <c r="V571" s="33" t="n">
        <v>20400</v>
      </c>
      <c r="W571" s="38" t="n">
        <v>-0.06403415154749204</v>
      </c>
      <c r="X571" s="38" t="n">
        <v>1.149509803921569</v>
      </c>
      <c r="Y571" s="33" t="n">
        <v>51414494</v>
      </c>
      <c r="Z571" s="33" t="n">
        <v>2254525561900</v>
      </c>
      <c r="AA571" s="33" t="n">
        <v>33059348150</v>
      </c>
      <c r="AB571" s="33" t="n">
        <v>32948232867.5</v>
      </c>
      <c r="AC571" s="38" t="n">
        <v>0.01466354993204834</v>
      </c>
      <c r="AD571" s="27" t="inlineStr">
        <is>
          <t>yfinance_download</t>
        </is>
      </c>
      <c r="AE571" s="27" t="inlineStr">
        <is>
          <t>005290.KQ</t>
        </is>
      </c>
    </row>
    <row r="572" ht="24" customHeight="1">
      <c r="A572" s="32" t="inlineStr">
        <is>
          <t>2025-10-15</t>
        </is>
      </c>
      <c r="B572" s="34" t="n">
        <v>44250</v>
      </c>
      <c r="C572" s="34" t="n">
        <v>44800</v>
      </c>
      <c r="D572" s="34" t="n">
        <v>43600</v>
      </c>
      <c r="E572" s="34" t="n">
        <v>44700</v>
      </c>
      <c r="F572" s="34" t="n">
        <v>43996.984375</v>
      </c>
      <c r="G572" s="34" t="n">
        <v>360839</v>
      </c>
      <c r="H572" s="39" t="n">
        <v>0.0193842645381983</v>
      </c>
      <c r="I572" s="39" t="n">
        <v>-0.1235294117647059</v>
      </c>
      <c r="J572" s="34" t="n">
        <v>40805</v>
      </c>
      <c r="K572" s="34" t="n">
        <v>33975</v>
      </c>
      <c r="L572" s="34" t="n">
        <v>32029.58333333333</v>
      </c>
      <c r="M572" s="39" t="n">
        <v>0.4882456052501598</v>
      </c>
      <c r="N572" s="39" t="n">
        <v>0.4867631910280407</v>
      </c>
      <c r="O572" s="39" t="n">
        <v>0.3484162895927603</v>
      </c>
      <c r="P572" s="39" t="n">
        <v>0.444264943457189</v>
      </c>
      <c r="Q572" s="39" t="n">
        <v>0.5851063829787233</v>
      </c>
      <c r="R572" s="39" t="n">
        <v>0.09545398848180375</v>
      </c>
      <c r="S572" s="39" t="n">
        <v>0.315673289183223</v>
      </c>
      <c r="T572" s="39" t="n">
        <v>0.3955848109169908</v>
      </c>
      <c r="U572" s="34" t="n">
        <v>46850</v>
      </c>
      <c r="V572" s="34" t="n">
        <v>20400</v>
      </c>
      <c r="W572" s="39" t="n">
        <v>-0.04589114194236932</v>
      </c>
      <c r="X572" s="39" t="n">
        <v>1.191176470588236</v>
      </c>
      <c r="Y572" s="34" t="n">
        <v>51414494</v>
      </c>
      <c r="Z572" s="34" t="n">
        <v>2298227881800</v>
      </c>
      <c r="AA572" s="34" t="n">
        <v>16129503300</v>
      </c>
      <c r="AB572" s="34" t="n">
        <v>32109851442.5</v>
      </c>
      <c r="AC572" s="39" t="n">
        <v>0.007018234974752451</v>
      </c>
      <c r="AD572" s="32" t="inlineStr">
        <is>
          <t>yfinance_download</t>
        </is>
      </c>
      <c r="AE572" s="32" t="inlineStr">
        <is>
          <t>005290.KQ</t>
        </is>
      </c>
    </row>
    <row r="573" ht="24" customHeight="1">
      <c r="A573" s="27" t="inlineStr">
        <is>
          <t>2025-10-16</t>
        </is>
      </c>
      <c r="B573" s="33" t="n">
        <v>44550</v>
      </c>
      <c r="C573" s="33" t="n">
        <v>44950</v>
      </c>
      <c r="D573" s="33" t="n">
        <v>43950</v>
      </c>
      <c r="E573" s="33" t="n">
        <v>44300</v>
      </c>
      <c r="F573" s="33" t="n">
        <v>43603.27734375</v>
      </c>
      <c r="G573" s="33" t="n">
        <v>328935</v>
      </c>
      <c r="H573" s="38" t="n">
        <v>-0.008948545861297563</v>
      </c>
      <c r="I573" s="38" t="n">
        <v>-0.1313725490196078</v>
      </c>
      <c r="J573" s="33" t="n">
        <v>41340</v>
      </c>
      <c r="K573" s="33" t="n">
        <v>34194.16666666666</v>
      </c>
      <c r="L573" s="33" t="n">
        <v>32175</v>
      </c>
      <c r="M573" s="38" t="n">
        <v>0.495908765402035</v>
      </c>
      <c r="N573" s="38" t="n">
        <v>0.4878054343398354</v>
      </c>
      <c r="O573" s="38" t="n">
        <v>0.3184523809523809</v>
      </c>
      <c r="P573" s="38" t="n">
        <v>0.4221508828250402</v>
      </c>
      <c r="Q573" s="38" t="n">
        <v>0.6499068901303537</v>
      </c>
      <c r="R573" s="38" t="n">
        <v>0.07160135462022255</v>
      </c>
      <c r="S573" s="38" t="n">
        <v>0.2955426120439648</v>
      </c>
      <c r="T573" s="38" t="n">
        <v>0.3768453768453768</v>
      </c>
      <c r="U573" s="33" t="n">
        <v>46850</v>
      </c>
      <c r="V573" s="33" t="n">
        <v>20400</v>
      </c>
      <c r="W573" s="38" t="n">
        <v>-0.05442902881536815</v>
      </c>
      <c r="X573" s="38" t="n">
        <v>1.17156862745098</v>
      </c>
      <c r="Y573" s="33" t="n">
        <v>51414494</v>
      </c>
      <c r="Z573" s="33" t="n">
        <v>2277662084200</v>
      </c>
      <c r="AA573" s="33" t="n">
        <v>14571820500</v>
      </c>
      <c r="AB573" s="33" t="n">
        <v>31676670387.5</v>
      </c>
      <c r="AC573" s="38" t="n">
        <v>0.006397709564155197</v>
      </c>
      <c r="AD573" s="27" t="inlineStr">
        <is>
          <t>yfinance_download</t>
        </is>
      </c>
      <c r="AE573" s="27" t="inlineStr">
        <is>
          <t>005290.KQ</t>
        </is>
      </c>
    </row>
    <row r="574" ht="24" customHeight="1">
      <c r="A574" s="32" t="inlineStr">
        <is>
          <t>2025-10-17</t>
        </is>
      </c>
      <c r="B574" s="34" t="n">
        <v>43650</v>
      </c>
      <c r="C574" s="34" t="n">
        <v>44600</v>
      </c>
      <c r="D574" s="34" t="n">
        <v>42750</v>
      </c>
      <c r="E574" s="34" t="n">
        <v>43150</v>
      </c>
      <c r="F574" s="34" t="n">
        <v>42471.36328125</v>
      </c>
      <c r="G574" s="34" t="n">
        <v>577575</v>
      </c>
      <c r="H574" s="39" t="n">
        <v>-0.02595936794582387</v>
      </c>
      <c r="I574" s="39" t="n">
        <v>-0.153921568627451</v>
      </c>
      <c r="J574" s="34" t="n">
        <v>41687.5</v>
      </c>
      <c r="K574" s="34" t="n">
        <v>34391.66666666666</v>
      </c>
      <c r="L574" s="34" t="n">
        <v>32306.25</v>
      </c>
      <c r="M574" s="39" t="n">
        <v>0.4558113153882863</v>
      </c>
      <c r="N574" s="39" t="n">
        <v>0.4922741147256165</v>
      </c>
      <c r="O574" s="39" t="n">
        <v>0.1919889502762431</v>
      </c>
      <c r="P574" s="39" t="n">
        <v>0.3785942492012779</v>
      </c>
      <c r="Q574" s="39" t="n">
        <v>0.5748175182481752</v>
      </c>
      <c r="R574" s="39" t="n">
        <v>0.03508245877061467</v>
      </c>
      <c r="S574" s="39" t="n">
        <v>0.2546644051369034</v>
      </c>
      <c r="T574" s="39" t="n">
        <v>0.3356548655445928</v>
      </c>
      <c r="U574" s="34" t="n">
        <v>46850</v>
      </c>
      <c r="V574" s="34" t="n">
        <v>20400</v>
      </c>
      <c r="W574" s="39" t="n">
        <v>-0.07897545357524016</v>
      </c>
      <c r="X574" s="39" t="n">
        <v>1.115196078431373</v>
      </c>
      <c r="Y574" s="34" t="n">
        <v>51414494</v>
      </c>
      <c r="Z574" s="34" t="n">
        <v>2218535416100</v>
      </c>
      <c r="AA574" s="34" t="n">
        <v>24922361250</v>
      </c>
      <c r="AB574" s="34" t="n">
        <v>28877688230</v>
      </c>
      <c r="AC574" s="39" t="n">
        <v>0.01123369997573058</v>
      </c>
      <c r="AD574" s="32" t="inlineStr">
        <is>
          <t>yfinance_download</t>
        </is>
      </c>
      <c r="AE574" s="32" t="inlineStr">
        <is>
          <t>005290.KQ</t>
        </is>
      </c>
    </row>
    <row r="575" ht="24" customHeight="1">
      <c r="A575" s="27" t="inlineStr">
        <is>
          <t>2025-10-20</t>
        </is>
      </c>
      <c r="B575" s="33" t="n">
        <v>43400</v>
      </c>
      <c r="C575" s="33" t="n">
        <v>43450</v>
      </c>
      <c r="D575" s="33" t="n">
        <v>42100</v>
      </c>
      <c r="E575" s="33" t="n">
        <v>42650</v>
      </c>
      <c r="F575" s="33" t="n">
        <v>41979.2265625</v>
      </c>
      <c r="G575" s="33" t="n">
        <v>472729</v>
      </c>
      <c r="H575" s="38" t="n">
        <v>-0.01158748551564315</v>
      </c>
      <c r="I575" s="38" t="n">
        <v>-0.1637254901960784</v>
      </c>
      <c r="J575" s="33" t="n">
        <v>41960</v>
      </c>
      <c r="K575" s="33" t="n">
        <v>34582.5</v>
      </c>
      <c r="L575" s="33" t="n">
        <v>32430.83333333333</v>
      </c>
      <c r="M575" s="38" t="n">
        <v>0.4560477736030629</v>
      </c>
      <c r="N575" s="38" t="n">
        <v>0.4932309227208017</v>
      </c>
      <c r="O575" s="38" t="n">
        <v>0.146505376344086</v>
      </c>
      <c r="P575" s="38" t="n">
        <v>0.3669871794871795</v>
      </c>
      <c r="Q575" s="38" t="n">
        <v>0.53971119133574</v>
      </c>
      <c r="R575" s="38" t="n">
        <v>0.01644423260247851</v>
      </c>
      <c r="S575" s="38" t="n">
        <v>0.2332827297043303</v>
      </c>
      <c r="T575" s="38" t="n">
        <v>0.3151065087236942</v>
      </c>
      <c r="U575" s="33" t="n">
        <v>46850</v>
      </c>
      <c r="V575" s="33" t="n">
        <v>20400</v>
      </c>
      <c r="W575" s="38" t="n">
        <v>-0.08964781216648876</v>
      </c>
      <c r="X575" s="38" t="n">
        <v>1.090686274509804</v>
      </c>
      <c r="Y575" s="33" t="n">
        <v>51414494</v>
      </c>
      <c r="Z575" s="33" t="n">
        <v>2192828169100</v>
      </c>
      <c r="AA575" s="33" t="n">
        <v>20161891850</v>
      </c>
      <c r="AB575" s="33" t="n">
        <v>27786287362.5</v>
      </c>
      <c r="AC575" s="38" t="n">
        <v>0.009194469559498144</v>
      </c>
      <c r="AD575" s="27" t="inlineStr">
        <is>
          <t>yfinance_download</t>
        </is>
      </c>
      <c r="AE575" s="27" t="inlineStr">
        <is>
          <t>005290.KQ</t>
        </is>
      </c>
    </row>
    <row r="576" ht="24" customHeight="1">
      <c r="A576" s="32" t="inlineStr">
        <is>
          <t>2025-10-21</t>
        </is>
      </c>
      <c r="B576" s="34" t="n">
        <v>43250</v>
      </c>
      <c r="C576" s="34" t="n">
        <v>43450</v>
      </c>
      <c r="D576" s="34" t="n">
        <v>41850</v>
      </c>
      <c r="E576" s="34" t="n">
        <v>42250</v>
      </c>
      <c r="F576" s="34" t="n">
        <v>41585.515625</v>
      </c>
      <c r="G576" s="34" t="n">
        <v>595974</v>
      </c>
      <c r="H576" s="39" t="n">
        <v>-0.009378663540445475</v>
      </c>
      <c r="I576" s="39" t="n">
        <v>-0.1715686274509803</v>
      </c>
      <c r="J576" s="34" t="n">
        <v>42190</v>
      </c>
      <c r="K576" s="34" t="n">
        <v>34755</v>
      </c>
      <c r="L576" s="34" t="n">
        <v>32537.91666666667</v>
      </c>
      <c r="M576" s="39" t="n">
        <v>0.4593767233387681</v>
      </c>
      <c r="N576" s="39" t="n">
        <v>0.492927129762723</v>
      </c>
      <c r="O576" s="39" t="n">
        <v>0.1221779548472774</v>
      </c>
      <c r="P576" s="39" t="n">
        <v>0.3244514106583072</v>
      </c>
      <c r="Q576" s="39" t="n">
        <v>0.4370748299319729</v>
      </c>
      <c r="R576" s="39" t="n">
        <v>0.001422137947380886</v>
      </c>
      <c r="S576" s="39" t="n">
        <v>0.2156524241116387</v>
      </c>
      <c r="T576" s="39" t="n">
        <v>0.2984851007158316</v>
      </c>
      <c r="U576" s="34" t="n">
        <v>46850</v>
      </c>
      <c r="V576" s="34" t="n">
        <v>20400</v>
      </c>
      <c r="W576" s="39" t="n">
        <v>-0.09818569903948771</v>
      </c>
      <c r="X576" s="39" t="n">
        <v>1.071078431372549</v>
      </c>
      <c r="Y576" s="34" t="n">
        <v>51414494</v>
      </c>
      <c r="Z576" s="34" t="n">
        <v>2172262371500</v>
      </c>
      <c r="AA576" s="34" t="n">
        <v>25179901500</v>
      </c>
      <c r="AB576" s="34" t="n">
        <v>27951254385</v>
      </c>
      <c r="AC576" s="39" t="n">
        <v>0.01159155626427054</v>
      </c>
      <c r="AD576" s="32" t="inlineStr">
        <is>
          <t>yfinance_download</t>
        </is>
      </c>
      <c r="AE576" s="32" t="inlineStr">
        <is>
          <t>005290.KQ</t>
        </is>
      </c>
    </row>
    <row r="577" ht="24" customHeight="1">
      <c r="A577" s="27" t="inlineStr">
        <is>
          <t>2025-10-22</t>
        </is>
      </c>
      <c r="B577" s="33" t="n">
        <v>41650</v>
      </c>
      <c r="C577" s="33" t="n">
        <v>42100</v>
      </c>
      <c r="D577" s="33" t="n">
        <v>40550</v>
      </c>
      <c r="E577" s="33" t="n">
        <v>41850</v>
      </c>
      <c r="F577" s="33" t="n">
        <v>41191.80859375</v>
      </c>
      <c r="G577" s="33" t="n">
        <v>581447</v>
      </c>
      <c r="H577" s="38" t="n">
        <v>-0.009467455621301801</v>
      </c>
      <c r="I577" s="38" t="n">
        <v>-0.1794117647058824</v>
      </c>
      <c r="J577" s="33" t="n">
        <v>42417.5</v>
      </c>
      <c r="K577" s="33" t="n">
        <v>34941.66666666666</v>
      </c>
      <c r="L577" s="33" t="n">
        <v>32642.08333333333</v>
      </c>
      <c r="M577" s="38" t="n">
        <v>0.4594536228070991</v>
      </c>
      <c r="N577" s="38" t="n">
        <v>0.4852099448296947</v>
      </c>
      <c r="O577" s="38" t="n">
        <v>0.1219839142091153</v>
      </c>
      <c r="P577" s="38" t="n">
        <v>0.3654159869494291</v>
      </c>
      <c r="Q577" s="38" t="n">
        <v>0.4258943781942079</v>
      </c>
      <c r="R577" s="38" t="n">
        <v>-0.01337891200565799</v>
      </c>
      <c r="S577" s="38" t="n">
        <v>0.1977104698306702</v>
      </c>
      <c r="T577" s="38" t="n">
        <v>0.2820872850742269</v>
      </c>
      <c r="U577" s="33" t="n">
        <v>46850</v>
      </c>
      <c r="V577" s="33" t="n">
        <v>20400</v>
      </c>
      <c r="W577" s="38" t="n">
        <v>-0.1067235859124867</v>
      </c>
      <c r="X577" s="38" t="n">
        <v>1.051470588235294</v>
      </c>
      <c r="Y577" s="33" t="n">
        <v>51414494</v>
      </c>
      <c r="Z577" s="33" t="n">
        <v>2151696573900</v>
      </c>
      <c r="AA577" s="33" t="n">
        <v>24333556950</v>
      </c>
      <c r="AB577" s="33" t="n">
        <v>28325867947.5</v>
      </c>
      <c r="AC577" s="38" t="n">
        <v>0.01130900947892242</v>
      </c>
      <c r="AD577" s="27" t="inlineStr">
        <is>
          <t>yfinance_download</t>
        </is>
      </c>
      <c r="AE577" s="27" t="inlineStr">
        <is>
          <t>005290.KQ</t>
        </is>
      </c>
    </row>
    <row r="578" ht="24" customHeight="1">
      <c r="A578" s="32" t="inlineStr">
        <is>
          <t>2025-10-23</t>
        </is>
      </c>
      <c r="B578" s="34" t="n">
        <v>41350</v>
      </c>
      <c r="C578" s="34" t="n">
        <v>42100</v>
      </c>
      <c r="D578" s="34" t="n">
        <v>40900</v>
      </c>
      <c r="E578" s="34" t="n">
        <v>41850</v>
      </c>
      <c r="F578" s="34" t="n">
        <v>41191.80859375</v>
      </c>
      <c r="G578" s="34" t="n">
        <v>312251</v>
      </c>
      <c r="H578" s="39" t="n">
        <v>0</v>
      </c>
      <c r="I578" s="39" t="n">
        <v>-0.1794117647058824</v>
      </c>
      <c r="J578" s="34" t="n">
        <v>42585</v>
      </c>
      <c r="K578" s="34" t="n">
        <v>35127.5</v>
      </c>
      <c r="L578" s="34" t="n">
        <v>32743.75</v>
      </c>
      <c r="M578" s="39" t="n">
        <v>0.4493809899392082</v>
      </c>
      <c r="N578" s="39" t="n">
        <v>0.4852792588315015</v>
      </c>
      <c r="O578" s="39" t="n">
        <v>0.08701298701298699</v>
      </c>
      <c r="P578" s="39" t="n">
        <v>0.3631921824104234</v>
      </c>
      <c r="Q578" s="39" t="n">
        <v>0.4114671163575043</v>
      </c>
      <c r="R578" s="39" t="n">
        <v>-0.01725959845015845</v>
      </c>
      <c r="S578" s="39" t="n">
        <v>0.1913742794107181</v>
      </c>
      <c r="T578" s="39" t="n">
        <v>0.2781065088757397</v>
      </c>
      <c r="U578" s="34" t="n">
        <v>46850</v>
      </c>
      <c r="V578" s="34" t="n">
        <v>20400</v>
      </c>
      <c r="W578" s="39" t="n">
        <v>-0.1067235859124867</v>
      </c>
      <c r="X578" s="39" t="n">
        <v>1.051470588235294</v>
      </c>
      <c r="Y578" s="34" t="n">
        <v>51414494</v>
      </c>
      <c r="Z578" s="34" t="n">
        <v>2151696573900</v>
      </c>
      <c r="AA578" s="34" t="n">
        <v>13067704350</v>
      </c>
      <c r="AB578" s="34" t="n">
        <v>27060482465</v>
      </c>
      <c r="AC578" s="39" t="n">
        <v>0.006073209628397782</v>
      </c>
      <c r="AD578" s="32" t="inlineStr">
        <is>
          <t>yfinance_download</t>
        </is>
      </c>
      <c r="AE578" s="32" t="inlineStr">
        <is>
          <t>005290.KQ</t>
        </is>
      </c>
    </row>
    <row r="579" ht="24" customHeight="1">
      <c r="A579" s="27" t="inlineStr">
        <is>
          <t>2025-10-24</t>
        </is>
      </c>
      <c r="B579" s="33" t="n">
        <v>43000</v>
      </c>
      <c r="C579" s="33" t="n">
        <v>43250</v>
      </c>
      <c r="D579" s="33" t="n">
        <v>41900</v>
      </c>
      <c r="E579" s="33" t="n">
        <v>42900</v>
      </c>
      <c r="F579" s="33" t="n">
        <v>42225.29296875</v>
      </c>
      <c r="G579" s="33" t="n">
        <v>530892</v>
      </c>
      <c r="H579" s="38" t="n">
        <v>0.02508960573476693</v>
      </c>
      <c r="I579" s="38" t="n">
        <v>-0.1588235294117647</v>
      </c>
      <c r="J579" s="33" t="n">
        <v>42782.5</v>
      </c>
      <c r="K579" s="33" t="n">
        <v>35335.83333333334</v>
      </c>
      <c r="L579" s="33" t="n">
        <v>32846.25</v>
      </c>
      <c r="M579" s="38" t="n">
        <v>0.4546890648559139</v>
      </c>
      <c r="N579" s="38" t="n">
        <v>0.4858125655805017</v>
      </c>
      <c r="O579" s="38" t="n">
        <v>0.1014120667522465</v>
      </c>
      <c r="P579" s="38" t="n">
        <v>0.4111842105263157</v>
      </c>
      <c r="Q579" s="38" t="n">
        <v>0.4019607843137254</v>
      </c>
      <c r="R579" s="38" t="n">
        <v>0.002746450067200312</v>
      </c>
      <c r="S579" s="38" t="n">
        <v>0.2140650425677428</v>
      </c>
      <c r="T579" s="38" t="n">
        <v>0.3060851695399018</v>
      </c>
      <c r="U579" s="33" t="n">
        <v>46850</v>
      </c>
      <c r="V579" s="33" t="n">
        <v>20400</v>
      </c>
      <c r="W579" s="38" t="n">
        <v>-0.08431163287086441</v>
      </c>
      <c r="X579" s="38" t="n">
        <v>1.102941176470588</v>
      </c>
      <c r="Y579" s="33" t="n">
        <v>51414494</v>
      </c>
      <c r="Z579" s="33" t="n">
        <v>2205681792600</v>
      </c>
      <c r="AA579" s="33" t="n">
        <v>22775266800</v>
      </c>
      <c r="AB579" s="33" t="n">
        <v>27149595887.5</v>
      </c>
      <c r="AC579" s="38" t="n">
        <v>0.01032572643815186</v>
      </c>
      <c r="AD579" s="27" t="inlineStr">
        <is>
          <t>yfinance_download</t>
        </is>
      </c>
      <c r="AE579" s="27" t="inlineStr">
        <is>
          <t>005290.KQ</t>
        </is>
      </c>
    </row>
    <row r="580" ht="24" customHeight="1">
      <c r="A580" s="32" t="inlineStr">
        <is>
          <t>2025-10-27</t>
        </is>
      </c>
      <c r="B580" s="34" t="n">
        <v>43800</v>
      </c>
      <c r="C580" s="34" t="n">
        <v>43800</v>
      </c>
      <c r="D580" s="34" t="n">
        <v>42300</v>
      </c>
      <c r="E580" s="34" t="n">
        <v>43000</v>
      </c>
      <c r="F580" s="34" t="n">
        <v>42323.72265625</v>
      </c>
      <c r="G580" s="34" t="n">
        <v>479813</v>
      </c>
      <c r="H580" s="39" t="n">
        <v>0.002331002331002363</v>
      </c>
      <c r="I580" s="39" t="n">
        <v>-0.1568627450980392</v>
      </c>
      <c r="J580" s="34" t="n">
        <v>42865</v>
      </c>
      <c r="K580" s="34" t="n">
        <v>35555.83333333334</v>
      </c>
      <c r="L580" s="34" t="n">
        <v>32945.41666666666</v>
      </c>
      <c r="M580" s="39" t="n">
        <v>0.4029185037367985</v>
      </c>
      <c r="N580" s="39" t="n">
        <v>0.4828745896857957</v>
      </c>
      <c r="O580" s="39" t="n">
        <v>0.03990326481257567</v>
      </c>
      <c r="P580" s="39" t="n">
        <v>0.4429530201342282</v>
      </c>
      <c r="Q580" s="39" t="n">
        <v>0.382636655948553</v>
      </c>
      <c r="R580" s="39" t="n">
        <v>0.00314942260585549</v>
      </c>
      <c r="S580" s="39" t="n">
        <v>0.2093655518316262</v>
      </c>
      <c r="T580" s="39" t="n">
        <v>0.305189138600463</v>
      </c>
      <c r="U580" s="34" t="n">
        <v>46850</v>
      </c>
      <c r="V580" s="34" t="n">
        <v>20400</v>
      </c>
      <c r="W580" s="39" t="n">
        <v>-0.08217716115261475</v>
      </c>
      <c r="X580" s="39" t="n">
        <v>1.107843137254902</v>
      </c>
      <c r="Y580" s="34" t="n">
        <v>51414494</v>
      </c>
      <c r="Z580" s="34" t="n">
        <v>2210823242000</v>
      </c>
      <c r="AA580" s="34" t="n">
        <v>20631959000</v>
      </c>
      <c r="AB580" s="34" t="n">
        <v>25795342255</v>
      </c>
      <c r="AC580" s="39" t="n">
        <v>0.009332251718746857</v>
      </c>
      <c r="AD580" s="32" t="inlineStr">
        <is>
          <t>yfinance_download</t>
        </is>
      </c>
      <c r="AE580" s="32" t="inlineStr">
        <is>
          <t>005290.KQ</t>
        </is>
      </c>
    </row>
    <row r="581" ht="24" customHeight="1">
      <c r="A581" s="27" t="inlineStr">
        <is>
          <t>2025-10-28</t>
        </is>
      </c>
      <c r="B581" s="33" t="n">
        <v>42450</v>
      </c>
      <c r="C581" s="33" t="n">
        <v>42800</v>
      </c>
      <c r="D581" s="33" t="n">
        <v>41550</v>
      </c>
      <c r="E581" s="33" t="n">
        <v>42100</v>
      </c>
      <c r="F581" s="33" t="n">
        <v>41437.875</v>
      </c>
      <c r="G581" s="33" t="n">
        <v>444681</v>
      </c>
      <c r="H581" s="38" t="n">
        <v>-0.02093023255813953</v>
      </c>
      <c r="I581" s="38" t="n">
        <v>-0.1745098039215687</v>
      </c>
      <c r="J581" s="33" t="n">
        <v>42902.5</v>
      </c>
      <c r="K581" s="33" t="n">
        <v>35715</v>
      </c>
      <c r="L581" s="33" t="n">
        <v>33049.16666666666</v>
      </c>
      <c r="M581" s="38" t="n">
        <v>0.411239527929965</v>
      </c>
      <c r="N581" s="38" t="n">
        <v>0.4517909211323962</v>
      </c>
      <c r="O581" s="38" t="n">
        <v>0.01813784764207971</v>
      </c>
      <c r="P581" s="38" t="n">
        <v>0.293394777265745</v>
      </c>
      <c r="Q581" s="38" t="n">
        <v>0.4198988195615514</v>
      </c>
      <c r="R581" s="38" t="n">
        <v>-0.01870520365946038</v>
      </c>
      <c r="S581" s="38" t="n">
        <v>0.1787764244715107</v>
      </c>
      <c r="T581" s="38" t="n">
        <v>0.2738596535464839</v>
      </c>
      <c r="U581" s="33" t="n">
        <v>46850</v>
      </c>
      <c r="V581" s="33" t="n">
        <v>20400</v>
      </c>
      <c r="W581" s="38" t="n">
        <v>-0.1013874066168623</v>
      </c>
      <c r="X581" s="38" t="n">
        <v>1.063725490196079</v>
      </c>
      <c r="Y581" s="33" t="n">
        <v>51414494</v>
      </c>
      <c r="Z581" s="33" t="n">
        <v>2164550197400</v>
      </c>
      <c r="AA581" s="33" t="n">
        <v>18721070100</v>
      </c>
      <c r="AB581" s="33" t="n">
        <v>25516638202.5</v>
      </c>
      <c r="AC581" s="38" t="n">
        <v>0.008648942455798553</v>
      </c>
      <c r="AD581" s="27" t="inlineStr">
        <is>
          <t>yfinance_download</t>
        </is>
      </c>
      <c r="AE581" s="27" t="inlineStr">
        <is>
          <t>005290.KQ</t>
        </is>
      </c>
    </row>
    <row r="582" ht="24" customHeight="1">
      <c r="A582" s="32" t="inlineStr">
        <is>
          <t>2025-10-29</t>
        </is>
      </c>
      <c r="B582" s="34" t="n">
        <v>42400</v>
      </c>
      <c r="C582" s="34" t="n">
        <v>43600</v>
      </c>
      <c r="D582" s="34" t="n">
        <v>41925</v>
      </c>
      <c r="E582" s="34" t="n">
        <v>43300</v>
      </c>
      <c r="F582" s="34" t="n">
        <v>42619.00390625</v>
      </c>
      <c r="G582" s="34" t="n">
        <v>464732</v>
      </c>
      <c r="H582" s="39" t="n">
        <v>0.02850356294536827</v>
      </c>
      <c r="I582" s="39" t="n">
        <v>-0.1509803921568628</v>
      </c>
      <c r="J582" s="34" t="n">
        <v>42975</v>
      </c>
      <c r="K582" s="34" t="n">
        <v>35891.66666666666</v>
      </c>
      <c r="L582" s="34" t="n">
        <v>33163.33333333334</v>
      </c>
      <c r="M582" s="39" t="n">
        <v>0.4210075797838797</v>
      </c>
      <c r="N582" s="39" t="n">
        <v>0.4544185791456772</v>
      </c>
      <c r="O582" s="39" t="n">
        <v>0.0346475507765831</v>
      </c>
      <c r="P582" s="39" t="n">
        <v>0.3241590214067278</v>
      </c>
      <c r="Q582" s="39" t="n">
        <v>0.4628378378378379</v>
      </c>
      <c r="R582" s="39" t="n">
        <v>0.007562536358347804</v>
      </c>
      <c r="S582" s="39" t="n">
        <v>0.2064081727420479</v>
      </c>
      <c r="T582" s="39" t="n">
        <v>0.3056588601869534</v>
      </c>
      <c r="U582" s="34" t="n">
        <v>46850</v>
      </c>
      <c r="V582" s="34" t="n">
        <v>20400</v>
      </c>
      <c r="W582" s="39" t="n">
        <v>-0.07577374599786557</v>
      </c>
      <c r="X582" s="39" t="n">
        <v>1.122549019607843</v>
      </c>
      <c r="Y582" s="34" t="n">
        <v>51414494</v>
      </c>
      <c r="Z582" s="34" t="n">
        <v>2226247590200</v>
      </c>
      <c r="AA582" s="34" t="n">
        <v>20122895600</v>
      </c>
      <c r="AB582" s="34" t="n">
        <v>25196035450</v>
      </c>
      <c r="AC582" s="39" t="n">
        <v>0.009038929761712718</v>
      </c>
      <c r="AD582" s="32" t="inlineStr">
        <is>
          <t>yfinance_download</t>
        </is>
      </c>
      <c r="AE582" s="32" t="inlineStr">
        <is>
          <t>005290.KQ</t>
        </is>
      </c>
    </row>
    <row r="583" ht="24" customHeight="1">
      <c r="A583" s="27" t="inlineStr">
        <is>
          <t>2025-10-30</t>
        </is>
      </c>
      <c r="B583" s="33" t="n">
        <v>42700</v>
      </c>
      <c r="C583" s="33" t="n">
        <v>42700</v>
      </c>
      <c r="D583" s="33" t="n">
        <v>41100</v>
      </c>
      <c r="E583" s="33" t="n">
        <v>42400</v>
      </c>
      <c r="F583" s="33" t="n">
        <v>41733.16015625</v>
      </c>
      <c r="G583" s="33" t="n">
        <v>530108</v>
      </c>
      <c r="H583" s="38" t="n">
        <v>-0.02078521939953815</v>
      </c>
      <c r="I583" s="38" t="n">
        <v>-0.1686274509803921</v>
      </c>
      <c r="J583" s="33" t="n">
        <v>43020</v>
      </c>
      <c r="K583" s="33" t="n">
        <v>36060.83333333334</v>
      </c>
      <c r="L583" s="33" t="n">
        <v>33273.75</v>
      </c>
      <c r="M583" s="38" t="n">
        <v>0.4273379598690191</v>
      </c>
      <c r="N583" s="38" t="n">
        <v>0.4558886818380326</v>
      </c>
      <c r="O583" s="38" t="n">
        <v>0.02168674698795181</v>
      </c>
      <c r="P583" s="38" t="n">
        <v>0.3147286821705426</v>
      </c>
      <c r="Q583" s="38" t="n">
        <v>0.4545454545454546</v>
      </c>
      <c r="R583" s="38" t="n">
        <v>-0.01441190144119009</v>
      </c>
      <c r="S583" s="38" t="n">
        <v>0.1757909088808263</v>
      </c>
      <c r="T583" s="38" t="n">
        <v>0.2742777715165858</v>
      </c>
      <c r="U583" s="33" t="n">
        <v>46850</v>
      </c>
      <c r="V583" s="33" t="n">
        <v>20400</v>
      </c>
      <c r="W583" s="38" t="n">
        <v>-0.09498399146211312</v>
      </c>
      <c r="X583" s="38" t="n">
        <v>1.07843137254902</v>
      </c>
      <c r="Y583" s="33" t="n">
        <v>51414494</v>
      </c>
      <c r="Z583" s="33" t="n">
        <v>2179974545600</v>
      </c>
      <c r="AA583" s="33" t="n">
        <v>22476579200</v>
      </c>
      <c r="AB583" s="33" t="n">
        <v>25220402835</v>
      </c>
      <c r="AC583" s="38" t="n">
        <v>0.01031047781973698</v>
      </c>
      <c r="AD583" s="27" t="inlineStr">
        <is>
          <t>yfinance_download</t>
        </is>
      </c>
      <c r="AE583" s="27" t="inlineStr">
        <is>
          <t>005290.KQ</t>
        </is>
      </c>
    </row>
    <row r="584" ht="24" customHeight="1">
      <c r="A584" s="32" t="inlineStr">
        <is>
          <t>2025-10-31</t>
        </is>
      </c>
      <c r="B584" s="34" t="n">
        <v>42250</v>
      </c>
      <c r="C584" s="34" t="n">
        <v>43550</v>
      </c>
      <c r="D584" s="34" t="n">
        <v>42200</v>
      </c>
      <c r="E584" s="34" t="n">
        <v>42800</v>
      </c>
      <c r="F584" s="34" t="n">
        <v>42126.8671875</v>
      </c>
      <c r="G584" s="34" t="n">
        <v>332172</v>
      </c>
      <c r="H584" s="39" t="n">
        <v>0.009433962264151052</v>
      </c>
      <c r="I584" s="39" t="n">
        <v>-0.1607843137254902</v>
      </c>
      <c r="J584" s="34" t="n">
        <v>43140</v>
      </c>
      <c r="K584" s="34" t="n">
        <v>36245.83333333334</v>
      </c>
      <c r="L584" s="34" t="n">
        <v>33380.83333333334</v>
      </c>
      <c r="M584" s="39" t="n">
        <v>0.4150614187047556</v>
      </c>
      <c r="N584" s="39" t="n">
        <v>0.4536488698176234</v>
      </c>
      <c r="O584" s="39" t="n">
        <v>0.05940594059405946</v>
      </c>
      <c r="P584" s="39" t="n">
        <v>0.3501577287066246</v>
      </c>
      <c r="Q584" s="39" t="n">
        <v>0.4290484140233723</v>
      </c>
      <c r="R584" s="39" t="n">
        <v>-0.007881316643486347</v>
      </c>
      <c r="S584" s="39" t="n">
        <v>0.1808253822278423</v>
      </c>
      <c r="T584" s="39" t="n">
        <v>0.2821729036123524</v>
      </c>
      <c r="U584" s="34" t="n">
        <v>46850</v>
      </c>
      <c r="V584" s="34" t="n">
        <v>20400</v>
      </c>
      <c r="W584" s="39" t="n">
        <v>-0.08644610458911417</v>
      </c>
      <c r="X584" s="39" t="n">
        <v>1.098039215686275</v>
      </c>
      <c r="Y584" s="34" t="n">
        <v>51414494</v>
      </c>
      <c r="Z584" s="34" t="n">
        <v>2200540343200</v>
      </c>
      <c r="AA584" s="34" t="n">
        <v>14216961600</v>
      </c>
      <c r="AB584" s="34" t="n">
        <v>24678990295</v>
      </c>
      <c r="AC584" s="39" t="n">
        <v>0.006460668464421725</v>
      </c>
      <c r="AD584" s="32" t="inlineStr">
        <is>
          <t>yfinance_download</t>
        </is>
      </c>
      <c r="AE584" s="32" t="inlineStr">
        <is>
          <t>005290.KQ</t>
        </is>
      </c>
    </row>
    <row r="585" ht="24" customHeight="1">
      <c r="A585" s="27" t="inlineStr">
        <is>
          <t>2025-11-03</t>
        </is>
      </c>
      <c r="B585" s="33" t="n">
        <v>42550</v>
      </c>
      <c r="C585" s="33" t="n">
        <v>42800</v>
      </c>
      <c r="D585" s="33" t="n">
        <v>41850</v>
      </c>
      <c r="E585" s="33" t="n">
        <v>42750</v>
      </c>
      <c r="F585" s="33" t="n">
        <v>42077.65234375</v>
      </c>
      <c r="G585" s="33" t="n">
        <v>427672</v>
      </c>
      <c r="H585" s="38" t="n">
        <v>-0.001168224299065379</v>
      </c>
      <c r="I585" s="38" t="n">
        <v>-0.1617647058823529</v>
      </c>
      <c r="J585" s="33" t="n">
        <v>43232.5</v>
      </c>
      <c r="K585" s="33" t="n">
        <v>36464.16666666666</v>
      </c>
      <c r="L585" s="33" t="n">
        <v>33487.5</v>
      </c>
      <c r="M585" s="38" t="n">
        <v>0.4138771170470173</v>
      </c>
      <c r="N585" s="38" t="n">
        <v>0.4297872022704978</v>
      </c>
      <c r="O585" s="38" t="n">
        <v>0.04523227383863082</v>
      </c>
      <c r="P585" s="38" t="n">
        <v>0.4418212478920742</v>
      </c>
      <c r="Q585" s="38" t="n">
        <v>0.4273789649415694</v>
      </c>
      <c r="R585" s="38" t="n">
        <v>-0.01116058520788754</v>
      </c>
      <c r="S585" s="38" t="n">
        <v>0.1723838471558836</v>
      </c>
      <c r="T585" s="38" t="n">
        <v>0.2765957446808511</v>
      </c>
      <c r="U585" s="33" t="n">
        <v>46850</v>
      </c>
      <c r="V585" s="33" t="n">
        <v>20400</v>
      </c>
      <c r="W585" s="38" t="n">
        <v>-0.08751334044823911</v>
      </c>
      <c r="X585" s="38" t="n">
        <v>1.095588235294118</v>
      </c>
      <c r="Y585" s="33" t="n">
        <v>51414494</v>
      </c>
      <c r="Z585" s="33" t="n">
        <v>2197969618500</v>
      </c>
      <c r="AA585" s="33" t="n">
        <v>18282978000</v>
      </c>
      <c r="AB585" s="33" t="n">
        <v>24952401840</v>
      </c>
      <c r="AC585" s="38" t="n">
        <v>0.008318121345315583</v>
      </c>
      <c r="AD585" s="27" t="inlineStr">
        <is>
          <t>yfinance_download</t>
        </is>
      </c>
      <c r="AE585" s="27" t="inlineStr">
        <is>
          <t>005290.KQ</t>
        </is>
      </c>
    </row>
    <row r="586" ht="24" customHeight="1">
      <c r="A586" s="32" t="inlineStr">
        <is>
          <t>2025-11-04</t>
        </is>
      </c>
      <c r="B586" s="34" t="n">
        <v>43150</v>
      </c>
      <c r="C586" s="34" t="n">
        <v>44150</v>
      </c>
      <c r="D586" s="34" t="n">
        <v>42250</v>
      </c>
      <c r="E586" s="34" t="n">
        <v>42400</v>
      </c>
      <c r="F586" s="34" t="n">
        <v>41733.16015625</v>
      </c>
      <c r="G586" s="34" t="n">
        <v>441304</v>
      </c>
      <c r="H586" s="39" t="n">
        <v>-0.008187134502923965</v>
      </c>
      <c r="I586" s="39" t="n">
        <v>-0.1686274509803921</v>
      </c>
      <c r="J586" s="34" t="n">
        <v>43295</v>
      </c>
      <c r="K586" s="34" t="n">
        <v>36677.5</v>
      </c>
      <c r="L586" s="34" t="n">
        <v>33591.66666666666</v>
      </c>
      <c r="M586" s="39" t="n">
        <v>0.415346775645583</v>
      </c>
      <c r="N586" s="39" t="n">
        <v>0.4305201444594597</v>
      </c>
      <c r="O586" s="39" t="n">
        <v>0.03037667071688932</v>
      </c>
      <c r="P586" s="39" t="n">
        <v>0.4324324324324325</v>
      </c>
      <c r="Q586" s="39" t="n">
        <v>0.4180602006688963</v>
      </c>
      <c r="R586" s="39" t="n">
        <v>-0.02067213304076687</v>
      </c>
      <c r="S586" s="39" t="n">
        <v>0.1560220843841593</v>
      </c>
      <c r="T586" s="39" t="n">
        <v>0.2622178119573308</v>
      </c>
      <c r="U586" s="34" t="n">
        <v>46850</v>
      </c>
      <c r="V586" s="34" t="n">
        <v>20400</v>
      </c>
      <c r="W586" s="39" t="n">
        <v>-0.09498399146211312</v>
      </c>
      <c r="X586" s="39" t="n">
        <v>1.07843137254902</v>
      </c>
      <c r="Y586" s="34" t="n">
        <v>51414494</v>
      </c>
      <c r="Z586" s="34" t="n">
        <v>2179974545600</v>
      </c>
      <c r="AA586" s="34" t="n">
        <v>18711289600</v>
      </c>
      <c r="AB586" s="34" t="n">
        <v>25060203207.5</v>
      </c>
      <c r="AC586" s="39" t="n">
        <v>0.00858326058795794</v>
      </c>
      <c r="AD586" s="32" t="inlineStr">
        <is>
          <t>yfinance_download</t>
        </is>
      </c>
      <c r="AE586" s="32" t="inlineStr">
        <is>
          <t>005290.KQ</t>
        </is>
      </c>
    </row>
    <row r="587" ht="24" customHeight="1">
      <c r="A587" s="27" t="inlineStr">
        <is>
          <t>2025-11-05</t>
        </is>
      </c>
      <c r="B587" s="33" t="n">
        <v>41500</v>
      </c>
      <c r="C587" s="33" t="n">
        <v>41500</v>
      </c>
      <c r="D587" s="33" t="n">
        <v>37750</v>
      </c>
      <c r="E587" s="33" t="n">
        <v>39100</v>
      </c>
      <c r="F587" s="33" t="n">
        <v>38485.05859375</v>
      </c>
      <c r="G587" s="33" t="n">
        <v>851999</v>
      </c>
      <c r="H587" s="38" t="n">
        <v>-0.07783018867924529</v>
      </c>
      <c r="I587" s="38" t="n">
        <v>-0.2333333333333333</v>
      </c>
      <c r="J587" s="33" t="n">
        <v>43092.5</v>
      </c>
      <c r="K587" s="33" t="n">
        <v>36832.5</v>
      </c>
      <c r="L587" s="33" t="n">
        <v>33682.91666666666</v>
      </c>
      <c r="M587" s="38" t="n">
        <v>0.4658551253821438</v>
      </c>
      <c r="N587" s="38" t="n">
        <v>0.4638043712947991</v>
      </c>
      <c r="O587" s="38" t="n">
        <v>-0.09385863267670913</v>
      </c>
      <c r="P587" s="38" t="n">
        <v>0.3120805369127517</v>
      </c>
      <c r="Q587" s="38" t="n">
        <v>0.38898756660746</v>
      </c>
      <c r="R587" s="38" t="n">
        <v>-0.09264953298137724</v>
      </c>
      <c r="S587" s="38" t="n">
        <v>0.06156247878911292</v>
      </c>
      <c r="T587" s="38" t="n">
        <v>0.1608258390133477</v>
      </c>
      <c r="U587" s="33" t="n">
        <v>46850</v>
      </c>
      <c r="V587" s="33" t="n">
        <v>20400</v>
      </c>
      <c r="W587" s="38" t="n">
        <v>-0.1654215581643543</v>
      </c>
      <c r="X587" s="38" t="n">
        <v>0.9166666666666667</v>
      </c>
      <c r="Y587" s="33" t="n">
        <v>51414494</v>
      </c>
      <c r="Z587" s="33" t="n">
        <v>2010306715400</v>
      </c>
      <c r="AA587" s="33" t="n">
        <v>33313160900</v>
      </c>
      <c r="AB587" s="33" t="n">
        <v>25062085710</v>
      </c>
      <c r="AC587" s="38" t="n">
        <v>0.01657118321537892</v>
      </c>
      <c r="AD587" s="27" t="inlineStr">
        <is>
          <t>yfinance_download</t>
        </is>
      </c>
      <c r="AE587" s="27" t="inlineStr">
        <is>
          <t>005290.KQ</t>
        </is>
      </c>
    </row>
    <row r="588" ht="24" customHeight="1">
      <c r="A588" s="32" t="inlineStr">
        <is>
          <t>2025-11-06</t>
        </is>
      </c>
      <c r="B588" s="34" t="n">
        <v>40000</v>
      </c>
      <c r="C588" s="34" t="n">
        <v>40050</v>
      </c>
      <c r="D588" s="34" t="n">
        <v>37050</v>
      </c>
      <c r="E588" s="34" t="n">
        <v>37500</v>
      </c>
      <c r="F588" s="34" t="n">
        <v>36910.22265625</v>
      </c>
      <c r="G588" s="34" t="n">
        <v>766440</v>
      </c>
      <c r="H588" s="39" t="n">
        <v>-0.04092071611253201</v>
      </c>
      <c r="I588" s="39" t="n">
        <v>-0.2647058823529411</v>
      </c>
      <c r="J588" s="34" t="n">
        <v>42767.5</v>
      </c>
      <c r="K588" s="34" t="n">
        <v>36967.5</v>
      </c>
      <c r="L588" s="34" t="n">
        <v>33741.25</v>
      </c>
      <c r="M588" s="39" t="n">
        <v>0.4737138097431833</v>
      </c>
      <c r="N588" s="39" t="n">
        <v>0.4718124020092812</v>
      </c>
      <c r="O588" s="39" t="n">
        <v>-0.1477272727272727</v>
      </c>
      <c r="P588" s="39" t="n">
        <v>0.2755102040816326</v>
      </c>
      <c r="Q588" s="39" t="n">
        <v>0.2295081967213115</v>
      </c>
      <c r="R588" s="39" t="n">
        <v>-0.1231659554568305</v>
      </c>
      <c r="S588" s="39" t="n">
        <v>0.01440454453235951</v>
      </c>
      <c r="T588" s="39" t="n">
        <v>0.1113992516578373</v>
      </c>
      <c r="U588" s="34" t="n">
        <v>46850</v>
      </c>
      <c r="V588" s="34" t="n">
        <v>20400</v>
      </c>
      <c r="W588" s="39" t="n">
        <v>-0.19957310565635</v>
      </c>
      <c r="X588" s="39" t="n">
        <v>0.838235294117647</v>
      </c>
      <c r="Y588" s="34" t="n">
        <v>51414494</v>
      </c>
      <c r="Z588" s="34" t="n">
        <v>1928043525000</v>
      </c>
      <c r="AA588" s="34" t="n">
        <v>28741500000</v>
      </c>
      <c r="AB588" s="34" t="n">
        <v>23454747910</v>
      </c>
      <c r="AC588" s="39" t="n">
        <v>0.0149070804820135</v>
      </c>
      <c r="AD588" s="32" t="inlineStr">
        <is>
          <t>yfinance_download</t>
        </is>
      </c>
      <c r="AE588" s="32" t="inlineStr">
        <is>
          <t>005290.KQ</t>
        </is>
      </c>
    </row>
    <row r="589" ht="24" customHeight="1">
      <c r="A589" s="27" t="inlineStr">
        <is>
          <t>2025-11-07</t>
        </is>
      </c>
      <c r="B589" s="33" t="n">
        <v>36150</v>
      </c>
      <c r="C589" s="33" t="n">
        <v>37000</v>
      </c>
      <c r="D589" s="33" t="n">
        <v>35000</v>
      </c>
      <c r="E589" s="33" t="n">
        <v>35800</v>
      </c>
      <c r="F589" s="33" t="n">
        <v>35236.9609375</v>
      </c>
      <c r="G589" s="33" t="n">
        <v>776698</v>
      </c>
      <c r="H589" s="38" t="n">
        <v>-0.04533333333333334</v>
      </c>
      <c r="I589" s="38" t="n">
        <v>-0.2980392156862746</v>
      </c>
      <c r="J589" s="33" t="n">
        <v>42215</v>
      </c>
      <c r="K589" s="33" t="n">
        <v>37057.5</v>
      </c>
      <c r="L589" s="33" t="n">
        <v>33783.75</v>
      </c>
      <c r="M589" s="38" t="n">
        <v>0.4073945071265785</v>
      </c>
      <c r="N589" s="38" t="n">
        <v>0.4785837089777714</v>
      </c>
      <c r="O589" s="38" t="n">
        <v>-0.2358591248665955</v>
      </c>
      <c r="P589" s="38" t="n">
        <v>0.1776315789473684</v>
      </c>
      <c r="Q589" s="38" t="n">
        <v>0.1661237785016287</v>
      </c>
      <c r="R589" s="38" t="n">
        <v>-0.1519602037190572</v>
      </c>
      <c r="S589" s="38" t="n">
        <v>-0.03393375160223977</v>
      </c>
      <c r="T589" s="38" t="n">
        <v>0.05968105968105974</v>
      </c>
      <c r="U589" s="33" t="n">
        <v>46850</v>
      </c>
      <c r="V589" s="33" t="n">
        <v>20400</v>
      </c>
      <c r="W589" s="38" t="n">
        <v>-0.2358591248665955</v>
      </c>
      <c r="X589" s="38" t="n">
        <v>0.7549019607843137</v>
      </c>
      <c r="Y589" s="33" t="n">
        <v>51414494</v>
      </c>
      <c r="Z589" s="33" t="n">
        <v>1840638885200</v>
      </c>
      <c r="AA589" s="33" t="n">
        <v>27805788400</v>
      </c>
      <c r="AB589" s="33" t="n">
        <v>22289411995</v>
      </c>
      <c r="AC589" s="38" t="n">
        <v>0.0151065962061204</v>
      </c>
      <c r="AD589" s="27" t="inlineStr">
        <is>
          <t>yfinance_download</t>
        </is>
      </c>
      <c r="AE589" s="27" t="inlineStr">
        <is>
          <t>005290.KQ</t>
        </is>
      </c>
    </row>
    <row r="590" ht="24" customHeight="1">
      <c r="A590" s="32" t="inlineStr">
        <is>
          <t>2025-11-10</t>
        </is>
      </c>
      <c r="B590" s="34" t="n">
        <v>36150</v>
      </c>
      <c r="C590" s="34" t="n">
        <v>36600</v>
      </c>
      <c r="D590" s="34" t="n">
        <v>35550</v>
      </c>
      <c r="E590" s="34" t="n">
        <v>36400</v>
      </c>
      <c r="F590" s="34" t="n">
        <v>35827.5234375</v>
      </c>
      <c r="G590" s="34" t="n">
        <v>458253</v>
      </c>
      <c r="H590" s="39" t="n">
        <v>0.01675977653631278</v>
      </c>
      <c r="I590" s="39" t="n">
        <v>-0.2862745098039216</v>
      </c>
      <c r="J590" s="34" t="n">
        <v>41752.5</v>
      </c>
      <c r="K590" s="34" t="n">
        <v>37144.16666666666</v>
      </c>
      <c r="L590" s="34" t="n">
        <v>33830.41666666666</v>
      </c>
      <c r="M590" s="39" t="n">
        <v>0.4176848760779667</v>
      </c>
      <c r="N590" s="39" t="n">
        <v>0.4770081309085107</v>
      </c>
      <c r="O590" s="39" t="n">
        <v>-0.2026286966046003</v>
      </c>
      <c r="P590" s="39" t="n">
        <v>0.1666666666666667</v>
      </c>
      <c r="Q590" s="39" t="n">
        <v>0.1818181818181819</v>
      </c>
      <c r="R590" s="39" t="n">
        <v>-0.1281959164121909</v>
      </c>
      <c r="S590" s="39" t="n">
        <v>-0.02003455006393995</v>
      </c>
      <c r="T590" s="39" t="n">
        <v>0.07595482369169759</v>
      </c>
      <c r="U590" s="34" t="n">
        <v>46850</v>
      </c>
      <c r="V590" s="34" t="n">
        <v>20400</v>
      </c>
      <c r="W590" s="39" t="n">
        <v>-0.2230522945570971</v>
      </c>
      <c r="X590" s="39" t="n">
        <v>0.7843137254901962</v>
      </c>
      <c r="Y590" s="34" t="n">
        <v>51414494</v>
      </c>
      <c r="Z590" s="34" t="n">
        <v>1871487581600</v>
      </c>
      <c r="AA590" s="34" t="n">
        <v>16680409200</v>
      </c>
      <c r="AB590" s="34" t="n">
        <v>21695297312.5</v>
      </c>
      <c r="AC590" s="39" t="n">
        <v>0.008912914712337731</v>
      </c>
      <c r="AD590" s="32" t="inlineStr">
        <is>
          <t>yfinance_download</t>
        </is>
      </c>
      <c r="AE590" s="32" t="inlineStr">
        <is>
          <t>005290.KQ</t>
        </is>
      </c>
    </row>
    <row r="591" ht="24" customHeight="1">
      <c r="A591" s="27" t="inlineStr">
        <is>
          <t>2025-11-11</t>
        </is>
      </c>
      <c r="B591" s="33" t="n">
        <v>37450</v>
      </c>
      <c r="C591" s="33" t="n">
        <v>37900</v>
      </c>
      <c r="D591" s="33" t="n">
        <v>35600</v>
      </c>
      <c r="E591" s="33" t="n">
        <v>36200</v>
      </c>
      <c r="F591" s="33" t="n">
        <v>35630.66796875</v>
      </c>
      <c r="G591" s="33" t="n">
        <v>532765</v>
      </c>
      <c r="H591" s="38" t="n">
        <v>-0.005494505494505475</v>
      </c>
      <c r="I591" s="38" t="n">
        <v>-0.2901960784313725</v>
      </c>
      <c r="J591" s="33" t="n">
        <v>41370</v>
      </c>
      <c r="K591" s="33" t="n">
        <v>37219.16666666666</v>
      </c>
      <c r="L591" s="33" t="n">
        <v>33882.08333333334</v>
      </c>
      <c r="M591" s="38" t="n">
        <v>0.4041133039738016</v>
      </c>
      <c r="N591" s="38" t="n">
        <v>0.4765394931642987</v>
      </c>
      <c r="O591" s="38" t="n">
        <v>-0.1744583808437856</v>
      </c>
      <c r="P591" s="38" t="n">
        <v>0.1419558359621451</v>
      </c>
      <c r="Q591" s="38" t="n">
        <v>0.2066666666666668</v>
      </c>
      <c r="R591" s="38" t="n">
        <v>-0.124969784868262</v>
      </c>
      <c r="S591" s="38" t="n">
        <v>-0.02738284486039888</v>
      </c>
      <c r="T591" s="38" t="n">
        <v>0.06841127931428836</v>
      </c>
      <c r="U591" s="33" t="n">
        <v>46850</v>
      </c>
      <c r="V591" s="33" t="n">
        <v>20400</v>
      </c>
      <c r="W591" s="38" t="n">
        <v>-0.2273212379935966</v>
      </c>
      <c r="X591" s="38" t="n">
        <v>0.7745098039215685</v>
      </c>
      <c r="Y591" s="33" t="n">
        <v>51414494</v>
      </c>
      <c r="Z591" s="33" t="n">
        <v>1861204682800</v>
      </c>
      <c r="AA591" s="33" t="n">
        <v>19286093000</v>
      </c>
      <c r="AB591" s="33" t="n">
        <v>21006634555</v>
      </c>
      <c r="AC591" s="38" t="n">
        <v>0.01036215585433944</v>
      </c>
      <c r="AD591" s="27" t="inlineStr">
        <is>
          <t>yfinance_download</t>
        </is>
      </c>
      <c r="AE591" s="27" t="inlineStr">
        <is>
          <t>005290.KQ</t>
        </is>
      </c>
    </row>
    <row r="592" ht="24" customHeight="1">
      <c r="A592" s="32" t="inlineStr">
        <is>
          <t>2025-11-12</t>
        </is>
      </c>
      <c r="B592" s="34" t="n">
        <v>36000</v>
      </c>
      <c r="C592" s="34" t="n">
        <v>36050</v>
      </c>
      <c r="D592" s="34" t="n">
        <v>35200</v>
      </c>
      <c r="E592" s="34" t="n">
        <v>35700</v>
      </c>
      <c r="F592" s="34" t="n">
        <v>35138.53125</v>
      </c>
      <c r="G592" s="34" t="n">
        <v>386592</v>
      </c>
      <c r="H592" s="39" t="n">
        <v>-0.01381215469613262</v>
      </c>
      <c r="I592" s="39" t="n">
        <v>-0.3</v>
      </c>
      <c r="J592" s="34" t="n">
        <v>40920</v>
      </c>
      <c r="K592" s="34" t="n">
        <v>37285.83333333334</v>
      </c>
      <c r="L592" s="34" t="n">
        <v>33933.75</v>
      </c>
      <c r="M592" s="39" t="n">
        <v>0.389872505594933</v>
      </c>
      <c r="N592" s="39" t="n">
        <v>0.4777074968135797</v>
      </c>
      <c r="O592" s="39" t="n">
        <v>-0.2013422818791947</v>
      </c>
      <c r="P592" s="39" t="n">
        <v>0.1261829652996846</v>
      </c>
      <c r="Q592" s="39" t="n">
        <v>0.2101694915254237</v>
      </c>
      <c r="R592" s="39" t="n">
        <v>-0.1275659824046921</v>
      </c>
      <c r="S592" s="39" t="n">
        <v>-0.04253179268265428</v>
      </c>
      <c r="T592" s="39" t="n">
        <v>0.0520499502707481</v>
      </c>
      <c r="U592" s="34" t="n">
        <v>46850</v>
      </c>
      <c r="V592" s="34" t="n">
        <v>20400</v>
      </c>
      <c r="W592" s="39" t="n">
        <v>-0.2379935965848452</v>
      </c>
      <c r="X592" s="39" t="n">
        <v>0.75</v>
      </c>
      <c r="Y592" s="34" t="n">
        <v>51414494</v>
      </c>
      <c r="Z592" s="34" t="n">
        <v>1835497435800</v>
      </c>
      <c r="AA592" s="34" t="n">
        <v>13801334400</v>
      </c>
      <c r="AB592" s="34" t="n">
        <v>20890226110</v>
      </c>
      <c r="AC592" s="39" t="n">
        <v>0.00751912486000543</v>
      </c>
      <c r="AD592" s="32" t="inlineStr">
        <is>
          <t>yfinance_download</t>
        </is>
      </c>
      <c r="AE592" s="32" t="inlineStr">
        <is>
          <t>005290.KQ</t>
        </is>
      </c>
    </row>
    <row r="593" ht="24" customHeight="1">
      <c r="A593" s="27" t="inlineStr">
        <is>
          <t>2025-11-13</t>
        </is>
      </c>
      <c r="B593" s="33" t="n">
        <v>35450</v>
      </c>
      <c r="C593" s="33" t="n">
        <v>36300</v>
      </c>
      <c r="D593" s="33" t="n">
        <v>35350</v>
      </c>
      <c r="E593" s="33" t="n">
        <v>35650</v>
      </c>
      <c r="F593" s="33" t="n">
        <v>35089.31640625</v>
      </c>
      <c r="G593" s="33" t="n">
        <v>392446</v>
      </c>
      <c r="H593" s="38" t="n">
        <v>-0.001400560224089631</v>
      </c>
      <c r="I593" s="38" t="n">
        <v>-0.3009803921568628</v>
      </c>
      <c r="J593" s="33" t="n">
        <v>40487.5</v>
      </c>
      <c r="K593" s="33" t="n">
        <v>37338.33333333334</v>
      </c>
      <c r="L593" s="33" t="n">
        <v>33989.16666666666</v>
      </c>
      <c r="M593" s="38" t="n">
        <v>0.3912876042836375</v>
      </c>
      <c r="N593" s="38" t="n">
        <v>0.4753881607420674</v>
      </c>
      <c r="O593" s="38" t="n">
        <v>-0.1952595936794582</v>
      </c>
      <c r="P593" s="38" t="n">
        <v>0.09692307692307689</v>
      </c>
      <c r="Q593" s="38" t="n">
        <v>0.2293103448275862</v>
      </c>
      <c r="R593" s="38" t="n">
        <v>-0.1194813213954924</v>
      </c>
      <c r="S593" s="38" t="n">
        <v>-0.0452171584162836</v>
      </c>
      <c r="T593" s="38" t="n">
        <v>0.04886360850270921</v>
      </c>
      <c r="U593" s="33" t="n">
        <v>46850</v>
      </c>
      <c r="V593" s="33" t="n">
        <v>20400</v>
      </c>
      <c r="W593" s="38" t="n">
        <v>-0.2390608324439701</v>
      </c>
      <c r="X593" s="38" t="n">
        <v>0.7475490196078431</v>
      </c>
      <c r="Y593" s="33" t="n">
        <v>51414494</v>
      </c>
      <c r="Z593" s="33" t="n">
        <v>1832926711100</v>
      </c>
      <c r="AA593" s="33" t="n">
        <v>13990699900</v>
      </c>
      <c r="AB593" s="33" t="n">
        <v>20861170080</v>
      </c>
      <c r="AC593" s="38" t="n">
        <v>0.007632983804138965</v>
      </c>
      <c r="AD593" s="27" t="inlineStr">
        <is>
          <t>yfinance_download</t>
        </is>
      </c>
      <c r="AE593" s="27" t="inlineStr">
        <is>
          <t>005290.KQ</t>
        </is>
      </c>
    </row>
    <row r="594" ht="24" customHeight="1">
      <c r="A594" s="32" t="inlineStr">
        <is>
          <t>2025-11-14</t>
        </is>
      </c>
      <c r="B594" s="34" t="n">
        <v>34800</v>
      </c>
      <c r="C594" s="34" t="n">
        <v>34900</v>
      </c>
      <c r="D594" s="34" t="n">
        <v>34250</v>
      </c>
      <c r="E594" s="34" t="n">
        <v>34650</v>
      </c>
      <c r="F594" s="34" t="n">
        <v>34105.046875</v>
      </c>
      <c r="G594" s="34" t="n">
        <v>655430</v>
      </c>
      <c r="H594" s="39" t="n">
        <v>-0.02805049088359046</v>
      </c>
      <c r="I594" s="39" t="n">
        <v>-0.3205882352941176</v>
      </c>
      <c r="J594" s="34" t="n">
        <v>40062.5</v>
      </c>
      <c r="K594" s="34" t="n">
        <v>37375</v>
      </c>
      <c r="L594" s="34" t="n">
        <v>34039.58333333334</v>
      </c>
      <c r="M594" s="39" t="n">
        <v>0.3924515682845133</v>
      </c>
      <c r="N594" s="39" t="n">
        <v>0.4793153017955569</v>
      </c>
      <c r="O594" s="39" t="n">
        <v>-0.1969872537659328</v>
      </c>
      <c r="P594" s="39" t="n">
        <v>0.06779661016949157</v>
      </c>
      <c r="Q594" s="39" t="n">
        <v>0.2115384615384615</v>
      </c>
      <c r="R594" s="39" t="n">
        <v>-0.1351014040561622</v>
      </c>
      <c r="S594" s="39" t="n">
        <v>-0.07290969899665556</v>
      </c>
      <c r="T594" s="39" t="n">
        <v>0.01793255401187333</v>
      </c>
      <c r="U594" s="34" t="n">
        <v>46850</v>
      </c>
      <c r="V594" s="34" t="n">
        <v>20400</v>
      </c>
      <c r="W594" s="39" t="n">
        <v>-0.2604055496264674</v>
      </c>
      <c r="X594" s="39" t="n">
        <v>0.6985294117647058</v>
      </c>
      <c r="Y594" s="34" t="n">
        <v>51414494</v>
      </c>
      <c r="Z594" s="34" t="n">
        <v>1781512217100</v>
      </c>
      <c r="AA594" s="34" t="n">
        <v>22710649500</v>
      </c>
      <c r="AB594" s="34" t="n">
        <v>20750584492.5</v>
      </c>
      <c r="AC594" s="39" t="n">
        <v>0.01274796169344777</v>
      </c>
      <c r="AD594" s="32" t="inlineStr">
        <is>
          <t>yfinance_download</t>
        </is>
      </c>
      <c r="AE594" s="32" t="inlineStr">
        <is>
          <t>005290.KQ</t>
        </is>
      </c>
    </row>
    <row r="595" ht="24" customHeight="1">
      <c r="A595" s="27" t="inlineStr">
        <is>
          <t>2025-11-17</t>
        </is>
      </c>
      <c r="B595" s="33" t="n">
        <v>35550</v>
      </c>
      <c r="C595" s="33" t="n">
        <v>35700</v>
      </c>
      <c r="D595" s="33" t="n">
        <v>34650</v>
      </c>
      <c r="E595" s="33" t="n">
        <v>35350</v>
      </c>
      <c r="F595" s="33" t="n">
        <v>34794.03515625</v>
      </c>
      <c r="G595" s="33" t="n">
        <v>292300</v>
      </c>
      <c r="H595" s="38" t="n">
        <v>0.02020202020202011</v>
      </c>
      <c r="I595" s="38" t="n">
        <v>-0.3068627450980392</v>
      </c>
      <c r="J595" s="33" t="n">
        <v>39697.5</v>
      </c>
      <c r="K595" s="33" t="n">
        <v>37445</v>
      </c>
      <c r="L595" s="33" t="n">
        <v>34095.83333333334</v>
      </c>
      <c r="M595" s="38" t="n">
        <v>0.4073430691059813</v>
      </c>
      <c r="N595" s="38" t="n">
        <v>0.4728428472574916</v>
      </c>
      <c r="O595" s="38" t="n">
        <v>-0.1711606096131302</v>
      </c>
      <c r="P595" s="38" t="n">
        <v>0.1348314606741574</v>
      </c>
      <c r="Q595" s="38" t="n">
        <v>0.236013986013986</v>
      </c>
      <c r="R595" s="38" t="n">
        <v>-0.1095157125763587</v>
      </c>
      <c r="S595" s="38" t="n">
        <v>-0.05594872479636803</v>
      </c>
      <c r="T595" s="38" t="n">
        <v>0.03678357570573132</v>
      </c>
      <c r="U595" s="33" t="n">
        <v>46850</v>
      </c>
      <c r="V595" s="33" t="n">
        <v>20400</v>
      </c>
      <c r="W595" s="38" t="n">
        <v>-0.2454642475987193</v>
      </c>
      <c r="X595" s="38" t="n">
        <v>0.732843137254902</v>
      </c>
      <c r="Y595" s="33" t="n">
        <v>51414494</v>
      </c>
      <c r="Z595" s="33" t="n">
        <v>1817502362900</v>
      </c>
      <c r="AA595" s="33" t="n">
        <v>10332805000</v>
      </c>
      <c r="AB595" s="33" t="n">
        <v>20259130150</v>
      </c>
      <c r="AC595" s="38" t="n">
        <v>0.00568516729932225</v>
      </c>
      <c r="AD595" s="27" t="inlineStr">
        <is>
          <t>yfinance_download</t>
        </is>
      </c>
      <c r="AE595" s="27" t="inlineStr">
        <is>
          <t>005290.KQ</t>
        </is>
      </c>
    </row>
    <row r="596" ht="24" customHeight="1">
      <c r="A596" s="32" t="inlineStr">
        <is>
          <t>2025-11-18</t>
        </is>
      </c>
      <c r="B596" s="34" t="n">
        <v>34800</v>
      </c>
      <c r="C596" s="34" t="n">
        <v>35100</v>
      </c>
      <c r="D596" s="34" t="n">
        <v>33500</v>
      </c>
      <c r="E596" s="34" t="n">
        <v>33700</v>
      </c>
      <c r="F596" s="34" t="n">
        <v>33169.98828125</v>
      </c>
      <c r="G596" s="34" t="n">
        <v>374412</v>
      </c>
      <c r="H596" s="39" t="n">
        <v>-0.04667609618104662</v>
      </c>
      <c r="I596" s="39" t="n">
        <v>-0.3392156862745098</v>
      </c>
      <c r="J596" s="34" t="n">
        <v>39270</v>
      </c>
      <c r="K596" s="34" t="n">
        <v>37491.66666666666</v>
      </c>
      <c r="L596" s="34" t="n">
        <v>34146.25</v>
      </c>
      <c r="M596" s="39" t="n">
        <v>0.4287296801849887</v>
      </c>
      <c r="N596" s="39" t="n">
        <v>0.4830571630295683</v>
      </c>
      <c r="O596" s="39" t="n">
        <v>-0.2023668639053254</v>
      </c>
      <c r="P596" s="39" t="n">
        <v>0.09061488673139162</v>
      </c>
      <c r="Q596" s="39" t="n">
        <v>0.2188065099457503</v>
      </c>
      <c r="R596" s="39" t="n">
        <v>-0.1418385536032595</v>
      </c>
      <c r="S596" s="39" t="n">
        <v>-0.1011335852411647</v>
      </c>
      <c r="T596" s="39" t="n">
        <v>-0.0130687850056741</v>
      </c>
      <c r="U596" s="34" t="n">
        <v>46850</v>
      </c>
      <c r="V596" s="34" t="n">
        <v>20400</v>
      </c>
      <c r="W596" s="39" t="n">
        <v>-0.2806830309498399</v>
      </c>
      <c r="X596" s="39" t="n">
        <v>0.6519607843137254</v>
      </c>
      <c r="Y596" s="34" t="n">
        <v>51414494</v>
      </c>
      <c r="Z596" s="34" t="n">
        <v>1732668447800</v>
      </c>
      <c r="AA596" s="34" t="n">
        <v>12617684400</v>
      </c>
      <c r="AB596" s="34" t="n">
        <v>19631019295</v>
      </c>
      <c r="AC596" s="39" t="n">
        <v>0.007282226681060014</v>
      </c>
      <c r="AD596" s="32" t="inlineStr">
        <is>
          <t>yfinance_download</t>
        </is>
      </c>
      <c r="AE596" s="32" t="inlineStr">
        <is>
          <t>005290.KQ</t>
        </is>
      </c>
    </row>
    <row r="597" ht="24" customHeight="1">
      <c r="A597" s="27" t="inlineStr">
        <is>
          <t>2025-11-19</t>
        </is>
      </c>
      <c r="B597" s="33" t="n">
        <v>33650</v>
      </c>
      <c r="C597" s="33" t="n">
        <v>33850</v>
      </c>
      <c r="D597" s="33" t="n">
        <v>32700</v>
      </c>
      <c r="E597" s="33" t="n">
        <v>33200</v>
      </c>
      <c r="F597" s="33" t="n">
        <v>32677.849609375</v>
      </c>
      <c r="G597" s="33" t="n">
        <v>258427</v>
      </c>
      <c r="H597" s="38" t="n">
        <v>-0.01483679525222548</v>
      </c>
      <c r="I597" s="38" t="n">
        <v>-0.3490196078431372</v>
      </c>
      <c r="J597" s="33" t="n">
        <v>38837.5</v>
      </c>
      <c r="K597" s="33" t="n">
        <v>37542.5</v>
      </c>
      <c r="L597" s="33" t="n">
        <v>34192.91666666666</v>
      </c>
      <c r="M597" s="38" t="n">
        <v>0.4289175165673951</v>
      </c>
      <c r="N597" s="38" t="n">
        <v>0.4812574668190498</v>
      </c>
      <c r="O597" s="38" t="n">
        <v>-0.2066905615292712</v>
      </c>
      <c r="P597" s="38" t="n">
        <v>0.1011608623548923</v>
      </c>
      <c r="Q597" s="38" t="n">
        <v>0.2028985507246377</v>
      </c>
      <c r="R597" s="38" t="n">
        <v>-0.1451560991309945</v>
      </c>
      <c r="S597" s="38" t="n">
        <v>-0.115668908570287</v>
      </c>
      <c r="T597" s="38" t="n">
        <v>-0.0290386654155953</v>
      </c>
      <c r="U597" s="33" t="n">
        <v>46850</v>
      </c>
      <c r="V597" s="33" t="n">
        <v>20400</v>
      </c>
      <c r="W597" s="38" t="n">
        <v>-0.2913553895410885</v>
      </c>
      <c r="X597" s="38" t="n">
        <v>0.6274509803921569</v>
      </c>
      <c r="Y597" s="33" t="n">
        <v>51414494</v>
      </c>
      <c r="Z597" s="33" t="n">
        <v>1706961200800</v>
      </c>
      <c r="AA597" s="33" t="n">
        <v>8579776400</v>
      </c>
      <c r="AB597" s="33" t="n">
        <v>18843330267.5</v>
      </c>
      <c r="AC597" s="38" t="n">
        <v>0.005026345294772326</v>
      </c>
      <c r="AD597" s="27" t="inlineStr">
        <is>
          <t>yfinance_download</t>
        </is>
      </c>
      <c r="AE597" s="27" t="inlineStr">
        <is>
          <t>005290.KQ</t>
        </is>
      </c>
    </row>
    <row r="598" ht="24" customHeight="1">
      <c r="A598" s="32" t="inlineStr">
        <is>
          <t>2025-11-20</t>
        </is>
      </c>
      <c r="B598" s="34" t="n">
        <v>34300</v>
      </c>
      <c r="C598" s="34" t="n">
        <v>34400</v>
      </c>
      <c r="D598" s="34" t="n">
        <v>33350</v>
      </c>
      <c r="E598" s="34" t="n">
        <v>33550</v>
      </c>
      <c r="F598" s="34" t="n">
        <v>33022.34765625</v>
      </c>
      <c r="G598" s="34" t="n">
        <v>340285</v>
      </c>
      <c r="H598" s="39" t="n">
        <v>0.0105421686746987</v>
      </c>
      <c r="I598" s="39" t="n">
        <v>-0.342156862745098</v>
      </c>
      <c r="J598" s="34" t="n">
        <v>38422.5</v>
      </c>
      <c r="K598" s="34" t="n">
        <v>37604.16666666666</v>
      </c>
      <c r="L598" s="34" t="n">
        <v>34234.58333333334</v>
      </c>
      <c r="M598" s="39" t="n">
        <v>0.4341544483978758</v>
      </c>
      <c r="N598" s="39" t="n">
        <v>0.4809060257937929</v>
      </c>
      <c r="O598" s="39" t="n">
        <v>-0.1983273596176822</v>
      </c>
      <c r="P598" s="39" t="n">
        <v>0.1239530988274706</v>
      </c>
      <c r="Q598" s="39" t="n">
        <v>0.1751313485113835</v>
      </c>
      <c r="R598" s="39" t="n">
        <v>-0.1268137159216605</v>
      </c>
      <c r="S598" s="39" t="n">
        <v>-0.1078116343490304</v>
      </c>
      <c r="T598" s="39" t="n">
        <v>-0.01999683555858478</v>
      </c>
      <c r="U598" s="34" t="n">
        <v>46850</v>
      </c>
      <c r="V598" s="34" t="n">
        <v>20400</v>
      </c>
      <c r="W598" s="39" t="n">
        <v>-0.2838847385272145</v>
      </c>
      <c r="X598" s="39" t="n">
        <v>0.6446078431372548</v>
      </c>
      <c r="Y598" s="34" t="n">
        <v>51414494</v>
      </c>
      <c r="Z598" s="34" t="n">
        <v>1724956273700</v>
      </c>
      <c r="AA598" s="34" t="n">
        <v>11416561750</v>
      </c>
      <c r="AB598" s="34" t="n">
        <v>18760773137.5</v>
      </c>
      <c r="AC598" s="39" t="n">
        <v>0.006618464435339965</v>
      </c>
      <c r="AD598" s="32" t="inlineStr">
        <is>
          <t>yfinance_download</t>
        </is>
      </c>
      <c r="AE598" s="32" t="inlineStr">
        <is>
          <t>005290.KQ</t>
        </is>
      </c>
    </row>
    <row r="599" ht="24" customHeight="1">
      <c r="A599" s="27" t="inlineStr">
        <is>
          <t>2025-11-21</t>
        </is>
      </c>
      <c r="B599" s="33" t="n">
        <v>31950</v>
      </c>
      <c r="C599" s="33" t="n">
        <v>32500</v>
      </c>
      <c r="D599" s="33" t="n">
        <v>31500</v>
      </c>
      <c r="E599" s="33" t="n">
        <v>31600</v>
      </c>
      <c r="F599" s="33" t="n">
        <v>31103.013671875</v>
      </c>
      <c r="G599" s="33" t="n">
        <v>305952</v>
      </c>
      <c r="H599" s="38" t="n">
        <v>-0.05812220566318926</v>
      </c>
      <c r="I599" s="38" t="n">
        <v>-0.3803921568627451</v>
      </c>
      <c r="J599" s="33" t="n">
        <v>37857.5</v>
      </c>
      <c r="K599" s="33" t="n">
        <v>37635</v>
      </c>
      <c r="L599" s="33" t="n">
        <v>34263.75</v>
      </c>
      <c r="M599" s="38" t="n">
        <v>0.4437286471302252</v>
      </c>
      <c r="N599" s="38" t="n">
        <v>0.4965482455266969</v>
      </c>
      <c r="O599" s="38" t="n">
        <v>-0.2634032634032634</v>
      </c>
      <c r="P599" s="38" t="n">
        <v>0.06218487394957983</v>
      </c>
      <c r="Q599" s="38" t="n">
        <v>0.1245551601423487</v>
      </c>
      <c r="R599" s="38" t="n">
        <v>-0.165290893482137</v>
      </c>
      <c r="S599" s="38" t="n">
        <v>-0.1603560515477614</v>
      </c>
      <c r="T599" s="38" t="n">
        <v>-0.0777425121301667</v>
      </c>
      <c r="U599" s="33" t="n">
        <v>46850</v>
      </c>
      <c r="V599" s="33" t="n">
        <v>20400</v>
      </c>
      <c r="W599" s="38" t="n">
        <v>-0.3255069370330843</v>
      </c>
      <c r="X599" s="38" t="n">
        <v>0.5490196078431373</v>
      </c>
      <c r="Y599" s="33" t="n">
        <v>51414494</v>
      </c>
      <c r="Z599" s="33" t="n">
        <v>1624698010400</v>
      </c>
      <c r="AA599" s="33" t="n">
        <v>9668083200</v>
      </c>
      <c r="AB599" s="33" t="n">
        <v>18105413957.5</v>
      </c>
      <c r="AC599" s="38" t="n">
        <v>0.005950695537332333</v>
      </c>
      <c r="AD599" s="27" t="inlineStr">
        <is>
          <t>yfinance_download</t>
        </is>
      </c>
      <c r="AE599" s="27" t="inlineStr">
        <is>
          <t>005290.KQ</t>
        </is>
      </c>
    </row>
    <row r="600" ht="24" customHeight="1">
      <c r="A600" s="32" t="inlineStr">
        <is>
          <t>2025-11-24</t>
        </is>
      </c>
      <c r="B600" s="34" t="n">
        <v>32200</v>
      </c>
      <c r="C600" s="34" t="n">
        <v>32600</v>
      </c>
      <c r="D600" s="34" t="n">
        <v>31650</v>
      </c>
      <c r="E600" s="34" t="n">
        <v>31950</v>
      </c>
      <c r="F600" s="34" t="n">
        <v>31447.509765625</v>
      </c>
      <c r="G600" s="34" t="n">
        <v>158323</v>
      </c>
      <c r="H600" s="39" t="n">
        <v>0.01107594936708867</v>
      </c>
      <c r="I600" s="39" t="n">
        <v>-0.3735294117647059</v>
      </c>
      <c r="J600" s="34" t="n">
        <v>37305</v>
      </c>
      <c r="K600" s="34" t="n">
        <v>37667.5</v>
      </c>
      <c r="L600" s="34" t="n">
        <v>34290.83333333334</v>
      </c>
      <c r="M600" s="39" t="n">
        <v>0.4492549166128999</v>
      </c>
      <c r="N600" s="39" t="n">
        <v>0.4967374514438167</v>
      </c>
      <c r="O600" s="39" t="n">
        <v>-0.2569767441860465</v>
      </c>
      <c r="P600" s="39" t="n">
        <v>0.06499999999999995</v>
      </c>
      <c r="Q600" s="39" t="n">
        <v>0.113240418118467</v>
      </c>
      <c r="R600" s="39" t="n">
        <v>-0.143546441495778</v>
      </c>
      <c r="S600" s="39" t="n">
        <v>-0.1517886772416539</v>
      </c>
      <c r="T600" s="39" t="n">
        <v>-0.06826411334418825</v>
      </c>
      <c r="U600" s="34" t="n">
        <v>46850</v>
      </c>
      <c r="V600" s="34" t="n">
        <v>20400</v>
      </c>
      <c r="W600" s="39" t="n">
        <v>-0.3180362860192102</v>
      </c>
      <c r="X600" s="39" t="n">
        <v>0.5661764705882353</v>
      </c>
      <c r="Y600" s="34" t="n">
        <v>51414494</v>
      </c>
      <c r="Z600" s="34" t="n">
        <v>1642693083300</v>
      </c>
      <c r="AA600" s="34" t="n">
        <v>5058419850</v>
      </c>
      <c r="AB600" s="34" t="n">
        <v>17326737000</v>
      </c>
      <c r="AC600" s="39" t="n">
        <v>0.003079345680227836</v>
      </c>
      <c r="AD600" s="32" t="inlineStr">
        <is>
          <t>yfinance_download</t>
        </is>
      </c>
      <c r="AE600" s="32" t="inlineStr">
        <is>
          <t>005290.KQ</t>
        </is>
      </c>
    </row>
    <row r="601" ht="24" customHeight="1">
      <c r="A601" s="27" t="inlineStr">
        <is>
          <t>2025-11-25</t>
        </is>
      </c>
      <c r="B601" s="33" t="n">
        <v>33300</v>
      </c>
      <c r="C601" s="33" t="n">
        <v>33700</v>
      </c>
      <c r="D601" s="33" t="n">
        <v>32650</v>
      </c>
      <c r="E601" s="33" t="n">
        <v>33450</v>
      </c>
      <c r="F601" s="33" t="n">
        <v>32923.91796875</v>
      </c>
      <c r="G601" s="33" t="n">
        <v>336116</v>
      </c>
      <c r="H601" s="38" t="n">
        <v>0.04694835680751175</v>
      </c>
      <c r="I601" s="38" t="n">
        <v>-0.3441176470588235</v>
      </c>
      <c r="J601" s="33" t="n">
        <v>36872.5</v>
      </c>
      <c r="K601" s="33" t="n">
        <v>37725</v>
      </c>
      <c r="L601" s="33" t="n">
        <v>34329.58333333334</v>
      </c>
      <c r="M601" s="38" t="n">
        <v>0.4980352326007755</v>
      </c>
      <c r="N601" s="38" t="n">
        <v>0.505363124002464</v>
      </c>
      <c r="O601" s="38" t="n">
        <v>-0.2054631828978623</v>
      </c>
      <c r="P601" s="38" t="n">
        <v>0.115</v>
      </c>
      <c r="Q601" s="38" t="n">
        <v>0.1614583333333333</v>
      </c>
      <c r="R601" s="38" t="n">
        <v>-0.09281985219336908</v>
      </c>
      <c r="S601" s="38" t="n">
        <v>-0.1133200795228628</v>
      </c>
      <c r="T601" s="38" t="n">
        <v>-0.02562173052882</v>
      </c>
      <c r="U601" s="33" t="n">
        <v>46850</v>
      </c>
      <c r="V601" s="33" t="n">
        <v>20400</v>
      </c>
      <c r="W601" s="38" t="n">
        <v>-0.2860192102454643</v>
      </c>
      <c r="X601" s="38" t="n">
        <v>0.6397058823529411</v>
      </c>
      <c r="Y601" s="33" t="n">
        <v>51414494</v>
      </c>
      <c r="Z601" s="33" t="n">
        <v>1719814824300</v>
      </c>
      <c r="AA601" s="33" t="n">
        <v>11243080200</v>
      </c>
      <c r="AB601" s="33" t="n">
        <v>16952837505</v>
      </c>
      <c r="AC601" s="38" t="n">
        <v>0.006537378350937383</v>
      </c>
      <c r="AD601" s="27" t="inlineStr">
        <is>
          <t>yfinance_download</t>
        </is>
      </c>
      <c r="AE601" s="27" t="inlineStr">
        <is>
          <t>005290.KQ</t>
        </is>
      </c>
    </row>
    <row r="602" ht="24" customHeight="1">
      <c r="A602" s="32" t="inlineStr">
        <is>
          <t>2025-11-26</t>
        </is>
      </c>
      <c r="B602" s="34" t="n">
        <v>34850</v>
      </c>
      <c r="C602" s="34" t="n">
        <v>34900</v>
      </c>
      <c r="D602" s="34" t="n">
        <v>33500</v>
      </c>
      <c r="E602" s="34" t="n">
        <v>34500</v>
      </c>
      <c r="F602" s="34" t="n">
        <v>33957.40625</v>
      </c>
      <c r="G602" s="34" t="n">
        <v>440313</v>
      </c>
      <c r="H602" s="39" t="n">
        <v>0.03139013452914807</v>
      </c>
      <c r="I602" s="39" t="n">
        <v>-0.3235294117647058</v>
      </c>
      <c r="J602" s="34" t="n">
        <v>36432.5</v>
      </c>
      <c r="K602" s="34" t="n">
        <v>37801.66666666666</v>
      </c>
      <c r="L602" s="34" t="n">
        <v>34381.25</v>
      </c>
      <c r="M602" s="39" t="n">
        <v>0.5011642692165108</v>
      </c>
      <c r="N602" s="39" t="n">
        <v>0.5087054418479602</v>
      </c>
      <c r="O602" s="39" t="n">
        <v>-0.2032332563510393</v>
      </c>
      <c r="P602" s="39" t="n">
        <v>0.1538461538461537</v>
      </c>
      <c r="Q602" s="39" t="n">
        <v>0.2190812720848057</v>
      </c>
      <c r="R602" s="39" t="n">
        <v>-0.05304329925204143</v>
      </c>
      <c r="S602" s="39" t="n">
        <v>-0.08734182796173007</v>
      </c>
      <c r="T602" s="39" t="n">
        <v>0.003453917469550927</v>
      </c>
      <c r="U602" s="34" t="n">
        <v>46850</v>
      </c>
      <c r="V602" s="34" t="n">
        <v>20400</v>
      </c>
      <c r="W602" s="39" t="n">
        <v>-0.263607257203842</v>
      </c>
      <c r="X602" s="39" t="n">
        <v>0.6911764705882353</v>
      </c>
      <c r="Y602" s="34" t="n">
        <v>51414494</v>
      </c>
      <c r="Z602" s="34" t="n">
        <v>1773800043000</v>
      </c>
      <c r="AA602" s="34" t="n">
        <v>15190798500</v>
      </c>
      <c r="AB602" s="34" t="n">
        <v>16706232650</v>
      </c>
      <c r="AC602" s="39" t="n">
        <v>0.008563985867487094</v>
      </c>
      <c r="AD602" s="32" t="inlineStr">
        <is>
          <t>yfinance_download</t>
        </is>
      </c>
      <c r="AE602" s="32" t="inlineStr">
        <is>
          <t>005290.KQ</t>
        </is>
      </c>
    </row>
    <row r="603" ht="24" customHeight="1">
      <c r="A603" s="27" t="inlineStr">
        <is>
          <t>2025-11-27</t>
        </is>
      </c>
      <c r="B603" s="33" t="n">
        <v>35000</v>
      </c>
      <c r="C603" s="33" t="n">
        <v>35500</v>
      </c>
      <c r="D603" s="33" t="n">
        <v>34500</v>
      </c>
      <c r="E603" s="33" t="n">
        <v>34950</v>
      </c>
      <c r="F603" s="33" t="n">
        <v>34400.328125</v>
      </c>
      <c r="G603" s="33" t="n">
        <v>321237</v>
      </c>
      <c r="H603" s="38" t="n">
        <v>0.01304347826086949</v>
      </c>
      <c r="I603" s="38" t="n">
        <v>-0.3147058823529412</v>
      </c>
      <c r="J603" s="33" t="n">
        <v>36060</v>
      </c>
      <c r="K603" s="33" t="n">
        <v>37888.33333333334</v>
      </c>
      <c r="L603" s="33" t="n">
        <v>34439.58333333334</v>
      </c>
      <c r="M603" s="38" t="n">
        <v>0.5065930124343102</v>
      </c>
      <c r="N603" s="38" t="n">
        <v>0.5088527538130715</v>
      </c>
      <c r="O603" s="38" t="n">
        <v>-0.1757075471698113</v>
      </c>
      <c r="P603" s="38" t="n">
        <v>0.1747899159663866</v>
      </c>
      <c r="Q603" s="38" t="n">
        <v>0.2504472271914133</v>
      </c>
      <c r="R603" s="38" t="n">
        <v>-0.03078202995008317</v>
      </c>
      <c r="S603" s="38" t="n">
        <v>-0.07755245678089129</v>
      </c>
      <c r="T603" s="38" t="n">
        <v>0.01482064000967864</v>
      </c>
      <c r="U603" s="33" t="n">
        <v>46850</v>
      </c>
      <c r="V603" s="33" t="n">
        <v>20400</v>
      </c>
      <c r="W603" s="38" t="n">
        <v>-0.2540021344717183</v>
      </c>
      <c r="X603" s="38" t="n">
        <v>0.713235294117647</v>
      </c>
      <c r="Y603" s="33" t="n">
        <v>51414494</v>
      </c>
      <c r="Z603" s="33" t="n">
        <v>1796936565300</v>
      </c>
      <c r="AA603" s="33" t="n">
        <v>11227233150</v>
      </c>
      <c r="AB603" s="33" t="n">
        <v>16143765347.5</v>
      </c>
      <c r="AC603" s="38" t="n">
        <v>0.006247985247117282</v>
      </c>
      <c r="AD603" s="27" t="inlineStr">
        <is>
          <t>yfinance_download</t>
        </is>
      </c>
      <c r="AE603" s="27" t="inlineStr">
        <is>
          <t>005290.KQ</t>
        </is>
      </c>
    </row>
    <row r="604" ht="24" customHeight="1">
      <c r="A604" s="32" t="inlineStr">
        <is>
          <t>2025-11-28</t>
        </is>
      </c>
      <c r="B604" s="34" t="n">
        <v>35500</v>
      </c>
      <c r="C604" s="34" t="n">
        <v>36700</v>
      </c>
      <c r="D604" s="34" t="n">
        <v>35300</v>
      </c>
      <c r="E604" s="34" t="n">
        <v>36150</v>
      </c>
      <c r="F604" s="34" t="n">
        <v>35581.453125</v>
      </c>
      <c r="G604" s="34" t="n">
        <v>588453</v>
      </c>
      <c r="H604" s="39" t="n">
        <v>0.03433476394849788</v>
      </c>
      <c r="I604" s="39" t="n">
        <v>-0.2911764705882353</v>
      </c>
      <c r="J604" s="34" t="n">
        <v>35727.5</v>
      </c>
      <c r="K604" s="34" t="n">
        <v>37991.66666666666</v>
      </c>
      <c r="L604" s="34" t="n">
        <v>34505.83333333334</v>
      </c>
      <c r="M604" s="39" t="n">
        <v>0.5260282321193991</v>
      </c>
      <c r="N604" s="39" t="n">
        <v>0.5128021535593268</v>
      </c>
      <c r="O604" s="39" t="n">
        <v>-0.155373831775701</v>
      </c>
      <c r="P604" s="39" t="n">
        <v>0.2070116861435727</v>
      </c>
      <c r="Q604" s="39" t="n">
        <v>0.2819148936170213</v>
      </c>
      <c r="R604" s="39" t="n">
        <v>0.0118256245189281</v>
      </c>
      <c r="S604" s="39" t="n">
        <v>-0.0484755428822109</v>
      </c>
      <c r="T604" s="39" t="n">
        <v>0.04764894824546562</v>
      </c>
      <c r="U604" s="34" t="n">
        <v>46850</v>
      </c>
      <c r="V604" s="34" t="n">
        <v>20400</v>
      </c>
      <c r="W604" s="39" t="n">
        <v>-0.2283884738527214</v>
      </c>
      <c r="X604" s="39" t="n">
        <v>0.7720588235294117</v>
      </c>
      <c r="Y604" s="34" t="n">
        <v>51414494</v>
      </c>
      <c r="Z604" s="34" t="n">
        <v>1858633958100</v>
      </c>
      <c r="AA604" s="34" t="n">
        <v>21272575950</v>
      </c>
      <c r="AB604" s="34" t="n">
        <v>16496546065</v>
      </c>
      <c r="AC604" s="39" t="n">
        <v>0.011445274556237</v>
      </c>
      <c r="AD604" s="32" t="inlineStr">
        <is>
          <t>yfinance_download</t>
        </is>
      </c>
      <c r="AE604" s="32" t="inlineStr">
        <is>
          <t>005290.KQ</t>
        </is>
      </c>
    </row>
    <row r="605" ht="24" customHeight="1">
      <c r="A605" s="27" t="inlineStr">
        <is>
          <t>2025-12-01</t>
        </is>
      </c>
      <c r="B605" s="33" t="n">
        <v>37100</v>
      </c>
      <c r="C605" s="33" t="n">
        <v>40500</v>
      </c>
      <c r="D605" s="33" t="n">
        <v>36150</v>
      </c>
      <c r="E605" s="33" t="n">
        <v>40150</v>
      </c>
      <c r="F605" s="33" t="n">
        <v>39518.54296875</v>
      </c>
      <c r="G605" s="33" t="n">
        <v>3076708</v>
      </c>
      <c r="H605" s="38" t="n">
        <v>0.1106500691562933</v>
      </c>
      <c r="I605" s="38" t="n">
        <v>-0.2127450980392157</v>
      </c>
      <c r="J605" s="33" t="n">
        <v>35597.5</v>
      </c>
      <c r="K605" s="33" t="n">
        <v>38194.16666666666</v>
      </c>
      <c r="L605" s="33" t="n">
        <v>34592.91666666666</v>
      </c>
      <c r="M605" s="38" t="n">
        <v>0.6739036447211529</v>
      </c>
      <c r="N605" s="38" t="n">
        <v>0.5380252537004852</v>
      </c>
      <c r="O605" s="38" t="n">
        <v>-0.06081871345029244</v>
      </c>
      <c r="P605" s="38" t="n">
        <v>0.4339285714285714</v>
      </c>
      <c r="Q605" s="38" t="n">
        <v>0.3518518518518519</v>
      </c>
      <c r="R605" s="38" t="n">
        <v>0.1278881943956738</v>
      </c>
      <c r="S605" s="38" t="n">
        <v>0.05120764514651022</v>
      </c>
      <c r="T605" s="38" t="n">
        <v>0.1606422316707419</v>
      </c>
      <c r="U605" s="33" t="n">
        <v>46850</v>
      </c>
      <c r="V605" s="33" t="n">
        <v>20400</v>
      </c>
      <c r="W605" s="38" t="n">
        <v>-0.1430096051227321</v>
      </c>
      <c r="X605" s="38" t="n">
        <v>0.9681372549019607</v>
      </c>
      <c r="Y605" s="33" t="n">
        <v>51414494</v>
      </c>
      <c r="Z605" s="33" t="n">
        <v>2064291934100</v>
      </c>
      <c r="AA605" s="33" t="n">
        <v>123529826200</v>
      </c>
      <c r="AB605" s="33" t="n">
        <v>21758888475</v>
      </c>
      <c r="AC605" s="38" t="n">
        <v>0.05984125799234745</v>
      </c>
      <c r="AD605" s="27" t="inlineStr">
        <is>
          <t>yfinance_download</t>
        </is>
      </c>
      <c r="AE605" s="27" t="inlineStr">
        <is>
          <t>005290.KQ</t>
        </is>
      </c>
    </row>
    <row r="606" ht="24" customHeight="1">
      <c r="A606" s="32" t="inlineStr">
        <is>
          <t>2025-12-02</t>
        </is>
      </c>
      <c r="B606" s="34" t="n">
        <v>41000</v>
      </c>
      <c r="C606" s="34" t="n">
        <v>41000</v>
      </c>
      <c r="D606" s="34" t="n">
        <v>38750</v>
      </c>
      <c r="E606" s="34" t="n">
        <v>38950</v>
      </c>
      <c r="F606" s="34" t="n">
        <v>38337.41796875</v>
      </c>
      <c r="G606" s="34" t="n">
        <v>1723665</v>
      </c>
      <c r="H606" s="39" t="n">
        <v>-0.02988792029887921</v>
      </c>
      <c r="I606" s="39" t="n">
        <v>-0.2362745098039216</v>
      </c>
      <c r="J606" s="34" t="n">
        <v>35425</v>
      </c>
      <c r="K606" s="34" t="n">
        <v>38373.33333333334</v>
      </c>
      <c r="L606" s="34" t="n">
        <v>34667.5</v>
      </c>
      <c r="M606" s="39" t="n">
        <v>0.680791289122195</v>
      </c>
      <c r="N606" s="39" t="n">
        <v>0.5431878629893666</v>
      </c>
      <c r="O606" s="39" t="n">
        <v>-0.08136792452830188</v>
      </c>
      <c r="P606" s="39" t="n">
        <v>0.3812056737588652</v>
      </c>
      <c r="Q606" s="39" t="n">
        <v>0.2983333333333333</v>
      </c>
      <c r="R606" s="39" t="n">
        <v>0.09950599858856735</v>
      </c>
      <c r="S606" s="39" t="n">
        <v>0.01502779708130642</v>
      </c>
      <c r="T606" s="39" t="n">
        <v>0.1235306843585491</v>
      </c>
      <c r="U606" s="34" t="n">
        <v>46850</v>
      </c>
      <c r="V606" s="34" t="n">
        <v>20400</v>
      </c>
      <c r="W606" s="39" t="n">
        <v>-0.1686232657417289</v>
      </c>
      <c r="X606" s="39" t="n">
        <v>0.9093137254901962</v>
      </c>
      <c r="Y606" s="34" t="n">
        <v>51414494</v>
      </c>
      <c r="Z606" s="34" t="n">
        <v>2002594541300</v>
      </c>
      <c r="AA606" s="34" t="n">
        <v>67136751750</v>
      </c>
      <c r="AB606" s="34" t="n">
        <v>24180161582.5</v>
      </c>
      <c r="AC606" s="39" t="n">
        <v>0.03352488502561165</v>
      </c>
      <c r="AD606" s="32" t="inlineStr">
        <is>
          <t>yfinance_download</t>
        </is>
      </c>
      <c r="AE606" s="32" t="inlineStr">
        <is>
          <t>005290.KQ</t>
        </is>
      </c>
    </row>
    <row r="607" ht="24" customHeight="1">
      <c r="A607" s="27" t="inlineStr">
        <is>
          <t>2025-12-03</t>
        </is>
      </c>
      <c r="B607" s="33" t="n">
        <v>39850</v>
      </c>
      <c r="C607" s="33" t="n">
        <v>39900</v>
      </c>
      <c r="D607" s="33" t="n">
        <v>38300</v>
      </c>
      <c r="E607" s="33" t="n">
        <v>38550</v>
      </c>
      <c r="F607" s="33" t="n">
        <v>37943.70703125</v>
      </c>
      <c r="G607" s="33" t="n">
        <v>814609</v>
      </c>
      <c r="H607" s="38" t="n">
        <v>-0.01026957637997428</v>
      </c>
      <c r="I607" s="38" t="n">
        <v>-0.2441176470588236</v>
      </c>
      <c r="J607" s="33" t="n">
        <v>35397.5</v>
      </c>
      <c r="K607" s="33" t="n">
        <v>38542.5</v>
      </c>
      <c r="L607" s="33" t="n">
        <v>34738.33333333334</v>
      </c>
      <c r="M607" s="38" t="n">
        <v>0.6225332653408702</v>
      </c>
      <c r="N607" s="38" t="n">
        <v>0.5441983364644802</v>
      </c>
      <c r="O607" s="38" t="n">
        <v>-0.01406649616368283</v>
      </c>
      <c r="P607" s="38" t="n">
        <v>0.357394366197183</v>
      </c>
      <c r="Q607" s="38" t="n">
        <v>0.2828618968386023</v>
      </c>
      <c r="R607" s="38" t="n">
        <v>0.08905996186171339</v>
      </c>
      <c r="S607" s="38" t="n">
        <v>0.0001945903872349053</v>
      </c>
      <c r="T607" s="38" t="n">
        <v>0.1097250875593723</v>
      </c>
      <c r="U607" s="33" t="n">
        <v>46850</v>
      </c>
      <c r="V607" s="33" t="n">
        <v>20400</v>
      </c>
      <c r="W607" s="38" t="n">
        <v>-0.1771611526147279</v>
      </c>
      <c r="X607" s="38" t="n">
        <v>0.8897058823529411</v>
      </c>
      <c r="Y607" s="33" t="n">
        <v>51414494</v>
      </c>
      <c r="Z607" s="33" t="n">
        <v>1982028743700</v>
      </c>
      <c r="AA607" s="33" t="n">
        <v>31403176950</v>
      </c>
      <c r="AB607" s="33" t="n">
        <v>24084662385</v>
      </c>
      <c r="AC607" s="38" t="n">
        <v>0.0158439563754143</v>
      </c>
      <c r="AD607" s="27" t="inlineStr">
        <is>
          <t>yfinance_download</t>
        </is>
      </c>
      <c r="AE607" s="27" t="inlineStr">
        <is>
          <t>005290.KQ</t>
        </is>
      </c>
    </row>
    <row r="608" ht="24" customHeight="1">
      <c r="A608" s="32" t="inlineStr">
        <is>
          <t>2025-12-04</t>
        </is>
      </c>
      <c r="B608" s="34" t="n">
        <v>37750</v>
      </c>
      <c r="C608" s="34" t="n">
        <v>38050</v>
      </c>
      <c r="D608" s="34" t="n">
        <v>36400</v>
      </c>
      <c r="E608" s="34" t="n">
        <v>36750</v>
      </c>
      <c r="F608" s="34" t="n">
        <v>36172.01953125</v>
      </c>
      <c r="G608" s="34" t="n">
        <v>947976</v>
      </c>
      <c r="H608" s="39" t="n">
        <v>-0.046692607003891</v>
      </c>
      <c r="I608" s="39" t="n">
        <v>-0.2794117647058824</v>
      </c>
      <c r="J608" s="34" t="n">
        <v>35360</v>
      </c>
      <c r="K608" s="34" t="n">
        <v>38674.16666666666</v>
      </c>
      <c r="L608" s="34" t="n">
        <v>34787.91666666666</v>
      </c>
      <c r="M608" s="39" t="n">
        <v>0.6278803786743528</v>
      </c>
      <c r="N608" s="39" t="n">
        <v>0.5542065783694636</v>
      </c>
      <c r="O608" s="39" t="n">
        <v>-0.02000000000000002</v>
      </c>
      <c r="P608" s="39" t="n">
        <v>0.2738301559792027</v>
      </c>
      <c r="Q608" s="39" t="n">
        <v>0.1931818181818181</v>
      </c>
      <c r="R608" s="39" t="n">
        <v>0.0393099547511313</v>
      </c>
      <c r="S608" s="39" t="n">
        <v>-0.04975328061367401</v>
      </c>
      <c r="T608" s="39" t="n">
        <v>0.05640128876166295</v>
      </c>
      <c r="U608" s="34" t="n">
        <v>46850</v>
      </c>
      <c r="V608" s="34" t="n">
        <v>20400</v>
      </c>
      <c r="W608" s="39" t="n">
        <v>-0.2155816435432231</v>
      </c>
      <c r="X608" s="39" t="n">
        <v>0.8014705882352942</v>
      </c>
      <c r="Y608" s="34" t="n">
        <v>51414494</v>
      </c>
      <c r="Z608" s="34" t="n">
        <v>1889482654500</v>
      </c>
      <c r="AA608" s="34" t="n">
        <v>34838118000</v>
      </c>
      <c r="AB608" s="34" t="n">
        <v>24389493285</v>
      </c>
      <c r="AC608" s="39" t="n">
        <v>0.01843791363579305</v>
      </c>
      <c r="AD608" s="32" t="inlineStr">
        <is>
          <t>yfinance_download</t>
        </is>
      </c>
      <c r="AE608" s="32" t="inlineStr">
        <is>
          <t>005290.KQ</t>
        </is>
      </c>
    </row>
    <row r="609" ht="24" customHeight="1">
      <c r="A609" s="27" t="inlineStr">
        <is>
          <t>2025-12-05</t>
        </is>
      </c>
      <c r="B609" s="33" t="n">
        <v>37400</v>
      </c>
      <c r="C609" s="33" t="n">
        <v>37500</v>
      </c>
      <c r="D609" s="33" t="n">
        <v>36500</v>
      </c>
      <c r="E609" s="33" t="n">
        <v>36850</v>
      </c>
      <c r="F609" s="33" t="n">
        <v>36270.4453125</v>
      </c>
      <c r="G609" s="33" t="n">
        <v>575483</v>
      </c>
      <c r="H609" s="38" t="n">
        <v>0.002721088435374108</v>
      </c>
      <c r="I609" s="38" t="n">
        <v>-0.2774509803921569</v>
      </c>
      <c r="J609" s="33" t="n">
        <v>35412.5</v>
      </c>
      <c r="K609" s="33" t="n">
        <v>38809.16666666666</v>
      </c>
      <c r="L609" s="33" t="n">
        <v>34838.75</v>
      </c>
      <c r="M609" s="38" t="n">
        <v>0.6048984451242946</v>
      </c>
      <c r="N609" s="38" t="n">
        <v>0.5539653826844037</v>
      </c>
      <c r="O609" s="38" t="n">
        <v>0.02932960893854752</v>
      </c>
      <c r="P609" s="38" t="n">
        <v>0.2817391304347827</v>
      </c>
      <c r="Q609" s="38" t="n">
        <v>0.1983739837398375</v>
      </c>
      <c r="R609" s="38" t="n">
        <v>0.04059301094246393</v>
      </c>
      <c r="S609" s="38" t="n">
        <v>-0.05048205965085562</v>
      </c>
      <c r="T609" s="38" t="n">
        <v>0.05773025725664671</v>
      </c>
      <c r="U609" s="33" t="n">
        <v>46850</v>
      </c>
      <c r="V609" s="33" t="n">
        <v>20400</v>
      </c>
      <c r="W609" s="38" t="n">
        <v>-0.2134471718249733</v>
      </c>
      <c r="X609" s="38" t="n">
        <v>0.8063725490196079</v>
      </c>
      <c r="Y609" s="33" t="n">
        <v>51414494</v>
      </c>
      <c r="Z609" s="33" t="n">
        <v>1894624103900</v>
      </c>
      <c r="AA609" s="33" t="n">
        <v>21206548550</v>
      </c>
      <c r="AB609" s="33" t="n">
        <v>24059531292.5</v>
      </c>
      <c r="AC609" s="38" t="n">
        <v>0.01119301106026639</v>
      </c>
      <c r="AD609" s="27" t="inlineStr">
        <is>
          <t>yfinance_download</t>
        </is>
      </c>
      <c r="AE609" s="27" t="inlineStr">
        <is>
          <t>005290.KQ</t>
        </is>
      </c>
    </row>
    <row r="610" ht="24" customHeight="1">
      <c r="A610" s="32" t="inlineStr">
        <is>
          <t>2025-12-08</t>
        </is>
      </c>
      <c r="B610" s="34" t="n">
        <v>38750</v>
      </c>
      <c r="C610" s="34" t="n">
        <v>39800</v>
      </c>
      <c r="D610" s="34" t="n">
        <v>38050</v>
      </c>
      <c r="E610" s="34" t="n">
        <v>39100</v>
      </c>
      <c r="F610" s="34" t="n">
        <v>38485.05859375</v>
      </c>
      <c r="G610" s="34" t="n">
        <v>1420148</v>
      </c>
      <c r="H610" s="39" t="n">
        <v>0.06105834464043425</v>
      </c>
      <c r="I610" s="39" t="n">
        <v>-0.2333333333333333</v>
      </c>
      <c r="J610" s="34" t="n">
        <v>35547.5</v>
      </c>
      <c r="K610" s="34" t="n">
        <v>38973.33333333334</v>
      </c>
      <c r="L610" s="34" t="n">
        <v>34916.25</v>
      </c>
      <c r="M610" s="39" t="n">
        <v>0.6386151566625018</v>
      </c>
      <c r="N610" s="39" t="n">
        <v>0.5653378738573034</v>
      </c>
      <c r="O610" s="39" t="n">
        <v>0.07417582417582413</v>
      </c>
      <c r="P610" s="39" t="n">
        <v>0.3367521367521367</v>
      </c>
      <c r="Q610" s="39" t="n">
        <v>0.3120805369127517</v>
      </c>
      <c r="R610" s="39" t="n">
        <v>0.0999367044095929</v>
      </c>
      <c r="S610" s="39" t="n">
        <v>0.003250085528566427</v>
      </c>
      <c r="T610" s="39" t="n">
        <v>0.1198224322485948</v>
      </c>
      <c r="U610" s="34" t="n">
        <v>46850</v>
      </c>
      <c r="V610" s="34" t="n">
        <v>20400</v>
      </c>
      <c r="W610" s="39" t="n">
        <v>-0.1654215581643543</v>
      </c>
      <c r="X610" s="39" t="n">
        <v>0.9166666666666667</v>
      </c>
      <c r="Y610" s="34" t="n">
        <v>51414494</v>
      </c>
      <c r="Z610" s="34" t="n">
        <v>2010306715400</v>
      </c>
      <c r="AA610" s="34" t="n">
        <v>55527786800</v>
      </c>
      <c r="AB610" s="34" t="n">
        <v>26001900172.5</v>
      </c>
      <c r="AC610" s="39" t="n">
        <v>0.02762154967430001</v>
      </c>
      <c r="AD610" s="32" t="inlineStr">
        <is>
          <t>yfinance_download</t>
        </is>
      </c>
      <c r="AE610" s="32" t="inlineStr">
        <is>
          <t>005290.KQ</t>
        </is>
      </c>
    </row>
    <row r="611" ht="24" customHeight="1">
      <c r="A611" s="27" t="inlineStr">
        <is>
          <t>2025-12-09</t>
        </is>
      </c>
      <c r="B611" s="33" t="n">
        <v>38700</v>
      </c>
      <c r="C611" s="33" t="n">
        <v>38950</v>
      </c>
      <c r="D611" s="33" t="n">
        <v>38200</v>
      </c>
      <c r="E611" s="33" t="n">
        <v>38650</v>
      </c>
      <c r="F611" s="33" t="n">
        <v>38042.13671875</v>
      </c>
      <c r="G611" s="33" t="n">
        <v>439766</v>
      </c>
      <c r="H611" s="38" t="n">
        <v>-0.01150895140664965</v>
      </c>
      <c r="I611" s="38" t="n">
        <v>-0.2421568627450981</v>
      </c>
      <c r="J611" s="33" t="n">
        <v>35670</v>
      </c>
      <c r="K611" s="33" t="n">
        <v>39089.16666666666</v>
      </c>
      <c r="L611" s="33" t="n">
        <v>34989.58333333334</v>
      </c>
      <c r="M611" s="38" t="n">
        <v>0.6401980180879603</v>
      </c>
      <c r="N611" s="38" t="n">
        <v>0.5422242738436001</v>
      </c>
      <c r="O611" s="38" t="n">
        <v>0.06767955801104963</v>
      </c>
      <c r="P611" s="38" t="n">
        <v>0.2192429022082019</v>
      </c>
      <c r="Q611" s="38" t="n">
        <v>0.2948073701842546</v>
      </c>
      <c r="R611" s="38" t="n">
        <v>0.08354359405663025</v>
      </c>
      <c r="S611" s="38" t="n">
        <v>-0.01123499690877683</v>
      </c>
      <c r="T611" s="38" t="n">
        <v>0.1046144685918426</v>
      </c>
      <c r="U611" s="33" t="n">
        <v>46850</v>
      </c>
      <c r="V611" s="33" t="n">
        <v>20400</v>
      </c>
      <c r="W611" s="38" t="n">
        <v>-0.1750266808964781</v>
      </c>
      <c r="X611" s="38" t="n">
        <v>0.8946078431372548</v>
      </c>
      <c r="Y611" s="33" t="n">
        <v>51414494</v>
      </c>
      <c r="Z611" s="33" t="n">
        <v>1987170193100</v>
      </c>
      <c r="AA611" s="33" t="n">
        <v>16996955900</v>
      </c>
      <c r="AB611" s="33" t="n">
        <v>25887443317.5</v>
      </c>
      <c r="AC611" s="38" t="n">
        <v>0.008553346844179776</v>
      </c>
      <c r="AD611" s="27" t="inlineStr">
        <is>
          <t>yfinance_download</t>
        </is>
      </c>
      <c r="AE611" s="27" t="inlineStr">
        <is>
          <t>005290.KQ</t>
        </is>
      </c>
    </row>
    <row r="612" ht="24" customHeight="1">
      <c r="A612" s="32" t="inlineStr">
        <is>
          <t>2025-12-10</t>
        </is>
      </c>
      <c r="B612" s="34" t="n">
        <v>38550</v>
      </c>
      <c r="C612" s="34" t="n">
        <v>39300</v>
      </c>
      <c r="D612" s="34" t="n">
        <v>38100</v>
      </c>
      <c r="E612" s="34" t="n">
        <v>38350</v>
      </c>
      <c r="F612" s="34" t="n">
        <v>37746.85546875</v>
      </c>
      <c r="G612" s="34" t="n">
        <v>490036</v>
      </c>
      <c r="H612" s="39" t="n">
        <v>-0.007761966364812412</v>
      </c>
      <c r="I612" s="39" t="n">
        <v>-0.2480392156862745</v>
      </c>
      <c r="J612" s="34" t="n">
        <v>35802.5</v>
      </c>
      <c r="K612" s="34" t="n">
        <v>39175.83333333334</v>
      </c>
      <c r="L612" s="34" t="n">
        <v>35051.66666666666</v>
      </c>
      <c r="M612" s="39" t="n">
        <v>0.6383183958943803</v>
      </c>
      <c r="N612" s="39" t="n">
        <v>0.5356265095966553</v>
      </c>
      <c r="O612" s="39" t="n">
        <v>0.07422969187675066</v>
      </c>
      <c r="P612" s="39" t="n">
        <v>0.1568627450980393</v>
      </c>
      <c r="Q612" s="39" t="n">
        <v>0.2411003236245954</v>
      </c>
      <c r="R612" s="39" t="n">
        <v>0.0711542490049577</v>
      </c>
      <c r="S612" s="39" t="n">
        <v>-0.02108017272553242</v>
      </c>
      <c r="T612" s="39" t="n">
        <v>0.09409918691455488</v>
      </c>
      <c r="U612" s="34" t="n">
        <v>46850</v>
      </c>
      <c r="V612" s="34" t="n">
        <v>20400</v>
      </c>
      <c r="W612" s="39" t="n">
        <v>-0.1814300960512273</v>
      </c>
      <c r="X612" s="39" t="n">
        <v>0.8799019607843137</v>
      </c>
      <c r="Y612" s="34" t="n">
        <v>51414494</v>
      </c>
      <c r="Z612" s="34" t="n">
        <v>1971745844900</v>
      </c>
      <c r="AA612" s="34" t="n">
        <v>18792880600</v>
      </c>
      <c r="AB612" s="34" t="n">
        <v>26137020627.5</v>
      </c>
      <c r="AC612" s="39" t="n">
        <v>0.009531086700960239</v>
      </c>
      <c r="AD612" s="32" t="inlineStr">
        <is>
          <t>yfinance_download</t>
        </is>
      </c>
      <c r="AE612" s="32" t="inlineStr">
        <is>
          <t>005290.KQ</t>
        </is>
      </c>
    </row>
    <row r="613" ht="24" customHeight="1">
      <c r="A613" s="27" t="inlineStr">
        <is>
          <t>2025-12-11</t>
        </is>
      </c>
      <c r="B613" s="33" t="n">
        <v>38600</v>
      </c>
      <c r="C613" s="33" t="n">
        <v>38800</v>
      </c>
      <c r="D613" s="33" t="n">
        <v>37250</v>
      </c>
      <c r="E613" s="33" t="n">
        <v>37900</v>
      </c>
      <c r="F613" s="33" t="n">
        <v>37303.9296875</v>
      </c>
      <c r="G613" s="33" t="n">
        <v>639748</v>
      </c>
      <c r="H613" s="38" t="n">
        <v>-0.01173402868318119</v>
      </c>
      <c r="I613" s="38" t="n">
        <v>-0.2568627450980392</v>
      </c>
      <c r="J613" s="33" t="n">
        <v>35915</v>
      </c>
      <c r="K613" s="33" t="n">
        <v>39247.5</v>
      </c>
      <c r="L613" s="33" t="n">
        <v>35105.83333333334</v>
      </c>
      <c r="M613" s="38" t="n">
        <v>0.6406003348026009</v>
      </c>
      <c r="N613" s="38" t="n">
        <v>0.5360003585668892</v>
      </c>
      <c r="O613" s="38" t="n">
        <v>0.06311360448807846</v>
      </c>
      <c r="P613" s="38" t="n">
        <v>0.1279761904761905</v>
      </c>
      <c r="Q613" s="38" t="n">
        <v>0.2070063694267517</v>
      </c>
      <c r="R613" s="38" t="n">
        <v>0.05526938605039677</v>
      </c>
      <c r="S613" s="38" t="n">
        <v>-0.03433339703165805</v>
      </c>
      <c r="T613" s="38" t="n">
        <v>0.07959266028912571</v>
      </c>
      <c r="U613" s="33" t="n">
        <v>46850</v>
      </c>
      <c r="V613" s="33" t="n">
        <v>20400</v>
      </c>
      <c r="W613" s="38" t="n">
        <v>-0.1910352187833512</v>
      </c>
      <c r="X613" s="38" t="n">
        <v>0.857843137254902</v>
      </c>
      <c r="Y613" s="33" t="n">
        <v>51414494</v>
      </c>
      <c r="Z613" s="33" t="n">
        <v>1948609322600</v>
      </c>
      <c r="AA613" s="33" t="n">
        <v>24246449200</v>
      </c>
      <c r="AB613" s="33" t="n">
        <v>26649808092.5</v>
      </c>
      <c r="AC613" s="38" t="n">
        <v>0.01244295042561345</v>
      </c>
      <c r="AD613" s="27" t="inlineStr">
        <is>
          <t>yfinance_download</t>
        </is>
      </c>
      <c r="AE613" s="27" t="inlineStr">
        <is>
          <t>005290.KQ</t>
        </is>
      </c>
    </row>
    <row r="614" ht="24" customHeight="1">
      <c r="A614" s="32" t="inlineStr">
        <is>
          <t>2025-12-12</t>
        </is>
      </c>
      <c r="B614" s="34" t="n">
        <v>37650</v>
      </c>
      <c r="C614" s="34" t="n">
        <v>37750</v>
      </c>
      <c r="D614" s="34" t="n">
        <v>36650</v>
      </c>
      <c r="E614" s="34" t="n">
        <v>37750</v>
      </c>
      <c r="F614" s="34" t="n">
        <v>37156.2890625</v>
      </c>
      <c r="G614" s="34" t="n">
        <v>557541</v>
      </c>
      <c r="H614" s="39" t="n">
        <v>-0.00395778364116095</v>
      </c>
      <c r="I614" s="39" t="n">
        <v>-0.2598039215686274</v>
      </c>
      <c r="J614" s="34" t="n">
        <v>36070</v>
      </c>
      <c r="K614" s="34" t="n">
        <v>39273.33333333334</v>
      </c>
      <c r="L614" s="34" t="n">
        <v>35162.91666666666</v>
      </c>
      <c r="M614" s="39" t="n">
        <v>0.630328174798977</v>
      </c>
      <c r="N614" s="39" t="n">
        <v>0.5129305371177784</v>
      </c>
      <c r="O614" s="39" t="n">
        <v>0.08946608946608947</v>
      </c>
      <c r="P614" s="39" t="n">
        <v>0.04281767955801108</v>
      </c>
      <c r="Q614" s="39" t="n">
        <v>0.2216828478964401</v>
      </c>
      <c r="R614" s="39" t="n">
        <v>0.04657610202384244</v>
      </c>
      <c r="S614" s="39" t="n">
        <v>-0.03878798166694963</v>
      </c>
      <c r="T614" s="39" t="n">
        <v>0.0735741963005534</v>
      </c>
      <c r="U614" s="34" t="n">
        <v>46850</v>
      </c>
      <c r="V614" s="34" t="n">
        <v>20400</v>
      </c>
      <c r="W614" s="39" t="n">
        <v>-0.1942369263607258</v>
      </c>
      <c r="X614" s="39" t="n">
        <v>0.8504901960784315</v>
      </c>
      <c r="Y614" s="34" t="n">
        <v>51414494</v>
      </c>
      <c r="Z614" s="34" t="n">
        <v>1940897148500</v>
      </c>
      <c r="AA614" s="34" t="n">
        <v>21047172750</v>
      </c>
      <c r="AB614" s="34" t="n">
        <v>26566634255</v>
      </c>
      <c r="AC614" s="39" t="n">
        <v>0.01084404331587898</v>
      </c>
      <c r="AD614" s="32" t="inlineStr">
        <is>
          <t>yfinance_download</t>
        </is>
      </c>
      <c r="AE614" s="32" t="inlineStr">
        <is>
          <t>005290.KQ</t>
        </is>
      </c>
    </row>
    <row r="615" ht="24" customHeight="1">
      <c r="A615" s="27" t="inlineStr">
        <is>
          <t>2025-12-15</t>
        </is>
      </c>
      <c r="B615" s="33" t="n">
        <v>36300</v>
      </c>
      <c r="C615" s="33" t="n">
        <v>36750</v>
      </c>
      <c r="D615" s="33" t="n">
        <v>35950</v>
      </c>
      <c r="E615" s="33" t="n">
        <v>36550</v>
      </c>
      <c r="F615" s="33" t="n">
        <v>35975.1640625</v>
      </c>
      <c r="G615" s="33" t="n">
        <v>308596</v>
      </c>
      <c r="H615" s="38" t="n">
        <v>-0.03178807947019868</v>
      </c>
      <c r="I615" s="38" t="n">
        <v>-0.2833333333333333</v>
      </c>
      <c r="J615" s="33" t="n">
        <v>36130</v>
      </c>
      <c r="K615" s="33" t="n">
        <v>39262.5</v>
      </c>
      <c r="L615" s="33" t="n">
        <v>35209.58333333334</v>
      </c>
      <c r="M615" s="38" t="n">
        <v>0.6406571555272913</v>
      </c>
      <c r="N615" s="38" t="n">
        <v>0.5143107615070411</v>
      </c>
      <c r="O615" s="38" t="n">
        <v>0.03394625176803401</v>
      </c>
      <c r="P615" s="38" t="n">
        <v>-0.01747311827956988</v>
      </c>
      <c r="Q615" s="38" t="n">
        <v>0.1809369951534734</v>
      </c>
      <c r="R615" s="38" t="n">
        <v>0.01162468862441179</v>
      </c>
      <c r="S615" s="38" t="n">
        <v>-0.06908627825533264</v>
      </c>
      <c r="T615" s="38" t="n">
        <v>0.03806965433179887</v>
      </c>
      <c r="U615" s="33" t="n">
        <v>46850</v>
      </c>
      <c r="V615" s="33" t="n">
        <v>20400</v>
      </c>
      <c r="W615" s="38" t="n">
        <v>-0.2198505869797225</v>
      </c>
      <c r="X615" s="38" t="n">
        <v>0.7916666666666667</v>
      </c>
      <c r="Y615" s="33" t="n">
        <v>51414494</v>
      </c>
      <c r="Z615" s="33" t="n">
        <v>1879199755700</v>
      </c>
      <c r="AA615" s="33" t="n">
        <v>11279183800</v>
      </c>
      <c r="AB615" s="33" t="n">
        <v>26613953195</v>
      </c>
      <c r="AC615" s="38" t="n">
        <v>0.006002120724945771</v>
      </c>
      <c r="AD615" s="27" t="inlineStr">
        <is>
          <t>yfinance_download</t>
        </is>
      </c>
      <c r="AE615" s="27" t="inlineStr">
        <is>
          <t>005290.KQ</t>
        </is>
      </c>
    </row>
    <row r="616" ht="24" customHeight="1">
      <c r="A616" s="32" t="inlineStr">
        <is>
          <t>2025-12-16</t>
        </is>
      </c>
      <c r="B616" s="34" t="n">
        <v>36450</v>
      </c>
      <c r="C616" s="34" t="n">
        <v>36550</v>
      </c>
      <c r="D616" s="34" t="n">
        <v>35350</v>
      </c>
      <c r="E616" s="34" t="n">
        <v>35450</v>
      </c>
      <c r="F616" s="34" t="n">
        <v>34892.46484375</v>
      </c>
      <c r="G616" s="34" t="n">
        <v>356391</v>
      </c>
      <c r="H616" s="39" t="n">
        <v>-0.03009575923392616</v>
      </c>
      <c r="I616" s="39" t="n">
        <v>-0.3049019607843138</v>
      </c>
      <c r="J616" s="34" t="n">
        <v>36217.5</v>
      </c>
      <c r="K616" s="34" t="n">
        <v>39225.83333333334</v>
      </c>
      <c r="L616" s="34" t="n">
        <v>35256.66666666666</v>
      </c>
      <c r="M616" s="39" t="n">
        <v>0.6263460640736055</v>
      </c>
      <c r="N616" s="39" t="n">
        <v>0.5174075246732607</v>
      </c>
      <c r="O616" s="39" t="n">
        <v>0.05192878338278928</v>
      </c>
      <c r="P616" s="39" t="n">
        <v>-0.05843293492695878</v>
      </c>
      <c r="Q616" s="39" t="n">
        <v>0.1895973154362416</v>
      </c>
      <c r="R616" s="39" t="n">
        <v>-0.02119141299095739</v>
      </c>
      <c r="S616" s="39" t="n">
        <v>-0.09625884302436749</v>
      </c>
      <c r="T616" s="39" t="n">
        <v>0.005483596482934727</v>
      </c>
      <c r="U616" s="34" t="n">
        <v>46850</v>
      </c>
      <c r="V616" s="34" t="n">
        <v>20400</v>
      </c>
      <c r="W616" s="39" t="n">
        <v>-0.2433297758804696</v>
      </c>
      <c r="X616" s="39" t="n">
        <v>0.7377450980392157</v>
      </c>
      <c r="Y616" s="34" t="n">
        <v>51414494</v>
      </c>
      <c r="Z616" s="34" t="n">
        <v>1822643812300</v>
      </c>
      <c r="AA616" s="34" t="n">
        <v>12634060950</v>
      </c>
      <c r="AB616" s="34" t="n">
        <v>26614772022.5</v>
      </c>
      <c r="AC616" s="39" t="n">
        <v>0.006931722404970085</v>
      </c>
      <c r="AD616" s="32" t="inlineStr">
        <is>
          <t>yfinance_download</t>
        </is>
      </c>
      <c r="AE616" s="32" t="inlineStr">
        <is>
          <t>005290.KQ</t>
        </is>
      </c>
    </row>
    <row r="617" ht="24" customHeight="1">
      <c r="A617" s="27" t="inlineStr">
        <is>
          <t>2025-12-17</t>
        </is>
      </c>
      <c r="B617" s="33" t="n">
        <v>36000</v>
      </c>
      <c r="C617" s="33" t="n">
        <v>37500</v>
      </c>
      <c r="D617" s="33" t="n">
        <v>35800</v>
      </c>
      <c r="E617" s="33" t="n">
        <v>37450</v>
      </c>
      <c r="F617" s="33" t="n">
        <v>36861.0078125</v>
      </c>
      <c r="G617" s="33" t="n">
        <v>479339</v>
      </c>
      <c r="H617" s="38" t="n">
        <v>0.05641748942172065</v>
      </c>
      <c r="I617" s="38" t="n">
        <v>-0.265686274509804</v>
      </c>
      <c r="J617" s="33" t="n">
        <v>36430</v>
      </c>
      <c r="K617" s="33" t="n">
        <v>39228.33333333334</v>
      </c>
      <c r="L617" s="33" t="n">
        <v>35301.25</v>
      </c>
      <c r="M617" s="38" t="n">
        <v>0.6496810011196211</v>
      </c>
      <c r="N617" s="38" t="n">
        <v>0.5300019603785646</v>
      </c>
      <c r="O617" s="38" t="n">
        <v>0.1280120481927711</v>
      </c>
      <c r="P617" s="38" t="n">
        <v>0.004021447721179516</v>
      </c>
      <c r="Q617" s="38" t="n">
        <v>0.1666666666666667</v>
      </c>
      <c r="R617" s="38" t="n">
        <v>0.02799890200384292</v>
      </c>
      <c r="S617" s="38" t="n">
        <v>-0.04533288014615289</v>
      </c>
      <c r="T617" s="38" t="n">
        <v>0.06086894939980869</v>
      </c>
      <c r="U617" s="33" t="n">
        <v>46850</v>
      </c>
      <c r="V617" s="33" t="n">
        <v>20400</v>
      </c>
      <c r="W617" s="38" t="n">
        <v>-0.2006403415154749</v>
      </c>
      <c r="X617" s="38" t="n">
        <v>0.8357843137254901</v>
      </c>
      <c r="Y617" s="33" t="n">
        <v>51414494</v>
      </c>
      <c r="Z617" s="33" t="n">
        <v>1925472800300</v>
      </c>
      <c r="AA617" s="33" t="n">
        <v>17951245550</v>
      </c>
      <c r="AB617" s="33" t="n">
        <v>27083345480</v>
      </c>
      <c r="AC617" s="38" t="n">
        <v>0.009323032528531741</v>
      </c>
      <c r="AD617" s="27" t="inlineStr">
        <is>
          <t>yfinance_download</t>
        </is>
      </c>
      <c r="AE617" s="27" t="inlineStr">
        <is>
          <t>005290.KQ</t>
        </is>
      </c>
    </row>
    <row r="618" ht="24" customHeight="1">
      <c r="A618" s="32" t="inlineStr">
        <is>
          <t>2025-12-18</t>
        </is>
      </c>
      <c r="B618" s="34" t="n">
        <v>36700</v>
      </c>
      <c r="C618" s="34" t="n">
        <v>37650</v>
      </c>
      <c r="D618" s="34" t="n">
        <v>36250</v>
      </c>
      <c r="E618" s="34" t="n">
        <v>36700</v>
      </c>
      <c r="F618" s="34" t="n">
        <v>36122.8046875</v>
      </c>
      <c r="G618" s="34" t="n">
        <v>294716</v>
      </c>
      <c r="H618" s="39" t="n">
        <v>-0.02002670226969294</v>
      </c>
      <c r="I618" s="39" t="n">
        <v>-0.2803921568627451</v>
      </c>
      <c r="J618" s="34" t="n">
        <v>36587.5</v>
      </c>
      <c r="K618" s="34" t="n">
        <v>39198.33333333334</v>
      </c>
      <c r="L618" s="34" t="n">
        <v>35325.83333333334</v>
      </c>
      <c r="M618" s="39" t="n">
        <v>0.6563838932230154</v>
      </c>
      <c r="N618" s="39" t="n">
        <v>0.5275147661984765</v>
      </c>
      <c r="O618" s="39" t="n">
        <v>0.0938897168405366</v>
      </c>
      <c r="P618" s="39" t="n">
        <v>-0.04675324675324677</v>
      </c>
      <c r="Q618" s="39" t="n">
        <v>0.08740740740740738</v>
      </c>
      <c r="R618" s="39" t="n">
        <v>0.003074820635462938</v>
      </c>
      <c r="S618" s="39" t="n">
        <v>-0.0637357030485991</v>
      </c>
      <c r="T618" s="39" t="n">
        <v>0.0388997664598616</v>
      </c>
      <c r="U618" s="34" t="n">
        <v>46850</v>
      </c>
      <c r="V618" s="34" t="n">
        <v>20400</v>
      </c>
      <c r="W618" s="39" t="n">
        <v>-0.2166488794023479</v>
      </c>
      <c r="X618" s="39" t="n">
        <v>0.7990196078431373</v>
      </c>
      <c r="Y618" s="34" t="n">
        <v>51414494</v>
      </c>
      <c r="Z618" s="34" t="n">
        <v>1886911929800</v>
      </c>
      <c r="AA618" s="34" t="n">
        <v>10816077200</v>
      </c>
      <c r="AB618" s="34" t="n">
        <v>27053321252.5</v>
      </c>
      <c r="AC618" s="39" t="n">
        <v>0.005732157939743606</v>
      </c>
      <c r="AD618" s="32" t="inlineStr">
        <is>
          <t>yfinance_download</t>
        </is>
      </c>
      <c r="AE618" s="32" t="inlineStr">
        <is>
          <t>005290.KQ</t>
        </is>
      </c>
    </row>
    <row r="619" ht="24" customHeight="1">
      <c r="A619" s="27" t="inlineStr">
        <is>
          <t>2025-12-19</t>
        </is>
      </c>
      <c r="B619" s="33" t="n">
        <v>37600</v>
      </c>
      <c r="C619" s="33" t="n">
        <v>37650</v>
      </c>
      <c r="D619" s="33" t="n">
        <v>36700</v>
      </c>
      <c r="E619" s="33" t="n">
        <v>37050</v>
      </c>
      <c r="F619" s="33" t="n">
        <v>36467.30078125</v>
      </c>
      <c r="G619" s="33" t="n">
        <v>318516</v>
      </c>
      <c r="H619" s="38" t="n">
        <v>0.009536784741144499</v>
      </c>
      <c r="I619" s="38" t="n">
        <v>-0.2735294117647059</v>
      </c>
      <c r="J619" s="33" t="n">
        <v>36860</v>
      </c>
      <c r="K619" s="33" t="n">
        <v>39166.66666666666</v>
      </c>
      <c r="L619" s="33" t="n">
        <v>35357.08333333334</v>
      </c>
      <c r="M619" s="38" t="n">
        <v>0.6121365835634982</v>
      </c>
      <c r="N619" s="38" t="n">
        <v>0.5273249913655819</v>
      </c>
      <c r="O619" s="38" t="n">
        <v>0.1724683544303798</v>
      </c>
      <c r="P619" s="38" t="n">
        <v>-0.04878048780487809</v>
      </c>
      <c r="Q619" s="38" t="n">
        <v>0.1126126126126126</v>
      </c>
      <c r="R619" s="38" t="n">
        <v>0.005154639175257714</v>
      </c>
      <c r="S619" s="38" t="n">
        <v>-0.05404255319148932</v>
      </c>
      <c r="T619" s="38" t="n">
        <v>0.04788055198746122</v>
      </c>
      <c r="U619" s="33" t="n">
        <v>46850</v>
      </c>
      <c r="V619" s="33" t="n">
        <v>20400</v>
      </c>
      <c r="W619" s="38" t="n">
        <v>-0.2091782283884739</v>
      </c>
      <c r="X619" s="38" t="n">
        <v>0.8161764705882353</v>
      </c>
      <c r="Y619" s="33" t="n">
        <v>51414494</v>
      </c>
      <c r="Z619" s="33" t="n">
        <v>1904907002700</v>
      </c>
      <c r="AA619" s="33" t="n">
        <v>11801017800</v>
      </c>
      <c r="AB619" s="33" t="n">
        <v>27159967982.5</v>
      </c>
      <c r="AC619" s="38" t="n">
        <v>0.006195062427338097</v>
      </c>
      <c r="AD619" s="27" t="inlineStr">
        <is>
          <t>yfinance_download</t>
        </is>
      </c>
      <c r="AE619" s="27" t="inlineStr">
        <is>
          <t>005290.KQ</t>
        </is>
      </c>
    </row>
    <row r="620" ht="24" customHeight="1">
      <c r="A620" s="32" t="inlineStr">
        <is>
          <t>2025-12-22</t>
        </is>
      </c>
      <c r="B620" s="34" t="n">
        <v>37900</v>
      </c>
      <c r="C620" s="34" t="n">
        <v>38200</v>
      </c>
      <c r="D620" s="34" t="n">
        <v>37450</v>
      </c>
      <c r="E620" s="34" t="n">
        <v>37800</v>
      </c>
      <c r="F620" s="34" t="n">
        <v>37205.50390625</v>
      </c>
      <c r="G620" s="34" t="n">
        <v>410397</v>
      </c>
      <c r="H620" s="39" t="n">
        <v>0.02024291497975717</v>
      </c>
      <c r="I620" s="39" t="n">
        <v>-0.2588235294117647</v>
      </c>
      <c r="J620" s="34" t="n">
        <v>37152.5</v>
      </c>
      <c r="K620" s="34" t="n">
        <v>39107.5</v>
      </c>
      <c r="L620" s="34" t="n">
        <v>35400</v>
      </c>
      <c r="M620" s="39" t="n">
        <v>0.613477314363722</v>
      </c>
      <c r="N620" s="39" t="n">
        <v>0.5132041666060653</v>
      </c>
      <c r="O620" s="39" t="n">
        <v>0.1830985915492958</v>
      </c>
      <c r="P620" s="39" t="n">
        <v>-0.08585247883917779</v>
      </c>
      <c r="Q620" s="39" t="n">
        <v>0.1577335375191424</v>
      </c>
      <c r="R620" s="39" t="n">
        <v>0.01742816768723499</v>
      </c>
      <c r="S620" s="39" t="n">
        <v>-0.03343348462571116</v>
      </c>
      <c r="T620" s="39" t="n">
        <v>0.06779661016949157</v>
      </c>
      <c r="U620" s="34" t="n">
        <v>46850</v>
      </c>
      <c r="V620" s="34" t="n">
        <v>20400</v>
      </c>
      <c r="W620" s="39" t="n">
        <v>-0.1931696905016008</v>
      </c>
      <c r="X620" s="39" t="n">
        <v>0.8529411764705883</v>
      </c>
      <c r="Y620" s="34" t="n">
        <v>51414494</v>
      </c>
      <c r="Z620" s="34" t="n">
        <v>1943467873200</v>
      </c>
      <c r="AA620" s="34" t="n">
        <v>15513006600</v>
      </c>
      <c r="AB620" s="34" t="n">
        <v>27682697320</v>
      </c>
      <c r="AC620" s="39" t="n">
        <v>0.007982126596441852</v>
      </c>
      <c r="AD620" s="32" t="inlineStr">
        <is>
          <t>yfinance_download</t>
        </is>
      </c>
      <c r="AE620" s="32" t="inlineStr">
        <is>
          <t>005290.KQ</t>
        </is>
      </c>
    </row>
    <row r="621" ht="24" customHeight="1">
      <c r="A621" s="27" t="inlineStr">
        <is>
          <t>2025-12-23</t>
        </is>
      </c>
      <c r="B621" s="33" t="n">
        <v>38200</v>
      </c>
      <c r="C621" s="33" t="n">
        <v>38200</v>
      </c>
      <c r="D621" s="33" t="n">
        <v>37600</v>
      </c>
      <c r="E621" s="33" t="n">
        <v>37900</v>
      </c>
      <c r="F621" s="33" t="n">
        <v>37303.9296875</v>
      </c>
      <c r="G621" s="33" t="n">
        <v>327308</v>
      </c>
      <c r="H621" s="38" t="n">
        <v>0.002645502645502562</v>
      </c>
      <c r="I621" s="38" t="n">
        <v>-0.2568627450980392</v>
      </c>
      <c r="J621" s="33" t="n">
        <v>37375</v>
      </c>
      <c r="K621" s="33" t="n">
        <v>39050</v>
      </c>
      <c r="L621" s="33" t="n">
        <v>35443.33333333334</v>
      </c>
      <c r="M621" s="38" t="n">
        <v>0.5971953970801838</v>
      </c>
      <c r="N621" s="38" t="n">
        <v>0.5132545282442622</v>
      </c>
      <c r="O621" s="38" t="n">
        <v>0.1330343796711511</v>
      </c>
      <c r="P621" s="38" t="n">
        <v>-0.08343409915356714</v>
      </c>
      <c r="Q621" s="38" t="n">
        <v>0.1590214067278288</v>
      </c>
      <c r="R621" s="38" t="n">
        <v>0.01404682274247482</v>
      </c>
      <c r="S621" s="38" t="n">
        <v>-0.02944942381562099</v>
      </c>
      <c r="T621" s="38" t="n">
        <v>0.06931251763378166</v>
      </c>
      <c r="U621" s="33" t="n">
        <v>46850</v>
      </c>
      <c r="V621" s="33" t="n">
        <v>20700</v>
      </c>
      <c r="W621" s="38" t="n">
        <v>-0.1910352187833512</v>
      </c>
      <c r="X621" s="38" t="n">
        <v>0.8309178743961352</v>
      </c>
      <c r="Y621" s="33" t="n">
        <v>51414494</v>
      </c>
      <c r="Z621" s="33" t="n">
        <v>1948609322600</v>
      </c>
      <c r="AA621" s="33" t="n">
        <v>12404973200</v>
      </c>
      <c r="AB621" s="33" t="n">
        <v>27740791970</v>
      </c>
      <c r="AC621" s="38" t="n">
        <v>0.006366064790990649</v>
      </c>
      <c r="AD621" s="27" t="inlineStr">
        <is>
          <t>yfinance_download</t>
        </is>
      </c>
      <c r="AE621" s="27" t="inlineStr">
        <is>
          <t>005290.KQ</t>
        </is>
      </c>
    </row>
    <row r="622" ht="24" customHeight="1">
      <c r="A622" s="32" t="inlineStr">
        <is>
          <t>2025-12-24</t>
        </is>
      </c>
      <c r="B622" s="34" t="n">
        <v>38150</v>
      </c>
      <c r="C622" s="34" t="n">
        <v>38150</v>
      </c>
      <c r="D622" s="34" t="n">
        <v>37300</v>
      </c>
      <c r="E622" s="34" t="n">
        <v>37450</v>
      </c>
      <c r="F622" s="34" t="n">
        <v>36861.0078125</v>
      </c>
      <c r="G622" s="34" t="n">
        <v>260423</v>
      </c>
      <c r="H622" s="39" t="n">
        <v>-0.01187335092348285</v>
      </c>
      <c r="I622" s="39" t="n">
        <v>-0.265686274509804</v>
      </c>
      <c r="J622" s="34" t="n">
        <v>37522.5</v>
      </c>
      <c r="K622" s="34" t="n">
        <v>38976.66666666666</v>
      </c>
      <c r="L622" s="34" t="n">
        <v>35485.83333333334</v>
      </c>
      <c r="M622" s="39" t="n">
        <v>0.5934129601256982</v>
      </c>
      <c r="N622" s="39" t="n">
        <v>0.5130048462669151</v>
      </c>
      <c r="O622" s="39" t="n">
        <v>0.08550724637681162</v>
      </c>
      <c r="P622" s="39" t="n">
        <v>-0.1051373954599761</v>
      </c>
      <c r="Q622" s="39" t="n">
        <v>0.1576506955177743</v>
      </c>
      <c r="R622" s="39" t="n">
        <v>-0.001932174028915989</v>
      </c>
      <c r="S622" s="39" t="n">
        <v>-0.0391687334302574</v>
      </c>
      <c r="T622" s="39" t="n">
        <v>0.0553507268158655</v>
      </c>
      <c r="U622" s="34" t="n">
        <v>46850</v>
      </c>
      <c r="V622" s="34" t="n">
        <v>20700</v>
      </c>
      <c r="W622" s="39" t="n">
        <v>-0.2006403415154749</v>
      </c>
      <c r="X622" s="39" t="n">
        <v>0.8091787439613527</v>
      </c>
      <c r="Y622" s="34" t="n">
        <v>51414494</v>
      </c>
      <c r="Z622" s="34" t="n">
        <v>1925472800300</v>
      </c>
      <c r="AA622" s="34" t="n">
        <v>9752841350</v>
      </c>
      <c r="AB622" s="34" t="n">
        <v>27468894112.5</v>
      </c>
      <c r="AC622" s="39" t="n">
        <v>0.005065167032471427</v>
      </c>
      <c r="AD622" s="32" t="inlineStr">
        <is>
          <t>yfinance_download</t>
        </is>
      </c>
      <c r="AE622" s="32" t="inlineStr">
        <is>
          <t>005290.KQ</t>
        </is>
      </c>
    </row>
    <row r="623" ht="24" customHeight="1">
      <c r="A623" s="27" t="inlineStr">
        <is>
          <t>2025-12-26</t>
        </is>
      </c>
      <c r="B623" s="33" t="n">
        <v>37750</v>
      </c>
      <c r="C623" s="33" t="n">
        <v>38450</v>
      </c>
      <c r="D623" s="33" t="n">
        <v>37500</v>
      </c>
      <c r="E623" s="33" t="n">
        <v>38150</v>
      </c>
      <c r="F623" s="33" t="n">
        <v>37550</v>
      </c>
      <c r="G623" s="33" t="n">
        <v>508709</v>
      </c>
      <c r="H623" s="38" t="n">
        <v>0.01869158878504673</v>
      </c>
      <c r="I623" s="38" t="n">
        <v>-0.2519607843137255</v>
      </c>
      <c r="J623" s="33" t="n">
        <v>37682.5</v>
      </c>
      <c r="K623" s="33" t="n">
        <v>38920.83333333334</v>
      </c>
      <c r="L623" s="33" t="n">
        <v>35538.33333333334</v>
      </c>
      <c r="M623" s="38" t="n">
        <v>0.5947966474998616</v>
      </c>
      <c r="N623" s="38" t="n">
        <v>0.5144176778675743</v>
      </c>
      <c r="O623" s="38" t="n">
        <v>0.09155937052932761</v>
      </c>
      <c r="P623" s="38" t="n">
        <v>-0.08072289156626511</v>
      </c>
      <c r="Q623" s="38" t="n">
        <v>0.1978021978021978</v>
      </c>
      <c r="R623" s="38" t="n">
        <v>0.01240628939162747</v>
      </c>
      <c r="S623" s="38" t="n">
        <v>-0.0198051600471042</v>
      </c>
      <c r="T623" s="38" t="n">
        <v>0.07348872109928228</v>
      </c>
      <c r="U623" s="33" t="n">
        <v>46850</v>
      </c>
      <c r="V623" s="33" t="n">
        <v>20700</v>
      </c>
      <c r="W623" s="38" t="n">
        <v>-0.1856990394877268</v>
      </c>
      <c r="X623" s="38" t="n">
        <v>0.8429951690821256</v>
      </c>
      <c r="Y623" s="33" t="n">
        <v>51414494</v>
      </c>
      <c r="Z623" s="33" t="n">
        <v>1961462946100</v>
      </c>
      <c r="AA623" s="33" t="n">
        <v>19407248350</v>
      </c>
      <c r="AB623" s="33" t="n">
        <v>27877894872.5</v>
      </c>
      <c r="AC623" s="38" t="n">
        <v>0.00989427222603805</v>
      </c>
      <c r="AD623" s="27" t="inlineStr">
        <is>
          <t>yfinance_download</t>
        </is>
      </c>
      <c r="AE623" s="27" t="inlineStr">
        <is>
          <t>005290.KQ</t>
        </is>
      </c>
    </row>
    <row r="624" ht="24" customHeight="1">
      <c r="A624" s="32" t="inlineStr">
        <is>
          <t>2025-12-29</t>
        </is>
      </c>
      <c r="B624" s="34" t="n">
        <v>38400</v>
      </c>
      <c r="C624" s="34" t="n">
        <v>38500</v>
      </c>
      <c r="D624" s="34" t="n">
        <v>36700</v>
      </c>
      <c r="E624" s="34" t="n">
        <v>36750</v>
      </c>
      <c r="F624" s="34" t="n">
        <v>36750</v>
      </c>
      <c r="G624" s="34" t="n">
        <v>636217</v>
      </c>
      <c r="H624" s="39" t="n">
        <v>-0.03669724770642202</v>
      </c>
      <c r="I624" s="39" t="n">
        <v>-0.2794117647058824</v>
      </c>
      <c r="J624" s="34" t="n">
        <v>37712.5</v>
      </c>
      <c r="K624" s="34" t="n">
        <v>38860</v>
      </c>
      <c r="L624" s="34" t="n">
        <v>35569.58333333334</v>
      </c>
      <c r="M624" s="39" t="n">
        <v>0.6017889842051127</v>
      </c>
      <c r="N624" s="39" t="n">
        <v>0.5170026319313594</v>
      </c>
      <c r="O624" s="39" t="n">
        <v>0.01659751037344392</v>
      </c>
      <c r="P624" s="39" t="n">
        <v>-0.09034653465346532</v>
      </c>
      <c r="Q624" s="39" t="n">
        <v>0.1136363636363635</v>
      </c>
      <c r="R624" s="39" t="n">
        <v>-0.02552204176334105</v>
      </c>
      <c r="S624" s="39" t="n">
        <v>-0.05429747812660835</v>
      </c>
      <c r="T624" s="39" t="n">
        <v>0.03318612578631086</v>
      </c>
      <c r="U624" s="34" t="n">
        <v>46850</v>
      </c>
      <c r="V624" s="34" t="n">
        <v>20700</v>
      </c>
      <c r="W624" s="39" t="n">
        <v>-0.2155816435432231</v>
      </c>
      <c r="X624" s="39" t="n">
        <v>0.7753623188405796</v>
      </c>
      <c r="Y624" s="34" t="n">
        <v>51414494</v>
      </c>
      <c r="Z624" s="34" t="n">
        <v>1889482654500</v>
      </c>
      <c r="AA624" s="34" t="n">
        <v>23380974750</v>
      </c>
      <c r="AB624" s="34" t="n">
        <v>27983314812.5</v>
      </c>
      <c r="AC624" s="39" t="n">
        <v>0.01237427329344134</v>
      </c>
      <c r="AD624" s="32" t="inlineStr">
        <is>
          <t>yfinance_download</t>
        </is>
      </c>
      <c r="AE624" s="32" t="inlineStr">
        <is>
          <t>005290.KQ</t>
        </is>
      </c>
    </row>
    <row r="625" ht="24" customHeight="1">
      <c r="A625" s="27" t="inlineStr">
        <is>
          <t>2025-12-30</t>
        </is>
      </c>
      <c r="B625" s="33" t="n">
        <v>36750</v>
      </c>
      <c r="C625" s="33" t="n">
        <v>37550</v>
      </c>
      <c r="D625" s="33" t="n">
        <v>36300</v>
      </c>
      <c r="E625" s="33" t="n">
        <v>36650</v>
      </c>
      <c r="F625" s="33" t="n">
        <v>36650</v>
      </c>
      <c r="G625" s="33" t="n">
        <v>386110</v>
      </c>
      <c r="H625" s="38" t="n">
        <v>-0.002721088435374108</v>
      </c>
      <c r="I625" s="38" t="n">
        <v>-0.2813725490196078</v>
      </c>
      <c r="J625" s="33" t="n">
        <v>37537.5</v>
      </c>
      <c r="K625" s="33" t="n">
        <v>38789.16666666666</v>
      </c>
      <c r="L625" s="33" t="n">
        <v>35608.75</v>
      </c>
      <c r="M625" s="38" t="n">
        <v>0.4424921303640289</v>
      </c>
      <c r="N625" s="38" t="n">
        <v>0.5162519349656678</v>
      </c>
      <c r="O625" s="38" t="n">
        <v>-0.08717310087173102</v>
      </c>
      <c r="P625" s="38" t="n">
        <v>-0.1039119804400978</v>
      </c>
      <c r="Q625" s="38" t="n">
        <v>0.1471048513302033</v>
      </c>
      <c r="R625" s="38" t="n">
        <v>-0.02364302364302362</v>
      </c>
      <c r="S625" s="38" t="n">
        <v>-0.05514855952048459</v>
      </c>
      <c r="T625" s="38" t="n">
        <v>0.02924140836170874</v>
      </c>
      <c r="U625" s="33" t="n">
        <v>46850</v>
      </c>
      <c r="V625" s="33" t="n">
        <v>20700</v>
      </c>
      <c r="W625" s="38" t="n">
        <v>-0.2177161152614728</v>
      </c>
      <c r="X625" s="38" t="n">
        <v>0.7705314009661837</v>
      </c>
      <c r="Y625" s="33" t="n">
        <v>51414494</v>
      </c>
      <c r="Z625" s="33" t="n">
        <v>1884341205100</v>
      </c>
      <c r="AA625" s="33" t="n">
        <v>14150931500</v>
      </c>
      <c r="AB625" s="33" t="n">
        <v>22514370077.5</v>
      </c>
      <c r="AC625" s="38" t="n">
        <v>0.007509750071643222</v>
      </c>
      <c r="AD625" s="27" t="inlineStr">
        <is>
          <t>yfinance_download</t>
        </is>
      </c>
      <c r="AE625" s="27" t="inlineStr">
        <is>
          <t>005290.KQ</t>
        </is>
      </c>
    </row>
    <row r="626" ht="24" customHeight="1">
      <c r="A626" s="32" t="inlineStr">
        <is>
          <t>2026-01-02</t>
        </is>
      </c>
      <c r="B626" s="34" t="n">
        <v>36800</v>
      </c>
      <c r="C626" s="34" t="n">
        <v>39700</v>
      </c>
      <c r="D626" s="34" t="n">
        <v>36700</v>
      </c>
      <c r="E626" s="34" t="n">
        <v>39650</v>
      </c>
      <c r="F626" s="34" t="n">
        <v>39650</v>
      </c>
      <c r="G626" s="34" t="n">
        <v>993429</v>
      </c>
      <c r="H626" s="39" t="n">
        <v>0.08185538881309684</v>
      </c>
      <c r="I626" s="39" t="n">
        <v>-0.2225490196078431</v>
      </c>
      <c r="J626" s="34" t="n">
        <v>37572.5</v>
      </c>
      <c r="K626" s="34" t="n">
        <v>38764.16666666666</v>
      </c>
      <c r="L626" s="34" t="n">
        <v>35676.25</v>
      </c>
      <c r="M626" s="39" t="n">
        <v>0.5262539505709453</v>
      </c>
      <c r="N626" s="39" t="n">
        <v>0.543521528005167</v>
      </c>
      <c r="O626" s="39" t="n">
        <v>0.01797175866495504</v>
      </c>
      <c r="P626" s="39" t="n">
        <v>-0.03645200486026734</v>
      </c>
      <c r="Q626" s="39" t="n">
        <v>0.2567353407290016</v>
      </c>
      <c r="R626" s="39" t="n">
        <v>0.05529310000665388</v>
      </c>
      <c r="S626" s="39" t="n">
        <v>0.02285186061009958</v>
      </c>
      <c r="T626" s="39" t="n">
        <v>0.1113836235590904</v>
      </c>
      <c r="U626" s="34" t="n">
        <v>46850</v>
      </c>
      <c r="V626" s="34" t="n">
        <v>20700</v>
      </c>
      <c r="W626" s="39" t="n">
        <v>-0.1536819637139808</v>
      </c>
      <c r="X626" s="39" t="n">
        <v>0.9154589371980677</v>
      </c>
      <c r="Y626" s="34" t="n">
        <v>51414494</v>
      </c>
      <c r="Z626" s="34" t="n">
        <v>2038584687100</v>
      </c>
      <c r="AA626" s="34" t="n">
        <v>39389459850</v>
      </c>
      <c r="AB626" s="34" t="n">
        <v>21127005482.5</v>
      </c>
      <c r="AC626" s="39" t="n">
        <v>0.0193219639582566</v>
      </c>
      <c r="AD626" s="32" t="inlineStr">
        <is>
          <t>yfinance_download</t>
        </is>
      </c>
      <c r="AE626" s="32" t="inlineStr">
        <is>
          <t>005290.KQ</t>
        </is>
      </c>
    </row>
    <row r="627" ht="24" customHeight="1">
      <c r="A627" s="27" t="inlineStr">
        <is>
          <t>2026-01-05</t>
        </is>
      </c>
      <c r="B627" s="33" t="n">
        <v>41200</v>
      </c>
      <c r="C627" s="33" t="n">
        <v>41600</v>
      </c>
      <c r="D627" s="33" t="n">
        <v>39500</v>
      </c>
      <c r="E627" s="33" t="n">
        <v>40700</v>
      </c>
      <c r="F627" s="33" t="n">
        <v>40700</v>
      </c>
      <c r="G627" s="33" t="n">
        <v>976415</v>
      </c>
      <c r="H627" s="38" t="n">
        <v>0.02648171500630525</v>
      </c>
      <c r="I627" s="38" t="n">
        <v>-0.2019607843137254</v>
      </c>
      <c r="J627" s="33" t="n">
        <v>37680</v>
      </c>
      <c r="K627" s="33" t="n">
        <v>38723.33333333334</v>
      </c>
      <c r="L627" s="33" t="n">
        <v>35752.08333333334</v>
      </c>
      <c r="M627" s="38" t="n">
        <v>0.531585425377013</v>
      </c>
      <c r="N627" s="38" t="n">
        <v>0.5369144619920199</v>
      </c>
      <c r="O627" s="38" t="n">
        <v>0.05577172503242545</v>
      </c>
      <c r="P627" s="38" t="n">
        <v>-0.05677867902665124</v>
      </c>
      <c r="Q627" s="38" t="n">
        <v>0.2879746835443038</v>
      </c>
      <c r="R627" s="38" t="n">
        <v>0.08014861995753719</v>
      </c>
      <c r="S627" s="38" t="n">
        <v>0.05104588103641206</v>
      </c>
      <c r="T627" s="38" t="n">
        <v>0.1383951984150107</v>
      </c>
      <c r="U627" s="33" t="n">
        <v>46850</v>
      </c>
      <c r="V627" s="33" t="n">
        <v>20700</v>
      </c>
      <c r="W627" s="38" t="n">
        <v>-0.1312700106723586</v>
      </c>
      <c r="X627" s="38" t="n">
        <v>0.9661835748792271</v>
      </c>
      <c r="Y627" s="33" t="n">
        <v>51414494</v>
      </c>
      <c r="Z627" s="33" t="n">
        <v>2092569905800</v>
      </c>
      <c r="AA627" s="33" t="n">
        <v>39740090500</v>
      </c>
      <c r="AB627" s="33" t="n">
        <v>21543851160</v>
      </c>
      <c r="AC627" s="38" t="n">
        <v>0.01899104559893169</v>
      </c>
      <c r="AD627" s="27" t="inlineStr">
        <is>
          <t>yfinance_download</t>
        </is>
      </c>
      <c r="AE627" s="27" t="inlineStr">
        <is>
          <t>005290.KQ</t>
        </is>
      </c>
    </row>
    <row r="628" ht="24" customHeight="1">
      <c r="A628" s="32" t="inlineStr">
        <is>
          <t>2026-01-06</t>
        </is>
      </c>
      <c r="B628" s="34" t="n">
        <v>40000</v>
      </c>
      <c r="C628" s="34" t="n">
        <v>41100</v>
      </c>
      <c r="D628" s="34" t="n">
        <v>39300</v>
      </c>
      <c r="E628" s="34" t="n">
        <v>41100</v>
      </c>
      <c r="F628" s="34" t="n">
        <v>41100</v>
      </c>
      <c r="G628" s="34" t="n">
        <v>641108</v>
      </c>
      <c r="H628" s="39" t="n">
        <v>0.009828009828009909</v>
      </c>
      <c r="I628" s="39" t="n">
        <v>-0.1941176470588235</v>
      </c>
      <c r="J628" s="34" t="n">
        <v>37897.5</v>
      </c>
      <c r="K628" s="34" t="n">
        <v>38675</v>
      </c>
      <c r="L628" s="34" t="n">
        <v>35839.16666666666</v>
      </c>
      <c r="M628" s="39" t="n">
        <v>0.497968005594243</v>
      </c>
      <c r="N628" s="39" t="n">
        <v>0.5357145140929941</v>
      </c>
      <c r="O628" s="39" t="n">
        <v>0.1183673469387756</v>
      </c>
      <c r="P628" s="39" t="n">
        <v>-0.06590909090909092</v>
      </c>
      <c r="Q628" s="39" t="n">
        <v>0.3409461663947797</v>
      </c>
      <c r="R628" s="39" t="n">
        <v>0.08450425489808033</v>
      </c>
      <c r="S628" s="39" t="n">
        <v>0.06270200387847447</v>
      </c>
      <c r="T628" s="39" t="n">
        <v>0.1467900574325112</v>
      </c>
      <c r="U628" s="34" t="n">
        <v>46850</v>
      </c>
      <c r="V628" s="34" t="n">
        <v>20700</v>
      </c>
      <c r="W628" s="39" t="n">
        <v>-0.1227321237993596</v>
      </c>
      <c r="X628" s="39" t="n">
        <v>0.9855072463768115</v>
      </c>
      <c r="Y628" s="34" t="n">
        <v>51414494</v>
      </c>
      <c r="Z628" s="34" t="n">
        <v>2113135703400</v>
      </c>
      <c r="AA628" s="34" t="n">
        <v>26349538800</v>
      </c>
      <c r="AB628" s="34" t="n">
        <v>21119422200</v>
      </c>
      <c r="AC628" s="39" t="n">
        <v>0.01246940211061885</v>
      </c>
      <c r="AD628" s="32" t="inlineStr">
        <is>
          <t>yfinance_download</t>
        </is>
      </c>
      <c r="AE628" s="32" t="inlineStr">
        <is>
          <t>005290.KQ</t>
        </is>
      </c>
    </row>
    <row r="629" ht="24" customHeight="1">
      <c r="A629" s="27" t="inlineStr">
        <is>
          <t>2026-01-07</t>
        </is>
      </c>
      <c r="B629" s="33" t="n">
        <v>43350</v>
      </c>
      <c r="C629" s="33" t="n">
        <v>44450</v>
      </c>
      <c r="D629" s="33" t="n">
        <v>40050</v>
      </c>
      <c r="E629" s="33" t="n">
        <v>41050</v>
      </c>
      <c r="F629" s="33" t="n">
        <v>41050</v>
      </c>
      <c r="G629" s="33" t="n">
        <v>1605484</v>
      </c>
      <c r="H629" s="38" t="n">
        <v>-0.001216545012165504</v>
      </c>
      <c r="I629" s="38" t="n">
        <v>-0.1950980392156862</v>
      </c>
      <c r="J629" s="33" t="n">
        <v>38107.5</v>
      </c>
      <c r="K629" s="33" t="n">
        <v>38578.33333333334</v>
      </c>
      <c r="L629" s="33" t="n">
        <v>35927.08333333334</v>
      </c>
      <c r="M629" s="38" t="n">
        <v>0.4985146377874132</v>
      </c>
      <c r="N629" s="38" t="n">
        <v>0.5181097214433501</v>
      </c>
      <c r="O629" s="38" t="n">
        <v>0.1139755766621438</v>
      </c>
      <c r="P629" s="38" t="n">
        <v>-0.1237993596584845</v>
      </c>
      <c r="Q629" s="38" t="n">
        <v>0.3459016393442622</v>
      </c>
      <c r="R629" s="38" t="n">
        <v>0.07721577117365341</v>
      </c>
      <c r="S629" s="38" t="n">
        <v>0.06406877781137932</v>
      </c>
      <c r="T629" s="38" t="n">
        <v>0.1425920556683096</v>
      </c>
      <c r="U629" s="33" t="n">
        <v>46850</v>
      </c>
      <c r="V629" s="33" t="n">
        <v>20700</v>
      </c>
      <c r="W629" s="38" t="n">
        <v>-0.1237993596584845</v>
      </c>
      <c r="X629" s="38" t="n">
        <v>0.9830917874396135</v>
      </c>
      <c r="Y629" s="33" t="n">
        <v>51414494</v>
      </c>
      <c r="Z629" s="33" t="n">
        <v>2110564978700</v>
      </c>
      <c r="AA629" s="33" t="n">
        <v>65905118200</v>
      </c>
      <c r="AB629" s="33" t="n">
        <v>23354350682.5</v>
      </c>
      <c r="AC629" s="38" t="n">
        <v>0.0312262919479476</v>
      </c>
      <c r="AD629" s="27" t="inlineStr">
        <is>
          <t>yfinance_download</t>
        </is>
      </c>
      <c r="AE629" s="27" t="inlineStr">
        <is>
          <t>005290.KQ</t>
        </is>
      </c>
    </row>
    <row r="630" ht="24" customHeight="1">
      <c r="A630" s="32" t="inlineStr">
        <is>
          <t>2026-01-08</t>
        </is>
      </c>
      <c r="B630" s="34" t="n">
        <v>41400</v>
      </c>
      <c r="C630" s="34" t="n">
        <v>43300</v>
      </c>
      <c r="D630" s="34" t="n">
        <v>40150</v>
      </c>
      <c r="E630" s="34" t="n">
        <v>40900</v>
      </c>
      <c r="F630" s="34" t="n">
        <v>40900</v>
      </c>
      <c r="G630" s="34" t="n">
        <v>1114891</v>
      </c>
      <c r="H630" s="39" t="n">
        <v>-0.003654080389768555</v>
      </c>
      <c r="I630" s="39" t="n">
        <v>-0.1980392156862745</v>
      </c>
      <c r="J630" s="34" t="n">
        <v>38197.5</v>
      </c>
      <c r="K630" s="34" t="n">
        <v>38499.16666666666</v>
      </c>
      <c r="L630" s="34" t="n">
        <v>36010.83333333334</v>
      </c>
      <c r="M630" s="39" t="n">
        <v>0.4544716353843303</v>
      </c>
      <c r="N630" s="39" t="n">
        <v>0.5157266673129364</v>
      </c>
      <c r="O630" s="39" t="n">
        <v>0.04603580562659837</v>
      </c>
      <c r="P630" s="39" t="n">
        <v>-0.104052573932092</v>
      </c>
      <c r="Q630" s="39" t="n">
        <v>0.325769854132901</v>
      </c>
      <c r="R630" s="39" t="n">
        <v>0.07075070358007718</v>
      </c>
      <c r="S630" s="39" t="n">
        <v>0.06236065715708139</v>
      </c>
      <c r="T630" s="39" t="n">
        <v>0.1357693286742414</v>
      </c>
      <c r="U630" s="34" t="n">
        <v>46850</v>
      </c>
      <c r="V630" s="34" t="n">
        <v>20700</v>
      </c>
      <c r="W630" s="39" t="n">
        <v>-0.1270010672358591</v>
      </c>
      <c r="X630" s="39" t="n">
        <v>0.9758454106280192</v>
      </c>
      <c r="Y630" s="34" t="n">
        <v>51414494</v>
      </c>
      <c r="Z630" s="34" t="n">
        <v>2102852804600</v>
      </c>
      <c r="AA630" s="34" t="n">
        <v>45599041900</v>
      </c>
      <c r="AB630" s="34" t="n">
        <v>22857913437.5</v>
      </c>
      <c r="AC630" s="39" t="n">
        <v>0.02168437172599617</v>
      </c>
      <c r="AD630" s="32" t="inlineStr">
        <is>
          <t>yfinance_download</t>
        </is>
      </c>
      <c r="AE630" s="32" t="inlineStr">
        <is>
          <t>005290.KQ</t>
        </is>
      </c>
    </row>
    <row r="631" ht="24" customHeight="1">
      <c r="A631" s="27" t="inlineStr">
        <is>
          <t>2026-01-09</t>
        </is>
      </c>
      <c r="B631" s="33" t="n">
        <v>41100</v>
      </c>
      <c r="C631" s="33" t="n">
        <v>41100</v>
      </c>
      <c r="D631" s="33" t="n">
        <v>39500</v>
      </c>
      <c r="E631" s="33" t="n">
        <v>40200</v>
      </c>
      <c r="F631" s="33" t="n">
        <v>40200</v>
      </c>
      <c r="G631" s="33" t="n">
        <v>684104</v>
      </c>
      <c r="H631" s="38" t="n">
        <v>-0.0171149144254279</v>
      </c>
      <c r="I631" s="38" t="n">
        <v>-0.211764705882353</v>
      </c>
      <c r="J631" s="33" t="n">
        <v>38275</v>
      </c>
      <c r="K631" s="33" t="n">
        <v>38438.33333333334</v>
      </c>
      <c r="L631" s="33" t="n">
        <v>36092.08333333334</v>
      </c>
      <c r="M631" s="38" t="n">
        <v>0.4572127078808444</v>
      </c>
      <c r="N631" s="38" t="n">
        <v>0.5106859153651921</v>
      </c>
      <c r="O631" s="38" t="n">
        <v>0.04010349288486426</v>
      </c>
      <c r="P631" s="38" t="n">
        <v>-0.08323831242873436</v>
      </c>
      <c r="Q631" s="38" t="n">
        <v>0.3201970443349753</v>
      </c>
      <c r="R631" s="38" t="n">
        <v>0.05029392553886347</v>
      </c>
      <c r="S631" s="38" t="n">
        <v>0.04583098469409874</v>
      </c>
      <c r="T631" s="38" t="n">
        <v>0.1138176654621859</v>
      </c>
      <c r="U631" s="33" t="n">
        <v>46850</v>
      </c>
      <c r="V631" s="33" t="n">
        <v>20700</v>
      </c>
      <c r="W631" s="38" t="n">
        <v>-0.1419423692636073</v>
      </c>
      <c r="X631" s="38" t="n">
        <v>0.9420289855072463</v>
      </c>
      <c r="Y631" s="33" t="n">
        <v>51414494</v>
      </c>
      <c r="Z631" s="33" t="n">
        <v>2066862658800</v>
      </c>
      <c r="AA631" s="33" t="n">
        <v>27500980800</v>
      </c>
      <c r="AB631" s="33" t="n">
        <v>23383114682.5</v>
      </c>
      <c r="AC631" s="38" t="n">
        <v>0.0133056643521572</v>
      </c>
      <c r="AD631" s="27" t="inlineStr">
        <is>
          <t>yfinance_download</t>
        </is>
      </c>
      <c r="AE631" s="27" t="inlineStr">
        <is>
          <t>005290.KQ</t>
        </is>
      </c>
    </row>
    <row r="632" ht="24" customHeight="1">
      <c r="A632" s="32" t="inlineStr">
        <is>
          <t>2026-01-12</t>
        </is>
      </c>
      <c r="B632" s="34" t="n">
        <v>40700</v>
      </c>
      <c r="C632" s="34" t="n">
        <v>41150</v>
      </c>
      <c r="D632" s="34" t="n">
        <v>39350</v>
      </c>
      <c r="E632" s="34" t="n">
        <v>40300</v>
      </c>
      <c r="F632" s="34" t="n">
        <v>40300</v>
      </c>
      <c r="G632" s="34" t="n">
        <v>566873</v>
      </c>
      <c r="H632" s="39" t="n">
        <v>0.002487562189054771</v>
      </c>
      <c r="I632" s="39" t="n">
        <v>-0.2098039215686275</v>
      </c>
      <c r="J632" s="34" t="n">
        <v>38372.5</v>
      </c>
      <c r="K632" s="34" t="n">
        <v>38365</v>
      </c>
      <c r="L632" s="34" t="n">
        <v>36170</v>
      </c>
      <c r="M632" s="39" t="n">
        <v>0.4556501680150924</v>
      </c>
      <c r="N632" s="39" t="n">
        <v>0.5089841461722964</v>
      </c>
      <c r="O632" s="39" t="n">
        <v>0.05084745762711873</v>
      </c>
      <c r="P632" s="39" t="n">
        <v>-0.09843400447427297</v>
      </c>
      <c r="Q632" s="39" t="n">
        <v>0.3021001615508885</v>
      </c>
      <c r="R632" s="39" t="n">
        <v>0.05023128542576072</v>
      </c>
      <c r="S632" s="39" t="n">
        <v>0.05043659585559745</v>
      </c>
      <c r="T632" s="39" t="n">
        <v>0.1141830246060271</v>
      </c>
      <c r="U632" s="34" t="n">
        <v>46850</v>
      </c>
      <c r="V632" s="34" t="n">
        <v>20700</v>
      </c>
      <c r="W632" s="39" t="n">
        <v>-0.1398078975453575</v>
      </c>
      <c r="X632" s="39" t="n">
        <v>0.9468599033816425</v>
      </c>
      <c r="Y632" s="34" t="n">
        <v>51414494</v>
      </c>
      <c r="Z632" s="34" t="n">
        <v>2072004108200</v>
      </c>
      <c r="AA632" s="34" t="n">
        <v>22844981900</v>
      </c>
      <c r="AB632" s="34" t="n">
        <v>23585719747.5</v>
      </c>
      <c r="AC632" s="39" t="n">
        <v>0.01102554855446015</v>
      </c>
      <c r="AD632" s="32" t="inlineStr">
        <is>
          <t>yfinance_download</t>
        </is>
      </c>
      <c r="AE632" s="32" t="inlineStr">
        <is>
          <t>005290.KQ</t>
        </is>
      </c>
    </row>
    <row r="633" ht="24" customHeight="1">
      <c r="A633" s="27" t="inlineStr">
        <is>
          <t>2026-01-13</t>
        </is>
      </c>
      <c r="B633" s="33" t="n">
        <v>40400</v>
      </c>
      <c r="C633" s="33" t="n">
        <v>40750</v>
      </c>
      <c r="D633" s="33" t="n">
        <v>39450</v>
      </c>
      <c r="E633" s="33" t="n">
        <v>39900</v>
      </c>
      <c r="F633" s="33" t="n">
        <v>39900</v>
      </c>
      <c r="G633" s="33" t="n">
        <v>527107</v>
      </c>
      <c r="H633" s="38" t="n">
        <v>-0.009925558312655069</v>
      </c>
      <c r="I633" s="38" t="n">
        <v>-0.2176470588235294</v>
      </c>
      <c r="J633" s="33" t="n">
        <v>38472.5</v>
      </c>
      <c r="K633" s="33" t="n">
        <v>38291.66666666666</v>
      </c>
      <c r="L633" s="33" t="n">
        <v>36242.91666666666</v>
      </c>
      <c r="M633" s="38" t="n">
        <v>0.4549262815181596</v>
      </c>
      <c r="N633" s="38" t="n">
        <v>0.5090513868090335</v>
      </c>
      <c r="O633" s="38" t="n">
        <v>0.05277044854881274</v>
      </c>
      <c r="P633" s="38" t="n">
        <v>-0.09932279909706543</v>
      </c>
      <c r="Q633" s="38" t="n">
        <v>0.2808988764044944</v>
      </c>
      <c r="R633" s="38" t="n">
        <v>0.03710442523880686</v>
      </c>
      <c r="S633" s="38" t="n">
        <v>0.04200217627856362</v>
      </c>
      <c r="T633" s="38" t="n">
        <v>0.100904774496166</v>
      </c>
      <c r="U633" s="33" t="n">
        <v>46850</v>
      </c>
      <c r="V633" s="33" t="n">
        <v>20700</v>
      </c>
      <c r="W633" s="38" t="n">
        <v>-0.1483457844183564</v>
      </c>
      <c r="X633" s="38" t="n">
        <v>0.9275362318840579</v>
      </c>
      <c r="Y633" s="33" t="n">
        <v>51414494</v>
      </c>
      <c r="Z633" s="33" t="n">
        <v>2051438310600</v>
      </c>
      <c r="AA633" s="33" t="n">
        <v>21031569300</v>
      </c>
      <c r="AB633" s="33" t="n">
        <v>23424975752.5</v>
      </c>
      <c r="AC633" s="38" t="n">
        <v>0.01025210906480962</v>
      </c>
      <c r="AD633" s="27" t="inlineStr">
        <is>
          <t>yfinance_download</t>
        </is>
      </c>
      <c r="AE633" s="27" t="inlineStr">
        <is>
          <t>005290.KQ</t>
        </is>
      </c>
    </row>
    <row r="634" ht="24" customHeight="1">
      <c r="A634" s="32" t="inlineStr">
        <is>
          <t>2026-01-14</t>
        </is>
      </c>
      <c r="B634" s="34" t="n">
        <v>40400</v>
      </c>
      <c r="C634" s="34" t="n">
        <v>40750</v>
      </c>
      <c r="D634" s="34" t="n">
        <v>39650</v>
      </c>
      <c r="E634" s="34" t="n">
        <v>40400</v>
      </c>
      <c r="F634" s="34" t="n">
        <v>40400</v>
      </c>
      <c r="G634" s="34" t="n">
        <v>443466</v>
      </c>
      <c r="H634" s="39" t="n">
        <v>0.01253132832080195</v>
      </c>
      <c r="I634" s="39" t="n">
        <v>-0.207843137254902</v>
      </c>
      <c r="J634" s="34" t="n">
        <v>38605</v>
      </c>
      <c r="K634" s="34" t="n">
        <v>38245.83333333334</v>
      </c>
      <c r="L634" s="34" t="n">
        <v>36318.75</v>
      </c>
      <c r="M634" s="39" t="n">
        <v>0.4553677410605923</v>
      </c>
      <c r="N634" s="39" t="n">
        <v>0.5071775369730931</v>
      </c>
      <c r="O634" s="39" t="n">
        <v>0.07019867549668879</v>
      </c>
      <c r="P634" s="39" t="n">
        <v>-0.06373117033603704</v>
      </c>
      <c r="Q634" s="39" t="n">
        <v>0.2907348242811501</v>
      </c>
      <c r="R634" s="39" t="n">
        <v>0.0464965678020981</v>
      </c>
      <c r="S634" s="39" t="n">
        <v>0.05632421832443613</v>
      </c>
      <c r="T634" s="39" t="n">
        <v>0.1123730855274478</v>
      </c>
      <c r="U634" s="34" t="n">
        <v>46850</v>
      </c>
      <c r="V634" s="34" t="n">
        <v>20750</v>
      </c>
      <c r="W634" s="39" t="n">
        <v>-0.1376734258271078</v>
      </c>
      <c r="X634" s="39" t="n">
        <v>0.9469879518072288</v>
      </c>
      <c r="Y634" s="34" t="n">
        <v>51414494</v>
      </c>
      <c r="Z634" s="34" t="n">
        <v>2077145557600</v>
      </c>
      <c r="AA634" s="34" t="n">
        <v>17916026400</v>
      </c>
      <c r="AB634" s="34" t="n">
        <v>23268418435</v>
      </c>
      <c r="AC634" s="39" t="n">
        <v>0.008625310987209171</v>
      </c>
      <c r="AD634" s="32" t="inlineStr">
        <is>
          <t>yfinance_download</t>
        </is>
      </c>
      <c r="AE634" s="32" t="inlineStr">
        <is>
          <t>005290.KQ</t>
        </is>
      </c>
    </row>
    <row r="635" ht="24" customHeight="1">
      <c r="A635" s="27" t="inlineStr">
        <is>
          <t>2026-01-15</t>
        </is>
      </c>
      <c r="B635" s="33" t="n">
        <v>39800</v>
      </c>
      <c r="C635" s="33" t="n">
        <v>41500</v>
      </c>
      <c r="D635" s="33" t="n">
        <v>39300</v>
      </c>
      <c r="E635" s="33" t="n">
        <v>40550</v>
      </c>
      <c r="F635" s="33" t="n">
        <v>40550</v>
      </c>
      <c r="G635" s="33" t="n">
        <v>506735</v>
      </c>
      <c r="H635" s="38" t="n">
        <v>0.003712871287128605</v>
      </c>
      <c r="I635" s="38" t="n">
        <v>-0.2049019607843138</v>
      </c>
      <c r="J635" s="33" t="n">
        <v>38805</v>
      </c>
      <c r="K635" s="33" t="n">
        <v>38210.83333333334</v>
      </c>
      <c r="L635" s="33" t="n">
        <v>36396.66666666666</v>
      </c>
      <c r="M635" s="38" t="n">
        <v>0.4355970050583787</v>
      </c>
      <c r="N635" s="38" t="n">
        <v>0.5067311195172887</v>
      </c>
      <c r="O635" s="38" t="n">
        <v>0.1094391244870041</v>
      </c>
      <c r="P635" s="38" t="n">
        <v>-0.04923798358733877</v>
      </c>
      <c r="Q635" s="38" t="n">
        <v>0.2996794871794872</v>
      </c>
      <c r="R635" s="38" t="n">
        <v>0.04496843190310518</v>
      </c>
      <c r="S635" s="38" t="n">
        <v>0.06121736854731408</v>
      </c>
      <c r="T635" s="38" t="n">
        <v>0.1141130140122724</v>
      </c>
      <c r="U635" s="33" t="n">
        <v>46850</v>
      </c>
      <c r="V635" s="33" t="n">
        <v>20750</v>
      </c>
      <c r="W635" s="38" t="n">
        <v>-0.1344717182497331</v>
      </c>
      <c r="X635" s="38" t="n">
        <v>0.9542168674698794</v>
      </c>
      <c r="Y635" s="33" t="n">
        <v>51414494</v>
      </c>
      <c r="Z635" s="33" t="n">
        <v>2084857731700</v>
      </c>
      <c r="AA635" s="33" t="n">
        <v>20548104250</v>
      </c>
      <c r="AB635" s="33" t="n">
        <v>23731864457.5</v>
      </c>
      <c r="AC635" s="38" t="n">
        <v>0.009855878383243449</v>
      </c>
      <c r="AD635" s="27" t="inlineStr">
        <is>
          <t>yfinance_download</t>
        </is>
      </c>
      <c r="AE635" s="27" t="inlineStr">
        <is>
          <t>005290.KQ</t>
        </is>
      </c>
    </row>
    <row r="636" ht="24" customHeight="1">
      <c r="A636" s="32" t="inlineStr">
        <is>
          <t>2026-01-16</t>
        </is>
      </c>
      <c r="B636" s="34" t="n">
        <v>41150</v>
      </c>
      <c r="C636" s="34" t="n">
        <v>41250</v>
      </c>
      <c r="D636" s="34" t="n">
        <v>39700</v>
      </c>
      <c r="E636" s="34" t="n">
        <v>40100</v>
      </c>
      <c r="F636" s="34" t="n">
        <v>40100</v>
      </c>
      <c r="G636" s="34" t="n">
        <v>565622</v>
      </c>
      <c r="H636" s="39" t="n">
        <v>-0.01109741060419234</v>
      </c>
      <c r="I636" s="39" t="n">
        <v>-0.2137254901960784</v>
      </c>
      <c r="J636" s="34" t="n">
        <v>39037.5</v>
      </c>
      <c r="K636" s="34" t="n">
        <v>38175</v>
      </c>
      <c r="L636" s="34" t="n">
        <v>36465</v>
      </c>
      <c r="M636" s="39" t="n">
        <v>0.419911883961208</v>
      </c>
      <c r="N636" s="39" t="n">
        <v>0.5068741884439641</v>
      </c>
      <c r="O636" s="39" t="n">
        <v>0.1311706629055007</v>
      </c>
      <c r="P636" s="39" t="n">
        <v>-0.05088757396449706</v>
      </c>
      <c r="Q636" s="39" t="n">
        <v>0.2570532915360502</v>
      </c>
      <c r="R636" s="39" t="n">
        <v>0.02721741914825482</v>
      </c>
      <c r="S636" s="39" t="n">
        <v>0.05042567125081865</v>
      </c>
      <c r="T636" s="39" t="n">
        <v>0.09968462909639375</v>
      </c>
      <c r="U636" s="34" t="n">
        <v>46850</v>
      </c>
      <c r="V636" s="34" t="n">
        <v>20750</v>
      </c>
      <c r="W636" s="39" t="n">
        <v>-0.144076840981857</v>
      </c>
      <c r="X636" s="39" t="n">
        <v>0.9325301204819276</v>
      </c>
      <c r="Y636" s="34" t="n">
        <v>51414494</v>
      </c>
      <c r="Z636" s="34" t="n">
        <v>2061721209400</v>
      </c>
      <c r="AA636" s="34" t="n">
        <v>22681442200</v>
      </c>
      <c r="AB636" s="34" t="n">
        <v>24234233520</v>
      </c>
      <c r="AC636" s="39" t="n">
        <v>0.01100121689420886</v>
      </c>
      <c r="AD636" s="32" t="inlineStr">
        <is>
          <t>yfinance_download</t>
        </is>
      </c>
      <c r="AE636" s="32" t="inlineStr">
        <is>
          <t>005290.KQ</t>
        </is>
      </c>
    </row>
    <row r="637" ht="24" customHeight="1">
      <c r="A637" s="27" t="inlineStr">
        <is>
          <t>2026-01-19</t>
        </is>
      </c>
      <c r="B637" s="33" t="n">
        <v>39600</v>
      </c>
      <c r="C637" s="33" t="n">
        <v>39800</v>
      </c>
      <c r="D637" s="33" t="n">
        <v>39050</v>
      </c>
      <c r="E637" s="33" t="n">
        <v>39450</v>
      </c>
      <c r="F637" s="33" t="n">
        <v>39450</v>
      </c>
      <c r="G637" s="33" t="n">
        <v>420519</v>
      </c>
      <c r="H637" s="38" t="n">
        <v>-0.01620947630922698</v>
      </c>
      <c r="I637" s="38" t="n">
        <v>-0.2264705882352941</v>
      </c>
      <c r="J637" s="33" t="n">
        <v>39137.5</v>
      </c>
      <c r="K637" s="33" t="n">
        <v>38135</v>
      </c>
      <c r="L637" s="33" t="n">
        <v>36538.33333333334</v>
      </c>
      <c r="M637" s="38" t="n">
        <v>0.3829224725034927</v>
      </c>
      <c r="N637" s="38" t="n">
        <v>0.5075785567017607</v>
      </c>
      <c r="O637" s="38" t="n">
        <v>0.05340453938584777</v>
      </c>
      <c r="P637" s="38" t="n">
        <v>-0.05734767025089604</v>
      </c>
      <c r="Q637" s="38" t="n">
        <v>0.2871125611745513</v>
      </c>
      <c r="R637" s="38" t="n">
        <v>0.007984669434685454</v>
      </c>
      <c r="S637" s="38" t="n">
        <v>0.03448275862068972</v>
      </c>
      <c r="T637" s="38" t="n">
        <v>0.07968799890525924</v>
      </c>
      <c r="U637" s="33" t="n">
        <v>46850</v>
      </c>
      <c r="V637" s="33" t="n">
        <v>20750</v>
      </c>
      <c r="W637" s="38" t="n">
        <v>-0.1579509071504802</v>
      </c>
      <c r="X637" s="38" t="n">
        <v>0.9012048192771085</v>
      </c>
      <c r="Y637" s="33" t="n">
        <v>51414494</v>
      </c>
      <c r="Z637" s="33" t="n">
        <v>2028301788300</v>
      </c>
      <c r="AA637" s="33" t="n">
        <v>16589474550</v>
      </c>
      <c r="AB637" s="33" t="n">
        <v>24166144970</v>
      </c>
      <c r="AC637" s="38" t="n">
        <v>0.008178997152048215</v>
      </c>
      <c r="AD637" s="27" t="inlineStr">
        <is>
          <t>yfinance_download</t>
        </is>
      </c>
      <c r="AE637" s="27" t="inlineStr">
        <is>
          <t>005290.KQ</t>
        </is>
      </c>
    </row>
    <row r="638" ht="24" customHeight="1">
      <c r="A638" s="32" t="inlineStr">
        <is>
          <t>2026-01-20</t>
        </is>
      </c>
      <c r="B638" s="34" t="n">
        <v>39900</v>
      </c>
      <c r="C638" s="34" t="n">
        <v>40000</v>
      </c>
      <c r="D638" s="34" t="n">
        <v>38400</v>
      </c>
      <c r="E638" s="34" t="n">
        <v>39450</v>
      </c>
      <c r="F638" s="34" t="n">
        <v>39450</v>
      </c>
      <c r="G638" s="34" t="n">
        <v>414097</v>
      </c>
      <c r="H638" s="39" t="n">
        <v>0</v>
      </c>
      <c r="I638" s="39" t="n">
        <v>-0.2264705882352941</v>
      </c>
      <c r="J638" s="34" t="n">
        <v>39275</v>
      </c>
      <c r="K638" s="34" t="n">
        <v>38095</v>
      </c>
      <c r="L638" s="34" t="n">
        <v>36611.25</v>
      </c>
      <c r="M638" s="39" t="n">
        <v>0.3735204314815466</v>
      </c>
      <c r="N638" s="39" t="n">
        <v>0.5075785567017607</v>
      </c>
      <c r="O638" s="39" t="n">
        <v>0.07493188010899177</v>
      </c>
      <c r="P638" s="39" t="n">
        <v>-0.05734767025089604</v>
      </c>
      <c r="Q638" s="39" t="n">
        <v>0.285016286644951</v>
      </c>
      <c r="R638" s="39" t="n">
        <v>0.00445576066199882</v>
      </c>
      <c r="S638" s="39" t="n">
        <v>0.03556897230607681</v>
      </c>
      <c r="T638" s="39" t="n">
        <v>0.07753764211820147</v>
      </c>
      <c r="U638" s="34" t="n">
        <v>46850</v>
      </c>
      <c r="V638" s="34" t="n">
        <v>20750</v>
      </c>
      <c r="W638" s="39" t="n">
        <v>-0.1579509071504802</v>
      </c>
      <c r="X638" s="39" t="n">
        <v>0.9012048192771085</v>
      </c>
      <c r="Y638" s="34" t="n">
        <v>51414494</v>
      </c>
      <c r="Z638" s="34" t="n">
        <v>2028301788300</v>
      </c>
      <c r="AA638" s="34" t="n">
        <v>16336126650</v>
      </c>
      <c r="AB638" s="34" t="n">
        <v>24442147442.5</v>
      </c>
      <c r="AC638" s="39" t="n">
        <v>0.008054090739471248</v>
      </c>
      <c r="AD638" s="32" t="inlineStr">
        <is>
          <t>yfinance_download</t>
        </is>
      </c>
      <c r="AE638" s="32" t="inlineStr">
        <is>
          <t>005290.KQ</t>
        </is>
      </c>
    </row>
    <row r="639" ht="24" customHeight="1">
      <c r="A639" s="27" t="inlineStr">
        <is>
          <t>2026-01-21</t>
        </is>
      </c>
      <c r="B639" s="33" t="n">
        <v>37900</v>
      </c>
      <c r="C639" s="33" t="n">
        <v>40775</v>
      </c>
      <c r="D639" s="33" t="n">
        <v>37900</v>
      </c>
      <c r="E639" s="33" t="n">
        <v>40500</v>
      </c>
      <c r="F639" s="33" t="n">
        <v>40500</v>
      </c>
      <c r="G639" s="33" t="n">
        <v>648493</v>
      </c>
      <c r="H639" s="38" t="n">
        <v>0.02661596958174894</v>
      </c>
      <c r="I639" s="38" t="n">
        <v>-0.2058823529411765</v>
      </c>
      <c r="J639" s="33" t="n">
        <v>39447.5</v>
      </c>
      <c r="K639" s="33" t="n">
        <v>38055</v>
      </c>
      <c r="L639" s="33" t="n">
        <v>36695.41666666666</v>
      </c>
      <c r="M639" s="38" t="n">
        <v>0.3817825080427876</v>
      </c>
      <c r="N639" s="38" t="n">
        <v>0.5079166010916605</v>
      </c>
      <c r="O639" s="38" t="n">
        <v>0.09311740890688269</v>
      </c>
      <c r="P639" s="38" t="n">
        <v>-0.05594405594405594</v>
      </c>
      <c r="Q639" s="38" t="n">
        <v>0.3322368421052631</v>
      </c>
      <c r="R639" s="38" t="n">
        <v>0.02668103175106151</v>
      </c>
      <c r="S639" s="38" t="n">
        <v>0.064249113125739</v>
      </c>
      <c r="T639" s="38" t="n">
        <v>0.1036800690367781</v>
      </c>
      <c r="U639" s="33" t="n">
        <v>46850</v>
      </c>
      <c r="V639" s="33" t="n">
        <v>20750</v>
      </c>
      <c r="W639" s="38" t="n">
        <v>-0.1355389541088581</v>
      </c>
      <c r="X639" s="38" t="n">
        <v>0.9518072289156627</v>
      </c>
      <c r="Y639" s="33" t="n">
        <v>51414494</v>
      </c>
      <c r="Z639" s="33" t="n">
        <v>2082287007000</v>
      </c>
      <c r="AA639" s="33" t="n">
        <v>26263966500</v>
      </c>
      <c r="AB639" s="33" t="n">
        <v>25165294877.5</v>
      </c>
      <c r="AC639" s="38" t="n">
        <v>0.01261303865015184</v>
      </c>
      <c r="AD639" s="27" t="inlineStr">
        <is>
          <t>yfinance_download</t>
        </is>
      </c>
      <c r="AE639" s="27" t="inlineStr">
        <is>
          <t>005290.KQ</t>
        </is>
      </c>
    </row>
    <row r="640" ht="24" customHeight="1">
      <c r="A640" s="32" t="inlineStr">
        <is>
          <t>2026-01-22</t>
        </is>
      </c>
      <c r="B640" s="34" t="n">
        <v>41000</v>
      </c>
      <c r="C640" s="34" t="n">
        <v>41600</v>
      </c>
      <c r="D640" s="34" t="n">
        <v>40050</v>
      </c>
      <c r="E640" s="34" t="n">
        <v>40450</v>
      </c>
      <c r="F640" s="34" t="n">
        <v>40450</v>
      </c>
      <c r="G640" s="34" t="n">
        <v>724660</v>
      </c>
      <c r="H640" s="39" t="n">
        <v>-0.001234567901234551</v>
      </c>
      <c r="I640" s="39" t="n">
        <v>-0.2068627450980393</v>
      </c>
      <c r="J640" s="34" t="n">
        <v>39580</v>
      </c>
      <c r="K640" s="34" t="n">
        <v>38012.5</v>
      </c>
      <c r="L640" s="34" t="n">
        <v>36784.16666666666</v>
      </c>
      <c r="M640" s="39" t="n">
        <v>0.377798314395038</v>
      </c>
      <c r="N640" s="39" t="n">
        <v>0.5078854096384466</v>
      </c>
      <c r="O640" s="39" t="n">
        <v>0.07010582010582</v>
      </c>
      <c r="P640" s="39" t="n">
        <v>-0.05930232558139537</v>
      </c>
      <c r="Q640" s="39" t="n">
        <v>0.3573825503355705</v>
      </c>
      <c r="R640" s="39" t="n">
        <v>0.0219807983830218</v>
      </c>
      <c r="S640" s="39" t="n">
        <v>0.06412364353830968</v>
      </c>
      <c r="T640" s="39" t="n">
        <v>0.09965791441063865</v>
      </c>
      <c r="U640" s="34" t="n">
        <v>46850</v>
      </c>
      <c r="V640" s="34" t="n">
        <v>20750</v>
      </c>
      <c r="W640" s="39" t="n">
        <v>-0.1366061899679829</v>
      </c>
      <c r="X640" s="39" t="n">
        <v>0.9493975903614458</v>
      </c>
      <c r="Y640" s="34" t="n">
        <v>51414494</v>
      </c>
      <c r="Z640" s="34" t="n">
        <v>2079716282300</v>
      </c>
      <c r="AA640" s="34" t="n">
        <v>29312497000</v>
      </c>
      <c r="AB640" s="34" t="n">
        <v>25855269397.5</v>
      </c>
      <c r="AC640" s="39" t="n">
        <v>0.01409446915883292</v>
      </c>
      <c r="AD640" s="32" t="inlineStr">
        <is>
          <t>yfinance_download</t>
        </is>
      </c>
      <c r="AE640" s="32" t="inlineStr">
        <is>
          <t>005290.KQ</t>
        </is>
      </c>
    </row>
    <row r="641" ht="24" customHeight="1">
      <c r="A641" s="27" t="inlineStr">
        <is>
          <t>2026-01-23</t>
        </is>
      </c>
      <c r="B641" s="33" t="n">
        <v>40650</v>
      </c>
      <c r="C641" s="33" t="n">
        <v>40950</v>
      </c>
      <c r="D641" s="33" t="n">
        <v>39950</v>
      </c>
      <c r="E641" s="33" t="n">
        <v>40900</v>
      </c>
      <c r="F641" s="33" t="n">
        <v>40900</v>
      </c>
      <c r="G641" s="33" t="n">
        <v>555025</v>
      </c>
      <c r="H641" s="38" t="n">
        <v>0.0111248454882571</v>
      </c>
      <c r="I641" s="38" t="n">
        <v>-0.1980392156862745</v>
      </c>
      <c r="J641" s="33" t="n">
        <v>39730</v>
      </c>
      <c r="K641" s="33" t="n">
        <v>37992.5</v>
      </c>
      <c r="L641" s="33" t="n">
        <v>36853.75</v>
      </c>
      <c r="M641" s="38" t="n">
        <v>0.3786956178572062</v>
      </c>
      <c r="N641" s="38" t="n">
        <v>0.5066308553888209</v>
      </c>
      <c r="O641" s="38" t="n">
        <v>0.079155672823219</v>
      </c>
      <c r="P641" s="38" t="n">
        <v>-0.02850356294536815</v>
      </c>
      <c r="Q641" s="38" t="n">
        <v>0.2565284178187404</v>
      </c>
      <c r="R641" s="38" t="n">
        <v>0.02944877926000511</v>
      </c>
      <c r="S641" s="38" t="n">
        <v>0.0765282621570047</v>
      </c>
      <c r="T641" s="38" t="n">
        <v>0.1097920835735848</v>
      </c>
      <c r="U641" s="33" t="n">
        <v>46850</v>
      </c>
      <c r="V641" s="33" t="n">
        <v>20750</v>
      </c>
      <c r="W641" s="38" t="n">
        <v>-0.1270010672358591</v>
      </c>
      <c r="X641" s="38" t="n">
        <v>0.9710843373493976</v>
      </c>
      <c r="Y641" s="33" t="n">
        <v>51414494</v>
      </c>
      <c r="Z641" s="33" t="n">
        <v>2102852804600</v>
      </c>
      <c r="AA641" s="33" t="n">
        <v>22700522500</v>
      </c>
      <c r="AB641" s="33" t="n">
        <v>26370046862.5</v>
      </c>
      <c r="AC641" s="38" t="n">
        <v>0.01079510769861899</v>
      </c>
      <c r="AD641" s="27" t="inlineStr">
        <is>
          <t>yfinance_download</t>
        </is>
      </c>
      <c r="AE641" s="27" t="inlineStr">
        <is>
          <t>005290.KQ</t>
        </is>
      </c>
    </row>
    <row r="642" ht="24" customHeight="1">
      <c r="A642" s="32" t="inlineStr">
        <is>
          <t>2026-01-26</t>
        </is>
      </c>
      <c r="B642" s="34" t="n">
        <v>41600</v>
      </c>
      <c r="C642" s="34" t="n">
        <v>42800</v>
      </c>
      <c r="D642" s="34" t="n">
        <v>41450</v>
      </c>
      <c r="E642" s="34" t="n">
        <v>42500</v>
      </c>
      <c r="F642" s="34" t="n">
        <v>42500</v>
      </c>
      <c r="G642" s="34" t="n">
        <v>1315587</v>
      </c>
      <c r="H642" s="39" t="n">
        <v>0.03911980440097795</v>
      </c>
      <c r="I642" s="39" t="n">
        <v>-0.1666666666666666</v>
      </c>
      <c r="J642" s="34" t="n">
        <v>39982.5</v>
      </c>
      <c r="K642" s="34" t="n">
        <v>37979.16666666666</v>
      </c>
      <c r="L642" s="34" t="n">
        <v>36935.41666666666</v>
      </c>
      <c r="M642" s="39" t="n">
        <v>0.3931866202474902</v>
      </c>
      <c r="N642" s="39" t="n">
        <v>0.5096390651573383</v>
      </c>
      <c r="O642" s="39" t="n">
        <v>0.1348464619492658</v>
      </c>
      <c r="P642" s="39" t="n">
        <v>-0.01847575057736717</v>
      </c>
      <c r="Q642" s="39" t="n">
        <v>0.2996941896024465</v>
      </c>
      <c r="R642" s="39" t="n">
        <v>0.06296504720815355</v>
      </c>
      <c r="S642" s="39" t="n">
        <v>0.1190345584201866</v>
      </c>
      <c r="T642" s="39" t="n">
        <v>0.1506571154605449</v>
      </c>
      <c r="U642" s="34" t="n">
        <v>46850</v>
      </c>
      <c r="V642" s="34" t="n">
        <v>20750</v>
      </c>
      <c r="W642" s="39" t="n">
        <v>-0.09284951974386335</v>
      </c>
      <c r="X642" s="39" t="n">
        <v>1.048192771084338</v>
      </c>
      <c r="Y642" s="34" t="n">
        <v>51414494</v>
      </c>
      <c r="Z642" s="34" t="n">
        <v>2185115995000</v>
      </c>
      <c r="AA642" s="34" t="n">
        <v>55912447500</v>
      </c>
      <c r="AB642" s="34" t="n">
        <v>28678027170</v>
      </c>
      <c r="AC642" s="39" t="n">
        <v>0.02558786244205768</v>
      </c>
      <c r="AD642" s="32" t="inlineStr">
        <is>
          <t>yfinance_download</t>
        </is>
      </c>
      <c r="AE642" s="32" t="inlineStr">
        <is>
          <t>005290.KQ</t>
        </is>
      </c>
    </row>
    <row r="643" ht="24" customHeight="1">
      <c r="A643" s="27" t="inlineStr">
        <is>
          <t>2026-01-27</t>
        </is>
      </c>
      <c r="B643" s="33" t="n">
        <v>42150</v>
      </c>
      <c r="C643" s="33" t="n">
        <v>43750</v>
      </c>
      <c r="D643" s="33" t="n">
        <v>42000</v>
      </c>
      <c r="E643" s="33" t="n">
        <v>43600</v>
      </c>
      <c r="F643" s="33" t="n">
        <v>43600</v>
      </c>
      <c r="G643" s="33" t="n">
        <v>1074971</v>
      </c>
      <c r="H643" s="38" t="n">
        <v>0.02588235294117647</v>
      </c>
      <c r="I643" s="38" t="n">
        <v>-0.1450980392156863</v>
      </c>
      <c r="J643" s="33" t="n">
        <v>40255</v>
      </c>
      <c r="K643" s="33" t="n">
        <v>37999.16666666666</v>
      </c>
      <c r="L643" s="33" t="n">
        <v>37030</v>
      </c>
      <c r="M643" s="38" t="n">
        <v>0.3969233139007742</v>
      </c>
      <c r="N643" s="38" t="n">
        <v>0.5104090623796267</v>
      </c>
      <c r="O643" s="38" t="n">
        <v>0.1428571428571428</v>
      </c>
      <c r="P643" s="38" t="n">
        <v>0.02830188679245293</v>
      </c>
      <c r="Q643" s="38" t="n">
        <v>0.3519379844961241</v>
      </c>
      <c r="R643" s="38" t="n">
        <v>0.08309526766861253</v>
      </c>
      <c r="S643" s="38" t="n">
        <v>0.1473935831926139</v>
      </c>
      <c r="T643" s="38" t="n">
        <v>0.1774237105049961</v>
      </c>
      <c r="U643" s="33" t="n">
        <v>46850</v>
      </c>
      <c r="V643" s="33" t="n">
        <v>20750</v>
      </c>
      <c r="W643" s="38" t="n">
        <v>-0.06937033084311628</v>
      </c>
      <c r="X643" s="38" t="n">
        <v>1.101204819277108</v>
      </c>
      <c r="Y643" s="33" t="n">
        <v>51414494</v>
      </c>
      <c r="Z643" s="33" t="n">
        <v>2241671938400</v>
      </c>
      <c r="AA643" s="33" t="n">
        <v>46868735600</v>
      </c>
      <c r="AB643" s="33" t="n">
        <v>30051101532.5</v>
      </c>
      <c r="AC643" s="38" t="n">
        <v>0.02090793697201416</v>
      </c>
      <c r="AD643" s="27" t="inlineStr">
        <is>
          <t>yfinance_download</t>
        </is>
      </c>
      <c r="AE643" s="27" t="inlineStr">
        <is>
          <t>005290.KQ</t>
        </is>
      </c>
    </row>
    <row r="644" ht="24" customHeight="1">
      <c r="A644" s="32" t="inlineStr">
        <is>
          <t>2026-01-28</t>
        </is>
      </c>
      <c r="B644" s="34" t="n">
        <v>44750</v>
      </c>
      <c r="C644" s="34" t="n">
        <v>48450</v>
      </c>
      <c r="D644" s="34" t="n">
        <v>43850</v>
      </c>
      <c r="E644" s="34" t="n">
        <v>48450</v>
      </c>
      <c r="F644" s="34" t="n">
        <v>48450</v>
      </c>
      <c r="G644" s="34" t="n">
        <v>2279660</v>
      </c>
      <c r="H644" s="39" t="n">
        <v>0.1112385321100917</v>
      </c>
      <c r="I644" s="39" t="n">
        <v>-0.05000000000000004</v>
      </c>
      <c r="J644" s="34" t="n">
        <v>40840</v>
      </c>
      <c r="K644" s="34" t="n">
        <v>38093.33333333334</v>
      </c>
      <c r="L644" s="34" t="n">
        <v>37169.58333333334</v>
      </c>
      <c r="M644" s="39" t="n">
        <v>0.5117304276179955</v>
      </c>
      <c r="N644" s="39" t="n">
        <v>0.5580412497369074</v>
      </c>
      <c r="O644" s="39" t="n">
        <v>0.3183673469387756</v>
      </c>
      <c r="P644" s="39" t="n">
        <v>0.1320093457943925</v>
      </c>
      <c r="Q644" s="39" t="n">
        <v>0.5283911671924291</v>
      </c>
      <c r="R644" s="39" t="n">
        <v>0.1863369245837414</v>
      </c>
      <c r="S644" s="39" t="n">
        <v>0.2718760938046902</v>
      </c>
      <c r="T644" s="39" t="n">
        <v>0.3034851525104532</v>
      </c>
      <c r="U644" s="34" t="n">
        <v>48450</v>
      </c>
      <c r="V644" s="34" t="n">
        <v>20750</v>
      </c>
      <c r="W644" s="39" t="n">
        <v>0</v>
      </c>
      <c r="X644" s="39" t="n">
        <v>1.334939759036144</v>
      </c>
      <c r="Y644" s="34" t="n">
        <v>51414494</v>
      </c>
      <c r="Z644" s="34" t="n">
        <v>2491032234300</v>
      </c>
      <c r="AA644" s="34" t="n">
        <v>110449527000</v>
      </c>
      <c r="AB644" s="34" t="n">
        <v>34404529145</v>
      </c>
      <c r="AC644" s="39" t="n">
        <v>0.04433885899956538</v>
      </c>
      <c r="AD644" s="32" t="inlineStr">
        <is>
          <t>yfinance_download</t>
        </is>
      </c>
      <c r="AE644" s="32" t="inlineStr">
        <is>
          <t>005290.KQ</t>
        </is>
      </c>
    </row>
    <row r="645" ht="24" customHeight="1">
      <c r="A645" s="27" t="inlineStr">
        <is>
          <t>2026-01-29</t>
        </is>
      </c>
      <c r="B645" s="33" t="n">
        <v>51900</v>
      </c>
      <c r="C645" s="33" t="n">
        <v>52300</v>
      </c>
      <c r="D645" s="33" t="n">
        <v>47150</v>
      </c>
      <c r="E645" s="33" t="n">
        <v>51400</v>
      </c>
      <c r="F645" s="33" t="n">
        <v>51400</v>
      </c>
      <c r="G645" s="33" t="n">
        <v>2659951</v>
      </c>
      <c r="H645" s="38" t="n">
        <v>0.06088751289989691</v>
      </c>
      <c r="I645" s="38" t="n">
        <v>0</v>
      </c>
      <c r="J645" s="33" t="n">
        <v>41577.5</v>
      </c>
      <c r="K645" s="33" t="n">
        <v>38237.5</v>
      </c>
      <c r="L645" s="33" t="n">
        <v>37350.83333333334</v>
      </c>
      <c r="M645" s="38" t="n">
        <v>0.5329022224104251</v>
      </c>
      <c r="N645" s="38" t="n">
        <v>0.5705720055593357</v>
      </c>
      <c r="O645" s="38" t="n">
        <v>0.4024556616643928</v>
      </c>
      <c r="P645" s="38" t="n">
        <v>0.2023391812865498</v>
      </c>
      <c r="Q645" s="38" t="n">
        <v>0.7335581787521079</v>
      </c>
      <c r="R645" s="38" t="n">
        <v>0.2362455655101918</v>
      </c>
      <c r="S645" s="38" t="n">
        <v>0.3442301405688133</v>
      </c>
      <c r="T645" s="38" t="n">
        <v>0.3761406483567971</v>
      </c>
      <c r="U645" s="33" t="n">
        <v>51400</v>
      </c>
      <c r="V645" s="33" t="n">
        <v>20750</v>
      </c>
      <c r="W645" s="38" t="n">
        <v>0</v>
      </c>
      <c r="X645" s="38" t="n">
        <v>1.47710843373494</v>
      </c>
      <c r="Y645" s="33" t="n">
        <v>51414494</v>
      </c>
      <c r="Z645" s="33" t="n">
        <v>2642704991600</v>
      </c>
      <c r="AA645" s="33" t="n">
        <v>136721481400</v>
      </c>
      <c r="AB645" s="33" t="n">
        <v>40533056640</v>
      </c>
      <c r="AC645" s="38" t="n">
        <v>0.05173543086896858</v>
      </c>
      <c r="AD645" s="27" t="inlineStr">
        <is>
          <t>yfinance_download</t>
        </is>
      </c>
      <c r="AE645" s="27" t="inlineStr">
        <is>
          <t>005290.KQ</t>
        </is>
      </c>
    </row>
    <row r="646" ht="24" customHeight="1">
      <c r="A646" s="32" t="inlineStr">
        <is>
          <t>2026-01-30</t>
        </is>
      </c>
      <c r="B646" s="34" t="n">
        <v>51000</v>
      </c>
      <c r="C646" s="34" t="n">
        <v>59700</v>
      </c>
      <c r="D646" s="34" t="n">
        <v>50800</v>
      </c>
      <c r="E646" s="34" t="n">
        <v>56000</v>
      </c>
      <c r="F646" s="34" t="n">
        <v>56000</v>
      </c>
      <c r="G646" s="34" t="n">
        <v>2995581</v>
      </c>
      <c r="H646" s="39" t="n">
        <v>0.08949416342412442</v>
      </c>
      <c r="I646" s="39" t="n">
        <v>0</v>
      </c>
      <c r="J646" s="34" t="n">
        <v>42395</v>
      </c>
      <c r="K646" s="34" t="n">
        <v>38464.16666666666</v>
      </c>
      <c r="L646" s="34" t="n">
        <v>37570.83333333334</v>
      </c>
      <c r="M646" s="39" t="n">
        <v>0.5456619215807484</v>
      </c>
      <c r="N646" s="39" t="n">
        <v>0.5964140918131663</v>
      </c>
      <c r="O646" s="39" t="n">
        <v>0.4123581336696092</v>
      </c>
      <c r="P646" s="39" t="n">
        <v>0.320754716981132</v>
      </c>
      <c r="Q646" s="39" t="n">
        <v>0.8918918918918919</v>
      </c>
      <c r="R646" s="39" t="n">
        <v>0.3209104847269726</v>
      </c>
      <c r="S646" s="39" t="n">
        <v>0.4559005134649132</v>
      </c>
      <c r="T646" s="39" t="n">
        <v>0.490517910613286</v>
      </c>
      <c r="U646" s="34" t="n">
        <v>56000</v>
      </c>
      <c r="V646" s="34" t="n">
        <v>20750</v>
      </c>
      <c r="W646" s="39" t="n">
        <v>0</v>
      </c>
      <c r="X646" s="39" t="n">
        <v>1.698795180722891</v>
      </c>
      <c r="Y646" s="34" t="n">
        <v>51414494</v>
      </c>
      <c r="Z646" s="34" t="n">
        <v>2879211664000</v>
      </c>
      <c r="AA646" s="34" t="n">
        <v>167752536000</v>
      </c>
      <c r="AB646" s="34" t="n">
        <v>46951210447.5</v>
      </c>
      <c r="AC646" s="39" t="n">
        <v>0.05826335663247021</v>
      </c>
      <c r="AD646" s="32" t="inlineStr">
        <is>
          <t>yfinance_download</t>
        </is>
      </c>
      <c r="AE646" s="32" t="inlineStr">
        <is>
          <t>005290.KQ</t>
        </is>
      </c>
    </row>
    <row r="647" ht="24" customHeight="1">
      <c r="A647" s="27" t="inlineStr">
        <is>
          <t>2026-02-02</t>
        </is>
      </c>
      <c r="B647" s="33" t="n">
        <v>54300</v>
      </c>
      <c r="C647" s="33" t="n">
        <v>54800</v>
      </c>
      <c r="D647" s="33" t="n">
        <v>50800</v>
      </c>
      <c r="E647" s="33" t="n">
        <v>51000</v>
      </c>
      <c r="F647" s="33" t="n">
        <v>51000</v>
      </c>
      <c r="G647" s="33" t="n">
        <v>1541396</v>
      </c>
      <c r="H647" s="38" t="n">
        <v>-0.0892857142857143</v>
      </c>
      <c r="I647" s="38" t="n">
        <v>-0.0892857142857143</v>
      </c>
      <c r="J647" s="33" t="n">
        <v>42910</v>
      </c>
      <c r="K647" s="33" t="n">
        <v>38662.5</v>
      </c>
      <c r="L647" s="33" t="n">
        <v>37747.5</v>
      </c>
      <c r="M647" s="38" t="n">
        <v>0.6636310037037598</v>
      </c>
      <c r="N647" s="38" t="n">
        <v>0.6036542080000161</v>
      </c>
      <c r="O647" s="38" t="n">
        <v>0.2530712530712531</v>
      </c>
      <c r="P647" s="38" t="n">
        <v>0.3043478260869565</v>
      </c>
      <c r="Q647" s="38" t="n">
        <v>0.7114093959731544</v>
      </c>
      <c r="R647" s="38" t="n">
        <v>0.1885341412258215</v>
      </c>
      <c r="S647" s="38" t="n">
        <v>0.3191076624636275</v>
      </c>
      <c r="T647" s="38" t="n">
        <v>0.3510828531690839</v>
      </c>
      <c r="U647" s="33" t="n">
        <v>56000</v>
      </c>
      <c r="V647" s="33" t="n">
        <v>20750</v>
      </c>
      <c r="W647" s="38" t="n">
        <v>-0.0892857142857143</v>
      </c>
      <c r="X647" s="38" t="n">
        <v>1.457831325301205</v>
      </c>
      <c r="Y647" s="33" t="n">
        <v>51414494</v>
      </c>
      <c r="Z647" s="33" t="n">
        <v>2622139194000</v>
      </c>
      <c r="AA647" s="33" t="n">
        <v>78611196000</v>
      </c>
      <c r="AB647" s="33" t="n">
        <v>48894765722.5</v>
      </c>
      <c r="AC647" s="38" t="n">
        <v>0.02997979519160492</v>
      </c>
      <c r="AD647" s="27" t="inlineStr">
        <is>
          <t>yfinance_download</t>
        </is>
      </c>
      <c r="AE647" s="27" t="inlineStr">
        <is>
          <t>005290.KQ</t>
        </is>
      </c>
    </row>
    <row r="648" ht="24" customHeight="1">
      <c r="A648" s="32" t="inlineStr">
        <is>
          <t>2026-02-03</t>
        </is>
      </c>
      <c r="B648" s="34" t="n">
        <v>53500</v>
      </c>
      <c r="C648" s="34" t="n">
        <v>55200</v>
      </c>
      <c r="D648" s="34" t="n">
        <v>52200</v>
      </c>
      <c r="E648" s="34" t="n">
        <v>55200</v>
      </c>
      <c r="F648" s="34" t="n">
        <v>55200</v>
      </c>
      <c r="G648" s="34" t="n">
        <v>880626</v>
      </c>
      <c r="H648" s="39" t="n">
        <v>0.08235294117647052</v>
      </c>
      <c r="I648" s="39" t="n">
        <v>-0.01428571428571423</v>
      </c>
      <c r="J648" s="34" t="n">
        <v>43615</v>
      </c>
      <c r="K648" s="34" t="n">
        <v>38957.5</v>
      </c>
      <c r="L648" s="34" t="n">
        <v>37962.5</v>
      </c>
      <c r="M648" s="39" t="n">
        <v>0.7086575774547198</v>
      </c>
      <c r="N648" s="39" t="n">
        <v>0.6162174557715064</v>
      </c>
      <c r="O648" s="39" t="n">
        <v>0.3430656934306568</v>
      </c>
      <c r="P648" s="39" t="n">
        <v>0.472</v>
      </c>
      <c r="Q648" s="39" t="n">
        <v>0.8775510204081634</v>
      </c>
      <c r="R648" s="39" t="n">
        <v>0.2656196262753641</v>
      </c>
      <c r="S648" s="39" t="n">
        <v>0.4169287043573124</v>
      </c>
      <c r="T648" s="39" t="n">
        <v>0.4540665130062562</v>
      </c>
      <c r="U648" s="34" t="n">
        <v>56000</v>
      </c>
      <c r="V648" s="34" t="n">
        <v>20750</v>
      </c>
      <c r="W648" s="39" t="n">
        <v>-0.01428571428571423</v>
      </c>
      <c r="X648" s="39" t="n">
        <v>1.660240963855422</v>
      </c>
      <c r="Y648" s="34" t="n">
        <v>51414494</v>
      </c>
      <c r="Z648" s="34" t="n">
        <v>2838080068800</v>
      </c>
      <c r="AA648" s="34" t="n">
        <v>48610555200</v>
      </c>
      <c r="AB648" s="34" t="n">
        <v>50007816542.5</v>
      </c>
      <c r="AC648" s="39" t="n">
        <v>0.01712797173497419</v>
      </c>
      <c r="AD648" s="32" t="inlineStr">
        <is>
          <t>yfinance_download</t>
        </is>
      </c>
      <c r="AE648" s="32" t="inlineStr">
        <is>
          <t>005290.KQ</t>
        </is>
      </c>
    </row>
    <row r="649" ht="24" customHeight="1">
      <c r="A649" s="27" t="inlineStr">
        <is>
          <t>2026-02-04</t>
        </is>
      </c>
      <c r="B649" s="33" t="n">
        <v>53800</v>
      </c>
      <c r="C649" s="33" t="n">
        <v>55200</v>
      </c>
      <c r="D649" s="33" t="n">
        <v>52700</v>
      </c>
      <c r="E649" s="33" t="n">
        <v>54100</v>
      </c>
      <c r="F649" s="33" t="n">
        <v>54100</v>
      </c>
      <c r="G649" s="33" t="n">
        <v>714887</v>
      </c>
      <c r="H649" s="38" t="n">
        <v>-0.01992753623188404</v>
      </c>
      <c r="I649" s="38" t="n">
        <v>-0.03392857142857142</v>
      </c>
      <c r="J649" s="33" t="n">
        <v>44267.5</v>
      </c>
      <c r="K649" s="33" t="n">
        <v>39262.5</v>
      </c>
      <c r="L649" s="33" t="n">
        <v>38160</v>
      </c>
      <c r="M649" s="38" t="n">
        <v>0.7176667157203047</v>
      </c>
      <c r="N649" s="38" t="n">
        <v>0.6091272163007831</v>
      </c>
      <c r="O649" s="38" t="n">
        <v>0.3179049939098659</v>
      </c>
      <c r="P649" s="38" t="n">
        <v>0.511173184357542</v>
      </c>
      <c r="Q649" s="38" t="n">
        <v>0.7796052631578947</v>
      </c>
      <c r="R649" s="38" t="n">
        <v>0.2221155475235783</v>
      </c>
      <c r="S649" s="38" t="n">
        <v>0.3779051257561286</v>
      </c>
      <c r="T649" s="38" t="n">
        <v>0.4177148846960168</v>
      </c>
      <c r="U649" s="33" t="n">
        <v>56000</v>
      </c>
      <c r="V649" s="33" t="n">
        <v>20750</v>
      </c>
      <c r="W649" s="38" t="n">
        <v>-0.03392857142857142</v>
      </c>
      <c r="X649" s="38" t="n">
        <v>1.607228915662651</v>
      </c>
      <c r="Y649" s="33" t="n">
        <v>51414494</v>
      </c>
      <c r="Z649" s="33" t="n">
        <v>2781524125400</v>
      </c>
      <c r="AA649" s="33" t="n">
        <v>38675386700</v>
      </c>
      <c r="AB649" s="33" t="n">
        <v>48646329967.5</v>
      </c>
      <c r="AC649" s="38" t="n">
        <v>0.01390438657239338</v>
      </c>
      <c r="AD649" s="27" t="inlineStr">
        <is>
          <t>yfinance_download</t>
        </is>
      </c>
      <c r="AE649" s="27" t="inlineStr">
        <is>
          <t>005290.KQ</t>
        </is>
      </c>
    </row>
    <row r="650" ht="24" customHeight="1">
      <c r="A650" s="32" t="inlineStr">
        <is>
          <t>2026-02-05</t>
        </is>
      </c>
      <c r="B650" s="34" t="n">
        <v>52000</v>
      </c>
      <c r="C650" s="34" t="n">
        <v>54000</v>
      </c>
      <c r="D650" s="34" t="n">
        <v>51200</v>
      </c>
      <c r="E650" s="34" t="n">
        <v>51500</v>
      </c>
      <c r="F650" s="34" t="n">
        <v>51500</v>
      </c>
      <c r="G650" s="34" t="n">
        <v>749841</v>
      </c>
      <c r="H650" s="39" t="n">
        <v>-0.04805914972273573</v>
      </c>
      <c r="I650" s="39" t="n">
        <v>-0.0803571428571429</v>
      </c>
      <c r="J650" s="34" t="n">
        <v>44797.5</v>
      </c>
      <c r="K650" s="34" t="n">
        <v>39514.16666666666</v>
      </c>
      <c r="L650" s="34" t="n">
        <v>38329.16666666666</v>
      </c>
      <c r="M650" s="39" t="n">
        <v>0.7494573049834297</v>
      </c>
      <c r="N650" s="39" t="n">
        <v>0.61936885713666</v>
      </c>
      <c r="O650" s="39" t="n">
        <v>0.2591687041564792</v>
      </c>
      <c r="P650" s="39" t="n">
        <v>0.4148351648351649</v>
      </c>
      <c r="Q650" s="39" t="n">
        <v>0.6506410256410255</v>
      </c>
      <c r="R650" s="39" t="n">
        <v>0.1496177242033596</v>
      </c>
      <c r="S650" s="39" t="n">
        <v>0.303330029314381</v>
      </c>
      <c r="T650" s="39" t="n">
        <v>0.3436243069898903</v>
      </c>
      <c r="U650" s="34" t="n">
        <v>56000</v>
      </c>
      <c r="V650" s="34" t="n">
        <v>20750</v>
      </c>
      <c r="W650" s="39" t="n">
        <v>-0.0803571428571429</v>
      </c>
      <c r="X650" s="39" t="n">
        <v>1.481927710843374</v>
      </c>
      <c r="Y650" s="34" t="n">
        <v>51414494</v>
      </c>
      <c r="Z650" s="34" t="n">
        <v>2647846441000</v>
      </c>
      <c r="AA650" s="34" t="n">
        <v>38616811500</v>
      </c>
      <c r="AB650" s="34" t="n">
        <v>48297218447.5</v>
      </c>
      <c r="AC650" s="39" t="n">
        <v>0.01458423377656892</v>
      </c>
      <c r="AD650" s="32" t="inlineStr">
        <is>
          <t>yfinance_download</t>
        </is>
      </c>
      <c r="AE650" s="32" t="inlineStr">
        <is>
          <t>005290.KQ</t>
        </is>
      </c>
    </row>
    <row r="651" ht="24" customHeight="1">
      <c r="A651" s="27" t="inlineStr">
        <is>
          <t>2026-02-06</t>
        </is>
      </c>
      <c r="B651" s="33" t="n">
        <v>49850</v>
      </c>
      <c r="C651" s="33" t="n">
        <v>52500</v>
      </c>
      <c r="D651" s="33" t="n">
        <v>48300</v>
      </c>
      <c r="E651" s="33" t="n">
        <v>51400</v>
      </c>
      <c r="F651" s="33" t="n">
        <v>51400</v>
      </c>
      <c r="G651" s="33" t="n">
        <v>720583</v>
      </c>
      <c r="H651" s="38" t="n">
        <v>-0.001941747572815511</v>
      </c>
      <c r="I651" s="38" t="n">
        <v>-0.08214285714285718</v>
      </c>
      <c r="J651" s="33" t="n">
        <v>45357.5</v>
      </c>
      <c r="K651" s="33" t="n">
        <v>39767.5</v>
      </c>
      <c r="L651" s="33" t="n">
        <v>38493.33333333334</v>
      </c>
      <c r="M651" s="38" t="n">
        <v>0.7433809514990122</v>
      </c>
      <c r="N651" s="38" t="n">
        <v>0.6191169283632304</v>
      </c>
      <c r="O651" s="38" t="n">
        <v>0.2786069651741294</v>
      </c>
      <c r="P651" s="38" t="n">
        <v>0.419889502762431</v>
      </c>
      <c r="Q651" s="38" t="n">
        <v>0.6214511041009463</v>
      </c>
      <c r="R651" s="38" t="n">
        <v>0.1332194234691066</v>
      </c>
      <c r="S651" s="38" t="n">
        <v>0.2925127302445465</v>
      </c>
      <c r="T651" s="38" t="n">
        <v>0.3352961551783857</v>
      </c>
      <c r="U651" s="33" t="n">
        <v>56000</v>
      </c>
      <c r="V651" s="33" t="n">
        <v>20750</v>
      </c>
      <c r="W651" s="38" t="n">
        <v>-0.08214285714285718</v>
      </c>
      <c r="X651" s="38" t="n">
        <v>1.47710843373494</v>
      </c>
      <c r="Y651" s="33" t="n">
        <v>51414494</v>
      </c>
      <c r="Z651" s="33" t="n">
        <v>2642704991600</v>
      </c>
      <c r="AA651" s="33" t="n">
        <v>37037966200</v>
      </c>
      <c r="AB651" s="33" t="n">
        <v>48774067717.5</v>
      </c>
      <c r="AC651" s="38" t="n">
        <v>0.01401517245312188</v>
      </c>
      <c r="AD651" s="27" t="inlineStr">
        <is>
          <t>yfinance_download</t>
        </is>
      </c>
      <c r="AE651" s="27" t="inlineStr">
        <is>
          <t>005290.KQ</t>
        </is>
      </c>
    </row>
    <row r="652" ht="24" customHeight="1">
      <c r="A652" s="32" t="inlineStr">
        <is>
          <t>2026-02-09</t>
        </is>
      </c>
      <c r="B652" s="34" t="n">
        <v>53900</v>
      </c>
      <c r="C652" s="34" t="n">
        <v>53900</v>
      </c>
      <c r="D652" s="34" t="n">
        <v>51900</v>
      </c>
      <c r="E652" s="34" t="n">
        <v>53200</v>
      </c>
      <c r="F652" s="34" t="n">
        <v>53200</v>
      </c>
      <c r="G652" s="34" t="n">
        <v>580298</v>
      </c>
      <c r="H652" s="39" t="n">
        <v>0.03501945525291839</v>
      </c>
      <c r="I652" s="39" t="n">
        <v>-0.05000000000000004</v>
      </c>
      <c r="J652" s="34" t="n">
        <v>46002.5</v>
      </c>
      <c r="K652" s="34" t="n">
        <v>40059.16666666666</v>
      </c>
      <c r="L652" s="34" t="n">
        <v>38672.5</v>
      </c>
      <c r="M652" s="39" t="n">
        <v>0.7460182876938271</v>
      </c>
      <c r="N652" s="39" t="n">
        <v>0.6203300264005905</v>
      </c>
      <c r="O652" s="39" t="n">
        <v>0.3200992555831266</v>
      </c>
      <c r="P652" s="39" t="n">
        <v>0.4901960784313726</v>
      </c>
      <c r="Q652" s="39" t="n">
        <v>0.6782334384858044</v>
      </c>
      <c r="R652" s="39" t="n">
        <v>0.1564588881039073</v>
      </c>
      <c r="S652" s="39" t="n">
        <v>0.3280356139876432</v>
      </c>
      <c r="T652" s="39" t="n">
        <v>0.3756545348762039</v>
      </c>
      <c r="U652" s="34" t="n">
        <v>56000</v>
      </c>
      <c r="V652" s="34" t="n">
        <v>20750</v>
      </c>
      <c r="W652" s="39" t="n">
        <v>-0.05000000000000004</v>
      </c>
      <c r="X652" s="39" t="n">
        <v>1.563855421686747</v>
      </c>
      <c r="Y652" s="34" t="n">
        <v>51414494</v>
      </c>
      <c r="Z652" s="34" t="n">
        <v>2735251080800</v>
      </c>
      <c r="AA652" s="34" t="n">
        <v>30871853600</v>
      </c>
      <c r="AB652" s="34" t="n">
        <v>49175411302.5</v>
      </c>
      <c r="AC652" s="39" t="n">
        <v>0.01128666169504654</v>
      </c>
      <c r="AD652" s="32" t="inlineStr">
        <is>
          <t>yfinance_download</t>
        </is>
      </c>
      <c r="AE652" s="32" t="inlineStr">
        <is>
          <t>005290.KQ</t>
        </is>
      </c>
    </row>
    <row r="653" ht="24" customHeight="1">
      <c r="A653" s="27" t="inlineStr">
        <is>
          <t>2026-02-10</t>
        </is>
      </c>
      <c r="B653" s="33" t="n">
        <v>53000</v>
      </c>
      <c r="C653" s="33" t="n">
        <v>53500</v>
      </c>
      <c r="D653" s="33" t="n">
        <v>50700</v>
      </c>
      <c r="E653" s="33" t="n">
        <v>50700</v>
      </c>
      <c r="F653" s="33" t="n">
        <v>50700</v>
      </c>
      <c r="G653" s="33" t="n">
        <v>452547</v>
      </c>
      <c r="H653" s="38" t="n">
        <v>-0.04699248120300747</v>
      </c>
      <c r="I653" s="38" t="n">
        <v>-0.09464285714285714</v>
      </c>
      <c r="J653" s="33" t="n">
        <v>46542.5</v>
      </c>
      <c r="K653" s="33" t="n">
        <v>40310</v>
      </c>
      <c r="L653" s="33" t="n">
        <v>38824.16666666666</v>
      </c>
      <c r="M653" s="38" t="n">
        <v>0.7735488668718904</v>
      </c>
      <c r="N653" s="38" t="n">
        <v>0.6300550960855061</v>
      </c>
      <c r="O653" s="38" t="n">
        <v>0.2706766917293233</v>
      </c>
      <c r="P653" s="38" t="n">
        <v>0.4221598877980364</v>
      </c>
      <c r="Q653" s="38" t="n">
        <v>0.5600000000000001</v>
      </c>
      <c r="R653" s="38" t="n">
        <v>0.08932695923081058</v>
      </c>
      <c r="S653" s="38" t="n">
        <v>0.2577524187546514</v>
      </c>
      <c r="T653" s="38" t="n">
        <v>0.3058876558844363</v>
      </c>
      <c r="U653" s="33" t="n">
        <v>56000</v>
      </c>
      <c r="V653" s="33" t="n">
        <v>20750</v>
      </c>
      <c r="W653" s="38" t="n">
        <v>-0.09464285714285714</v>
      </c>
      <c r="X653" s="38" t="n">
        <v>1.443373493975904</v>
      </c>
      <c r="Y653" s="33" t="n">
        <v>51414494</v>
      </c>
      <c r="Z653" s="33" t="n">
        <v>2606714845800</v>
      </c>
      <c r="AA653" s="33" t="n">
        <v>22944132900</v>
      </c>
      <c r="AB653" s="33" t="n">
        <v>49271039482.5</v>
      </c>
      <c r="AC653" s="38" t="n">
        <v>0.008801934333925371</v>
      </c>
      <c r="AD653" s="27" t="inlineStr">
        <is>
          <t>yfinance_download</t>
        </is>
      </c>
      <c r="AE653" s="27" t="inlineStr">
        <is>
          <t>005290.KQ</t>
        </is>
      </c>
    </row>
    <row r="654" ht="24" customHeight="1">
      <c r="A654" s="32" t="inlineStr">
        <is>
          <t>2026-02-11</t>
        </is>
      </c>
      <c r="B654" s="34" t="n">
        <v>50400</v>
      </c>
      <c r="C654" s="34" t="n">
        <v>51800</v>
      </c>
      <c r="D654" s="34" t="n">
        <v>49700</v>
      </c>
      <c r="E654" s="34" t="n">
        <v>50500</v>
      </c>
      <c r="F654" s="34" t="n">
        <v>50500</v>
      </c>
      <c r="G654" s="34" t="n">
        <v>429695</v>
      </c>
      <c r="H654" s="39" t="n">
        <v>-0.003944773175542426</v>
      </c>
      <c r="I654" s="39" t="n">
        <v>-0.0982142857142857</v>
      </c>
      <c r="J654" s="34" t="n">
        <v>47047.5</v>
      </c>
      <c r="K654" s="34" t="n">
        <v>40574.16666666666</v>
      </c>
      <c r="L654" s="34" t="n">
        <v>38974.58333333334</v>
      </c>
      <c r="M654" s="39" t="n">
        <v>0.7759340972905562</v>
      </c>
      <c r="N654" s="39" t="n">
        <v>0.6263108140170203</v>
      </c>
      <c r="O654" s="39" t="n">
        <v>0.25</v>
      </c>
      <c r="P654" s="39" t="n">
        <v>0.4574314574314575</v>
      </c>
      <c r="Q654" s="39" t="n">
        <v>0.5562403697996918</v>
      </c>
      <c r="R654" s="39" t="n">
        <v>0.07338328285243634</v>
      </c>
      <c r="S654" s="39" t="n">
        <v>0.2446343116515024</v>
      </c>
      <c r="T654" s="39" t="n">
        <v>0.2957162253177819</v>
      </c>
      <c r="U654" s="34" t="n">
        <v>56000</v>
      </c>
      <c r="V654" s="34" t="n">
        <v>21400</v>
      </c>
      <c r="W654" s="39" t="n">
        <v>-0.0982142857142857</v>
      </c>
      <c r="X654" s="39" t="n">
        <v>1.35981308411215</v>
      </c>
      <c r="Y654" s="34" t="n">
        <v>51414494</v>
      </c>
      <c r="Z654" s="34" t="n">
        <v>2596431947000</v>
      </c>
      <c r="AA654" s="34" t="n">
        <v>21699597500</v>
      </c>
      <c r="AB654" s="34" t="n">
        <v>49460218037.5</v>
      </c>
      <c r="AC654" s="39" t="n">
        <v>0.008357468226761115</v>
      </c>
      <c r="AD654" s="32" t="inlineStr">
        <is>
          <t>yfinance_download</t>
        </is>
      </c>
      <c r="AE654" s="32" t="inlineStr">
        <is>
          <t>005290.KQ</t>
        </is>
      </c>
    </row>
    <row r="655" ht="24" customHeight="1">
      <c r="A655" s="27" t="inlineStr">
        <is>
          <t>2026-02-12</t>
        </is>
      </c>
      <c r="B655" s="33" t="n">
        <v>51300</v>
      </c>
      <c r="C655" s="33" t="n">
        <v>52700</v>
      </c>
      <c r="D655" s="33" t="n">
        <v>50800</v>
      </c>
      <c r="E655" s="33" t="n">
        <v>52700</v>
      </c>
      <c r="F655" s="33" t="n">
        <v>52700</v>
      </c>
      <c r="G655" s="33" t="n">
        <v>579067</v>
      </c>
      <c r="H655" s="38" t="n">
        <v>0.0435643564356436</v>
      </c>
      <c r="I655" s="38" t="n">
        <v>-0.05892857142857144</v>
      </c>
      <c r="J655" s="33" t="n">
        <v>47655</v>
      </c>
      <c r="K655" s="33" t="n">
        <v>40863.33333333334</v>
      </c>
      <c r="L655" s="33" t="n">
        <v>39154.16666666666</v>
      </c>
      <c r="M655" s="38" t="n">
        <v>0.7829219596589359</v>
      </c>
      <c r="N655" s="38" t="n">
        <v>0.6302243559936506</v>
      </c>
      <c r="O655" s="38" t="n">
        <v>0.2996300863131935</v>
      </c>
      <c r="P655" s="38" t="n">
        <v>0.4908062234794908</v>
      </c>
      <c r="Q655" s="38" t="n">
        <v>0.6918138041733548</v>
      </c>
      <c r="R655" s="38" t="n">
        <v>0.1058650718707377</v>
      </c>
      <c r="S655" s="38" t="n">
        <v>0.289664736112244</v>
      </c>
      <c r="T655" s="38" t="n">
        <v>0.3459614770671491</v>
      </c>
      <c r="U655" s="33" t="n">
        <v>56000</v>
      </c>
      <c r="V655" s="33" t="n">
        <v>21650</v>
      </c>
      <c r="W655" s="38" t="n">
        <v>-0.05892857142857144</v>
      </c>
      <c r="X655" s="38" t="n">
        <v>1.434180138568129</v>
      </c>
      <c r="Y655" s="33" t="n">
        <v>51414494</v>
      </c>
      <c r="Z655" s="33" t="n">
        <v>2709543833800</v>
      </c>
      <c r="AA655" s="33" t="n">
        <v>30516830900</v>
      </c>
      <c r="AB655" s="33" t="n">
        <v>49958654370</v>
      </c>
      <c r="AC655" s="38" t="n">
        <v>0.01126271903016297</v>
      </c>
      <c r="AD655" s="27" t="inlineStr">
        <is>
          <t>yfinance_download</t>
        </is>
      </c>
      <c r="AE655" s="27" t="inlineStr">
        <is>
          <t>005290.KQ</t>
        </is>
      </c>
    </row>
    <row r="656" ht="24" customHeight="1">
      <c r="A656" s="32" t="inlineStr">
        <is>
          <t>2026-02-13</t>
        </is>
      </c>
      <c r="B656" s="34" t="n">
        <v>51400</v>
      </c>
      <c r="C656" s="34" t="n">
        <v>52700</v>
      </c>
      <c r="D656" s="34" t="n">
        <v>51300</v>
      </c>
      <c r="E656" s="34" t="n">
        <v>51500</v>
      </c>
      <c r="F656" s="34" t="n">
        <v>51500</v>
      </c>
      <c r="G656" s="34" t="n">
        <v>388378</v>
      </c>
      <c r="H656" s="39" t="n">
        <v>-0.02277039848197349</v>
      </c>
      <c r="I656" s="39" t="n">
        <v>-0.0803571428571429</v>
      </c>
      <c r="J656" s="34" t="n">
        <v>48225</v>
      </c>
      <c r="K656" s="34" t="n">
        <v>41160</v>
      </c>
      <c r="L656" s="34" t="n">
        <v>39325.83333333334</v>
      </c>
      <c r="M656" s="39" t="n">
        <v>0.7890229030173735</v>
      </c>
      <c r="N656" s="39" t="n">
        <v>0.6233236575402323</v>
      </c>
      <c r="O656" s="39" t="n">
        <v>0.2842892768079801</v>
      </c>
      <c r="P656" s="39" t="n">
        <v>0.5281899109792285</v>
      </c>
      <c r="Q656" s="39" t="n">
        <v>0.6666666666666667</v>
      </c>
      <c r="R656" s="39" t="n">
        <v>0.06791083462934155</v>
      </c>
      <c r="S656" s="39" t="n">
        <v>0.2512147716229349</v>
      </c>
      <c r="T656" s="39" t="n">
        <v>0.3095717403742237</v>
      </c>
      <c r="U656" s="34" t="n">
        <v>56000</v>
      </c>
      <c r="V656" s="34" t="n">
        <v>22100</v>
      </c>
      <c r="W656" s="39" t="n">
        <v>-0.0803571428571429</v>
      </c>
      <c r="X656" s="39" t="n">
        <v>1.330316742081448</v>
      </c>
      <c r="Y656" s="34" t="n">
        <v>51414494</v>
      </c>
      <c r="Z656" s="34" t="n">
        <v>2647846441000</v>
      </c>
      <c r="AA656" s="34" t="n">
        <v>20001467000</v>
      </c>
      <c r="AB656" s="34" t="n">
        <v>49824655610</v>
      </c>
      <c r="AC656" s="39" t="n">
        <v>0.007553862146343402</v>
      </c>
      <c r="AD656" s="32" t="inlineStr">
        <is>
          <t>yfinance_download</t>
        </is>
      </c>
      <c r="AE656" s="32" t="inlineStr">
        <is>
          <t>005290.KQ</t>
        </is>
      </c>
    </row>
    <row r="657" ht="24" customHeight="1">
      <c r="A657" s="27" t="inlineStr">
        <is>
          <t>2026-02-19</t>
        </is>
      </c>
      <c r="B657" s="33" t="n">
        <v>52700</v>
      </c>
      <c r="C657" s="33" t="n">
        <v>54600</v>
      </c>
      <c r="D657" s="33" t="n">
        <v>52400</v>
      </c>
      <c r="E657" s="33" t="n">
        <v>54500</v>
      </c>
      <c r="F657" s="33" t="n">
        <v>54500</v>
      </c>
      <c r="G657" s="33" t="n">
        <v>711631</v>
      </c>
      <c r="H657" s="38" t="n">
        <v>0.05825242718446599</v>
      </c>
      <c r="I657" s="38" t="n">
        <v>-0.0267857142857143</v>
      </c>
      <c r="J657" s="33" t="n">
        <v>48977.5</v>
      </c>
      <c r="K657" s="33" t="n">
        <v>41515</v>
      </c>
      <c r="L657" s="33" t="n">
        <v>39528.75</v>
      </c>
      <c r="M657" s="38" t="n">
        <v>0.7957696527143728</v>
      </c>
      <c r="N657" s="38" t="n">
        <v>0.6299310912445236</v>
      </c>
      <c r="O657" s="38" t="n">
        <v>0.3814955640050697</v>
      </c>
      <c r="P657" s="38" t="n">
        <v>0.6415662650602409</v>
      </c>
      <c r="Q657" s="38" t="n">
        <v>0.8076285240464345</v>
      </c>
      <c r="R657" s="38" t="n">
        <v>0.1127558572814047</v>
      </c>
      <c r="S657" s="38" t="n">
        <v>0.3127785137901964</v>
      </c>
      <c r="T657" s="38" t="n">
        <v>0.3787433197356354</v>
      </c>
      <c r="U657" s="33" t="n">
        <v>56000</v>
      </c>
      <c r="V657" s="33" t="n">
        <v>24100</v>
      </c>
      <c r="W657" s="38" t="n">
        <v>-0.0267857142857143</v>
      </c>
      <c r="X657" s="38" t="n">
        <v>1.261410788381743</v>
      </c>
      <c r="Y657" s="33" t="n">
        <v>51414494</v>
      </c>
      <c r="Z657" s="33" t="n">
        <v>2802089923000</v>
      </c>
      <c r="AA657" s="33" t="n">
        <v>38783889500</v>
      </c>
      <c r="AB657" s="33" t="n">
        <v>50934376357.5</v>
      </c>
      <c r="AC657" s="38" t="n">
        <v>0.01384105812652751</v>
      </c>
      <c r="AD657" s="27" t="inlineStr">
        <is>
          <t>yfinance_download</t>
        </is>
      </c>
      <c r="AE657" s="27" t="inlineStr">
        <is>
          <t>005290.KQ</t>
        </is>
      </c>
    </row>
    <row r="658" ht="24" customHeight="1">
      <c r="A658" s="32" t="inlineStr">
        <is>
          <t>2026-02-20</t>
        </is>
      </c>
      <c r="B658" s="34" t="n">
        <v>54000</v>
      </c>
      <c r="C658" s="34" t="n">
        <v>54900</v>
      </c>
      <c r="D658" s="34" t="n">
        <v>53100</v>
      </c>
      <c r="E658" s="34" t="n">
        <v>54700</v>
      </c>
      <c r="F658" s="34" t="n">
        <v>54700</v>
      </c>
      <c r="G658" s="34" t="n">
        <v>513513</v>
      </c>
      <c r="H658" s="39" t="n">
        <v>0.003669724770642091</v>
      </c>
      <c r="I658" s="39" t="n">
        <v>-0.02321428571428574</v>
      </c>
      <c r="J658" s="34" t="n">
        <v>49740</v>
      </c>
      <c r="K658" s="34" t="n">
        <v>41867.5</v>
      </c>
      <c r="L658" s="34" t="n">
        <v>39735.83333333334</v>
      </c>
      <c r="M658" s="39" t="n">
        <v>0.7948071702212792</v>
      </c>
      <c r="N658" s="39" t="n">
        <v>0.6300191887542554</v>
      </c>
      <c r="O658" s="39" t="n">
        <v>0.3865652724968314</v>
      </c>
      <c r="P658" s="39" t="n">
        <v>0.6304023845007451</v>
      </c>
      <c r="Q658" s="39" t="n">
        <v>0.8324958123953099</v>
      </c>
      <c r="R658" s="39" t="n">
        <v>0.0997185363892239</v>
      </c>
      <c r="S658" s="39" t="n">
        <v>0.3065026571923331</v>
      </c>
      <c r="T658" s="39" t="n">
        <v>0.3765912379674097</v>
      </c>
      <c r="U658" s="34" t="n">
        <v>56000</v>
      </c>
      <c r="V658" s="34" t="n">
        <v>25400</v>
      </c>
      <c r="W658" s="39" t="n">
        <v>-0.02321428571428574</v>
      </c>
      <c r="X658" s="39" t="n">
        <v>1.153543307086614</v>
      </c>
      <c r="Y658" s="34" t="n">
        <v>51414494</v>
      </c>
      <c r="Z658" s="34" t="n">
        <v>2812372821800</v>
      </c>
      <c r="AA658" s="34" t="n">
        <v>28089161100</v>
      </c>
      <c r="AB658" s="34" t="n">
        <v>51522028080</v>
      </c>
      <c r="AC658" s="39" t="n">
        <v>0.009987708913365947</v>
      </c>
      <c r="AD658" s="32" t="inlineStr">
        <is>
          <t>yfinance_download</t>
        </is>
      </c>
      <c r="AE658" s="32" t="inlineStr">
        <is>
          <t>005290.KQ</t>
        </is>
      </c>
    </row>
    <row r="659" ht="24" customHeight="1">
      <c r="A659" s="27" t="inlineStr">
        <is>
          <t>2026-02-23</t>
        </is>
      </c>
      <c r="B659" s="33" t="n">
        <v>54800</v>
      </c>
      <c r="C659" s="33" t="n">
        <v>55100</v>
      </c>
      <c r="D659" s="33" t="n">
        <v>51900</v>
      </c>
      <c r="E659" s="33" t="n">
        <v>52500</v>
      </c>
      <c r="F659" s="33" t="n">
        <v>52500</v>
      </c>
      <c r="G659" s="33" t="n">
        <v>721744</v>
      </c>
      <c r="H659" s="38" t="n">
        <v>-0.04021937842778789</v>
      </c>
      <c r="I659" s="38" t="n">
        <v>-0.0625</v>
      </c>
      <c r="J659" s="33" t="n">
        <v>50340</v>
      </c>
      <c r="K659" s="33" t="n">
        <v>42215.83333333334</v>
      </c>
      <c r="L659" s="33" t="n">
        <v>39925.41666666666</v>
      </c>
      <c r="M659" s="38" t="n">
        <v>0.8198245415533076</v>
      </c>
      <c r="N659" s="38" t="n">
        <v>0.6229080336461937</v>
      </c>
      <c r="O659" s="38" t="n">
        <v>0.2962962962962963</v>
      </c>
      <c r="P659" s="38" t="n">
        <v>0.6613924050632911</v>
      </c>
      <c r="Q659" s="38" t="n">
        <v>0.7647058823529411</v>
      </c>
      <c r="R659" s="38" t="n">
        <v>0.04290822407628125</v>
      </c>
      <c r="S659" s="38" t="n">
        <v>0.2436092303440651</v>
      </c>
      <c r="T659" s="38" t="n">
        <v>0.3149518372799283</v>
      </c>
      <c r="U659" s="33" t="n">
        <v>56000</v>
      </c>
      <c r="V659" s="33" t="n">
        <v>25400</v>
      </c>
      <c r="W659" s="38" t="n">
        <v>-0.0625</v>
      </c>
      <c r="X659" s="38" t="n">
        <v>1.066929133858268</v>
      </c>
      <c r="Y659" s="33" t="n">
        <v>51414494</v>
      </c>
      <c r="Z659" s="33" t="n">
        <v>2699260935000</v>
      </c>
      <c r="AA659" s="33" t="n">
        <v>37891560000</v>
      </c>
      <c r="AB659" s="33" t="n">
        <v>52103407755</v>
      </c>
      <c r="AC659" s="38" t="n">
        <v>0.0140377536342184</v>
      </c>
      <c r="AD659" s="27" t="inlineStr">
        <is>
          <t>yfinance_download</t>
        </is>
      </c>
      <c r="AE659" s="27" t="inlineStr">
        <is>
          <t>005290.KQ</t>
        </is>
      </c>
    </row>
    <row r="660" ht="24" customHeight="1">
      <c r="A660" s="32" t="inlineStr">
        <is>
          <t>2026-02-24</t>
        </is>
      </c>
      <c r="B660" s="34" t="n">
        <v>51800</v>
      </c>
      <c r="C660" s="34" t="n">
        <v>54200</v>
      </c>
      <c r="D660" s="34" t="n">
        <v>51400</v>
      </c>
      <c r="E660" s="34" t="n">
        <v>53700</v>
      </c>
      <c r="F660" s="34" t="n">
        <v>53700</v>
      </c>
      <c r="G660" s="34" t="n">
        <v>464088</v>
      </c>
      <c r="H660" s="39" t="n">
        <v>0.02285714285714291</v>
      </c>
      <c r="I660" s="39" t="n">
        <v>-0.04107142857142854</v>
      </c>
      <c r="J660" s="34" t="n">
        <v>51002.5</v>
      </c>
      <c r="K660" s="34" t="n">
        <v>42578.33333333334</v>
      </c>
      <c r="L660" s="34" t="n">
        <v>40122.91666666666</v>
      </c>
      <c r="M660" s="39" t="n">
        <v>0.8182239927763872</v>
      </c>
      <c r="N660" s="39" t="n">
        <v>0.6235241424448436</v>
      </c>
      <c r="O660" s="39" t="n">
        <v>0.3275648949320149</v>
      </c>
      <c r="P660" s="39" t="n">
        <v>0.6807511737089202</v>
      </c>
      <c r="Q660" s="39" t="n">
        <v>0.79</v>
      </c>
      <c r="R660" s="39" t="n">
        <v>0.05288956423704727</v>
      </c>
      <c r="S660" s="39" t="n">
        <v>0.2612048381414647</v>
      </c>
      <c r="T660" s="39" t="n">
        <v>0.3383872475206398</v>
      </c>
      <c r="U660" s="34" t="n">
        <v>56000</v>
      </c>
      <c r="V660" s="34" t="n">
        <v>25400</v>
      </c>
      <c r="W660" s="39" t="n">
        <v>-0.04107142857142854</v>
      </c>
      <c r="X660" s="39" t="n">
        <v>1.114173228346456</v>
      </c>
      <c r="Y660" s="34" t="n">
        <v>51414494</v>
      </c>
      <c r="Z660" s="34" t="n">
        <v>2760958327800</v>
      </c>
      <c r="AA660" s="34" t="n">
        <v>24921525600</v>
      </c>
      <c r="AB660" s="34" t="n">
        <v>51883859185</v>
      </c>
      <c r="AC660" s="39" t="n">
        <v>0.009026404110871926</v>
      </c>
      <c r="AD660" s="32" t="inlineStr">
        <is>
          <t>yfinance_download</t>
        </is>
      </c>
      <c r="AE660" s="32" t="inlineStr">
        <is>
          <t>005290.KQ</t>
        </is>
      </c>
    </row>
    <row r="661" ht="24" customHeight="1">
      <c r="A661" s="27" t="inlineStr">
        <is>
          <t>2026-02-25</t>
        </is>
      </c>
      <c r="B661" s="33" t="n">
        <v>53800</v>
      </c>
      <c r="C661" s="33" t="n">
        <v>54600</v>
      </c>
      <c r="D661" s="33" t="n">
        <v>52500</v>
      </c>
      <c r="E661" s="33" t="n">
        <v>53000</v>
      </c>
      <c r="F661" s="33" t="n">
        <v>53000</v>
      </c>
      <c r="G661" s="33" t="n">
        <v>414895</v>
      </c>
      <c r="H661" s="38" t="n">
        <v>-0.01303538175046559</v>
      </c>
      <c r="I661" s="38" t="n">
        <v>-0.0535714285714286</v>
      </c>
      <c r="J661" s="33" t="n">
        <v>51607.5</v>
      </c>
      <c r="K661" s="33" t="n">
        <v>42904.16666666666</v>
      </c>
      <c r="L661" s="33" t="n">
        <v>40314.58333333334</v>
      </c>
      <c r="M661" s="38" t="n">
        <v>0.8244147069259653</v>
      </c>
      <c r="N661" s="38" t="n">
        <v>0.6202191081437288</v>
      </c>
      <c r="O661" s="38" t="n">
        <v>0.2958435207823962</v>
      </c>
      <c r="P661" s="38" t="n">
        <v>0.5844544095665172</v>
      </c>
      <c r="Q661" s="38" t="n">
        <v>0.7666666666666666</v>
      </c>
      <c r="R661" s="38" t="n">
        <v>0.0269825122317493</v>
      </c>
      <c r="S661" s="38" t="n">
        <v>0.2353112557055455</v>
      </c>
      <c r="T661" s="38" t="n">
        <v>0.3146607410469742</v>
      </c>
      <c r="U661" s="33" t="n">
        <v>56000</v>
      </c>
      <c r="V661" s="33" t="n">
        <v>25400</v>
      </c>
      <c r="W661" s="38" t="n">
        <v>-0.0535714285714286</v>
      </c>
      <c r="X661" s="38" t="n">
        <v>1.086614173228346</v>
      </c>
      <c r="Y661" s="33" t="n">
        <v>51414494</v>
      </c>
      <c r="Z661" s="33" t="n">
        <v>2724968182000</v>
      </c>
      <c r="AA661" s="33" t="n">
        <v>21989435000</v>
      </c>
      <c r="AB661" s="33" t="n">
        <v>51848304810</v>
      </c>
      <c r="AC661" s="38" t="n">
        <v>0.008069611654643533</v>
      </c>
      <c r="AD661" s="27" t="inlineStr">
        <is>
          <t>yfinance_download</t>
        </is>
      </c>
      <c r="AE661" s="27" t="inlineStr">
        <is>
          <t>005290.KQ</t>
        </is>
      </c>
    </row>
    <row r="662" ht="24" customHeight="1">
      <c r="A662" s="32" t="inlineStr">
        <is>
          <t>2026-02-26</t>
        </is>
      </c>
      <c r="B662" s="34" t="n">
        <v>53700</v>
      </c>
      <c r="C662" s="34" t="n">
        <v>56000</v>
      </c>
      <c r="D662" s="34" t="n">
        <v>52800</v>
      </c>
      <c r="E662" s="34" t="n">
        <v>55300</v>
      </c>
      <c r="F662" s="34" t="n">
        <v>55300</v>
      </c>
      <c r="G662" s="34" t="n">
        <v>842444</v>
      </c>
      <c r="H662" s="39" t="n">
        <v>0.04339622641509444</v>
      </c>
      <c r="I662" s="39" t="n">
        <v>-0.01249999999999996</v>
      </c>
      <c r="J662" s="34" t="n">
        <v>52247.5</v>
      </c>
      <c r="K662" s="34" t="n">
        <v>43250.83333333334</v>
      </c>
      <c r="L662" s="34" t="n">
        <v>40526.25</v>
      </c>
      <c r="M662" s="39" t="n">
        <v>0.8262594139386312</v>
      </c>
      <c r="N662" s="39" t="n">
        <v>0.6226006007874353</v>
      </c>
      <c r="O662" s="39" t="n">
        <v>0.3011764705882354</v>
      </c>
      <c r="P662" s="39" t="n">
        <v>0.6028985507246376</v>
      </c>
      <c r="Q662" s="39" t="n">
        <v>0.8494983277591974</v>
      </c>
      <c r="R662" s="39" t="n">
        <v>0.0584238480310062</v>
      </c>
      <c r="S662" s="39" t="n">
        <v>0.2785880811545056</v>
      </c>
      <c r="T662" s="39" t="n">
        <v>0.364547669720243</v>
      </c>
      <c r="U662" s="34" t="n">
        <v>56000</v>
      </c>
      <c r="V662" s="34" t="n">
        <v>25400</v>
      </c>
      <c r="W662" s="39" t="n">
        <v>-0.01249999999999996</v>
      </c>
      <c r="X662" s="39" t="n">
        <v>1.177165354330709</v>
      </c>
      <c r="Y662" s="34" t="n">
        <v>51414494</v>
      </c>
      <c r="Z662" s="34" t="n">
        <v>2843221518200</v>
      </c>
      <c r="AA662" s="34" t="n">
        <v>46587153200</v>
      </c>
      <c r="AB662" s="34" t="n">
        <v>51382040095</v>
      </c>
      <c r="AC662" s="39" t="n">
        <v>0.0163853406784476</v>
      </c>
      <c r="AD662" s="32" t="inlineStr">
        <is>
          <t>yfinance_download</t>
        </is>
      </c>
      <c r="AE662" s="32" t="inlineStr">
        <is>
          <t>005290.KQ</t>
        </is>
      </c>
    </row>
    <row r="663" ht="24" customHeight="1">
      <c r="A663" s="27" t="inlineStr">
        <is>
          <t>2026-02-27</t>
        </is>
      </c>
      <c r="B663" s="33" t="n">
        <v>53500</v>
      </c>
      <c r="C663" s="33" t="n">
        <v>55700</v>
      </c>
      <c r="D663" s="33" t="n">
        <v>52600</v>
      </c>
      <c r="E663" s="33" t="n">
        <v>54900</v>
      </c>
      <c r="F663" s="33" t="n">
        <v>54900</v>
      </c>
      <c r="G663" s="33" t="n">
        <v>715397</v>
      </c>
      <c r="H663" s="38" t="n">
        <v>-0.007233273056057921</v>
      </c>
      <c r="I663" s="38" t="n">
        <v>-0.01964285714285718</v>
      </c>
      <c r="J663" s="33" t="n">
        <v>52812.5</v>
      </c>
      <c r="K663" s="33" t="n">
        <v>43583.33333333334</v>
      </c>
      <c r="L663" s="33" t="n">
        <v>40735.83333333334</v>
      </c>
      <c r="M663" s="38" t="n">
        <v>0.8285788607357263</v>
      </c>
      <c r="N663" s="38" t="n">
        <v>0.6233735946247178</v>
      </c>
      <c r="O663" s="38" t="n">
        <v>0.2591743119266054</v>
      </c>
      <c r="P663" s="38" t="n">
        <v>0.5708154506437768</v>
      </c>
      <c r="Q663" s="38" t="n">
        <v>0.8453781512605043</v>
      </c>
      <c r="R663" s="38" t="n">
        <v>0.03952662721893496</v>
      </c>
      <c r="S663" s="38" t="n">
        <v>0.2596558317399618</v>
      </c>
      <c r="T663" s="38" t="n">
        <v>0.3477077920749545</v>
      </c>
      <c r="U663" s="33" t="n">
        <v>56000</v>
      </c>
      <c r="V663" s="33" t="n">
        <v>25400</v>
      </c>
      <c r="W663" s="38" t="n">
        <v>-0.01964285714285718</v>
      </c>
      <c r="X663" s="38" t="n">
        <v>1.161417322834646</v>
      </c>
      <c r="Y663" s="33" t="n">
        <v>51414494</v>
      </c>
      <c r="Z663" s="33" t="n">
        <v>2822655720600</v>
      </c>
      <c r="AA663" s="33" t="n">
        <v>39275295300</v>
      </c>
      <c r="AB663" s="33" t="n">
        <v>51002368080</v>
      </c>
      <c r="AC663" s="38" t="n">
        <v>0.0139143059542704</v>
      </c>
      <c r="AD663" s="27" t="inlineStr">
        <is>
          <t>yfinance_download</t>
        </is>
      </c>
      <c r="AE663" s="27" t="inlineStr">
        <is>
          <t>005290.KQ</t>
        </is>
      </c>
    </row>
    <row r="664" ht="24" customHeight="1">
      <c r="A664" s="32" t="inlineStr">
        <is>
          <t>2026-03-03</t>
        </is>
      </c>
      <c r="B664" s="34" t="n">
        <v>53400</v>
      </c>
      <c r="C664" s="34" t="n">
        <v>57900</v>
      </c>
      <c r="D664" s="34" t="n">
        <v>52500</v>
      </c>
      <c r="E664" s="34" t="n">
        <v>52900</v>
      </c>
      <c r="F664" s="34" t="n">
        <v>52900</v>
      </c>
      <c r="G664" s="34" t="n">
        <v>1342237</v>
      </c>
      <c r="H664" s="39" t="n">
        <v>-0.03642987249544627</v>
      </c>
      <c r="I664" s="39" t="n">
        <v>-0.05535714285714288</v>
      </c>
      <c r="J664" s="34" t="n">
        <v>53035</v>
      </c>
      <c r="K664" s="34" t="n">
        <v>43862.5</v>
      </c>
      <c r="L664" s="34" t="n">
        <v>40927.08333333334</v>
      </c>
      <c r="M664" s="39" t="n">
        <v>0.7589226532387491</v>
      </c>
      <c r="N664" s="39" t="n">
        <v>0.6276039026998618</v>
      </c>
      <c r="O664" s="39" t="n">
        <v>0.09184726522187825</v>
      </c>
      <c r="P664" s="39" t="n">
        <v>0.4633471645919778</v>
      </c>
      <c r="Q664" s="39" t="n">
        <v>0.7662771285475793</v>
      </c>
      <c r="R664" s="39" t="n">
        <v>-0.002545488828132325</v>
      </c>
      <c r="S664" s="39" t="n">
        <v>0.2060416072955258</v>
      </c>
      <c r="T664" s="39" t="n">
        <v>0.2925426317129041</v>
      </c>
      <c r="U664" s="34" t="n">
        <v>56000</v>
      </c>
      <c r="V664" s="34" t="n">
        <v>25400</v>
      </c>
      <c r="W664" s="39" t="n">
        <v>-0.05535714285714288</v>
      </c>
      <c r="X664" s="39" t="n">
        <v>1.082677165354331</v>
      </c>
      <c r="Y664" s="34" t="n">
        <v>51414494</v>
      </c>
      <c r="Z664" s="34" t="n">
        <v>2719826732600</v>
      </c>
      <c r="AA664" s="34" t="n">
        <v>71004337300</v>
      </c>
      <c r="AB664" s="34" t="n">
        <v>49030108595</v>
      </c>
      <c r="AC664" s="39" t="n">
        <v>0.02610619876955319</v>
      </c>
      <c r="AD664" s="32" t="inlineStr">
        <is>
          <t>yfinance_download</t>
        </is>
      </c>
      <c r="AE664" s="32" t="inlineStr">
        <is>
          <t>005290.KQ</t>
        </is>
      </c>
    </row>
    <row r="665" ht="24" customHeight="1">
      <c r="A665" s="27" t="inlineStr">
        <is>
          <t>2026-03-04</t>
        </is>
      </c>
      <c r="B665" s="33" t="n">
        <v>51700</v>
      </c>
      <c r="C665" s="33" t="n">
        <v>53500</v>
      </c>
      <c r="D665" s="33" t="n">
        <v>45000</v>
      </c>
      <c r="E665" s="33" t="n">
        <v>45150</v>
      </c>
      <c r="F665" s="33" t="n">
        <v>45150</v>
      </c>
      <c r="G665" s="33" t="n">
        <v>1027453</v>
      </c>
      <c r="H665" s="38" t="n">
        <v>-0.1465028355387523</v>
      </c>
      <c r="I665" s="38" t="n">
        <v>-0.19375</v>
      </c>
      <c r="J665" s="33" t="n">
        <v>52722.5</v>
      </c>
      <c r="K665" s="33" t="n">
        <v>43945.83333333334</v>
      </c>
      <c r="L665" s="33" t="n">
        <v>41070</v>
      </c>
      <c r="M665" s="38" t="n">
        <v>0.9017209064584683</v>
      </c>
      <c r="N665" s="38" t="n">
        <v>0.6664775244526558</v>
      </c>
      <c r="O665" s="38" t="n">
        <v>-0.1215953307392996</v>
      </c>
      <c r="P665" s="38" t="n">
        <v>0.1245330012453301</v>
      </c>
      <c r="Q665" s="38" t="n">
        <v>0.6125</v>
      </c>
      <c r="R665" s="38" t="n">
        <v>-0.1436293802456257</v>
      </c>
      <c r="S665" s="38" t="n">
        <v>0.02740115672703136</v>
      </c>
      <c r="T665" s="38" t="n">
        <v>0.09934258582907241</v>
      </c>
      <c r="U665" s="33" t="n">
        <v>56000</v>
      </c>
      <c r="V665" s="33" t="n">
        <v>25400</v>
      </c>
      <c r="W665" s="38" t="n">
        <v>-0.19375</v>
      </c>
      <c r="X665" s="38" t="n">
        <v>0.7775590551181102</v>
      </c>
      <c r="Y665" s="33" t="n">
        <v>51414494</v>
      </c>
      <c r="Z665" s="33" t="n">
        <v>2321364404100</v>
      </c>
      <c r="AA665" s="33" t="n">
        <v>46389502950</v>
      </c>
      <c r="AB665" s="33" t="n">
        <v>44513509672.5</v>
      </c>
      <c r="AC665" s="38" t="n">
        <v>0.01998372287783285</v>
      </c>
      <c r="AD665" s="27" t="inlineStr">
        <is>
          <t>yfinance_download</t>
        </is>
      </c>
      <c r="AE665" s="27" t="inlineStr">
        <is>
          <t>005290.KQ</t>
        </is>
      </c>
    </row>
    <row r="666" ht="24" customHeight="1">
      <c r="A666" s="32" t="inlineStr">
        <is>
          <t>2026-03-05</t>
        </is>
      </c>
      <c r="B666" s="34" t="n">
        <v>49000</v>
      </c>
      <c r="C666" s="34" t="n">
        <v>54200</v>
      </c>
      <c r="D666" s="34" t="n">
        <v>48500</v>
      </c>
      <c r="E666" s="34" t="n">
        <v>51700</v>
      </c>
      <c r="F666" s="34" t="n">
        <v>51700</v>
      </c>
      <c r="G666" s="34" t="n">
        <v>1079173</v>
      </c>
      <c r="H666" s="39" t="n">
        <v>0.1450719822812847</v>
      </c>
      <c r="I666" s="39" t="n">
        <v>-0.07678571428571423</v>
      </c>
      <c r="J666" s="34" t="n">
        <v>52507.5</v>
      </c>
      <c r="K666" s="34" t="n">
        <v>44158.33333333334</v>
      </c>
      <c r="L666" s="34" t="n">
        <v>41265.83333333334</v>
      </c>
      <c r="M666" s="39" t="n">
        <v>0.9955722666438557</v>
      </c>
      <c r="N666" s="39" t="n">
        <v>0.7237797679270951</v>
      </c>
      <c r="O666" s="39" t="n">
        <v>-0.07678571428571423</v>
      </c>
      <c r="P666" s="39" t="n">
        <v>0.3273427471116817</v>
      </c>
      <c r="Q666" s="39" t="n">
        <v>0.8333333333333333</v>
      </c>
      <c r="R666" s="39" t="n">
        <v>-0.01537875541589295</v>
      </c>
      <c r="S666" s="39" t="n">
        <v>0.1707869409322513</v>
      </c>
      <c r="T666" s="39" t="n">
        <v>0.2528524404773924</v>
      </c>
      <c r="U666" s="34" t="n">
        <v>56000</v>
      </c>
      <c r="V666" s="34" t="n">
        <v>25400</v>
      </c>
      <c r="W666" s="39" t="n">
        <v>-0.07678571428571423</v>
      </c>
      <c r="X666" s="39" t="n">
        <v>1.035433070866142</v>
      </c>
      <c r="Y666" s="34" t="n">
        <v>51414494</v>
      </c>
      <c r="Z666" s="34" t="n">
        <v>2658129339800</v>
      </c>
      <c r="AA666" s="34" t="n">
        <v>55793244100</v>
      </c>
      <c r="AB666" s="34" t="n">
        <v>38915545077.5</v>
      </c>
      <c r="AC666" s="39" t="n">
        <v>0.02098966489877348</v>
      </c>
      <c r="AD666" s="32" t="inlineStr">
        <is>
          <t>yfinance_download</t>
        </is>
      </c>
      <c r="AE666" s="32" t="inlineStr">
        <is>
          <t>005290.KQ</t>
        </is>
      </c>
    </row>
    <row r="667" ht="24" customHeight="1">
      <c r="A667" s="27" t="inlineStr">
        <is>
          <t>2026-03-06</t>
        </is>
      </c>
      <c r="B667" s="33" t="n">
        <v>52800</v>
      </c>
      <c r="C667" s="33" t="n">
        <v>55500</v>
      </c>
      <c r="D667" s="33" t="n">
        <v>51400</v>
      </c>
      <c r="E667" s="33" t="n">
        <v>55000</v>
      </c>
      <c r="F667" s="33" t="n">
        <v>55000</v>
      </c>
      <c r="G667" s="33" t="n">
        <v>1135254</v>
      </c>
      <c r="H667" s="38" t="n">
        <v>0.06382978723404253</v>
      </c>
      <c r="I667" s="38" t="n">
        <v>-0.0178571428571429</v>
      </c>
      <c r="J667" s="33" t="n">
        <v>52707.5</v>
      </c>
      <c r="K667" s="33" t="n">
        <v>44432.5</v>
      </c>
      <c r="L667" s="33" t="n">
        <v>41487.5</v>
      </c>
      <c r="M667" s="38" t="n">
        <v>0.965651355531008</v>
      </c>
      <c r="N667" s="38" t="n">
        <v>0.7326525430740444</v>
      </c>
      <c r="O667" s="38" t="n">
        <v>0.07843137254901955</v>
      </c>
      <c r="P667" s="38" t="n">
        <v>0.4267185473411155</v>
      </c>
      <c r="Q667" s="38" t="n">
        <v>0.9366197183098592</v>
      </c>
      <c r="R667" s="38" t="n">
        <v>0.04349475881041598</v>
      </c>
      <c r="S667" s="38" t="n">
        <v>0.2378326675293985</v>
      </c>
      <c r="T667" s="38" t="n">
        <v>0.3257005122024705</v>
      </c>
      <c r="U667" s="33" t="n">
        <v>56000</v>
      </c>
      <c r="V667" s="33" t="n">
        <v>25400</v>
      </c>
      <c r="W667" s="38" t="n">
        <v>-0.0178571428571429</v>
      </c>
      <c r="X667" s="38" t="n">
        <v>1.165354330708662</v>
      </c>
      <c r="Y667" s="33" t="n">
        <v>51414494</v>
      </c>
      <c r="Z667" s="33" t="n">
        <v>2827797170000</v>
      </c>
      <c r="AA667" s="33" t="n">
        <v>62438970000</v>
      </c>
      <c r="AB667" s="33" t="n">
        <v>38106933777.5</v>
      </c>
      <c r="AC667" s="38" t="n">
        <v>0.02208042735964687</v>
      </c>
      <c r="AD667" s="27" t="inlineStr">
        <is>
          <t>yfinance_download</t>
        </is>
      </c>
      <c r="AE667" s="27" t="inlineStr">
        <is>
          <t>005290.KQ</t>
        </is>
      </c>
    </row>
    <row r="668" ht="24" customHeight="1">
      <c r="A668" s="32" t="inlineStr">
        <is>
          <t>2026-03-09</t>
        </is>
      </c>
      <c r="B668" s="34" t="n">
        <v>51400</v>
      </c>
      <c r="C668" s="34" t="n">
        <v>52100</v>
      </c>
      <c r="D668" s="34" t="n">
        <v>48350</v>
      </c>
      <c r="E668" s="34" t="n">
        <v>49350</v>
      </c>
      <c r="F668" s="34" t="n">
        <v>49350</v>
      </c>
      <c r="G668" s="34" t="n">
        <v>755044</v>
      </c>
      <c r="H668" s="39" t="n">
        <v>-0.1027272727272728</v>
      </c>
      <c r="I668" s="39" t="n">
        <v>-0.11875</v>
      </c>
      <c r="J668" s="34" t="n">
        <v>52415</v>
      </c>
      <c r="K668" s="34" t="n">
        <v>44642.5</v>
      </c>
      <c r="L668" s="34" t="n">
        <v>41658.33333333334</v>
      </c>
      <c r="M668" s="39" t="n">
        <v>0.9934874576152033</v>
      </c>
      <c r="N668" s="39" t="n">
        <v>0.7587224476087788</v>
      </c>
      <c r="O668" s="39" t="n">
        <v>-0.1059782608695652</v>
      </c>
      <c r="P668" s="39" t="n">
        <v>0.3428571428571427</v>
      </c>
      <c r="Q668" s="39" t="n">
        <v>0.7105719237435009</v>
      </c>
      <c r="R668" s="39" t="n">
        <v>-0.05847562720595245</v>
      </c>
      <c r="S668" s="39" t="n">
        <v>0.1054488435907488</v>
      </c>
      <c r="T668" s="39" t="n">
        <v>0.1846369273854771</v>
      </c>
      <c r="U668" s="34" t="n">
        <v>56000</v>
      </c>
      <c r="V668" s="34" t="n">
        <v>25400</v>
      </c>
      <c r="W668" s="39" t="n">
        <v>-0.11875</v>
      </c>
      <c r="X668" s="39" t="n">
        <v>0.9429133858267718</v>
      </c>
      <c r="Y668" s="34" t="n">
        <v>51414494</v>
      </c>
      <c r="Z668" s="34" t="n">
        <v>2537305278900</v>
      </c>
      <c r="AA668" s="34" t="n">
        <v>37261421400</v>
      </c>
      <c r="AB668" s="34" t="n">
        <v>37539477087.5</v>
      </c>
      <c r="AC668" s="39" t="n">
        <v>0.01468543092148296</v>
      </c>
      <c r="AD668" s="32" t="inlineStr">
        <is>
          <t>yfinance_download</t>
        </is>
      </c>
      <c r="AE668" s="32" t="inlineStr">
        <is>
          <t>005290.KQ</t>
        </is>
      </c>
    </row>
    <row r="669" ht="24" customHeight="1">
      <c r="A669" s="27" t="inlineStr">
        <is>
          <t>2026-03-10</t>
        </is>
      </c>
      <c r="B669" s="33" t="n">
        <v>52700</v>
      </c>
      <c r="C669" s="33" t="n">
        <v>53800</v>
      </c>
      <c r="D669" s="33" t="n">
        <v>51200</v>
      </c>
      <c r="E669" s="33" t="n">
        <v>52600</v>
      </c>
      <c r="F669" s="33" t="n">
        <v>52600</v>
      </c>
      <c r="G669" s="33" t="n">
        <v>643116</v>
      </c>
      <c r="H669" s="38" t="n">
        <v>0.06585612968591703</v>
      </c>
      <c r="I669" s="38" t="n">
        <v>-0.06071428571428572</v>
      </c>
      <c r="J669" s="33" t="n">
        <v>52340</v>
      </c>
      <c r="K669" s="33" t="n">
        <v>44905</v>
      </c>
      <c r="L669" s="33" t="n">
        <v>41857.08333333334</v>
      </c>
      <c r="M669" s="38" t="n">
        <v>1.021188775428681</v>
      </c>
      <c r="N669" s="38" t="n">
        <v>0.7685093549388886</v>
      </c>
      <c r="O669" s="38" t="n">
        <v>-0.02772643253234752</v>
      </c>
      <c r="P669" s="38" t="n">
        <v>0.4274084124830393</v>
      </c>
      <c r="Q669" s="38" t="n">
        <v>0.8295652173913044</v>
      </c>
      <c r="R669" s="38" t="n">
        <v>0.004967520061138764</v>
      </c>
      <c r="S669" s="38" t="n">
        <v>0.1713617637234162</v>
      </c>
      <c r="T669" s="38" t="n">
        <v>0.2566570771573906</v>
      </c>
      <c r="U669" s="33" t="n">
        <v>56000</v>
      </c>
      <c r="V669" s="33" t="n">
        <v>25400</v>
      </c>
      <c r="W669" s="38" t="n">
        <v>-0.06071428571428572</v>
      </c>
      <c r="X669" s="38" t="n">
        <v>1.070866141732283</v>
      </c>
      <c r="Y669" s="33" t="n">
        <v>51414494</v>
      </c>
      <c r="Z669" s="33" t="n">
        <v>2704402384400</v>
      </c>
      <c r="AA669" s="33" t="n">
        <v>33827901600</v>
      </c>
      <c r="AB669" s="33" t="n">
        <v>37297102832.5</v>
      </c>
      <c r="AC669" s="38" t="n">
        <v>0.01250845724553858</v>
      </c>
      <c r="AD669" s="27" t="inlineStr">
        <is>
          <t>yfinance_download</t>
        </is>
      </c>
      <c r="AE669" s="27" t="inlineStr">
        <is>
          <t>005290.KQ</t>
        </is>
      </c>
    </row>
    <row r="670" ht="24" customHeight="1">
      <c r="A670" s="32" t="inlineStr">
        <is>
          <t>2026-03-11</t>
        </is>
      </c>
      <c r="B670" s="34" t="n">
        <v>53600</v>
      </c>
      <c r="C670" s="34" t="n">
        <v>53600</v>
      </c>
      <c r="D670" s="34" t="n">
        <v>50000</v>
      </c>
      <c r="E670" s="34" t="n">
        <v>50300</v>
      </c>
      <c r="F670" s="34" t="n">
        <v>50300</v>
      </c>
      <c r="G670" s="34" t="n">
        <v>596318</v>
      </c>
      <c r="H670" s="39" t="n">
        <v>-0.04372623574144485</v>
      </c>
      <c r="I670" s="39" t="n">
        <v>-0.1017857142857143</v>
      </c>
      <c r="J670" s="34" t="n">
        <v>52280</v>
      </c>
      <c r="K670" s="34" t="n">
        <v>45091.66666666666</v>
      </c>
      <c r="L670" s="34" t="n">
        <v>42032.5</v>
      </c>
      <c r="M670" s="39" t="n">
        <v>1.018563851418041</v>
      </c>
      <c r="N670" s="39" t="n">
        <v>0.7670878410133597</v>
      </c>
      <c r="O670" s="39" t="n">
        <v>-0.02330097087378635</v>
      </c>
      <c r="P670" s="39" t="n">
        <v>0.2864450127877238</v>
      </c>
      <c r="Q670" s="39" t="n">
        <v>0.7196581196581198</v>
      </c>
      <c r="R670" s="39" t="n">
        <v>-0.03787299158377966</v>
      </c>
      <c r="S670" s="39" t="n">
        <v>0.1155054518573277</v>
      </c>
      <c r="T670" s="39" t="n">
        <v>0.1966930351513709</v>
      </c>
      <c r="U670" s="34" t="n">
        <v>56000</v>
      </c>
      <c r="V670" s="34" t="n">
        <v>25400</v>
      </c>
      <c r="W670" s="39" t="n">
        <v>-0.1017857142857143</v>
      </c>
      <c r="X670" s="39" t="n">
        <v>0.9803149606299213</v>
      </c>
      <c r="Y670" s="34" t="n">
        <v>51414494</v>
      </c>
      <c r="Z670" s="34" t="n">
        <v>2586149048200</v>
      </c>
      <c r="AA670" s="34" t="n">
        <v>29994795400</v>
      </c>
      <c r="AB670" s="34" t="n">
        <v>36866002027.5</v>
      </c>
      <c r="AC670" s="39" t="n">
        <v>0.01159824698459543</v>
      </c>
      <c r="AD670" s="32" t="inlineStr">
        <is>
          <t>yfinance_download</t>
        </is>
      </c>
      <c r="AE670" s="32" t="inlineStr">
        <is>
          <t>005290.KQ</t>
        </is>
      </c>
    </row>
    <row r="671" ht="24" customHeight="1">
      <c r="A671" s="27" t="inlineStr">
        <is>
          <t>2026-03-12</t>
        </is>
      </c>
      <c r="B671" s="33" t="n">
        <v>49700</v>
      </c>
      <c r="C671" s="33" t="n">
        <v>50800</v>
      </c>
      <c r="D671" s="33" t="n">
        <v>49200</v>
      </c>
      <c r="E671" s="33" t="n">
        <v>50800</v>
      </c>
      <c r="F671" s="33" t="n">
        <v>50800</v>
      </c>
      <c r="G671" s="33" t="n">
        <v>519470</v>
      </c>
      <c r="H671" s="38" t="n">
        <v>0.00994035785288272</v>
      </c>
      <c r="I671" s="38" t="n">
        <v>-0.09285714285714286</v>
      </c>
      <c r="J671" s="33" t="n">
        <v>52250</v>
      </c>
      <c r="K671" s="33" t="n">
        <v>45294.16666666666</v>
      </c>
      <c r="L671" s="33" t="n">
        <v>42191.66666666666</v>
      </c>
      <c r="M671" s="38" t="n">
        <v>1.019012844432314</v>
      </c>
      <c r="N671" s="38" t="n">
        <v>0.76633299786558</v>
      </c>
      <c r="O671" s="38" t="n">
        <v>-0.01167315175097272</v>
      </c>
      <c r="P671" s="38" t="n">
        <v>0.3143596377749029</v>
      </c>
      <c r="Q671" s="38" t="n">
        <v>0.6025236593059937</v>
      </c>
      <c r="R671" s="38" t="n">
        <v>-0.02775119617224875</v>
      </c>
      <c r="S671" s="38" t="n">
        <v>0.1215572277519181</v>
      </c>
      <c r="T671" s="38" t="n">
        <v>0.2040292316808217</v>
      </c>
      <c r="U671" s="33" t="n">
        <v>56000</v>
      </c>
      <c r="V671" s="33" t="n">
        <v>25400</v>
      </c>
      <c r="W671" s="38" t="n">
        <v>-0.09285714285714286</v>
      </c>
      <c r="X671" s="38" t="n">
        <v>1</v>
      </c>
      <c r="Y671" s="33" t="n">
        <v>51414494</v>
      </c>
      <c r="Z671" s="33" t="n">
        <v>2611856295200</v>
      </c>
      <c r="AA671" s="33" t="n">
        <v>26389076000</v>
      </c>
      <c r="AB671" s="33" t="n">
        <v>36333557517.5</v>
      </c>
      <c r="AC671" s="38" t="n">
        <v>0.01010357118364327</v>
      </c>
      <c r="AD671" s="27" t="inlineStr">
        <is>
          <t>yfinance_download</t>
        </is>
      </c>
      <c r="AE671" s="27" t="inlineStr">
        <is>
          <t>005290.KQ</t>
        </is>
      </c>
    </row>
    <row r="672" ht="24" customHeight="1">
      <c r="A672" s="32" t="inlineStr">
        <is>
          <t>2026-03-13</t>
        </is>
      </c>
      <c r="B672" s="34" t="n">
        <v>49150</v>
      </c>
      <c r="C672" s="34" t="n">
        <v>50500</v>
      </c>
      <c r="D672" s="34" t="n">
        <v>48800</v>
      </c>
      <c r="E672" s="34" t="n">
        <v>50100</v>
      </c>
      <c r="F672" s="34" t="n">
        <v>50100</v>
      </c>
      <c r="G672" s="34" t="n">
        <v>481387</v>
      </c>
      <c r="H672" s="39" t="n">
        <v>-0.01377952755905509</v>
      </c>
      <c r="I672" s="39" t="n">
        <v>-0.1053571428571428</v>
      </c>
      <c r="J672" s="34" t="n">
        <v>52095</v>
      </c>
      <c r="K672" s="34" t="n">
        <v>45490</v>
      </c>
      <c r="L672" s="34" t="n">
        <v>42332.91666666666</v>
      </c>
      <c r="M672" s="39" t="n">
        <v>1.012356200900713</v>
      </c>
      <c r="N672" s="39" t="n">
        <v>0.7668839235763192</v>
      </c>
      <c r="O672" s="39" t="n">
        <v>-0.05827067669172936</v>
      </c>
      <c r="P672" s="39" t="n">
        <v>0.3063885267275097</v>
      </c>
      <c r="Q672" s="39" t="n">
        <v>0.5113122171945701</v>
      </c>
      <c r="R672" s="39" t="n">
        <v>-0.03829542182551104</v>
      </c>
      <c r="S672" s="39" t="n">
        <v>0.1013409540558365</v>
      </c>
      <c r="T672" s="39" t="n">
        <v>0.1834762153170799</v>
      </c>
      <c r="U672" s="34" t="n">
        <v>56000</v>
      </c>
      <c r="V672" s="34" t="n">
        <v>25400</v>
      </c>
      <c r="W672" s="39" t="n">
        <v>-0.1053571428571428</v>
      </c>
      <c r="X672" s="39" t="n">
        <v>0.9724409448818898</v>
      </c>
      <c r="Y672" s="34" t="n">
        <v>51414494</v>
      </c>
      <c r="Z672" s="34" t="n">
        <v>2575866149400</v>
      </c>
      <c r="AA672" s="34" t="n">
        <v>24117488700</v>
      </c>
      <c r="AB672" s="34" t="n">
        <v>35995839272.5</v>
      </c>
      <c r="AC672" s="39" t="n">
        <v>0.00936286565418693</v>
      </c>
      <c r="AD672" s="32" t="inlineStr">
        <is>
          <t>yfinance_download</t>
        </is>
      </c>
      <c r="AE672" s="32" t="inlineStr">
        <is>
          <t>005290.KQ</t>
        </is>
      </c>
    </row>
    <row r="673" ht="24" customHeight="1">
      <c r="A673" s="27" t="inlineStr">
        <is>
          <t>2026-03-16</t>
        </is>
      </c>
      <c r="B673" s="33" t="n">
        <v>50000</v>
      </c>
      <c r="C673" s="33" t="n">
        <v>51000</v>
      </c>
      <c r="D673" s="33" t="n">
        <v>48800</v>
      </c>
      <c r="E673" s="33" t="n">
        <v>50100</v>
      </c>
      <c r="F673" s="33" t="n">
        <v>50100</v>
      </c>
      <c r="G673" s="33" t="n">
        <v>328024</v>
      </c>
      <c r="H673" s="38" t="n">
        <v>0</v>
      </c>
      <c r="I673" s="38" t="n">
        <v>-0.1053571428571428</v>
      </c>
      <c r="J673" s="33" t="n">
        <v>52065</v>
      </c>
      <c r="K673" s="33" t="n">
        <v>45693.33333333334</v>
      </c>
      <c r="L673" s="33" t="n">
        <v>42470.41666666666</v>
      </c>
      <c r="M673" s="38" t="n">
        <v>0.9977052527204384</v>
      </c>
      <c r="N673" s="38" t="n">
        <v>0.7661270113056081</v>
      </c>
      <c r="O673" s="38" t="n">
        <v>-0.01183431952662717</v>
      </c>
      <c r="P673" s="38" t="n">
        <v>0.3218997361477574</v>
      </c>
      <c r="Q673" s="38" t="n">
        <v>0.4910714285714286</v>
      </c>
      <c r="R673" s="38" t="n">
        <v>-0.03774128493229612</v>
      </c>
      <c r="S673" s="38" t="n">
        <v>0.09644003501604903</v>
      </c>
      <c r="T673" s="38" t="n">
        <v>0.1796446546125245</v>
      </c>
      <c r="U673" s="33" t="n">
        <v>56000</v>
      </c>
      <c r="V673" s="33" t="n">
        <v>25400</v>
      </c>
      <c r="W673" s="38" t="n">
        <v>-0.1053571428571428</v>
      </c>
      <c r="X673" s="38" t="n">
        <v>0.9724409448818898</v>
      </c>
      <c r="Y673" s="33" t="n">
        <v>51414494</v>
      </c>
      <c r="Z673" s="33" t="n">
        <v>2575866149400</v>
      </c>
      <c r="AA673" s="33" t="n">
        <v>16434002400</v>
      </c>
      <c r="AB673" s="33" t="n">
        <v>35670332747.5</v>
      </c>
      <c r="AC673" s="38" t="n">
        <v>0.006379990825155257</v>
      </c>
      <c r="AD673" s="27" t="inlineStr">
        <is>
          <t>yfinance_download</t>
        </is>
      </c>
      <c r="AE673" s="27" t="inlineStr">
        <is>
          <t>005290.KQ</t>
        </is>
      </c>
    </row>
    <row r="674" ht="24" customHeight="1">
      <c r="A674" s="32" t="inlineStr">
        <is>
          <t>2026-03-17</t>
        </is>
      </c>
      <c r="B674" s="34" t="n">
        <v>51200</v>
      </c>
      <c r="C674" s="34" t="n">
        <v>51300</v>
      </c>
      <c r="D674" s="34" t="n">
        <v>49150</v>
      </c>
      <c r="E674" s="34" t="n">
        <v>49250</v>
      </c>
      <c r="F674" s="34" t="n">
        <v>49250</v>
      </c>
      <c r="G674" s="34" t="n">
        <v>597186</v>
      </c>
      <c r="H674" s="39" t="n">
        <v>-0.01696606786427146</v>
      </c>
      <c r="I674" s="39" t="n">
        <v>-0.1205357142857143</v>
      </c>
      <c r="J674" s="34" t="n">
        <v>52002.5</v>
      </c>
      <c r="K674" s="34" t="n">
        <v>45885</v>
      </c>
      <c r="L674" s="34" t="n">
        <v>42579.16666666666</v>
      </c>
      <c r="M674" s="39" t="n">
        <v>0.9996824141988754</v>
      </c>
      <c r="N674" s="39" t="n">
        <v>0.7672981003724112</v>
      </c>
      <c r="O674" s="39" t="n">
        <v>-0.02475247524752477</v>
      </c>
      <c r="P674" s="39" t="n">
        <v>0.304635761589404</v>
      </c>
      <c r="Q674" s="39" t="n">
        <v>0.3604972375690607</v>
      </c>
      <c r="R674" s="39" t="n">
        <v>-0.05293014758905823</v>
      </c>
      <c r="S674" s="39" t="n">
        <v>0.07333551269478034</v>
      </c>
      <c r="T674" s="39" t="n">
        <v>0.1566689499951073</v>
      </c>
      <c r="U674" s="34" t="n">
        <v>56000</v>
      </c>
      <c r="V674" s="34" t="n">
        <v>25400</v>
      </c>
      <c r="W674" s="39" t="n">
        <v>-0.1205357142857143</v>
      </c>
      <c r="X674" s="39" t="n">
        <v>0.938976377952756</v>
      </c>
      <c r="Y674" s="34" t="n">
        <v>51414494</v>
      </c>
      <c r="Z674" s="34" t="n">
        <v>2532163829500</v>
      </c>
      <c r="AA674" s="34" t="n">
        <v>29411410500</v>
      </c>
      <c r="AB674" s="34" t="n">
        <v>36055923397.5</v>
      </c>
      <c r="AC674" s="39" t="n">
        <v>0.01161512938355476</v>
      </c>
      <c r="AD674" s="32" t="inlineStr">
        <is>
          <t>yfinance_download</t>
        </is>
      </c>
      <c r="AE674" s="32" t="inlineStr">
        <is>
          <t>005290.KQ</t>
        </is>
      </c>
    </row>
    <row r="675" ht="24" customHeight="1">
      <c r="A675" s="27" t="inlineStr">
        <is>
          <t>2026-03-18</t>
        </is>
      </c>
      <c r="B675" s="33" t="n">
        <v>50100</v>
      </c>
      <c r="C675" s="33" t="n">
        <v>51200</v>
      </c>
      <c r="D675" s="33" t="n">
        <v>49800</v>
      </c>
      <c r="E675" s="33" t="n">
        <v>51200</v>
      </c>
      <c r="F675" s="33" t="n">
        <v>51200</v>
      </c>
      <c r="G675" s="33" t="n">
        <v>581430</v>
      </c>
      <c r="H675" s="38" t="n">
        <v>0.03959390862944168</v>
      </c>
      <c r="I675" s="38" t="n">
        <v>-0.08571428571428574</v>
      </c>
      <c r="J675" s="33" t="n">
        <v>51927.5</v>
      </c>
      <c r="K675" s="33" t="n">
        <v>46129.16666666666</v>
      </c>
      <c r="L675" s="33" t="n">
        <v>42695.83333333334</v>
      </c>
      <c r="M675" s="38" t="n">
        <v>0.9975189299179639</v>
      </c>
      <c r="N675" s="38" t="n">
        <v>0.7663907813833558</v>
      </c>
      <c r="O675" s="38" t="n">
        <v>-0.02846299810246677</v>
      </c>
      <c r="P675" s="38" t="n">
        <v>0.4008207934336525</v>
      </c>
      <c r="Q675" s="38" t="n">
        <v>0.3763440860215055</v>
      </c>
      <c r="R675" s="38" t="n">
        <v>-0.01400991767367965</v>
      </c>
      <c r="S675" s="38" t="n">
        <v>0.1099268358775178</v>
      </c>
      <c r="T675" s="38" t="n">
        <v>0.1991802478774274</v>
      </c>
      <c r="U675" s="33" t="n">
        <v>56000</v>
      </c>
      <c r="V675" s="33" t="n">
        <v>25400</v>
      </c>
      <c r="W675" s="38" t="n">
        <v>-0.08571428571428574</v>
      </c>
      <c r="X675" s="38" t="n">
        <v>1.015748031496063</v>
      </c>
      <c r="Y675" s="33" t="n">
        <v>51414494</v>
      </c>
      <c r="Z675" s="33" t="n">
        <v>2632422092800</v>
      </c>
      <c r="AA675" s="33" t="n">
        <v>29769216000</v>
      </c>
      <c r="AB675" s="33" t="n">
        <v>36018542652.5</v>
      </c>
      <c r="AC675" s="38" t="n">
        <v>0.01130867883285985</v>
      </c>
      <c r="AD675" s="27" t="inlineStr">
        <is>
          <t>yfinance_download</t>
        </is>
      </c>
      <c r="AE675" s="27" t="inlineStr">
        <is>
          <t>005290.KQ</t>
        </is>
      </c>
    </row>
    <row r="676" ht="24" customHeight="1">
      <c r="A676" s="32" t="inlineStr">
        <is>
          <t>2026-03-19</t>
        </is>
      </c>
      <c r="B676" s="34" t="n">
        <v>49650</v>
      </c>
      <c r="C676" s="34" t="n">
        <v>50500</v>
      </c>
      <c r="D676" s="34" t="n">
        <v>48550</v>
      </c>
      <c r="E676" s="34" t="n">
        <v>48550</v>
      </c>
      <c r="F676" s="34" t="n">
        <v>48550</v>
      </c>
      <c r="G676" s="34" t="n">
        <v>665073</v>
      </c>
      <c r="H676" s="39" t="n">
        <v>-0.0517578125</v>
      </c>
      <c r="I676" s="39" t="n">
        <v>-0.1330357142857143</v>
      </c>
      <c r="J676" s="34" t="n">
        <v>51780</v>
      </c>
      <c r="K676" s="34" t="n">
        <v>46347.5</v>
      </c>
      <c r="L676" s="34" t="n">
        <v>42786.66666666666</v>
      </c>
      <c r="M676" s="39" t="n">
        <v>1.011676451160487</v>
      </c>
      <c r="N676" s="39" t="n">
        <v>0.7721070616573229</v>
      </c>
      <c r="O676" s="39" t="n">
        <v>-0.05728155339805829</v>
      </c>
      <c r="P676" s="39" t="n">
        <v>0.3695345557122709</v>
      </c>
      <c r="Q676" s="39" t="n">
        <v>0.2895086321381142</v>
      </c>
      <c r="R676" s="39" t="n">
        <v>-0.06237929702587874</v>
      </c>
      <c r="S676" s="39" t="n">
        <v>0.04752144128593772</v>
      </c>
      <c r="T676" s="39" t="n">
        <v>0.1346992832658149</v>
      </c>
      <c r="U676" s="34" t="n">
        <v>56000</v>
      </c>
      <c r="V676" s="34" t="n">
        <v>25400</v>
      </c>
      <c r="W676" s="39" t="n">
        <v>-0.1330357142857143</v>
      </c>
      <c r="X676" s="39" t="n">
        <v>0.9114173228346456</v>
      </c>
      <c r="Y676" s="34" t="n">
        <v>51414494</v>
      </c>
      <c r="Z676" s="34" t="n">
        <v>2496173683700</v>
      </c>
      <c r="AA676" s="34" t="n">
        <v>32289294150</v>
      </c>
      <c r="AB676" s="34" t="n">
        <v>36632934010</v>
      </c>
      <c r="AC676" s="39" t="n">
        <v>0.01293551580999708</v>
      </c>
      <c r="AD676" s="32" t="inlineStr">
        <is>
          <t>yfinance_download</t>
        </is>
      </c>
      <c r="AE676" s="32" t="inlineStr">
        <is>
          <t>005290.KQ</t>
        </is>
      </c>
    </row>
    <row r="677" ht="24" customHeight="1">
      <c r="A677" s="27" t="inlineStr">
        <is>
          <t>2026-03-20</t>
        </is>
      </c>
      <c r="B677" s="33" t="n">
        <v>49500</v>
      </c>
      <c r="C677" s="33" t="n">
        <v>50400</v>
      </c>
      <c r="D677" s="33" t="n">
        <v>49000</v>
      </c>
      <c r="E677" s="33" t="n">
        <v>49800</v>
      </c>
      <c r="F677" s="33" t="n">
        <v>49800</v>
      </c>
      <c r="G677" s="33" t="n">
        <v>430638</v>
      </c>
      <c r="H677" s="38" t="n">
        <v>0.02574665293511846</v>
      </c>
      <c r="I677" s="38" t="n">
        <v>-0.1107142857142858</v>
      </c>
      <c r="J677" s="33" t="n">
        <v>51545</v>
      </c>
      <c r="K677" s="33" t="n">
        <v>46553.33333333334</v>
      </c>
      <c r="L677" s="33" t="n">
        <v>42890.83333333334</v>
      </c>
      <c r="M677" s="38" t="n">
        <v>0.9928321599284091</v>
      </c>
      <c r="N677" s="38" t="n">
        <v>0.766159588120872</v>
      </c>
      <c r="O677" s="38" t="n">
        <v>-0.08623853211009169</v>
      </c>
      <c r="P677" s="38" t="n">
        <v>0.3297730307076101</v>
      </c>
      <c r="Q677" s="38" t="n">
        <v>0.3351206434316354</v>
      </c>
      <c r="R677" s="38" t="n">
        <v>-0.0338539140556795</v>
      </c>
      <c r="S677" s="38" t="n">
        <v>0.0697407990834884</v>
      </c>
      <c r="T677" s="38" t="n">
        <v>0.1610872564067691</v>
      </c>
      <c r="U677" s="33" t="n">
        <v>56000</v>
      </c>
      <c r="V677" s="33" t="n">
        <v>25400</v>
      </c>
      <c r="W677" s="38" t="n">
        <v>-0.1107142857142858</v>
      </c>
      <c r="X677" s="38" t="n">
        <v>0.9606299212598426</v>
      </c>
      <c r="Y677" s="33" t="n">
        <v>51414494</v>
      </c>
      <c r="Z677" s="33" t="n">
        <v>2560441801200</v>
      </c>
      <c r="AA677" s="33" t="n">
        <v>21445772400</v>
      </c>
      <c r="AB677" s="33" t="n">
        <v>35766028155</v>
      </c>
      <c r="AC677" s="38" t="n">
        <v>0.008375809358349418</v>
      </c>
      <c r="AD677" s="27" t="inlineStr">
        <is>
          <t>yfinance_download</t>
        </is>
      </c>
      <c r="AE677" s="27" t="inlineStr">
        <is>
          <t>005290.KQ</t>
        </is>
      </c>
    </row>
    <row r="678" ht="24" customHeight="1">
      <c r="A678" s="32" t="inlineStr">
        <is>
          <t>2026-03-23</t>
        </is>
      </c>
      <c r="B678" s="34" t="n">
        <v>48650</v>
      </c>
      <c r="C678" s="34" t="n">
        <v>48650</v>
      </c>
      <c r="D678" s="34" t="n">
        <v>44750</v>
      </c>
      <c r="E678" s="34" t="n">
        <v>44950</v>
      </c>
      <c r="F678" s="34" t="n">
        <v>44950</v>
      </c>
      <c r="G678" s="34" t="n">
        <v>708628</v>
      </c>
      <c r="H678" s="39" t="n">
        <v>-0.09738955823293172</v>
      </c>
      <c r="I678" s="39" t="n">
        <v>-0.1973214285714285</v>
      </c>
      <c r="J678" s="34" t="n">
        <v>51057.5</v>
      </c>
      <c r="K678" s="34" t="n">
        <v>46690.83333333334</v>
      </c>
      <c r="L678" s="34" t="n">
        <v>42944.58333333334</v>
      </c>
      <c r="M678" s="39" t="n">
        <v>1.047633553311343</v>
      </c>
      <c r="N678" s="39" t="n">
        <v>0.7932695531342706</v>
      </c>
      <c r="O678" s="39" t="n">
        <v>-0.1782449725776966</v>
      </c>
      <c r="P678" s="39" t="n">
        <v>0.2247956403269755</v>
      </c>
      <c r="Q678" s="39" t="n">
        <v>0.1675324675324674</v>
      </c>
      <c r="R678" s="39" t="n">
        <v>-0.1196200362336581</v>
      </c>
      <c r="S678" s="39" t="n">
        <v>-0.03728426350639857</v>
      </c>
      <c r="T678" s="39" t="n">
        <v>0.04669777911455641</v>
      </c>
      <c r="U678" s="34" t="n">
        <v>56000</v>
      </c>
      <c r="V678" s="34" t="n">
        <v>25400</v>
      </c>
      <c r="W678" s="39" t="n">
        <v>-0.1973214285714285</v>
      </c>
      <c r="X678" s="39" t="n">
        <v>0.7696850393700787</v>
      </c>
      <c r="Y678" s="34" t="n">
        <v>51414494</v>
      </c>
      <c r="Z678" s="34" t="n">
        <v>2311081505300</v>
      </c>
      <c r="AA678" s="34" t="n">
        <v>31852828600</v>
      </c>
      <c r="AB678" s="34" t="n">
        <v>35954211530</v>
      </c>
      <c r="AC678" s="39" t="n">
        <v>0.01378265047206338</v>
      </c>
      <c r="AD678" s="32" t="inlineStr">
        <is>
          <t>yfinance_download</t>
        </is>
      </c>
      <c r="AE678" s="32" t="inlineStr">
        <is>
          <t>005290.KQ</t>
        </is>
      </c>
    </row>
    <row r="679" ht="24" customHeight="1">
      <c r="A679" s="27" t="inlineStr">
        <is>
          <t>2026-03-24</t>
        </is>
      </c>
      <c r="B679" s="33" t="n">
        <v>47150</v>
      </c>
      <c r="C679" s="33" t="n">
        <v>49350</v>
      </c>
      <c r="D679" s="33" t="n">
        <v>44850</v>
      </c>
      <c r="E679" s="33" t="n">
        <v>48200</v>
      </c>
      <c r="F679" s="33" t="n">
        <v>48200</v>
      </c>
      <c r="G679" s="33" t="n">
        <v>671057</v>
      </c>
      <c r="H679" s="38" t="n">
        <v>0.0723025583982202</v>
      </c>
      <c r="I679" s="38" t="n">
        <v>-0.1392857142857142</v>
      </c>
      <c r="J679" s="33" t="n">
        <v>50842.5</v>
      </c>
      <c r="K679" s="33" t="n">
        <v>46876.66666666666</v>
      </c>
      <c r="L679" s="33" t="n">
        <v>43021.66666666666</v>
      </c>
      <c r="M679" s="38" t="n">
        <v>1.076998174475588</v>
      </c>
      <c r="N679" s="38" t="n">
        <v>0.8052700346428758</v>
      </c>
      <c r="O679" s="38" t="n">
        <v>-0.08190476190476192</v>
      </c>
      <c r="P679" s="38" t="n">
        <v>0.3009446693657221</v>
      </c>
      <c r="Q679" s="38" t="n">
        <v>0.2374839537869062</v>
      </c>
      <c r="R679" s="38" t="n">
        <v>-0.05197423415449676</v>
      </c>
      <c r="S679" s="38" t="n">
        <v>0.02823010737396014</v>
      </c>
      <c r="T679" s="38" t="n">
        <v>0.1203657072017976</v>
      </c>
      <c r="U679" s="33" t="n">
        <v>56000</v>
      </c>
      <c r="V679" s="33" t="n">
        <v>25400</v>
      </c>
      <c r="W679" s="38" t="n">
        <v>-0.1392857142857142</v>
      </c>
      <c r="X679" s="38" t="n">
        <v>0.8976377952755905</v>
      </c>
      <c r="Y679" s="33" t="n">
        <v>51414494</v>
      </c>
      <c r="Z679" s="33" t="n">
        <v>2478178610800</v>
      </c>
      <c r="AA679" s="33" t="n">
        <v>32344947400</v>
      </c>
      <c r="AB679" s="33" t="n">
        <v>35676880900</v>
      </c>
      <c r="AC679" s="38" t="n">
        <v>0.01305190322402084</v>
      </c>
      <c r="AD679" s="27" t="inlineStr">
        <is>
          <t>yfinance_download</t>
        </is>
      </c>
      <c r="AE679" s="27" t="inlineStr">
        <is>
          <t>005290.KQ</t>
        </is>
      </c>
    </row>
    <row r="680" ht="24" customHeight="1">
      <c r="A680" s="32" t="inlineStr">
        <is>
          <t>2026-03-25</t>
        </is>
      </c>
      <c r="B680" s="34" t="n">
        <v>48800</v>
      </c>
      <c r="C680" s="34" t="n">
        <v>50200</v>
      </c>
      <c r="D680" s="34" t="n">
        <v>48200</v>
      </c>
      <c r="E680" s="34" t="n">
        <v>50000</v>
      </c>
      <c r="F680" s="34" t="n">
        <v>50000</v>
      </c>
      <c r="G680" s="34" t="n">
        <v>584343</v>
      </c>
      <c r="H680" s="39" t="n">
        <v>0.03734439834024905</v>
      </c>
      <c r="I680" s="39" t="n">
        <v>-0.1071428571428571</v>
      </c>
      <c r="J680" s="34" t="n">
        <v>50657.5</v>
      </c>
      <c r="K680" s="34" t="n">
        <v>47080</v>
      </c>
      <c r="L680" s="34" t="n">
        <v>43093.75</v>
      </c>
      <c r="M680" s="39" t="n">
        <v>1.08265429160695</v>
      </c>
      <c r="N680" s="39" t="n">
        <v>0.807352406033192</v>
      </c>
      <c r="O680" s="39" t="n">
        <v>-0.06890130353817503</v>
      </c>
      <c r="P680" s="39" t="n">
        <v>0.3227513227513228</v>
      </c>
      <c r="Q680" s="39" t="n">
        <v>0.2091898428053205</v>
      </c>
      <c r="R680" s="39" t="n">
        <v>-0.01297932191679418</v>
      </c>
      <c r="S680" s="39" t="n">
        <v>0.06202209005947323</v>
      </c>
      <c r="T680" s="39" t="n">
        <v>0.1602610587382161</v>
      </c>
      <c r="U680" s="34" t="n">
        <v>56000</v>
      </c>
      <c r="V680" s="34" t="n">
        <v>25400</v>
      </c>
      <c r="W680" s="39" t="n">
        <v>-0.1071428571428571</v>
      </c>
      <c r="X680" s="39" t="n">
        <v>0.9685039370078741</v>
      </c>
      <c r="Y680" s="34" t="n">
        <v>51414494</v>
      </c>
      <c r="Z680" s="34" t="n">
        <v>2570724700000</v>
      </c>
      <c r="AA680" s="34" t="n">
        <v>29217150000</v>
      </c>
      <c r="AB680" s="34" t="n">
        <v>35891662120</v>
      </c>
      <c r="AC680" s="39" t="n">
        <v>0.01136533600816921</v>
      </c>
      <c r="AD680" s="32" t="inlineStr">
        <is>
          <t>yfinance_download</t>
        </is>
      </c>
      <c r="AE680" s="32" t="inlineStr">
        <is>
          <t>005290.KQ</t>
        </is>
      </c>
    </row>
    <row r="681" ht="24" customHeight="1">
      <c r="A681" s="27" t="inlineStr">
        <is>
          <t>2026-03-26</t>
        </is>
      </c>
      <c r="B681" s="33" t="n">
        <v>49350</v>
      </c>
      <c r="C681" s="33" t="n">
        <v>51000</v>
      </c>
      <c r="D681" s="33" t="n">
        <v>46950</v>
      </c>
      <c r="E681" s="33" t="n">
        <v>46950</v>
      </c>
      <c r="F681" s="33" t="n">
        <v>46950</v>
      </c>
      <c r="G681" s="33" t="n">
        <v>495878</v>
      </c>
      <c r="H681" s="38" t="n">
        <v>-0.06100000000000005</v>
      </c>
      <c r="I681" s="38" t="n">
        <v>-0.1616071428571428</v>
      </c>
      <c r="J681" s="33" t="n">
        <v>50355</v>
      </c>
      <c r="K681" s="33" t="n">
        <v>47230.83333333334</v>
      </c>
      <c r="L681" s="33" t="n">
        <v>43140.41666666666</v>
      </c>
      <c r="M681" s="38" t="n">
        <v>1.102737282151068</v>
      </c>
      <c r="N681" s="38" t="n">
        <v>0.8189183803992832</v>
      </c>
      <c r="O681" s="38" t="n">
        <v>-0.1141509433962264</v>
      </c>
      <c r="P681" s="38" t="n">
        <v>0.2387862796833773</v>
      </c>
      <c r="Q681" s="38" t="n">
        <v>0.1354292623941959</v>
      </c>
      <c r="R681" s="38" t="n">
        <v>-0.06761989871909446</v>
      </c>
      <c r="S681" s="38" t="n">
        <v>-0.005945974557580724</v>
      </c>
      <c r="T681" s="38" t="n">
        <v>0.08830659570974642</v>
      </c>
      <c r="U681" s="33" t="n">
        <v>56000</v>
      </c>
      <c r="V681" s="33" t="n">
        <v>25400</v>
      </c>
      <c r="W681" s="38" t="n">
        <v>-0.1616071428571428</v>
      </c>
      <c r="X681" s="38" t="n">
        <v>0.8484251968503937</v>
      </c>
      <c r="Y681" s="33" t="n">
        <v>51414494</v>
      </c>
      <c r="Z681" s="33" t="n">
        <v>2413910493300</v>
      </c>
      <c r="AA681" s="33" t="n">
        <v>23281472100</v>
      </c>
      <c r="AB681" s="33" t="n">
        <v>35956263975</v>
      </c>
      <c r="AC681" s="38" t="n">
        <v>0.009644712247873138</v>
      </c>
      <c r="AD681" s="27" t="inlineStr">
        <is>
          <t>yfinance_download</t>
        </is>
      </c>
      <c r="AE681" s="27" t="inlineStr">
        <is>
          <t>005290.KQ</t>
        </is>
      </c>
    </row>
    <row r="682" ht="24" customHeight="1">
      <c r="A682" s="32" t="inlineStr">
        <is>
          <t>2026-03-27</t>
        </is>
      </c>
      <c r="B682" s="34" t="n">
        <v>46550</v>
      </c>
      <c r="C682" s="34" t="n">
        <v>47000</v>
      </c>
      <c r="D682" s="34" t="n">
        <v>44300</v>
      </c>
      <c r="E682" s="34" t="n">
        <v>46500</v>
      </c>
      <c r="F682" s="34" t="n">
        <v>46500</v>
      </c>
      <c r="G682" s="34" t="n">
        <v>525099</v>
      </c>
      <c r="H682" s="39" t="n">
        <v>-0.009584664536741228</v>
      </c>
      <c r="I682" s="39" t="n">
        <v>-0.1696428571428571</v>
      </c>
      <c r="J682" s="34" t="n">
        <v>49915</v>
      </c>
      <c r="K682" s="34" t="n">
        <v>47381.66666666666</v>
      </c>
      <c r="L682" s="34" t="n">
        <v>43179.16666666666</v>
      </c>
      <c r="M682" s="39" t="n">
        <v>1.088659122110282</v>
      </c>
      <c r="N682" s="39" t="n">
        <v>0.8187317044133721</v>
      </c>
      <c r="O682" s="39" t="n">
        <v>-0.159132007233273</v>
      </c>
      <c r="P682" s="39" t="n">
        <v>0.2416555407209613</v>
      </c>
      <c r="Q682" s="39" t="n">
        <v>0.1111111111111112</v>
      </c>
      <c r="R682" s="39" t="n">
        <v>-0.06841630772312934</v>
      </c>
      <c r="S682" s="39" t="n">
        <v>-0.01860775968201478</v>
      </c>
      <c r="T682" s="39" t="n">
        <v>0.07690823120717938</v>
      </c>
      <c r="U682" s="34" t="n">
        <v>56000</v>
      </c>
      <c r="V682" s="34" t="n">
        <v>25400</v>
      </c>
      <c r="W682" s="39" t="n">
        <v>-0.1696428571428571</v>
      </c>
      <c r="X682" s="39" t="n">
        <v>0.8307086614173229</v>
      </c>
      <c r="Y682" s="34" t="n">
        <v>51414494</v>
      </c>
      <c r="Z682" s="34" t="n">
        <v>2390773971000</v>
      </c>
      <c r="AA682" s="34" t="n">
        <v>24417103500</v>
      </c>
      <c r="AB682" s="34" t="n">
        <v>34847761490</v>
      </c>
      <c r="AC682" s="39" t="n">
        <v>0.01021305392988989</v>
      </c>
      <c r="AD682" s="32" t="inlineStr">
        <is>
          <t>yfinance_download</t>
        </is>
      </c>
      <c r="AE682" s="32" t="inlineStr">
        <is>
          <t>005290.KQ</t>
        </is>
      </c>
    </row>
    <row r="683" ht="24" customHeight="1">
      <c r="A683" s="27" t="inlineStr">
        <is>
          <t>2026-03-30</t>
        </is>
      </c>
      <c r="B683" s="33" t="n">
        <v>44250</v>
      </c>
      <c r="C683" s="33" t="n">
        <v>45000</v>
      </c>
      <c r="D683" s="33" t="n">
        <v>43650</v>
      </c>
      <c r="E683" s="33" t="n">
        <v>44000</v>
      </c>
      <c r="F683" s="33" t="n">
        <v>44000</v>
      </c>
      <c r="G683" s="33" t="n">
        <v>381851</v>
      </c>
      <c r="H683" s="38" t="n">
        <v>-0.05376344086021501</v>
      </c>
      <c r="I683" s="38" t="n">
        <v>-0.2142857142857143</v>
      </c>
      <c r="J683" s="33" t="n">
        <v>49370</v>
      </c>
      <c r="K683" s="33" t="n">
        <v>47479.16666666666</v>
      </c>
      <c r="L683" s="33" t="n">
        <v>43200</v>
      </c>
      <c r="M683" s="38" t="n">
        <v>1.101600295725194</v>
      </c>
      <c r="N683" s="38" t="n">
        <v>0.8269527776728062</v>
      </c>
      <c r="O683" s="38" t="n">
        <v>-0.1985428051001822</v>
      </c>
      <c r="P683" s="38" t="n">
        <v>0.1533420707732633</v>
      </c>
      <c r="Q683" s="38" t="n">
        <v>0.06024096385542177</v>
      </c>
      <c r="R683" s="38" t="n">
        <v>-0.1087705084059145</v>
      </c>
      <c r="S683" s="38" t="n">
        <v>-0.07327775340061427</v>
      </c>
      <c r="T683" s="38" t="n">
        <v>0.0185185185185186</v>
      </c>
      <c r="U683" s="33" t="n">
        <v>56000</v>
      </c>
      <c r="V683" s="33" t="n">
        <v>25400</v>
      </c>
      <c r="W683" s="38" t="n">
        <v>-0.2142857142857143</v>
      </c>
      <c r="X683" s="38" t="n">
        <v>0.7322834645669292</v>
      </c>
      <c r="Y683" s="33" t="n">
        <v>51414494</v>
      </c>
      <c r="Z683" s="33" t="n">
        <v>2262237736000</v>
      </c>
      <c r="AA683" s="33" t="n">
        <v>16801444000</v>
      </c>
      <c r="AB683" s="33" t="n">
        <v>33724068925</v>
      </c>
      <c r="AC683" s="38" t="n">
        <v>0.007426913508085871</v>
      </c>
      <c r="AD683" s="27" t="inlineStr">
        <is>
          <t>yfinance_download</t>
        </is>
      </c>
      <c r="AE683" s="27" t="inlineStr">
        <is>
          <t>005290.KQ</t>
        </is>
      </c>
    </row>
    <row r="684" ht="24" customHeight="1">
      <c r="A684" s="32" t="inlineStr">
        <is>
          <t>2026-03-31</t>
        </is>
      </c>
      <c r="B684" s="34" t="n">
        <v>43500</v>
      </c>
      <c r="C684" s="34" t="n">
        <v>47400</v>
      </c>
      <c r="D684" s="34" t="n">
        <v>41850</v>
      </c>
      <c r="E684" s="34" t="n">
        <v>44250</v>
      </c>
      <c r="F684" s="34" t="n">
        <v>44250</v>
      </c>
      <c r="G684" s="34" t="n">
        <v>787452</v>
      </c>
      <c r="H684" s="39" t="n">
        <v>0.005681818181818121</v>
      </c>
      <c r="I684" s="39" t="n">
        <v>-0.2098214285714286</v>
      </c>
      <c r="J684" s="34" t="n">
        <v>48937.5</v>
      </c>
      <c r="K684" s="34" t="n">
        <v>47604.16666666666</v>
      </c>
      <c r="L684" s="34" t="n">
        <v>43232.08333333334</v>
      </c>
      <c r="M684" s="39" t="n">
        <v>1.097674160243349</v>
      </c>
      <c r="N684" s="39" t="n">
        <v>0.8226558047819227</v>
      </c>
      <c r="O684" s="39" t="n">
        <v>-0.1635160680529301</v>
      </c>
      <c r="P684" s="39" t="n">
        <v>0.2040816326530612</v>
      </c>
      <c r="Q684" s="39" t="n">
        <v>0.09529702970297027</v>
      </c>
      <c r="R684" s="39" t="n">
        <v>-0.09578544061302685</v>
      </c>
      <c r="S684" s="39" t="n">
        <v>-0.07045951859956234</v>
      </c>
      <c r="T684" s="39" t="n">
        <v>0.02354539934654998</v>
      </c>
      <c r="U684" s="34" t="n">
        <v>56000</v>
      </c>
      <c r="V684" s="34" t="n">
        <v>25400</v>
      </c>
      <c r="W684" s="39" t="n">
        <v>-0.2098214285714286</v>
      </c>
      <c r="X684" s="39" t="n">
        <v>0.7421259842519685</v>
      </c>
      <c r="Y684" s="34" t="n">
        <v>51414494</v>
      </c>
      <c r="Z684" s="34" t="n">
        <v>2275091359500</v>
      </c>
      <c r="AA684" s="34" t="n">
        <v>34844751000</v>
      </c>
      <c r="AB684" s="34" t="n">
        <v>31916089610</v>
      </c>
      <c r="AC684" s="39" t="n">
        <v>0.01531575901534692</v>
      </c>
      <c r="AD684" s="32" t="inlineStr">
        <is>
          <t>yfinance_download</t>
        </is>
      </c>
      <c r="AE684" s="32" t="inlineStr">
        <is>
          <t>005290.KQ</t>
        </is>
      </c>
    </row>
    <row r="685" ht="24" customHeight="1">
      <c r="A685" s="27" t="inlineStr">
        <is>
          <t>2026-04-01</t>
        </is>
      </c>
      <c r="B685" s="33" t="n">
        <v>46950</v>
      </c>
      <c r="C685" s="33" t="n">
        <v>48550</v>
      </c>
      <c r="D685" s="33" t="n">
        <v>46650</v>
      </c>
      <c r="E685" s="33" t="n">
        <v>48550</v>
      </c>
      <c r="F685" s="33" t="n">
        <v>48550</v>
      </c>
      <c r="G685" s="33" t="n">
        <v>440563</v>
      </c>
      <c r="H685" s="38" t="n">
        <v>0.0971751412429378</v>
      </c>
      <c r="I685" s="38" t="n">
        <v>-0.1330357142857143</v>
      </c>
      <c r="J685" s="33" t="n">
        <v>49107.5</v>
      </c>
      <c r="K685" s="33" t="n">
        <v>47802.5</v>
      </c>
      <c r="L685" s="33" t="n">
        <v>43295.83333333334</v>
      </c>
      <c r="M685" s="38" t="n">
        <v>1.024057330575378</v>
      </c>
      <c r="N685" s="38" t="n">
        <v>0.8441427106647055</v>
      </c>
      <c r="O685" s="38" t="n">
        <v>0.07530454042081947</v>
      </c>
      <c r="P685" s="38" t="n">
        <v>0.324693042291951</v>
      </c>
      <c r="Q685" s="38" t="n">
        <v>0.1870415647921759</v>
      </c>
      <c r="R685" s="38" t="n">
        <v>-0.01135264470803854</v>
      </c>
      <c r="S685" s="38" t="n">
        <v>0.01563725746561362</v>
      </c>
      <c r="T685" s="38" t="n">
        <v>0.12135501876624</v>
      </c>
      <c r="U685" s="33" t="n">
        <v>56000</v>
      </c>
      <c r="V685" s="33" t="n">
        <v>25400</v>
      </c>
      <c r="W685" s="38" t="n">
        <v>-0.1330357142857143</v>
      </c>
      <c r="X685" s="38" t="n">
        <v>0.9114173228346456</v>
      </c>
      <c r="Y685" s="33" t="n">
        <v>51414494</v>
      </c>
      <c r="Z685" s="33" t="n">
        <v>2496173683700</v>
      </c>
      <c r="AA685" s="33" t="n">
        <v>21389333650</v>
      </c>
      <c r="AB685" s="33" t="n">
        <v>30666081145</v>
      </c>
      <c r="AC685" s="38" t="n">
        <v>0.008568848309583675</v>
      </c>
      <c r="AD685" s="27" t="inlineStr">
        <is>
          <t>yfinance_download</t>
        </is>
      </c>
      <c r="AE685" s="27" t="inlineStr">
        <is>
          <t>005290.KQ</t>
        </is>
      </c>
    </row>
    <row r="686" ht="24" customHeight="1">
      <c r="A686" s="32" t="inlineStr">
        <is>
          <t>2026-04-02</t>
        </is>
      </c>
      <c r="B686" s="34" t="n">
        <v>48450</v>
      </c>
      <c r="C686" s="34" t="n">
        <v>48950</v>
      </c>
      <c r="D686" s="34" t="n">
        <v>45350</v>
      </c>
      <c r="E686" s="34" t="n">
        <v>46200</v>
      </c>
      <c r="F686" s="34" t="n">
        <v>46200</v>
      </c>
      <c r="G686" s="34" t="n">
        <v>714915</v>
      </c>
      <c r="H686" s="39" t="n">
        <v>-0.0484037075180227</v>
      </c>
      <c r="I686" s="39" t="n">
        <v>-0.175</v>
      </c>
      <c r="J686" s="34" t="n">
        <v>48832.5</v>
      </c>
      <c r="K686" s="34" t="n">
        <v>47911.66666666666</v>
      </c>
      <c r="L686" s="34" t="n">
        <v>43337.91666666666</v>
      </c>
      <c r="M686" s="39" t="n">
        <v>0.8969451176732505</v>
      </c>
      <c r="N686" s="39" t="n">
        <v>0.8363819727152199</v>
      </c>
      <c r="O686" s="39" t="n">
        <v>-0.1063829787234043</v>
      </c>
      <c r="P686" s="39" t="n">
        <v>0.1651954602774275</v>
      </c>
      <c r="Q686" s="39" t="n">
        <v>0.1227217496962334</v>
      </c>
      <c r="R686" s="39" t="n">
        <v>-0.0539087697742282</v>
      </c>
      <c r="S686" s="39" t="n">
        <v>-0.0357254670052527</v>
      </c>
      <c r="T686" s="39" t="n">
        <v>0.06604109180759732</v>
      </c>
      <c r="U686" s="34" t="n">
        <v>56000</v>
      </c>
      <c r="V686" s="34" t="n">
        <v>25400</v>
      </c>
      <c r="W686" s="39" t="n">
        <v>-0.175</v>
      </c>
      <c r="X686" s="39" t="n">
        <v>0.8188976377952757</v>
      </c>
      <c r="Y686" s="34" t="n">
        <v>51414494</v>
      </c>
      <c r="Z686" s="34" t="n">
        <v>2375349622800</v>
      </c>
      <c r="AA686" s="34" t="n">
        <v>33029073000</v>
      </c>
      <c r="AB686" s="34" t="n">
        <v>29527872590</v>
      </c>
      <c r="AC686" s="39" t="n">
        <v>0.0139049311659082</v>
      </c>
      <c r="AD686" s="32" t="inlineStr">
        <is>
          <t>yfinance_download</t>
        </is>
      </c>
      <c r="AE686" s="32" t="inlineStr">
        <is>
          <t>005290.KQ</t>
        </is>
      </c>
    </row>
    <row r="687" ht="24" customHeight="1">
      <c r="A687" s="27" t="inlineStr">
        <is>
          <t>2026-04-03</t>
        </is>
      </c>
      <c r="B687" s="33" t="n">
        <v>47150</v>
      </c>
      <c r="C687" s="33" t="n">
        <v>47475</v>
      </c>
      <c r="D687" s="33" t="n">
        <v>45100</v>
      </c>
      <c r="E687" s="33" t="n">
        <v>46000</v>
      </c>
      <c r="F687" s="33" t="n">
        <v>46000</v>
      </c>
      <c r="G687" s="33" t="n">
        <v>390752</v>
      </c>
      <c r="H687" s="38" t="n">
        <v>-0.004329004329004293</v>
      </c>
      <c r="I687" s="38" t="n">
        <v>-0.1785714285714286</v>
      </c>
      <c r="J687" s="33" t="n">
        <v>48382.5</v>
      </c>
      <c r="K687" s="33" t="n">
        <v>48000</v>
      </c>
      <c r="L687" s="33" t="n">
        <v>43361.66666666666</v>
      </c>
      <c r="M687" s="38" t="n">
        <v>0.8603847232162104</v>
      </c>
      <c r="N687" s="38" t="n">
        <v>0.8352146732032855</v>
      </c>
      <c r="O687" s="38" t="n">
        <v>-0.1636363636363637</v>
      </c>
      <c r="P687" s="38" t="n">
        <v>0.1302211302211302</v>
      </c>
      <c r="Q687" s="38" t="n">
        <v>0.0660486674391656</v>
      </c>
      <c r="R687" s="38" t="n">
        <v>-0.04924301141941823</v>
      </c>
      <c r="S687" s="38" t="n">
        <v>-0.04166666666666663</v>
      </c>
      <c r="T687" s="38" t="n">
        <v>0.06084483222508363</v>
      </c>
      <c r="U687" s="33" t="n">
        <v>56000</v>
      </c>
      <c r="V687" s="33" t="n">
        <v>25400</v>
      </c>
      <c r="W687" s="38" t="n">
        <v>-0.1785714285714286</v>
      </c>
      <c r="X687" s="38" t="n">
        <v>0.811023622047244</v>
      </c>
      <c r="Y687" s="33" t="n">
        <v>51414494</v>
      </c>
      <c r="Z687" s="33" t="n">
        <v>2365066724000</v>
      </c>
      <c r="AA687" s="33" t="n">
        <v>17974592000</v>
      </c>
      <c r="AB687" s="33" t="n">
        <v>27304653690</v>
      </c>
      <c r="AC687" s="38" t="n">
        <v>0.007600035896492534</v>
      </c>
      <c r="AD687" s="27" t="inlineStr">
        <is>
          <t>yfinance_download</t>
        </is>
      </c>
      <c r="AE687" s="27" t="inlineStr">
        <is>
          <t>005290.KQ</t>
        </is>
      </c>
    </row>
    <row r="688" ht="24" customHeight="1">
      <c r="A688" s="32" t="inlineStr">
        <is>
          <t>2026-04-06</t>
        </is>
      </c>
      <c r="B688" s="34" t="n">
        <v>46050</v>
      </c>
      <c r="C688" s="34" t="n">
        <v>46800</v>
      </c>
      <c r="D688" s="34" t="n">
        <v>44500</v>
      </c>
      <c r="E688" s="34" t="n">
        <v>45000</v>
      </c>
      <c r="F688" s="34" t="n">
        <v>45000</v>
      </c>
      <c r="G688" s="34" t="n">
        <v>477394</v>
      </c>
      <c r="H688" s="39" t="n">
        <v>-0.02173913043478259</v>
      </c>
      <c r="I688" s="39" t="n">
        <v>-0.1964285714285714</v>
      </c>
      <c r="J688" s="34" t="n">
        <v>48165</v>
      </c>
      <c r="K688" s="34" t="n">
        <v>48065</v>
      </c>
      <c r="L688" s="34" t="n">
        <v>43370</v>
      </c>
      <c r="M688" s="39" t="n">
        <v>0.7863236899671736</v>
      </c>
      <c r="N688" s="39" t="n">
        <v>0.836682147860289</v>
      </c>
      <c r="O688" s="39" t="n">
        <v>-0.08814589665653494</v>
      </c>
      <c r="P688" s="39" t="n">
        <v>0.0948905109489051</v>
      </c>
      <c r="Q688" s="39" t="n">
        <v>0.02272727272727271</v>
      </c>
      <c r="R688" s="39" t="n">
        <v>-0.06571161631890376</v>
      </c>
      <c r="S688" s="39" t="n">
        <v>-0.06376781441797563</v>
      </c>
      <c r="T688" s="39" t="n">
        <v>0.03758358312197374</v>
      </c>
      <c r="U688" s="34" t="n">
        <v>56000</v>
      </c>
      <c r="V688" s="34" t="n">
        <v>25400</v>
      </c>
      <c r="W688" s="39" t="n">
        <v>-0.1964285714285714</v>
      </c>
      <c r="X688" s="39" t="n">
        <v>0.7716535433070866</v>
      </c>
      <c r="Y688" s="34" t="n">
        <v>51414494</v>
      </c>
      <c r="Z688" s="34" t="n">
        <v>2313652230000</v>
      </c>
      <c r="AA688" s="34" t="n">
        <v>21482730000</v>
      </c>
      <c r="AB688" s="34" t="n">
        <v>26515719120</v>
      </c>
      <c r="AC688" s="39" t="n">
        <v>0.009285202729020342</v>
      </c>
      <c r="AD688" s="32" t="inlineStr">
        <is>
          <t>yfinance_download</t>
        </is>
      </c>
      <c r="AE688" s="32" t="inlineStr">
        <is>
          <t>005290.KQ</t>
        </is>
      </c>
    </row>
    <row r="689" ht="24" customHeight="1">
      <c r="A689" s="27" t="inlineStr">
        <is>
          <t>2026-04-07</t>
        </is>
      </c>
      <c r="B689" s="33" t="n">
        <v>46500</v>
      </c>
      <c r="C689" s="33" t="n">
        <v>47000</v>
      </c>
      <c r="D689" s="33" t="n">
        <v>43650</v>
      </c>
      <c r="E689" s="33" t="n">
        <v>44750</v>
      </c>
      <c r="F689" s="33" t="n">
        <v>44750</v>
      </c>
      <c r="G689" s="33" t="n">
        <v>690785</v>
      </c>
      <c r="H689" s="38" t="n">
        <v>-0.005555555555555536</v>
      </c>
      <c r="I689" s="38" t="n">
        <v>-0.2008928571428571</v>
      </c>
      <c r="J689" s="33" t="n">
        <v>47772.5</v>
      </c>
      <c r="K689" s="33" t="n">
        <v>48126.66666666666</v>
      </c>
      <c r="L689" s="33" t="n">
        <v>43352.5</v>
      </c>
      <c r="M689" s="38" t="n">
        <v>0.7424914476853944</v>
      </c>
      <c r="N689" s="38" t="n">
        <v>0.8368201259074304</v>
      </c>
      <c r="O689" s="38" t="n">
        <v>-0.1492395437262357</v>
      </c>
      <c r="P689" s="38" t="n">
        <v>0.09013398294762487</v>
      </c>
      <c r="Q689" s="38" t="n">
        <v>-0.04482390608324438</v>
      </c>
      <c r="R689" s="38" t="n">
        <v>-0.06326861688209739</v>
      </c>
      <c r="S689" s="38" t="n">
        <v>-0.07016207230918403</v>
      </c>
      <c r="T689" s="38" t="n">
        <v>0.03223574188339762</v>
      </c>
      <c r="U689" s="33" t="n">
        <v>56000</v>
      </c>
      <c r="V689" s="33" t="n">
        <v>25400</v>
      </c>
      <c r="W689" s="38" t="n">
        <v>-0.2008928571428571</v>
      </c>
      <c r="X689" s="38" t="n">
        <v>0.7618110236220472</v>
      </c>
      <c r="Y689" s="33" t="n">
        <v>51414494</v>
      </c>
      <c r="Z689" s="33" t="n">
        <v>2300798606500</v>
      </c>
      <c r="AA689" s="33" t="n">
        <v>30912628750</v>
      </c>
      <c r="AB689" s="33" t="n">
        <v>26369955477.5</v>
      </c>
      <c r="AC689" s="38" t="n">
        <v>0.01343560825474622</v>
      </c>
      <c r="AD689" s="27" t="inlineStr">
        <is>
          <t>yfinance_download</t>
        </is>
      </c>
      <c r="AE689" s="27" t="inlineStr">
        <is>
          <t>005290.KQ</t>
        </is>
      </c>
    </row>
    <row r="690" ht="24" customHeight="1">
      <c r="A690" s="32" t="inlineStr">
        <is>
          <t>2026-04-08</t>
        </is>
      </c>
      <c r="B690" s="34" t="n">
        <v>47000</v>
      </c>
      <c r="C690" s="34" t="n">
        <v>48400</v>
      </c>
      <c r="D690" s="34" t="n">
        <v>46250</v>
      </c>
      <c r="E690" s="34" t="n">
        <v>47900</v>
      </c>
      <c r="F690" s="34" t="n">
        <v>47900</v>
      </c>
      <c r="G690" s="34" t="n">
        <v>1298968</v>
      </c>
      <c r="H690" s="39" t="n">
        <v>0.07039106145251406</v>
      </c>
      <c r="I690" s="39" t="n">
        <v>-0.1446428571428572</v>
      </c>
      <c r="J690" s="34" t="n">
        <v>47652.5</v>
      </c>
      <c r="K690" s="34" t="n">
        <v>48243.33333333334</v>
      </c>
      <c r="L690" s="34" t="n">
        <v>43371.25</v>
      </c>
      <c r="M690" s="39" t="n">
        <v>0.7773272479243932</v>
      </c>
      <c r="N690" s="39" t="n">
        <v>0.8480613841395825</v>
      </c>
      <c r="O690" s="39" t="n">
        <v>-0.04771371769383703</v>
      </c>
      <c r="P690" s="39" t="n">
        <v>0.1711491442542787</v>
      </c>
      <c r="Q690" s="39" t="n">
        <v>0.04928806133625407</v>
      </c>
      <c r="R690" s="39" t="n">
        <v>0.005193851319448051</v>
      </c>
      <c r="S690" s="39" t="n">
        <v>-0.007116700062184789</v>
      </c>
      <c r="T690" s="39" t="n">
        <v>0.1044182494163761</v>
      </c>
      <c r="U690" s="34" t="n">
        <v>56000</v>
      </c>
      <c r="V690" s="34" t="n">
        <v>25400</v>
      </c>
      <c r="W690" s="39" t="n">
        <v>-0.1446428571428572</v>
      </c>
      <c r="X690" s="39" t="n">
        <v>0.8858267716535433</v>
      </c>
      <c r="Y690" s="34" t="n">
        <v>51414494</v>
      </c>
      <c r="Z690" s="34" t="n">
        <v>2462754262600</v>
      </c>
      <c r="AA690" s="34" t="n">
        <v>62220567200</v>
      </c>
      <c r="AB690" s="34" t="n">
        <v>27981244067.5</v>
      </c>
      <c r="AC690" s="39" t="n">
        <v>0.02526462674124538</v>
      </c>
      <c r="AD690" s="32" t="inlineStr">
        <is>
          <t>yfinance_download</t>
        </is>
      </c>
      <c r="AE690" s="32" t="inlineStr">
        <is>
          <t>005290.KQ</t>
        </is>
      </c>
    </row>
    <row r="691" ht="24" customHeight="1">
      <c r="A691" s="27" t="inlineStr">
        <is>
          <t>2026-04-09</t>
        </is>
      </c>
      <c r="B691" s="33" t="n">
        <v>47100</v>
      </c>
      <c r="C691" s="33" t="n">
        <v>48300</v>
      </c>
      <c r="D691" s="33" t="n">
        <v>45050</v>
      </c>
      <c r="E691" s="33" t="n">
        <v>45050</v>
      </c>
      <c r="F691" s="33" t="n">
        <v>45050</v>
      </c>
      <c r="G691" s="33" t="n">
        <v>2424287</v>
      </c>
      <c r="H691" s="38" t="n">
        <v>-0.05949895615866385</v>
      </c>
      <c r="I691" s="38" t="n">
        <v>-0.1955357142857143</v>
      </c>
      <c r="J691" s="33" t="n">
        <v>47365</v>
      </c>
      <c r="K691" s="33" t="n">
        <v>48324.16666666666</v>
      </c>
      <c r="L691" s="33" t="n">
        <v>43381.25</v>
      </c>
      <c r="M691" s="38" t="n">
        <v>0.802670320189835</v>
      </c>
      <c r="N691" s="38" t="n">
        <v>0.8569789645652566</v>
      </c>
      <c r="O691" s="38" t="n">
        <v>-0.1131889763779528</v>
      </c>
      <c r="P691" s="38" t="n">
        <v>0.1206467661691542</v>
      </c>
      <c r="Q691" s="38" t="n">
        <v>0.02736602052451542</v>
      </c>
      <c r="R691" s="38" t="n">
        <v>-0.04887575213765438</v>
      </c>
      <c r="S691" s="38" t="n">
        <v>-0.067754229250375</v>
      </c>
      <c r="T691" s="38" t="n">
        <v>0.03846707967151697</v>
      </c>
      <c r="U691" s="33" t="n">
        <v>56000</v>
      </c>
      <c r="V691" s="33" t="n">
        <v>25400</v>
      </c>
      <c r="W691" s="38" t="n">
        <v>-0.1955357142857143</v>
      </c>
      <c r="X691" s="38" t="n">
        <v>0.7736220472440944</v>
      </c>
      <c r="Y691" s="33" t="n">
        <v>51414494</v>
      </c>
      <c r="Z691" s="33" t="n">
        <v>2316222954700</v>
      </c>
      <c r="AA691" s="33" t="n">
        <v>109214129350</v>
      </c>
      <c r="AB691" s="33" t="n">
        <v>32122496735</v>
      </c>
      <c r="AC691" s="38" t="n">
        <v>0.04715182065197413</v>
      </c>
      <c r="AD691" s="27" t="inlineStr">
        <is>
          <t>yfinance_download</t>
        </is>
      </c>
      <c r="AE691" s="27" t="inlineStr">
        <is>
          <t>005290.KQ</t>
        </is>
      </c>
    </row>
    <row r="692" ht="24" customHeight="1">
      <c r="A692" s="32" t="inlineStr">
        <is>
          <t>2026-04-10</t>
        </is>
      </c>
      <c r="B692" s="34" t="n">
        <v>46450</v>
      </c>
      <c r="C692" s="34" t="n">
        <v>51000</v>
      </c>
      <c r="D692" s="34" t="n">
        <v>46050</v>
      </c>
      <c r="E692" s="34" t="n">
        <v>49500</v>
      </c>
      <c r="F692" s="34" t="n">
        <v>49500</v>
      </c>
      <c r="G692" s="34" t="n">
        <v>5977913</v>
      </c>
      <c r="H692" s="39" t="n">
        <v>0.09877913429522756</v>
      </c>
      <c r="I692" s="39" t="n">
        <v>-0.1160714285714286</v>
      </c>
      <c r="J692" s="34" t="n">
        <v>47335</v>
      </c>
      <c r="K692" s="34" t="n">
        <v>48477.5</v>
      </c>
      <c r="L692" s="34" t="n">
        <v>43421.25</v>
      </c>
      <c r="M692" s="39" t="n">
        <v>0.881495368776989</v>
      </c>
      <c r="N692" s="39" t="n">
        <v>0.8790099061170659</v>
      </c>
      <c r="O692" s="39" t="n">
        <v>-0.0119760479041916</v>
      </c>
      <c r="P692" s="39" t="n">
        <v>0.2282878411910669</v>
      </c>
      <c r="Q692" s="39" t="n">
        <v>0.1073825503355705</v>
      </c>
      <c r="R692" s="39" t="n">
        <v>0.04573782613288269</v>
      </c>
      <c r="S692" s="39" t="n">
        <v>0.02109225929554959</v>
      </c>
      <c r="T692" s="39" t="n">
        <v>0.1399948182053719</v>
      </c>
      <c r="U692" s="34" t="n">
        <v>56000</v>
      </c>
      <c r="V692" s="34" t="n">
        <v>25400</v>
      </c>
      <c r="W692" s="39" t="n">
        <v>-0.1160714285714286</v>
      </c>
      <c r="X692" s="39" t="n">
        <v>0.9488188976377954</v>
      </c>
      <c r="Y692" s="34" t="n">
        <v>51414494</v>
      </c>
      <c r="Z692" s="34" t="n">
        <v>2545017453000</v>
      </c>
      <c r="AA692" s="34" t="n">
        <v>295906693500</v>
      </c>
      <c r="AB692" s="34" t="n">
        <v>45711956975</v>
      </c>
      <c r="AC692" s="39" t="n">
        <v>0.11626902328359</v>
      </c>
      <c r="AD692" s="32" t="inlineStr">
        <is>
          <t>yfinance_download</t>
        </is>
      </c>
      <c r="AE692" s="32" t="inlineStr">
        <is>
          <t>005290.KQ</t>
        </is>
      </c>
    </row>
    <row r="693" ht="24" customHeight="1">
      <c r="A693" s="27" t="inlineStr">
        <is>
          <t>2026-04-13</t>
        </is>
      </c>
      <c r="B693" s="33" t="n">
        <v>50500</v>
      </c>
      <c r="C693" s="33" t="n">
        <v>53900</v>
      </c>
      <c r="D693" s="33" t="n">
        <v>49800</v>
      </c>
      <c r="E693" s="33" t="n">
        <v>52200</v>
      </c>
      <c r="F693" s="33" t="n">
        <v>52200</v>
      </c>
      <c r="G693" s="33" t="n">
        <v>2168331</v>
      </c>
      <c r="H693" s="38" t="n">
        <v>0.05454545454545445</v>
      </c>
      <c r="I693" s="38" t="n">
        <v>-0.06785714285714284</v>
      </c>
      <c r="J693" s="33" t="n">
        <v>47440</v>
      </c>
      <c r="K693" s="33" t="n">
        <v>48682.5</v>
      </c>
      <c r="L693" s="33" t="n">
        <v>43487.08333333334</v>
      </c>
      <c r="M693" s="38" t="n">
        <v>0.901825867317355</v>
      </c>
      <c r="N693" s="38" t="n">
        <v>0.8842673546112936</v>
      </c>
      <c r="O693" s="38" t="n">
        <v>0.04191616766467066</v>
      </c>
      <c r="P693" s="38" t="n">
        <v>0.3082706766917294</v>
      </c>
      <c r="Q693" s="38" t="n">
        <v>0.1783295711060948</v>
      </c>
      <c r="R693" s="38" t="n">
        <v>0.1003372681281618</v>
      </c>
      <c r="S693" s="38" t="n">
        <v>0.07225389000154059</v>
      </c>
      <c r="T693" s="38" t="n">
        <v>0.2003564276748842</v>
      </c>
      <c r="U693" s="33" t="n">
        <v>56000</v>
      </c>
      <c r="V693" s="33" t="n">
        <v>25400</v>
      </c>
      <c r="W693" s="38" t="n">
        <v>-0.06785714285714284</v>
      </c>
      <c r="X693" s="38" t="n">
        <v>1.05511811023622</v>
      </c>
      <c r="Y693" s="33" t="n">
        <v>51414494</v>
      </c>
      <c r="Z693" s="33" t="n">
        <v>2683836586800</v>
      </c>
      <c r="AA693" s="33" t="n">
        <v>113186878200</v>
      </c>
      <c r="AB693" s="33" t="n">
        <v>50549600765</v>
      </c>
      <c r="AC693" s="38" t="n">
        <v>0.04217353573488441</v>
      </c>
      <c r="AD693" s="27" t="inlineStr">
        <is>
          <t>yfinance_download</t>
        </is>
      </c>
      <c r="AE693" s="27" t="inlineStr">
        <is>
          <t>005290.KQ</t>
        </is>
      </c>
    </row>
    <row r="694" ht="24" customHeight="1">
      <c r="A694" s="32" t="inlineStr">
        <is>
          <t>2026-04-14</t>
        </is>
      </c>
      <c r="B694" s="34" t="n">
        <v>54000</v>
      </c>
      <c r="C694" s="34" t="n">
        <v>54000</v>
      </c>
      <c r="D694" s="34" t="n">
        <v>51100</v>
      </c>
      <c r="E694" s="34" t="n">
        <v>52300</v>
      </c>
      <c r="F694" s="34" t="n">
        <v>52300</v>
      </c>
      <c r="G694" s="34" t="n">
        <v>1190997</v>
      </c>
      <c r="H694" s="39" t="n">
        <v>0.001915708812260553</v>
      </c>
      <c r="I694" s="39" t="n">
        <v>-0.06607142857142856</v>
      </c>
      <c r="J694" s="34" t="n">
        <v>47592.5</v>
      </c>
      <c r="K694" s="34" t="n">
        <v>48880.83333333334</v>
      </c>
      <c r="L694" s="34" t="n">
        <v>43563.33333333334</v>
      </c>
      <c r="M694" s="39" t="n">
        <v>0.8986055731280547</v>
      </c>
      <c r="N694" s="39" t="n">
        <v>0.8842008256661474</v>
      </c>
      <c r="O694" s="39" t="n">
        <v>0.06192893401015231</v>
      </c>
      <c r="P694" s="39" t="n">
        <v>0.2945544554455446</v>
      </c>
      <c r="Q694" s="39" t="n">
        <v>0.2120509849362688</v>
      </c>
      <c r="R694" s="39" t="n">
        <v>0.09891264379891784</v>
      </c>
      <c r="S694" s="39" t="n">
        <v>0.06994902569173322</v>
      </c>
      <c r="T694" s="39" t="n">
        <v>0.2005509220292294</v>
      </c>
      <c r="U694" s="34" t="n">
        <v>56000</v>
      </c>
      <c r="V694" s="34" t="n">
        <v>25400</v>
      </c>
      <c r="W694" s="39" t="n">
        <v>-0.06607142857142856</v>
      </c>
      <c r="X694" s="39" t="n">
        <v>1.059055118110236</v>
      </c>
      <c r="Y694" s="34" t="n">
        <v>51414494</v>
      </c>
      <c r="Z694" s="34" t="n">
        <v>2688978036200</v>
      </c>
      <c r="AA694" s="34" t="n">
        <v>62289143100</v>
      </c>
      <c r="AB694" s="34" t="n">
        <v>52193487395</v>
      </c>
      <c r="AC694" s="39" t="n">
        <v>0.02316461579880568</v>
      </c>
      <c r="AD694" s="32" t="inlineStr">
        <is>
          <t>yfinance_download</t>
        </is>
      </c>
      <c r="AE694" s="32" t="inlineStr">
        <is>
          <t>005290.KQ</t>
        </is>
      </c>
    </row>
    <row r="695" ht="24" customHeight="1">
      <c r="A695" s="27" t="inlineStr">
        <is>
          <t>2026-04-15</t>
        </is>
      </c>
      <c r="B695" s="33" t="n">
        <v>53300</v>
      </c>
      <c r="C695" s="33" t="n">
        <v>57900</v>
      </c>
      <c r="D695" s="33" t="n">
        <v>52300</v>
      </c>
      <c r="E695" s="33" t="n">
        <v>56500</v>
      </c>
      <c r="F695" s="33" t="n">
        <v>56500</v>
      </c>
      <c r="G695" s="33" t="n">
        <v>2202887</v>
      </c>
      <c r="H695" s="38" t="n">
        <v>0.08030592734225617</v>
      </c>
      <c r="I695" s="38" t="n">
        <v>0</v>
      </c>
      <c r="J695" s="33" t="n">
        <v>47857.5</v>
      </c>
      <c r="K695" s="33" t="n">
        <v>49146.66666666666</v>
      </c>
      <c r="L695" s="33" t="n">
        <v>43678.75</v>
      </c>
      <c r="M695" s="38" t="n">
        <v>0.9307259933476976</v>
      </c>
      <c r="N695" s="38" t="n">
        <v>0.8972514624465144</v>
      </c>
      <c r="O695" s="38" t="n">
        <v>0.103515625</v>
      </c>
      <c r="P695" s="38" t="n">
        <v>0.3933415536374847</v>
      </c>
      <c r="Q695" s="38" t="n">
        <v>0.3247362250879249</v>
      </c>
      <c r="R695" s="38" t="n">
        <v>0.1805882045656375</v>
      </c>
      <c r="S695" s="38" t="n">
        <v>0.1496201844818232</v>
      </c>
      <c r="T695" s="38" t="n">
        <v>0.293535185874138</v>
      </c>
      <c r="U695" s="33" t="n">
        <v>56500</v>
      </c>
      <c r="V695" s="33" t="n">
        <v>25400</v>
      </c>
      <c r="W695" s="38" t="n">
        <v>0</v>
      </c>
      <c r="X695" s="38" t="n">
        <v>1.224409448818898</v>
      </c>
      <c r="Y695" s="33" t="n">
        <v>51414494</v>
      </c>
      <c r="Z695" s="33" t="n">
        <v>2904918911000</v>
      </c>
      <c r="AA695" s="33" t="n">
        <v>124463115500</v>
      </c>
      <c r="AB695" s="33" t="n">
        <v>56928182370</v>
      </c>
      <c r="AC695" s="38" t="n">
        <v>0.04284564193124219</v>
      </c>
      <c r="AD695" s="27" t="inlineStr">
        <is>
          <t>yfinance_download</t>
        </is>
      </c>
      <c r="AE695" s="27" t="inlineStr">
        <is>
          <t>005290.KQ</t>
        </is>
      </c>
    </row>
    <row r="696" ht="24" customHeight="1">
      <c r="A696" s="32" t="inlineStr">
        <is>
          <t>2026-04-16</t>
        </is>
      </c>
      <c r="B696" s="34" t="n">
        <v>56700</v>
      </c>
      <c r="C696" s="34" t="n">
        <v>57100</v>
      </c>
      <c r="D696" s="34" t="n">
        <v>54100</v>
      </c>
      <c r="E696" s="34" t="n">
        <v>56800</v>
      </c>
      <c r="F696" s="34" t="n">
        <v>56800</v>
      </c>
      <c r="G696" s="34" t="n">
        <v>894389</v>
      </c>
      <c r="H696" s="39" t="n">
        <v>0.005309734513274433</v>
      </c>
      <c r="I696" s="39" t="n">
        <v>0</v>
      </c>
      <c r="J696" s="34" t="n">
        <v>48270</v>
      </c>
      <c r="K696" s="34" t="n">
        <v>49425</v>
      </c>
      <c r="L696" s="34" t="n">
        <v>43800</v>
      </c>
      <c r="M696" s="39" t="n">
        <v>0.9049900018387977</v>
      </c>
      <c r="N696" s="39" t="n">
        <v>0.8964587782900448</v>
      </c>
      <c r="O696" s="39" t="n">
        <v>0.1699279093717816</v>
      </c>
      <c r="P696" s="39" t="n">
        <v>0.4164588528678304</v>
      </c>
      <c r="Q696" s="39" t="n">
        <v>0.344378698224852</v>
      </c>
      <c r="R696" s="39" t="n">
        <v>0.1767143153097162</v>
      </c>
      <c r="S696" s="39" t="n">
        <v>0.1492159838138594</v>
      </c>
      <c r="T696" s="39" t="n">
        <v>0.2968036529680365</v>
      </c>
      <c r="U696" s="34" t="n">
        <v>56800</v>
      </c>
      <c r="V696" s="34" t="n">
        <v>25400</v>
      </c>
      <c r="W696" s="39" t="n">
        <v>0</v>
      </c>
      <c r="X696" s="39" t="n">
        <v>1.236220472440945</v>
      </c>
      <c r="Y696" s="34" t="n">
        <v>51414494</v>
      </c>
      <c r="Z696" s="34" t="n">
        <v>2920343259200</v>
      </c>
      <c r="AA696" s="34" t="n">
        <v>50801295200</v>
      </c>
      <c r="AB696" s="34" t="n">
        <v>57853782422.5</v>
      </c>
      <c r="AC696" s="39" t="n">
        <v>0.01739565889727515</v>
      </c>
      <c r="AD696" s="32" t="inlineStr">
        <is>
          <t>yfinance_download</t>
        </is>
      </c>
      <c r="AE696" s="32" t="inlineStr">
        <is>
          <t>005290.KQ</t>
        </is>
      </c>
    </row>
    <row r="697" ht="24" customHeight="1">
      <c r="A697" s="27" t="inlineStr">
        <is>
          <t>2026-04-17</t>
        </is>
      </c>
      <c r="B697" s="33" t="n">
        <v>56100</v>
      </c>
      <c r="C697" s="33" t="n">
        <v>56400</v>
      </c>
      <c r="D697" s="33" t="n">
        <v>55100</v>
      </c>
      <c r="E697" s="33" t="n">
        <v>55300</v>
      </c>
      <c r="F697" s="33" t="n">
        <v>55300</v>
      </c>
      <c r="G697" s="33" t="n">
        <v>439398</v>
      </c>
      <c r="H697" s="38" t="n">
        <v>-0.02640845070422537</v>
      </c>
      <c r="I697" s="38" t="n">
        <v>-0.02640845070422537</v>
      </c>
      <c r="J697" s="33" t="n">
        <v>48545</v>
      </c>
      <c r="K697" s="33" t="n">
        <v>49689.16666666666</v>
      </c>
      <c r="L697" s="33" t="n">
        <v>43912.08333333334</v>
      </c>
      <c r="M697" s="38" t="n">
        <v>0.9114174121588552</v>
      </c>
      <c r="N697" s="38" t="n">
        <v>0.8978480284962524</v>
      </c>
      <c r="O697" s="38" t="n">
        <v>0.1104417670682731</v>
      </c>
      <c r="P697" s="38" t="n">
        <v>0.4017743979721167</v>
      </c>
      <c r="Q697" s="38" t="n">
        <v>0.3213859020310634</v>
      </c>
      <c r="R697" s="38" t="n">
        <v>0.1391492429704397</v>
      </c>
      <c r="S697" s="38" t="n">
        <v>0.1129186442383485</v>
      </c>
      <c r="T697" s="38" t="n">
        <v>0.2593344656463197</v>
      </c>
      <c r="U697" s="33" t="n">
        <v>56800</v>
      </c>
      <c r="V697" s="33" t="n">
        <v>25400</v>
      </c>
      <c r="W697" s="38" t="n">
        <v>-0.02640845070422537</v>
      </c>
      <c r="X697" s="38" t="n">
        <v>1.177165354330709</v>
      </c>
      <c r="Y697" s="33" t="n">
        <v>51414494</v>
      </c>
      <c r="Z697" s="33" t="n">
        <v>2843221518200</v>
      </c>
      <c r="AA697" s="33" t="n">
        <v>24298709400</v>
      </c>
      <c r="AB697" s="33" t="n">
        <v>57996429272.5</v>
      </c>
      <c r="AC697" s="38" t="n">
        <v>0.008546189329413608</v>
      </c>
      <c r="AD697" s="27" t="inlineStr">
        <is>
          <t>yfinance_download</t>
        </is>
      </c>
      <c r="AE697" s="27" t="inlineStr">
        <is>
          <t>005290.KQ</t>
        </is>
      </c>
    </row>
    <row r="698" ht="24" customHeight="1">
      <c r="A698" s="32" t="inlineStr">
        <is>
          <t>2026-04-20</t>
        </is>
      </c>
      <c r="B698" s="34" t="n">
        <v>54800</v>
      </c>
      <c r="C698" s="34" t="n">
        <v>55300</v>
      </c>
      <c r="D698" s="34" t="n">
        <v>53700</v>
      </c>
      <c r="E698" s="34" t="n">
        <v>53800</v>
      </c>
      <c r="F698" s="34" t="n">
        <v>53800</v>
      </c>
      <c r="G698" s="34" t="n">
        <v>634441</v>
      </c>
      <c r="H698" s="39" t="n">
        <v>-0.02712477396021695</v>
      </c>
      <c r="I698" s="39" t="n">
        <v>-0.05281690140845074</v>
      </c>
      <c r="J698" s="34" t="n">
        <v>48987.5</v>
      </c>
      <c r="K698" s="34" t="n">
        <v>49928.33333333334</v>
      </c>
      <c r="L698" s="34" t="n">
        <v>44011.66666666666</v>
      </c>
      <c r="M698" s="39" t="n">
        <v>0.8358749841209352</v>
      </c>
      <c r="N698" s="39" t="n">
        <v>0.9004963334194114</v>
      </c>
      <c r="O698" s="39" t="n">
        <v>0.1968854282536152</v>
      </c>
      <c r="P698" s="39" t="n">
        <v>0.3637515842839036</v>
      </c>
      <c r="Q698" s="39" t="n">
        <v>0.2855436081242533</v>
      </c>
      <c r="R698" s="39" t="n">
        <v>0.09823934677213564</v>
      </c>
      <c r="S698" s="39" t="n">
        <v>0.07754448042193807</v>
      </c>
      <c r="T698" s="39" t="n">
        <v>0.2224031506797441</v>
      </c>
      <c r="U698" s="34" t="n">
        <v>56800</v>
      </c>
      <c r="V698" s="34" t="n">
        <v>25400</v>
      </c>
      <c r="W698" s="39" t="n">
        <v>-0.05281690140845074</v>
      </c>
      <c r="X698" s="39" t="n">
        <v>1.118110236220472</v>
      </c>
      <c r="Y698" s="34" t="n">
        <v>51414494</v>
      </c>
      <c r="Z698" s="34" t="n">
        <v>2766099777200</v>
      </c>
      <c r="AA698" s="34" t="n">
        <v>34132925800</v>
      </c>
      <c r="AB698" s="34" t="n">
        <v>58110434132.5</v>
      </c>
      <c r="AC698" s="39" t="n">
        <v>0.01233973050478723</v>
      </c>
      <c r="AD698" s="32" t="inlineStr">
        <is>
          <t>yfinance_download</t>
        </is>
      </c>
      <c r="AE698" s="32" t="inlineStr">
        <is>
          <t>005290.KQ</t>
        </is>
      </c>
    </row>
    <row r="699" ht="24" customHeight="1">
      <c r="A699" s="27" t="inlineStr">
        <is>
          <t>2026-04-21</t>
        </is>
      </c>
      <c r="B699" s="33" t="n">
        <v>54800</v>
      </c>
      <c r="C699" s="33" t="n">
        <v>55200</v>
      </c>
      <c r="D699" s="33" t="n">
        <v>53500</v>
      </c>
      <c r="E699" s="33" t="n">
        <v>54700</v>
      </c>
      <c r="F699" s="33" t="n">
        <v>54700</v>
      </c>
      <c r="G699" s="33" t="n">
        <v>529886</v>
      </c>
      <c r="H699" s="38" t="n">
        <v>0.01672862453531598</v>
      </c>
      <c r="I699" s="38" t="n">
        <v>-0.0369718309859155</v>
      </c>
      <c r="J699" s="33" t="n">
        <v>49312.5</v>
      </c>
      <c r="K699" s="33" t="n">
        <v>50165</v>
      </c>
      <c r="L699" s="33" t="n">
        <v>44110</v>
      </c>
      <c r="M699" s="38" t="n">
        <v>0.8038808956784378</v>
      </c>
      <c r="N699" s="38" t="n">
        <v>0.8997931118433037</v>
      </c>
      <c r="O699" s="38" t="n">
        <v>0.1348547717842323</v>
      </c>
      <c r="P699" s="38" t="n">
        <v>0.3506172839506172</v>
      </c>
      <c r="Q699" s="38" t="n">
        <v>0.2750582750582751</v>
      </c>
      <c r="R699" s="38" t="n">
        <v>0.1092522179974651</v>
      </c>
      <c r="S699" s="38" t="n">
        <v>0.09040167447423508</v>
      </c>
      <c r="T699" s="38" t="n">
        <v>0.2400816141464521</v>
      </c>
      <c r="U699" s="33" t="n">
        <v>56800</v>
      </c>
      <c r="V699" s="33" t="n">
        <v>25400</v>
      </c>
      <c r="W699" s="38" t="n">
        <v>-0.0369718309859155</v>
      </c>
      <c r="X699" s="38" t="n">
        <v>1.153543307086614</v>
      </c>
      <c r="Y699" s="33" t="n">
        <v>51414494</v>
      </c>
      <c r="Z699" s="33" t="n">
        <v>2812372821800</v>
      </c>
      <c r="AA699" s="33" t="n">
        <v>28984764200</v>
      </c>
      <c r="AB699" s="33" t="n">
        <v>57942424972.5</v>
      </c>
      <c r="AC699" s="38" t="n">
        <v>0.01030615997115522</v>
      </c>
      <c r="AD699" s="27" t="inlineStr">
        <is>
          <t>yfinance_download</t>
        </is>
      </c>
      <c r="AE699" s="27" t="inlineStr">
        <is>
          <t>005290.KQ</t>
        </is>
      </c>
    </row>
    <row r="700" ht="24" customHeight="1">
      <c r="A700" s="32" t="inlineStr">
        <is>
          <t>2026-04-22</t>
        </is>
      </c>
      <c r="B700" s="34" t="n">
        <v>56900</v>
      </c>
      <c r="C700" s="34" t="n">
        <v>62500</v>
      </c>
      <c r="D700" s="34" t="n">
        <v>55700</v>
      </c>
      <c r="E700" s="34" t="n">
        <v>60400</v>
      </c>
      <c r="F700" s="34" t="n">
        <v>60400</v>
      </c>
      <c r="G700" s="34" t="n">
        <v>3292951</v>
      </c>
      <c r="H700" s="39" t="n">
        <v>0.1042047531992687</v>
      </c>
      <c r="I700" s="39" t="n">
        <v>0</v>
      </c>
      <c r="J700" s="34" t="n">
        <v>49832.5</v>
      </c>
      <c r="K700" s="34" t="n">
        <v>50497.5</v>
      </c>
      <c r="L700" s="34" t="n">
        <v>44255</v>
      </c>
      <c r="M700" s="39" t="n">
        <v>0.8691449473718339</v>
      </c>
      <c r="N700" s="39" t="n">
        <v>0.9215550040482544</v>
      </c>
      <c r="O700" s="39" t="n">
        <v>0.208</v>
      </c>
      <c r="P700" s="39" t="n">
        <v>0.4932014833127318</v>
      </c>
      <c r="Q700" s="39" t="n">
        <v>0.4046511627906977</v>
      </c>
      <c r="R700" s="39" t="n">
        <v>0.2120604023478654</v>
      </c>
      <c r="S700" s="39" t="n">
        <v>0.1960988167731075</v>
      </c>
      <c r="T700" s="39" t="n">
        <v>0.364817534741837</v>
      </c>
      <c r="U700" s="34" t="n">
        <v>60400</v>
      </c>
      <c r="V700" s="34" t="n">
        <v>26850</v>
      </c>
      <c r="W700" s="39" t="n">
        <v>0</v>
      </c>
      <c r="X700" s="39" t="n">
        <v>1.249534450651769</v>
      </c>
      <c r="Y700" s="34" t="n">
        <v>51414494</v>
      </c>
      <c r="Z700" s="34" t="n">
        <v>3105435437600</v>
      </c>
      <c r="AA700" s="34" t="n">
        <v>198894240400</v>
      </c>
      <c r="AB700" s="34" t="n">
        <v>66426279492.5</v>
      </c>
      <c r="AC700" s="39" t="n">
        <v>0.06404713425751112</v>
      </c>
      <c r="AD700" s="32" t="inlineStr">
        <is>
          <t>yfinance_download</t>
        </is>
      </c>
      <c r="AE700" s="32" t="inlineStr">
        <is>
          <t>005290.KQ</t>
        </is>
      </c>
    </row>
    <row r="701" ht="24" customHeight="1">
      <c r="A701" s="27" t="inlineStr">
        <is>
          <t>2026-04-23</t>
        </is>
      </c>
      <c r="B701" s="33" t="n">
        <v>61400</v>
      </c>
      <c r="C701" s="33" t="n">
        <v>63900</v>
      </c>
      <c r="D701" s="33" t="n">
        <v>58100</v>
      </c>
      <c r="E701" s="33" t="n">
        <v>60300</v>
      </c>
      <c r="F701" s="33" t="n">
        <v>60300</v>
      </c>
      <c r="G701" s="33" t="n">
        <v>1552026</v>
      </c>
      <c r="H701" s="38" t="n">
        <v>-0.001655629139072801</v>
      </c>
      <c r="I701" s="38" t="n">
        <v>-0.001655629139072801</v>
      </c>
      <c r="J701" s="33" t="n">
        <v>50500</v>
      </c>
      <c r="K701" s="33" t="n">
        <v>50820.83333333334</v>
      </c>
      <c r="L701" s="33" t="n">
        <v>44406.66666666666</v>
      </c>
      <c r="M701" s="38" t="n">
        <v>0.8286326747693533</v>
      </c>
      <c r="N701" s="38" t="n">
        <v>0.9217633072148547</v>
      </c>
      <c r="O701" s="38" t="n">
        <v>0.2843450479233227</v>
      </c>
      <c r="P701" s="38" t="n">
        <v>0.4743276283618583</v>
      </c>
      <c r="Q701" s="38" t="n">
        <v>0.4323040380047507</v>
      </c>
      <c r="R701" s="38" t="n">
        <v>0.194059405940594</v>
      </c>
      <c r="S701" s="38" t="n">
        <v>0.1865212757235386</v>
      </c>
      <c r="T701" s="38" t="n">
        <v>0.3579042185857979</v>
      </c>
      <c r="U701" s="33" t="n">
        <v>60400</v>
      </c>
      <c r="V701" s="33" t="n">
        <v>26850</v>
      </c>
      <c r="W701" s="38" t="n">
        <v>-0.001655629139072801</v>
      </c>
      <c r="X701" s="38" t="n">
        <v>1.245810055865922</v>
      </c>
      <c r="Y701" s="33" t="n">
        <v>51414494</v>
      </c>
      <c r="Z701" s="33" t="n">
        <v>3100293988200</v>
      </c>
      <c r="AA701" s="33" t="n">
        <v>93587167800</v>
      </c>
      <c r="AB701" s="33" t="n">
        <v>69941564277.5</v>
      </c>
      <c r="AC701" s="38" t="n">
        <v>0.03018654622955154</v>
      </c>
      <c r="AD701" s="27" t="inlineStr">
        <is>
          <t>yfinance_download</t>
        </is>
      </c>
      <c r="AE701" s="27" t="inlineStr">
        <is>
          <t>005290.KQ</t>
        </is>
      </c>
    </row>
    <row r="702" ht="24" customHeight="1">
      <c r="A702" s="32" t="inlineStr">
        <is>
          <t>2026-04-24</t>
        </is>
      </c>
      <c r="B702" s="34" t="n">
        <v>60000</v>
      </c>
      <c r="C702" s="34" t="n">
        <v>64400</v>
      </c>
      <c r="D702" s="34" t="n">
        <v>59700</v>
      </c>
      <c r="E702" s="34" t="n">
        <v>63200</v>
      </c>
      <c r="F702" s="34" t="n">
        <v>63200</v>
      </c>
      <c r="G702" s="34" t="n">
        <v>1317185</v>
      </c>
      <c r="H702" s="39" t="n">
        <v>0.04809286898839127</v>
      </c>
      <c r="I702" s="39" t="n">
        <v>0</v>
      </c>
      <c r="J702" s="34" t="n">
        <v>51335</v>
      </c>
      <c r="K702" s="34" t="n">
        <v>51165.83333333334</v>
      </c>
      <c r="L702" s="34" t="n">
        <v>44572.5</v>
      </c>
      <c r="M702" s="39" t="n">
        <v>0.8322836637143995</v>
      </c>
      <c r="N702" s="39" t="n">
        <v>0.9232334548749142</v>
      </c>
      <c r="O702" s="39" t="n">
        <v>0.3591397849462366</v>
      </c>
      <c r="P702" s="39" t="n">
        <v>0.4870588235294118</v>
      </c>
      <c r="Q702" s="39" t="n">
        <v>0.4595842956120093</v>
      </c>
      <c r="R702" s="39" t="n">
        <v>0.2311288594526151</v>
      </c>
      <c r="S702" s="39" t="n">
        <v>0.2351992703464225</v>
      </c>
      <c r="T702" s="39" t="n">
        <v>0.4179146334623367</v>
      </c>
      <c r="U702" s="34" t="n">
        <v>63200</v>
      </c>
      <c r="V702" s="34" t="n">
        <v>26850</v>
      </c>
      <c r="W702" s="39" t="n">
        <v>0</v>
      </c>
      <c r="X702" s="39" t="n">
        <v>1.353817504655494</v>
      </c>
      <c r="Y702" s="34" t="n">
        <v>51414494</v>
      </c>
      <c r="Z702" s="34" t="n">
        <v>3249396020800</v>
      </c>
      <c r="AA702" s="34" t="n">
        <v>83246092000</v>
      </c>
      <c r="AB702" s="34" t="n">
        <v>72883013702.5</v>
      </c>
      <c r="AC702" s="39" t="n">
        <v>0.02561894317193903</v>
      </c>
      <c r="AD702" s="32" t="inlineStr">
        <is>
          <t>yfinance_download</t>
        </is>
      </c>
      <c r="AE702" s="32" t="inlineStr">
        <is>
          <t>005290.KQ</t>
        </is>
      </c>
    </row>
    <row r="703" ht="24" customHeight="1">
      <c r="A703" s="27" t="inlineStr">
        <is>
          <t>2026-04-27</t>
        </is>
      </c>
      <c r="B703" s="33" t="n">
        <v>63400</v>
      </c>
      <c r="C703" s="33" t="n">
        <v>63400</v>
      </c>
      <c r="D703" s="33" t="n">
        <v>59700</v>
      </c>
      <c r="E703" s="33" t="n">
        <v>60800</v>
      </c>
      <c r="F703" s="33" t="n">
        <v>60800</v>
      </c>
      <c r="G703" s="33" t="n">
        <v>1146625</v>
      </c>
      <c r="H703" s="38" t="n">
        <v>-0.03797468354430378</v>
      </c>
      <c r="I703" s="38" t="n">
        <v>-0.03797468354430378</v>
      </c>
      <c r="J703" s="33" t="n">
        <v>52175</v>
      </c>
      <c r="K703" s="33" t="n">
        <v>51452.5</v>
      </c>
      <c r="L703" s="33" t="n">
        <v>44725.83333333334</v>
      </c>
      <c r="M703" s="38" t="n">
        <v>0.8162794343367326</v>
      </c>
      <c r="N703" s="38" t="n">
        <v>0.9273038927237598</v>
      </c>
      <c r="O703" s="38" t="n">
        <v>0.3818181818181818</v>
      </c>
      <c r="P703" s="38" t="n">
        <v>0.3944954128440368</v>
      </c>
      <c r="Q703" s="38" t="n">
        <v>0.4339622641509433</v>
      </c>
      <c r="R703" s="38" t="n">
        <v>0.1653090560613319</v>
      </c>
      <c r="S703" s="38" t="n">
        <v>0.1816724163063019</v>
      </c>
      <c r="T703" s="38" t="n">
        <v>0.3593933409103611</v>
      </c>
      <c r="U703" s="33" t="n">
        <v>63200</v>
      </c>
      <c r="V703" s="33" t="n">
        <v>26850</v>
      </c>
      <c r="W703" s="38" t="n">
        <v>-0.03797468354430378</v>
      </c>
      <c r="X703" s="38" t="n">
        <v>1.264432029795158</v>
      </c>
      <c r="Y703" s="33" t="n">
        <v>51414494</v>
      </c>
      <c r="Z703" s="33" t="n">
        <v>3126001235200</v>
      </c>
      <c r="AA703" s="33" t="n">
        <v>69714800000</v>
      </c>
      <c r="AB703" s="33" t="n">
        <v>75528681502.5</v>
      </c>
      <c r="AC703" s="38" t="n">
        <v>0.02230159067596775</v>
      </c>
      <c r="AD703" s="27" t="inlineStr">
        <is>
          <t>yfinance_download</t>
        </is>
      </c>
      <c r="AE703" s="27" t="inlineStr">
        <is>
          <t>005290.KQ</t>
        </is>
      </c>
    </row>
    <row r="704" ht="24" customHeight="1">
      <c r="A704" s="32" t="inlineStr">
        <is>
          <t>2026-04-28</t>
        </is>
      </c>
      <c r="B704" s="34" t="n">
        <v>61200</v>
      </c>
      <c r="C704" s="34" t="n">
        <v>61300</v>
      </c>
      <c r="D704" s="34" t="n">
        <v>58700</v>
      </c>
      <c r="E704" s="34" t="n">
        <v>58800</v>
      </c>
      <c r="F704" s="34" t="n">
        <v>58800</v>
      </c>
      <c r="G704" s="34" t="n">
        <v>756834</v>
      </c>
      <c r="H704" s="39" t="n">
        <v>-0.03289473684210531</v>
      </c>
      <c r="I704" s="39" t="n">
        <v>-0.069620253164557</v>
      </c>
      <c r="J704" s="34" t="n">
        <v>52902.5</v>
      </c>
      <c r="K704" s="34" t="n">
        <v>51625</v>
      </c>
      <c r="L704" s="34" t="n">
        <v>44859.16666666666</v>
      </c>
      <c r="M704" s="39" t="n">
        <v>0.8349723439906397</v>
      </c>
      <c r="N704" s="39" t="n">
        <v>0.9050336725254807</v>
      </c>
      <c r="O704" s="39" t="n">
        <v>0.3288135593220338</v>
      </c>
      <c r="P704" s="39" t="n">
        <v>0.2136222910216719</v>
      </c>
      <c r="Q704" s="39" t="n">
        <v>0.3738317757009346</v>
      </c>
      <c r="R704" s="39" t="n">
        <v>0.111478663579226</v>
      </c>
      <c r="S704" s="39" t="n">
        <v>0.1389830508474577</v>
      </c>
      <c r="T704" s="39" t="n">
        <v>0.310768887815571</v>
      </c>
      <c r="U704" s="34" t="n">
        <v>63200</v>
      </c>
      <c r="V704" s="34" t="n">
        <v>26850</v>
      </c>
      <c r="W704" s="39" t="n">
        <v>-0.069620253164557</v>
      </c>
      <c r="X704" s="39" t="n">
        <v>1.189944134078212</v>
      </c>
      <c r="Y704" s="34" t="n">
        <v>51414494</v>
      </c>
      <c r="Z704" s="34" t="n">
        <v>3023172247200</v>
      </c>
      <c r="AA704" s="34" t="n">
        <v>44501839200</v>
      </c>
      <c r="AB704" s="34" t="n">
        <v>76011535912.5</v>
      </c>
      <c r="AC704" s="39" t="n">
        <v>0.01472024600689448</v>
      </c>
      <c r="AD704" s="32" t="inlineStr">
        <is>
          <t>yfinance_download</t>
        </is>
      </c>
      <c r="AE704" s="32" t="inlineStr">
        <is>
          <t>005290.KQ</t>
        </is>
      </c>
    </row>
    <row r="705" ht="24" customHeight="1">
      <c r="A705" s="27" t="inlineStr">
        <is>
          <t>2026-04-29</t>
        </is>
      </c>
      <c r="B705" s="33" t="n">
        <v>58000</v>
      </c>
      <c r="C705" s="33" t="n">
        <v>59200</v>
      </c>
      <c r="D705" s="33" t="n">
        <v>57550</v>
      </c>
      <c r="E705" s="33" t="n">
        <v>58400</v>
      </c>
      <c r="F705" s="33" t="n">
        <v>58400</v>
      </c>
      <c r="G705" s="33" t="n">
        <v>519658</v>
      </c>
      <c r="H705" s="38" t="n">
        <v>-0.006802721088435382</v>
      </c>
      <c r="I705" s="38" t="n">
        <v>-0.07594936708860756</v>
      </c>
      <c r="J705" s="33" t="n">
        <v>53395</v>
      </c>
      <c r="K705" s="33" t="n">
        <v>51741.66666666666</v>
      </c>
      <c r="L705" s="33" t="n">
        <v>44989.58333333334</v>
      </c>
      <c r="M705" s="38" t="n">
        <v>0.7799917776714935</v>
      </c>
      <c r="N705" s="38" t="n">
        <v>0.8977275240263382</v>
      </c>
      <c r="O705" s="38" t="n">
        <v>0.2028836251287334</v>
      </c>
      <c r="P705" s="38" t="n">
        <v>0.1361867704280155</v>
      </c>
      <c r="Q705" s="38" t="n">
        <v>0.3660818713450293</v>
      </c>
      <c r="R705" s="38" t="n">
        <v>0.0937353684801947</v>
      </c>
      <c r="S705" s="38" t="n">
        <v>0.1286841681430182</v>
      </c>
      <c r="T705" s="38" t="n">
        <v>0.2980782588562167</v>
      </c>
      <c r="U705" s="33" t="n">
        <v>63200</v>
      </c>
      <c r="V705" s="33" t="n">
        <v>27400</v>
      </c>
      <c r="W705" s="38" t="n">
        <v>-0.07594936708860756</v>
      </c>
      <c r="X705" s="38" t="n">
        <v>1.131386861313869</v>
      </c>
      <c r="Y705" s="33" t="n">
        <v>51414494</v>
      </c>
      <c r="Z705" s="33" t="n">
        <v>3002606449600</v>
      </c>
      <c r="AA705" s="33" t="n">
        <v>30348027200</v>
      </c>
      <c r="AB705" s="33" t="n">
        <v>76459470590</v>
      </c>
      <c r="AC705" s="38" t="n">
        <v>0.0101072277400999</v>
      </c>
      <c r="AD705" s="27" t="inlineStr">
        <is>
          <t>yfinance_download</t>
        </is>
      </c>
      <c r="AE705" s="27" t="inlineStr">
        <is>
          <t>005290.KQ</t>
        </is>
      </c>
    </row>
    <row r="706" ht="24" customHeight="1">
      <c r="A706" s="32" t="inlineStr">
        <is>
          <t>2026-04-30</t>
        </is>
      </c>
      <c r="B706" s="34" t="n">
        <v>59200</v>
      </c>
      <c r="C706" s="34" t="n">
        <v>59300</v>
      </c>
      <c r="D706" s="34" t="n">
        <v>56300</v>
      </c>
      <c r="E706" s="34" t="n">
        <v>56600</v>
      </c>
      <c r="F706" s="34" t="n">
        <v>56600</v>
      </c>
      <c r="G706" s="34" t="n">
        <v>493880</v>
      </c>
      <c r="H706" s="39" t="n">
        <v>-0.03082191780821919</v>
      </c>
      <c r="I706" s="39" t="n">
        <v>-0.1044303797468354</v>
      </c>
      <c r="J706" s="34" t="n">
        <v>53915</v>
      </c>
      <c r="K706" s="34" t="n">
        <v>51751.66666666666</v>
      </c>
      <c r="L706" s="34" t="n">
        <v>45107.91666666666</v>
      </c>
      <c r="M706" s="39" t="n">
        <v>0.7647613076706603</v>
      </c>
      <c r="N706" s="39" t="n">
        <v>0.8823467359631222</v>
      </c>
      <c r="O706" s="39" t="n">
        <v>0.225108225108225</v>
      </c>
      <c r="P706" s="39" t="n">
        <v>0.01071428571428568</v>
      </c>
      <c r="Q706" s="39" t="n">
        <v>0.3349056603773586</v>
      </c>
      <c r="R706" s="39" t="n">
        <v>0.04980061207456177</v>
      </c>
      <c r="S706" s="39" t="n">
        <v>0.09368458342726482</v>
      </c>
      <c r="T706" s="39" t="n">
        <v>0.2547686566474843</v>
      </c>
      <c r="U706" s="34" t="n">
        <v>63200</v>
      </c>
      <c r="V706" s="34" t="n">
        <v>27600</v>
      </c>
      <c r="W706" s="39" t="n">
        <v>-0.1044303797468354</v>
      </c>
      <c r="X706" s="39" t="n">
        <v>1.050724637681159</v>
      </c>
      <c r="Y706" s="34" t="n">
        <v>51414494</v>
      </c>
      <c r="Z706" s="34" t="n">
        <v>2910060360400</v>
      </c>
      <c r="AA706" s="34" t="n">
        <v>27953608000</v>
      </c>
      <c r="AB706" s="34" t="n">
        <v>76205697340</v>
      </c>
      <c r="AC706" s="39" t="n">
        <v>0.009605851610637265</v>
      </c>
      <c r="AD706" s="32" t="inlineStr">
        <is>
          <t>yfinance_download</t>
        </is>
      </c>
      <c r="AE706" s="32" t="inlineStr">
        <is>
          <t>005290.KQ</t>
        </is>
      </c>
    </row>
    <row r="707" ht="24" customHeight="1">
      <c r="A707" s="27" t="inlineStr">
        <is>
          <t>2026-05-04</t>
        </is>
      </c>
      <c r="B707" s="33" t="n">
        <v>58000</v>
      </c>
      <c r="C707" s="33" t="n">
        <v>59400</v>
      </c>
      <c r="D707" s="33" t="n">
        <v>57700</v>
      </c>
      <c r="E707" s="33" t="n">
        <v>58900</v>
      </c>
      <c r="F707" s="33" t="n">
        <v>58900</v>
      </c>
      <c r="G707" s="33" t="n">
        <v>516855</v>
      </c>
      <c r="H707" s="38" t="n">
        <v>0.04063604240282692</v>
      </c>
      <c r="I707" s="38" t="n">
        <v>-0.06803797468354433</v>
      </c>
      <c r="J707" s="33" t="n">
        <v>54560</v>
      </c>
      <c r="K707" s="33" t="n">
        <v>51883.33333333334</v>
      </c>
      <c r="L707" s="33" t="n">
        <v>45272.91666666666</v>
      </c>
      <c r="M707" s="38" t="n">
        <v>0.7692368790371045</v>
      </c>
      <c r="N707" s="38" t="n">
        <v>0.8651338840252814</v>
      </c>
      <c r="O707" s="38" t="n">
        <v>0.2804347826086957</v>
      </c>
      <c r="P707" s="38" t="n">
        <v>0.1549019607843136</v>
      </c>
      <c r="Q707" s="38" t="n">
        <v>0.5063938618925832</v>
      </c>
      <c r="R707" s="38" t="n">
        <v>0.07954545454545459</v>
      </c>
      <c r="S707" s="38" t="n">
        <v>0.1352393189849019</v>
      </c>
      <c r="T707" s="38" t="n">
        <v>0.3009985734664766</v>
      </c>
      <c r="U707" s="33" t="n">
        <v>63200</v>
      </c>
      <c r="V707" s="33" t="n">
        <v>27600</v>
      </c>
      <c r="W707" s="38" t="n">
        <v>-0.06803797468354433</v>
      </c>
      <c r="X707" s="38" t="n">
        <v>1.134057971014493</v>
      </c>
      <c r="Y707" s="33" t="n">
        <v>51414494</v>
      </c>
      <c r="Z707" s="33" t="n">
        <v>3028313696600</v>
      </c>
      <c r="AA707" s="33" t="n">
        <v>30442759500</v>
      </c>
      <c r="AB707" s="33" t="n">
        <v>76829105715</v>
      </c>
      <c r="AC707" s="38" t="n">
        <v>0.01005271003931304</v>
      </c>
      <c r="AD707" s="27" t="inlineStr">
        <is>
          <t>yfinance_download</t>
        </is>
      </c>
      <c r="AE707" s="27" t="inlineStr">
        <is>
          <t>005290.KQ</t>
        </is>
      </c>
    </row>
    <row r="708" ht="24" customHeight="1">
      <c r="A708" s="32" t="inlineStr">
        <is>
          <t>2026-05-06</t>
        </is>
      </c>
      <c r="B708" s="34" t="n">
        <v>61100</v>
      </c>
      <c r="C708" s="34" t="n">
        <v>61100</v>
      </c>
      <c r="D708" s="34" t="n">
        <v>58200</v>
      </c>
      <c r="E708" s="34" t="n">
        <v>59100</v>
      </c>
      <c r="F708" s="34" t="n">
        <v>59100</v>
      </c>
      <c r="G708" s="34" t="n">
        <v>608738</v>
      </c>
      <c r="H708" s="39" t="n">
        <v>0.00339558573853993</v>
      </c>
      <c r="I708" s="39" t="n">
        <v>-0.064873417721519</v>
      </c>
      <c r="J708" s="34" t="n">
        <v>55265</v>
      </c>
      <c r="K708" s="34" t="n">
        <v>51948.33333333334</v>
      </c>
      <c r="L708" s="34" t="n">
        <v>45452.91666666666</v>
      </c>
      <c r="M708" s="39" t="n">
        <v>0.7590625889519026</v>
      </c>
      <c r="N708" s="39" t="n">
        <v>0.8495283509256535</v>
      </c>
      <c r="O708" s="39" t="n">
        <v>0.3133333333333332</v>
      </c>
      <c r="P708" s="39" t="n">
        <v>0.07065217391304346</v>
      </c>
      <c r="Q708" s="39" t="n">
        <v>0.5760000000000001</v>
      </c>
      <c r="R708" s="39" t="n">
        <v>0.06939292499773808</v>
      </c>
      <c r="S708" s="39" t="n">
        <v>0.1376688376271296</v>
      </c>
      <c r="T708" s="39" t="n">
        <v>0.3002465921695527</v>
      </c>
      <c r="U708" s="34" t="n">
        <v>63200</v>
      </c>
      <c r="V708" s="34" t="n">
        <v>27600</v>
      </c>
      <c r="W708" s="39" t="n">
        <v>-0.064873417721519</v>
      </c>
      <c r="X708" s="39" t="n">
        <v>1.141304347826087</v>
      </c>
      <c r="Y708" s="34" t="n">
        <v>51414494</v>
      </c>
      <c r="Z708" s="34" t="n">
        <v>3038596595400</v>
      </c>
      <c r="AA708" s="34" t="n">
        <v>35976415800</v>
      </c>
      <c r="AB708" s="34" t="n">
        <v>77553790005</v>
      </c>
      <c r="AC708" s="39" t="n">
        <v>0.01183981310795357</v>
      </c>
      <c r="AD708" s="32" t="inlineStr">
        <is>
          <t>yfinance_download</t>
        </is>
      </c>
      <c r="AE708" s="32" t="inlineStr">
        <is>
          <t>005290.KQ</t>
        </is>
      </c>
    </row>
    <row r="709" ht="24" customHeight="1">
      <c r="A709" s="27" t="inlineStr">
        <is>
          <t>2026-05-07</t>
        </is>
      </c>
      <c r="B709" s="33" t="n">
        <v>59200</v>
      </c>
      <c r="C709" s="33" t="n">
        <v>64000</v>
      </c>
      <c r="D709" s="33" t="n">
        <v>57100</v>
      </c>
      <c r="E709" s="33" t="n">
        <v>61000</v>
      </c>
      <c r="F709" s="33" t="n">
        <v>61000</v>
      </c>
      <c r="G709" s="33" t="n">
        <v>1891498</v>
      </c>
      <c r="H709" s="38" t="n">
        <v>0.0321489001692048</v>
      </c>
      <c r="I709" s="38" t="n">
        <v>-0.03481012658227844</v>
      </c>
      <c r="J709" s="33" t="n">
        <v>56077.5</v>
      </c>
      <c r="K709" s="33" t="n">
        <v>52063.33333333334</v>
      </c>
      <c r="L709" s="33" t="n">
        <v>45662.91666666666</v>
      </c>
      <c r="M709" s="38" t="n">
        <v>0.7574637368834276</v>
      </c>
      <c r="N709" s="38" t="n">
        <v>0.8503481516646749</v>
      </c>
      <c r="O709" s="38" t="n">
        <v>0.3631284916201116</v>
      </c>
      <c r="P709" s="38" t="n">
        <v>0.1275415896487986</v>
      </c>
      <c r="Q709" s="38" t="n">
        <v>0.7039106145251397</v>
      </c>
      <c r="R709" s="38" t="n">
        <v>0.08778030404351123</v>
      </c>
      <c r="S709" s="38" t="n">
        <v>0.1716499135668097</v>
      </c>
      <c r="T709" s="38" t="n">
        <v>0.3358761212143333</v>
      </c>
      <c r="U709" s="33" t="n">
        <v>63200</v>
      </c>
      <c r="V709" s="33" t="n">
        <v>27600</v>
      </c>
      <c r="W709" s="38" t="n">
        <v>-0.03481012658227844</v>
      </c>
      <c r="X709" s="38" t="n">
        <v>1.210144927536232</v>
      </c>
      <c r="Y709" s="33" t="n">
        <v>51414494</v>
      </c>
      <c r="Z709" s="33" t="n">
        <v>3136284134000</v>
      </c>
      <c r="AA709" s="33" t="n">
        <v>115381378000</v>
      </c>
      <c r="AB709" s="33" t="n">
        <v>81777227467.5</v>
      </c>
      <c r="AC709" s="38" t="n">
        <v>0.03678919800319342</v>
      </c>
      <c r="AD709" s="27" t="inlineStr">
        <is>
          <t>yfinance_download</t>
        </is>
      </c>
      <c r="AE709" s="27" t="inlineStr">
        <is>
          <t>005290.KQ</t>
        </is>
      </c>
    </row>
    <row r="710" ht="24" customHeight="1">
      <c r="A710" s="32" t="inlineStr">
        <is>
          <t>2026-05-08</t>
        </is>
      </c>
      <c r="B710" s="34" t="n">
        <v>59300</v>
      </c>
      <c r="C710" s="34" t="n">
        <v>59800</v>
      </c>
      <c r="D710" s="34" t="n">
        <v>58150</v>
      </c>
      <c r="E710" s="34" t="n">
        <v>59600</v>
      </c>
      <c r="F710" s="34" t="n">
        <v>59600</v>
      </c>
      <c r="G710" s="34" t="n">
        <v>443974</v>
      </c>
      <c r="H710" s="39" t="n">
        <v>-0.0229508196721312</v>
      </c>
      <c r="I710" s="39" t="n">
        <v>-0.05696202531645567</v>
      </c>
      <c r="J710" s="34" t="n">
        <v>56662.5</v>
      </c>
      <c r="K710" s="34" t="n">
        <v>52198.33333333334</v>
      </c>
      <c r="L710" s="34" t="n">
        <v>45856.25</v>
      </c>
      <c r="M710" s="39" t="n">
        <v>0.7419577772342094</v>
      </c>
      <c r="N710" s="39" t="n">
        <v>0.8453993097217697</v>
      </c>
      <c r="O710" s="39" t="n">
        <v>0.244258872651357</v>
      </c>
      <c r="P710" s="39" t="n">
        <v>0.1572815533980583</v>
      </c>
      <c r="Q710" s="39" t="n">
        <v>0.6373626373626373</v>
      </c>
      <c r="R710" s="39" t="n">
        <v>0.0518420472093537</v>
      </c>
      <c r="S710" s="39" t="n">
        <v>0.1417989080111115</v>
      </c>
      <c r="T710" s="39" t="n">
        <v>0.2997137794738993</v>
      </c>
      <c r="U710" s="34" t="n">
        <v>63200</v>
      </c>
      <c r="V710" s="34" t="n">
        <v>27600</v>
      </c>
      <c r="W710" s="39" t="n">
        <v>-0.05696202531645567</v>
      </c>
      <c r="X710" s="39" t="n">
        <v>1.159420289855072</v>
      </c>
      <c r="Y710" s="34" t="n">
        <v>51414494</v>
      </c>
      <c r="Z710" s="34" t="n">
        <v>3064303842400</v>
      </c>
      <c r="AA710" s="34" t="n">
        <v>26460850400</v>
      </c>
      <c r="AB710" s="34" t="n">
        <v>79989241627.5</v>
      </c>
      <c r="AC710" s="39" t="n">
        <v>0.008635191469549422</v>
      </c>
      <c r="AD710" s="32" t="inlineStr">
        <is>
          <t>yfinance_download</t>
        </is>
      </c>
      <c r="AE710" s="32" t="inlineStr">
        <is>
          <t>005290.KQ</t>
        </is>
      </c>
    </row>
    <row r="711" ht="24" customHeight="1">
      <c r="A711" s="27" t="inlineStr">
        <is>
          <t>2026-05-11</t>
        </is>
      </c>
      <c r="B711" s="33" t="n">
        <v>61600</v>
      </c>
      <c r="C711" s="33" t="n">
        <v>61600</v>
      </c>
      <c r="D711" s="33" t="n">
        <v>58500</v>
      </c>
      <c r="E711" s="33" t="n">
        <v>58900</v>
      </c>
      <c r="F711" s="33" t="n">
        <v>58900</v>
      </c>
      <c r="G711" s="33" t="n">
        <v>553652</v>
      </c>
      <c r="H711" s="38" t="n">
        <v>-0.01174496644295298</v>
      </c>
      <c r="I711" s="38" t="n">
        <v>-0.06803797468354433</v>
      </c>
      <c r="J711" s="33" t="n">
        <v>57355</v>
      </c>
      <c r="K711" s="33" t="n">
        <v>52323.33333333334</v>
      </c>
      <c r="L711" s="33" t="n">
        <v>46045.41666666666</v>
      </c>
      <c r="M711" s="38" t="n">
        <v>0.6990486104501981</v>
      </c>
      <c r="N711" s="38" t="n">
        <v>0.8459237620867961</v>
      </c>
      <c r="O711" s="38" t="n">
        <v>0.3074361820199778</v>
      </c>
      <c r="P711" s="38" t="n">
        <v>0.1459143968871595</v>
      </c>
      <c r="Q711" s="38" t="n">
        <v>0.6270718232044199</v>
      </c>
      <c r="R711" s="38" t="n">
        <v>0.02693749455147754</v>
      </c>
      <c r="S711" s="38" t="n">
        <v>0.1256928075428425</v>
      </c>
      <c r="T711" s="38" t="n">
        <v>0.2791718321584669</v>
      </c>
      <c r="U711" s="33" t="n">
        <v>63200</v>
      </c>
      <c r="V711" s="33" t="n">
        <v>27600</v>
      </c>
      <c r="W711" s="38" t="n">
        <v>-0.06803797468354433</v>
      </c>
      <c r="X711" s="38" t="n">
        <v>1.134057971014493</v>
      </c>
      <c r="Y711" s="33" t="n">
        <v>51414494</v>
      </c>
      <c r="Z711" s="33" t="n">
        <v>3028313696600</v>
      </c>
      <c r="AA711" s="33" t="n">
        <v>32610102800</v>
      </c>
      <c r="AB711" s="33" t="n">
        <v>76159040300</v>
      </c>
      <c r="AC711" s="38" t="n">
        <v>0.01076840316662457</v>
      </c>
      <c r="AD711" s="27" t="inlineStr">
        <is>
          <t>yfinance_download</t>
        </is>
      </c>
      <c r="AE711" s="27" t="inlineStr">
        <is>
          <t>005290.KQ</t>
        </is>
      </c>
    </row>
    <row r="712" ht="24" customHeight="1">
      <c r="A712" s="32" t="inlineStr">
        <is>
          <t>2026-05-12</t>
        </is>
      </c>
      <c r="B712" s="34" t="n">
        <v>59000</v>
      </c>
      <c r="C712" s="34" t="n">
        <v>60700</v>
      </c>
      <c r="D712" s="34" t="n">
        <v>54900</v>
      </c>
      <c r="E712" s="34" t="n">
        <v>56200</v>
      </c>
      <c r="F712" s="34" t="n">
        <v>56200</v>
      </c>
      <c r="G712" s="34" t="n">
        <v>1430185</v>
      </c>
      <c r="H712" s="39" t="n">
        <v>-0.04584040747028861</v>
      </c>
      <c r="I712" s="39" t="n">
        <v>-0.1107594936708861</v>
      </c>
      <c r="J712" s="34" t="n">
        <v>57690</v>
      </c>
      <c r="K712" s="34" t="n">
        <v>52373.33333333334</v>
      </c>
      <c r="L712" s="34" t="n">
        <v>46216.25</v>
      </c>
      <c r="M712" s="39" t="n">
        <v>0.6545515674434874</v>
      </c>
      <c r="N712" s="39" t="n">
        <v>0.8493478635326959</v>
      </c>
      <c r="O712" s="39" t="n">
        <v>0.1353535353535353</v>
      </c>
      <c r="P712" s="39" t="n">
        <v>0.0563909774436091</v>
      </c>
      <c r="Q712" s="39" t="n">
        <v>0.5742296918767507</v>
      </c>
      <c r="R712" s="39" t="n">
        <v>-0.0258276997746576</v>
      </c>
      <c r="S712" s="39" t="n">
        <v>0.07306517311608962</v>
      </c>
      <c r="T712" s="39" t="n">
        <v>0.2160225029075271</v>
      </c>
      <c r="U712" s="34" t="n">
        <v>63200</v>
      </c>
      <c r="V712" s="34" t="n">
        <v>27600</v>
      </c>
      <c r="W712" s="39" t="n">
        <v>-0.1107594936708861</v>
      </c>
      <c r="X712" s="39" t="n">
        <v>1.036231884057971</v>
      </c>
      <c r="Y712" s="34" t="n">
        <v>51414494</v>
      </c>
      <c r="Z712" s="34" t="n">
        <v>2889494562800</v>
      </c>
      <c r="AA712" s="34" t="n">
        <v>80376397000</v>
      </c>
      <c r="AB712" s="34" t="n">
        <v>65382525475</v>
      </c>
      <c r="AC712" s="39" t="n">
        <v>0.02781676699959354</v>
      </c>
      <c r="AD712" s="32" t="inlineStr">
        <is>
          <t>yfinance_download</t>
        </is>
      </c>
      <c r="AE712" s="32" t="inlineStr">
        <is>
          <t>005290.KQ</t>
        </is>
      </c>
    </row>
    <row r="713" ht="24" customHeight="1">
      <c r="A713" s="27" t="inlineStr">
        <is>
          <t>2026-05-13</t>
        </is>
      </c>
      <c r="B713" s="33" t="n">
        <v>55700</v>
      </c>
      <c r="C713" s="33" t="n">
        <v>58000</v>
      </c>
      <c r="D713" s="33" t="n">
        <v>54400</v>
      </c>
      <c r="E713" s="33" t="n">
        <v>57700</v>
      </c>
      <c r="F713" s="33" t="n">
        <v>57700</v>
      </c>
      <c r="G713" s="33" t="n">
        <v>592162</v>
      </c>
      <c r="H713" s="38" t="n">
        <v>0.02669039145907481</v>
      </c>
      <c r="I713" s="38" t="n">
        <v>-0.08702531645569622</v>
      </c>
      <c r="J713" s="33" t="n">
        <v>57965</v>
      </c>
      <c r="K713" s="33" t="n">
        <v>52490</v>
      </c>
      <c r="L713" s="33" t="n">
        <v>46400</v>
      </c>
      <c r="M713" s="38" t="n">
        <v>0.6349774820125701</v>
      </c>
      <c r="N713" s="38" t="n">
        <v>0.8444856655006883</v>
      </c>
      <c r="O713" s="38" t="n">
        <v>0.1053639846743295</v>
      </c>
      <c r="P713" s="38" t="n">
        <v>0.1380670611439843</v>
      </c>
      <c r="Q713" s="38" t="n">
        <v>0.6185133239831697</v>
      </c>
      <c r="R713" s="38" t="n">
        <v>-0.004571724316397852</v>
      </c>
      <c r="S713" s="38" t="n">
        <v>0.09925700133358739</v>
      </c>
      <c r="T713" s="38" t="n">
        <v>0.2435344827586208</v>
      </c>
      <c r="U713" s="33" t="n">
        <v>63200</v>
      </c>
      <c r="V713" s="33" t="n">
        <v>27600</v>
      </c>
      <c r="W713" s="38" t="n">
        <v>-0.08702531645569622</v>
      </c>
      <c r="X713" s="38" t="n">
        <v>1.090579710144928</v>
      </c>
      <c r="Y713" s="33" t="n">
        <v>51414494</v>
      </c>
      <c r="Z713" s="33" t="n">
        <v>2966616303800</v>
      </c>
      <c r="AA713" s="33" t="n">
        <v>34167747400</v>
      </c>
      <c r="AB713" s="33" t="n">
        <v>61431568935</v>
      </c>
      <c r="AC713" s="38" t="n">
        <v>0.01151741374718187</v>
      </c>
      <c r="AD713" s="27" t="inlineStr">
        <is>
          <t>yfinance_download</t>
        </is>
      </c>
      <c r="AE713" s="27" t="inlineStr">
        <is>
          <t>005290.KQ</t>
        </is>
      </c>
    </row>
    <row r="714" ht="24" customHeight="1">
      <c r="A714" s="32" t="inlineStr">
        <is>
          <t>2026-05-14</t>
        </is>
      </c>
      <c r="B714" s="34" t="n">
        <v>57800</v>
      </c>
      <c r="C714" s="34" t="n">
        <v>58000</v>
      </c>
      <c r="D714" s="34" t="n">
        <v>55700</v>
      </c>
      <c r="E714" s="34" t="n">
        <v>58000</v>
      </c>
      <c r="F714" s="34" t="n">
        <v>58000</v>
      </c>
      <c r="G714" s="34" t="n">
        <v>533552</v>
      </c>
      <c r="H714" s="39" t="n">
        <v>0.005199306759098743</v>
      </c>
      <c r="I714" s="39" t="n">
        <v>-0.08227848101265822</v>
      </c>
      <c r="J714" s="34" t="n">
        <v>58250</v>
      </c>
      <c r="K714" s="34" t="n">
        <v>52615</v>
      </c>
      <c r="L714" s="34" t="n">
        <v>46594.58333333334</v>
      </c>
      <c r="M714" s="39" t="n">
        <v>0.6348207388500714</v>
      </c>
      <c r="N714" s="39" t="n">
        <v>0.8443470733476393</v>
      </c>
      <c r="O714" s="39" t="n">
        <v>0.1089866156787762</v>
      </c>
      <c r="P714" s="39" t="n">
        <v>0.1485148514851484</v>
      </c>
      <c r="Q714" s="39" t="n">
        <v>0.673881673881674</v>
      </c>
      <c r="R714" s="39" t="n">
        <v>-0.004291845493562207</v>
      </c>
      <c r="S714" s="39" t="n">
        <v>0.1023472393804048</v>
      </c>
      <c r="T714" s="39" t="n">
        <v>0.2447798832124621</v>
      </c>
      <c r="U714" s="34" t="n">
        <v>63200</v>
      </c>
      <c r="V714" s="34" t="n">
        <v>27600</v>
      </c>
      <c r="W714" s="39" t="n">
        <v>-0.08227848101265822</v>
      </c>
      <c r="X714" s="39" t="n">
        <v>1.101449275362319</v>
      </c>
      <c r="Y714" s="34" t="n">
        <v>51414494</v>
      </c>
      <c r="Z714" s="34" t="n">
        <v>2982040652000</v>
      </c>
      <c r="AA714" s="34" t="n">
        <v>30946016000</v>
      </c>
      <c r="AB714" s="34" t="n">
        <v>59864412580</v>
      </c>
      <c r="AC714" s="39" t="n">
        <v>0.01037746282205948</v>
      </c>
      <c r="AD714" s="32" t="inlineStr">
        <is>
          <t>yfinance_download</t>
        </is>
      </c>
      <c r="AE714" s="32" t="inlineStr">
        <is>
          <t>005290.KQ</t>
        </is>
      </c>
    </row>
    <row r="715" ht="24" customHeight="1">
      <c r="A715" s="27" t="inlineStr">
        <is>
          <t>2026-05-15</t>
        </is>
      </c>
      <c r="B715" s="33" t="n">
        <v>57800</v>
      </c>
      <c r="C715" s="33" t="n">
        <v>58100</v>
      </c>
      <c r="D715" s="33" t="n">
        <v>51700</v>
      </c>
      <c r="E715" s="33" t="n">
        <v>52900</v>
      </c>
      <c r="F715" s="33" t="n">
        <v>52900</v>
      </c>
      <c r="G715" s="33" t="n">
        <v>624975</v>
      </c>
      <c r="H715" s="38" t="n">
        <v>-0.08793103448275863</v>
      </c>
      <c r="I715" s="38" t="n">
        <v>-0.1629746835443038</v>
      </c>
      <c r="J715" s="33" t="n">
        <v>58070</v>
      </c>
      <c r="K715" s="33" t="n">
        <v>52618.33333333334</v>
      </c>
      <c r="L715" s="33" t="n">
        <v>46740.83333333334</v>
      </c>
      <c r="M715" s="38" t="n">
        <v>0.6539738950739323</v>
      </c>
      <c r="N715" s="38" t="n">
        <v>0.8606772355465181</v>
      </c>
      <c r="O715" s="38" t="n">
        <v>-0.06371681415929209</v>
      </c>
      <c r="P715" s="38" t="n">
        <v>0.00379506641366234</v>
      </c>
      <c r="Q715" s="38" t="n">
        <v>0.4964639321074964</v>
      </c>
      <c r="R715" s="38" t="n">
        <v>-0.08903048045462369</v>
      </c>
      <c r="S715" s="38" t="n">
        <v>0.005353013841816745</v>
      </c>
      <c r="T715" s="38" t="n">
        <v>0.1317727183583233</v>
      </c>
      <c r="U715" s="33" t="n">
        <v>63200</v>
      </c>
      <c r="V715" s="33" t="n">
        <v>27600</v>
      </c>
      <c r="W715" s="38" t="n">
        <v>-0.1629746835443038</v>
      </c>
      <c r="X715" s="38" t="n">
        <v>0.9166666666666667</v>
      </c>
      <c r="Y715" s="33" t="n">
        <v>51414494</v>
      </c>
      <c r="Z715" s="33" t="n">
        <v>2719826732600</v>
      </c>
      <c r="AA715" s="33" t="n">
        <v>33061177500</v>
      </c>
      <c r="AB715" s="33" t="n">
        <v>55294315680</v>
      </c>
      <c r="AC715" s="38" t="n">
        <v>0.0121556189972423</v>
      </c>
      <c r="AD715" s="27" t="inlineStr">
        <is>
          <t>yfinance_download</t>
        </is>
      </c>
      <c r="AE715" s="27" t="inlineStr">
        <is>
          <t>005290.KQ</t>
        </is>
      </c>
    </row>
    <row r="716" ht="24" customHeight="1">
      <c r="A716" s="32" t="inlineStr">
        <is>
          <t>2026-05-18</t>
        </is>
      </c>
      <c r="B716" s="34" t="n">
        <v>52000</v>
      </c>
      <c r="C716" s="34" t="n">
        <v>57100</v>
      </c>
      <c r="D716" s="34" t="n">
        <v>50500</v>
      </c>
      <c r="E716" s="34" t="n">
        <v>56100</v>
      </c>
      <c r="F716" s="34" t="n">
        <v>56100</v>
      </c>
      <c r="G716" s="34" t="n">
        <v>740035</v>
      </c>
      <c r="H716" s="39" t="n">
        <v>0.06049149338374282</v>
      </c>
      <c r="I716" s="39" t="n">
        <v>-0.1123417721518988</v>
      </c>
      <c r="J716" s="34" t="n">
        <v>58035</v>
      </c>
      <c r="K716" s="34" t="n">
        <v>52695</v>
      </c>
      <c r="L716" s="34" t="n">
        <v>46927.5</v>
      </c>
      <c r="M716" s="39" t="n">
        <v>0.6909863195401592</v>
      </c>
      <c r="N716" s="39" t="n">
        <v>0.8675330772756407</v>
      </c>
      <c r="O716" s="39" t="n">
        <v>-0.01232394366197187</v>
      </c>
      <c r="P716" s="39" t="n">
        <v>0.08932038834951461</v>
      </c>
      <c r="Q716" s="39" t="n">
        <v>0.6646884272997033</v>
      </c>
      <c r="R716" s="39" t="n">
        <v>-0.03334194882398556</v>
      </c>
      <c r="S716" s="39" t="n">
        <v>0.06461713635069732</v>
      </c>
      <c r="T716" s="39" t="n">
        <v>0.1954610835863833</v>
      </c>
      <c r="U716" s="34" t="n">
        <v>63200</v>
      </c>
      <c r="V716" s="34" t="n">
        <v>27600</v>
      </c>
      <c r="W716" s="39" t="n">
        <v>-0.1123417721518988</v>
      </c>
      <c r="X716" s="39" t="n">
        <v>1.032608695652174</v>
      </c>
      <c r="Y716" s="34" t="n">
        <v>51414494</v>
      </c>
      <c r="Z716" s="34" t="n">
        <v>2884353113400</v>
      </c>
      <c r="AA716" s="34" t="n">
        <v>41515963500</v>
      </c>
      <c r="AB716" s="34" t="n">
        <v>54830049095</v>
      </c>
      <c r="AC716" s="39" t="n">
        <v>0.01439350934777263</v>
      </c>
      <c r="AD716" s="32" t="inlineStr">
        <is>
          <t>yfinance_download</t>
        </is>
      </c>
      <c r="AE716" s="32" t="inlineStr">
        <is>
          <t>005290.KQ</t>
        </is>
      </c>
    </row>
    <row r="717" ht="24" customHeight="1">
      <c r="A717" s="27" t="inlineStr">
        <is>
          <t>2026-05-19</t>
        </is>
      </c>
      <c r="B717" s="33" t="n">
        <v>55500</v>
      </c>
      <c r="C717" s="33" t="n">
        <v>60400</v>
      </c>
      <c r="D717" s="33" t="n">
        <v>55500</v>
      </c>
      <c r="E717" s="33" t="n">
        <v>57600</v>
      </c>
      <c r="F717" s="33" t="n">
        <v>57600</v>
      </c>
      <c r="G717" s="33" t="n">
        <v>1186984</v>
      </c>
      <c r="H717" s="38" t="n">
        <v>0.02673796791443861</v>
      </c>
      <c r="I717" s="38" t="n">
        <v>-0.08860759493670889</v>
      </c>
      <c r="J717" s="33" t="n">
        <v>58150</v>
      </c>
      <c r="K717" s="33" t="n">
        <v>52746.66666666666</v>
      </c>
      <c r="L717" s="33" t="n">
        <v>47130.83333333334</v>
      </c>
      <c r="M717" s="38" t="n">
        <v>0.6895200818229075</v>
      </c>
      <c r="N717" s="38" t="n">
        <v>0.8613260217859511</v>
      </c>
      <c r="O717" s="38" t="n">
        <v>0.04159132007233279</v>
      </c>
      <c r="P717" s="38" t="n">
        <v>0.05688073394495419</v>
      </c>
      <c r="Q717" s="38" t="n">
        <v>0.7349397590361446</v>
      </c>
      <c r="R717" s="38" t="n">
        <v>-0.009458297506448887</v>
      </c>
      <c r="S717" s="38" t="n">
        <v>0.09201213346814963</v>
      </c>
      <c r="T717" s="38" t="n">
        <v>0.2221298866630124</v>
      </c>
      <c r="U717" s="33" t="n">
        <v>63200</v>
      </c>
      <c r="V717" s="33" t="n">
        <v>27600</v>
      </c>
      <c r="W717" s="38" t="n">
        <v>-0.08860759493670889</v>
      </c>
      <c r="X717" s="38" t="n">
        <v>1.08695652173913</v>
      </c>
      <c r="Y717" s="33" t="n">
        <v>51414494</v>
      </c>
      <c r="Z717" s="33" t="n">
        <v>2961474854400</v>
      </c>
      <c r="AA717" s="33" t="n">
        <v>68370278400</v>
      </c>
      <c r="AB717" s="33" t="n">
        <v>57033627545</v>
      </c>
      <c r="AC717" s="38" t="n">
        <v>0.02308656387827137</v>
      </c>
      <c r="AD717" s="27" t="inlineStr">
        <is>
          <t>yfinance_download</t>
        </is>
      </c>
      <c r="AE717" s="27" t="inlineStr">
        <is>
          <t>005290.KQ</t>
        </is>
      </c>
    </row>
    <row r="718" ht="24" customHeight="1">
      <c r="A718" s="32" t="inlineStr">
        <is>
          <t>2026-05-20</t>
        </is>
      </c>
      <c r="B718" s="34" t="n">
        <v>57400</v>
      </c>
      <c r="C718" s="34" t="n">
        <v>57500</v>
      </c>
      <c r="D718" s="34" t="n">
        <v>53300</v>
      </c>
      <c r="E718" s="34" t="n">
        <v>54300</v>
      </c>
      <c r="F718" s="34" t="n">
        <v>54300</v>
      </c>
      <c r="G718" s="34" t="n">
        <v>342725</v>
      </c>
      <c r="H718" s="39" t="n">
        <v>-0.05729166666666663</v>
      </c>
      <c r="I718" s="39" t="n">
        <v>-0.1408227848101266</v>
      </c>
      <c r="J718" s="34" t="n">
        <v>58175</v>
      </c>
      <c r="K718" s="34" t="n">
        <v>52740</v>
      </c>
      <c r="L718" s="34" t="n">
        <v>47303.75</v>
      </c>
      <c r="M718" s="39" t="n">
        <v>0.7148105772609059</v>
      </c>
      <c r="N718" s="39" t="n">
        <v>0.8699508656203887</v>
      </c>
      <c r="O718" s="39" t="n">
        <v>0.009293680297397744</v>
      </c>
      <c r="P718" s="39" t="n">
        <v>-0.007312614259597838</v>
      </c>
      <c r="Q718" s="39" t="n">
        <v>0.6184798807749627</v>
      </c>
      <c r="R718" s="39" t="n">
        <v>-0.06660936828534592</v>
      </c>
      <c r="S718" s="39" t="n">
        <v>0.02957906712172931</v>
      </c>
      <c r="T718" s="39" t="n">
        <v>0.147900536426816</v>
      </c>
      <c r="U718" s="34" t="n">
        <v>63200</v>
      </c>
      <c r="V718" s="34" t="n">
        <v>27600</v>
      </c>
      <c r="W718" s="39" t="n">
        <v>-0.1408227848101266</v>
      </c>
      <c r="X718" s="39" t="n">
        <v>0.9673913043478262</v>
      </c>
      <c r="Y718" s="34" t="n">
        <v>51414494</v>
      </c>
      <c r="Z718" s="34" t="n">
        <v>2791807024200</v>
      </c>
      <c r="AA718" s="34" t="n">
        <v>18609967500</v>
      </c>
      <c r="AB718" s="34" t="n">
        <v>56257479630</v>
      </c>
      <c r="AC718" s="39" t="n">
        <v>0.006665921870202593</v>
      </c>
      <c r="AD718" s="32" t="inlineStr">
        <is>
          <t>yfinance_download</t>
        </is>
      </c>
      <c r="AE718" s="32" t="inlineStr">
        <is>
          <t>005290.KQ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4" customHeight="1">
      <c r="A1" s="25" t="inlineStr">
        <is>
          <t>정규화 재무제표</t>
        </is>
      </c>
    </row>
    <row r="2" ht="24" customHeight="1">
      <c r="A2" s="28" t="inlineStr">
        <is>
          <t>연도</t>
        </is>
      </c>
      <c r="B2" s="28" t="inlineStr">
        <is>
          <t>매출액</t>
        </is>
      </c>
      <c r="C2" s="28" t="inlineStr">
        <is>
          <t>영업이익</t>
        </is>
      </c>
      <c r="D2" s="28" t="inlineStr">
        <is>
          <t>순이익</t>
        </is>
      </c>
      <c r="E2" s="28" t="inlineStr">
        <is>
          <t>자산총계</t>
        </is>
      </c>
      <c r="F2" s="28" t="inlineStr">
        <is>
          <t>부채총계</t>
        </is>
      </c>
      <c r="G2" s="28" t="inlineStr">
        <is>
          <t>자본총계</t>
        </is>
      </c>
      <c r="H2" s="28" t="inlineStr">
        <is>
          <t>현금성자산</t>
        </is>
      </c>
      <c r="I2" s="28" t="inlineStr">
        <is>
          <t>영업현금흐름</t>
        </is>
      </c>
      <c r="J2" s="28" t="inlineStr">
        <is>
          <t>CAPEX</t>
        </is>
      </c>
      <c r="K2" s="28" t="inlineStr">
        <is>
          <t>FCF</t>
        </is>
      </c>
      <c r="L2" s="28" t="inlineStr">
        <is>
          <t>투자현금흐름</t>
        </is>
      </c>
      <c r="M2" s="28" t="inlineStr">
        <is>
          <t>원천계정수</t>
        </is>
      </c>
      <c r="N2" s="28" t="inlineStr">
        <is>
          <t>영업이익 원천계정</t>
        </is>
      </c>
      <c r="O2" s="28" t="inlineStr">
        <is>
          <t>순이익 원천계정</t>
        </is>
      </c>
      <c r="P2" s="28" t="inlineStr">
        <is>
          <t>자산 원천계정</t>
        </is>
      </c>
      <c r="Q2" s="28" t="inlineStr">
        <is>
          <t>부채 원천계정</t>
        </is>
      </c>
      <c r="R2" s="28" t="inlineStr">
        <is>
          <t>자본 원천계정</t>
        </is>
      </c>
      <c r="S2" s="28" t="inlineStr">
        <is>
          <t>영업현금흐름 원천계정</t>
        </is>
      </c>
      <c r="T2" s="28" t="inlineStr">
        <is>
          <t>CAPEX 원천계정</t>
        </is>
      </c>
      <c r="U2" s="28" t="inlineStr">
        <is>
          <t>현금 원천계정</t>
        </is>
      </c>
      <c r="V2" s="28" t="inlineStr">
        <is>
          <t>영업이익률</t>
        </is>
      </c>
      <c r="W2" s="28" t="inlineStr">
        <is>
          <t>순이익률</t>
        </is>
      </c>
      <c r="X2" s="28" t="inlineStr">
        <is>
          <t>ROE</t>
        </is>
      </c>
      <c r="Y2" s="28" t="inlineStr">
        <is>
          <t>ROA</t>
        </is>
      </c>
      <c r="Z2" s="28" t="inlineStr">
        <is>
          <t>부채/자본</t>
        </is>
      </c>
      <c r="AA2" s="28" t="inlineStr">
        <is>
          <t>부채/자산</t>
        </is>
      </c>
      <c r="AB2" s="28" t="inlineStr">
        <is>
          <t>자본비율</t>
        </is>
      </c>
      <c r="AC2" s="28" t="inlineStr">
        <is>
          <t>현금/자산</t>
        </is>
      </c>
      <c r="AD2" s="28" t="inlineStr">
        <is>
          <t>CFO margin</t>
        </is>
      </c>
      <c r="AE2" s="28" t="inlineStr">
        <is>
          <t>CAPEX/매출</t>
        </is>
      </c>
      <c r="AF2" s="28" t="inlineStr">
        <is>
          <t>FCF margin</t>
        </is>
      </c>
      <c r="AG2" s="28" t="inlineStr">
        <is>
          <t>FCF 전환율</t>
        </is>
      </c>
      <c r="AH2" s="28" t="inlineStr">
        <is>
          <t>매출성장률</t>
        </is>
      </c>
      <c r="AI2" s="28" t="inlineStr">
        <is>
          <t>영업이익성장률</t>
        </is>
      </c>
      <c r="AJ2" s="28" t="inlineStr">
        <is>
          <t>자산성장률</t>
        </is>
      </c>
    </row>
    <row r="3" ht="24" customHeight="1">
      <c r="A3" s="33" t="n">
        <v>2021</v>
      </c>
      <c r="B3" s="27" t="inlineStr">
        <is>
          <t>해당 없음</t>
        </is>
      </c>
      <c r="C3" s="33" t="n">
        <v>131814933901</v>
      </c>
      <c r="D3" s="33" t="n">
        <v>102879224817</v>
      </c>
      <c r="E3" s="33" t="n">
        <v>1186189143728</v>
      </c>
      <c r="F3" s="33" t="n">
        <v>625155643773</v>
      </c>
      <c r="G3" s="33" t="n">
        <v>561033499955</v>
      </c>
      <c r="H3" s="33" t="n">
        <v>231211989608</v>
      </c>
      <c r="I3" s="33" t="n">
        <v>76098753709</v>
      </c>
      <c r="J3" s="33" t="n">
        <v>98848468049</v>
      </c>
      <c r="K3" s="33" t="n">
        <v>-22749714340</v>
      </c>
      <c r="L3" s="33" t="n">
        <v>-96276916853</v>
      </c>
      <c r="M3" s="33" t="n">
        <v>239</v>
      </c>
      <c r="N3" s="27" t="inlineStr">
        <is>
          <t>영업이익(손실)</t>
        </is>
      </c>
      <c r="O3" s="27" t="inlineStr">
        <is>
          <t>당기순이익</t>
        </is>
      </c>
      <c r="P3" s="27" t="inlineStr">
        <is>
          <t>자산총계</t>
        </is>
      </c>
      <c r="Q3" s="27" t="inlineStr">
        <is>
          <t>부채총계</t>
        </is>
      </c>
      <c r="R3" s="27" t="inlineStr">
        <is>
          <t>자본총계</t>
        </is>
      </c>
      <c r="S3" s="27" t="inlineStr">
        <is>
          <t>영업활동현금흐름</t>
        </is>
      </c>
      <c r="T3" s="27" t="inlineStr">
        <is>
          <t>유형자산의 취득</t>
        </is>
      </c>
      <c r="U3" s="27" t="inlineStr">
        <is>
          <t>현금및현금성자산</t>
        </is>
      </c>
      <c r="V3" s="27" t="inlineStr">
        <is>
          <t>해당 없음</t>
        </is>
      </c>
      <c r="W3" s="27" t="inlineStr">
        <is>
          <t>해당 없음</t>
        </is>
      </c>
      <c r="X3" s="38" t="n">
        <v>0.1833744773266692</v>
      </c>
      <c r="Y3" s="38" t="n">
        <v>0.08673087707890099</v>
      </c>
      <c r="Z3" s="38" t="n">
        <v>1.114292896632987</v>
      </c>
      <c r="AA3" s="38" t="n">
        <v>0.5270286337373121</v>
      </c>
      <c r="AB3" s="38" t="n">
        <v>0.4729713662626879</v>
      </c>
      <c r="AC3" s="38" t="n">
        <v>0.1949200014437312</v>
      </c>
      <c r="AD3" s="27" t="inlineStr">
        <is>
          <t>해당 없음</t>
        </is>
      </c>
      <c r="AE3" s="27" t="inlineStr">
        <is>
          <t>해당 없음</t>
        </is>
      </c>
      <c r="AF3" s="27" t="inlineStr">
        <is>
          <t>해당 없음</t>
        </is>
      </c>
      <c r="AG3" s="38" t="n">
        <v>-0.1725882922877786</v>
      </c>
      <c r="AH3" s="27" t="inlineStr">
        <is>
          <t>해당 없음</t>
        </is>
      </c>
      <c r="AI3" s="27" t="inlineStr">
        <is>
          <t>해당 없음</t>
        </is>
      </c>
      <c r="AJ3" s="27" t="inlineStr">
        <is>
          <t>해당 없음</t>
        </is>
      </c>
    </row>
    <row r="4" ht="24" customHeight="1">
      <c r="A4" s="34" t="n">
        <v>2022</v>
      </c>
      <c r="B4" s="32" t="inlineStr">
        <is>
          <t>해당 없음</t>
        </is>
      </c>
      <c r="C4" s="34" t="n">
        <v>216308703354</v>
      </c>
      <c r="D4" s="34" t="n">
        <v>156195316180</v>
      </c>
      <c r="E4" s="34" t="n">
        <v>1374303530098</v>
      </c>
      <c r="F4" s="34" t="n">
        <v>673516166268</v>
      </c>
      <c r="G4" s="34" t="n">
        <v>700787363830</v>
      </c>
      <c r="H4" s="34" t="n">
        <v>280458844748</v>
      </c>
      <c r="I4" s="34" t="n">
        <v>190056242655</v>
      </c>
      <c r="J4" s="34" t="n">
        <v>92935559922</v>
      </c>
      <c r="K4" s="34" t="n">
        <v>97120682733</v>
      </c>
      <c r="L4" s="34" t="n">
        <v>-147320572980</v>
      </c>
      <c r="M4" s="34" t="n">
        <v>195</v>
      </c>
      <c r="N4" s="32" t="inlineStr">
        <is>
          <t>영업이익(손실)</t>
        </is>
      </c>
      <c r="O4" s="32" t="inlineStr">
        <is>
          <t>당기순이익</t>
        </is>
      </c>
      <c r="P4" s="32" t="inlineStr">
        <is>
          <t>자산총계</t>
        </is>
      </c>
      <c r="Q4" s="32" t="inlineStr">
        <is>
          <t>부채총계</t>
        </is>
      </c>
      <c r="R4" s="32" t="inlineStr">
        <is>
          <t>자본총계</t>
        </is>
      </c>
      <c r="S4" s="32" t="inlineStr">
        <is>
          <t>영업활동현금흐름</t>
        </is>
      </c>
      <c r="T4" s="32" t="inlineStr">
        <is>
          <t>유형자산의 취득</t>
        </is>
      </c>
      <c r="U4" s="32" t="inlineStr">
        <is>
          <t>현금및현금성자산</t>
        </is>
      </c>
      <c r="V4" s="32" t="inlineStr">
        <is>
          <t>해당 없음</t>
        </is>
      </c>
      <c r="W4" s="32" t="inlineStr">
        <is>
          <t>해당 없음</t>
        </is>
      </c>
      <c r="X4" s="39" t="n">
        <v>0.2228854631829385</v>
      </c>
      <c r="Y4" s="39" t="n">
        <v>0.1136541620968272</v>
      </c>
      <c r="Z4" s="39" t="n">
        <v>0.9610849182368882</v>
      </c>
      <c r="AA4" s="39" t="n">
        <v>0.4900781752485001</v>
      </c>
      <c r="AB4" s="39" t="n">
        <v>0.5099218247514998</v>
      </c>
      <c r="AC4" s="39" t="n">
        <v>0.2040734369124416</v>
      </c>
      <c r="AD4" s="32" t="inlineStr">
        <is>
          <t>해당 없음</t>
        </is>
      </c>
      <c r="AE4" s="32" t="inlineStr">
        <is>
          <t>해당 없음</t>
        </is>
      </c>
      <c r="AF4" s="32" t="inlineStr">
        <is>
          <t>해당 없음</t>
        </is>
      </c>
      <c r="AG4" s="39" t="n">
        <v>0.4489911003444792</v>
      </c>
      <c r="AH4" s="32" t="inlineStr">
        <is>
          <t>해당 없음</t>
        </is>
      </c>
      <c r="AI4" s="39" t="n">
        <v>0.6410030104514508</v>
      </c>
      <c r="AJ4" s="39" t="n">
        <v>0.1585871758856154</v>
      </c>
    </row>
    <row r="5" ht="24" customHeight="1">
      <c r="A5" s="33" t="n">
        <v>2023</v>
      </c>
      <c r="B5" s="27" t="inlineStr">
        <is>
          <t>해당 없음</t>
        </is>
      </c>
      <c r="C5" s="33" t="n">
        <v>176174316058</v>
      </c>
      <c r="D5" s="33" t="n">
        <v>123534360586</v>
      </c>
      <c r="E5" s="33" t="n">
        <v>1606588027004</v>
      </c>
      <c r="F5" s="33" t="n">
        <v>771106380233</v>
      </c>
      <c r="G5" s="33" t="n">
        <v>835481646771</v>
      </c>
      <c r="H5" s="33" t="n">
        <v>272560514431</v>
      </c>
      <c r="I5" s="33" t="n">
        <v>114685604318</v>
      </c>
      <c r="J5" s="33" t="n">
        <v>1128058465</v>
      </c>
      <c r="K5" s="33" t="n">
        <v>113557545853</v>
      </c>
      <c r="L5" s="33" t="n">
        <v>-260654256749</v>
      </c>
      <c r="M5" s="33" t="n">
        <v>192</v>
      </c>
      <c r="N5" s="27" t="inlineStr">
        <is>
          <t>영업이익(손실)</t>
        </is>
      </c>
      <c r="O5" s="27" t="inlineStr">
        <is>
          <t>당기순이익</t>
        </is>
      </c>
      <c r="P5" s="27" t="inlineStr">
        <is>
          <t>자산총계</t>
        </is>
      </c>
      <c r="Q5" s="27" t="inlineStr">
        <is>
          <t>부채총계</t>
        </is>
      </c>
      <c r="R5" s="27" t="inlineStr">
        <is>
          <t>자본총계</t>
        </is>
      </c>
      <c r="S5" s="27" t="inlineStr">
        <is>
          <t>영업활동현금흐름</t>
        </is>
      </c>
      <c r="T5" s="27" t="inlineStr">
        <is>
          <t>무형자산의 취득</t>
        </is>
      </c>
      <c r="U5" s="27" t="inlineStr">
        <is>
          <t>현금및현금성자산</t>
        </is>
      </c>
      <c r="V5" s="27" t="inlineStr">
        <is>
          <t>해당 없음</t>
        </is>
      </c>
      <c r="W5" s="27" t="inlineStr">
        <is>
          <t>해당 없음</t>
        </is>
      </c>
      <c r="X5" s="38" t="n">
        <v>0.1478600530166523</v>
      </c>
      <c r="Y5" s="38" t="n">
        <v>0.07689236973611059</v>
      </c>
      <c r="Z5" s="38" t="n">
        <v>0.922948317552157</v>
      </c>
      <c r="AA5" s="38" t="n">
        <v>0.4799652227403784</v>
      </c>
      <c r="AB5" s="38" t="n">
        <v>0.5200347772596216</v>
      </c>
      <c r="AC5" s="38" t="n">
        <v>0.1696517774623758</v>
      </c>
      <c r="AD5" s="27" t="inlineStr">
        <is>
          <t>해당 없음</t>
        </is>
      </c>
      <c r="AE5" s="27" t="inlineStr">
        <is>
          <t>해당 없음</t>
        </is>
      </c>
      <c r="AF5" s="27" t="inlineStr">
        <is>
          <t>해당 없음</t>
        </is>
      </c>
      <c r="AG5" s="38" t="n">
        <v>0.6445749209868631</v>
      </c>
      <c r="AH5" s="27" t="inlineStr">
        <is>
          <t>해당 없음</t>
        </is>
      </c>
      <c r="AI5" s="38" t="n">
        <v>-0.1855421750197359</v>
      </c>
      <c r="AJ5" s="38" t="n">
        <v>0.1690197920756531</v>
      </c>
    </row>
    <row r="6" ht="24" customHeight="1">
      <c r="A6" s="34" t="n">
        <v>2024</v>
      </c>
      <c r="B6" s="32" t="inlineStr">
        <is>
          <t>해당 없음</t>
        </is>
      </c>
      <c r="C6" s="34" t="n">
        <v>208225729660</v>
      </c>
      <c r="D6" s="34" t="n">
        <v>143484559745</v>
      </c>
      <c r="E6" s="34" t="n">
        <v>2016989003189</v>
      </c>
      <c r="F6" s="34" t="n">
        <v>996558402618</v>
      </c>
      <c r="G6" s="34" t="n">
        <v>1020430600571</v>
      </c>
      <c r="H6" s="34" t="n">
        <v>417387384045</v>
      </c>
      <c r="I6" s="34" t="n">
        <v>226861923132</v>
      </c>
      <c r="J6" s="34" t="n">
        <v>3589079921</v>
      </c>
      <c r="K6" s="34" t="n">
        <v>223272843211</v>
      </c>
      <c r="L6" s="34" t="n">
        <v>-267472661689</v>
      </c>
      <c r="M6" s="34" t="n">
        <v>227</v>
      </c>
      <c r="N6" s="32" t="inlineStr">
        <is>
          <t>영업이익</t>
        </is>
      </c>
      <c r="O6" s="32" t="inlineStr">
        <is>
          <t>당기순이익</t>
        </is>
      </c>
      <c r="P6" s="32" t="inlineStr">
        <is>
          <t>자산총계</t>
        </is>
      </c>
      <c r="Q6" s="32" t="inlineStr">
        <is>
          <t>부채총계</t>
        </is>
      </c>
      <c r="R6" s="32" t="inlineStr">
        <is>
          <t>자본총계</t>
        </is>
      </c>
      <c r="S6" s="32" t="inlineStr">
        <is>
          <t>영업활동으로 인한 현금흐름</t>
        </is>
      </c>
      <c r="T6" s="32" t="inlineStr">
        <is>
          <t>무형자산의 취득</t>
        </is>
      </c>
      <c r="U6" s="32" t="inlineStr">
        <is>
          <t>현금및현금성자산</t>
        </is>
      </c>
      <c r="V6" s="32" t="inlineStr">
        <is>
          <t>해당 없음</t>
        </is>
      </c>
      <c r="W6" s="32" t="inlineStr">
        <is>
          <t>해당 없음</t>
        </is>
      </c>
      <c r="X6" s="39" t="n">
        <v>0.1406117766996704</v>
      </c>
      <c r="Y6" s="39" t="n">
        <v>0.07113799803476416</v>
      </c>
      <c r="Z6" s="39" t="n">
        <v>0.976605760411691</v>
      </c>
      <c r="AA6" s="39" t="n">
        <v>0.494082219110948</v>
      </c>
      <c r="AB6" s="39" t="n">
        <v>0.505917780889052</v>
      </c>
      <c r="AC6" s="39" t="n">
        <v>0.2069358749031757</v>
      </c>
      <c r="AD6" s="32" t="inlineStr">
        <is>
          <t>해당 없음</t>
        </is>
      </c>
      <c r="AE6" s="32" t="inlineStr">
        <is>
          <t>해당 없음</t>
        </is>
      </c>
      <c r="AF6" s="32" t="inlineStr">
        <is>
          <t>해당 없음</t>
        </is>
      </c>
      <c r="AG6" s="39" t="n">
        <v>1.072263468955396</v>
      </c>
      <c r="AH6" s="32" t="inlineStr">
        <is>
          <t>해당 없음</t>
        </is>
      </c>
      <c r="AI6" s="39" t="n">
        <v>0.1819301151221615</v>
      </c>
      <c r="AJ6" s="39" t="n">
        <v>0.2554487953892726</v>
      </c>
    </row>
    <row r="7" ht="24" customHeight="1">
      <c r="A7" s="33" t="n">
        <v>2025</v>
      </c>
      <c r="B7" s="27" t="inlineStr">
        <is>
          <t>해당 없음</t>
        </is>
      </c>
      <c r="C7" s="33" t="n">
        <v>172448889381</v>
      </c>
      <c r="D7" s="33" t="n">
        <v>94092225845</v>
      </c>
      <c r="E7" s="33" t="n">
        <v>2006130721478</v>
      </c>
      <c r="F7" s="33" t="n">
        <v>904550189105</v>
      </c>
      <c r="G7" s="33" t="n">
        <v>1101580532373</v>
      </c>
      <c r="H7" s="33" t="n">
        <v>371911660277</v>
      </c>
      <c r="I7" s="33" t="n">
        <v>191257331406</v>
      </c>
      <c r="J7" s="33" t="n">
        <v>4247018099</v>
      </c>
      <c r="K7" s="33" t="n">
        <v>187010313307</v>
      </c>
      <c r="L7" s="33" t="n">
        <v>-32797015301</v>
      </c>
      <c r="M7" s="33" t="n">
        <v>244</v>
      </c>
      <c r="N7" s="27" t="inlineStr">
        <is>
          <t>영업이익</t>
        </is>
      </c>
      <c r="O7" s="27" t="inlineStr">
        <is>
          <t>당기순이익</t>
        </is>
      </c>
      <c r="P7" s="27" t="inlineStr">
        <is>
          <t>자산총계</t>
        </is>
      </c>
      <c r="Q7" s="27" t="inlineStr">
        <is>
          <t>부채총계</t>
        </is>
      </c>
      <c r="R7" s="27" t="inlineStr">
        <is>
          <t>자본총계</t>
        </is>
      </c>
      <c r="S7" s="27" t="inlineStr">
        <is>
          <t>영업활동으로 인한 현금흐름</t>
        </is>
      </c>
      <c r="T7" s="27" t="inlineStr">
        <is>
          <t>무형자산의 취득</t>
        </is>
      </c>
      <c r="U7" s="27" t="inlineStr">
        <is>
          <t>현금및현금성자산</t>
        </is>
      </c>
      <c r="V7" s="27" t="inlineStr">
        <is>
          <t>해당 없음</t>
        </is>
      </c>
      <c r="W7" s="27" t="inlineStr">
        <is>
          <t>해당 없음</t>
        </is>
      </c>
      <c r="X7" s="38" t="n">
        <v>0.08541565784782765</v>
      </c>
      <c r="Y7" s="38" t="n">
        <v>0.04690234032988555</v>
      </c>
      <c r="Z7" s="38" t="n">
        <v>0.8211385028350476</v>
      </c>
      <c r="AA7" s="38" t="n">
        <v>0.4508929450213395</v>
      </c>
      <c r="AB7" s="38" t="n">
        <v>0.5491070549786605</v>
      </c>
      <c r="AC7" s="38" t="n">
        <v>0.1853875504199433</v>
      </c>
      <c r="AD7" s="27" t="inlineStr">
        <is>
          <t>해당 없음</t>
        </is>
      </c>
      <c r="AE7" s="27" t="inlineStr">
        <is>
          <t>해당 없음</t>
        </is>
      </c>
      <c r="AF7" s="27" t="inlineStr">
        <is>
          <t>해당 없음</t>
        </is>
      </c>
      <c r="AG7" s="38" t="n">
        <v>1.084439070487887</v>
      </c>
      <c r="AH7" s="27" t="inlineStr">
        <is>
          <t>해당 없음</t>
        </is>
      </c>
      <c r="AI7" s="38" t="n">
        <v>-0.1718175767107071</v>
      </c>
      <c r="AJ7" s="38" t="n">
        <v>-0.005383411458283804</v>
      </c>
    </row>
  </sheetData>
  <autoFilter ref="A2:AJ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수익성·안정성·현금흐름 핵심비율</t>
        </is>
      </c>
    </row>
    <row r="2" ht="24" customHeight="1">
      <c r="A2" s="28" t="inlineStr">
        <is>
          <t>연도</t>
        </is>
      </c>
      <c r="B2" s="28" t="inlineStr">
        <is>
          <t>매출성장률</t>
        </is>
      </c>
      <c r="C2" s="28" t="inlineStr">
        <is>
          <t>영업이익성장률</t>
        </is>
      </c>
      <c r="D2" s="28" t="inlineStr">
        <is>
          <t>영업이익률</t>
        </is>
      </c>
      <c r="E2" s="28" t="inlineStr">
        <is>
          <t>순이익률</t>
        </is>
      </c>
      <c r="F2" s="28" t="inlineStr">
        <is>
          <t>ROE</t>
        </is>
      </c>
      <c r="G2" s="28" t="inlineStr">
        <is>
          <t>ROA</t>
        </is>
      </c>
      <c r="H2" s="28" t="inlineStr">
        <is>
          <t>부채/자본</t>
        </is>
      </c>
      <c r="I2" s="28" t="inlineStr">
        <is>
          <t>자본비율</t>
        </is>
      </c>
      <c r="J2" s="28" t="inlineStr">
        <is>
          <t>CFO margin</t>
        </is>
      </c>
      <c r="K2" s="28" t="inlineStr">
        <is>
          <t>FCF margin</t>
        </is>
      </c>
      <c r="L2" s="28" t="inlineStr">
        <is>
          <t>FCF 전환율</t>
        </is>
      </c>
    </row>
    <row r="3" ht="24" customHeight="1">
      <c r="A3" s="33" t="n">
        <v>2021</v>
      </c>
      <c r="B3" s="27" t="inlineStr">
        <is>
          <t>해당 없음</t>
        </is>
      </c>
      <c r="C3" s="27" t="inlineStr">
        <is>
          <t>해당 없음</t>
        </is>
      </c>
      <c r="D3" s="27" t="inlineStr">
        <is>
          <t>해당 없음</t>
        </is>
      </c>
      <c r="E3" s="27" t="inlineStr">
        <is>
          <t>해당 없음</t>
        </is>
      </c>
      <c r="F3" s="38" t="n">
        <v>0.1833744773266692</v>
      </c>
      <c r="G3" s="38" t="n">
        <v>0.08673087707890099</v>
      </c>
      <c r="H3" s="38" t="n">
        <v>1.114292896632987</v>
      </c>
      <c r="I3" s="38" t="n">
        <v>0.4729713662626879</v>
      </c>
      <c r="J3" s="27" t="inlineStr">
        <is>
          <t>해당 없음</t>
        </is>
      </c>
      <c r="K3" s="27" t="inlineStr">
        <is>
          <t>해당 없음</t>
        </is>
      </c>
      <c r="L3" s="38" t="n">
        <v>-0.1725882922877786</v>
      </c>
    </row>
    <row r="4" ht="24" customHeight="1">
      <c r="A4" s="34" t="n">
        <v>2022</v>
      </c>
      <c r="B4" s="32" t="inlineStr">
        <is>
          <t>해당 없음</t>
        </is>
      </c>
      <c r="C4" s="39" t="n">
        <v>0.6410030104514508</v>
      </c>
      <c r="D4" s="32" t="inlineStr">
        <is>
          <t>해당 없음</t>
        </is>
      </c>
      <c r="E4" s="32" t="inlineStr">
        <is>
          <t>해당 없음</t>
        </is>
      </c>
      <c r="F4" s="39" t="n">
        <v>0.2228854631829385</v>
      </c>
      <c r="G4" s="39" t="n">
        <v>0.1136541620968272</v>
      </c>
      <c r="H4" s="39" t="n">
        <v>0.9610849182368882</v>
      </c>
      <c r="I4" s="39" t="n">
        <v>0.5099218247514998</v>
      </c>
      <c r="J4" s="32" t="inlineStr">
        <is>
          <t>해당 없음</t>
        </is>
      </c>
      <c r="K4" s="32" t="inlineStr">
        <is>
          <t>해당 없음</t>
        </is>
      </c>
      <c r="L4" s="39" t="n">
        <v>0.4489911003444792</v>
      </c>
    </row>
    <row r="5" ht="24" customHeight="1">
      <c r="A5" s="33" t="n">
        <v>2023</v>
      </c>
      <c r="B5" s="27" t="inlineStr">
        <is>
          <t>해당 없음</t>
        </is>
      </c>
      <c r="C5" s="38" t="n">
        <v>-0.1855421750197359</v>
      </c>
      <c r="D5" s="27" t="inlineStr">
        <is>
          <t>해당 없음</t>
        </is>
      </c>
      <c r="E5" s="27" t="inlineStr">
        <is>
          <t>해당 없음</t>
        </is>
      </c>
      <c r="F5" s="38" t="n">
        <v>0.1478600530166523</v>
      </c>
      <c r="G5" s="38" t="n">
        <v>0.07689236973611059</v>
      </c>
      <c r="H5" s="38" t="n">
        <v>0.922948317552157</v>
      </c>
      <c r="I5" s="38" t="n">
        <v>0.5200347772596216</v>
      </c>
      <c r="J5" s="27" t="inlineStr">
        <is>
          <t>해당 없음</t>
        </is>
      </c>
      <c r="K5" s="27" t="inlineStr">
        <is>
          <t>해당 없음</t>
        </is>
      </c>
      <c r="L5" s="38" t="n">
        <v>0.6445749209868631</v>
      </c>
    </row>
    <row r="6" ht="24" customHeight="1">
      <c r="A6" s="34" t="n">
        <v>2024</v>
      </c>
      <c r="B6" s="32" t="inlineStr">
        <is>
          <t>해당 없음</t>
        </is>
      </c>
      <c r="C6" s="39" t="n">
        <v>0.1819301151221615</v>
      </c>
      <c r="D6" s="32" t="inlineStr">
        <is>
          <t>해당 없음</t>
        </is>
      </c>
      <c r="E6" s="32" t="inlineStr">
        <is>
          <t>해당 없음</t>
        </is>
      </c>
      <c r="F6" s="39" t="n">
        <v>0.1406117766996704</v>
      </c>
      <c r="G6" s="39" t="n">
        <v>0.07113799803476416</v>
      </c>
      <c r="H6" s="39" t="n">
        <v>0.976605760411691</v>
      </c>
      <c r="I6" s="39" t="n">
        <v>0.505917780889052</v>
      </c>
      <c r="J6" s="32" t="inlineStr">
        <is>
          <t>해당 없음</t>
        </is>
      </c>
      <c r="K6" s="32" t="inlineStr">
        <is>
          <t>해당 없음</t>
        </is>
      </c>
      <c r="L6" s="39" t="n">
        <v>1.072263468955396</v>
      </c>
    </row>
    <row r="7" ht="24" customHeight="1">
      <c r="A7" s="33" t="n">
        <v>2025</v>
      </c>
      <c r="B7" s="27" t="inlineStr">
        <is>
          <t>해당 없음</t>
        </is>
      </c>
      <c r="C7" s="38" t="n">
        <v>-0.1718175767107071</v>
      </c>
      <c r="D7" s="27" t="inlineStr">
        <is>
          <t>해당 없음</t>
        </is>
      </c>
      <c r="E7" s="27" t="inlineStr">
        <is>
          <t>해당 없음</t>
        </is>
      </c>
      <c r="F7" s="38" t="n">
        <v>0.08541565784782765</v>
      </c>
      <c r="G7" s="38" t="n">
        <v>0.04690234032988555</v>
      </c>
      <c r="H7" s="38" t="n">
        <v>0.8211385028350476</v>
      </c>
      <c r="I7" s="38" t="n">
        <v>0.5491070549786605</v>
      </c>
      <c r="J7" s="27" t="inlineStr">
        <is>
          <t>해당 없음</t>
        </is>
      </c>
      <c r="K7" s="27" t="inlineStr">
        <is>
          <t>해당 없음</t>
        </is>
      </c>
      <c r="L7" s="38" t="n">
        <v>1.084439070487887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WACC 산정</t>
        </is>
      </c>
    </row>
    <row r="2" ht="28" customHeight="1">
      <c r="A2" s="20" t="inlineStr">
        <is>
          <t>노란 셀은 사용자가 시나리오별로 조정 가능한 입력값입니다.</t>
        </is>
      </c>
    </row>
    <row r="3" ht="24" customHeight="1"/>
    <row r="4" ht="24" customHeight="1">
      <c r="A4" s="40" t="inlineStr">
        <is>
          <t>무위험수익률</t>
        </is>
      </c>
      <c r="B4" s="41" t="n">
        <v>0.035</v>
      </c>
      <c r="C4" s="29" t="inlineStr">
        <is>
          <t>valuation_assumptions.json 또는 기본값</t>
        </is>
      </c>
    </row>
    <row r="5" ht="24" customHeight="1">
      <c r="A5" s="40" t="inlineStr">
        <is>
          <t>Beta</t>
        </is>
      </c>
      <c r="B5" s="41" t="n">
        <v>1.8</v>
      </c>
      <c r="C5" s="29" t="inlineStr">
        <is>
          <t>주가 변동성 proxy 또는 사용자 가정</t>
        </is>
      </c>
    </row>
    <row r="6" ht="24" customHeight="1">
      <c r="A6" s="40" t="inlineStr">
        <is>
          <t>시장위험프리미엄</t>
        </is>
      </c>
      <c r="B6" s="42" t="n">
        <v>0.06</v>
      </c>
      <c r="C6" s="29" t="inlineStr">
        <is>
          <t>사용자 조정 가능</t>
        </is>
      </c>
    </row>
    <row r="7" ht="24" customHeight="1">
      <c r="A7" s="40" t="inlineStr">
        <is>
          <t>자기자본비용</t>
        </is>
      </c>
      <c r="B7" s="43">
        <f>B4+B5*B6</f>
        <v/>
      </c>
      <c r="C7" s="29" t="inlineStr">
        <is>
          <t>공식: Rf + Beta × MRP</t>
        </is>
      </c>
    </row>
    <row r="8" ht="24" customHeight="1">
      <c r="A8" s="40" t="inlineStr">
        <is>
          <t>세전 차입비용</t>
        </is>
      </c>
      <c r="B8" s="42" t="n">
        <v>0.055</v>
      </c>
      <c r="C8" s="29" t="inlineStr">
        <is>
          <t>사용자 조정 가능</t>
        </is>
      </c>
    </row>
    <row r="9" ht="24" customHeight="1">
      <c r="A9" s="40" t="inlineStr">
        <is>
          <t>법인세율</t>
        </is>
      </c>
      <c r="B9" s="41" t="n">
        <v>0.24</v>
      </c>
      <c r="C9" s="29" t="inlineStr">
        <is>
          <t>사용자 조정 가능</t>
        </is>
      </c>
    </row>
    <row r="10" ht="24" customHeight="1">
      <c r="A10" s="40" t="inlineStr">
        <is>
          <t>세후 차입비용</t>
        </is>
      </c>
      <c r="B10" s="43">
        <f>B8*(1-B9)</f>
        <v/>
      </c>
      <c r="C10" s="29" t="inlineStr">
        <is>
          <t>공식</t>
        </is>
      </c>
    </row>
    <row r="11" ht="24" customHeight="1">
      <c r="A11" s="40" t="inlineStr">
        <is>
          <t>자기자본 비중</t>
        </is>
      </c>
      <c r="B11" s="41" t="n">
        <v>0.7552860459889859</v>
      </c>
      <c r="C11" s="29" t="inlineStr">
        <is>
          <t>시장가치/장부가치 기반</t>
        </is>
      </c>
    </row>
    <row r="12" ht="24" customHeight="1">
      <c r="A12" s="40" t="inlineStr">
        <is>
          <t>부채 비중</t>
        </is>
      </c>
      <c r="B12" s="41" t="n">
        <v>0.2447139540110141</v>
      </c>
      <c r="C12" s="29" t="inlineStr">
        <is>
          <t>부채 proxy 기반</t>
        </is>
      </c>
    </row>
    <row r="13" ht="24" customHeight="1">
      <c r="A13" s="40" t="inlineStr">
        <is>
          <t>WACC</t>
        </is>
      </c>
      <c r="B13" s="44">
        <f>B11*B7+B12*B10</f>
        <v/>
      </c>
      <c r="C13" s="29" t="inlineStr">
        <is>
          <t>공식: E/V×Ke + D/V×Kd(1-T)</t>
        </is>
      </c>
    </row>
    <row r="14" ht="24" customHeight="1">
      <c r="A14" s="40" t="inlineStr">
        <is>
          <t>사용한 시가총액</t>
        </is>
      </c>
      <c r="B14" s="30" t="n">
        <v>2791807024200</v>
      </c>
      <c r="C14" s="29" t="inlineStr">
        <is>
          <t>발행주식 수 intake 가능 시 반영</t>
        </is>
      </c>
    </row>
    <row r="15" ht="24" customHeight="1">
      <c r="A15" s="40" t="inlineStr">
        <is>
          <t>부채 proxy</t>
        </is>
      </c>
      <c r="B15" s="30" t="n">
        <v>904550189105</v>
      </c>
      <c r="C15" s="29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FCF 추정</t>
        </is>
      </c>
    </row>
    <row r="2" ht="24" customHeight="1">
      <c r="A2" s="28" t="inlineStr">
        <is>
          <t>상태</t>
        </is>
      </c>
      <c r="B2" s="28" t="inlineStr">
        <is>
          <t>메시지</t>
        </is>
      </c>
    </row>
    <row r="3" ht="24" customHeight="1">
      <c r="A3" s="27" t="inlineStr">
        <is>
          <t>INFO</t>
        </is>
      </c>
      <c r="B3" s="27" t="inlineStr">
        <is>
          <t>표시할 원천 행이 없습니다.</t>
        </is>
      </c>
    </row>
  </sheetData>
  <autoFilter ref="A2:B3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DCF 가치평가</t>
        </is>
      </c>
    </row>
    <row r="2" ht="28" customHeight="1">
      <c r="A2" s="20" t="inlineStr">
        <is>
          <t>명시적 FCF + Terminal Value + 현금 - 부채 proxy</t>
        </is>
      </c>
    </row>
    <row r="3" ht="24" customHeight="1"/>
    <row r="4" ht="24" customHeight="1">
      <c r="A4" s="25" t="inlineStr">
        <is>
          <t>DCF 결과 요약</t>
        </is>
      </c>
    </row>
    <row r="5" ht="24" customHeight="1">
      <c r="A5" s="28" t="inlineStr">
        <is>
          <t>항목</t>
        </is>
      </c>
      <c r="B5" s="28" t="inlineStr">
        <is>
          <t>값</t>
        </is>
      </c>
      <c r="C5" s="28" t="inlineStr">
        <is>
          <t>비고</t>
        </is>
      </c>
    </row>
    <row r="6" ht="24" customHeight="1">
      <c r="A6" s="27" t="inlineStr">
        <is>
          <t>기준연도</t>
        </is>
      </c>
      <c r="B6" s="27" t="inlineStr">
        <is>
          <t>해당 없음</t>
        </is>
      </c>
      <c r="C6" s="27" t="inlineStr">
        <is>
          <t>최근 정규화 재무제표 연도</t>
        </is>
      </c>
    </row>
    <row r="7" ht="24" customHeight="1">
      <c r="A7" s="32" t="inlineStr">
        <is>
          <t>기준 매출액</t>
        </is>
      </c>
      <c r="B7" s="32" t="inlineStr">
        <is>
          <t>해당 없음</t>
        </is>
      </c>
      <c r="C7" s="32" t="inlineStr">
        <is>
          <t>DART 기반</t>
        </is>
      </c>
    </row>
    <row r="8" ht="24" customHeight="1">
      <c r="A8" s="27" t="inlineStr">
        <is>
          <t>매출 CAGR</t>
        </is>
      </c>
      <c r="B8" s="27" t="inlineStr">
        <is>
          <t>해당 없음</t>
        </is>
      </c>
      <c r="C8" s="27" t="inlineStr">
        <is>
          <t>과거 재무제표 기반</t>
        </is>
      </c>
    </row>
    <row r="9" ht="24" customHeight="1">
      <c r="A9" s="32" t="inlineStr">
        <is>
          <t>추정 매출성장률</t>
        </is>
      </c>
      <c r="B9" s="32" t="inlineStr">
        <is>
          <t>해당 없음</t>
        </is>
      </c>
      <c r="C9" s="32" t="inlineStr">
        <is>
          <t>최근 추세를 보수적으로 bounded</t>
        </is>
      </c>
    </row>
    <row r="10" ht="24" customHeight="1">
      <c r="A10" s="27" t="inlineStr">
        <is>
          <t>추정 FCF margin</t>
        </is>
      </c>
      <c r="B10" s="27" t="inlineStr">
        <is>
          <t>해당 없음</t>
        </is>
      </c>
      <c r="C10" s="27" t="inlineStr">
        <is>
          <t>최근 3년 평균 기반</t>
        </is>
      </c>
    </row>
    <row r="11" ht="24" customHeight="1">
      <c r="A11" s="32" t="inlineStr">
        <is>
          <t>WACC</t>
        </is>
      </c>
      <c r="B11" s="34" t="n">
        <v>0.1182349478540854</v>
      </c>
      <c r="C11" s="32" t="inlineStr">
        <is>
          <t>07_WACC 참조</t>
        </is>
      </c>
    </row>
    <row r="12" ht="24" customHeight="1">
      <c r="A12" s="27" t="inlineStr">
        <is>
          <t>영구성장률</t>
        </is>
      </c>
      <c r="B12" s="33" t="n">
        <v>0.015</v>
      </c>
      <c r="C12" s="27" t="inlineStr">
        <is>
          <t>valuation_assumptions.json</t>
        </is>
      </c>
    </row>
    <row r="13" ht="24" customHeight="1">
      <c r="A13" s="32" t="inlineStr">
        <is>
          <t>FCF 현재가치</t>
        </is>
      </c>
      <c r="B13" s="32" t="inlineStr">
        <is>
          <t>해당 없음</t>
        </is>
      </c>
      <c r="C13" s="32" t="inlineStr">
        <is>
          <t>명시적 기간 FCF 할인</t>
        </is>
      </c>
    </row>
    <row r="14" ht="24" customHeight="1">
      <c r="A14" s="27" t="inlineStr">
        <is>
          <t>Terminal Value</t>
        </is>
      </c>
      <c r="B14" s="27" t="inlineStr">
        <is>
          <t>해당 없음</t>
        </is>
      </c>
      <c r="C14" s="27" t="inlineStr">
        <is>
          <t>Gordon Growth</t>
        </is>
      </c>
    </row>
    <row r="15" ht="24" customHeight="1">
      <c r="A15" s="32" t="inlineStr">
        <is>
          <t>Terminal 현재가치</t>
        </is>
      </c>
      <c r="B15" s="32" t="inlineStr">
        <is>
          <t>해당 없음</t>
        </is>
      </c>
      <c r="C15" s="32" t="inlineStr">
        <is>
          <t>Terminal Value 할인</t>
        </is>
      </c>
    </row>
    <row r="16" ht="24" customHeight="1">
      <c r="A16" s="27" t="inlineStr">
        <is>
          <t>기업가치(EV)</t>
        </is>
      </c>
      <c r="B16" s="27" t="inlineStr">
        <is>
          <t>해당 없음</t>
        </is>
      </c>
      <c r="C16" s="27" t="inlineStr">
        <is>
          <t>PV FCF + PV Terminal</t>
        </is>
      </c>
    </row>
    <row r="17" ht="24" customHeight="1">
      <c r="A17" s="32" t="inlineStr">
        <is>
          <t>지분가치</t>
        </is>
      </c>
      <c r="B17" s="32" t="inlineStr">
        <is>
          <t>해당 없음</t>
        </is>
      </c>
      <c r="C17" s="32" t="inlineStr">
        <is>
          <t>EV + 현금 - 부채 proxy</t>
        </is>
      </c>
    </row>
    <row r="18" ht="24" customHeight="1">
      <c r="A18" s="27" t="inlineStr">
        <is>
          <t>발행주식 수</t>
        </is>
      </c>
      <c r="B18" s="27" t="inlineStr">
        <is>
          <t>해당 없음</t>
        </is>
      </c>
      <c r="C18" s="27" t="inlineStr">
        <is>
          <t>DART stockTotqySttus 또는 해당 없음</t>
        </is>
      </c>
    </row>
    <row r="19" ht="24" customHeight="1">
      <c r="A19" s="32" t="inlineStr">
        <is>
          <t>현재가</t>
        </is>
      </c>
      <c r="B19" s="32" t="inlineStr">
        <is>
          <t>해당 없음</t>
        </is>
      </c>
      <c r="C19" s="32" t="inlineStr">
        <is>
          <t>주가 intake</t>
        </is>
      </c>
    </row>
    <row r="20" ht="24" customHeight="1">
      <c r="A20" s="27" t="inlineStr">
        <is>
          <t>DCF 내재주가</t>
        </is>
      </c>
      <c r="B20" s="27" t="inlineStr">
        <is>
          <t>해당 없음</t>
        </is>
      </c>
      <c r="C20" s="27" t="inlineStr">
        <is>
          <t>지분가치 / 발행주식 수</t>
        </is>
      </c>
    </row>
    <row r="21" ht="24" customHeight="1">
      <c r="A21" s="32" t="inlineStr">
        <is>
          <t>현재가 대비 괴리율</t>
        </is>
      </c>
      <c r="B21" s="32" t="inlineStr">
        <is>
          <t>해당 없음</t>
        </is>
      </c>
      <c r="C21" s="32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5" t="inlineStr">
        <is>
          <t>피어 비교 / 상대가치</t>
        </is>
      </c>
    </row>
    <row r="2" ht="24" customHeight="1">
      <c r="A2" s="28" t="inlineStr">
        <is>
          <t>기업코드</t>
        </is>
      </c>
      <c r="B2" s="28" t="inlineStr">
        <is>
          <t>기업명</t>
        </is>
      </c>
      <c r="C2" s="28" t="inlineStr">
        <is>
          <t>종목코드</t>
        </is>
      </c>
      <c r="D2" s="28" t="inlineStr">
        <is>
          <t>시장</t>
        </is>
      </c>
      <c r="E2" s="28" t="inlineStr">
        <is>
          <t>분석대상</t>
        </is>
      </c>
      <c r="F2" s="28" t="inlineStr">
        <is>
          <t>최근연도</t>
        </is>
      </c>
      <c r="G2" s="28" t="inlineStr">
        <is>
          <t>latest_close</t>
        </is>
      </c>
      <c r="H2" s="28" t="inlineStr">
        <is>
          <t>발행주식 수</t>
        </is>
      </c>
      <c r="I2" s="28" t="inlineStr">
        <is>
          <t>시가총액</t>
        </is>
      </c>
      <c r="J2" s="28" t="inlineStr">
        <is>
          <t>매출액</t>
        </is>
      </c>
      <c r="K2" s="28" t="inlineStr">
        <is>
          <t>영업이익</t>
        </is>
      </c>
      <c r="L2" s="28" t="inlineStr">
        <is>
          <t>순이익</t>
        </is>
      </c>
      <c r="M2" s="28" t="inlineStr">
        <is>
          <t>자산총계</t>
        </is>
      </c>
      <c r="N2" s="28" t="inlineStr">
        <is>
          <t>부채총계</t>
        </is>
      </c>
      <c r="O2" s="28" t="inlineStr">
        <is>
          <t>자본총계</t>
        </is>
      </c>
      <c r="P2" s="28" t="inlineStr">
        <is>
          <t>FCF</t>
        </is>
      </c>
      <c r="Q2" s="28" t="inlineStr">
        <is>
          <t>FCF margin</t>
        </is>
      </c>
      <c r="R2" s="28" t="inlineStr">
        <is>
          <t>1년 수익률</t>
        </is>
      </c>
      <c r="S2" s="28" t="inlineStr">
        <is>
          <t>연환산 변동성</t>
        </is>
      </c>
      <c r="T2" s="28" t="inlineStr">
        <is>
          <t>MDD</t>
        </is>
      </c>
      <c r="U2" s="28" t="inlineStr">
        <is>
          <t>52주 고가</t>
        </is>
      </c>
      <c r="V2" s="28" t="inlineStr">
        <is>
          <t>52주 저가</t>
        </is>
      </c>
      <c r="W2" s="28" t="inlineStr">
        <is>
          <t>data_status</t>
        </is>
      </c>
      <c r="X2" s="28" t="inlineStr">
        <is>
          <t>diagnostics</t>
        </is>
      </c>
      <c r="Y2" s="28" t="inlineStr">
        <is>
          <t>EV proxy</t>
        </is>
      </c>
      <c r="Z2" s="28" t="inlineStr">
        <is>
          <t>P/S</t>
        </is>
      </c>
      <c r="AA2" s="28" t="inlineStr">
        <is>
          <t>PER</t>
        </is>
      </c>
      <c r="AB2" s="28" t="inlineStr">
        <is>
          <t>PBR</t>
        </is>
      </c>
      <c r="AC2" s="28" t="inlineStr">
        <is>
          <t>EV/Sales</t>
        </is>
      </c>
      <c r="AD2" s="28" t="inlineStr">
        <is>
          <t>EV/EBIT</t>
        </is>
      </c>
      <c r="AE2" s="28" t="inlineStr">
        <is>
          <t>P/FCF</t>
        </is>
      </c>
      <c r="AF2" s="28" t="inlineStr">
        <is>
          <t>영업이익률</t>
        </is>
      </c>
      <c r="AG2" s="28" t="inlineStr">
        <is>
          <t>ROE</t>
        </is>
      </c>
      <c r="AH2" s="28" t="inlineStr">
        <is>
          <t>부채/자본</t>
        </is>
      </c>
      <c r="AI2" s="28" t="inlineStr">
        <is>
          <t>psr_data_quality</t>
        </is>
      </c>
    </row>
    <row r="3" ht="24" customHeight="1">
      <c r="A3" s="27" t="inlineStr">
        <is>
          <t>nepes</t>
        </is>
      </c>
      <c r="B3" s="27" t="inlineStr">
        <is>
          <t>네패스</t>
        </is>
      </c>
      <c r="C3" s="27" t="inlineStr">
        <is>
          <t>033640</t>
        </is>
      </c>
      <c r="D3" s="27" t="inlineStr">
        <is>
          <t>KOSDAQ</t>
        </is>
      </c>
      <c r="E3" s="27" t="b">
        <v>0</v>
      </c>
      <c r="F3" s="27" t="inlineStr">
        <is>
          <t>2025</t>
        </is>
      </c>
      <c r="G3" s="27" t="inlineStr">
        <is>
          <t>27650.0</t>
        </is>
      </c>
      <c r="H3" s="27" t="inlineStr">
        <is>
          <t>23059202.0</t>
        </is>
      </c>
      <c r="I3" s="33" t="n">
        <v>637586935300</v>
      </c>
      <c r="J3" s="27" t="inlineStr">
        <is>
          <t>521439287008.0</t>
        </is>
      </c>
      <c r="K3" s="27" t="inlineStr">
        <is>
          <t>23761125843.0</t>
        </is>
      </c>
      <c r="L3" s="27" t="inlineStr">
        <is>
          <t>20158821632.0</t>
        </is>
      </c>
      <c r="M3" s="27" t="inlineStr">
        <is>
          <t>696198458357.0</t>
        </is>
      </c>
      <c r="N3" s="27" t="inlineStr">
        <is>
          <t>450773427582.0</t>
        </is>
      </c>
      <c r="O3" s="27" t="inlineStr">
        <is>
          <t>245425030775.0</t>
        </is>
      </c>
      <c r="P3" s="27" t="inlineStr">
        <is>
          <t>103117228706.0</t>
        </is>
      </c>
      <c r="Q3" s="27" t="inlineStr">
        <is>
          <t>0.19775500480158098</t>
        </is>
      </c>
      <c r="R3" s="27" t="inlineStr">
        <is>
          <t>2.5539845758354756</t>
        </is>
      </c>
      <c r="S3" s="27" t="inlineStr">
        <is>
          <t>0.6267924791587909</t>
        </is>
      </c>
      <c r="T3" s="27" t="inlineStr">
        <is>
          <t>-0.7436559139784946</t>
        </is>
      </c>
      <c r="U3" s="27" t="inlineStr">
        <is>
          <t>34800.0</t>
        </is>
      </c>
      <c r="V3" s="27" t="inlineStr">
        <is>
          <t>6890.0</t>
        </is>
      </c>
      <c r="W3" s="27" t="inlineStr">
        <is>
          <t>OK</t>
        </is>
      </c>
      <c r="X3" s="27" t="inlineStr">
        <is>
          <t>yfinance price rows for 033640.KQ: 728 | price provider selected: yfinance, rows=728 | DART corp_code resolved from cache for 네패스/033640.</t>
        </is>
      </c>
      <c r="Y3" s="33" t="n">
        <v>1088360362882</v>
      </c>
      <c r="Z3" s="45" t="n">
        <v>1.22274433704152</v>
      </c>
      <c r="AA3" s="45" t="n">
        <v>31.62818476889036</v>
      </c>
      <c r="AB3" s="45" t="n">
        <v>2.597888786187115</v>
      </c>
      <c r="AC3" s="45" t="n">
        <v>2.087223556028877</v>
      </c>
      <c r="AD3" s="45" t="n">
        <v>45.80424219261604</v>
      </c>
      <c r="AE3" s="45" t="n">
        <v>6.183127138897802</v>
      </c>
      <c r="AF3" s="38" t="n">
        <v>0.0455683459896942</v>
      </c>
      <c r="AG3" s="38" t="n">
        <v>0.0821384093070814</v>
      </c>
      <c r="AH3" s="38" t="n">
        <v>1.836705189191801</v>
      </c>
      <c r="AI3" s="27" t="inlineStr">
        <is>
          <t>OK</t>
        </is>
      </c>
    </row>
    <row r="4" ht="24" customHeight="1">
      <c r="A4" s="32" t="inlineStr">
        <is>
          <t>hanmi</t>
        </is>
      </c>
      <c r="B4" s="32" t="inlineStr">
        <is>
          <t>한미반도체</t>
        </is>
      </c>
      <c r="C4" s="32" t="inlineStr">
        <is>
          <t>042700</t>
        </is>
      </c>
      <c r="D4" s="32" t="inlineStr">
        <is>
          <t>KOSPI</t>
        </is>
      </c>
      <c r="E4" s="32" t="b">
        <v>0</v>
      </c>
      <c r="F4" s="32" t="inlineStr">
        <is>
          <t>2025</t>
        </is>
      </c>
      <c r="G4" s="32" t="inlineStr">
        <is>
          <t>285500.0</t>
        </is>
      </c>
      <c r="H4" s="32" t="inlineStr">
        <is>
          <t>95312200.0</t>
        </is>
      </c>
      <c r="I4" s="34" t="n">
        <v>27211633100000</v>
      </c>
      <c r="J4" s="32" t="inlineStr">
        <is>
          <t>576684619527.0</t>
        </is>
      </c>
      <c r="K4" s="32" t="inlineStr">
        <is>
          <t>251390142142.0</t>
        </is>
      </c>
      <c r="L4" s="32" t="inlineStr">
        <is>
          <t>214007548411.0</t>
        </is>
      </c>
      <c r="M4" s="32" t="inlineStr">
        <is>
          <t>813331626120.0</t>
        </is>
      </c>
      <c r="N4" s="32" t="inlineStr">
        <is>
          <t>123004106583.0</t>
        </is>
      </c>
      <c r="O4" s="32" t="inlineStr">
        <is>
          <t>690327519537.0</t>
        </is>
      </c>
      <c r="P4" s="32" t="inlineStr">
        <is>
          <t>209512898063.0</t>
        </is>
      </c>
      <c r="Q4" s="32" t="inlineStr">
        <is>
          <t>0.36330585378684743</t>
        </is>
      </c>
      <c r="R4" s="32" t="inlineStr">
        <is>
          <t>2.485958485958486</t>
        </is>
      </c>
      <c r="S4" s="32" t="inlineStr">
        <is>
          <t>0.759237293890416</t>
        </is>
      </c>
      <c r="T4" s="32" t="inlineStr">
        <is>
          <t>-0.6814814814814815</t>
        </is>
      </c>
      <c r="U4" s="32" t="inlineStr">
        <is>
          <t>409500.0</t>
        </is>
      </c>
      <c r="V4" s="32" t="inlineStr">
        <is>
          <t>77400.0</t>
        </is>
      </c>
      <c r="W4" s="32" t="inlineStr">
        <is>
          <t>OK</t>
        </is>
      </c>
      <c r="X4" s="32" t="inlineStr">
        <is>
          <t>yfinance price rows for 042700.KS: 728 | price provider selected: yfinance, rows=728 | DART corp_code resolved from cache for 한미반도체/042700.</t>
        </is>
      </c>
      <c r="Y4" s="34" t="n">
        <v>27334637206583</v>
      </c>
      <c r="Z4" s="46" t="n">
        <v>47.18633405260424</v>
      </c>
      <c r="AA4" s="46" t="n">
        <v>127.1526789687822</v>
      </c>
      <c r="AB4" s="46" t="n">
        <v>39.41843882777661</v>
      </c>
      <c r="AC4" s="46" t="n">
        <v>47.39962933119844</v>
      </c>
      <c r="AD4" s="46" t="n">
        <v>108.7339263730667</v>
      </c>
      <c r="AE4" s="46" t="n">
        <v>129.8804672723182</v>
      </c>
      <c r="AF4" s="39" t="n">
        <v>0.4359230914606178</v>
      </c>
      <c r="AG4" s="39" t="n">
        <v>0.3100087166661616</v>
      </c>
      <c r="AH4" s="39" t="n">
        <v>0.1781822440824876</v>
      </c>
      <c r="AI4" s="32" t="inlineStr">
        <is>
          <t>OK</t>
        </is>
      </c>
    </row>
    <row r="5" ht="24" customHeight="1">
      <c r="A5" s="27" t="inlineStr">
        <is>
          <t>hansol</t>
        </is>
      </c>
      <c r="B5" s="27" t="inlineStr">
        <is>
          <t>한솔케미칼</t>
        </is>
      </c>
      <c r="C5" s="27" t="inlineStr">
        <is>
          <t>014680</t>
        </is>
      </c>
      <c r="D5" s="27" t="inlineStr">
        <is>
          <t>KOSPI</t>
        </is>
      </c>
      <c r="E5" s="27" t="b">
        <v>0</v>
      </c>
      <c r="F5" s="27" t="inlineStr">
        <is>
          <t>2025</t>
        </is>
      </c>
      <c r="G5" s="27" t="inlineStr">
        <is>
          <t>267500.0</t>
        </is>
      </c>
      <c r="H5" s="27" t="inlineStr">
        <is>
          <t>11335195.0</t>
        </is>
      </c>
      <c r="I5" s="33" t="n">
        <v>3032164662500</v>
      </c>
      <c r="J5" s="27" t="inlineStr">
        <is>
          <t>883968714104.0</t>
        </is>
      </c>
      <c r="K5" s="27" t="inlineStr">
        <is>
          <t>156233146521.0</t>
        </is>
      </c>
      <c r="L5" s="27" t="inlineStr">
        <is>
          <t>148134823618.0</t>
        </is>
      </c>
      <c r="M5" s="27" t="inlineStr">
        <is>
          <t>1600348080121.0</t>
        </is>
      </c>
      <c r="N5" s="27" t="inlineStr">
        <is>
          <t>423081692446.0</t>
        </is>
      </c>
      <c r="O5" s="27" t="inlineStr">
        <is>
          <t>1177266387675.0</t>
        </is>
      </c>
      <c r="P5" s="27" t="inlineStr">
        <is>
          <t>200066983741.0</t>
        </is>
      </c>
      <c r="Q5" s="27" t="inlineStr">
        <is>
          <t>0.226328127397348</t>
        </is>
      </c>
      <c r="R5" s="27" t="inlineStr">
        <is>
          <t>1.1146245059288535</t>
        </is>
      </c>
      <c r="S5" s="27" t="inlineStr">
        <is>
          <t>0.48590112835229815</t>
        </is>
      </c>
      <c r="T5" s="27" t="inlineStr">
        <is>
          <t>-0.6348547717842323</t>
        </is>
      </c>
      <c r="U5" s="27" t="inlineStr">
        <is>
          <t>338000.0</t>
        </is>
      </c>
      <c r="V5" s="27" t="inlineStr">
        <is>
          <t>112100.0</t>
        </is>
      </c>
      <c r="W5" s="27" t="inlineStr">
        <is>
          <t>OK</t>
        </is>
      </c>
      <c r="X5" s="27" t="inlineStr">
        <is>
          <t>yfinance price rows for 014680.KS: 728 | price provider selected: yfinance, rows=728 | DART corp_code resolved from cache for 한솔케미칼/014680.</t>
        </is>
      </c>
      <c r="Y5" s="33" t="n">
        <v>3455246354946</v>
      </c>
      <c r="Z5" s="45" t="n">
        <v>3.430171921382347</v>
      </c>
      <c r="AA5" s="45" t="n">
        <v>20.46895246130066</v>
      </c>
      <c r="AB5" s="45" t="n">
        <v>2.575597752763727</v>
      </c>
      <c r="AC5" s="45" t="n">
        <v>3.908788059822088</v>
      </c>
      <c r="AD5" s="45" t="n">
        <v>22.11596214943776</v>
      </c>
      <c r="AE5" s="45" t="n">
        <v>15.15574736921779</v>
      </c>
      <c r="AF5" s="38" t="n">
        <v>0.1767405837200467</v>
      </c>
      <c r="AG5" s="38" t="n">
        <v>0.1258294852964872</v>
      </c>
      <c r="AH5" s="38" t="n">
        <v>0.3593763458086576</v>
      </c>
      <c r="AI5" s="27" t="inlineStr">
        <is>
          <t>OK</t>
        </is>
      </c>
    </row>
    <row r="6" ht="24" customHeight="1">
      <c r="A6" s="32" t="inlineStr">
        <is>
          <t>duksan</t>
        </is>
      </c>
      <c r="B6" s="32" t="inlineStr">
        <is>
          <t>덕산테코피아</t>
        </is>
      </c>
      <c r="C6" s="32" t="inlineStr">
        <is>
          <t>317330</t>
        </is>
      </c>
      <c r="D6" s="32" t="inlineStr">
        <is>
          <t>KOSDAQ</t>
        </is>
      </c>
      <c r="E6" s="32" t="b">
        <v>0</v>
      </c>
      <c r="F6" s="32" t="inlineStr">
        <is>
          <t>2025</t>
        </is>
      </c>
      <c r="G6" s="32" t="inlineStr">
        <is>
          <t>20000.0</t>
        </is>
      </c>
      <c r="H6" s="32" t="inlineStr">
        <is>
          <t>20476584.0</t>
        </is>
      </c>
      <c r="I6" s="34" t="n">
        <v>409531680000</v>
      </c>
      <c r="J6" s="32" t="inlineStr">
        <is>
          <t>112078954483.0</t>
        </is>
      </c>
      <c r="K6" s="32" t="inlineStr">
        <is>
          <t>-43026410473.0</t>
        </is>
      </c>
      <c r="L6" s="32" t="inlineStr">
        <is>
          <t>-105550462258.0</t>
        </is>
      </c>
      <c r="M6" s="32" t="inlineStr">
        <is>
          <t>646705781509.0</t>
        </is>
      </c>
      <c r="N6" s="32" t="inlineStr">
        <is>
          <t>540230144773.0</t>
        </is>
      </c>
      <c r="O6" s="32" t="inlineStr">
        <is>
          <t>106475636736.0</t>
        </is>
      </c>
      <c r="P6" s="32" t="inlineStr">
        <is>
          <t>-21599848348.0</t>
        </is>
      </c>
      <c r="Q6" s="32" t="inlineStr">
        <is>
          <t>-0.19271993076341767</t>
        </is>
      </c>
      <c r="R6" s="32" t="inlineStr">
        <is>
          <t>0.0005002501250626068</t>
        </is>
      </c>
      <c r="S6" s="32" t="inlineStr">
        <is>
          <t>0.7382790550406381</t>
        </is>
      </c>
      <c r="T6" s="32" t="inlineStr">
        <is>
          <t>-0.7666123778501629</t>
        </is>
      </c>
      <c r="U6" s="32" t="inlineStr">
        <is>
          <t>31250.0</t>
        </is>
      </c>
      <c r="V6" s="32" t="inlineStr">
        <is>
          <t>14330.0</t>
        </is>
      </c>
      <c r="W6" s="32" t="inlineStr">
        <is>
          <t>OK</t>
        </is>
      </c>
      <c r="X6" s="32" t="inlineStr">
        <is>
          <t>yfinance price rows for 317330.KQ: 728 | price provider selected: yfinance, rows=728 | DART corp_code resolved from cache for 덕산테코피아/317330.</t>
        </is>
      </c>
      <c r="Y6" s="34" t="n">
        <v>949761824773</v>
      </c>
      <c r="Z6" s="46" t="n">
        <v>3.653956997449662</v>
      </c>
      <c r="AA6" s="46" t="n">
        <v>-3.879961027541216</v>
      </c>
      <c r="AB6" s="46" t="n">
        <v>3.846247766664307</v>
      </c>
      <c r="AC6" s="46" t="n">
        <v>8.474042510068728</v>
      </c>
      <c r="AD6" s="46" t="n">
        <v>-22.07392655655056</v>
      </c>
      <c r="AE6" s="46" t="n">
        <v>-18.95993311628597</v>
      </c>
      <c r="AF6" s="39" t="n">
        <v>-0.3838937530375178</v>
      </c>
      <c r="AG6" s="39" t="n">
        <v>-0.9913109279609765</v>
      </c>
      <c r="AH6" s="39" t="n">
        <v>5.073744204155064</v>
      </c>
      <c r="AI6" s="32" t="inlineStr">
        <is>
          <t>OK</t>
        </is>
      </c>
    </row>
    <row r="7" ht="24" customHeight="1">
      <c r="A7" s="27" t="inlineStr">
        <is>
          <t>ltc</t>
        </is>
      </c>
      <c r="B7" s="27" t="inlineStr">
        <is>
          <t>엘티씨</t>
        </is>
      </c>
      <c r="C7" s="27" t="inlineStr">
        <is>
          <t>170920</t>
        </is>
      </c>
      <c r="D7" s="27" t="inlineStr">
        <is>
          <t>KOSDAQ</t>
        </is>
      </c>
      <c r="E7" s="27" t="b">
        <v>0</v>
      </c>
      <c r="F7" s="27" t="inlineStr">
        <is>
          <t>2025</t>
        </is>
      </c>
      <c r="G7" s="27" t="inlineStr">
        <is>
          <t>41000.0</t>
        </is>
      </c>
      <c r="H7" s="27" t="inlineStr">
        <is>
          <t>10564126.0</t>
        </is>
      </c>
      <c r="I7" s="33" t="n">
        <v>433129166000</v>
      </c>
      <c r="J7" s="27" t="inlineStr">
        <is>
          <t>310384726014.0</t>
        </is>
      </c>
      <c r="K7" s="27" t="inlineStr">
        <is>
          <t>29629435023.0</t>
        </is>
      </c>
      <c r="L7" s="27" t="inlineStr">
        <is>
          <t>18189648458.0</t>
        </is>
      </c>
      <c r="M7" s="27" t="inlineStr">
        <is>
          <t>383387868522.0</t>
        </is>
      </c>
      <c r="N7" s="27" t="inlineStr">
        <is>
          <t>159648759353.0</t>
        </is>
      </c>
      <c r="O7" s="27" t="inlineStr">
        <is>
          <t>223739109169.0</t>
        </is>
      </c>
      <c r="P7" s="27" t="inlineStr">
        <is>
          <t>24709885929.0</t>
        </is>
      </c>
      <c r="Q7" s="27" t="inlineStr">
        <is>
          <t>0.07961050869457234</t>
        </is>
      </c>
      <c r="R7" s="27" t="inlineStr">
        <is>
          <t>2.6059806508355323</t>
        </is>
      </c>
      <c r="S7" s="27" t="inlineStr">
        <is>
          <t>0.6759192143331165</t>
        </is>
      </c>
      <c r="T7" s="27" t="inlineStr">
        <is>
          <t>-0.5848765432098766</t>
        </is>
      </c>
      <c r="U7" s="27" t="inlineStr">
        <is>
          <t>49650.0</t>
        </is>
      </c>
      <c r="V7" s="27" t="inlineStr">
        <is>
          <t>9260.0</t>
        </is>
      </c>
      <c r="W7" s="27" t="inlineStr">
        <is>
          <t>OK</t>
        </is>
      </c>
      <c r="X7" s="27" t="inlineStr">
        <is>
          <t>yfinance price rows for 170920.KQ: 727 | price provider selected: yfinance, rows=727 | DART corp_code resolved from cache for 엘티씨/170920.</t>
        </is>
      </c>
      <c r="Y7" s="33" t="n">
        <v>592777925353</v>
      </c>
      <c r="Z7" s="45" t="n">
        <v>1.395459021332331</v>
      </c>
      <c r="AA7" s="45" t="n">
        <v>23.81184919544199</v>
      </c>
      <c r="AB7" s="45" t="n">
        <v>1.935867035533955</v>
      </c>
      <c r="AC7" s="45" t="n">
        <v>1.909816674826527</v>
      </c>
      <c r="AD7" s="45" t="n">
        <v>20.00638638208434</v>
      </c>
      <c r="AE7" s="45" t="n">
        <v>17.52857812636323</v>
      </c>
      <c r="AF7" s="38" t="n">
        <v>0.09546035142742029</v>
      </c>
      <c r="AG7" s="38" t="n">
        <v>0.08129847537857388</v>
      </c>
      <c r="AH7" s="38" t="n">
        <v>0.7135487396278595</v>
      </c>
      <c r="AI7" s="27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ML 보조판단 요인</t>
        </is>
      </c>
    </row>
    <row r="2" ht="24" customHeight="1">
      <c r="A2" s="28" t="inlineStr">
        <is>
          <t>요인</t>
        </is>
      </c>
      <c r="B2" s="28" t="inlineStr">
        <is>
          <t>요인 코드</t>
        </is>
      </c>
      <c r="C2" s="28" t="inlineStr">
        <is>
          <t>점수</t>
        </is>
      </c>
      <c r="D2" s="28" t="inlineStr">
        <is>
          <t>해석</t>
        </is>
      </c>
    </row>
    <row r="3" ht="24" customHeight="1">
      <c r="A3" s="27" t="inlineStr">
        <is>
          <t>영업이익률 peer percentile</t>
        </is>
      </c>
      <c r="B3" s="27" t="inlineStr">
        <is>
          <t>operating_margin_percentile</t>
        </is>
      </c>
      <c r="C3" s="27" t="inlineStr">
        <is>
          <t>해당 없음</t>
        </is>
      </c>
      <c r="D3" s="27" t="inlineStr">
        <is>
          <t>높을수록 우수</t>
        </is>
      </c>
    </row>
    <row r="4" ht="24" customHeight="1">
      <c r="A4" s="32" t="inlineStr">
        <is>
          <t>ROE peer percentile</t>
        </is>
      </c>
      <c r="B4" s="32" t="inlineStr">
        <is>
          <t>roe_percentile</t>
        </is>
      </c>
      <c r="C4" s="34" t="n">
        <v>60</v>
      </c>
      <c r="D4" s="32" t="inlineStr">
        <is>
          <t>높을수록 우수</t>
        </is>
      </c>
    </row>
    <row r="5" ht="24" customHeight="1">
      <c r="A5" s="27" t="inlineStr">
        <is>
          <t>FCF margin peer percentile</t>
        </is>
      </c>
      <c r="B5" s="27" t="inlineStr">
        <is>
          <t>fcf_margin_percentile</t>
        </is>
      </c>
      <c r="C5" s="27" t="inlineStr">
        <is>
          <t>해당 없음</t>
        </is>
      </c>
      <c r="D5" s="27" t="inlineStr">
        <is>
          <t>높을수록 우수</t>
        </is>
      </c>
    </row>
    <row r="6" ht="24" customHeight="1">
      <c r="A6" s="32" t="inlineStr">
        <is>
          <t>부채비율 안정성</t>
        </is>
      </c>
      <c r="B6" s="32" t="inlineStr">
        <is>
          <t>debt_ratio_inverse_percentile</t>
        </is>
      </c>
      <c r="C6" s="34" t="n">
        <v>40</v>
      </c>
      <c r="D6" s="32" t="inlineStr">
        <is>
          <t>낮을수록 우수</t>
        </is>
      </c>
    </row>
    <row r="7" ht="24" customHeight="1">
      <c r="A7" s="27" t="inlineStr">
        <is>
          <t>PSR 상대 매력도</t>
        </is>
      </c>
      <c r="B7" s="27" t="inlineStr">
        <is>
          <t>psr_inverse_percentile</t>
        </is>
      </c>
      <c r="C7" s="33" t="n">
        <v>100</v>
      </c>
      <c r="D7" s="27" t="inlineStr">
        <is>
          <t>낮은 PSR일수록 상대가치 부담이 낮음</t>
        </is>
      </c>
    </row>
    <row r="8" ht="24" customHeight="1">
      <c r="A8" s="32" t="inlineStr">
        <is>
          <t>변동성 안정성</t>
        </is>
      </c>
      <c r="B8" s="32" t="inlineStr">
        <is>
          <t>volatility_inverse_score</t>
        </is>
      </c>
      <c r="C8" s="34" t="n">
        <v>17.96760584624644</v>
      </c>
      <c r="D8" s="32" t="inlineStr">
        <is>
          <t>낮을수록 우수</t>
        </is>
      </c>
    </row>
    <row r="9" ht="24" customHeight="1">
      <c r="A9" s="27" t="inlineStr">
        <is>
          <t>MDD 방어력</t>
        </is>
      </c>
      <c r="B9" s="27" t="inlineStr">
        <is>
          <t>mdd_resilience_score</t>
        </is>
      </c>
      <c r="C9" s="33" t="n">
        <v>16</v>
      </c>
      <c r="D9" s="27" t="inlineStr">
        <is>
          <t>낙폭이 작을수록 우수</t>
        </is>
      </c>
    </row>
    <row r="10" ht="24" customHeight="1">
      <c r="A10" s="32" t="inlineStr">
        <is>
          <t>208개 반도체 valuation proxy percentile</t>
        </is>
      </c>
      <c r="B10" s="32" t="inlineStr">
        <is>
          <t>reference_208_valuation_proxy_percentile</t>
        </is>
      </c>
      <c r="C10" s="34" t="n">
        <v>43.27</v>
      </c>
      <c r="D10" s="32" t="inlineStr">
        <is>
          <t>높을수록 universe 내 가치평가 proxy 우호</t>
        </is>
      </c>
    </row>
    <row r="11" ht="24" customHeight="1">
      <c r="A11" s="27" t="inlineStr">
        <is>
          <t>208개 반도체 credit risk inverse percentile</t>
        </is>
      </c>
      <c r="B11" s="27" t="inlineStr">
        <is>
          <t>reference_208_credit_risk_inverse_percentile</t>
        </is>
      </c>
      <c r="C11" s="33" t="n">
        <v>100</v>
      </c>
      <c r="D11" s="27" t="inlineStr">
        <is>
          <t>낮은 신용위험 proxy일수록 우수</t>
        </is>
      </c>
    </row>
    <row r="12" ht="24" customHeight="1">
      <c r="A12" s="32" t="inlineStr">
        <is>
          <t>208개 universe confidence</t>
        </is>
      </c>
      <c r="B12" s="32" t="inlineStr">
        <is>
          <t>reference_208_confidence_score</t>
        </is>
      </c>
      <c r="C12" s="34" t="n">
        <v>71.83718658948578</v>
      </c>
      <c r="D12" s="32" t="inlineStr">
        <is>
          <t>높을수록 보조판단 신뢰도 우수</t>
        </is>
      </c>
    </row>
    <row r="13" ht="24" customHeight="1"/>
    <row r="14" ht="24" customHeight="1"/>
    <row r="15" ht="24" customHeight="1">
      <c r="A15" s="25" t="inlineStr">
        <is>
          <t>ML 보조판단 요약</t>
        </is>
      </c>
    </row>
    <row r="16" ht="24" customHeight="1">
      <c r="A16" s="28" t="inlineStr">
        <is>
          <t>항목</t>
        </is>
      </c>
      <c r="B16" s="28" t="inlineStr">
        <is>
          <t>값</t>
        </is>
      </c>
    </row>
    <row r="17" ht="24" customHeight="1">
      <c r="A17" s="27" t="inlineStr">
        <is>
          <t>방법</t>
        </is>
      </c>
      <c r="B17" s="27" t="inlineStr">
        <is>
          <t>실시간 DART·주가 기반 PSR/Peer + 208개 반도체 reference universe 보조판단</t>
        </is>
      </c>
    </row>
    <row r="18" ht="24" customHeight="1">
      <c r="A18" s="32" t="inlineStr">
        <is>
          <t>종합점수</t>
        </is>
      </c>
      <c r="B18" s="34" t="n">
        <v>55.43</v>
      </c>
    </row>
    <row r="19" ht="24" customHeight="1">
      <c r="A19" s="27" t="inlineStr">
        <is>
          <t>라벨</t>
        </is>
      </c>
      <c r="B19" s="27" t="inlineStr">
        <is>
          <t>가치평가 보조근거 중립</t>
        </is>
      </c>
    </row>
    <row r="20" ht="24" customHeight="1">
      <c r="A20" s="32" t="inlineStr">
        <is>
          <t>클러스터</t>
        </is>
      </c>
      <c r="B20" s="32" t="inlineStr">
        <is>
          <t>소재</t>
        </is>
      </c>
    </row>
    <row r="21" ht="24" customHeight="1">
      <c r="A21" s="27" t="inlineStr">
        <is>
          <t>주의</t>
        </is>
      </c>
      <c r="B21" s="27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WACC × 영구성장률 민감도</t>
        </is>
      </c>
    </row>
    <row r="2" ht="24" customHeight="1">
      <c r="A2" s="28" t="inlineStr">
        <is>
          <t>WACC</t>
        </is>
      </c>
      <c r="B2" s="28" t="inlineStr">
        <is>
          <t>영구성장률</t>
        </is>
      </c>
      <c r="C2" s="28" t="inlineStr">
        <is>
          <t>기업가치(EV)</t>
        </is>
      </c>
    </row>
    <row r="3" ht="24" customHeight="1">
      <c r="A3" s="38" t="n">
        <v>0.1032349478540854</v>
      </c>
      <c r="B3" s="38" t="n">
        <v>0.004999999999999999</v>
      </c>
      <c r="C3" s="27" t="inlineStr">
        <is>
          <t>해당 없음</t>
        </is>
      </c>
    </row>
    <row r="4" ht="24" customHeight="1">
      <c r="A4" s="39" t="n">
        <v>0.1032349478540854</v>
      </c>
      <c r="B4" s="39" t="n">
        <v>0.009999999999999998</v>
      </c>
      <c r="C4" s="32" t="inlineStr">
        <is>
          <t>해당 없음</t>
        </is>
      </c>
    </row>
    <row r="5" ht="24" customHeight="1">
      <c r="A5" s="38" t="n">
        <v>0.1032349478540854</v>
      </c>
      <c r="B5" s="38" t="n">
        <v>0.015</v>
      </c>
      <c r="C5" s="27" t="inlineStr">
        <is>
          <t>해당 없음</t>
        </is>
      </c>
    </row>
    <row r="6" ht="24" customHeight="1">
      <c r="A6" s="39" t="n">
        <v>0.1032349478540854</v>
      </c>
      <c r="B6" s="39" t="n">
        <v>0.02</v>
      </c>
      <c r="C6" s="32" t="inlineStr">
        <is>
          <t>해당 없음</t>
        </is>
      </c>
    </row>
    <row r="7" ht="24" customHeight="1">
      <c r="A7" s="38" t="n">
        <v>0.1032349478540854</v>
      </c>
      <c r="B7" s="38" t="n">
        <v>0.025</v>
      </c>
      <c r="C7" s="27" t="inlineStr">
        <is>
          <t>해당 없음</t>
        </is>
      </c>
    </row>
    <row r="8" ht="24" customHeight="1">
      <c r="A8" s="39" t="n">
        <v>0.1132349478540854</v>
      </c>
      <c r="B8" s="39" t="n">
        <v>0.004999999999999999</v>
      </c>
      <c r="C8" s="32" t="inlineStr">
        <is>
          <t>해당 없음</t>
        </is>
      </c>
    </row>
    <row r="9" ht="24" customHeight="1">
      <c r="A9" s="38" t="n">
        <v>0.1132349478540854</v>
      </c>
      <c r="B9" s="38" t="n">
        <v>0.009999999999999998</v>
      </c>
      <c r="C9" s="27" t="inlineStr">
        <is>
          <t>해당 없음</t>
        </is>
      </c>
    </row>
    <row r="10" ht="24" customHeight="1">
      <c r="A10" s="39" t="n">
        <v>0.1132349478540854</v>
      </c>
      <c r="B10" s="39" t="n">
        <v>0.015</v>
      </c>
      <c r="C10" s="32" t="inlineStr">
        <is>
          <t>해당 없음</t>
        </is>
      </c>
    </row>
    <row r="11" ht="24" customHeight="1">
      <c r="A11" s="38" t="n">
        <v>0.1132349478540854</v>
      </c>
      <c r="B11" s="38" t="n">
        <v>0.02</v>
      </c>
      <c r="C11" s="27" t="inlineStr">
        <is>
          <t>해당 없음</t>
        </is>
      </c>
    </row>
    <row r="12" ht="24" customHeight="1">
      <c r="A12" s="39" t="n">
        <v>0.1132349478540854</v>
      </c>
      <c r="B12" s="39" t="n">
        <v>0.025</v>
      </c>
      <c r="C12" s="32" t="inlineStr">
        <is>
          <t>해당 없음</t>
        </is>
      </c>
    </row>
    <row r="13" ht="24" customHeight="1">
      <c r="A13" s="38" t="n">
        <v>0.1182349478540854</v>
      </c>
      <c r="B13" s="38" t="n">
        <v>0.004999999999999999</v>
      </c>
      <c r="C13" s="27" t="inlineStr">
        <is>
          <t>해당 없음</t>
        </is>
      </c>
    </row>
    <row r="14" ht="24" customHeight="1">
      <c r="A14" s="39" t="n">
        <v>0.1182349478540854</v>
      </c>
      <c r="B14" s="39" t="n">
        <v>0.009999999999999998</v>
      </c>
      <c r="C14" s="32" t="inlineStr">
        <is>
          <t>해당 없음</t>
        </is>
      </c>
    </row>
    <row r="15" ht="24" customHeight="1">
      <c r="A15" s="38" t="n">
        <v>0.1182349478540854</v>
      </c>
      <c r="B15" s="38" t="n">
        <v>0.015</v>
      </c>
      <c r="C15" s="27" t="inlineStr">
        <is>
          <t>해당 없음</t>
        </is>
      </c>
    </row>
    <row r="16" ht="24" customHeight="1">
      <c r="A16" s="39" t="n">
        <v>0.1182349478540854</v>
      </c>
      <c r="B16" s="39" t="n">
        <v>0.02</v>
      </c>
      <c r="C16" s="32" t="inlineStr">
        <is>
          <t>해당 없음</t>
        </is>
      </c>
    </row>
    <row r="17" ht="24" customHeight="1">
      <c r="A17" s="38" t="n">
        <v>0.1182349478540854</v>
      </c>
      <c r="B17" s="38" t="n">
        <v>0.025</v>
      </c>
      <c r="C17" s="27" t="inlineStr">
        <is>
          <t>해당 없음</t>
        </is>
      </c>
    </row>
    <row r="18" ht="24" customHeight="1">
      <c r="A18" s="39" t="n">
        <v>0.1232349478540854</v>
      </c>
      <c r="B18" s="39" t="n">
        <v>0.004999999999999999</v>
      </c>
      <c r="C18" s="32" t="inlineStr">
        <is>
          <t>해당 없음</t>
        </is>
      </c>
    </row>
    <row r="19" ht="24" customHeight="1">
      <c r="A19" s="38" t="n">
        <v>0.1232349478540854</v>
      </c>
      <c r="B19" s="38" t="n">
        <v>0.009999999999999998</v>
      </c>
      <c r="C19" s="27" t="inlineStr">
        <is>
          <t>해당 없음</t>
        </is>
      </c>
    </row>
    <row r="20" ht="24" customHeight="1">
      <c r="A20" s="39" t="n">
        <v>0.1232349478540854</v>
      </c>
      <c r="B20" s="39" t="n">
        <v>0.015</v>
      </c>
      <c r="C20" s="32" t="inlineStr">
        <is>
          <t>해당 없음</t>
        </is>
      </c>
    </row>
    <row r="21" ht="24" customHeight="1">
      <c r="A21" s="38" t="n">
        <v>0.1232349478540854</v>
      </c>
      <c r="B21" s="38" t="n">
        <v>0.02</v>
      </c>
      <c r="C21" s="27" t="inlineStr">
        <is>
          <t>해당 없음</t>
        </is>
      </c>
    </row>
    <row r="22" ht="24" customHeight="1">
      <c r="A22" s="39" t="n">
        <v>0.1232349478540854</v>
      </c>
      <c r="B22" s="39" t="n">
        <v>0.025</v>
      </c>
      <c r="C22" s="32" t="inlineStr">
        <is>
          <t>해당 없음</t>
        </is>
      </c>
    </row>
    <row r="23" ht="24" customHeight="1">
      <c r="A23" s="38" t="n">
        <v>0.1332349478540854</v>
      </c>
      <c r="B23" s="38" t="n">
        <v>0.004999999999999999</v>
      </c>
      <c r="C23" s="27" t="inlineStr">
        <is>
          <t>해당 없음</t>
        </is>
      </c>
    </row>
    <row r="24" ht="24" customHeight="1">
      <c r="A24" s="39" t="n">
        <v>0.1332349478540854</v>
      </c>
      <c r="B24" s="39" t="n">
        <v>0.009999999999999998</v>
      </c>
      <c r="C24" s="32" t="inlineStr">
        <is>
          <t>해당 없음</t>
        </is>
      </c>
    </row>
    <row r="25" ht="24" customHeight="1">
      <c r="A25" s="38" t="n">
        <v>0.1332349478540854</v>
      </c>
      <c r="B25" s="38" t="n">
        <v>0.015</v>
      </c>
      <c r="C25" s="27" t="inlineStr">
        <is>
          <t>해당 없음</t>
        </is>
      </c>
    </row>
    <row r="26" ht="24" customHeight="1">
      <c r="A26" s="39" t="n">
        <v>0.1332349478540854</v>
      </c>
      <c r="B26" s="39" t="n">
        <v>0.02</v>
      </c>
      <c r="C26" s="32" t="inlineStr">
        <is>
          <t>해당 없음</t>
        </is>
      </c>
    </row>
    <row r="27" ht="24" customHeight="1">
      <c r="A27" s="38" t="n">
        <v>0.1332349478540854</v>
      </c>
      <c r="B27" s="38" t="n">
        <v>0.025</v>
      </c>
      <c r="C27" s="27" t="inlineStr">
        <is>
          <t>해당 없음</t>
        </is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검증 체크</t>
        </is>
      </c>
    </row>
    <row r="2" ht="24" customHeight="1">
      <c r="A2" s="28" t="inlineStr">
        <is>
          <t>중요도</t>
        </is>
      </c>
      <c r="B2" s="28" t="inlineStr">
        <is>
          <t>코드</t>
        </is>
      </c>
      <c r="C2" s="28" t="inlineStr">
        <is>
          <t>메시지</t>
        </is>
      </c>
    </row>
    <row r="3" ht="24" customHeight="1">
      <c r="A3" s="27" t="inlineStr">
        <is>
          <t>MEDIUM</t>
        </is>
      </c>
      <c r="B3" s="27" t="inlineStr">
        <is>
          <t>MISSING_REVENUE</t>
        </is>
      </c>
      <c r="C3" s="27" t="inlineStr">
        <is>
          <t>최근 연도 revenue 값이 없습니다.</t>
        </is>
      </c>
    </row>
    <row r="4" ht="24" customHeight="1">
      <c r="A4" s="32" t="inlineStr">
        <is>
          <t>HIGH</t>
        </is>
      </c>
      <c r="B4" s="32" t="inlineStr">
        <is>
          <t>DCF_NOT_OK</t>
        </is>
      </c>
      <c r="C4" s="32" t="inlineStr">
        <is>
          <t>DCF 상태가 OK가 아닙니다: WARN_NO_REVENUE</t>
        </is>
      </c>
    </row>
  </sheetData>
  <autoFilter ref="A2:C4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대시보드 JSON 내보내기</t>
        </is>
      </c>
    </row>
    <row r="2" ht="24" customHeight="1">
      <c r="A2" s="28" t="inlineStr">
        <is>
          <t>구분</t>
        </is>
      </c>
      <c r="B2" s="28" t="inlineStr">
        <is>
          <t>항목</t>
        </is>
      </c>
      <c r="C2" s="28" t="inlineStr">
        <is>
          <t>값</t>
        </is>
      </c>
      <c r="D2" s="28" t="inlineStr">
        <is>
          <t>설명</t>
        </is>
      </c>
    </row>
    <row r="3" ht="24" customHeight="1">
      <c r="A3" s="27" t="inlineStr">
        <is>
          <t>agent</t>
        </is>
      </c>
      <c r="B3" s="27" t="inlineStr">
        <is>
          <t>값</t>
        </is>
      </c>
      <c r="C3" s="27" t="inlineStr">
        <is>
          <t>valuation</t>
        </is>
      </c>
      <c r="D3" s="27" t="inlineStr">
        <is>
          <t>대시보드 기본값</t>
        </is>
      </c>
    </row>
    <row r="4" ht="24" customHeight="1">
      <c r="A4" s="32" t="inlineStr">
        <is>
          <t>기업코드</t>
        </is>
      </c>
      <c r="B4" s="32" t="inlineStr">
        <is>
          <t>값</t>
        </is>
      </c>
      <c r="C4" s="32" t="inlineStr">
        <is>
          <t>dongjin_semichem</t>
        </is>
      </c>
      <c r="D4" s="32" t="inlineStr">
        <is>
          <t>대시보드 기본값</t>
        </is>
      </c>
    </row>
    <row r="5" ht="24" customHeight="1">
      <c r="A5" s="27" t="inlineStr">
        <is>
          <t>기업명</t>
        </is>
      </c>
      <c r="B5" s="27" t="inlineStr">
        <is>
          <t>값</t>
        </is>
      </c>
      <c r="C5" s="27" t="inlineStr">
        <is>
          <t>동진쎄미켐</t>
        </is>
      </c>
      <c r="D5" s="27" t="inlineStr">
        <is>
          <t>대시보드 기본값</t>
        </is>
      </c>
    </row>
    <row r="6" ht="24" customHeight="1">
      <c r="A6" s="32" t="inlineStr">
        <is>
          <t>상태</t>
        </is>
      </c>
      <c r="B6" s="32" t="inlineStr">
        <is>
          <t>값</t>
        </is>
      </c>
      <c r="C6" s="32" t="inlineStr">
        <is>
          <t>FAIL</t>
        </is>
      </c>
      <c r="D6" s="32" t="inlineStr">
        <is>
          <t>대시보드 기본값</t>
        </is>
      </c>
    </row>
    <row r="7" ht="24" customHeight="1">
      <c r="A7" s="27" t="inlineStr">
        <is>
          <t>korean_label</t>
        </is>
      </c>
      <c r="B7" s="27" t="inlineStr">
        <is>
          <t>값</t>
        </is>
      </c>
      <c r="C7" s="27" t="inlineStr">
        <is>
          <t>독립 가치평가 에이전트</t>
        </is>
      </c>
      <c r="D7" s="27" t="inlineStr">
        <is>
          <t>대시보드 기본값</t>
        </is>
      </c>
    </row>
    <row r="8" ht="24" customHeight="1">
      <c r="A8" s="32" t="inlineStr">
        <is>
          <t>요약 카드</t>
        </is>
      </c>
      <c r="B8" s="32" t="inlineStr">
        <is>
          <t>상위 블록</t>
        </is>
      </c>
      <c r="C8" s="32" t="inlineStr">
        <is>
          <t>31개 항목</t>
        </is>
      </c>
      <c r="D8" s="32" t="inlineStr">
        <is>
          <t>대시보드에서 객체로 사용</t>
        </is>
      </c>
    </row>
    <row r="9" ht="24" customHeight="1">
      <c r="A9" s="27" t="inlineStr">
        <is>
          <t>요약 카드</t>
        </is>
      </c>
      <c r="B9" s="27" t="inlineStr">
        <is>
          <t>WACC</t>
        </is>
      </c>
      <c r="C9" s="27" t="inlineStr">
        <is>
          <t>WACC</t>
        </is>
      </c>
      <c r="D9" s="27" t="inlineStr">
        <is>
          <t>JSON 상세는 dashboard_payload 파일 참조</t>
        </is>
      </c>
    </row>
    <row r="10" ht="24" customHeight="1">
      <c r="A10" s="32" t="inlineStr">
        <is>
          <t>요약 카드</t>
        </is>
      </c>
      <c r="B10" s="32" t="inlineStr">
        <is>
          <t>기업가치(EV)</t>
        </is>
      </c>
      <c r="C10" s="32" t="inlineStr">
        <is>
          <t>DCF 기업가치</t>
        </is>
      </c>
      <c r="D10" s="32" t="inlineStr">
        <is>
          <t>JSON 상세는 dashboard_payload 파일 참조</t>
        </is>
      </c>
    </row>
    <row r="11" ht="24" customHeight="1">
      <c r="A11" s="27" t="inlineStr">
        <is>
          <t>요약 카드</t>
        </is>
      </c>
      <c r="B11" s="27" t="inlineStr">
        <is>
          <t>equity_value</t>
        </is>
      </c>
      <c r="C11" s="27" t="inlineStr">
        <is>
          <t>DCF 지분가치</t>
        </is>
      </c>
      <c r="D11" s="27" t="inlineStr">
        <is>
          <t>JSON 상세는 dashboard_payload 파일 참조</t>
        </is>
      </c>
    </row>
    <row r="12" ht="24" customHeight="1">
      <c r="A12" s="32" t="inlineStr">
        <is>
          <t>요약 카드</t>
        </is>
      </c>
      <c r="B12" s="32" t="inlineStr">
        <is>
          <t>latest_close</t>
        </is>
      </c>
      <c r="C12" s="32" t="inlineStr">
        <is>
          <t>현재가</t>
        </is>
      </c>
      <c r="D12" s="32" t="inlineStr">
        <is>
          <t>JSON 상세는 dashboard_payload 파일 참조</t>
        </is>
      </c>
    </row>
    <row r="13" ht="24" customHeight="1">
      <c r="A13" s="27" t="inlineStr">
        <is>
          <t>요약 카드</t>
        </is>
      </c>
      <c r="B13" s="27" t="inlineStr">
        <is>
          <t>implied_price</t>
        </is>
      </c>
      <c r="C13" s="27" t="inlineStr">
        <is>
          <t>DCF 내재주가</t>
        </is>
      </c>
      <c r="D13" s="27" t="inlineStr">
        <is>
          <t>JSON 상세는 dashboard_payload 파일 참조</t>
        </is>
      </c>
    </row>
    <row r="14" ht="24" customHeight="1">
      <c r="A14" s="32" t="inlineStr">
        <is>
          <t>요약 카드</t>
        </is>
      </c>
      <c r="B14" s="32" t="inlineStr">
        <is>
          <t>현재가 대비</t>
        </is>
      </c>
      <c r="C14" s="32" t="inlineStr">
        <is>
          <t>현재가 대비 괴리율</t>
        </is>
      </c>
      <c r="D14" s="32" t="inlineStr">
        <is>
          <t>JSON 상세는 dashboard_payload 파일 참조</t>
        </is>
      </c>
    </row>
    <row r="15" ht="24" customHeight="1">
      <c r="A15" s="27" t="inlineStr">
        <is>
          <t>요약 카드</t>
        </is>
      </c>
      <c r="B15" s="27" t="inlineStr">
        <is>
          <t>분석대상 P/S</t>
        </is>
      </c>
      <c r="C15" s="27" t="inlineStr">
        <is>
          <t>P/S</t>
        </is>
      </c>
      <c r="D15" s="27" t="inlineStr">
        <is>
          <t>JSON 상세는 dashboard_payload 파일 참조</t>
        </is>
      </c>
    </row>
    <row r="16" ht="24" customHeight="1">
      <c r="A16" s="32" t="inlineStr">
        <is>
          <t>요약 카드</t>
        </is>
      </c>
      <c r="B16" s="32" t="inlineStr">
        <is>
          <t>Peer P/S 중앙값</t>
        </is>
      </c>
      <c r="C16" s="32" t="inlineStr">
        <is>
          <t>비교기업 P/S 중앙값</t>
        </is>
      </c>
      <c r="D16" s="32" t="inlineStr">
        <is>
          <t>JSON 상세는 dashboard_payload 파일 참조</t>
        </is>
      </c>
    </row>
    <row r="17" ht="24" customHeight="1">
      <c r="A17" s="27" t="inlineStr">
        <is>
          <t>요약 카드</t>
        </is>
      </c>
      <c r="B17" s="27" t="inlineStr">
        <is>
          <t>psr_gap</t>
        </is>
      </c>
      <c r="C17" s="27" t="inlineStr">
        <is>
          <t>P/S 중앙값 대비</t>
        </is>
      </c>
      <c r="D17" s="27" t="inlineStr">
        <is>
          <t>JSON 상세는 dashboard_payload 파일 참조</t>
        </is>
      </c>
    </row>
    <row r="18" ht="24" customHeight="1">
      <c r="A18" s="32" t="inlineStr">
        <is>
          <t>요약 카드</t>
        </is>
      </c>
      <c r="B18" s="32" t="inlineStr">
        <is>
          <t>reference_rows</t>
        </is>
      </c>
      <c r="C18" s="32" t="inlineStr">
        <is>
          <t>208개 반도체 비교군</t>
        </is>
      </c>
      <c r="D18" s="32" t="inlineStr">
        <is>
          <t>JSON 상세는 dashboard_payload 파일 참조</t>
        </is>
      </c>
    </row>
    <row r="19" ht="24" customHeight="1">
      <c r="A19" s="27" t="inlineStr">
        <is>
          <t>요약 카드</t>
        </is>
      </c>
      <c r="B19" s="27" t="inlineStr">
        <is>
          <t>reference_peer_group</t>
        </is>
      </c>
      <c r="C19" s="27" t="inlineStr">
        <is>
          <t>기준 비교군 그룹</t>
        </is>
      </c>
      <c r="D19" s="27" t="inlineStr">
        <is>
          <t>JSON 상세는 dashboard_payload 파일 참조</t>
        </is>
      </c>
    </row>
    <row r="20" ht="24" customHeight="1">
      <c r="A20" s="32" t="inlineStr">
        <is>
          <t>요약 카드</t>
        </is>
      </c>
      <c r="B20" s="32" t="inlineStr">
        <is>
          <t>1년 수익률</t>
        </is>
      </c>
      <c r="C20" s="32" t="inlineStr">
        <is>
          <t>1년 수익률</t>
        </is>
      </c>
      <c r="D20" s="32" t="inlineStr">
        <is>
          <t>JSON 상세는 dashboard_payload 파일 참조</t>
        </is>
      </c>
    </row>
    <row r="21" ht="24" customHeight="1">
      <c r="A21" s="27" t="inlineStr">
        <is>
          <t>요약 카드</t>
        </is>
      </c>
      <c r="B21" s="27" t="inlineStr">
        <is>
          <t>MDD</t>
        </is>
      </c>
      <c r="C21" s="27" t="inlineStr">
        <is>
          <t>MDD</t>
        </is>
      </c>
      <c r="D21" s="27" t="inlineStr">
        <is>
          <t>JSON 상세는 dashboard_payload 파일 참조</t>
        </is>
      </c>
    </row>
    <row r="22" ht="24" customHeight="1">
      <c r="A22" s="32" t="inlineStr">
        <is>
          <t>요약 카드</t>
        </is>
      </c>
      <c r="B22" s="32" t="inlineStr">
        <is>
          <t>volatility</t>
        </is>
      </c>
      <c r="C22" s="32" t="inlineStr">
        <is>
          <t>연환산 변동성</t>
        </is>
      </c>
      <c r="D22" s="32" t="inlineStr">
        <is>
          <t>JSON 상세는 dashboard_payload 파일 참조</t>
        </is>
      </c>
    </row>
    <row r="23" ht="24" customHeight="1">
      <c r="A23" s="27" t="inlineStr">
        <is>
          <t>요약 카드</t>
        </is>
      </c>
      <c r="B23" s="27" t="inlineStr">
        <is>
          <t>시가총액</t>
        </is>
      </c>
      <c r="C23" s="27" t="inlineStr">
        <is>
          <t>시가총액</t>
        </is>
      </c>
      <c r="D23" s="27" t="inlineStr">
        <is>
          <t>JSON 상세는 dashboard_payload 파일 참조</t>
        </is>
      </c>
    </row>
    <row r="24" ht="24" customHeight="1">
      <c r="A24" s="32" t="inlineStr">
        <is>
          <t>요약 카드</t>
        </is>
      </c>
      <c r="B24" s="32" t="inlineStr">
        <is>
          <t>발행주식 수</t>
        </is>
      </c>
      <c r="C24" s="32" t="inlineStr">
        <is>
          <t>발행주식 수</t>
        </is>
      </c>
      <c r="D24" s="32" t="inlineStr">
        <is>
          <t>JSON 상세는 dashboard_payload 파일 참조</t>
        </is>
      </c>
    </row>
    <row r="25" ht="24" customHeight="1">
      <c r="A25" s="27" t="inlineStr">
        <is>
          <t>요약 카드</t>
        </is>
      </c>
      <c r="B25" s="27" t="inlineStr">
        <is>
          <t>20일 평균 거래대금</t>
        </is>
      </c>
      <c r="C25" s="27" t="inlineStr">
        <is>
          <t>20일 평균 거래대금</t>
        </is>
      </c>
      <c r="D25" s="27" t="inlineStr">
        <is>
          <t>JSON 상세는 dashboard_payload 파일 참조</t>
        </is>
      </c>
    </row>
    <row r="26" ht="24" customHeight="1">
      <c r="A26" s="32" t="inlineStr">
        <is>
          <t>요약 카드</t>
        </is>
      </c>
      <c r="B26" s="32" t="inlineStr">
        <is>
          <t>최근 거래회전율</t>
        </is>
      </c>
      <c r="C26" s="32" t="inlineStr">
        <is>
          <t>최근 거래회전율</t>
        </is>
      </c>
      <c r="D26" s="32" t="inlineStr">
        <is>
          <t>JSON 상세는 dashboard_payload 파일 참조</t>
        </is>
      </c>
    </row>
    <row r="27" ht="24" customHeight="1">
      <c r="A27" s="27" t="inlineStr">
        <is>
          <t>latest_financials</t>
        </is>
      </c>
      <c r="B27" s="27" t="inlineStr">
        <is>
          <t>상위 블록</t>
        </is>
      </c>
      <c r="C27" s="27" t="inlineStr">
        <is>
          <t>36개 항목</t>
        </is>
      </c>
      <c r="D27" s="27" t="inlineStr">
        <is>
          <t>대시보드에서 객체로 사용</t>
        </is>
      </c>
    </row>
    <row r="28" ht="24" customHeight="1">
      <c r="A28" s="32" t="inlineStr">
        <is>
          <t>latest_financials</t>
        </is>
      </c>
      <c r="B28" s="32" t="inlineStr">
        <is>
          <t>연도</t>
        </is>
      </c>
      <c r="C28" s="34" t="n">
        <v>2025</v>
      </c>
      <c r="D28" s="32" t="inlineStr">
        <is>
          <t>JSON 상세는 dashboard_payload 파일 참조</t>
        </is>
      </c>
    </row>
    <row r="29" ht="24" customHeight="1">
      <c r="A29" s="27" t="inlineStr">
        <is>
          <t>latest_financials</t>
        </is>
      </c>
      <c r="B29" s="27" t="inlineStr">
        <is>
          <t>매출액</t>
        </is>
      </c>
      <c r="C29" s="27" t="inlineStr">
        <is>
          <t>해당 없음</t>
        </is>
      </c>
      <c r="D29" s="27" t="inlineStr">
        <is>
          <t>JSON 상세는 dashboard_payload 파일 참조</t>
        </is>
      </c>
    </row>
    <row r="30" ht="24" customHeight="1">
      <c r="A30" s="32" t="inlineStr">
        <is>
          <t>latest_financials</t>
        </is>
      </c>
      <c r="B30" s="32" t="inlineStr">
        <is>
          <t>영업이익</t>
        </is>
      </c>
      <c r="C30" s="34" t="n">
        <v>172448889381</v>
      </c>
      <c r="D30" s="32" t="inlineStr">
        <is>
          <t>JSON 상세는 dashboard_payload 파일 참조</t>
        </is>
      </c>
    </row>
    <row r="31" ht="24" customHeight="1">
      <c r="A31" s="27" t="inlineStr">
        <is>
          <t>latest_financials</t>
        </is>
      </c>
      <c r="B31" s="27" t="inlineStr">
        <is>
          <t>순이익</t>
        </is>
      </c>
      <c r="C31" s="33" t="n">
        <v>94092225845</v>
      </c>
      <c r="D31" s="27" t="inlineStr">
        <is>
          <t>JSON 상세는 dashboard_payload 파일 참조</t>
        </is>
      </c>
    </row>
    <row r="32" ht="24" customHeight="1">
      <c r="A32" s="32" t="inlineStr">
        <is>
          <t>latest_financials</t>
        </is>
      </c>
      <c r="B32" s="32" t="inlineStr">
        <is>
          <t>자산총계</t>
        </is>
      </c>
      <c r="C32" s="34" t="n">
        <v>2006130721478</v>
      </c>
      <c r="D32" s="32" t="inlineStr">
        <is>
          <t>JSON 상세는 dashboard_payload 파일 참조</t>
        </is>
      </c>
    </row>
    <row r="33" ht="24" customHeight="1">
      <c r="A33" s="27" t="inlineStr">
        <is>
          <t>latest_financials</t>
        </is>
      </c>
      <c r="B33" s="27" t="inlineStr">
        <is>
          <t>부채총계</t>
        </is>
      </c>
      <c r="C33" s="33" t="n">
        <v>904550189105</v>
      </c>
      <c r="D33" s="27" t="inlineStr">
        <is>
          <t>JSON 상세는 dashboard_payload 파일 참조</t>
        </is>
      </c>
    </row>
    <row r="34" ht="24" customHeight="1">
      <c r="A34" s="32" t="inlineStr">
        <is>
          <t>latest_financials</t>
        </is>
      </c>
      <c r="B34" s="32" t="inlineStr">
        <is>
          <t>자본총계</t>
        </is>
      </c>
      <c r="C34" s="34" t="n">
        <v>1101580532373</v>
      </c>
      <c r="D34" s="32" t="inlineStr">
        <is>
          <t>JSON 상세는 dashboard_payload 파일 참조</t>
        </is>
      </c>
    </row>
    <row r="35" ht="24" customHeight="1">
      <c r="A35" s="27" t="inlineStr">
        <is>
          <t>latest_financials</t>
        </is>
      </c>
      <c r="B35" s="27" t="inlineStr">
        <is>
          <t>현금성자산</t>
        </is>
      </c>
      <c r="C35" s="33" t="n">
        <v>371911660277</v>
      </c>
      <c r="D35" s="27" t="inlineStr">
        <is>
          <t>JSON 상세는 dashboard_payload 파일 참조</t>
        </is>
      </c>
    </row>
    <row r="36" ht="24" customHeight="1">
      <c r="A36" s="32" t="inlineStr">
        <is>
          <t>latest_financials</t>
        </is>
      </c>
      <c r="B36" s="32" t="inlineStr">
        <is>
          <t>영업현금흐름</t>
        </is>
      </c>
      <c r="C36" s="34" t="n">
        <v>191257331406</v>
      </c>
      <c r="D36" s="32" t="inlineStr">
        <is>
          <t>JSON 상세는 dashboard_payload 파일 참조</t>
        </is>
      </c>
    </row>
    <row r="37" ht="24" customHeight="1">
      <c r="A37" s="27" t="inlineStr">
        <is>
          <t>latest_financials</t>
        </is>
      </c>
      <c r="B37" s="27" t="inlineStr">
        <is>
          <t>CAPEX</t>
        </is>
      </c>
      <c r="C37" s="33" t="n">
        <v>4247018099</v>
      </c>
      <c r="D37" s="27" t="inlineStr">
        <is>
          <t>JSON 상세는 dashboard_payload 파일 참조</t>
        </is>
      </c>
    </row>
    <row r="38" ht="24" customHeight="1">
      <c r="A38" s="32" t="inlineStr">
        <is>
          <t>latest_financials</t>
        </is>
      </c>
      <c r="B38" s="32" t="inlineStr">
        <is>
          <t>FCF</t>
        </is>
      </c>
      <c r="C38" s="34" t="n">
        <v>187010313307</v>
      </c>
      <c r="D38" s="32" t="inlineStr">
        <is>
          <t>JSON 상세는 dashboard_payload 파일 참조</t>
        </is>
      </c>
    </row>
    <row r="39" ht="24" customHeight="1">
      <c r="A39" s="27" t="inlineStr">
        <is>
          <t>latest_financials</t>
        </is>
      </c>
      <c r="B39" s="27" t="inlineStr">
        <is>
          <t>투자현금흐름</t>
        </is>
      </c>
      <c r="C39" s="33" t="n">
        <v>-32797015301</v>
      </c>
      <c r="D39" s="27" t="inlineStr">
        <is>
          <t>JSON 상세는 dashboard_payload 파일 참조</t>
        </is>
      </c>
    </row>
    <row r="40" ht="24" customHeight="1">
      <c r="A40" s="32" t="inlineStr">
        <is>
          <t>latest_financials</t>
        </is>
      </c>
      <c r="B40" s="32" t="inlineStr">
        <is>
          <t>원천계정수</t>
        </is>
      </c>
      <c r="C40" s="34" t="n">
        <v>244</v>
      </c>
      <c r="D40" s="32" t="inlineStr">
        <is>
          <t>JSON 상세는 dashboard_payload 파일 참조</t>
        </is>
      </c>
    </row>
    <row r="41" ht="24" customHeight="1">
      <c r="A41" s="27" t="inlineStr">
        <is>
          <t>latest_financials</t>
        </is>
      </c>
      <c r="B41" s="27" t="inlineStr">
        <is>
          <t>영업이익 원천계정</t>
        </is>
      </c>
      <c r="C41" s="27" t="inlineStr">
        <is>
          <t>영업이익</t>
        </is>
      </c>
      <c r="D41" s="27" t="inlineStr">
        <is>
          <t>JSON 상세는 dashboard_payload 파일 참조</t>
        </is>
      </c>
    </row>
    <row r="42" ht="24" customHeight="1">
      <c r="A42" s="32" t="inlineStr">
        <is>
          <t>latest_financials</t>
        </is>
      </c>
      <c r="B42" s="32" t="inlineStr">
        <is>
          <t>순이익 원천계정</t>
        </is>
      </c>
      <c r="C42" s="32" t="inlineStr">
        <is>
          <t>당기순이익</t>
        </is>
      </c>
      <c r="D42" s="32" t="inlineStr">
        <is>
          <t>JSON 상세는 dashboard_payload 파일 참조</t>
        </is>
      </c>
    </row>
    <row r="43" ht="24" customHeight="1">
      <c r="A43" s="27" t="inlineStr">
        <is>
          <t>latest_financials</t>
        </is>
      </c>
      <c r="B43" s="27" t="inlineStr">
        <is>
          <t>자산 원천계정</t>
        </is>
      </c>
      <c r="C43" s="27" t="inlineStr">
        <is>
          <t>자산총계</t>
        </is>
      </c>
      <c r="D43" s="27" t="inlineStr">
        <is>
          <t>JSON 상세는 dashboard_payload 파일 참조</t>
        </is>
      </c>
    </row>
    <row r="44" ht="24" customHeight="1">
      <c r="A44" s="32" t="inlineStr">
        <is>
          <t>latest_financials</t>
        </is>
      </c>
      <c r="B44" s="32" t="inlineStr">
        <is>
          <t>부채 원천계정</t>
        </is>
      </c>
      <c r="C44" s="32" t="inlineStr">
        <is>
          <t>부채총계</t>
        </is>
      </c>
      <c r="D44" s="32" t="inlineStr">
        <is>
          <t>JSON 상세는 dashboard_payload 파일 참조</t>
        </is>
      </c>
    </row>
    <row r="45" ht="24" customHeight="1">
      <c r="A45" s="27" t="inlineStr">
        <is>
          <t>latest_financials</t>
        </is>
      </c>
      <c r="B45" s="27" t="inlineStr">
        <is>
          <t>자본 원천계정</t>
        </is>
      </c>
      <c r="C45" s="27" t="inlineStr">
        <is>
          <t>자본총계</t>
        </is>
      </c>
      <c r="D45" s="27" t="inlineStr">
        <is>
          <t>JSON 상세는 dashboard_payload 파일 참조</t>
        </is>
      </c>
    </row>
    <row r="46" ht="24" customHeight="1">
      <c r="A46" s="32" t="inlineStr">
        <is>
          <t>주가 요약</t>
        </is>
      </c>
      <c r="B46" s="32" t="inlineStr">
        <is>
          <t>상위 블록</t>
        </is>
      </c>
      <c r="C46" s="32" t="inlineStr">
        <is>
          <t>19개 항목</t>
        </is>
      </c>
      <c r="D46" s="32" t="inlineStr">
        <is>
          <t>대시보드에서 객체로 사용</t>
        </is>
      </c>
    </row>
    <row r="47" ht="24" customHeight="1">
      <c r="A47" s="27" t="inlineStr">
        <is>
          <t>주가 요약</t>
        </is>
      </c>
      <c r="B47" s="27" t="inlineStr">
        <is>
          <t>latest_close</t>
        </is>
      </c>
      <c r="C47" s="33" t="n">
        <v>54300</v>
      </c>
      <c r="D47" s="27" t="inlineStr">
        <is>
          <t>JSON 상세는 dashboard_payload 파일 참조</t>
        </is>
      </c>
    </row>
    <row r="48" ht="24" customHeight="1">
      <c r="A48" s="32" t="inlineStr">
        <is>
          <t>주가 요약</t>
        </is>
      </c>
      <c r="B48" s="32" t="inlineStr">
        <is>
          <t>first_close</t>
        </is>
      </c>
      <c r="C48" s="34" t="n">
        <v>29400</v>
      </c>
      <c r="D48" s="32" t="inlineStr">
        <is>
          <t>JSON 상세는 dashboard_payload 파일 참조</t>
        </is>
      </c>
    </row>
    <row r="49" ht="24" customHeight="1">
      <c r="A49" s="27" t="inlineStr">
        <is>
          <t>주가 요약</t>
        </is>
      </c>
      <c r="B49" s="27" t="inlineStr">
        <is>
          <t>return_total</t>
        </is>
      </c>
      <c r="C49" s="33" t="n">
        <v>0.846938775510204</v>
      </c>
      <c r="D49" s="27" t="inlineStr">
        <is>
          <t>JSON 상세는 dashboard_payload 파일 참조</t>
        </is>
      </c>
    </row>
    <row r="50" ht="24" customHeight="1">
      <c r="A50" s="32" t="inlineStr">
        <is>
          <t>주가 요약</t>
        </is>
      </c>
      <c r="B50" s="32" t="inlineStr">
        <is>
          <t>1년 수익률</t>
        </is>
      </c>
      <c r="C50" s="34" t="n">
        <v>0.8100000000000001</v>
      </c>
      <c r="D50" s="32" t="inlineStr">
        <is>
          <t>JSON 상세는 dashboard_payload 파일 참조</t>
        </is>
      </c>
    </row>
    <row r="51" ht="24" customHeight="1">
      <c r="A51" s="27" t="inlineStr">
        <is>
          <t>주가 요약</t>
        </is>
      </c>
      <c r="B51" s="27" t="inlineStr">
        <is>
          <t>연환산 변동성</t>
        </is>
      </c>
      <c r="C51" s="33" t="n">
        <v>0.5127024634609597</v>
      </c>
      <c r="D51" s="27" t="inlineStr">
        <is>
          <t>JSON 상세는 dashboard_payload 파일 참조</t>
        </is>
      </c>
    </row>
    <row r="52" ht="24" customHeight="1">
      <c r="A52" s="32" t="inlineStr">
        <is>
          <t>주가 요약</t>
        </is>
      </c>
      <c r="B52" s="32" t="inlineStr">
        <is>
          <t>MDD</t>
        </is>
      </c>
      <c r="C52" s="34" t="n">
        <v>-0.6</v>
      </c>
      <c r="D52" s="32" t="inlineStr">
        <is>
          <t>JSON 상세는 dashboard_payload 파일 참조</t>
        </is>
      </c>
    </row>
    <row r="53" ht="24" customHeight="1">
      <c r="A53" s="27" t="inlineStr">
        <is>
          <t>주가 요약</t>
        </is>
      </c>
      <c r="B53" s="27" t="inlineStr">
        <is>
          <t>52주 고가</t>
        </is>
      </c>
      <c r="C53" s="33" t="n">
        <v>63200</v>
      </c>
      <c r="D53" s="27" t="inlineStr">
        <is>
          <t>JSON 상세는 dashboard_payload 파일 참조</t>
        </is>
      </c>
    </row>
    <row r="54" ht="24" customHeight="1">
      <c r="A54" s="32" t="inlineStr">
        <is>
          <t>주가 요약</t>
        </is>
      </c>
      <c r="B54" s="32" t="inlineStr">
        <is>
          <t>52주 저가</t>
        </is>
      </c>
      <c r="C54" s="34" t="n">
        <v>27600</v>
      </c>
      <c r="D54" s="32" t="inlineStr">
        <is>
          <t>JSON 상세는 dashboard_payload 파일 참조</t>
        </is>
      </c>
    </row>
    <row r="55" ht="24" customHeight="1">
      <c r="A55" s="27" t="inlineStr">
        <is>
          <t>주가 요약</t>
        </is>
      </c>
      <c r="B55" s="27" t="inlineStr">
        <is>
          <t>발행주식 수</t>
        </is>
      </c>
      <c r="C55" s="33" t="n">
        <v>51414494</v>
      </c>
      <c r="D55" s="27" t="inlineStr">
        <is>
          <t>JSON 상세는 dashboard_payload 파일 참조</t>
        </is>
      </c>
    </row>
    <row r="56" ht="24" customHeight="1">
      <c r="A56" s="32" t="inlineStr">
        <is>
          <t>주가 요약</t>
        </is>
      </c>
      <c r="B56" s="32" t="inlineStr">
        <is>
          <t>시가총액</t>
        </is>
      </c>
      <c r="C56" s="34" t="n">
        <v>2791807024200</v>
      </c>
      <c r="D56" s="32" t="inlineStr">
        <is>
          <t>JSON 상세는 dashboard_payload 파일 참조</t>
        </is>
      </c>
    </row>
    <row r="57" ht="24" customHeight="1">
      <c r="A57" s="27" t="inlineStr">
        <is>
          <t>주가 요약</t>
        </is>
      </c>
      <c r="B57" s="27" t="inlineStr">
        <is>
          <t>최근 거래량</t>
        </is>
      </c>
      <c r="C57" s="33" t="n">
        <v>342725</v>
      </c>
      <c r="D57" s="27" t="inlineStr">
        <is>
          <t>JSON 상세는 dashboard_payload 파일 참조</t>
        </is>
      </c>
    </row>
    <row r="58" ht="24" customHeight="1">
      <c r="A58" s="32" t="inlineStr">
        <is>
          <t>주가 요약</t>
        </is>
      </c>
      <c r="B58" s="32" t="inlineStr">
        <is>
          <t>최근 거래대금</t>
        </is>
      </c>
      <c r="C58" s="34" t="n">
        <v>18609967500</v>
      </c>
      <c r="D58" s="32" t="inlineStr">
        <is>
          <t>JSON 상세는 dashboard_payload 파일 참조</t>
        </is>
      </c>
    </row>
    <row r="59" ht="24" customHeight="1">
      <c r="A59" s="27" t="inlineStr">
        <is>
          <t>주가 요약</t>
        </is>
      </c>
      <c r="B59" s="27" t="inlineStr">
        <is>
          <t>20일 평균 거래대금</t>
        </is>
      </c>
      <c r="C59" s="33" t="n">
        <v>56257479630</v>
      </c>
      <c r="D59" s="27" t="inlineStr">
        <is>
          <t>JSON 상세는 dashboard_payload 파일 참조</t>
        </is>
      </c>
    </row>
    <row r="60" ht="24" customHeight="1">
      <c r="A60" s="32" t="inlineStr">
        <is>
          <t>주가 요약</t>
        </is>
      </c>
      <c r="B60" s="32" t="inlineStr">
        <is>
          <t>20일 평균 거래량</t>
        </is>
      </c>
      <c r="C60" s="34" t="n">
        <v>953719</v>
      </c>
      <c r="D60" s="32" t="inlineStr">
        <is>
          <t>JSON 상세는 dashboard_payload 파일 참조</t>
        </is>
      </c>
    </row>
    <row r="61" ht="24" customHeight="1">
      <c r="A61" s="27" t="inlineStr">
        <is>
          <t>주가 요약</t>
        </is>
      </c>
      <c r="B61" s="27" t="inlineStr">
        <is>
          <t>최근 거래회전율</t>
        </is>
      </c>
      <c r="C61" s="33" t="n">
        <v>0.006665921870202593</v>
      </c>
      <c r="D61" s="27" t="inlineStr">
        <is>
          <t>JSON 상세는 dashboard_payload 파일 참조</t>
        </is>
      </c>
    </row>
    <row r="62" ht="24" customHeight="1">
      <c r="A62" s="32" t="inlineStr">
        <is>
          <t>주가 요약</t>
        </is>
      </c>
      <c r="B62" s="32" t="inlineStr">
        <is>
          <t>20일 평균 거래회전율</t>
        </is>
      </c>
      <c r="C62" s="34" t="n">
        <v>0.0185496136556357</v>
      </c>
      <c r="D62" s="32" t="inlineStr">
        <is>
          <t>JSON 상세는 dashboard_payload 파일 참조</t>
        </is>
      </c>
    </row>
    <row r="63" ht="24" customHeight="1">
      <c r="A63" s="27" t="inlineStr">
        <is>
          <t>주가 요약</t>
        </is>
      </c>
      <c r="B63" s="27" t="inlineStr">
        <is>
          <t>price_rows</t>
        </is>
      </c>
      <c r="C63" s="33" t="n">
        <v>1221</v>
      </c>
      <c r="D63" s="27" t="inlineStr">
        <is>
          <t>JSON 상세는 dashboard_payload 파일 참조</t>
        </is>
      </c>
    </row>
    <row r="64" ht="24" customHeight="1">
      <c r="A64" s="32" t="inlineStr">
        <is>
          <t>주가 요약</t>
        </is>
      </c>
      <c r="B64" s="32" t="inlineStr">
        <is>
          <t>price_start</t>
        </is>
      </c>
      <c r="C64" s="32" t="inlineStr">
        <is>
          <t>2021-05-20</t>
        </is>
      </c>
      <c r="D64" s="32" t="inlineStr">
        <is>
          <t>JSON 상세는 dashboard_payload 파일 참조</t>
        </is>
      </c>
    </row>
    <row r="65" ht="24" customHeight="1">
      <c r="A65" s="27" t="inlineStr">
        <is>
          <t>WACC</t>
        </is>
      </c>
      <c r="B65" s="27" t="inlineStr">
        <is>
          <t>상위 블록</t>
        </is>
      </c>
      <c r="C65" s="27" t="inlineStr">
        <is>
          <t>14개 항목</t>
        </is>
      </c>
      <c r="D65" s="27" t="inlineStr">
        <is>
          <t>대시보드에서 객체로 사용</t>
        </is>
      </c>
    </row>
    <row r="66" ht="24" customHeight="1">
      <c r="A66" s="32" t="inlineStr">
        <is>
          <t>WACC</t>
        </is>
      </c>
      <c r="B66" s="32" t="inlineStr">
        <is>
          <t>risk_free_rate</t>
        </is>
      </c>
      <c r="C66" s="34" t="n">
        <v>0.035</v>
      </c>
      <c r="D66" s="32" t="inlineStr">
        <is>
          <t>JSON 상세는 dashboard_payload 파일 참조</t>
        </is>
      </c>
    </row>
    <row r="67" ht="24" customHeight="1">
      <c r="A67" s="27" t="inlineStr">
        <is>
          <t>WACC</t>
        </is>
      </c>
      <c r="B67" s="27" t="inlineStr">
        <is>
          <t>market_risk_premium</t>
        </is>
      </c>
      <c r="C67" s="33" t="n">
        <v>0.06</v>
      </c>
      <c r="D67" s="27" t="inlineStr">
        <is>
          <t>JSON 상세는 dashboard_payload 파일 참조</t>
        </is>
      </c>
    </row>
    <row r="68" ht="24" customHeight="1">
      <c r="A68" s="32" t="inlineStr">
        <is>
          <t>WACC</t>
        </is>
      </c>
      <c r="B68" s="32" t="inlineStr">
        <is>
          <t>beta</t>
        </is>
      </c>
      <c r="C68" s="34" t="n">
        <v>1.8</v>
      </c>
      <c r="D68" s="32" t="inlineStr">
        <is>
          <t>JSON 상세는 dashboard_payload 파일 참조</t>
        </is>
      </c>
    </row>
    <row r="69" ht="24" customHeight="1">
      <c r="A69" s="27" t="inlineStr">
        <is>
          <t>WACC</t>
        </is>
      </c>
      <c r="B69" s="27" t="inlineStr">
        <is>
          <t>cost_of_equity</t>
        </is>
      </c>
      <c r="C69" s="33" t="n">
        <v>0.143</v>
      </c>
      <c r="D69" s="27" t="inlineStr">
        <is>
          <t>JSON 상세는 dashboard_payload 파일 참조</t>
        </is>
      </c>
    </row>
    <row r="70" ht="24" customHeight="1">
      <c r="A70" s="32" t="inlineStr">
        <is>
          <t>WACC</t>
        </is>
      </c>
      <c r="B70" s="32" t="inlineStr">
        <is>
          <t>pre_tax_cost_of_debt</t>
        </is>
      </c>
      <c r="C70" s="34" t="n">
        <v>0.055</v>
      </c>
      <c r="D70" s="32" t="inlineStr">
        <is>
          <t>JSON 상세는 dashboard_payload 파일 참조</t>
        </is>
      </c>
    </row>
    <row r="71" ht="24" customHeight="1">
      <c r="A71" s="27" t="inlineStr">
        <is>
          <t>WACC</t>
        </is>
      </c>
      <c r="B71" s="27" t="inlineStr">
        <is>
          <t>tax_rate</t>
        </is>
      </c>
      <c r="C71" s="33" t="n">
        <v>0.24</v>
      </c>
      <c r="D71" s="27" t="inlineStr">
        <is>
          <t>JSON 상세는 dashboard_payload 파일 참조</t>
        </is>
      </c>
    </row>
    <row r="72" ht="24" customHeight="1">
      <c r="A72" s="32" t="inlineStr">
        <is>
          <t>WACC</t>
        </is>
      </c>
      <c r="B72" s="32" t="inlineStr">
        <is>
          <t>after_tax_cost_of_debt</t>
        </is>
      </c>
      <c r="C72" s="34" t="n">
        <v>0.0418</v>
      </c>
      <c r="D72" s="32" t="inlineStr">
        <is>
          <t>JSON 상세는 dashboard_payload 파일 참조</t>
        </is>
      </c>
    </row>
    <row r="73" ht="24" customHeight="1">
      <c r="A73" s="27" t="inlineStr">
        <is>
          <t>WACC</t>
        </is>
      </c>
      <c r="B73" s="27" t="inlineStr">
        <is>
          <t>debt_weight</t>
        </is>
      </c>
      <c r="C73" s="33" t="n">
        <v>0.2447139540110141</v>
      </c>
      <c r="D73" s="27" t="inlineStr">
        <is>
          <t>JSON 상세는 dashboard_payload 파일 참조</t>
        </is>
      </c>
    </row>
    <row r="74" ht="24" customHeight="1">
      <c r="A74" s="32" t="inlineStr">
        <is>
          <t>WACC</t>
        </is>
      </c>
      <c r="B74" s="32" t="inlineStr">
        <is>
          <t>equity_weight</t>
        </is>
      </c>
      <c r="C74" s="34" t="n">
        <v>0.7552860459889859</v>
      </c>
      <c r="D74" s="32" t="inlineStr">
        <is>
          <t>JSON 상세는 dashboard_payload 파일 참조</t>
        </is>
      </c>
    </row>
    <row r="75" ht="24" customHeight="1">
      <c r="A75" s="27" t="inlineStr">
        <is>
          <t>WACC</t>
        </is>
      </c>
      <c r="B75" s="27" t="inlineStr">
        <is>
          <t>book_equity</t>
        </is>
      </c>
      <c r="C75" s="33" t="n">
        <v>1101580532373</v>
      </c>
      <c r="D75" s="27" t="inlineStr">
        <is>
          <t>JSON 상세는 dashboard_payload 파일 참조</t>
        </is>
      </c>
    </row>
    <row r="76" ht="24" customHeight="1">
      <c r="A76" s="32" t="inlineStr">
        <is>
          <t>WACC</t>
        </is>
      </c>
      <c r="B76" s="32" t="inlineStr">
        <is>
          <t>market_cap_used_for_equity_weight</t>
        </is>
      </c>
      <c r="C76" s="34" t="n">
        <v>2791807024200</v>
      </c>
      <c r="D76" s="32" t="inlineStr">
        <is>
          <t>JSON 상세는 dashboard_payload 파일 참조</t>
        </is>
      </c>
    </row>
    <row r="77" ht="24" customHeight="1">
      <c r="A77" s="27" t="inlineStr">
        <is>
          <t>WACC</t>
        </is>
      </c>
      <c r="B77" s="27" t="inlineStr">
        <is>
          <t>debt_proxy_liabilities</t>
        </is>
      </c>
      <c r="C77" s="33" t="n">
        <v>904550189105</v>
      </c>
      <c r="D77" s="27" t="inlineStr">
        <is>
          <t>JSON 상세는 dashboard_payload 파일 참조</t>
        </is>
      </c>
    </row>
    <row r="78" ht="24" customHeight="1">
      <c r="A78" s="32" t="inlineStr">
        <is>
          <t>WACC</t>
        </is>
      </c>
      <c r="B78" s="32" t="inlineStr">
        <is>
          <t>WACC</t>
        </is>
      </c>
      <c r="C78" s="34" t="n">
        <v>0.1182349478540854</v>
      </c>
      <c r="D78" s="32" t="inlineStr">
        <is>
          <t>JSON 상세는 dashboard_payload 파일 참조</t>
        </is>
      </c>
    </row>
    <row r="79" ht="24" customHeight="1">
      <c r="A79" s="27" t="inlineStr">
        <is>
          <t>WACC</t>
        </is>
      </c>
      <c r="B79" s="27" t="inlineStr">
        <is>
          <t>weighting_note</t>
        </is>
      </c>
      <c r="C79" s="27" t="inlineStr">
        <is>
          <t>Uses market cap when share-count intake is available; otherwise uses book equity.</t>
        </is>
      </c>
      <c r="D79" s="27" t="inlineStr">
        <is>
          <t>JSON 상세는 dashboard_payload 파일 참조</t>
        </is>
      </c>
    </row>
    <row r="80" ht="24" customHeight="1">
      <c r="A80" s="32" t="inlineStr">
        <is>
          <t>dcf</t>
        </is>
      </c>
      <c r="B80" s="32" t="inlineStr">
        <is>
          <t>상위 블록</t>
        </is>
      </c>
      <c r="C80" s="32" t="inlineStr">
        <is>
          <t>6개 항목</t>
        </is>
      </c>
      <c r="D80" s="32" t="inlineStr">
        <is>
          <t>대시보드에서 객체로 사용</t>
        </is>
      </c>
    </row>
    <row r="81" ht="24" customHeight="1">
      <c r="A81" s="27" t="inlineStr">
        <is>
          <t>dcf</t>
        </is>
      </c>
      <c r="B81" s="27" t="inlineStr">
        <is>
          <t>상태</t>
        </is>
      </c>
      <c r="C81" s="27" t="inlineStr">
        <is>
          <t>WARN_NO_REVENUE</t>
        </is>
      </c>
      <c r="D81" s="27" t="inlineStr">
        <is>
          <t>JSON 상세는 dashboard_payload 파일 참조</t>
        </is>
      </c>
    </row>
    <row r="82" ht="24" customHeight="1">
      <c r="A82" s="32" t="inlineStr">
        <is>
          <t>dcf</t>
        </is>
      </c>
      <c r="B82" s="32" t="inlineStr">
        <is>
          <t>기업가치(EV)</t>
        </is>
      </c>
      <c r="C82" s="32" t="inlineStr">
        <is>
          <t>해당 없음</t>
        </is>
      </c>
      <c r="D82" s="32" t="inlineStr">
        <is>
          <t>JSON 상세는 dashboard_payload 파일 참조</t>
        </is>
      </c>
    </row>
    <row r="83" ht="24" customHeight="1">
      <c r="A83" s="27" t="inlineStr">
        <is>
          <t>dcf</t>
        </is>
      </c>
      <c r="B83" s="27" t="inlineStr">
        <is>
          <t>equity_value</t>
        </is>
      </c>
      <c r="C83" s="27" t="inlineStr">
        <is>
          <t>해당 없음</t>
        </is>
      </c>
      <c r="D83" s="27" t="inlineStr">
        <is>
          <t>JSON 상세는 dashboard_payload 파일 참조</t>
        </is>
      </c>
    </row>
    <row r="84" ht="24" customHeight="1">
      <c r="A84" s="32" t="inlineStr">
        <is>
          <t>dcf</t>
        </is>
      </c>
      <c r="B84" s="32" t="inlineStr">
        <is>
          <t>terminal_value</t>
        </is>
      </c>
      <c r="C84" s="32" t="inlineStr">
        <is>
          <t>해당 없음</t>
        </is>
      </c>
      <c r="D84" s="32" t="inlineStr">
        <is>
          <t>JSON 상세는 dashboard_payload 파일 참조</t>
        </is>
      </c>
    </row>
    <row r="85" ht="24" customHeight="1">
      <c r="A85" s="27" t="inlineStr">
        <is>
          <t>dcf</t>
        </is>
      </c>
      <c r="B85" s="27" t="inlineStr">
        <is>
          <t>WACC</t>
        </is>
      </c>
      <c r="C85" s="33" t="n">
        <v>0.1182349478540854</v>
      </c>
      <c r="D85" s="27" t="inlineStr">
        <is>
          <t>JSON 상세는 dashboard_payload 파일 참조</t>
        </is>
      </c>
    </row>
    <row r="86" ht="24" customHeight="1">
      <c r="A86" s="32" t="inlineStr">
        <is>
          <t>dcf</t>
        </is>
      </c>
      <c r="B86" s="32" t="inlineStr">
        <is>
          <t>terminal_growth_rate</t>
        </is>
      </c>
      <c r="C86" s="34" t="n">
        <v>0.015</v>
      </c>
      <c r="D86" s="32" t="inlineStr">
        <is>
          <t>JSON 상세는 dashboard_payload 파일 참조</t>
        </is>
      </c>
    </row>
    <row r="87" ht="24" customHeight="1">
      <c r="A87" s="27" t="inlineStr">
        <is>
          <t>chart_series</t>
        </is>
      </c>
      <c r="B87" s="27" t="inlineStr">
        <is>
          <t>상위 블록</t>
        </is>
      </c>
      <c r="C87" s="27" t="inlineStr">
        <is>
          <t>5개 항목</t>
        </is>
      </c>
      <c r="D87" s="27" t="inlineStr">
        <is>
          <t>대시보드에서 객체로 사용</t>
        </is>
      </c>
    </row>
    <row r="88" ht="24" customHeight="1">
      <c r="A88" s="32" t="inlineStr">
        <is>
          <t>chart_series</t>
        </is>
      </c>
      <c r="B88" s="32" t="inlineStr">
        <is>
          <t>historical_financials</t>
        </is>
      </c>
      <c r="C88" s="32" t="inlineStr">
        <is>
          <t>5개 행</t>
        </is>
      </c>
      <c r="D88" s="32" t="inlineStr">
        <is>
          <t>JSON 상세는 dashboard_payload 파일 참조</t>
        </is>
      </c>
    </row>
    <row r="89" ht="24" customHeight="1">
      <c r="A89" s="27" t="inlineStr">
        <is>
          <t>chart_series</t>
        </is>
      </c>
      <c r="B89" s="27" t="inlineStr">
        <is>
          <t>price_history</t>
        </is>
      </c>
      <c r="C89" s="27" t="inlineStr">
        <is>
          <t>260개 행</t>
        </is>
      </c>
      <c r="D89" s="27" t="inlineStr">
        <is>
          <t>JSON 상세는 dashboard_payload 파일 참조</t>
        </is>
      </c>
    </row>
    <row r="90" ht="24" customHeight="1">
      <c r="A90" s="32" t="inlineStr">
        <is>
          <t>chart_series</t>
        </is>
      </c>
      <c r="B90" s="32" t="inlineStr">
        <is>
          <t>fcf_projection</t>
        </is>
      </c>
      <c r="C90" s="32" t="inlineStr">
        <is>
          <t>0개 행</t>
        </is>
      </c>
      <c r="D90" s="32" t="inlineStr">
        <is>
          <t>JSON 상세는 dashboard_payload 파일 참조</t>
        </is>
      </c>
    </row>
    <row r="91" ht="24" customHeight="1">
      <c r="A91" s="27" t="inlineStr">
        <is>
          <t>chart_series</t>
        </is>
      </c>
      <c r="B91" s="27" t="inlineStr">
        <is>
          <t>peer_multiples</t>
        </is>
      </c>
      <c r="C91" s="27" t="inlineStr">
        <is>
          <t>5개 행</t>
        </is>
      </c>
      <c r="D91" s="27" t="inlineStr">
        <is>
          <t>JSON 상세는 dashboard_payload 파일 참조</t>
        </is>
      </c>
    </row>
    <row r="92" ht="24" customHeight="1">
      <c r="A92" s="32" t="inlineStr">
        <is>
          <t>chart_series</t>
        </is>
      </c>
      <c r="B92" s="32" t="inlineStr">
        <is>
          <t>reference_universe_focus</t>
        </is>
      </c>
      <c r="C92" s="32" t="inlineStr">
        <is>
          <t>40개 행</t>
        </is>
      </c>
      <c r="D92" s="32" t="inlineStr">
        <is>
          <t>JSON 상세는 dashboard_payload 파일 참조</t>
        </is>
      </c>
    </row>
    <row r="93" ht="24" customHeight="1">
      <c r="A93" s="27" t="inlineStr">
        <is>
          <t>peer_comps</t>
        </is>
      </c>
      <c r="B93" s="27" t="inlineStr">
        <is>
          <t>상위 블록</t>
        </is>
      </c>
      <c r="C93" s="27" t="inlineStr">
        <is>
          <t>23개 항목</t>
        </is>
      </c>
      <c r="D93" s="27" t="inlineStr">
        <is>
          <t>대시보드에서 객체로 사용</t>
        </is>
      </c>
    </row>
    <row r="94" ht="24" customHeight="1">
      <c r="A94" s="32" t="inlineStr">
        <is>
          <t>peer_comps</t>
        </is>
      </c>
      <c r="B94" s="32" t="inlineStr">
        <is>
          <t>peer_rows</t>
        </is>
      </c>
      <c r="C94" s="32" t="inlineStr">
        <is>
          <t>5개 행</t>
        </is>
      </c>
      <c r="D94" s="32" t="inlineStr">
        <is>
          <t>JSON 상세는 dashboard_payload 파일 참조</t>
        </is>
      </c>
    </row>
    <row r="95" ht="24" customHeight="1">
      <c r="A95" s="27" t="inlineStr">
        <is>
          <t>peer_comps</t>
        </is>
      </c>
      <c r="B95" s="27" t="inlineStr">
        <is>
          <t>target_row</t>
        </is>
      </c>
      <c r="C95" s="27" t="inlineStr">
        <is>
          <t>35개 항목</t>
        </is>
      </c>
      <c r="D95" s="27" t="inlineStr">
        <is>
          <t>JSON 상세는 dashboard_payload 파일 참조</t>
        </is>
      </c>
    </row>
    <row r="96" ht="24" customHeight="1">
      <c r="A96" s="32" t="inlineStr">
        <is>
          <t>peer_comps</t>
        </is>
      </c>
      <c r="B96" s="32" t="inlineStr">
        <is>
          <t>target_company_key</t>
        </is>
      </c>
      <c r="C96" s="32" t="inlineStr">
        <is>
          <t>nepes</t>
        </is>
      </c>
      <c r="D96" s="32" t="inlineStr">
        <is>
          <t>JSON 상세는 dashboard_payload 파일 참조</t>
        </is>
      </c>
    </row>
    <row r="97" ht="24" customHeight="1">
      <c r="A97" s="27" t="inlineStr">
        <is>
          <t>peer_comps</t>
        </is>
      </c>
      <c r="B97" s="27" t="inlineStr">
        <is>
          <t>분석대상 P/S</t>
        </is>
      </c>
      <c r="C97" s="33" t="n">
        <v>1.22274433704152</v>
      </c>
      <c r="D97" s="27" t="inlineStr">
        <is>
          <t>JSON 상세는 dashboard_payload 파일 참조</t>
        </is>
      </c>
    </row>
    <row r="98" ht="24" customHeight="1">
      <c r="A98" s="32" t="inlineStr">
        <is>
          <t>peer_comps</t>
        </is>
      </c>
      <c r="B98" s="32" t="inlineStr">
        <is>
          <t>target_per</t>
        </is>
      </c>
      <c r="C98" s="34" t="n">
        <v>31.62818476889036</v>
      </c>
      <c r="D98" s="32" t="inlineStr">
        <is>
          <t>JSON 상세는 dashboard_payload 파일 참조</t>
        </is>
      </c>
    </row>
    <row r="99" ht="24" customHeight="1">
      <c r="A99" s="27" t="inlineStr">
        <is>
          <t>peer_comps</t>
        </is>
      </c>
      <c r="B99" s="27" t="inlineStr">
        <is>
          <t>target_pbr</t>
        </is>
      </c>
      <c r="C99" s="33" t="n">
        <v>2.597888786187115</v>
      </c>
      <c r="D99" s="27" t="inlineStr">
        <is>
          <t>JSON 상세는 dashboard_payload 파일 참조</t>
        </is>
      </c>
    </row>
    <row r="100" ht="24" customHeight="1">
      <c r="A100" s="32" t="inlineStr">
        <is>
          <t>peer_comps</t>
        </is>
      </c>
      <c r="B100" s="32" t="inlineStr">
        <is>
          <t>target_ev_sales</t>
        </is>
      </c>
      <c r="C100" s="34" t="n">
        <v>2.087223556028877</v>
      </c>
      <c r="D100" s="32" t="inlineStr">
        <is>
          <t>JSON 상세는 dashboard_payload 파일 참조</t>
        </is>
      </c>
    </row>
    <row r="101" ht="24" customHeight="1">
      <c r="A101" s="27" t="inlineStr">
        <is>
          <t>peer_comps</t>
        </is>
      </c>
      <c r="B101" s="27" t="inlineStr">
        <is>
          <t>target_market_cap</t>
        </is>
      </c>
      <c r="C101" s="33" t="n">
        <v>637586935300</v>
      </c>
      <c r="D101" s="27" t="inlineStr">
        <is>
          <t>JSON 상세는 dashboard_payload 파일 참조</t>
        </is>
      </c>
    </row>
    <row r="102" ht="24" customHeight="1">
      <c r="A102" s="32" t="inlineStr">
        <is>
          <t>peer_comps</t>
        </is>
      </c>
      <c r="B102" s="32" t="inlineStr">
        <is>
          <t>target_revenue</t>
        </is>
      </c>
      <c r="C102" s="34" t="n">
        <v>521439287008</v>
      </c>
      <c r="D102" s="32" t="inlineStr">
        <is>
          <t>JSON 상세는 dashboard_payload 파일 참조</t>
        </is>
      </c>
    </row>
    <row r="103" ht="24" customHeight="1">
      <c r="A103" s="27" t="inlineStr">
        <is>
          <t>peer_comps</t>
        </is>
      </c>
      <c r="B103" s="27" t="inlineStr">
        <is>
          <t>Peer P/S 중앙값</t>
        </is>
      </c>
      <c r="C103" s="33" t="n">
        <v>3.430171921382347</v>
      </c>
      <c r="D103" s="27" t="inlineStr">
        <is>
          <t>JSON 상세는 dashboard_payload 파일 참조</t>
        </is>
      </c>
    </row>
    <row r="104" ht="24" customHeight="1">
      <c r="A104" s="32" t="inlineStr">
        <is>
          <t>peer_comps</t>
        </is>
      </c>
      <c r="B104" s="32" t="inlineStr">
        <is>
          <t>median_per</t>
        </is>
      </c>
      <c r="C104" s="34" t="n">
        <v>23.81184919544199</v>
      </c>
      <c r="D104" s="32" t="inlineStr">
        <is>
          <t>JSON 상세는 dashboard_payload 파일 참조</t>
        </is>
      </c>
    </row>
    <row r="105" ht="24" customHeight="1">
      <c r="A105" s="27" t="inlineStr">
        <is>
          <t>peer_comps</t>
        </is>
      </c>
      <c r="B105" s="27" t="inlineStr">
        <is>
          <t>median_pbr</t>
        </is>
      </c>
      <c r="C105" s="33" t="n">
        <v>2.597888786187115</v>
      </c>
      <c r="D105" s="27" t="inlineStr">
        <is>
          <t>JSON 상세는 dashboard_payload 파일 참조</t>
        </is>
      </c>
    </row>
    <row r="106" ht="24" customHeight="1">
      <c r="A106" s="32" t="inlineStr">
        <is>
          <t>peer_comps</t>
        </is>
      </c>
      <c r="B106" s="32" t="inlineStr">
        <is>
          <t>median_ev_sales</t>
        </is>
      </c>
      <c r="C106" s="34" t="n">
        <v>3.908788059822088</v>
      </c>
      <c r="D106" s="32" t="inlineStr">
        <is>
          <t>JSON 상세는 dashboard_payload 파일 참조</t>
        </is>
      </c>
    </row>
    <row r="107" ht="24" customHeight="1">
      <c r="A107" s="27" t="inlineStr">
        <is>
          <t>peer_comps</t>
        </is>
      </c>
      <c r="B107" s="27" t="inlineStr">
        <is>
          <t>median_ev_ebit</t>
        </is>
      </c>
      <c r="C107" s="33" t="n">
        <v>22.11596214943776</v>
      </c>
      <c r="D107" s="27" t="inlineStr">
        <is>
          <t>JSON 상세는 dashboard_payload 파일 참조</t>
        </is>
      </c>
    </row>
    <row r="108" ht="24" customHeight="1">
      <c r="A108" s="32" t="inlineStr">
        <is>
          <t>peer_comps</t>
        </is>
      </c>
      <c r="B108" s="32" t="inlineStr">
        <is>
          <t>median_p_fcf</t>
        </is>
      </c>
      <c r="C108" s="34" t="n">
        <v>15.15574736921779</v>
      </c>
      <c r="D108" s="32" t="inlineStr">
        <is>
          <t>JSON 상세는 dashboard_payload 파일 참조</t>
        </is>
      </c>
    </row>
    <row r="109" ht="24" customHeight="1">
      <c r="A109" s="27" t="inlineStr">
        <is>
          <t>peer_comps</t>
        </is>
      </c>
      <c r="B109" s="27" t="inlineStr">
        <is>
          <t>median_op_margin</t>
        </is>
      </c>
      <c r="C109" s="33" t="n">
        <v>0.09546035142742029</v>
      </c>
      <c r="D109" s="27" t="inlineStr">
        <is>
          <t>JSON 상세는 dashboard_payload 파일 참조</t>
        </is>
      </c>
    </row>
    <row r="110" ht="24" customHeight="1">
      <c r="A110" s="32" t="inlineStr">
        <is>
          <t>peer_comps</t>
        </is>
      </c>
      <c r="B110" s="32" t="inlineStr">
        <is>
          <t>median_roe</t>
        </is>
      </c>
      <c r="C110" s="34" t="n">
        <v>0.0821384093070814</v>
      </c>
      <c r="D110" s="32" t="inlineStr">
        <is>
          <t>JSON 상세는 dashboard_payload 파일 참조</t>
        </is>
      </c>
    </row>
    <row r="111" ht="24" customHeight="1">
      <c r="A111" s="27" t="inlineStr">
        <is>
          <t>peer_comps</t>
        </is>
      </c>
      <c r="B111" s="27" t="inlineStr">
        <is>
          <t>P/S 중앙값 대비</t>
        </is>
      </c>
      <c r="C111" s="33" t="n">
        <v>-0.6435326377026727</v>
      </c>
      <c r="D111" s="27" t="inlineStr">
        <is>
          <t>JSON 상세는 dashboard_payload 파일 참조</t>
        </is>
      </c>
    </row>
    <row r="112" ht="24" customHeight="1">
      <c r="A112" s="32" t="inlineStr">
        <is>
          <t>reference_universe_summary</t>
        </is>
      </c>
      <c r="B112" s="32" t="inlineStr">
        <is>
          <t>상위 블록</t>
        </is>
      </c>
      <c r="C112" s="32" t="inlineStr">
        <is>
          <t>14개 항목</t>
        </is>
      </c>
      <c r="D112" s="32" t="inlineStr">
        <is>
          <t>대시보드에서 객체로 사용</t>
        </is>
      </c>
    </row>
    <row r="113" ht="24" customHeight="1">
      <c r="A113" s="27" t="inlineStr">
        <is>
          <t>reference_universe_summary</t>
        </is>
      </c>
      <c r="B113" s="27" t="inlineStr">
        <is>
          <t>상태</t>
        </is>
      </c>
      <c r="C113" s="27" t="inlineStr">
        <is>
          <t>OK</t>
        </is>
      </c>
      <c r="D113" s="27" t="inlineStr">
        <is>
          <t>JSON 상세는 dashboard_payload 파일 참조</t>
        </is>
      </c>
    </row>
    <row r="114" ht="24" customHeight="1">
      <c r="A114" s="32" t="inlineStr">
        <is>
          <t>reference_universe_summary</t>
        </is>
      </c>
      <c r="B114" s="32" t="inlineStr">
        <is>
          <t>created_at</t>
        </is>
      </c>
      <c r="C114" s="32" t="inlineStr">
        <is>
          <t>2026-05-20T13:10:49</t>
        </is>
      </c>
      <c r="D114" s="32" t="inlineStr">
        <is>
          <t>JSON 상세는 dashboard_payload 파일 참조</t>
        </is>
      </c>
    </row>
    <row r="115" ht="24" customHeight="1">
      <c r="A115" s="27" t="inlineStr">
        <is>
          <t>reference_universe_summary</t>
        </is>
      </c>
      <c r="B115" s="27" t="inlineStr">
        <is>
          <t>reference_universe_rows</t>
        </is>
      </c>
      <c r="C115" s="33" t="n">
        <v>208</v>
      </c>
      <c r="D115" s="27" t="inlineStr">
        <is>
          <t>JSON 상세는 dashboard_payload 파일 참조</t>
        </is>
      </c>
    </row>
    <row r="116" ht="24" customHeight="1">
      <c r="A116" s="32" t="inlineStr">
        <is>
          <t>reference_universe_summary</t>
        </is>
      </c>
      <c r="B116" s="32" t="inlineStr">
        <is>
          <t>focus_rows</t>
        </is>
      </c>
      <c r="C116" s="34" t="n">
        <v>40</v>
      </c>
      <c r="D116" s="32" t="inlineStr">
        <is>
          <t>JSON 상세는 dashboard_payload 파일 참조</t>
        </is>
      </c>
    </row>
    <row r="117" ht="24" customHeight="1">
      <c r="A117" s="27" t="inlineStr">
        <is>
          <t>reference_universe_summary</t>
        </is>
      </c>
      <c r="B117" s="27" t="inlineStr">
        <is>
          <t>focal_5_rows</t>
        </is>
      </c>
      <c r="C117" s="33" t="n">
        <v>5</v>
      </c>
      <c r="D117" s="27" t="inlineStr">
        <is>
          <t>JSON 상세는 dashboard_payload 파일 참조</t>
        </is>
      </c>
    </row>
    <row r="118" ht="24" customHeight="1">
      <c r="A118" s="32" t="inlineStr">
        <is>
          <t>reference_universe_summary</t>
        </is>
      </c>
      <c r="B118" s="32" t="inlineStr">
        <is>
          <t>target_company</t>
        </is>
      </c>
      <c r="C118" s="32" t="inlineStr">
        <is>
          <t>동진쎄미켐</t>
        </is>
      </c>
      <c r="D118" s="32" t="inlineStr">
        <is>
          <t>JSON 상세는 dashboard_payload 파일 참조</t>
        </is>
      </c>
    </row>
    <row r="119" ht="24" customHeight="1">
      <c r="A119" s="27" t="inlineStr">
        <is>
          <t>reference_universe_summary</t>
        </is>
      </c>
      <c r="B119" s="27" t="inlineStr">
        <is>
          <t>target_peer_group</t>
        </is>
      </c>
      <c r="C119" s="27" t="inlineStr">
        <is>
          <t>소재</t>
        </is>
      </c>
      <c r="D119" s="27" t="inlineStr">
        <is>
          <t>JSON 상세는 dashboard_payload 파일 참조</t>
        </is>
      </c>
    </row>
    <row r="120" ht="24" customHeight="1">
      <c r="A120" s="32" t="inlineStr">
        <is>
          <t>reference_universe_summary</t>
        </is>
      </c>
      <c r="B120" s="32" t="inlineStr">
        <is>
          <t>target_peer_group_size</t>
        </is>
      </c>
      <c r="C120" s="34" t="n">
        <v>26</v>
      </c>
      <c r="D120" s="32" t="inlineStr">
        <is>
          <t>JSON 상세는 dashboard_payload 파일 참조</t>
        </is>
      </c>
    </row>
    <row r="121" ht="24" customHeight="1">
      <c r="A121" s="27" t="inlineStr">
        <is>
          <t>reference_universe_summary</t>
        </is>
      </c>
      <c r="B121" s="27" t="inlineStr">
        <is>
          <t>attractive_rows</t>
        </is>
      </c>
      <c r="C121" s="33" t="n">
        <v>43</v>
      </c>
      <c r="D121" s="27" t="inlineStr">
        <is>
          <t>JSON 상세는 dashboard_payload 파일 참조</t>
        </is>
      </c>
    </row>
    <row r="122" ht="24" customHeight="1">
      <c r="A122" s="32" t="inlineStr">
        <is>
          <t>reference_universe_summary</t>
        </is>
      </c>
      <c r="B122" s="32" t="inlineStr">
        <is>
          <t>high_risk_rows</t>
        </is>
      </c>
      <c r="C122" s="34" t="n">
        <v>67</v>
      </c>
      <c r="D122" s="32" t="inlineStr">
        <is>
          <t>JSON 상세는 dashboard_payload 파일 참조</t>
        </is>
      </c>
    </row>
    <row r="123" ht="24" customHeight="1">
      <c r="A123" s="27" t="inlineStr">
        <is>
          <t>reference_universe_summary</t>
        </is>
      </c>
      <c r="B123" s="27" t="inlineStr">
        <is>
          <t>target_reference_row</t>
        </is>
      </c>
      <c r="C123" s="27" t="inlineStr">
        <is>
          <t>32개 항목</t>
        </is>
      </c>
      <c r="D123" s="27" t="inlineStr">
        <is>
          <t>JSON 상세는 dashboard_payload 파일 참조</t>
        </is>
      </c>
    </row>
    <row r="124" ht="24" customHeight="1">
      <c r="A124" s="32" t="inlineStr">
        <is>
          <t>reference_universe_summary</t>
        </is>
      </c>
      <c r="B124" s="32" t="inlineStr">
        <is>
          <t>비고</t>
        </is>
      </c>
      <c r="C124" s="32" t="inlineStr">
        <is>
          <t>Valuation Agent는 live DCF/PSR 산출과 별도로 208개 반도체 universe의 proxy score를 활용해 상대 위치를 보조 판단합니다.</t>
        </is>
      </c>
      <c r="D124" s="32" t="inlineStr">
        <is>
          <t>JSON 상세는 dashboard_payload 파일 참조</t>
        </is>
      </c>
    </row>
    <row r="125" ht="24" customHeight="1">
      <c r="A125" s="27" t="inlineStr">
        <is>
          <t>reference_universe_summary</t>
        </is>
      </c>
      <c r="B125" s="27" t="inlineStr">
        <is>
          <t>source_path</t>
        </is>
      </c>
      <c r="C125" s="27" t="inlineStr">
        <is>
          <t>data/반도체/_sector_common/ml_universe/valuation_credit_ml_overlay_candidate.csv</t>
        </is>
      </c>
      <c r="D125" s="27" t="inlineStr">
        <is>
          <t>JSON 상세는 dashboard_payload 파일 참조</t>
        </is>
      </c>
    </row>
    <row r="126" ht="24" customHeight="1">
      <c r="A126" s="32" t="inlineStr">
        <is>
          <t>reference_universe_summary</t>
        </is>
      </c>
      <c r="B126" s="32" t="inlineStr">
        <is>
          <t>exported_at</t>
        </is>
      </c>
      <c r="C126" s="32" t="inlineStr">
        <is>
          <t>2026-05-20T13:10:49</t>
        </is>
      </c>
      <c r="D126" s="32" t="inlineStr">
        <is>
          <t>JSON 상세는 dashboard_payload 파일 참조</t>
        </is>
      </c>
    </row>
    <row r="127" ht="24" customHeight="1">
      <c r="A127" s="27" t="inlineStr">
        <is>
          <t>reference_universe_focus_rows</t>
        </is>
      </c>
      <c r="B127" s="27" t="inlineStr">
        <is>
          <t>목록</t>
        </is>
      </c>
      <c r="C127" s="27" t="inlineStr">
        <is>
          <t>40개 행</t>
        </is>
      </c>
      <c r="D127" s="27" t="inlineStr">
        <is>
          <t>대시보드 표/차트 원천</t>
        </is>
      </c>
    </row>
    <row r="128" ht="24" customHeight="1">
      <c r="A128" s="32" t="inlineStr">
        <is>
          <t>ml_overlay</t>
        </is>
      </c>
      <c r="B128" s="32" t="inlineStr">
        <is>
          <t>상위 블록</t>
        </is>
      </c>
      <c r="C128" s="32" t="inlineStr">
        <is>
          <t>12개 항목</t>
        </is>
      </c>
      <c r="D128" s="32" t="inlineStr">
        <is>
          <t>대시보드에서 객체로 사용</t>
        </is>
      </c>
    </row>
    <row r="129" ht="24" customHeight="1">
      <c r="A129" s="27" t="inlineStr">
        <is>
          <t>ml_overlay</t>
        </is>
      </c>
      <c r="B129" s="27" t="inlineStr">
        <is>
          <t>산출 방식</t>
        </is>
      </c>
      <c r="C129" s="27" t="inlineStr">
        <is>
          <t>deterministic_live_peer_psr_plus_208_reference_universe_overlay</t>
        </is>
      </c>
      <c r="D129" s="27" t="inlineStr">
        <is>
          <t>JSON 상세는 dashboard_payload 파일 참조</t>
        </is>
      </c>
    </row>
    <row r="130" ht="24" customHeight="1">
      <c r="A130" s="32" t="inlineStr">
        <is>
          <t>ml_overlay</t>
        </is>
      </c>
      <c r="B130" s="32" t="inlineStr">
        <is>
          <t>가치평가 방법</t>
        </is>
      </c>
      <c r="C130" s="32" t="inlineStr">
        <is>
          <t>실시간 DART·주가 기반 PSR/Peer + 208개 반도체 reference universe 보조판단</t>
        </is>
      </c>
      <c r="D130" s="32" t="inlineStr">
        <is>
          <t>JSON 상세는 dashboard_payload 파일 참조</t>
        </is>
      </c>
    </row>
    <row r="131" ht="24" customHeight="1">
      <c r="A131" s="27" t="inlineStr">
        <is>
          <t>ml_overlay</t>
        </is>
      </c>
      <c r="B131" s="27" t="inlineStr">
        <is>
          <t>종합 점수</t>
        </is>
      </c>
      <c r="C131" s="33" t="n">
        <v>55.43</v>
      </c>
      <c r="D131" s="27" t="inlineStr">
        <is>
          <t>JSON 상세는 dashboard_payload 파일 참조</t>
        </is>
      </c>
    </row>
    <row r="132" ht="24" customHeight="1">
      <c r="A132" s="32" t="inlineStr">
        <is>
          <t>ml_overlay</t>
        </is>
      </c>
      <c r="B132" s="32" t="inlineStr">
        <is>
          <t>라벨</t>
        </is>
      </c>
      <c r="C132" s="32" t="inlineStr">
        <is>
          <t>VALUATION_NEUTRAL</t>
        </is>
      </c>
      <c r="D132" s="32" t="inlineStr">
        <is>
          <t>JSON 상세는 dashboard_payload 파일 참조</t>
        </is>
      </c>
    </row>
    <row r="133" ht="24" customHeight="1">
      <c r="A133" s="27" t="inlineStr">
        <is>
          <t>ml_overlay</t>
        </is>
      </c>
      <c r="B133" s="27" t="inlineStr">
        <is>
          <t>한글 라벨</t>
        </is>
      </c>
      <c r="C133" s="27" t="inlineStr">
        <is>
          <t>가치평가 보조근거 중립</t>
        </is>
      </c>
      <c r="D133" s="27" t="inlineStr">
        <is>
          <t>JSON 상세는 dashboard_payload 파일 참조</t>
        </is>
      </c>
    </row>
    <row r="134" ht="24" customHeight="1">
      <c r="A134" s="32" t="inlineStr">
        <is>
          <t>ml_overlay</t>
        </is>
      </c>
      <c r="B134" s="32" t="inlineStr">
        <is>
          <t>factors</t>
        </is>
      </c>
      <c r="C134" s="32" t="inlineStr">
        <is>
          <t>10개 행</t>
        </is>
      </c>
      <c r="D134" s="32" t="inlineStr">
        <is>
          <t>JSON 상세는 dashboard_payload 파일 참조</t>
        </is>
      </c>
    </row>
    <row r="135" ht="24" customHeight="1">
      <c r="A135" s="27" t="inlineStr">
        <is>
          <t>ml_overlay</t>
        </is>
      </c>
      <c r="B135" s="27" t="inlineStr">
        <is>
          <t>kmeans_peer_cluster</t>
        </is>
      </c>
      <c r="C135" s="27" t="inlineStr">
        <is>
          <t>소재</t>
        </is>
      </c>
      <c r="D135" s="27" t="inlineStr">
        <is>
          <t>JSON 상세는 dashboard_payload 파일 참조</t>
        </is>
      </c>
    </row>
    <row r="136" ht="24" customHeight="1">
      <c r="A136" s="32" t="inlineStr">
        <is>
          <t>ml_overlay</t>
        </is>
      </c>
      <c r="B136" s="32" t="inlineStr">
        <is>
          <t>reference_cluster</t>
        </is>
      </c>
      <c r="C136" s="32" t="inlineStr">
        <is>
          <t>6개 항목</t>
        </is>
      </c>
      <c r="D136" s="32" t="inlineStr">
        <is>
          <t>JSON 상세는 dashboard_payload 파일 참조</t>
        </is>
      </c>
    </row>
    <row r="137" ht="24" customHeight="1">
      <c r="A137" s="27" t="inlineStr">
        <is>
          <t>ml_overlay</t>
        </is>
      </c>
      <c r="B137" s="27" t="inlineStr">
        <is>
          <t>reference_universe_summary</t>
        </is>
      </c>
      <c r="C137" s="27" t="inlineStr">
        <is>
          <t>4개 항목</t>
        </is>
      </c>
      <c r="D137" s="27" t="inlineStr">
        <is>
          <t>JSON 상세는 dashboard_payload 파일 참조</t>
        </is>
      </c>
    </row>
    <row r="138" ht="24" customHeight="1">
      <c r="A138" s="32" t="inlineStr">
        <is>
          <t>ml_overlay</t>
        </is>
      </c>
      <c r="B138" s="32" t="inlineStr">
        <is>
          <t>psr_overlay</t>
        </is>
      </c>
      <c r="C138" s="32" t="inlineStr">
        <is>
          <t>5개 항목</t>
        </is>
      </c>
      <c r="D138" s="32" t="inlineStr">
        <is>
          <t>JSON 상세는 dashboard_payload 파일 참조</t>
        </is>
      </c>
    </row>
    <row r="139" ht="24" customHeight="1">
      <c r="A139" s="27" t="inlineStr">
        <is>
          <t>ml_overlay</t>
        </is>
      </c>
      <c r="B139" s="27" t="inlineStr">
        <is>
          <t>비고</t>
        </is>
      </c>
      <c r="C139" s="27" t="inlineStr">
        <is>
          <t>This overlay is a deterministic decision-quality helper, not a realized-return predictor.</t>
        </is>
      </c>
      <c r="D139" s="27" t="inlineStr">
        <is>
          <t>JSON 상세는 dashboard_payload 파일 참조</t>
        </is>
      </c>
    </row>
    <row r="140" ht="24" customHeight="1">
      <c r="A140" s="32" t="inlineStr">
        <is>
          <t>ml_overlay</t>
        </is>
      </c>
      <c r="B140" s="32" t="inlineStr">
        <is>
          <t>note_kr</t>
        </is>
      </c>
      <c r="C140" s="32" t="inlineStr">
        <is>
          <t>미래수익률 예측모델이 아니라 대시보드/Chair용 설명가능 보조 가치평가 점수입니다.</t>
        </is>
      </c>
      <c r="D140" s="32" t="inlineStr">
        <is>
          <t>JSON 상세는 dashboard_payload 파일 참조</t>
        </is>
      </c>
    </row>
    <row r="141" ht="24" customHeight="1">
      <c r="A141" s="27" t="inlineStr">
        <is>
          <t>valuation_scorecard</t>
        </is>
      </c>
      <c r="B141" s="27" t="inlineStr">
        <is>
          <t>상위 블록</t>
        </is>
      </c>
      <c r="C141" s="27" t="inlineStr">
        <is>
          <t>8개 항목</t>
        </is>
      </c>
      <c r="D141" s="27" t="inlineStr">
        <is>
          <t>대시보드에서 객체로 사용</t>
        </is>
      </c>
    </row>
    <row r="142" ht="24" customHeight="1">
      <c r="A142" s="32" t="inlineStr">
        <is>
          <t>valuation_scorecard</t>
        </is>
      </c>
      <c r="B142" s="32" t="inlineStr">
        <is>
          <t>산출 방식</t>
        </is>
      </c>
      <c r="C142" s="32" t="inlineStr">
        <is>
          <t>DCF_25_PSR_15_QUALITY_15_REFERENCE_10_ADVANCED_20_LIQUIDITY_10_VALIDATION_5</t>
        </is>
      </c>
      <c r="D142" s="32" t="inlineStr">
        <is>
          <t>JSON 상세는 dashboard_payload 파일 참조</t>
        </is>
      </c>
    </row>
    <row r="143" ht="24" customHeight="1">
      <c r="A143" s="27" t="inlineStr">
        <is>
          <t>valuation_scorecard</t>
        </is>
      </c>
      <c r="B143" s="27" t="inlineStr">
        <is>
          <t>가치평가 방법</t>
        </is>
      </c>
      <c r="C143" s="27" t="inlineStr">
        <is>
          <t>DCF 25% + Peer P/S 15% + 품질 ML 15% + 208개 Universe 10% + 가치범위표/역산 DCF/오너 이익 20% + 유동성/리스크 10% + 검증 5%</t>
        </is>
      </c>
      <c r="D143" s="27" t="inlineStr">
        <is>
          <t>JSON 상세는 dashboard_payload 파일 참조</t>
        </is>
      </c>
    </row>
    <row r="144" ht="24" customHeight="1">
      <c r="A144" s="32" t="inlineStr">
        <is>
          <t>valuation_scorecard</t>
        </is>
      </c>
      <c r="B144" s="32" t="inlineStr">
        <is>
          <t>점수</t>
        </is>
      </c>
      <c r="C144" s="34" t="n">
        <v>61.84</v>
      </c>
      <c r="D144" s="32" t="inlineStr">
        <is>
          <t>JSON 상세는 dashboard_payload 파일 참조</t>
        </is>
      </c>
    </row>
    <row r="145" ht="24" customHeight="1">
      <c r="A145" s="27" t="inlineStr">
        <is>
          <t>valuation_scorecard</t>
        </is>
      </c>
      <c r="B145" s="27" t="inlineStr">
        <is>
          <t>라벨</t>
        </is>
      </c>
      <c r="C145" s="27" t="inlineStr">
        <is>
          <t>VALUATION_NEUTRAL_POSITIVE</t>
        </is>
      </c>
      <c r="D145" s="27" t="inlineStr">
        <is>
          <t>JSON 상세는 dashboard_payload 파일 참조</t>
        </is>
      </c>
    </row>
    <row r="146" ht="24" customHeight="1">
      <c r="A146" s="32" t="inlineStr">
        <is>
          <t>valuation_scorecard</t>
        </is>
      </c>
      <c r="B146" s="32" t="inlineStr">
        <is>
          <t>한글 라벨</t>
        </is>
      </c>
      <c r="C146" s="32" t="inlineStr">
        <is>
          <t>중립 이상</t>
        </is>
      </c>
      <c r="D146" s="32" t="inlineStr">
        <is>
          <t>JSON 상세는 dashboard_payload 파일 참조</t>
        </is>
      </c>
    </row>
    <row r="147" ht="24" customHeight="1">
      <c r="A147" s="27" t="inlineStr">
        <is>
          <t>valuation_scorecard</t>
        </is>
      </c>
      <c r="B147" s="27" t="inlineStr">
        <is>
          <t>종합 해석</t>
        </is>
      </c>
      <c r="C147" s="27" t="inlineStr">
        <is>
          <t>핵심 지표는 중립권이나 일부 우호 요인이 있습니다.</t>
        </is>
      </c>
      <c r="D147" s="27" t="inlineStr">
        <is>
          <t>JSON 상세는 dashboard_payload 파일 참조</t>
        </is>
      </c>
    </row>
    <row r="148" ht="24" customHeight="1">
      <c r="A148" s="32" t="inlineStr">
        <is>
          <t>valuation_scorecard</t>
        </is>
      </c>
      <c r="B148" s="32" t="inlineStr">
        <is>
          <t>factors</t>
        </is>
      </c>
      <c r="C148" s="32" t="inlineStr">
        <is>
          <t>7개 행</t>
        </is>
      </c>
      <c r="D148" s="32" t="inlineStr">
        <is>
          <t>JSON 상세는 dashboard_payload 파일 참조</t>
        </is>
      </c>
    </row>
    <row r="149" ht="24" customHeight="1">
      <c r="A149" s="27" t="inlineStr">
        <is>
          <t>valuation_scorecard</t>
        </is>
      </c>
      <c r="B149" s="27" t="inlineStr">
        <is>
          <t>dashboard_note_kr</t>
        </is>
      </c>
      <c r="C149" s="27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49" s="27" t="inlineStr">
        <is>
          <t>JSON 상세는 dashboard_payload 파일 참조</t>
        </is>
      </c>
    </row>
    <row r="150" ht="24" customHeight="1">
      <c r="A150" s="32" t="inlineStr">
        <is>
          <t>종합 가치평가</t>
        </is>
      </c>
      <c r="B150" s="32" t="inlineStr">
        <is>
          <t>상위 블록</t>
        </is>
      </c>
      <c r="C150" s="32" t="inlineStr">
        <is>
          <t>12개 항목</t>
        </is>
      </c>
      <c r="D150" s="32" t="inlineStr">
        <is>
          <t>대시보드에서 객체로 사용</t>
        </is>
      </c>
    </row>
    <row r="151" ht="24" customHeight="1">
      <c r="A151" s="27" t="inlineStr">
        <is>
          <t>종합 가치평가</t>
        </is>
      </c>
      <c r="B151" s="27" t="inlineStr">
        <is>
          <t>가치평가 방법</t>
        </is>
      </c>
      <c r="C151" s="27" t="inlineStr">
        <is>
          <t>DCF + 피어 멀티플 가치범위표 + 역산 DCF + 오너 이익/EPV + 시장내재 배수 + 데이터 커버리지</t>
        </is>
      </c>
      <c r="D151" s="27" t="inlineStr">
        <is>
          <t>JSON 상세는 dashboard_payload 파일 참조</t>
        </is>
      </c>
    </row>
    <row r="152" ht="24" customHeight="1">
      <c r="A152" s="32" t="inlineStr">
        <is>
          <t>종합 가치평가</t>
        </is>
      </c>
      <c r="B152" s="32" t="inlineStr">
        <is>
          <t>종합 가치평가 점수</t>
        </is>
      </c>
      <c r="C152" s="34" t="n">
        <v>68.61</v>
      </c>
      <c r="D152" s="32" t="inlineStr">
        <is>
          <t>JSON 상세는 dashboard_payload 파일 참조</t>
        </is>
      </c>
    </row>
    <row r="153" ht="24" customHeight="1">
      <c r="A153" s="27" t="inlineStr">
        <is>
          <t>종합 가치평가</t>
        </is>
      </c>
      <c r="B153" s="27" t="inlineStr">
        <is>
          <t>신뢰도 등급</t>
        </is>
      </c>
      <c r="C153" s="27" t="inlineStr">
        <is>
          <t>보통</t>
        </is>
      </c>
      <c r="D153" s="27" t="inlineStr">
        <is>
          <t>JSON 상세는 dashboard_payload 파일 참조</t>
        </is>
      </c>
    </row>
    <row r="154" ht="24" customHeight="1">
      <c r="A154" s="32" t="inlineStr">
        <is>
          <t>종합 가치평가</t>
        </is>
      </c>
      <c r="B154" s="32" t="inlineStr">
        <is>
          <t>가치범위표</t>
        </is>
      </c>
      <c r="C154" s="32" t="inlineStr">
        <is>
          <t>7개 항목</t>
        </is>
      </c>
      <c r="D154" s="32" t="inlineStr">
        <is>
          <t>JSON 상세는 dashboard_payload 파일 참조</t>
        </is>
      </c>
    </row>
    <row r="155" ht="24" customHeight="1">
      <c r="A155" s="27" t="inlineStr">
        <is>
          <t>종합 가치평가</t>
        </is>
      </c>
      <c r="B155" s="27" t="inlineStr">
        <is>
          <t>가치평가 방법</t>
        </is>
      </c>
      <c r="C155" s="27" t="inlineStr">
        <is>
          <t>4개 행</t>
        </is>
      </c>
      <c r="D155" s="27" t="inlineStr">
        <is>
          <t>JSON 상세는 dashboard_payload 파일 참조</t>
        </is>
      </c>
    </row>
    <row r="156" ht="24" customHeight="1">
      <c r="A156" s="32" t="inlineStr">
        <is>
          <t>종합 가치평가</t>
        </is>
      </c>
      <c r="B156" s="32" t="inlineStr">
        <is>
          <t>역산 DCF</t>
        </is>
      </c>
      <c r="C156" s="32" t="inlineStr">
        <is>
          <t>9개 항목</t>
        </is>
      </c>
      <c r="D156" s="32" t="inlineStr">
        <is>
          <t>JSON 상세는 dashboard_payload 파일 참조</t>
        </is>
      </c>
    </row>
    <row r="157" ht="24" customHeight="1">
      <c r="A157" s="27" t="inlineStr">
        <is>
          <t>종합 가치평가</t>
        </is>
      </c>
      <c r="B157" s="27" t="inlineStr">
        <is>
          <t>오너 이익</t>
        </is>
      </c>
      <c r="C157" s="27" t="inlineStr">
        <is>
          <t>11개 항목</t>
        </is>
      </c>
      <c r="D157" s="27" t="inlineStr">
        <is>
          <t>JSON 상세는 dashboard_payload 파일 참조</t>
        </is>
      </c>
    </row>
    <row r="158" ht="24" customHeight="1">
      <c r="A158" s="32" t="inlineStr">
        <is>
          <t>종합 가치평가</t>
        </is>
      </c>
      <c r="B158" s="32" t="inlineStr">
        <is>
          <t>시장내재 배수</t>
        </is>
      </c>
      <c r="C158" s="32" t="inlineStr">
        <is>
          <t>14개 항목</t>
        </is>
      </c>
      <c r="D158" s="32" t="inlineStr">
        <is>
          <t>JSON 상세는 dashboard_payload 파일 참조</t>
        </is>
      </c>
    </row>
    <row r="159" ht="24" customHeight="1">
      <c r="A159" s="27" t="inlineStr">
        <is>
          <t>종합 가치평가</t>
        </is>
      </c>
      <c r="B159" s="27" t="inlineStr">
        <is>
          <t>품질 진단</t>
        </is>
      </c>
      <c r="C159" s="27" t="inlineStr">
        <is>
          <t>8개 행</t>
        </is>
      </c>
      <c r="D159" s="27" t="inlineStr">
        <is>
          <t>JSON 상세는 dashboard_payload 파일 참조</t>
        </is>
      </c>
    </row>
    <row r="160" ht="24" customHeight="1">
      <c r="A160" s="32" t="inlineStr">
        <is>
          <t>종합 가치평가</t>
        </is>
      </c>
      <c r="B160" s="32" t="inlineStr">
        <is>
          <t>source_completion_plan</t>
        </is>
      </c>
      <c r="C160" s="32" t="inlineStr">
        <is>
          <t>6개 행</t>
        </is>
      </c>
      <c r="D160" s="32" t="inlineStr">
        <is>
          <t>JSON 상세는 dashboard_payload 파일 참조</t>
        </is>
      </c>
    </row>
    <row r="161" ht="24" customHeight="1">
      <c r="A161" s="27" t="inlineStr">
        <is>
          <t>종합 가치평가</t>
        </is>
      </c>
      <c r="B161" s="27" t="inlineStr">
        <is>
          <t>market_snapshot</t>
        </is>
      </c>
      <c r="C161" s="27" t="inlineStr">
        <is>
          <t>29개 항목</t>
        </is>
      </c>
      <c r="D161" s="27" t="inlineStr">
        <is>
          <t>JSON 상세는 dashboard_payload 파일 참조</t>
        </is>
      </c>
    </row>
    <row r="162" ht="24" customHeight="1">
      <c r="A162" s="32" t="inlineStr">
        <is>
          <t>종합 가치평가</t>
        </is>
      </c>
      <c r="B162" s="32" t="inlineStr">
        <is>
          <t>dashboard_note_kr</t>
        </is>
      </c>
      <c r="C162" s="32" t="inlineStr">
        <is>
          <t>투자은행식 valuation pack에서 자주 쓰는 DCF·Comps·역산 DCF·오너 이익·시장내재배수 교차검증을 제공합니다.</t>
        </is>
      </c>
      <c r="D162" s="32" t="inlineStr">
        <is>
          <t>JSON 상세는 dashboard_payload 파일 참조</t>
        </is>
      </c>
    </row>
    <row r="163" ht="24" customHeight="1">
      <c r="A163" s="27" t="inlineStr">
        <is>
          <t>시장내재 배수</t>
        </is>
      </c>
      <c r="B163" s="27" t="inlineStr">
        <is>
          <t>상위 블록</t>
        </is>
      </c>
      <c r="C163" s="27" t="inlineStr">
        <is>
          <t>14개 항목</t>
        </is>
      </c>
      <c r="D163" s="27" t="inlineStr">
        <is>
          <t>대시보드에서 객체로 사용</t>
        </is>
      </c>
    </row>
    <row r="164" ht="24" customHeight="1">
      <c r="A164" s="32" t="inlineStr">
        <is>
          <t>시장내재 배수</t>
        </is>
      </c>
      <c r="B164" s="32" t="inlineStr">
        <is>
          <t>latest_close</t>
        </is>
      </c>
      <c r="C164" s="34" t="n">
        <v>54300</v>
      </c>
      <c r="D164" s="32" t="inlineStr">
        <is>
          <t>JSON 상세는 dashboard_payload 파일 참조</t>
        </is>
      </c>
    </row>
    <row r="165" ht="24" customHeight="1">
      <c r="A165" s="27" t="inlineStr">
        <is>
          <t>시장내재 배수</t>
        </is>
      </c>
      <c r="B165" s="27" t="inlineStr">
        <is>
          <t>시가총액</t>
        </is>
      </c>
      <c r="C165" s="33" t="n">
        <v>2791807024200</v>
      </c>
      <c r="D165" s="27" t="inlineStr">
        <is>
          <t>JSON 상세는 dashboard_payload 파일 참조</t>
        </is>
      </c>
    </row>
    <row r="166" ht="24" customHeight="1">
      <c r="A166" s="32" t="inlineStr">
        <is>
          <t>시장내재 배수</t>
        </is>
      </c>
      <c r="B166" s="32" t="inlineStr">
        <is>
          <t>EV proxy</t>
        </is>
      </c>
      <c r="C166" s="34" t="n">
        <v>3324445553028</v>
      </c>
      <c r="D166" s="32" t="inlineStr">
        <is>
          <t>JSON 상세는 dashboard_payload 파일 참조</t>
        </is>
      </c>
    </row>
    <row r="167" ht="24" customHeight="1">
      <c r="A167" s="27" t="inlineStr">
        <is>
          <t>시장내재 배수</t>
        </is>
      </c>
      <c r="B167" s="27" t="inlineStr">
        <is>
          <t>psr_market</t>
        </is>
      </c>
      <c r="C167" s="27" t="inlineStr">
        <is>
          <t>해당 없음</t>
        </is>
      </c>
      <c r="D167" s="27" t="inlineStr">
        <is>
          <t>JSON 상세는 dashboard_payload 파일 참조</t>
        </is>
      </c>
    </row>
    <row r="168" ht="24" customHeight="1">
      <c r="A168" s="32" t="inlineStr">
        <is>
          <t>시장내재 배수</t>
        </is>
      </c>
      <c r="B168" s="32" t="inlineStr">
        <is>
          <t>pbr_market</t>
        </is>
      </c>
      <c r="C168" s="34" t="n">
        <v>2.534364889497414</v>
      </c>
      <c r="D168" s="32" t="inlineStr">
        <is>
          <t>JSON 상세는 dashboard_payload 파일 참조</t>
        </is>
      </c>
    </row>
    <row r="169" ht="24" customHeight="1">
      <c r="A169" s="27" t="inlineStr">
        <is>
          <t>시장내재 배수</t>
        </is>
      </c>
      <c r="B169" s="27" t="inlineStr">
        <is>
          <t>per_market</t>
        </is>
      </c>
      <c r="C169" s="33" t="n">
        <v>29.67096377121527</v>
      </c>
      <c r="D169" s="27" t="inlineStr">
        <is>
          <t>JSON 상세는 dashboard_payload 파일 참조</t>
        </is>
      </c>
    </row>
    <row r="170" ht="24" customHeight="1">
      <c r="A170" s="32" t="inlineStr">
        <is>
          <t>시장내재 배수</t>
        </is>
      </c>
      <c r="B170" s="32" t="inlineStr">
        <is>
          <t>p_fcf_market</t>
        </is>
      </c>
      <c r="C170" s="34" t="n">
        <v>14.92862599303233</v>
      </c>
      <c r="D170" s="32" t="inlineStr">
        <is>
          <t>JSON 상세는 dashboard_payload 파일 참조</t>
        </is>
      </c>
    </row>
    <row r="171" ht="24" customHeight="1">
      <c r="A171" s="27" t="inlineStr">
        <is>
          <t>시장내재 배수</t>
        </is>
      </c>
      <c r="B171" s="27" t="inlineStr">
        <is>
          <t>ev_sales_market</t>
        </is>
      </c>
      <c r="C171" s="27" t="inlineStr">
        <is>
          <t>해당 없음</t>
        </is>
      </c>
      <c r="D171" s="27" t="inlineStr">
        <is>
          <t>JSON 상세는 dashboard_payload 파일 참조</t>
        </is>
      </c>
    </row>
    <row r="172" ht="24" customHeight="1">
      <c r="A172" s="32" t="inlineStr">
        <is>
          <t>시장내재 배수</t>
        </is>
      </c>
      <c r="B172" s="32" t="inlineStr">
        <is>
          <t>ev_ebit_market</t>
        </is>
      </c>
      <c r="C172" s="34" t="n">
        <v>19.27786003702892</v>
      </c>
      <c r="D172" s="32" t="inlineStr">
        <is>
          <t>JSON 상세는 dashboard_payload 파일 참조</t>
        </is>
      </c>
    </row>
    <row r="173" ht="24" customHeight="1">
      <c r="A173" s="27" t="inlineStr">
        <is>
          <t>시장내재 배수</t>
        </is>
      </c>
      <c r="B173" s="27" t="inlineStr">
        <is>
          <t>eps_derived</t>
        </is>
      </c>
      <c r="C173" s="33" t="n">
        <v>1830.071999638857</v>
      </c>
      <c r="D173" s="27" t="inlineStr">
        <is>
          <t>JSON 상세는 dashboard_payload 파일 참조</t>
        </is>
      </c>
    </row>
    <row r="174" ht="24" customHeight="1">
      <c r="A174" s="32" t="inlineStr">
        <is>
          <t>시장내재 배수</t>
        </is>
      </c>
      <c r="B174" s="32" t="inlineStr">
        <is>
          <t>bps_derived</t>
        </is>
      </c>
      <c r="C174" s="34" t="n">
        <v>21425.48621353737</v>
      </c>
      <c r="D174" s="32" t="inlineStr">
        <is>
          <t>JSON 상세는 dashboard_payload 파일 참조</t>
        </is>
      </c>
    </row>
    <row r="175" ht="24" customHeight="1">
      <c r="A175" s="27" t="inlineStr">
        <is>
          <t>시장내재 배수</t>
        </is>
      </c>
      <c r="B175" s="27" t="inlineStr">
        <is>
          <t>fcf_yield_market</t>
        </is>
      </c>
      <c r="C175" s="33" t="n">
        <v>0.06698540109898474</v>
      </c>
      <c r="D175" s="27" t="inlineStr">
        <is>
          <t>JSON 상세는 dashboard_payload 파일 참조</t>
        </is>
      </c>
    </row>
    <row r="176" ht="24" customHeight="1">
      <c r="A176" s="32" t="inlineStr">
        <is>
          <t>시장내재 배수</t>
        </is>
      </c>
      <c r="B176" s="32" t="inlineStr">
        <is>
          <t>sales_yield_market</t>
        </is>
      </c>
      <c r="C176" s="32" t="inlineStr">
        <is>
          <t>해당 없음</t>
        </is>
      </c>
      <c r="D176" s="32" t="inlineStr">
        <is>
          <t>JSON 상세는 dashboard_payload 파일 참조</t>
        </is>
      </c>
    </row>
    <row r="177" ht="24" customHeight="1">
      <c r="A177" s="27" t="inlineStr">
        <is>
          <t>시장내재 배수</t>
        </is>
      </c>
      <c r="B177" s="27" t="inlineStr">
        <is>
          <t>source_kr</t>
        </is>
      </c>
      <c r="C177" s="27" t="inlineStr">
        <is>
          <t>DART 정규화 재무제표 + Valuation Agent 주가/발행주식 수 intake로 자동 산출</t>
        </is>
      </c>
      <c r="D177" s="27" t="inlineStr">
        <is>
          <t>JSON 상세는 dashboard_payload 파일 참조</t>
        </is>
      </c>
    </row>
    <row r="178" ht="24" customHeight="1">
      <c r="A178" s="32" t="inlineStr">
        <is>
          <t>품질 진단</t>
        </is>
      </c>
      <c r="B178" s="32" t="inlineStr">
        <is>
          <t>목록</t>
        </is>
      </c>
      <c r="C178" s="32" t="inlineStr">
        <is>
          <t>8개 행</t>
        </is>
      </c>
      <c r="D178" s="32" t="inlineStr">
        <is>
          <t>대시보드 표/차트 원천</t>
        </is>
      </c>
    </row>
    <row r="179" ht="24" customHeight="1">
      <c r="A179" s="27" t="inlineStr">
        <is>
          <t>검증 결과</t>
        </is>
      </c>
      <c r="B179" s="27" t="inlineStr">
        <is>
          <t>상위 블록</t>
        </is>
      </c>
      <c r="C179" s="27" t="inlineStr">
        <is>
          <t>4개 항목</t>
        </is>
      </c>
      <c r="D179" s="27" t="inlineStr">
        <is>
          <t>대시보드에서 객체로 사용</t>
        </is>
      </c>
    </row>
    <row r="180" ht="24" customHeight="1">
      <c r="A180" s="32" t="inlineStr">
        <is>
          <t>검증 결과</t>
        </is>
      </c>
      <c r="B180" s="32" t="inlineStr">
        <is>
          <t>상태</t>
        </is>
      </c>
      <c r="C180" s="32" t="inlineStr">
        <is>
          <t>FAIL</t>
        </is>
      </c>
      <c r="D180" s="32" t="inlineStr">
        <is>
          <t>JSON 상세는 dashboard_payload 파일 참조</t>
        </is>
      </c>
    </row>
    <row r="181" ht="24" customHeight="1">
      <c r="A181" s="27" t="inlineStr">
        <is>
          <t>검증 결과</t>
        </is>
      </c>
      <c r="B181" s="27" t="inlineStr">
        <is>
          <t>issues</t>
        </is>
      </c>
      <c r="C181" s="27" t="inlineStr">
        <is>
          <t>2개 행</t>
        </is>
      </c>
      <c r="D181" s="27" t="inlineStr">
        <is>
          <t>JSON 상세는 dashboard_payload 파일 참조</t>
        </is>
      </c>
    </row>
    <row r="182" ht="24" customHeight="1">
      <c r="A182" s="32" t="inlineStr">
        <is>
          <t>검증 결과</t>
        </is>
      </c>
      <c r="B182" s="32" t="inlineStr">
        <is>
          <t>audit_trail</t>
        </is>
      </c>
      <c r="C182" s="32" t="inlineStr">
        <is>
          <t>6개 행</t>
        </is>
      </c>
      <c r="D182" s="32" t="inlineStr">
        <is>
          <t>JSON 상세는 dashboard_payload 파일 참조</t>
        </is>
      </c>
    </row>
    <row r="183" ht="24" customHeight="1">
      <c r="A183" s="27" t="inlineStr">
        <is>
          <t>검증 결과</t>
        </is>
      </c>
      <c r="B183" s="27" t="inlineStr">
        <is>
          <t>principle</t>
        </is>
      </c>
      <c r="C183" s="27" t="inlineStr">
        <is>
          <t>valuation_agent 자체 데이터/모델 일관성 검증; 기존 web-auditor 의존 없음</t>
        </is>
      </c>
      <c r="D183" s="27" t="inlineStr">
        <is>
          <t>JSON 상세는 dashboard_payload 파일 참조</t>
        </is>
      </c>
    </row>
    <row r="184" ht="24" customHeight="1">
      <c r="A184" s="32" t="inlineStr">
        <is>
          <t>display_labels_kr</t>
        </is>
      </c>
      <c r="B184" s="32" t="inlineStr">
        <is>
          <t>상위 블록</t>
        </is>
      </c>
      <c r="C184" s="32" t="inlineStr">
        <is>
          <t>8개 항목</t>
        </is>
      </c>
      <c r="D184" s="32" t="inlineStr">
        <is>
          <t>대시보드에서 객체로 사용</t>
        </is>
      </c>
    </row>
    <row r="185" ht="24" customHeight="1">
      <c r="A185" s="27" t="inlineStr">
        <is>
          <t>display_labels_kr</t>
        </is>
      </c>
      <c r="B185" s="27" t="inlineStr">
        <is>
          <t>summary_cards</t>
        </is>
      </c>
      <c r="C185" s="27" t="inlineStr">
        <is>
          <t>핵심 요약 카드</t>
        </is>
      </c>
      <c r="D185" s="27" t="inlineStr">
        <is>
          <t>JSON 상세는 dashboard_payload 파일 참조</t>
        </is>
      </c>
    </row>
    <row r="186" ht="24" customHeight="1">
      <c r="A186" s="32" t="inlineStr">
        <is>
          <t>display_labels_kr</t>
        </is>
      </c>
      <c r="B186" s="32" t="inlineStr">
        <is>
          <t>price_history</t>
        </is>
      </c>
      <c r="C186" s="32" t="inlineStr">
        <is>
          <t>주가 차트</t>
        </is>
      </c>
      <c r="D186" s="32" t="inlineStr">
        <is>
          <t>JSON 상세는 dashboard_payload 파일 참조</t>
        </is>
      </c>
    </row>
    <row r="187" ht="24" customHeight="1">
      <c r="A187" s="27" t="inlineStr">
        <is>
          <t>display_labels_kr</t>
        </is>
      </c>
      <c r="B187" s="27" t="inlineStr">
        <is>
          <t>historical_financials</t>
        </is>
      </c>
      <c r="C187" s="27" t="inlineStr">
        <is>
          <t>재무 추이</t>
        </is>
      </c>
      <c r="D187" s="27" t="inlineStr">
        <is>
          <t>JSON 상세는 dashboard_payload 파일 참조</t>
        </is>
      </c>
    </row>
    <row r="188" ht="24" customHeight="1">
      <c r="A188" s="32" t="inlineStr">
        <is>
          <t>display_labels_kr</t>
        </is>
      </c>
      <c r="B188" s="32" t="inlineStr">
        <is>
          <t>fcf_projection</t>
        </is>
      </c>
      <c r="C188" s="32" t="inlineStr">
        <is>
          <t>FCF 추정</t>
        </is>
      </c>
      <c r="D188" s="32" t="inlineStr">
        <is>
          <t>JSON 상세는 dashboard_payload 파일 참조</t>
        </is>
      </c>
    </row>
    <row r="189" ht="24" customHeight="1">
      <c r="A189" s="27" t="inlineStr">
        <is>
          <t>display_labels_kr</t>
        </is>
      </c>
      <c r="B189" s="27" t="inlineStr">
        <is>
          <t>peer_multiples</t>
        </is>
      </c>
      <c r="C189" s="27" t="inlineStr">
        <is>
          <t>비교기업 멀티플 비교</t>
        </is>
      </c>
      <c r="D189" s="27" t="inlineStr">
        <is>
          <t>JSON 상세는 dashboard_payload 파일 참조</t>
        </is>
      </c>
    </row>
    <row r="190" ht="24" customHeight="1">
      <c r="A190" s="32" t="inlineStr">
        <is>
          <t>display_labels_kr</t>
        </is>
      </c>
      <c r="B190" s="32" t="inlineStr">
        <is>
          <t>reference_universe_focus</t>
        </is>
      </c>
      <c r="C190" s="32" t="inlineStr">
        <is>
          <t>208개 반도체 비교군 상대위치</t>
        </is>
      </c>
      <c r="D190" s="32" t="inlineStr">
        <is>
          <t>JSON 상세는 dashboard_payload 파일 참조</t>
        </is>
      </c>
    </row>
    <row r="191" ht="24" customHeight="1">
      <c r="A191" s="27" t="inlineStr">
        <is>
          <t>display_labels_kr</t>
        </is>
      </c>
      <c r="B191" s="27" t="inlineStr">
        <is>
          <t>advanced_valuation</t>
        </is>
      </c>
      <c r="C191" s="27" t="inlineStr">
        <is>
          <t>종합 가치평가</t>
        </is>
      </c>
      <c r="D191" s="27" t="inlineStr">
        <is>
          <t>JSON 상세는 dashboard_payload 파일 참조</t>
        </is>
      </c>
    </row>
    <row r="192" ht="24" customHeight="1">
      <c r="A192" s="32" t="inlineStr">
        <is>
          <t>display_labels_kr</t>
        </is>
      </c>
      <c r="B192" s="32" t="inlineStr">
        <is>
          <t>download_workbook</t>
        </is>
      </c>
      <c r="C192" s="32" t="inlineStr">
        <is>
          <t>엑셀 다운로드</t>
        </is>
      </c>
      <c r="D192" s="32" t="inlineStr">
        <is>
          <t>JSON 상세는 dashboard_payload 파일 참조</t>
        </is>
      </c>
    </row>
    <row r="193" ht="24" customHeight="1">
      <c r="A193" s="27" t="inlineStr">
        <is>
          <t>dashboard_usage_note</t>
        </is>
      </c>
      <c r="B193" s="27" t="inlineStr">
        <is>
          <t>값</t>
        </is>
      </c>
      <c r="C193" s="27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193" s="27" t="inlineStr">
        <is>
          <t>대시보드 기본값</t>
        </is>
      </c>
    </row>
  </sheetData>
  <autoFilter ref="A2:D193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감사 추적</t>
        </is>
      </c>
    </row>
    <row r="2" ht="24" customHeight="1">
      <c r="A2" s="28" t="inlineStr">
        <is>
          <t>단계</t>
        </is>
      </c>
      <c r="B2" s="28" t="inlineStr">
        <is>
          <t>상태</t>
        </is>
      </c>
      <c r="C2" s="28" t="inlineStr">
        <is>
          <t>rows</t>
        </is>
      </c>
      <c r="D2" s="28" t="inlineStr">
        <is>
          <t>발행주식 수</t>
        </is>
      </c>
      <c r="E2" s="28" t="inlineStr">
        <is>
          <t>시가총액</t>
        </is>
      </c>
      <c r="F2" s="28" t="inlineStr">
        <is>
          <t>20일 평균 거래대금</t>
        </is>
      </c>
    </row>
    <row r="3" ht="24" customHeight="1">
      <c r="A3" s="27" t="inlineStr">
        <is>
          <t>normalized_financials</t>
        </is>
      </c>
      <c r="B3" s="27" t="inlineStr">
        <is>
          <t>OK</t>
        </is>
      </c>
      <c r="C3" s="33" t="n">
        <v>5</v>
      </c>
      <c r="D3" s="27" t="inlineStr">
        <is>
          <t>해당 없음</t>
        </is>
      </c>
      <c r="E3" s="27" t="inlineStr">
        <is>
          <t>해당 없음</t>
        </is>
      </c>
      <c r="F3" s="27" t="inlineStr">
        <is>
          <t>해당 없음</t>
        </is>
      </c>
    </row>
    <row r="4" ht="24" customHeight="1">
      <c r="A4" s="32" t="inlineStr">
        <is>
          <t>price_history</t>
        </is>
      </c>
      <c r="B4" s="32" t="inlineStr">
        <is>
          <t>OK</t>
        </is>
      </c>
      <c r="C4" s="34" t="n">
        <v>1221</v>
      </c>
      <c r="D4" s="32" t="inlineStr">
        <is>
          <t>해당 없음</t>
        </is>
      </c>
      <c r="E4" s="32" t="inlineStr">
        <is>
          <t>해당 없음</t>
        </is>
      </c>
      <c r="F4" s="32" t="inlineStr">
        <is>
          <t>해당 없음</t>
        </is>
      </c>
    </row>
    <row r="5" ht="24" customHeight="1">
      <c r="A5" s="27" t="inlineStr">
        <is>
          <t>share_count</t>
        </is>
      </c>
      <c r="B5" s="27" t="inlineStr">
        <is>
          <t>OK</t>
        </is>
      </c>
      <c r="C5" s="27" t="inlineStr">
        <is>
          <t>해당 없음</t>
        </is>
      </c>
      <c r="D5" s="33" t="n">
        <v>51414494</v>
      </c>
      <c r="E5" s="27" t="inlineStr">
        <is>
          <t>해당 없음</t>
        </is>
      </c>
      <c r="F5" s="27" t="inlineStr">
        <is>
          <t>해당 없음</t>
        </is>
      </c>
    </row>
    <row r="6" ht="24" customHeight="1">
      <c r="A6" s="32" t="inlineStr">
        <is>
          <t>reference_universe</t>
        </is>
      </c>
      <c r="B6" s="32" t="inlineStr">
        <is>
          <t>OK</t>
        </is>
      </c>
      <c r="C6" s="34" t="n">
        <v>208</v>
      </c>
      <c r="D6" s="32" t="inlineStr">
        <is>
          <t>해당 없음</t>
        </is>
      </c>
      <c r="E6" s="32" t="inlineStr">
        <is>
          <t>해당 없음</t>
        </is>
      </c>
      <c r="F6" s="32" t="inlineStr">
        <is>
          <t>해당 없음</t>
        </is>
      </c>
    </row>
    <row r="7" ht="24" customHeight="1">
      <c r="A7" s="27" t="inlineStr">
        <is>
          <t>market_cap</t>
        </is>
      </c>
      <c r="B7" s="27" t="inlineStr">
        <is>
          <t>OK</t>
        </is>
      </c>
      <c r="C7" s="27" t="inlineStr">
        <is>
          <t>해당 없음</t>
        </is>
      </c>
      <c r="D7" s="27" t="inlineStr">
        <is>
          <t>해당 없음</t>
        </is>
      </c>
      <c r="E7" s="33" t="n">
        <v>2791807024200</v>
      </c>
      <c r="F7" s="27" t="inlineStr">
        <is>
          <t>해당 없음</t>
        </is>
      </c>
    </row>
    <row r="8" ht="24" customHeight="1">
      <c r="A8" s="32" t="inlineStr">
        <is>
          <t>liquidity_proxy</t>
        </is>
      </c>
      <c r="B8" s="32" t="inlineStr">
        <is>
          <t>OK</t>
        </is>
      </c>
      <c r="C8" s="32" t="inlineStr">
        <is>
          <t>해당 없음</t>
        </is>
      </c>
      <c r="D8" s="32" t="inlineStr">
        <is>
          <t>해당 없음</t>
        </is>
      </c>
      <c r="E8" s="32" t="inlineStr">
        <is>
          <t>해당 없음</t>
        </is>
      </c>
      <c r="F8" s="34" t="n">
        <v>56257479630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5" t="inlineStr">
        <is>
          <t>업로드 파이낸셜 모델링 파일에서 추출한 설계 archetype</t>
        </is>
      </c>
    </row>
    <row r="2" ht="24" customHeight="1">
      <c r="A2" s="28" t="inlineStr">
        <is>
          <t>모델 유형</t>
        </is>
      </c>
      <c r="B2" s="28" t="inlineStr">
        <is>
          <t>설명</t>
        </is>
      </c>
      <c r="C2" s="28" t="inlineStr">
        <is>
          <t>참조 파일 패턴</t>
        </is>
      </c>
      <c r="D2" s="28" t="inlineStr">
        <is>
          <t>관찰된 시트</t>
        </is>
      </c>
      <c r="E2" s="28" t="inlineStr">
        <is>
          <t>권장 시트</t>
        </is>
      </c>
      <c r="F2" s="28" t="inlineStr">
        <is>
          <t>필요 데이터</t>
        </is>
      </c>
      <c r="G2" s="28" t="inlineStr">
        <is>
          <t>키워드</t>
        </is>
      </c>
    </row>
    <row r="3" ht="24" customHeight="1">
      <c r="A3" s="27" t="inlineStr">
        <is>
          <t>DCF_CORE</t>
        </is>
      </c>
      <c r="B3" s="27" t="inlineStr">
        <is>
          <t>DCF 핵심 모델: 가정, 정규화 재무제표, WACC, FCF 추정, DCF, 검증체크.</t>
        </is>
      </c>
      <c r="C3" s="27" t="inlineStr">
        <is>
          <t>파이낸셜 모델링 플레이북 / DCF, Value, Valuation, FCF, WACC 실습형 파일</t>
        </is>
      </c>
      <c r="D3" s="27" t="inlineStr">
        <is>
          <t>DCF | Summary | Sales | COGS | SG&amp;A | CAPEX Dep. | WC | Debt | FCF | WACC | Value</t>
        </is>
      </c>
      <c r="E3" s="27" t="inlineStr">
        <is>
          <t>01_ReadMe | 02_Assumptions | 03_Raw_Financials | 04_Normalized_FS | 05_Key_Ratios | 06_WACC | 07_FCF_Projection | 08_DCF | 09_Sensitivity | 10_Checks</t>
        </is>
      </c>
      <c r="F3" s="27" t="inlineStr">
        <is>
          <t>financial_statements | price_history | capital_structure | macro_assumptions | shares_outstanding</t>
        </is>
      </c>
      <c r="G3" s="27" t="inlineStr">
        <is>
          <t>dcf | wacc | fcf | valuation | value | capex | debt</t>
        </is>
      </c>
    </row>
    <row r="4" ht="24" customHeight="1">
      <c r="A4" s="32" t="inlineStr">
        <is>
          <t>THREE_STATEMENT_MODEL</t>
        </is>
      </c>
      <c r="B4" s="32" t="inlineStr">
        <is>
          <t>Three-statement style model: PL/BS/CF raw data normalization and operating driver projection.</t>
        </is>
      </c>
      <c r="C4" s="32" t="inlineStr">
        <is>
          <t>재무모델링/재무기획 자료 중 FS, BS, PL, CF, Raw data, Normalized 형태</t>
        </is>
      </c>
      <c r="D4" s="32" t="inlineStr">
        <is>
          <t>FS | BS | PL | CF | Raw data | Input | Output | Check</t>
        </is>
      </c>
      <c r="E4" s="32" t="inlineStr">
        <is>
          <t>01_ReadMe | 02_Source_Map | 03_Raw_Financials | 04_Normalized_FS | 05_Ratio_Drivers | 06_Projection | 07_Checks</t>
        </is>
      </c>
      <c r="F4" s="32" t="inlineStr">
        <is>
          <t>financial_statements | account_mapping | historical_ratios | projection_drivers</t>
        </is>
      </c>
      <c r="G4" s="32" t="inlineStr">
        <is>
          <t>fs | bs | pl | cf | raw | normalized | projection</t>
        </is>
      </c>
    </row>
    <row r="5" ht="24" customHeight="1">
      <c r="A5" s="27" t="inlineStr">
        <is>
          <t>PEER_COMPS</t>
        </is>
      </c>
      <c r="B5" s="27" t="inlineStr">
        <is>
          <t>Comparable-company workbook for peer multiples and relative valuation.</t>
        </is>
      </c>
      <c r="C5" s="27" t="inlineStr">
        <is>
          <t>Peer Analysis, 시장/산업 비교, valuation multiple 관련 시트</t>
        </is>
      </c>
      <c r="D5" s="27" t="inlineStr">
        <is>
          <t>Peer Analysis | Comps | Market | Industry | Output</t>
        </is>
      </c>
      <c r="E5" s="27" t="inlineStr">
        <is>
          <t>01_ReadMe | 02_Peer_Universe | 03_Peer_Raw_Data | 04_Peer_Multiples | 05_Relative_Value | 06_Checks</t>
        </is>
      </c>
      <c r="F5" s="27" t="inlineStr">
        <is>
          <t>peer_financials | peer_prices | market_cap | revenue | net_income | equity</t>
        </is>
      </c>
      <c r="G5" s="27" t="inlineStr">
        <is>
          <t>peer | comps | multiple | per | pbr | psr | ev</t>
        </is>
      </c>
    </row>
    <row r="6" ht="24" customHeight="1">
      <c r="A6" s="32" t="inlineStr">
        <is>
          <t>SCENARIO_SENSITIVITY</t>
        </is>
      </c>
      <c r="B6" s="32" t="inlineStr">
        <is>
          <t>Scenario workbook: base/bull/bear assumptions and DCF sensitivity table.</t>
        </is>
      </c>
      <c r="C6" s="32" t="inlineStr">
        <is>
          <t>Scenario, Sensitivity, 가정별 변화 보기, Check 관련 시트</t>
        </is>
      </c>
      <c r="D6" s="32" t="inlineStr">
        <is>
          <t>Scenario | Sensitivity | Input | Check | Output</t>
        </is>
      </c>
      <c r="E6" s="32" t="inlineStr">
        <is>
          <t>01_ReadMe | 02_Assumptions | 03_Scenario_Setup | 04_DCF_Base | 05_Sensitivity | 06_Checks</t>
        </is>
      </c>
      <c r="F6" s="32" t="inlineStr">
        <is>
          <t>base_assumptions | wacc_range | terminal_growth_range | growth_scenarios</t>
        </is>
      </c>
      <c r="G6" s="32" t="inlineStr">
        <is>
          <t>scenario | sensitivity | case | bear | bull | check</t>
        </is>
      </c>
    </row>
    <row r="7" ht="24" customHeight="1">
      <c r="A7" s="27" t="inlineStr">
        <is>
          <t>MANUFACTURING_DRIVER_MODEL</t>
        </is>
      </c>
      <c r="B7" s="27" t="inlineStr">
        <is>
          <t>Manufacturing-style driver model inferred from sheets such as Sales, COGS, CAPEX, SG&amp;A, WC, TAX, DEBT and Backdata.</t>
        </is>
      </c>
      <c r="C7" s="27" t="inlineStr">
        <is>
          <t>제조업/DCF Valuation_after_22ver/DCF+CoCo Valuation+reporting 등 driver-based workbook</t>
        </is>
      </c>
      <c r="D7" s="27" t="inlineStr">
        <is>
          <t>DCF Results | Output☞ | Report | CoCo | DCF | FCST BS | FCST IS | FCST CF | WP☞ | Assumption | Sales | COGS | CAPEX | Payroll | SG&amp;A | DEBT | TAX | WC | WACC | Backdata☞</t>
        </is>
      </c>
      <c r="E7" s="27" t="inlineStr">
        <is>
          <t>01_ReadMe | 02_Assumptions | 03_Raw_Financials | 04_Driver_Input | 05_Revenue_COGS_SGA | 06_CAPEX_WC_Tax | 07_Forecast_FS | 08_WACC | 09_DCF | 10_CoCo | 11_Report</t>
        </is>
      </c>
      <c r="F7" s="27" t="inlineStr">
        <is>
          <t>historical_fs | sales_driver | margin_driver | capex_driver | working_capital_driver | tax_assumption | debt_assumption</t>
        </is>
      </c>
      <c r="G7" s="27" t="inlineStr">
        <is>
          <t>manufacturing | driver | sales | cogs | capex | wc | tax | coco</t>
        </is>
      </c>
    </row>
    <row r="8" ht="24" customHeight="1">
      <c r="A8" s="32" t="inlineStr">
        <is>
          <t>FPNA_BUDGET_FORECAST</t>
        </is>
      </c>
      <c r="B8" s="32" t="inlineStr">
        <is>
          <t>FP&amp;A budget/forecast model inferred from Legend, Scenario, Input, Inventory, Cost, Working Capital and Financial Statement sheets.</t>
        </is>
      </c>
      <c r="C8" s="32" t="inlineStr">
        <is>
          <t>FP&amp;A / Budget &amp; Forecast xlsm examples</t>
        </is>
      </c>
      <c r="D8" s="32" t="inlineStr">
        <is>
          <t>Legend | Scenario | Input | Inventory | Cost | Working capital | Dep &amp; Tax | Debt &amp; Equity | Financial Statement | Valuation | Check | Actual</t>
        </is>
      </c>
      <c r="E8" s="32" t="inlineStr">
        <is>
          <t>01_ReadMe | 02_Scenario | 03_Input | 04_Actual | 05_Budget_Forecast | 06_Working_Capital | 07_Debt_Equity | 08_Financial_Statement | 09_Valuation | 10_Check</t>
        </is>
      </c>
      <c r="F8" s="32" t="inlineStr">
        <is>
          <t>actual_fs | budget_assumptions | scenario_assumptions | inventory_driver | cost_driver | debt_equity_driver</t>
        </is>
      </c>
      <c r="G8" s="32" t="inlineStr">
        <is>
          <t>fp&amp;a | budget | forecast | scenario | inventory | cost | working capital</t>
        </is>
      </c>
    </row>
    <row r="9" ht="24" customHeight="1">
      <c r="A9" s="27" t="inlineStr">
        <is>
          <t>M_AND_A_DEAL_STRUCTURING</t>
        </is>
      </c>
      <c r="B9" s="27" t="inlineStr">
        <is>
          <t>M&amp;A/deal structuring workbook pattern for merger, secondary sale, rights offering and CB issuance outputs.</t>
        </is>
      </c>
      <c r="C9" s="27" t="inlineStr">
        <is>
          <t>M&amp;A modeling pack / deal structuring exercise</t>
        </is>
      </c>
      <c r="D9" s="27" t="inlineStr">
        <is>
          <t>합병 | 구주매각 | 유상증자 | CB발행 | Peer Analysis | FS (dart) | Peer data (CapIQ) | 참고) Peer List (네이버증권)</t>
        </is>
      </c>
      <c r="E9" s="27" t="inlineStr">
        <is>
          <t>01_ReadMe | 02_Deal_Assumptions | 03_Target_FS | 04_Peer_Comps | 05_Merger | 06_Equity_Issuance | 07_CB_Issuance | 08_Value_Impact | 09_Checks</t>
        </is>
      </c>
      <c r="F9" s="27" t="inlineStr">
        <is>
          <t>target_fs | peer_multiples | deal_assumptions | share_price | capital_structure</t>
        </is>
      </c>
      <c r="G9" s="27" t="inlineStr">
        <is>
          <t>m&amp;a | deal | merger | cb | issuance | peer analysis</t>
        </is>
      </c>
    </row>
    <row r="10" ht="24" customHeight="1">
      <c r="A10" s="32" t="inlineStr">
        <is>
          <t>LBO_CREDIT_CASE</t>
        </is>
      </c>
      <c r="B10" s="32" t="inlineStr">
        <is>
          <t>LBO/debt capacity style model inferred from assumptions, covenants, FCFF, debt and country/rate sheets.</t>
        </is>
      </c>
      <c r="C10" s="32" t="inlineStr">
        <is>
          <t>part10 LBO modeling pack</t>
        </is>
      </c>
      <c r="D10" s="32" t="inlineStr">
        <is>
          <t>Assumptions | Covenants | FCFF (Hold Co) | FCFF(Op) | 추정PL | Sales | PL | BS | Summary | 채권수익률</t>
        </is>
      </c>
      <c r="E10" s="32" t="inlineStr">
        <is>
          <t>01_ReadMe | 02_Assumptions | 03_FCFF | 04_Debt_Schedule | 05_Covenants | 06_Returns | 07_Credit_Checks</t>
        </is>
      </c>
      <c r="F10" s="32" t="inlineStr">
        <is>
          <t>fcff | debt_assumption | interest_rate | covenant_threshold | exit_multiple</t>
        </is>
      </c>
      <c r="G10" s="32" t="inlineStr">
        <is>
          <t>lbo | covenant | debt | fcff | exit | credit</t>
        </is>
      </c>
    </row>
    <row r="11" ht="24" customHeight="1">
      <c r="A11" s="27" t="inlineStr">
        <is>
          <t>RISK_DASHBOARD_EXPORT</t>
        </is>
      </c>
      <c r="B11" s="27" t="inlineStr">
        <is>
          <t>Dashboard/export workbook for investor-facing outputs, risk checks and downloadable payloads.</t>
        </is>
      </c>
      <c r="C11" s="27" t="inlineStr">
        <is>
          <t>ChatGPT로 완성하는 파이낸셜 모델링 및 재무기획 / 수업개요, 엑셀함수, 데이터베이스 스키마, Dashboard/Output</t>
        </is>
      </c>
      <c r="D11" s="27" t="inlineStr">
        <is>
          <t>수업개요 | 엑셀함수소개 | Sheet1 | Dashboard | Output</t>
        </is>
      </c>
      <c r="E11" s="27" t="inlineStr">
        <is>
          <t>01_ReadMe | 02_Raw_Data | 03_Normalized | 04_Output | 05_Dashboard_Export | 06_Checks</t>
        </is>
      </c>
      <c r="F11" s="27" t="inlineStr">
        <is>
          <t>valuation_metrics | risk_flags | chart_series | dashboard_payload | validation_status</t>
        </is>
      </c>
      <c r="G11" s="27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투자자용 요약</t>
        </is>
      </c>
    </row>
    <row r="2" ht="28" customHeight="1">
      <c r="A2" s="20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5" t="inlineStr">
        <is>
          <t>투자자 핵심 요약</t>
        </is>
      </c>
    </row>
    <row r="5" ht="24" customHeight="1">
      <c r="A5" s="28" t="inlineStr">
        <is>
          <t>구분</t>
        </is>
      </c>
      <c r="B5" s="28" t="inlineStr">
        <is>
          <t>핵심값</t>
        </is>
      </c>
      <c r="C5" s="28" t="inlineStr">
        <is>
          <t>해석</t>
        </is>
      </c>
    </row>
    <row r="6" ht="24" customHeight="1">
      <c r="A6" s="27" t="inlineStr">
        <is>
          <t>데이터 상태</t>
        </is>
      </c>
      <c r="B6" s="27" t="inlineStr">
        <is>
          <t>FAIL</t>
        </is>
      </c>
      <c r="C6" s="27" t="inlineStr">
        <is>
          <t>PASS이면 workbook/dashboard용 주요 입력값이 준비된 상태</t>
        </is>
      </c>
    </row>
    <row r="7" ht="24" customHeight="1">
      <c r="A7" s="32" t="inlineStr">
        <is>
          <t>현재가</t>
        </is>
      </c>
      <c r="B7" s="34" t="n">
        <v>54300</v>
      </c>
      <c r="C7" s="32" t="inlineStr">
        <is>
          <t>주가 intake 기준 최근 종가</t>
        </is>
      </c>
    </row>
    <row r="8" ht="24" customHeight="1">
      <c r="A8" s="27" t="inlineStr">
        <is>
          <t>시가총액</t>
        </is>
      </c>
      <c r="B8" s="33" t="n">
        <v>2791807024200</v>
      </c>
      <c r="C8" s="27" t="inlineStr">
        <is>
          <t>현재가 × 발행주식 수</t>
        </is>
      </c>
    </row>
    <row r="9" ht="24" customHeight="1">
      <c r="A9" s="32" t="inlineStr">
        <is>
          <t>최근 매출액</t>
        </is>
      </c>
      <c r="B9" s="32" t="inlineStr">
        <is>
          <t>해당 없음</t>
        </is>
      </c>
      <c r="C9" s="32" t="inlineStr">
        <is>
          <t>DART 기반 정규화 재무제표</t>
        </is>
      </c>
    </row>
    <row r="10" ht="24" customHeight="1">
      <c r="A10" s="27" t="inlineStr">
        <is>
          <t>최근 영업이익률</t>
        </is>
      </c>
      <c r="B10" s="27" t="inlineStr">
        <is>
          <t>해당 없음</t>
        </is>
      </c>
      <c r="C10" s="27" t="inlineStr">
        <is>
          <t>영업이익 / 매출액</t>
        </is>
      </c>
    </row>
    <row r="11" ht="24" customHeight="1">
      <c r="A11" s="32" t="inlineStr">
        <is>
          <t>최근 FCF margin</t>
        </is>
      </c>
      <c r="B11" s="32" t="inlineStr">
        <is>
          <t>해당 없음</t>
        </is>
      </c>
      <c r="C11" s="32" t="inlineStr">
        <is>
          <t>FCF / 매출액</t>
        </is>
      </c>
    </row>
    <row r="12" ht="24" customHeight="1">
      <c r="A12" s="27" t="inlineStr">
        <is>
          <t>WACC</t>
        </is>
      </c>
      <c r="B12" s="33" t="n">
        <v>0.1182349478540854</v>
      </c>
      <c r="C12" s="27" t="inlineStr">
        <is>
          <t>DCF 할인율</t>
        </is>
      </c>
    </row>
    <row r="13" ht="24" customHeight="1">
      <c r="A13" s="32" t="inlineStr">
        <is>
          <t>DCF 기업가치</t>
        </is>
      </c>
      <c r="B13" s="32" t="inlineStr">
        <is>
          <t>해당 없음</t>
        </is>
      </c>
      <c r="C13" s="32" t="inlineStr">
        <is>
          <t>명시기간 FCF + Terminal Value 현재가치</t>
        </is>
      </c>
    </row>
    <row r="14" ht="24" customHeight="1">
      <c r="A14" s="27" t="inlineStr">
        <is>
          <t>DCF 내재주가</t>
        </is>
      </c>
      <c r="B14" s="27" t="inlineStr">
        <is>
          <t>해당 없음</t>
        </is>
      </c>
      <c r="C14" s="27" t="inlineStr">
        <is>
          <t>지분가치 / 발행주식 수</t>
        </is>
      </c>
    </row>
    <row r="15" ht="24" customHeight="1">
      <c r="A15" s="32" t="inlineStr">
        <is>
          <t>현재가 대비 괴리율</t>
        </is>
      </c>
      <c r="B15" s="32" t="inlineStr">
        <is>
          <t>해당 없음</t>
        </is>
      </c>
      <c r="C15" s="32" t="inlineStr">
        <is>
          <t>내재주가 / 현재가 - 1</t>
        </is>
      </c>
    </row>
    <row r="16" ht="24" customHeight="1">
      <c r="A16" s="27" t="inlineStr">
        <is>
          <t>P/S</t>
        </is>
      </c>
      <c r="B16" s="33" t="n">
        <v>1.22274433704152</v>
      </c>
      <c r="C16" s="27" t="inlineStr">
        <is>
          <t>피어 대비 저PSR 구간: 상대 저평가 가능성</t>
        </is>
      </c>
    </row>
    <row r="17" ht="24" customHeight="1">
      <c r="A17" s="32" t="inlineStr">
        <is>
          <t>Peer P/S 중앙값</t>
        </is>
      </c>
      <c r="B17" s="34" t="n">
        <v>3.430171921382347</v>
      </c>
      <c r="C17" s="32" t="inlineStr">
        <is>
          <t>5개 live peer 기준 상대가치 비교</t>
        </is>
      </c>
    </row>
    <row r="18" ht="24" customHeight="1">
      <c r="A18" s="27" t="inlineStr">
        <is>
          <t>208개 Universe</t>
        </is>
      </c>
      <c r="B18" s="33" t="n">
        <v>208</v>
      </c>
      <c r="C18" s="27" t="inlineStr">
        <is>
          <t>소재</t>
        </is>
      </c>
    </row>
    <row r="19" ht="24" customHeight="1">
      <c r="A19" s="32" t="inlineStr">
        <is>
          <t>1년 수익률</t>
        </is>
      </c>
      <c r="B19" s="34" t="n">
        <v>0.8100000000000001</v>
      </c>
      <c r="C19" s="32" t="inlineStr">
        <is>
          <t>최근 약 1년 주가 변화</t>
        </is>
      </c>
    </row>
    <row r="20" ht="24" customHeight="1">
      <c r="A20" s="27" t="inlineStr">
        <is>
          <t>MDD</t>
        </is>
      </c>
      <c r="B20" s="33" t="n">
        <v>-0.6</v>
      </c>
      <c r="C20" s="27" t="inlineStr">
        <is>
          <t>수집 기간 중 최대 낙폭</t>
        </is>
      </c>
    </row>
    <row r="21" ht="24" customHeight="1">
      <c r="A21" s="32" t="inlineStr">
        <is>
          <t>20일 평균 거래대금</t>
        </is>
      </c>
      <c r="B21" s="34" t="n">
        <v>56257479630</v>
      </c>
      <c r="C21" s="32" t="inlineStr">
        <is>
          <t>거래 유동성 proxy</t>
        </is>
      </c>
    </row>
    <row r="22" ht="24" customHeight="1">
      <c r="A22" s="25" t="inlineStr">
        <is>
          <t>활용 체크포인트</t>
        </is>
      </c>
      <c r="B22" s="35" t="n"/>
      <c r="C22" s="35" t="n"/>
      <c r="D22" s="35" t="n"/>
      <c r="E22" s="35" t="n"/>
      <c r="F22" s="36" t="n"/>
    </row>
    <row r="23" ht="24" customHeight="1">
      <c r="A23" s="28" t="inlineStr">
        <is>
          <t>체크포인트</t>
        </is>
      </c>
      <c r="B23" s="37" t="inlineStr">
        <is>
          <t>내용</t>
        </is>
      </c>
      <c r="C23" s="32" t="inlineStr">
        <is>
          <t>반도체 5개 focal universe</t>
        </is>
      </c>
    </row>
    <row r="24" ht="24" customHeight="1">
      <c r="A24" s="27" t="inlineStr">
        <is>
          <t>가중합 반영</t>
        </is>
      </c>
      <c r="B24" s="27" t="inlineStr">
        <is>
          <t>기존 Chair 5개 에이전트 가중합에는 미반영. 보조 가치평가·다운로드 산출물로 사용</t>
        </is>
      </c>
    </row>
    <row r="25" ht="24" customHeight="1">
      <c r="A25" s="32" t="inlineStr">
        <is>
          <t>Finance와 중복 방지</t>
        </is>
      </c>
      <c r="B25" s="32" t="inlineStr">
        <is>
          <t>finance_agent 산출물을 읽지 않고 valuation/intake 산출물만 사용</t>
        </is>
      </c>
    </row>
    <row r="26" ht="24" customHeight="1">
      <c r="A26" s="27" t="inlineStr">
        <is>
          <t>대시보드 연결</t>
        </is>
      </c>
      <c r="B26" s="27" t="inlineStr">
        <is>
          <t>dashboard_payload.json과 workbook 시트를 그대로 Streamlit/React 다운로드 영역에 연결 가능</t>
        </is>
      </c>
    </row>
    <row r="27" ht="24" customHeight="1">
      <c r="A27" s="32" t="inlineStr">
        <is>
          <t>PSR/208개 Universe</t>
        </is>
      </c>
      <c r="B27" s="32" t="inlineStr">
        <is>
          <t>P/S와 208개 반도체 reference universe를 함께 보여줘 단순 DCF보다 비교 설명력을 강화</t>
        </is>
      </c>
    </row>
    <row r="28" ht="24" customHeight="1">
      <c r="A28" s="27" t="inlineStr">
        <is>
          <t>해석 주의</t>
        </is>
      </c>
      <c r="B28" s="27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9" t="inlineStr">
        <is>
          <t>208개 반도체 Reference Universe</t>
        </is>
      </c>
    </row>
    <row r="2" ht="28" customHeight="1">
      <c r="A2" s="20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5" t="inlineStr">
        <is>
          <t>Universe 요약</t>
        </is>
      </c>
    </row>
    <row r="5" ht="24" customHeight="1">
      <c r="A5" s="28" t="inlineStr">
        <is>
          <t>항목</t>
        </is>
      </c>
      <c r="B5" s="28" t="inlineStr">
        <is>
          <t>값</t>
        </is>
      </c>
    </row>
    <row r="6" ht="24" customHeight="1">
      <c r="A6" s="27" t="inlineStr">
        <is>
          <t>status</t>
        </is>
      </c>
      <c r="B6" s="27" t="inlineStr">
        <is>
          <t>OK</t>
        </is>
      </c>
    </row>
    <row r="7" ht="24" customHeight="1">
      <c r="A7" s="32" t="inlineStr">
        <is>
          <t>created_at</t>
        </is>
      </c>
      <c r="B7" s="32" t="inlineStr">
        <is>
          <t>2026-05-20T13:10:49</t>
        </is>
      </c>
    </row>
    <row r="8" ht="24" customHeight="1">
      <c r="A8" s="27" t="inlineStr">
        <is>
          <t>reference_universe_rows</t>
        </is>
      </c>
      <c r="B8" s="33" t="n">
        <v>208</v>
      </c>
    </row>
    <row r="9" ht="24" customHeight="1">
      <c r="A9" s="32" t="inlineStr">
        <is>
          <t>focus_rows</t>
        </is>
      </c>
      <c r="B9" s="34" t="n">
        <v>40</v>
      </c>
    </row>
    <row r="10" ht="24" customHeight="1">
      <c r="A10" s="27" t="inlineStr">
        <is>
          <t>focal_5_rows</t>
        </is>
      </c>
      <c r="B10" s="33" t="n">
        <v>5</v>
      </c>
    </row>
    <row r="11" ht="24" customHeight="1">
      <c r="A11" s="32" t="inlineStr">
        <is>
          <t>target_company</t>
        </is>
      </c>
      <c r="B11" s="32" t="inlineStr">
        <is>
          <t>동진쎄미켐</t>
        </is>
      </c>
    </row>
    <row r="12" ht="24" customHeight="1">
      <c r="A12" s="27" t="inlineStr">
        <is>
          <t>target_peer_group</t>
        </is>
      </c>
      <c r="B12" s="27" t="inlineStr">
        <is>
          <t>소재</t>
        </is>
      </c>
    </row>
    <row r="13" ht="24" customHeight="1">
      <c r="A13" s="32" t="inlineStr">
        <is>
          <t>target_peer_group_size</t>
        </is>
      </c>
      <c r="B13" s="34" t="n">
        <v>26</v>
      </c>
    </row>
    <row r="14" ht="24" customHeight="1">
      <c r="A14" s="27" t="inlineStr">
        <is>
          <t>attractive_rows</t>
        </is>
      </c>
      <c r="B14" s="33" t="n">
        <v>43</v>
      </c>
    </row>
    <row r="15" ht="24" customHeight="1">
      <c r="A15" s="32" t="inlineStr">
        <is>
          <t>high_risk_rows</t>
        </is>
      </c>
      <c r="B15" s="34" t="n">
        <v>67</v>
      </c>
    </row>
    <row r="16" ht="24" customHeight="1">
      <c r="A16" s="27" t="inlineStr">
        <is>
          <t>note</t>
        </is>
      </c>
      <c r="B16" s="27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32" t="inlineStr">
        <is>
          <t>source_path</t>
        </is>
      </c>
      <c r="B17" s="32" t="inlineStr">
        <is>
          <t>data/반도체/_sector_common/ml_universe/valuation_credit_ml_overlay_candidate.csv</t>
        </is>
      </c>
    </row>
    <row r="18" ht="24" customHeight="1">
      <c r="A18" s="27" t="inlineStr">
        <is>
          <t>exported_at</t>
        </is>
      </c>
      <c r="B18" s="27" t="inlineStr">
        <is>
          <t>2026-05-20T13:10:49</t>
        </is>
      </c>
    </row>
    <row r="19" ht="24" customHeight="1"/>
    <row r="20" ht="24" customHeight="1"/>
    <row r="21" ht="24" customHeight="1">
      <c r="A21" s="25" t="inlineStr">
        <is>
          <t>Target 중심 비교군</t>
        </is>
      </c>
    </row>
    <row r="22" ht="24" customHeight="1">
      <c r="A22" s="28" t="inlineStr">
        <is>
          <t>Universe 순번</t>
        </is>
      </c>
      <c r="B22" s="28" t="inlineStr">
        <is>
          <t>기업코드</t>
        </is>
      </c>
      <c r="C22" s="28" t="inlineStr">
        <is>
          <t>기업명</t>
        </is>
      </c>
      <c r="D22" s="28" t="inlineStr">
        <is>
          <t>종목코드</t>
        </is>
      </c>
      <c r="E22" s="28" t="inlineStr">
        <is>
          <t>시장</t>
        </is>
      </c>
      <c r="F22" s="28" t="inlineStr">
        <is>
          <t>피어 그룹</t>
        </is>
      </c>
      <c r="G22" s="28" t="inlineStr">
        <is>
          <t>반도체 세부군</t>
        </is>
      </c>
      <c r="H22" s="28" t="inlineStr">
        <is>
          <t>5개 핵심기업</t>
        </is>
      </c>
      <c r="I22" s="28" t="inlineStr">
        <is>
          <t>market_data_available</t>
        </is>
      </c>
      <c r="J22" s="28" t="inlineStr">
        <is>
          <t>데이터 품질</t>
        </is>
      </c>
      <c r="K22" s="28" t="inlineStr">
        <is>
          <t>데이터 품질 해석</t>
        </is>
      </c>
      <c r="L22" s="28" t="inlineStr">
        <is>
          <t>수동검토 우선순위</t>
        </is>
      </c>
      <c r="M22" s="28" t="inlineStr">
        <is>
          <t>수동검토 우선순위 해석</t>
        </is>
      </c>
      <c r="N22" s="28" t="inlineStr">
        <is>
          <t>Valuation Proxy 점수</t>
        </is>
      </c>
      <c r="O22" s="28" t="inlineStr">
        <is>
          <t>Valuation Proxy 라벨</t>
        </is>
      </c>
      <c r="P22" s="28" t="inlineStr">
        <is>
          <t>가치 라벨</t>
        </is>
      </c>
      <c r="Q22" s="28" t="inlineStr">
        <is>
          <t>valuation_pred_label</t>
        </is>
      </c>
      <c r="R22" s="28" t="inlineStr">
        <is>
          <t>Valuation 신뢰도</t>
        </is>
      </c>
      <c r="S22" s="28" t="inlineStr">
        <is>
          <t>valuation_confidence_bucket</t>
        </is>
      </c>
      <c r="T22" s="28" t="inlineStr">
        <is>
          <t>valuation_confidence_bucket_kr</t>
        </is>
      </c>
      <c r="U22" s="28" t="inlineStr">
        <is>
          <t>Credit Risk 점수</t>
        </is>
      </c>
      <c r="V22" s="28" t="inlineStr">
        <is>
          <t>Credit Risk 라벨</t>
        </is>
      </c>
      <c r="W22" s="28" t="inlineStr">
        <is>
          <t>신용위험 라벨</t>
        </is>
      </c>
      <c r="X22" s="28" t="inlineStr">
        <is>
          <t>credit_pred_label</t>
        </is>
      </c>
      <c r="Y22" s="28" t="inlineStr">
        <is>
          <t>Credit 신뢰도</t>
        </is>
      </c>
      <c r="Z22" s="28" t="inlineStr">
        <is>
          <t>credit_confidence_bucket</t>
        </is>
      </c>
      <c r="AA22" s="28" t="inlineStr">
        <is>
          <t>credit_confidence_bucket_kr</t>
        </is>
      </c>
      <c r="AB22" s="28" t="inlineStr">
        <is>
          <t>Credit 이상치 점수</t>
        </is>
      </c>
      <c r="AC22" s="28" t="inlineStr">
        <is>
          <t>credit_anomaly_flag_top15pct</t>
        </is>
      </c>
      <c r="AD22" s="28" t="inlineStr">
        <is>
          <t>auditor_requires_human_review</t>
        </is>
      </c>
      <c r="AE22" s="28" t="inlineStr">
        <is>
          <t>출처 유형</t>
        </is>
      </c>
      <c r="AF22" s="28" t="inlineStr">
        <is>
          <t>출처 설명</t>
        </is>
      </c>
      <c r="AG22" s="28" t="inlineStr">
        <is>
          <t>포함 사유</t>
        </is>
      </c>
      <c r="AH22" s="28" t="inlineStr">
        <is>
          <t>분석대상</t>
        </is>
      </c>
    </row>
    <row r="23" ht="24" customHeight="1">
      <c r="A23" s="27" t="inlineStr">
        <is>
          <t>126</t>
        </is>
      </c>
      <c r="B23" s="27" t="inlineStr">
        <is>
          <t>해당 없음</t>
        </is>
      </c>
      <c r="C23" s="27" t="inlineStr">
        <is>
          <t>동진쎄미켐</t>
        </is>
      </c>
      <c r="D23" s="27" t="inlineStr">
        <is>
          <t>005290</t>
        </is>
      </c>
      <c r="E23" s="27" t="inlineStr">
        <is>
          <t>KOSDAQ</t>
        </is>
      </c>
      <c r="F23" s="27" t="inlineStr">
        <is>
          <t>소재</t>
        </is>
      </c>
      <c r="G23" s="27" t="inlineStr">
        <is>
          <t>소재</t>
        </is>
      </c>
      <c r="H23" s="27" t="inlineStr">
        <is>
          <t>False</t>
        </is>
      </c>
      <c r="I23" s="27" t="inlineStr">
        <is>
          <t>True</t>
        </is>
      </c>
      <c r="J23" s="27" t="inlineStr">
        <is>
          <t>OK</t>
        </is>
      </c>
      <c r="K23" s="27" t="inlineStr">
        <is>
          <t>데이터 사용 가능</t>
        </is>
      </c>
      <c r="L23" s="27" t="inlineStr">
        <is>
          <t>LOW</t>
        </is>
      </c>
      <c r="M23" s="27" t="inlineStr">
        <is>
          <t>LOW</t>
        </is>
      </c>
      <c r="N23" s="27" t="inlineStr">
        <is>
          <t>0.4702564102564102</t>
        </is>
      </c>
      <c r="O23" s="27" t="inlineStr">
        <is>
          <t>FAIR</t>
        </is>
      </c>
      <c r="P23" s="27" t="inlineStr">
        <is>
          <t>FAIR</t>
        </is>
      </c>
      <c r="Q23" s="27" t="inlineStr">
        <is>
          <t>ATTRACTIVE</t>
        </is>
      </c>
      <c r="R23" s="27" t="inlineStr">
        <is>
          <t>0.48929755601795294</t>
        </is>
      </c>
      <c r="S23" s="27" t="inlineStr">
        <is>
          <t>LOW</t>
        </is>
      </c>
      <c r="T23" s="27" t="inlineStr">
        <is>
          <t>LOW</t>
        </is>
      </c>
      <c r="U23" s="27" t="inlineStr">
        <is>
          <t>0.0</t>
        </is>
      </c>
      <c r="V23" s="27" t="inlineStr">
        <is>
          <t>LOW_RISK</t>
        </is>
      </c>
      <c r="W23" s="27" t="inlineStr">
        <is>
          <t>저위험</t>
        </is>
      </c>
      <c r="X23" s="27" t="inlineStr">
        <is>
          <t>LOW_RISK</t>
        </is>
      </c>
      <c r="Y23" s="27" t="inlineStr">
        <is>
          <t>0.9474461757717627</t>
        </is>
      </c>
      <c r="Z23" s="27" t="inlineStr">
        <is>
          <t>HIGH</t>
        </is>
      </c>
      <c r="AA23" s="27" t="inlineStr">
        <is>
          <t>HIGH</t>
        </is>
      </c>
      <c r="AB23" s="27" t="inlineStr">
        <is>
          <t>0.021813937556984325</t>
        </is>
      </c>
      <c r="AC23" s="27" t="inlineStr">
        <is>
          <t>False</t>
        </is>
      </c>
      <c r="AD23" s="27" t="inlineStr">
        <is>
          <t>True</t>
        </is>
      </c>
      <c r="AE23" s="27" t="inlineStr">
        <is>
          <t>valuation_credit_ml_overlay_candidate.csv</t>
        </is>
      </c>
      <c r="AF23" s="27" t="inlineStr">
        <is>
          <t>208개 반도체 reference universe. Valuation Agent가 자체 intake 폴더로 복제해 Peer/ML/대시보드 비교에 사용.</t>
        </is>
      </c>
      <c r="AG23" s="27" t="inlineStr">
        <is>
          <t>TARGET</t>
        </is>
      </c>
      <c r="AH23" s="27" t="inlineStr">
        <is>
          <t>True</t>
        </is>
      </c>
    </row>
    <row r="24" ht="24" customHeight="1">
      <c r="A24" s="32" t="inlineStr">
        <is>
          <t>139</t>
        </is>
      </c>
      <c r="B24" s="32" t="inlineStr">
        <is>
          <t>해당 없음</t>
        </is>
      </c>
      <c r="C24" s="32" t="inlineStr">
        <is>
          <t>월덱스</t>
        </is>
      </c>
      <c r="D24" s="32" t="inlineStr">
        <is>
          <t>101160</t>
        </is>
      </c>
      <c r="E24" s="32" t="inlineStr">
        <is>
          <t>KOSDAQ</t>
        </is>
      </c>
      <c r="F24" s="32" t="inlineStr">
        <is>
          <t>소재</t>
        </is>
      </c>
      <c r="G24" s="32" t="inlineStr">
        <is>
          <t>소재</t>
        </is>
      </c>
      <c r="H24" s="32" t="inlineStr">
        <is>
          <t>False</t>
        </is>
      </c>
      <c r="I24" s="32" t="inlineStr">
        <is>
          <t>True</t>
        </is>
      </c>
      <c r="J24" s="32" t="inlineStr">
        <is>
          <t>OK</t>
        </is>
      </c>
      <c r="K24" s="32" t="inlineStr">
        <is>
          <t>데이터 사용 가능</t>
        </is>
      </c>
      <c r="L24" s="32" t="inlineStr">
        <is>
          <t>LOW</t>
        </is>
      </c>
      <c r="M24" s="32" t="inlineStr">
        <is>
          <t>LOW</t>
        </is>
      </c>
      <c r="N24" s="32" t="inlineStr">
        <is>
          <t>0.745897435897436</t>
        </is>
      </c>
      <c r="O24" s="32" t="inlineStr">
        <is>
          <t>ATTRACTIVE</t>
        </is>
      </c>
      <c r="P24" s="32" t="inlineStr">
        <is>
          <t>가치 매력</t>
        </is>
      </c>
      <c r="Q24" s="32" t="inlineStr">
        <is>
          <t>ATTRACTIVE</t>
        </is>
      </c>
      <c r="R24" s="32" t="inlineStr">
        <is>
          <t>0.9476922450763601</t>
        </is>
      </c>
      <c r="S24" s="32" t="inlineStr">
        <is>
          <t>HIGH</t>
        </is>
      </c>
      <c r="T24" s="32" t="inlineStr">
        <is>
          <t>HIGH</t>
        </is>
      </c>
      <c r="U24" s="32" t="inlineStr">
        <is>
          <t>0.0</t>
        </is>
      </c>
      <c r="V24" s="32" t="inlineStr">
        <is>
          <t>LOW_RISK</t>
        </is>
      </c>
      <c r="W24" s="32" t="inlineStr">
        <is>
          <t>저위험</t>
        </is>
      </c>
      <c r="X24" s="32" t="inlineStr">
        <is>
          <t>LOW_RISK</t>
        </is>
      </c>
      <c r="Y24" s="32" t="inlineStr">
        <is>
          <t>0.9681016473230849</t>
        </is>
      </c>
      <c r="Z24" s="32" t="inlineStr">
        <is>
          <t>HIGH</t>
        </is>
      </c>
      <c r="AA24" s="32" t="inlineStr">
        <is>
          <t>HIGH</t>
        </is>
      </c>
      <c r="AB24" s="32" t="inlineStr">
        <is>
          <t>0.15527064195126172</t>
        </is>
      </c>
      <c r="AC24" s="32" t="inlineStr">
        <is>
          <t>False</t>
        </is>
      </c>
      <c r="AD24" s="32" t="inlineStr">
        <is>
          <t>False</t>
        </is>
      </c>
      <c r="AE24" s="32" t="inlineStr">
        <is>
          <t>valuation_credit_ml_overlay_candidate.csv</t>
        </is>
      </c>
      <c r="AF24" s="32" t="inlineStr">
        <is>
          <t>208개 반도체 reference universe. Valuation Agent가 자체 intake 폴더로 복제해 Peer/ML/대시보드 비교에 사용.</t>
        </is>
      </c>
      <c r="AG24" s="32" t="inlineStr">
        <is>
          <t>SAME_PEER_GROUP</t>
        </is>
      </c>
      <c r="AH24" s="32" t="inlineStr">
        <is>
          <t>False</t>
        </is>
      </c>
    </row>
    <row r="25" ht="24" customHeight="1">
      <c r="A25" s="27" t="inlineStr">
        <is>
          <t>147</t>
        </is>
      </c>
      <c r="B25" s="27" t="inlineStr">
        <is>
          <t>해당 없음</t>
        </is>
      </c>
      <c r="C25" s="27" t="inlineStr">
        <is>
          <t>퓨릿</t>
        </is>
      </c>
      <c r="D25" s="27" t="inlineStr">
        <is>
          <t>445180</t>
        </is>
      </c>
      <c r="E25" s="27" t="inlineStr">
        <is>
          <t>KOSDAQ</t>
        </is>
      </c>
      <c r="F25" s="27" t="inlineStr">
        <is>
          <t>소재</t>
        </is>
      </c>
      <c r="G25" s="27" t="inlineStr">
        <is>
          <t>소재</t>
        </is>
      </c>
      <c r="H25" s="27" t="inlineStr">
        <is>
          <t>False</t>
        </is>
      </c>
      <c r="I25" s="27" t="inlineStr">
        <is>
          <t>True</t>
        </is>
      </c>
      <c r="J25" s="27" t="inlineStr">
        <is>
          <t>OK_LIMITED_HISTORY_OR_GROWTH_NA</t>
        </is>
      </c>
      <c r="K25" s="27" t="inlineStr">
        <is>
          <t>데이터 사용 가능</t>
        </is>
      </c>
      <c r="L25" s="27" t="inlineStr">
        <is>
          <t>LOW</t>
        </is>
      </c>
      <c r="M25" s="27" t="inlineStr">
        <is>
          <t>LOW</t>
        </is>
      </c>
      <c r="N25" s="27" t="inlineStr">
        <is>
          <t>0.7448717948717948</t>
        </is>
      </c>
      <c r="O25" s="27" t="inlineStr">
        <is>
          <t>ATTRACTIVE</t>
        </is>
      </c>
      <c r="P25" s="27" t="inlineStr">
        <is>
          <t>가치 매력</t>
        </is>
      </c>
      <c r="Q25" s="27" t="inlineStr">
        <is>
          <t>ATTRACTIVE</t>
        </is>
      </c>
      <c r="R25" s="27" t="inlineStr">
        <is>
          <t>0.8817607106455689</t>
        </is>
      </c>
      <c r="S25" s="27" t="inlineStr">
        <is>
          <t>HIGH</t>
        </is>
      </c>
      <c r="T25" s="27" t="inlineStr">
        <is>
          <t>HIGH</t>
        </is>
      </c>
      <c r="U25" s="27" t="inlineStr">
        <is>
          <t>0.0714285714285714</t>
        </is>
      </c>
      <c r="V25" s="27" t="inlineStr">
        <is>
          <t>LOW_RISK</t>
        </is>
      </c>
      <c r="W25" s="27" t="inlineStr">
        <is>
          <t>저위험</t>
        </is>
      </c>
      <c r="X25" s="27" t="inlineStr">
        <is>
          <t>LOW_RISK</t>
        </is>
      </c>
      <c r="Y25" s="27" t="inlineStr">
        <is>
          <t>0.9587686707140917</t>
        </is>
      </c>
      <c r="Z25" s="27" t="inlineStr">
        <is>
          <t>HIGH</t>
        </is>
      </c>
      <c r="AA25" s="27" t="inlineStr">
        <is>
          <t>HIGH</t>
        </is>
      </c>
      <c r="AB25" s="27" t="inlineStr">
        <is>
          <t>0.09055441585311619</t>
        </is>
      </c>
      <c r="AC25" s="27" t="inlineStr">
        <is>
          <t>False</t>
        </is>
      </c>
      <c r="AD25" s="27" t="inlineStr">
        <is>
          <t>True</t>
        </is>
      </c>
      <c r="AE25" s="27" t="inlineStr">
        <is>
          <t>valuation_credit_ml_overlay_candidate.csv</t>
        </is>
      </c>
      <c r="AF25" s="27" t="inlineStr">
        <is>
          <t>208개 반도체 reference universe. Valuation Agent가 자체 intake 폴더로 복제해 Peer/ML/대시보드 비교에 사용.</t>
        </is>
      </c>
      <c r="AG25" s="27" t="inlineStr">
        <is>
          <t>SAME_PEER_GROUP</t>
        </is>
      </c>
      <c r="AH25" s="27" t="inlineStr">
        <is>
          <t>False</t>
        </is>
      </c>
    </row>
    <row r="26" ht="24" customHeight="1">
      <c r="A26" s="32" t="inlineStr">
        <is>
          <t>141</t>
        </is>
      </c>
      <c r="B26" s="32" t="inlineStr">
        <is>
          <t>해당 없음</t>
        </is>
      </c>
      <c r="C26" s="32" t="inlineStr">
        <is>
          <t>이엔에프테크놀로지</t>
        </is>
      </c>
      <c r="D26" s="32" t="inlineStr">
        <is>
          <t>102710</t>
        </is>
      </c>
      <c r="E26" s="32" t="inlineStr">
        <is>
          <t>KOSDAQ</t>
        </is>
      </c>
      <c r="F26" s="32" t="inlineStr">
        <is>
          <t>소재</t>
        </is>
      </c>
      <c r="G26" s="32" t="inlineStr">
        <is>
          <t>소재</t>
        </is>
      </c>
      <c r="H26" s="32" t="inlineStr">
        <is>
          <t>False</t>
        </is>
      </c>
      <c r="I26" s="32" t="inlineStr">
        <is>
          <t>True</t>
        </is>
      </c>
      <c r="J26" s="32" t="inlineStr">
        <is>
          <t>OK</t>
        </is>
      </c>
      <c r="K26" s="32" t="inlineStr">
        <is>
          <t>데이터 사용 가능</t>
        </is>
      </c>
      <c r="L26" s="32" t="inlineStr">
        <is>
          <t>LOW</t>
        </is>
      </c>
      <c r="M26" s="32" t="inlineStr">
        <is>
          <t>LOW</t>
        </is>
      </c>
      <c r="N26" s="32" t="inlineStr">
        <is>
          <t>0.7061538461538462</t>
        </is>
      </c>
      <c r="O26" s="32" t="inlineStr">
        <is>
          <t>ATTRACTIVE</t>
        </is>
      </c>
      <c r="P26" s="32" t="inlineStr">
        <is>
          <t>가치 매력</t>
        </is>
      </c>
      <c r="Q26" s="32" t="inlineStr">
        <is>
          <t>ATTRACTIVE</t>
        </is>
      </c>
      <c r="R26" s="32" t="inlineStr">
        <is>
          <t>0.9371627732042065</t>
        </is>
      </c>
      <c r="S26" s="32" t="inlineStr">
        <is>
          <t>HIGH</t>
        </is>
      </c>
      <c r="T26" s="32" t="inlineStr">
        <is>
          <t>HIGH</t>
        </is>
      </c>
      <c r="U26" s="32" t="inlineStr">
        <is>
          <t>0.0</t>
        </is>
      </c>
      <c r="V26" s="32" t="inlineStr">
        <is>
          <t>LOW_RISK</t>
        </is>
      </c>
      <c r="W26" s="32" t="inlineStr">
        <is>
          <t>저위험</t>
        </is>
      </c>
      <c r="X26" s="32" t="inlineStr">
        <is>
          <t>LOW_RISK</t>
        </is>
      </c>
      <c r="Y26" s="32" t="inlineStr">
        <is>
          <t>0.8730332003988217</t>
        </is>
      </c>
      <c r="Z26" s="32" t="inlineStr">
        <is>
          <t>HIGH</t>
        </is>
      </c>
      <c r="AA26" s="32" t="inlineStr">
        <is>
          <t>HIGH</t>
        </is>
      </c>
      <c r="AB26" s="32" t="inlineStr">
        <is>
          <t>0.01762692878431683</t>
        </is>
      </c>
      <c r="AC26" s="32" t="inlineStr">
        <is>
          <t>False</t>
        </is>
      </c>
      <c r="AD26" s="32" t="inlineStr">
        <is>
          <t>False</t>
        </is>
      </c>
      <c r="AE26" s="32" t="inlineStr">
        <is>
          <t>valuation_credit_ml_overlay_candidate.csv</t>
        </is>
      </c>
      <c r="AF26" s="32" t="inlineStr">
        <is>
          <t>208개 반도체 reference universe. Valuation Agent가 자체 intake 폴더로 복제해 Peer/ML/대시보드 비교에 사용.</t>
        </is>
      </c>
      <c r="AG26" s="32" t="inlineStr">
        <is>
          <t>SAME_PEER_GROUP</t>
        </is>
      </c>
      <c r="AH26" s="32" t="inlineStr">
        <is>
          <t>False</t>
        </is>
      </c>
    </row>
    <row r="27" ht="24" customHeight="1">
      <c r="A27" s="27" t="inlineStr">
        <is>
          <t>138</t>
        </is>
      </c>
      <c r="B27" s="27" t="inlineStr">
        <is>
          <t>해당 없음</t>
        </is>
      </c>
      <c r="C27" s="27" t="inlineStr">
        <is>
          <t>원익머트리얼즈</t>
        </is>
      </c>
      <c r="D27" s="27" t="inlineStr">
        <is>
          <t>104830</t>
        </is>
      </c>
      <c r="E27" s="27" t="inlineStr">
        <is>
          <t>KOSDAQ</t>
        </is>
      </c>
      <c r="F27" s="27" t="inlineStr">
        <is>
          <t>소재</t>
        </is>
      </c>
      <c r="G27" s="27" t="inlineStr">
        <is>
          <t>소재</t>
        </is>
      </c>
      <c r="H27" s="27" t="inlineStr">
        <is>
          <t>False</t>
        </is>
      </c>
      <c r="I27" s="27" t="inlineStr">
        <is>
          <t>True</t>
        </is>
      </c>
      <c r="J27" s="27" t="inlineStr">
        <is>
          <t>OK</t>
        </is>
      </c>
      <c r="K27" s="27" t="inlineStr">
        <is>
          <t>데이터 사용 가능</t>
        </is>
      </c>
      <c r="L27" s="27" t="inlineStr">
        <is>
          <t>LOW</t>
        </is>
      </c>
      <c r="M27" s="27" t="inlineStr">
        <is>
          <t>LOW</t>
        </is>
      </c>
      <c r="N27" s="27" t="inlineStr">
        <is>
          <t>0.6682051282051282</t>
        </is>
      </c>
      <c r="O27" s="27" t="inlineStr">
        <is>
          <t>FAIR</t>
        </is>
      </c>
      <c r="P27" s="27" t="inlineStr">
        <is>
          <t>FAIR</t>
        </is>
      </c>
      <c r="Q27" s="27" t="inlineStr">
        <is>
          <t>FAIR</t>
        </is>
      </c>
      <c r="R27" s="27" t="inlineStr">
        <is>
          <t>0.9160049727267536</t>
        </is>
      </c>
      <c r="S27" s="27" t="inlineStr">
        <is>
          <t>HIGH</t>
        </is>
      </c>
      <c r="T27" s="27" t="inlineStr">
        <is>
          <t>HIGH</t>
        </is>
      </c>
      <c r="U27" s="27" t="inlineStr">
        <is>
          <t>0.0714285714285714</t>
        </is>
      </c>
      <c r="V27" s="27" t="inlineStr">
        <is>
          <t>LOW_RISK</t>
        </is>
      </c>
      <c r="W27" s="27" t="inlineStr">
        <is>
          <t>저위험</t>
        </is>
      </c>
      <c r="X27" s="27" t="inlineStr">
        <is>
          <t>LOW_RISK</t>
        </is>
      </c>
      <c r="Y27" s="27" t="inlineStr">
        <is>
          <t>0.9269592012859288</t>
        </is>
      </c>
      <c r="Z27" s="27" t="inlineStr">
        <is>
          <t>HIGH</t>
        </is>
      </c>
      <c r="AA27" s="27" t="inlineStr">
        <is>
          <t>HIGH</t>
        </is>
      </c>
      <c r="AB27" s="27" t="inlineStr">
        <is>
          <t>0.08809933839296093</t>
        </is>
      </c>
      <c r="AC27" s="27" t="inlineStr">
        <is>
          <t>False</t>
        </is>
      </c>
      <c r="AD27" s="27" t="inlineStr">
        <is>
          <t>False</t>
        </is>
      </c>
      <c r="AE27" s="27" t="inlineStr">
        <is>
          <t>valuation_credit_ml_overlay_candidate.csv</t>
        </is>
      </c>
      <c r="AF27" s="27" t="inlineStr">
        <is>
          <t>208개 반도체 reference universe. Valuation Agent가 자체 intake 폴더로 복제해 Peer/ML/대시보드 비교에 사용.</t>
        </is>
      </c>
      <c r="AG27" s="27" t="inlineStr">
        <is>
          <t>SAME_PEER_GROUP</t>
        </is>
      </c>
      <c r="AH27" s="27" t="inlineStr">
        <is>
          <t>False</t>
        </is>
      </c>
    </row>
    <row r="28" ht="24" customHeight="1">
      <c r="A28" s="32" t="inlineStr">
        <is>
          <t>130</t>
        </is>
      </c>
      <c r="B28" s="32" t="inlineStr">
        <is>
          <t>해당 없음</t>
        </is>
      </c>
      <c r="C28" s="32" t="inlineStr">
        <is>
          <t>솔브레인홀딩스</t>
        </is>
      </c>
      <c r="D28" s="32" t="inlineStr">
        <is>
          <t>036830</t>
        </is>
      </c>
      <c r="E28" s="32" t="inlineStr">
        <is>
          <t>KOSDAQ GLOBAL</t>
        </is>
      </c>
      <c r="F28" s="32" t="inlineStr">
        <is>
          <t>소재</t>
        </is>
      </c>
      <c r="G28" s="32" t="inlineStr">
        <is>
          <t>소재</t>
        </is>
      </c>
      <c r="H28" s="32" t="inlineStr">
        <is>
          <t>False</t>
        </is>
      </c>
      <c r="I28" s="32" t="inlineStr">
        <is>
          <t>True</t>
        </is>
      </c>
      <c r="J28" s="32" t="inlineStr">
        <is>
          <t>OK</t>
        </is>
      </c>
      <c r="K28" s="32" t="inlineStr">
        <is>
          <t>데이터 사용 가능</t>
        </is>
      </c>
      <c r="L28" s="32" t="inlineStr">
        <is>
          <t>LOW</t>
        </is>
      </c>
      <c r="M28" s="32" t="inlineStr">
        <is>
          <t>LOW</t>
        </is>
      </c>
      <c r="N28" s="32" t="inlineStr">
        <is>
          <t>0.6666666666666667</t>
        </is>
      </c>
      <c r="O28" s="32" t="inlineStr">
        <is>
          <t>ATTRACTIVE</t>
        </is>
      </c>
      <c r="P28" s="32" t="inlineStr">
        <is>
          <t>가치 매력</t>
        </is>
      </c>
      <c r="Q28" s="32" t="inlineStr">
        <is>
          <t>ATTRACTIVE</t>
        </is>
      </c>
      <c r="R28" s="32" t="inlineStr">
        <is>
          <t>0.5229115612060397</t>
        </is>
      </c>
      <c r="S28" s="32" t="inlineStr">
        <is>
          <t>MEDIUM</t>
        </is>
      </c>
      <c r="T28" s="32" t="inlineStr">
        <is>
          <t>MEDIUM</t>
        </is>
      </c>
      <c r="U28" s="32" t="inlineStr">
        <is>
          <t>0.0</t>
        </is>
      </c>
      <c r="V28" s="32" t="inlineStr">
        <is>
          <t>LOW_RISK</t>
        </is>
      </c>
      <c r="W28" s="32" t="inlineStr">
        <is>
          <t>저위험</t>
        </is>
      </c>
      <c r="X28" s="32" t="inlineStr">
        <is>
          <t>LOW_RISK</t>
        </is>
      </c>
      <c r="Y28" s="32" t="inlineStr">
        <is>
          <t>0.8942479649490351</t>
        </is>
      </c>
      <c r="Z28" s="32" t="inlineStr">
        <is>
          <t>HIGH</t>
        </is>
      </c>
      <c r="AA28" s="32" t="inlineStr">
        <is>
          <t>HIGH</t>
        </is>
      </c>
      <c r="AB28" s="32" t="inlineStr">
        <is>
          <t>0.13058276838656327</t>
        </is>
      </c>
      <c r="AC28" s="32" t="inlineStr">
        <is>
          <t>False</t>
        </is>
      </c>
      <c r="AD28" s="32" t="inlineStr">
        <is>
          <t>False</t>
        </is>
      </c>
      <c r="AE28" s="32" t="inlineStr">
        <is>
          <t>valuation_credit_ml_overlay_candidate.csv</t>
        </is>
      </c>
      <c r="AF28" s="32" t="inlineStr">
        <is>
          <t>208개 반도체 reference universe. Valuation Agent가 자체 intake 폴더로 복제해 Peer/ML/대시보드 비교에 사용.</t>
        </is>
      </c>
      <c r="AG28" s="32" t="inlineStr">
        <is>
          <t>SAME_PEER_GROUP</t>
        </is>
      </c>
      <c r="AH28" s="32" t="inlineStr">
        <is>
          <t>False</t>
        </is>
      </c>
    </row>
    <row r="29" ht="24" customHeight="1">
      <c r="A29" s="27" t="inlineStr">
        <is>
          <t>148</t>
        </is>
      </c>
      <c r="B29" s="27" t="inlineStr">
        <is>
          <t>hansol</t>
        </is>
      </c>
      <c r="C29" s="27" t="inlineStr">
        <is>
          <t>한솔케미칼</t>
        </is>
      </c>
      <c r="D29" s="27" t="inlineStr">
        <is>
          <t>014680</t>
        </is>
      </c>
      <c r="E29" s="27" t="inlineStr">
        <is>
          <t>KOSPI</t>
        </is>
      </c>
      <c r="F29" s="27" t="inlineStr">
        <is>
          <t>소재</t>
        </is>
      </c>
      <c r="G29" s="27" t="inlineStr">
        <is>
          <t>소재</t>
        </is>
      </c>
      <c r="H29" s="27" t="inlineStr">
        <is>
          <t>True</t>
        </is>
      </c>
      <c r="I29" s="27" t="inlineStr">
        <is>
          <t>True</t>
        </is>
      </c>
      <c r="J29" s="27" t="inlineStr">
        <is>
          <t>OK</t>
        </is>
      </c>
      <c r="K29" s="27" t="inlineStr">
        <is>
          <t>데이터 사용 가능</t>
        </is>
      </c>
      <c r="L29" s="27" t="inlineStr">
        <is>
          <t>LOW</t>
        </is>
      </c>
      <c r="M29" s="27" t="inlineStr">
        <is>
          <t>LOW</t>
        </is>
      </c>
      <c r="N29" s="27" t="inlineStr">
        <is>
          <t>0.6330769230769231</t>
        </is>
      </c>
      <c r="O29" s="27" t="inlineStr">
        <is>
          <t>ATTRACTIVE</t>
        </is>
      </c>
      <c r="P29" s="27" t="inlineStr">
        <is>
          <t>가치 매력</t>
        </is>
      </c>
      <c r="Q29" s="27" t="inlineStr">
        <is>
          <t>ATTRACTIVE</t>
        </is>
      </c>
      <c r="R29" s="27" t="inlineStr">
        <is>
          <t>0.8364696976606926</t>
        </is>
      </c>
      <c r="S29" s="27" t="inlineStr">
        <is>
          <t>HIGH</t>
        </is>
      </c>
      <c r="T29" s="27" t="inlineStr">
        <is>
          <t>HIGH</t>
        </is>
      </c>
      <c r="U29" s="27" t="inlineStr">
        <is>
          <t>0.0</t>
        </is>
      </c>
      <c r="V29" s="27" t="inlineStr">
        <is>
          <t>LOW_RISK</t>
        </is>
      </c>
      <c r="W29" s="27" t="inlineStr">
        <is>
          <t>저위험</t>
        </is>
      </c>
      <c r="X29" s="27" t="inlineStr">
        <is>
          <t>LOW_RISK</t>
        </is>
      </c>
      <c r="Y29" s="27" t="inlineStr">
        <is>
          <t>0.9711543901439185</t>
        </is>
      </c>
      <c r="Z29" s="27" t="inlineStr">
        <is>
          <t>HIGH</t>
        </is>
      </c>
      <c r="AA29" s="27" t="inlineStr">
        <is>
          <t>HIGH</t>
        </is>
      </c>
      <c r="AB29" s="27" t="inlineStr">
        <is>
          <t>0.058190310497948615</t>
        </is>
      </c>
      <c r="AC29" s="27" t="inlineStr">
        <is>
          <t>False</t>
        </is>
      </c>
      <c r="AD29" s="27" t="inlineStr">
        <is>
          <t>False</t>
        </is>
      </c>
      <c r="AE29" s="27" t="inlineStr">
        <is>
          <t>valuation_credit_ml_overlay_candidate.csv</t>
        </is>
      </c>
      <c r="AF29" s="27" t="inlineStr">
        <is>
          <t>208개 반도체 reference universe. Valuation Agent가 자체 intake 폴더로 복제해 Peer/ML/대시보드 비교에 사용.</t>
        </is>
      </c>
      <c r="AG29" s="27" t="inlineStr">
        <is>
          <t>SAME_PEER_GROUP</t>
        </is>
      </c>
      <c r="AH29" s="27" t="inlineStr">
        <is>
          <t>False</t>
        </is>
      </c>
    </row>
    <row r="30" ht="24" customHeight="1">
      <c r="A30" s="32" t="inlineStr">
        <is>
          <t>140</t>
        </is>
      </c>
      <c r="B30" s="32" t="inlineStr">
        <is>
          <t>해당 없음</t>
        </is>
      </c>
      <c r="C30" s="32" t="inlineStr">
        <is>
          <t>이녹스첨단소재</t>
        </is>
      </c>
      <c r="D30" s="32" t="inlineStr">
        <is>
          <t>272290</t>
        </is>
      </c>
      <c r="E30" s="32" t="inlineStr">
        <is>
          <t>KOSDAQ GLOBAL</t>
        </is>
      </c>
      <c r="F30" s="32" t="inlineStr">
        <is>
          <t>소재</t>
        </is>
      </c>
      <c r="G30" s="32" t="inlineStr">
        <is>
          <t>소재</t>
        </is>
      </c>
      <c r="H30" s="32" t="inlineStr">
        <is>
          <t>False</t>
        </is>
      </c>
      <c r="I30" s="32" t="inlineStr">
        <is>
          <t>True</t>
        </is>
      </c>
      <c r="J30" s="32" t="inlineStr">
        <is>
          <t>OK</t>
        </is>
      </c>
      <c r="K30" s="32" t="inlineStr">
        <is>
          <t>데이터 사용 가능</t>
        </is>
      </c>
      <c r="L30" s="32" t="inlineStr">
        <is>
          <t>LOW</t>
        </is>
      </c>
      <c r="M30" s="32" t="inlineStr">
        <is>
          <t>LOW</t>
        </is>
      </c>
      <c r="N30" s="32" t="inlineStr">
        <is>
          <t>0.6312820512820514</t>
        </is>
      </c>
      <c r="O30" s="32" t="inlineStr">
        <is>
          <t>FAIR</t>
        </is>
      </c>
      <c r="P30" s="32" t="inlineStr">
        <is>
          <t>FAIR</t>
        </is>
      </c>
      <c r="Q30" s="32" t="inlineStr">
        <is>
          <t>FAIR</t>
        </is>
      </c>
      <c r="R30" s="32" t="inlineStr">
        <is>
          <t>0.900184891106931</t>
        </is>
      </c>
      <c r="S30" s="32" t="inlineStr">
        <is>
          <t>HIGH</t>
        </is>
      </c>
      <c r="T30" s="32" t="inlineStr">
        <is>
          <t>HIGH</t>
        </is>
      </c>
      <c r="U30" s="32" t="inlineStr">
        <is>
          <t>0.0714285714285714</t>
        </is>
      </c>
      <c r="V30" s="32" t="inlineStr">
        <is>
          <t>LOW_RISK</t>
        </is>
      </c>
      <c r="W30" s="32" t="inlineStr">
        <is>
          <t>저위험</t>
        </is>
      </c>
      <c r="X30" s="32" t="inlineStr">
        <is>
          <t>LOW_RISK</t>
        </is>
      </c>
      <c r="Y30" s="32" t="inlineStr">
        <is>
          <t>0.7417939360948919</t>
        </is>
      </c>
      <c r="Z30" s="32" t="inlineStr">
        <is>
          <t>HIGH</t>
        </is>
      </c>
      <c r="AA30" s="32" t="inlineStr">
        <is>
          <t>HIGH</t>
        </is>
      </c>
      <c r="AB30" s="32" t="inlineStr">
        <is>
          <t>0.06763542968359648</t>
        </is>
      </c>
      <c r="AC30" s="32" t="inlineStr">
        <is>
          <t>False</t>
        </is>
      </c>
      <c r="AD30" s="32" t="inlineStr">
        <is>
          <t>False</t>
        </is>
      </c>
      <c r="AE30" s="32" t="inlineStr">
        <is>
          <t>valuation_credit_ml_overlay_candidate.csv</t>
        </is>
      </c>
      <c r="AF30" s="32" t="inlineStr">
        <is>
          <t>208개 반도체 reference universe. Valuation Agent가 자체 intake 폴더로 복제해 Peer/ML/대시보드 비교에 사용.</t>
        </is>
      </c>
      <c r="AG30" s="32" t="inlineStr">
        <is>
          <t>SAME_PEER_GROUP</t>
        </is>
      </c>
      <c r="AH30" s="32" t="inlineStr">
        <is>
          <t>False</t>
        </is>
      </c>
    </row>
    <row r="31" ht="24" customHeight="1">
      <c r="A31" s="27" t="inlineStr">
        <is>
          <t>133</t>
        </is>
      </c>
      <c r="B31" s="27" t="inlineStr">
        <is>
          <t>ltc</t>
        </is>
      </c>
      <c r="C31" s="27" t="inlineStr">
        <is>
          <t>엘티씨</t>
        </is>
      </c>
      <c r="D31" s="27" t="inlineStr">
        <is>
          <t>170920</t>
        </is>
      </c>
      <c r="E31" s="27" t="inlineStr">
        <is>
          <t>KOSDAQ</t>
        </is>
      </c>
      <c r="F31" s="27" t="inlineStr">
        <is>
          <t>소재</t>
        </is>
      </c>
      <c r="G31" s="27" t="inlineStr">
        <is>
          <t>소재</t>
        </is>
      </c>
      <c r="H31" s="27" t="inlineStr">
        <is>
          <t>True</t>
        </is>
      </c>
      <c r="I31" s="27" t="inlineStr">
        <is>
          <t>True</t>
        </is>
      </c>
      <c r="J31" s="27" t="inlineStr">
        <is>
          <t>OK</t>
        </is>
      </c>
      <c r="K31" s="27" t="inlineStr">
        <is>
          <t>데이터 사용 가능</t>
        </is>
      </c>
      <c r="L31" s="27" t="inlineStr">
        <is>
          <t>LOW</t>
        </is>
      </c>
      <c r="M31" s="27" t="inlineStr">
        <is>
          <t>LOW</t>
        </is>
      </c>
      <c r="N31" s="27" t="inlineStr">
        <is>
          <t>0.5838461538461538</t>
        </is>
      </c>
      <c r="O31" s="27" t="inlineStr">
        <is>
          <t>FAIR</t>
        </is>
      </c>
      <c r="P31" s="27" t="inlineStr">
        <is>
          <t>FAIR</t>
        </is>
      </c>
      <c r="Q31" s="27" t="inlineStr">
        <is>
          <t>ATTRACTIVE</t>
        </is>
      </c>
      <c r="R31" s="27" t="inlineStr">
        <is>
          <t>0.6353016273848794</t>
        </is>
      </c>
      <c r="S31" s="27" t="inlineStr">
        <is>
          <t>MEDIUM</t>
        </is>
      </c>
      <c r="T31" s="27" t="inlineStr">
        <is>
          <t>MEDIUM</t>
        </is>
      </c>
      <c r="U31" s="27" t="inlineStr">
        <is>
          <t>0.0</t>
        </is>
      </c>
      <c r="V31" s="27" t="inlineStr">
        <is>
          <t>LOW_RISK</t>
        </is>
      </c>
      <c r="W31" s="27" t="inlineStr">
        <is>
          <t>저위험</t>
        </is>
      </c>
      <c r="X31" s="27" t="inlineStr">
        <is>
          <t>LOW_RISK</t>
        </is>
      </c>
      <c r="Y31" s="27" t="inlineStr">
        <is>
          <t>0.9205018564538214</t>
        </is>
      </c>
      <c r="Z31" s="27" t="inlineStr">
        <is>
          <t>HIGH</t>
        </is>
      </c>
      <c r="AA31" s="27" t="inlineStr">
        <is>
          <t>HIGH</t>
        </is>
      </c>
      <c r="AB31" s="27" t="inlineStr">
        <is>
          <t>0.0038993876391341673</t>
        </is>
      </c>
      <c r="AC31" s="27" t="inlineStr">
        <is>
          <t>False</t>
        </is>
      </c>
      <c r="AD31" s="27" t="inlineStr">
        <is>
          <t>False</t>
        </is>
      </c>
      <c r="AE31" s="27" t="inlineStr">
        <is>
          <t>valuation_credit_ml_overlay_candidate.csv</t>
        </is>
      </c>
      <c r="AF31" s="27" t="inlineStr">
        <is>
          <t>208개 반도체 reference universe. Valuation Agent가 자체 intake 폴더로 복제해 Peer/ML/대시보드 비교에 사용.</t>
        </is>
      </c>
      <c r="AG31" s="27" t="inlineStr">
        <is>
          <t>SAME_PEER_GROUP</t>
        </is>
      </c>
      <c r="AH31" s="27" t="inlineStr">
        <is>
          <t>False</t>
        </is>
      </c>
    </row>
    <row r="32" ht="24" customHeight="1">
      <c r="A32" s="32" t="inlineStr">
        <is>
          <t>146</t>
        </is>
      </c>
      <c r="B32" s="32" t="inlineStr">
        <is>
          <t>해당 없음</t>
        </is>
      </c>
      <c r="C32" s="32" t="inlineStr">
        <is>
          <t>티이엠씨</t>
        </is>
      </c>
      <c r="D32" s="32" t="inlineStr">
        <is>
          <t>425040</t>
        </is>
      </c>
      <c r="E32" s="32" t="inlineStr">
        <is>
          <t>KOSDAQ</t>
        </is>
      </c>
      <c r="F32" s="32" t="inlineStr">
        <is>
          <t>소재</t>
        </is>
      </c>
      <c r="G32" s="32" t="inlineStr">
        <is>
          <t>소재</t>
        </is>
      </c>
      <c r="H32" s="32" t="inlineStr">
        <is>
          <t>False</t>
        </is>
      </c>
      <c r="I32" s="32" t="inlineStr">
        <is>
          <t>True</t>
        </is>
      </c>
      <c r="J32" s="32" t="inlineStr">
        <is>
          <t>OK</t>
        </is>
      </c>
      <c r="K32" s="32" t="inlineStr">
        <is>
          <t>데이터 사용 가능</t>
        </is>
      </c>
      <c r="L32" s="32" t="inlineStr">
        <is>
          <t>LOW</t>
        </is>
      </c>
      <c r="M32" s="32" t="inlineStr">
        <is>
          <t>LOW</t>
        </is>
      </c>
      <c r="N32" s="32" t="inlineStr">
        <is>
          <t>0.5666666666666668</t>
        </is>
      </c>
      <c r="O32" s="32" t="inlineStr">
        <is>
          <t>FAIR</t>
        </is>
      </c>
      <c r="P32" s="32" t="inlineStr">
        <is>
          <t>FAIR</t>
        </is>
      </c>
      <c r="Q32" s="32" t="inlineStr">
        <is>
          <t>FAIR</t>
        </is>
      </c>
      <c r="R32" s="32" t="inlineStr">
        <is>
          <t>0.8720430887980049</t>
        </is>
      </c>
      <c r="S32" s="32" t="inlineStr">
        <is>
          <t>HIGH</t>
        </is>
      </c>
      <c r="T32" s="32" t="inlineStr">
        <is>
          <t>HIGH</t>
        </is>
      </c>
      <c r="U32" s="32" t="inlineStr">
        <is>
          <t>0.0714285714285714</t>
        </is>
      </c>
      <c r="V32" s="32" t="inlineStr">
        <is>
          <t>LOW_RISK</t>
        </is>
      </c>
      <c r="W32" s="32" t="inlineStr">
        <is>
          <t>저위험</t>
        </is>
      </c>
      <c r="X32" s="32" t="inlineStr">
        <is>
          <t>LOW_RISK</t>
        </is>
      </c>
      <c r="Y32" s="32" t="inlineStr">
        <is>
          <t>0.7252297088077002</t>
        </is>
      </c>
      <c r="Z32" s="32" t="inlineStr">
        <is>
          <t>HIGH</t>
        </is>
      </c>
      <c r="AA32" s="32" t="inlineStr">
        <is>
          <t>HIGH</t>
        </is>
      </c>
      <c r="AB32" s="32" t="inlineStr">
        <is>
          <t>0.006424650558916757</t>
        </is>
      </c>
      <c r="AC32" s="32" t="inlineStr">
        <is>
          <t>False</t>
        </is>
      </c>
      <c r="AD32" s="32" t="inlineStr">
        <is>
          <t>False</t>
        </is>
      </c>
      <c r="AE32" s="32" t="inlineStr">
        <is>
          <t>valuation_credit_ml_overlay_candidate.csv</t>
        </is>
      </c>
      <c r="AF32" s="32" t="inlineStr">
        <is>
          <t>208개 반도체 reference universe. Valuation Agent가 자체 intake 폴더로 복제해 Peer/ML/대시보드 비교에 사용.</t>
        </is>
      </c>
      <c r="AG32" s="32" t="inlineStr">
        <is>
          <t>SAME_PEER_GROUP</t>
        </is>
      </c>
      <c r="AH32" s="32" t="inlineStr">
        <is>
          <t>False</t>
        </is>
      </c>
    </row>
    <row r="33" ht="24" customHeight="1">
      <c r="A33" s="27" t="inlineStr">
        <is>
          <t>131</t>
        </is>
      </c>
      <c r="B33" s="27" t="inlineStr">
        <is>
          <t>해당 없음</t>
        </is>
      </c>
      <c r="C33" s="27" t="inlineStr">
        <is>
          <t>에스앤에스텍</t>
        </is>
      </c>
      <c r="D33" s="27" t="inlineStr">
        <is>
          <t>101490</t>
        </is>
      </c>
      <c r="E33" s="27" t="inlineStr">
        <is>
          <t>KOSDAQ</t>
        </is>
      </c>
      <c r="F33" s="27" t="inlineStr">
        <is>
          <t>소재</t>
        </is>
      </c>
      <c r="G33" s="27" t="inlineStr">
        <is>
          <t>소재</t>
        </is>
      </c>
      <c r="H33" s="27" t="inlineStr">
        <is>
          <t>False</t>
        </is>
      </c>
      <c r="I33" s="27" t="inlineStr">
        <is>
          <t>True</t>
        </is>
      </c>
      <c r="J33" s="27" t="inlineStr">
        <is>
          <t>OK</t>
        </is>
      </c>
      <c r="K33" s="27" t="inlineStr">
        <is>
          <t>데이터 사용 가능</t>
        </is>
      </c>
      <c r="L33" s="27" t="inlineStr">
        <is>
          <t>LOW</t>
        </is>
      </c>
      <c r="M33" s="27" t="inlineStr">
        <is>
          <t>LOW</t>
        </is>
      </c>
      <c r="N33" s="27" t="inlineStr">
        <is>
          <t>0.5653846153846155</t>
        </is>
      </c>
      <c r="O33" s="27" t="inlineStr">
        <is>
          <t>FAIR</t>
        </is>
      </c>
      <c r="P33" s="27" t="inlineStr">
        <is>
          <t>FAIR</t>
        </is>
      </c>
      <c r="Q33" s="27" t="inlineStr">
        <is>
          <t>FAIR</t>
        </is>
      </c>
      <c r="R33" s="27" t="inlineStr">
        <is>
          <t>0.7907123507381016</t>
        </is>
      </c>
      <c r="S33" s="27" t="inlineStr">
        <is>
          <t>HIGH</t>
        </is>
      </c>
      <c r="T33" s="27" t="inlineStr">
        <is>
          <t>HIGH</t>
        </is>
      </c>
      <c r="U33" s="27" t="inlineStr">
        <is>
          <t>0.0714285714285714</t>
        </is>
      </c>
      <c r="V33" s="27" t="inlineStr">
        <is>
          <t>LOW_RISK</t>
        </is>
      </c>
      <c r="W33" s="27" t="inlineStr">
        <is>
          <t>저위험</t>
        </is>
      </c>
      <c r="X33" s="27" t="inlineStr">
        <is>
          <t>LOW_RISK</t>
        </is>
      </c>
      <c r="Y33" s="27" t="inlineStr">
        <is>
          <t>0.877704032267338</t>
        </is>
      </c>
      <c r="Z33" s="27" t="inlineStr">
        <is>
          <t>HIGH</t>
        </is>
      </c>
      <c r="AA33" s="27" t="inlineStr">
        <is>
          <t>HIGH</t>
        </is>
      </c>
      <c r="AB33" s="27" t="inlineStr">
        <is>
          <t>0.05130595484789171</t>
        </is>
      </c>
      <c r="AC33" s="27" t="inlineStr">
        <is>
          <t>False</t>
        </is>
      </c>
      <c r="AD33" s="27" t="inlineStr">
        <is>
          <t>False</t>
        </is>
      </c>
      <c r="AE33" s="27" t="inlineStr">
        <is>
          <t>valuation_credit_ml_overlay_candidate.csv</t>
        </is>
      </c>
      <c r="AF33" s="27" t="inlineStr">
        <is>
          <t>208개 반도체 reference universe. Valuation Agent가 자체 intake 폴더로 복제해 Peer/ML/대시보드 비교에 사용.</t>
        </is>
      </c>
      <c r="AG33" s="27" t="inlineStr">
        <is>
          <t>SAME_PEER_GROUP</t>
        </is>
      </c>
      <c r="AH33" s="27" t="inlineStr">
        <is>
          <t>False</t>
        </is>
      </c>
    </row>
    <row r="34" ht="24" customHeight="1">
      <c r="A34" s="32" t="inlineStr">
        <is>
          <t>142</t>
        </is>
      </c>
      <c r="B34" s="32" t="inlineStr">
        <is>
          <t>해당 없음</t>
        </is>
      </c>
      <c r="C34" s="32" t="inlineStr">
        <is>
          <t>제이아이테크</t>
        </is>
      </c>
      <c r="D34" s="32" t="inlineStr">
        <is>
          <t>417500</t>
        </is>
      </c>
      <c r="E34" s="32" t="inlineStr">
        <is>
          <t>KOSDAQ</t>
        </is>
      </c>
      <c r="F34" s="32" t="inlineStr">
        <is>
          <t>소재</t>
        </is>
      </c>
      <c r="G34" s="32" t="inlineStr">
        <is>
          <t>소재</t>
        </is>
      </c>
      <c r="H34" s="32" t="inlineStr">
        <is>
          <t>False</t>
        </is>
      </c>
      <c r="I34" s="32" t="inlineStr">
        <is>
          <t>True</t>
        </is>
      </c>
      <c r="J34" s="32" t="inlineStr">
        <is>
          <t>OK</t>
        </is>
      </c>
      <c r="K34" s="32" t="inlineStr">
        <is>
          <t>데이터 사용 가능</t>
        </is>
      </c>
      <c r="L34" s="32" t="inlineStr">
        <is>
          <t>LOW</t>
        </is>
      </c>
      <c r="M34" s="32" t="inlineStr">
        <is>
          <t>LOW</t>
        </is>
      </c>
      <c r="N34" s="32" t="inlineStr">
        <is>
          <t>0.5264102564102564</t>
        </is>
      </c>
      <c r="O34" s="32" t="inlineStr">
        <is>
          <t>FAIR</t>
        </is>
      </c>
      <c r="P34" s="32" t="inlineStr">
        <is>
          <t>FAIR</t>
        </is>
      </c>
      <c r="Q34" s="32" t="inlineStr">
        <is>
          <t>FAIR</t>
        </is>
      </c>
      <c r="R34" s="32" t="inlineStr">
        <is>
          <t>0.8525733569966568</t>
        </is>
      </c>
      <c r="S34" s="32" t="inlineStr">
        <is>
          <t>HIGH</t>
        </is>
      </c>
      <c r="T34" s="32" t="inlineStr">
        <is>
          <t>HIGH</t>
        </is>
      </c>
      <c r="U34" s="32" t="inlineStr">
        <is>
          <t>0.0714285714285714</t>
        </is>
      </c>
      <c r="V34" s="32" t="inlineStr">
        <is>
          <t>LOW_RISK</t>
        </is>
      </c>
      <c r="W34" s="32" t="inlineStr">
        <is>
          <t>저위험</t>
        </is>
      </c>
      <c r="X34" s="32" t="inlineStr">
        <is>
          <t>LOW_RISK</t>
        </is>
      </c>
      <c r="Y34" s="32" t="inlineStr">
        <is>
          <t>0.7562204122456074</t>
        </is>
      </c>
      <c r="Z34" s="32" t="inlineStr">
        <is>
          <t>HIGH</t>
        </is>
      </c>
      <c r="AA34" s="32" t="inlineStr">
        <is>
          <t>HIGH</t>
        </is>
      </c>
      <c r="AB34" s="32" t="inlineStr">
        <is>
          <t>0.026961826720125225</t>
        </is>
      </c>
      <c r="AC34" s="32" t="inlineStr">
        <is>
          <t>False</t>
        </is>
      </c>
      <c r="AD34" s="32" t="inlineStr">
        <is>
          <t>False</t>
        </is>
      </c>
      <c r="AE34" s="32" t="inlineStr">
        <is>
          <t>valuation_credit_ml_overlay_candidate.csv</t>
        </is>
      </c>
      <c r="AF34" s="32" t="inlineStr">
        <is>
          <t>208개 반도체 reference universe. Valuation Agent가 자체 intake 폴더로 복제해 Peer/ML/대시보드 비교에 사용.</t>
        </is>
      </c>
      <c r="AG34" s="32" t="inlineStr">
        <is>
          <t>SAME_PEER_GROUP</t>
        </is>
      </c>
      <c r="AH34" s="32" t="inlineStr">
        <is>
          <t>False</t>
        </is>
      </c>
    </row>
    <row r="35" ht="24" customHeight="1">
      <c r="A35" s="27" t="inlineStr">
        <is>
          <t>137</t>
        </is>
      </c>
      <c r="B35" s="27" t="inlineStr">
        <is>
          <t>해당 없음</t>
        </is>
      </c>
      <c r="C35" s="27" t="inlineStr">
        <is>
          <t>원익QnC</t>
        </is>
      </c>
      <c r="D35" s="27" t="inlineStr">
        <is>
          <t>074600</t>
        </is>
      </c>
      <c r="E35" s="27" t="inlineStr">
        <is>
          <t>KOSDAQ GLOBAL</t>
        </is>
      </c>
      <c r="F35" s="27" t="inlineStr">
        <is>
          <t>소재</t>
        </is>
      </c>
      <c r="G35" s="27" t="inlineStr">
        <is>
          <t>소재</t>
        </is>
      </c>
      <c r="H35" s="27" t="inlineStr">
        <is>
          <t>False</t>
        </is>
      </c>
      <c r="I35" s="27" t="inlineStr">
        <is>
          <t>True</t>
        </is>
      </c>
      <c r="J35" s="27" t="inlineStr">
        <is>
          <t>OK</t>
        </is>
      </c>
      <c r="K35" s="27" t="inlineStr">
        <is>
          <t>데이터 사용 가능</t>
        </is>
      </c>
      <c r="L35" s="27" t="inlineStr">
        <is>
          <t>LOW</t>
        </is>
      </c>
      <c r="M35" s="27" t="inlineStr">
        <is>
          <t>LOW</t>
        </is>
      </c>
      <c r="N35" s="27" t="inlineStr">
        <is>
          <t>0.5156410256410257</t>
        </is>
      </c>
      <c r="O35" s="27" t="inlineStr">
        <is>
          <t>FAIR</t>
        </is>
      </c>
      <c r="P35" s="27" t="inlineStr">
        <is>
          <t>FAIR</t>
        </is>
      </c>
      <c r="Q35" s="27" t="inlineStr">
        <is>
          <t>ATTRACTIVE</t>
        </is>
      </c>
      <c r="R35" s="27" t="inlineStr">
        <is>
          <t>0.4211836082778998</t>
        </is>
      </c>
      <c r="S35" s="27" t="inlineStr">
        <is>
          <t>LOW</t>
        </is>
      </c>
      <c r="T35" s="27" t="inlineStr">
        <is>
          <t>LOW</t>
        </is>
      </c>
      <c r="U35" s="27" t="inlineStr">
        <is>
          <t>0.2857142857142857</t>
        </is>
      </c>
      <c r="V35" s="27" t="inlineStr">
        <is>
          <t>MEDIUM_RISK</t>
        </is>
      </c>
      <c r="W35" s="27" t="inlineStr">
        <is>
          <t>중위험</t>
        </is>
      </c>
      <c r="X35" s="27" t="inlineStr">
        <is>
          <t>MEDIUM_RISK</t>
        </is>
      </c>
      <c r="Y35" s="27" t="inlineStr">
        <is>
          <t>0.6182675579184692</t>
        </is>
      </c>
      <c r="Z35" s="27" t="inlineStr">
        <is>
          <t>MEDIUM</t>
        </is>
      </c>
      <c r="AA35" s="27" t="inlineStr">
        <is>
          <t>MEDIUM</t>
        </is>
      </c>
      <c r="AB35" s="27" t="inlineStr">
        <is>
          <t>0.07153695388648715</t>
        </is>
      </c>
      <c r="AC35" s="27" t="inlineStr">
        <is>
          <t>False</t>
        </is>
      </c>
      <c r="AD35" s="27" t="inlineStr">
        <is>
          <t>True</t>
        </is>
      </c>
      <c r="AE35" s="27" t="inlineStr">
        <is>
          <t>valuation_credit_ml_overlay_candidate.csv</t>
        </is>
      </c>
      <c r="AF35" s="27" t="inlineStr">
        <is>
          <t>208개 반도체 reference universe. Valuation Agent가 자체 intake 폴더로 복제해 Peer/ML/대시보드 비교에 사용.</t>
        </is>
      </c>
      <c r="AG35" s="27" t="inlineStr">
        <is>
          <t>SAME_PEER_GROUP</t>
        </is>
      </c>
      <c r="AH35" s="27" t="inlineStr">
        <is>
          <t>False</t>
        </is>
      </c>
    </row>
    <row r="36" ht="24" customHeight="1">
      <c r="A36" s="32" t="inlineStr">
        <is>
          <t>134</t>
        </is>
      </c>
      <c r="B36" s="32" t="inlineStr">
        <is>
          <t>해당 없음</t>
        </is>
      </c>
      <c r="C36" s="32" t="inlineStr">
        <is>
          <t>엠케이전자</t>
        </is>
      </c>
      <c r="D36" s="32" t="inlineStr">
        <is>
          <t>033160</t>
        </is>
      </c>
      <c r="E36" s="32" t="inlineStr">
        <is>
          <t>KOSDAQ</t>
        </is>
      </c>
      <c r="F36" s="32" t="inlineStr">
        <is>
          <t>소재</t>
        </is>
      </c>
      <c r="G36" s="32" t="inlineStr">
        <is>
          <t>소재</t>
        </is>
      </c>
      <c r="H36" s="32" t="inlineStr">
        <is>
          <t>False</t>
        </is>
      </c>
      <c r="I36" s="32" t="inlineStr">
        <is>
          <t>True</t>
        </is>
      </c>
      <c r="J36" s="32" t="inlineStr">
        <is>
          <t>OK</t>
        </is>
      </c>
      <c r="K36" s="32" t="inlineStr">
        <is>
          <t>데이터 사용 가능</t>
        </is>
      </c>
      <c r="L36" s="32" t="inlineStr">
        <is>
          <t>LOW</t>
        </is>
      </c>
      <c r="M36" s="32" t="inlineStr">
        <is>
          <t>LOW</t>
        </is>
      </c>
      <c r="N36" s="32" t="inlineStr">
        <is>
          <t>0.5105128205128205</t>
        </is>
      </c>
      <c r="O36" s="32" t="inlineStr">
        <is>
          <t>FAIR</t>
        </is>
      </c>
      <c r="P36" s="32" t="inlineStr">
        <is>
          <t>FAIR</t>
        </is>
      </c>
      <c r="Q36" s="32" t="inlineStr">
        <is>
          <t>FAIR</t>
        </is>
      </c>
      <c r="R36" s="32" t="inlineStr">
        <is>
          <t>0.801168459079624</t>
        </is>
      </c>
      <c r="S36" s="32" t="inlineStr">
        <is>
          <t>HIGH</t>
        </is>
      </c>
      <c r="T36" s="32" t="inlineStr">
        <is>
          <t>HIGH</t>
        </is>
      </c>
      <c r="U36" s="32" t="inlineStr">
        <is>
          <t>0.5714285714285714</t>
        </is>
      </c>
      <c r="V36" s="32" t="inlineStr">
        <is>
          <t>HIGH_RISK</t>
        </is>
      </c>
      <c r="W36" s="32" t="inlineStr">
        <is>
          <t>고위험</t>
        </is>
      </c>
      <c r="X36" s="32" t="inlineStr">
        <is>
          <t>HIGH_RISK</t>
        </is>
      </c>
      <c r="Y36" s="32" t="inlineStr">
        <is>
          <t>0.6458821552404778</t>
        </is>
      </c>
      <c r="Z36" s="32" t="inlineStr">
        <is>
          <t>MEDIUM</t>
        </is>
      </c>
      <c r="AA36" s="32" t="inlineStr">
        <is>
          <t>MEDIUM</t>
        </is>
      </c>
      <c r="AB36" s="32" t="inlineStr">
        <is>
          <t>0.06935231891152775</t>
        </is>
      </c>
      <c r="AC36" s="32" t="inlineStr">
        <is>
          <t>False</t>
        </is>
      </c>
      <c r="AD36" s="32" t="inlineStr">
        <is>
          <t>False</t>
        </is>
      </c>
      <c r="AE36" s="32" t="inlineStr">
        <is>
          <t>valuation_credit_ml_overlay_candidate.csv</t>
        </is>
      </c>
      <c r="AF36" s="32" t="inlineStr">
        <is>
          <t>208개 반도체 reference universe. Valuation Agent가 자체 intake 폴더로 복제해 Peer/ML/대시보드 비교에 사용.</t>
        </is>
      </c>
      <c r="AG36" s="32" t="inlineStr">
        <is>
          <t>SAME_PEER_GROUP</t>
        </is>
      </c>
      <c r="AH36" s="32" t="inlineStr">
        <is>
          <t>False</t>
        </is>
      </c>
    </row>
    <row r="37" ht="24" customHeight="1">
      <c r="A37" s="27" t="inlineStr">
        <is>
          <t>136</t>
        </is>
      </c>
      <c r="B37" s="27" t="inlineStr">
        <is>
          <t>해당 없음</t>
        </is>
      </c>
      <c r="C37" s="27" t="inlineStr">
        <is>
          <t>와이엠티</t>
        </is>
      </c>
      <c r="D37" s="27" t="inlineStr">
        <is>
          <t>251370</t>
        </is>
      </c>
      <c r="E37" s="27" t="inlineStr">
        <is>
          <t>KOSDAQ</t>
        </is>
      </c>
      <c r="F37" s="27" t="inlineStr">
        <is>
          <t>소재</t>
        </is>
      </c>
      <c r="G37" s="27" t="inlineStr">
        <is>
          <t>소재</t>
        </is>
      </c>
      <c r="H37" s="27" t="inlineStr">
        <is>
          <t>False</t>
        </is>
      </c>
      <c r="I37" s="27" t="inlineStr">
        <is>
          <t>True</t>
        </is>
      </c>
      <c r="J37" s="27" t="inlineStr">
        <is>
          <t>OK</t>
        </is>
      </c>
      <c r="K37" s="27" t="inlineStr">
        <is>
          <t>데이터 사용 가능</t>
        </is>
      </c>
      <c r="L37" s="27" t="inlineStr">
        <is>
          <t>LOW</t>
        </is>
      </c>
      <c r="M37" s="27" t="inlineStr">
        <is>
          <t>LOW</t>
        </is>
      </c>
      <c r="N37" s="27" t="inlineStr">
        <is>
          <t>0.4989743589743589</t>
        </is>
      </c>
      <c r="O37" s="27" t="inlineStr">
        <is>
          <t>FAIR</t>
        </is>
      </c>
      <c r="P37" s="27" t="inlineStr">
        <is>
          <t>FAIR</t>
        </is>
      </c>
      <c r="Q37" s="27" t="inlineStr">
        <is>
          <t>FAIR</t>
        </is>
      </c>
      <c r="R37" s="27" t="inlineStr">
        <is>
          <t>0.730943868859095</t>
        </is>
      </c>
      <c r="S37" s="27" t="inlineStr">
        <is>
          <t>HIGH</t>
        </is>
      </c>
      <c r="T37" s="27" t="inlineStr">
        <is>
          <t>HIGH</t>
        </is>
      </c>
      <c r="U37" s="27" t="inlineStr">
        <is>
          <t>0.2142857142857142</t>
        </is>
      </c>
      <c r="V37" s="27" t="inlineStr">
        <is>
          <t>MEDIUM_RISK</t>
        </is>
      </c>
      <c r="W37" s="27" t="inlineStr">
        <is>
          <t>중위험</t>
        </is>
      </c>
      <c r="X37" s="27" t="inlineStr">
        <is>
          <t>MEDIUM_RISK</t>
        </is>
      </c>
      <c r="Y37" s="27" t="inlineStr">
        <is>
          <t>0.4510396871808976</t>
        </is>
      </c>
      <c r="Z37" s="27" t="inlineStr">
        <is>
          <t>LOW</t>
        </is>
      </c>
      <c r="AA37" s="27" t="inlineStr">
        <is>
          <t>LOW</t>
        </is>
      </c>
      <c r="AB37" s="27" t="inlineStr">
        <is>
          <t>0.021802364937517606</t>
        </is>
      </c>
      <c r="AC37" s="27" t="inlineStr">
        <is>
          <t>False</t>
        </is>
      </c>
      <c r="AD37" s="27" t="inlineStr">
        <is>
          <t>True</t>
        </is>
      </c>
      <c r="AE37" s="27" t="inlineStr">
        <is>
          <t>valuation_credit_ml_overlay_candidate.csv</t>
        </is>
      </c>
      <c r="AF37" s="27" t="inlineStr">
        <is>
          <t>208개 반도체 reference universe. Valuation Agent가 자체 intake 폴더로 복제해 Peer/ML/대시보드 비교에 사용.</t>
        </is>
      </c>
      <c r="AG37" s="27" t="inlineStr">
        <is>
          <t>SAME_PEER_GROUP</t>
        </is>
      </c>
      <c r="AH37" s="27" t="inlineStr">
        <is>
          <t>False</t>
        </is>
      </c>
    </row>
    <row r="38" ht="24" customHeight="1">
      <c r="A38" s="32" t="inlineStr">
        <is>
          <t>145</t>
        </is>
      </c>
      <c r="B38" s="32" t="inlineStr">
        <is>
          <t>해당 없음</t>
        </is>
      </c>
      <c r="C38" s="32" t="inlineStr">
        <is>
          <t>티씨케이</t>
        </is>
      </c>
      <c r="D38" s="32" t="inlineStr">
        <is>
          <t>064760</t>
        </is>
      </c>
      <c r="E38" s="32" t="inlineStr">
        <is>
          <t>KOSDAQ GLOBAL</t>
        </is>
      </c>
      <c r="F38" s="32" t="inlineStr">
        <is>
          <t>소재</t>
        </is>
      </c>
      <c r="G38" s="32" t="inlineStr">
        <is>
          <t>소재</t>
        </is>
      </c>
      <c r="H38" s="32" t="inlineStr">
        <is>
          <t>False</t>
        </is>
      </c>
      <c r="I38" s="32" t="inlineStr">
        <is>
          <t>True</t>
        </is>
      </c>
      <c r="J38" s="32" t="inlineStr">
        <is>
          <t>OK</t>
        </is>
      </c>
      <c r="K38" s="32" t="inlineStr">
        <is>
          <t>데이터 사용 가능</t>
        </is>
      </c>
      <c r="L38" s="32" t="inlineStr">
        <is>
          <t>LOW</t>
        </is>
      </c>
      <c r="M38" s="32" t="inlineStr">
        <is>
          <t>LOW</t>
        </is>
      </c>
      <c r="N38" s="32" t="inlineStr">
        <is>
          <t>0.4956410256410256</t>
        </is>
      </c>
      <c r="O38" s="32" t="inlineStr">
        <is>
          <t>FAIR</t>
        </is>
      </c>
      <c r="P38" s="32" t="inlineStr">
        <is>
          <t>FAIR</t>
        </is>
      </c>
      <c r="Q38" s="32" t="inlineStr">
        <is>
          <t>FAIR</t>
        </is>
      </c>
      <c r="R38" s="32" t="inlineStr">
        <is>
          <t>0.6535546916238612</t>
        </is>
      </c>
      <c r="S38" s="32" t="inlineStr">
        <is>
          <t>MEDIUM</t>
        </is>
      </c>
      <c r="T38" s="32" t="inlineStr">
        <is>
          <t>MEDIUM</t>
        </is>
      </c>
      <c r="U38" s="32" t="inlineStr">
        <is>
          <t>0.0</t>
        </is>
      </c>
      <c r="V38" s="32" t="inlineStr">
        <is>
          <t>LOW_RISK</t>
        </is>
      </c>
      <c r="W38" s="32" t="inlineStr">
        <is>
          <t>저위험</t>
        </is>
      </c>
      <c r="X38" s="32" t="inlineStr">
        <is>
          <t>LOW_RISK</t>
        </is>
      </c>
      <c r="Y38" s="32" t="inlineStr">
        <is>
          <t>0.7960429313317705</t>
        </is>
      </c>
      <c r="Z38" s="32" t="inlineStr">
        <is>
          <t>HIGH</t>
        </is>
      </c>
      <c r="AA38" s="32" t="inlineStr">
        <is>
          <t>HIGH</t>
        </is>
      </c>
      <c r="AB38" s="32" t="inlineStr">
        <is>
          <t>0.151556576218825</t>
        </is>
      </c>
      <c r="AC38" s="32" t="inlineStr">
        <is>
          <t>False</t>
        </is>
      </c>
      <c r="AD38" s="32" t="inlineStr">
        <is>
          <t>False</t>
        </is>
      </c>
      <c r="AE38" s="32" t="inlineStr">
        <is>
          <t>valuation_credit_ml_overlay_candidate.csv</t>
        </is>
      </c>
      <c r="AF38" s="32" t="inlineStr">
        <is>
          <t>208개 반도체 reference universe. Valuation Agent가 자체 intake 폴더로 복제해 Peer/ML/대시보드 비교에 사용.</t>
        </is>
      </c>
      <c r="AG38" s="32" t="inlineStr">
        <is>
          <t>SAME_PEER_GROUP</t>
        </is>
      </c>
      <c r="AH38" s="32" t="inlineStr">
        <is>
          <t>False</t>
        </is>
      </c>
    </row>
    <row r="39" ht="24" customHeight="1">
      <c r="A39" s="27" t="inlineStr">
        <is>
          <t>144</t>
        </is>
      </c>
      <c r="B39" s="27" t="inlineStr">
        <is>
          <t>해당 없음</t>
        </is>
      </c>
      <c r="C39" s="27" t="inlineStr">
        <is>
          <t>켐트로닉스</t>
        </is>
      </c>
      <c r="D39" s="27" t="inlineStr">
        <is>
          <t>089010</t>
        </is>
      </c>
      <c r="E39" s="27" t="inlineStr">
        <is>
          <t>KOSDAQ</t>
        </is>
      </c>
      <c r="F39" s="27" t="inlineStr">
        <is>
          <t>소재</t>
        </is>
      </c>
      <c r="G39" s="27" t="inlineStr">
        <is>
          <t>소재</t>
        </is>
      </c>
      <c r="H39" s="27" t="inlineStr">
        <is>
          <t>False</t>
        </is>
      </c>
      <c r="I39" s="27" t="inlineStr">
        <is>
          <t>True</t>
        </is>
      </c>
      <c r="J39" s="27" t="inlineStr">
        <is>
          <t>OK</t>
        </is>
      </c>
      <c r="K39" s="27" t="inlineStr">
        <is>
          <t>데이터 사용 가능</t>
        </is>
      </c>
      <c r="L39" s="27" t="inlineStr">
        <is>
          <t>LOW</t>
        </is>
      </c>
      <c r="M39" s="27" t="inlineStr">
        <is>
          <t>LOW</t>
        </is>
      </c>
      <c r="N39" s="27" t="inlineStr">
        <is>
          <t>0.4412820512820513</t>
        </is>
      </c>
      <c r="O39" s="27" t="inlineStr">
        <is>
          <t>FAIR</t>
        </is>
      </c>
      <c r="P39" s="27" t="inlineStr">
        <is>
          <t>FAIR</t>
        </is>
      </c>
      <c r="Q39" s="27" t="inlineStr">
        <is>
          <t>FAIR</t>
        </is>
      </c>
      <c r="R39" s="27" t="inlineStr">
        <is>
          <t>0.7697961799623572</t>
        </is>
      </c>
      <c r="S39" s="27" t="inlineStr">
        <is>
          <t>HIGH</t>
        </is>
      </c>
      <c r="T39" s="27" t="inlineStr">
        <is>
          <t>HIGH</t>
        </is>
      </c>
      <c r="U39" s="27" t="inlineStr">
        <is>
          <t>0.3571428571428571</t>
        </is>
      </c>
      <c r="V39" s="27" t="inlineStr">
        <is>
          <t>MEDIUM_RISK</t>
        </is>
      </c>
      <c r="W39" s="27" t="inlineStr">
        <is>
          <t>중위험</t>
        </is>
      </c>
      <c r="X39" s="27" t="inlineStr">
        <is>
          <t>MEDIUM_RISK</t>
        </is>
      </c>
      <c r="Y39" s="27" t="inlineStr">
        <is>
          <t>0.46850853772952833</t>
        </is>
      </c>
      <c r="Z39" s="27" t="inlineStr">
        <is>
          <t>LOW</t>
        </is>
      </c>
      <c r="AA39" s="27" t="inlineStr">
        <is>
          <t>LOW</t>
        </is>
      </c>
      <c r="AB39" s="27" t="inlineStr">
        <is>
          <t>0.08001716573230905</t>
        </is>
      </c>
      <c r="AC39" s="27" t="inlineStr">
        <is>
          <t>False</t>
        </is>
      </c>
      <c r="AD39" s="27" t="inlineStr">
        <is>
          <t>True</t>
        </is>
      </c>
      <c r="AE39" s="27" t="inlineStr">
        <is>
          <t>valuation_credit_ml_overlay_candidate.csv</t>
        </is>
      </c>
      <c r="AF39" s="27" t="inlineStr">
        <is>
          <t>208개 반도체 reference universe. Valuation Agent가 자체 intake 폴더로 복제해 Peer/ML/대시보드 비교에 사용.</t>
        </is>
      </c>
      <c r="AG39" s="27" t="inlineStr">
        <is>
          <t>SAME_PEER_GROUP</t>
        </is>
      </c>
      <c r="AH39" s="27" t="inlineStr">
        <is>
          <t>False</t>
        </is>
      </c>
    </row>
    <row r="40" ht="24" customHeight="1">
      <c r="A40" s="32" t="inlineStr">
        <is>
          <t>129</t>
        </is>
      </c>
      <c r="B40" s="32" t="inlineStr">
        <is>
          <t>해당 없음</t>
        </is>
      </c>
      <c r="C40" s="32" t="inlineStr">
        <is>
          <t>솔브레인</t>
        </is>
      </c>
      <c r="D40" s="32" t="inlineStr">
        <is>
          <t>357780</t>
        </is>
      </c>
      <c r="E40" s="32" t="inlineStr">
        <is>
          <t>KOSDAQ GLOBAL</t>
        </is>
      </c>
      <c r="F40" s="32" t="inlineStr">
        <is>
          <t>소재</t>
        </is>
      </c>
      <c r="G40" s="32" t="inlineStr">
        <is>
          <t>소재</t>
        </is>
      </c>
      <c r="H40" s="32" t="inlineStr">
        <is>
          <t>False</t>
        </is>
      </c>
      <c r="I40" s="32" t="inlineStr">
        <is>
          <t>True</t>
        </is>
      </c>
      <c r="J40" s="32" t="inlineStr">
        <is>
          <t>OK</t>
        </is>
      </c>
      <c r="K40" s="32" t="inlineStr">
        <is>
          <t>데이터 사용 가능</t>
        </is>
      </c>
      <c r="L40" s="32" t="inlineStr">
        <is>
          <t>LOW</t>
        </is>
      </c>
      <c r="M40" s="32" t="inlineStr">
        <is>
          <t>LOW</t>
        </is>
      </c>
      <c r="N40" s="32" t="inlineStr">
        <is>
          <t>0.4330769230769231</t>
        </is>
      </c>
      <c r="O40" s="32" t="inlineStr">
        <is>
          <t>FAIR</t>
        </is>
      </c>
      <c r="P40" s="32" t="inlineStr">
        <is>
          <t>FAIR</t>
        </is>
      </c>
      <c r="Q40" s="32" t="inlineStr">
        <is>
          <t>FAIR</t>
        </is>
      </c>
      <c r="R40" s="32" t="inlineStr">
        <is>
          <t>0.6367158518654258</t>
        </is>
      </c>
      <c r="S40" s="32" t="inlineStr">
        <is>
          <t>MEDIUM</t>
        </is>
      </c>
      <c r="T40" s="32" t="inlineStr">
        <is>
          <t>MEDIUM</t>
        </is>
      </c>
      <c r="U40" s="32" t="inlineStr">
        <is>
          <t>0.0</t>
        </is>
      </c>
      <c r="V40" s="32" t="inlineStr">
        <is>
          <t>LOW_RISK</t>
        </is>
      </c>
      <c r="W40" s="32" t="inlineStr">
        <is>
          <t>저위험</t>
        </is>
      </c>
      <c r="X40" s="32" t="inlineStr">
        <is>
          <t>LOW_RISK</t>
        </is>
      </c>
      <c r="Y40" s="32" t="inlineStr">
        <is>
          <t>0.9460528189989016</t>
        </is>
      </c>
      <c r="Z40" s="32" t="inlineStr">
        <is>
          <t>HIGH</t>
        </is>
      </c>
      <c r="AA40" s="32" t="inlineStr">
        <is>
          <t>HIGH</t>
        </is>
      </c>
      <c r="AB40" s="32" t="inlineStr">
        <is>
          <t>0.0320761550307272</t>
        </is>
      </c>
      <c r="AC40" s="32" t="inlineStr">
        <is>
          <t>False</t>
        </is>
      </c>
      <c r="AD40" s="32" t="inlineStr">
        <is>
          <t>False</t>
        </is>
      </c>
      <c r="AE40" s="32" t="inlineStr">
        <is>
          <t>valuation_credit_ml_overlay_candidate.csv</t>
        </is>
      </c>
      <c r="AF40" s="32" t="inlineStr">
        <is>
          <t>208개 반도체 reference universe. Valuation Agent가 자체 intake 폴더로 복제해 Peer/ML/대시보드 비교에 사용.</t>
        </is>
      </c>
      <c r="AG40" s="32" t="inlineStr">
        <is>
          <t>SAME_PEER_GROUP</t>
        </is>
      </c>
      <c r="AH40" s="32" t="inlineStr">
        <is>
          <t>False</t>
        </is>
      </c>
    </row>
    <row r="41" ht="24" customHeight="1">
      <c r="A41" s="27" t="inlineStr">
        <is>
          <t>127</t>
        </is>
      </c>
      <c r="B41" s="27" t="inlineStr">
        <is>
          <t>해당 없음</t>
        </is>
      </c>
      <c r="C41" s="27" t="inlineStr">
        <is>
          <t>디엔에프</t>
        </is>
      </c>
      <c r="D41" s="27" t="inlineStr">
        <is>
          <t>092070</t>
        </is>
      </c>
      <c r="E41" s="27" t="inlineStr">
        <is>
          <t>KOSDAQ</t>
        </is>
      </c>
      <c r="F41" s="27" t="inlineStr">
        <is>
          <t>소재</t>
        </is>
      </c>
      <c r="G41" s="27" t="inlineStr">
        <is>
          <t>소재</t>
        </is>
      </c>
      <c r="H41" s="27" t="inlineStr">
        <is>
          <t>False</t>
        </is>
      </c>
      <c r="I41" s="27" t="inlineStr">
        <is>
          <t>True</t>
        </is>
      </c>
      <c r="J41" s="27" t="inlineStr">
        <is>
          <t>OK</t>
        </is>
      </c>
      <c r="K41" s="27" t="inlineStr">
        <is>
          <t>데이터 사용 가능</t>
        </is>
      </c>
      <c r="L41" s="27" t="inlineStr">
        <is>
          <t>LOW</t>
        </is>
      </c>
      <c r="M41" s="27" t="inlineStr">
        <is>
          <t>LOW</t>
        </is>
      </c>
      <c r="N41" s="27" t="inlineStr">
        <is>
          <t>0.4041025641025642</t>
        </is>
      </c>
      <c r="O41" s="27" t="inlineStr">
        <is>
          <t>EXPENSIVE</t>
        </is>
      </c>
      <c r="P41" s="27" t="inlineStr">
        <is>
          <t>EXPENSIVE</t>
        </is>
      </c>
      <c r="Q41" s="27" t="inlineStr">
        <is>
          <t>EXPENSIVE</t>
        </is>
      </c>
      <c r="R41" s="27" t="inlineStr">
        <is>
          <t>0.6833535693717029</t>
        </is>
      </c>
      <c r="S41" s="27" t="inlineStr">
        <is>
          <t>MEDIUM</t>
        </is>
      </c>
      <c r="T41" s="27" t="inlineStr">
        <is>
          <t>MEDIUM</t>
        </is>
      </c>
      <c r="U41" s="27" t="inlineStr">
        <is>
          <t>0.1428571428571428</t>
        </is>
      </c>
      <c r="V41" s="27" t="inlineStr">
        <is>
          <t>LOW_RISK</t>
        </is>
      </c>
      <c r="W41" s="27" t="inlineStr">
        <is>
          <t>저위험</t>
        </is>
      </c>
      <c r="X41" s="27" t="inlineStr">
        <is>
          <t>LOW_RISK</t>
        </is>
      </c>
      <c r="Y41" s="27" t="inlineStr">
        <is>
          <t>0.5929893794662974</t>
        </is>
      </c>
      <c r="Z41" s="27" t="inlineStr">
        <is>
          <t>MEDIUM</t>
        </is>
      </c>
      <c r="AA41" s="27" t="inlineStr">
        <is>
          <t>MEDIUM</t>
        </is>
      </c>
      <c r="AB41" s="27" t="inlineStr">
        <is>
          <t>0.12453521172683771</t>
        </is>
      </c>
      <c r="AC41" s="27" t="inlineStr">
        <is>
          <t>False</t>
        </is>
      </c>
      <c r="AD41" s="27" t="inlineStr">
        <is>
          <t>False</t>
        </is>
      </c>
      <c r="AE41" s="27" t="inlineStr">
        <is>
          <t>valuation_credit_ml_overlay_candidate.csv</t>
        </is>
      </c>
      <c r="AF41" s="27" t="inlineStr">
        <is>
          <t>208개 반도체 reference universe. Valuation Agent가 자체 intake 폴더로 복제해 Peer/ML/대시보드 비교에 사용.</t>
        </is>
      </c>
      <c r="AG41" s="27" t="inlineStr">
        <is>
          <t>SAME_PEER_GROUP</t>
        </is>
      </c>
      <c r="AH41" s="27" t="inlineStr">
        <is>
          <t>False</t>
        </is>
      </c>
    </row>
    <row r="42" ht="24" customHeight="1">
      <c r="A42" s="32" t="inlineStr">
        <is>
          <t>135</t>
        </is>
      </c>
      <c r="B42" s="32" t="inlineStr">
        <is>
          <t>해당 없음</t>
        </is>
      </c>
      <c r="C42" s="32" t="inlineStr">
        <is>
          <t>와이씨켐</t>
        </is>
      </c>
      <c r="D42" s="32" t="inlineStr">
        <is>
          <t>112290</t>
        </is>
      </c>
      <c r="E42" s="32" t="inlineStr">
        <is>
          <t>KOSDAQ</t>
        </is>
      </c>
      <c r="F42" s="32" t="inlineStr">
        <is>
          <t>소재</t>
        </is>
      </c>
      <c r="G42" s="32" t="inlineStr">
        <is>
          <t>소재</t>
        </is>
      </c>
      <c r="H42" s="32" t="inlineStr">
        <is>
          <t>False</t>
        </is>
      </c>
      <c r="I42" s="32" t="inlineStr">
        <is>
          <t>True</t>
        </is>
      </c>
      <c r="J42" s="32" t="inlineStr">
        <is>
          <t>OK</t>
        </is>
      </c>
      <c r="K42" s="32" t="inlineStr">
        <is>
          <t>데이터 사용 가능</t>
        </is>
      </c>
      <c r="L42" s="32" t="inlineStr">
        <is>
          <t>LOW</t>
        </is>
      </c>
      <c r="M42" s="32" t="inlineStr">
        <is>
          <t>LOW</t>
        </is>
      </c>
      <c r="N42" s="32" t="inlineStr">
        <is>
          <t>0.3835897435897436</t>
        </is>
      </c>
      <c r="O42" s="32" t="inlineStr">
        <is>
          <t>EXPENSIVE</t>
        </is>
      </c>
      <c r="P42" s="32" t="inlineStr">
        <is>
          <t>EXPENSIVE</t>
        </is>
      </c>
      <c r="Q42" s="32" t="inlineStr">
        <is>
          <t>EXPENSIVE</t>
        </is>
      </c>
      <c r="R42" s="32" t="inlineStr">
        <is>
          <t>0.7576999610053956</t>
        </is>
      </c>
      <c r="S42" s="32" t="inlineStr">
        <is>
          <t>HIGH</t>
        </is>
      </c>
      <c r="T42" s="32" t="inlineStr">
        <is>
          <t>HIGH</t>
        </is>
      </c>
      <c r="U42" s="32" t="inlineStr">
        <is>
          <t>0.5</t>
        </is>
      </c>
      <c r="V42" s="32" t="inlineStr">
        <is>
          <t>HIGH_RISK</t>
        </is>
      </c>
      <c r="W42" s="32" t="inlineStr">
        <is>
          <t>고위험</t>
        </is>
      </c>
      <c r="X42" s="32" t="inlineStr">
        <is>
          <t>HIGH_RISK</t>
        </is>
      </c>
      <c r="Y42" s="32" t="inlineStr">
        <is>
          <t>0.5943318096005836</t>
        </is>
      </c>
      <c r="Z42" s="32" t="inlineStr">
        <is>
          <t>MEDIUM</t>
        </is>
      </c>
      <c r="AA42" s="32" t="inlineStr">
        <is>
          <t>MEDIUM</t>
        </is>
      </c>
      <c r="AB42" s="32" t="inlineStr">
        <is>
          <t>0.09923299749910795</t>
        </is>
      </c>
      <c r="AC42" s="32" t="inlineStr">
        <is>
          <t>False</t>
        </is>
      </c>
      <c r="AD42" s="32" t="inlineStr">
        <is>
          <t>False</t>
        </is>
      </c>
      <c r="AE42" s="32" t="inlineStr">
        <is>
          <t>valuation_credit_ml_overlay_candidate.csv</t>
        </is>
      </c>
      <c r="AF42" s="32" t="inlineStr">
        <is>
          <t>208개 반도체 reference universe. Valuation Agent가 자체 intake 폴더로 복제해 Peer/ML/대시보드 비교에 사용.</t>
        </is>
      </c>
      <c r="AG42" s="32" t="inlineStr">
        <is>
          <t>SAME_PEER_GROUP</t>
        </is>
      </c>
      <c r="AH42" s="32" t="inlineStr">
        <is>
          <t>False</t>
        </is>
      </c>
    </row>
    <row r="43" ht="24" customHeight="1">
      <c r="A43" s="27" t="inlineStr">
        <is>
          <t>149</t>
        </is>
      </c>
      <c r="B43" s="27" t="inlineStr">
        <is>
          <t>해당 없음</t>
        </is>
      </c>
      <c r="C43" s="27" t="inlineStr">
        <is>
          <t>후성</t>
        </is>
      </c>
      <c r="D43" s="27" t="inlineStr">
        <is>
          <t>093370</t>
        </is>
      </c>
      <c r="E43" s="27" t="inlineStr">
        <is>
          <t>KOSPI</t>
        </is>
      </c>
      <c r="F43" s="27" t="inlineStr">
        <is>
          <t>소재</t>
        </is>
      </c>
      <c r="G43" s="27" t="inlineStr">
        <is>
          <t>소재</t>
        </is>
      </c>
      <c r="H43" s="27" t="inlineStr">
        <is>
          <t>False</t>
        </is>
      </c>
      <c r="I43" s="27" t="inlineStr">
        <is>
          <t>True</t>
        </is>
      </c>
      <c r="J43" s="27" t="inlineStr">
        <is>
          <t>OK</t>
        </is>
      </c>
      <c r="K43" s="27" t="inlineStr">
        <is>
          <t>데이터 사용 가능</t>
        </is>
      </c>
      <c r="L43" s="27" t="inlineStr">
        <is>
          <t>LOW</t>
        </is>
      </c>
      <c r="M43" s="27" t="inlineStr">
        <is>
          <t>LOW</t>
        </is>
      </c>
      <c r="N43" s="27" t="inlineStr">
        <is>
          <t>0.3387179487179487</t>
        </is>
      </c>
      <c r="O43" s="27" t="inlineStr">
        <is>
          <t>EXPENSIVE</t>
        </is>
      </c>
      <c r="P43" s="27" t="inlineStr">
        <is>
          <t>EXPENSIVE</t>
        </is>
      </c>
      <c r="Q43" s="27" t="inlineStr">
        <is>
          <t>EXPENSIVE</t>
        </is>
      </c>
      <c r="R43" s="27" t="inlineStr">
        <is>
          <t>0.7388215177779633</t>
        </is>
      </c>
      <c r="S43" s="27" t="inlineStr">
        <is>
          <t>HIGH</t>
        </is>
      </c>
      <c r="T43" s="27" t="inlineStr">
        <is>
          <t>HIGH</t>
        </is>
      </c>
      <c r="U43" s="27" t="inlineStr">
        <is>
          <t>0.1428571428571428</t>
        </is>
      </c>
      <c r="V43" s="27" t="inlineStr">
        <is>
          <t>LOW_RISK</t>
        </is>
      </c>
      <c r="W43" s="27" t="inlineStr">
        <is>
          <t>저위험</t>
        </is>
      </c>
      <c r="X43" s="27" t="inlineStr">
        <is>
          <t>LOW_RISK</t>
        </is>
      </c>
      <c r="Y43" s="27" t="inlineStr">
        <is>
          <t>0.6020102100460379</t>
        </is>
      </c>
      <c r="Z43" s="27" t="inlineStr">
        <is>
          <t>MEDIUM</t>
        </is>
      </c>
      <c r="AA43" s="27" t="inlineStr">
        <is>
          <t>MEDIUM</t>
        </is>
      </c>
      <c r="AB43" s="27" t="inlineStr">
        <is>
          <t>0.03702349009826696</t>
        </is>
      </c>
      <c r="AC43" s="27" t="inlineStr">
        <is>
          <t>False</t>
        </is>
      </c>
      <c r="AD43" s="27" t="inlineStr">
        <is>
          <t>False</t>
        </is>
      </c>
      <c r="AE43" s="27" t="inlineStr">
        <is>
          <t>valuation_credit_ml_overlay_candidate.csv</t>
        </is>
      </c>
      <c r="AF43" s="27" t="inlineStr">
        <is>
          <t>208개 반도체 reference universe. Valuation Agent가 자체 intake 폴더로 복제해 Peer/ML/대시보드 비교에 사용.</t>
        </is>
      </c>
      <c r="AG43" s="27" t="inlineStr">
        <is>
          <t>SAME_PEER_GROUP</t>
        </is>
      </c>
      <c r="AH43" s="27" t="inlineStr">
        <is>
          <t>False</t>
        </is>
      </c>
    </row>
    <row r="44" ht="24" customHeight="1">
      <c r="A44" s="32" t="inlineStr">
        <is>
          <t>125</t>
        </is>
      </c>
      <c r="B44" s="32" t="inlineStr">
        <is>
          <t>duksan</t>
        </is>
      </c>
      <c r="C44" s="32" t="inlineStr">
        <is>
          <t>덕산테코피아</t>
        </is>
      </c>
      <c r="D44" s="32" t="inlineStr">
        <is>
          <t>317330</t>
        </is>
      </c>
      <c r="E44" s="32" t="inlineStr">
        <is>
          <t>KOSDAQ</t>
        </is>
      </c>
      <c r="F44" s="32" t="inlineStr">
        <is>
          <t>소재</t>
        </is>
      </c>
      <c r="G44" s="32" t="inlineStr">
        <is>
          <t>소재</t>
        </is>
      </c>
      <c r="H44" s="32" t="inlineStr">
        <is>
          <t>True</t>
        </is>
      </c>
      <c r="I44" s="32" t="inlineStr">
        <is>
          <t>True</t>
        </is>
      </c>
      <c r="J44" s="32" t="inlineStr">
        <is>
          <t>OK</t>
        </is>
      </c>
      <c r="K44" s="32" t="inlineStr">
        <is>
          <t>데이터 사용 가능</t>
        </is>
      </c>
      <c r="L44" s="32" t="inlineStr">
        <is>
          <t>LOW</t>
        </is>
      </c>
      <c r="M44" s="32" t="inlineStr">
        <is>
          <t>LOW</t>
        </is>
      </c>
      <c r="N44" s="32" t="inlineStr">
        <is>
          <t>0.251025641025641</t>
        </is>
      </c>
      <c r="O44" s="32" t="inlineStr">
        <is>
          <t>EXPENSIVE</t>
        </is>
      </c>
      <c r="P44" s="32" t="inlineStr">
        <is>
          <t>EXPENSIVE</t>
        </is>
      </c>
      <c r="Q44" s="32" t="inlineStr">
        <is>
          <t>EXPENSIVE</t>
        </is>
      </c>
      <c r="R44" s="32" t="inlineStr">
        <is>
          <t>0.9683283970250778</t>
        </is>
      </c>
      <c r="S44" s="32" t="inlineStr">
        <is>
          <t>HIGH</t>
        </is>
      </c>
      <c r="T44" s="32" t="inlineStr">
        <is>
          <t>HIGH</t>
        </is>
      </c>
      <c r="U44" s="32" t="inlineStr">
        <is>
          <t>0.7142857142857143</t>
        </is>
      </c>
      <c r="V44" s="32" t="inlineStr">
        <is>
          <t>HIGH_RISK</t>
        </is>
      </c>
      <c r="W44" s="32" t="inlineStr">
        <is>
          <t>고위험</t>
        </is>
      </c>
      <c r="X44" s="32" t="inlineStr">
        <is>
          <t>HIGH_RISK</t>
        </is>
      </c>
      <c r="Y44" s="32" t="inlineStr">
        <is>
          <t>0.9663044353705786</t>
        </is>
      </c>
      <c r="Z44" s="32" t="inlineStr">
        <is>
          <t>HIGH</t>
        </is>
      </c>
      <c r="AA44" s="32" t="inlineStr">
        <is>
          <t>HIGH</t>
        </is>
      </c>
      <c r="AB44" s="32" t="inlineStr">
        <is>
          <t>0.3843555232614074</t>
        </is>
      </c>
      <c r="AC44" s="32" t="inlineStr">
        <is>
          <t>True</t>
        </is>
      </c>
      <c r="AD44" s="32" t="inlineStr">
        <is>
          <t>True</t>
        </is>
      </c>
      <c r="AE44" s="32" t="inlineStr">
        <is>
          <t>valuation_credit_ml_overlay_candidate.csv</t>
        </is>
      </c>
      <c r="AF44" s="32" t="inlineStr">
        <is>
          <t>208개 반도체 reference universe. Valuation Agent가 자체 intake 폴더로 복제해 Peer/ML/대시보드 비교에 사용.</t>
        </is>
      </c>
      <c r="AG44" s="32" t="inlineStr">
        <is>
          <t>FOCAL_5</t>
        </is>
      </c>
      <c r="AH44" s="32" t="inlineStr">
        <is>
          <t>False</t>
        </is>
      </c>
    </row>
    <row r="45" ht="24" customHeight="1">
      <c r="A45" s="27" t="inlineStr">
        <is>
          <t>157</t>
        </is>
      </c>
      <c r="B45" s="27" t="inlineStr">
        <is>
          <t>nepes</t>
        </is>
      </c>
      <c r="C45" s="27" t="inlineStr">
        <is>
          <t>네패스</t>
        </is>
      </c>
      <c r="D45" s="27" t="inlineStr">
        <is>
          <t>033640</t>
        </is>
      </c>
      <c r="E45" s="27" t="inlineStr">
        <is>
          <t>KOSDAQ</t>
        </is>
      </c>
      <c r="F45" s="27" t="inlineStr">
        <is>
          <t>후공정/패키징/테스트</t>
        </is>
      </c>
      <c r="G45" s="27" t="inlineStr">
        <is>
          <t>후공정/패키징/테스트</t>
        </is>
      </c>
      <c r="H45" s="27" t="inlineStr">
        <is>
          <t>True</t>
        </is>
      </c>
      <c r="I45" s="27" t="inlineStr">
        <is>
          <t>True</t>
        </is>
      </c>
      <c r="J45" s="27" t="inlineStr">
        <is>
          <t>OK</t>
        </is>
      </c>
      <c r="K45" s="27" t="inlineStr">
        <is>
          <t>데이터 사용 가능</t>
        </is>
      </c>
      <c r="L45" s="27" t="inlineStr">
        <is>
          <t>LOW</t>
        </is>
      </c>
      <c r="M45" s="27" t="inlineStr">
        <is>
          <t>LOW</t>
        </is>
      </c>
      <c r="N45" s="27" t="inlineStr">
        <is>
          <t>0.6385185185185186</t>
        </is>
      </c>
      <c r="O45" s="27" t="inlineStr">
        <is>
          <t>ATTRACTIVE</t>
        </is>
      </c>
      <c r="P45" s="27" t="inlineStr">
        <is>
          <t>가치 매력</t>
        </is>
      </c>
      <c r="Q45" s="27" t="inlineStr">
        <is>
          <t>ATTRACTIVE</t>
        </is>
      </c>
      <c r="R45" s="27" t="inlineStr">
        <is>
          <t>0.8763685947958789</t>
        </is>
      </c>
      <c r="S45" s="27" t="inlineStr">
        <is>
          <t>HIGH</t>
        </is>
      </c>
      <c r="T45" s="27" t="inlineStr">
        <is>
          <t>HIGH</t>
        </is>
      </c>
      <c r="U45" s="27" t="inlineStr">
        <is>
          <t>0.2857142857142857</t>
        </is>
      </c>
      <c r="V45" s="27" t="inlineStr">
        <is>
          <t>MEDIUM_RISK</t>
        </is>
      </c>
      <c r="W45" s="27" t="inlineStr">
        <is>
          <t>중위험</t>
        </is>
      </c>
      <c r="X45" s="27" t="inlineStr">
        <is>
          <t>MEDIUM_RISK</t>
        </is>
      </c>
      <c r="Y45" s="27" t="inlineStr">
        <is>
          <t>0.5963458259503356</t>
        </is>
      </c>
      <c r="Z45" s="27" t="inlineStr">
        <is>
          <t>MEDIUM</t>
        </is>
      </c>
      <c r="AA45" s="27" t="inlineStr">
        <is>
          <t>MEDIUM</t>
        </is>
      </c>
      <c r="AB45" s="27" t="inlineStr">
        <is>
          <t>0.07896643996759804</t>
        </is>
      </c>
      <c r="AC45" s="27" t="inlineStr">
        <is>
          <t>False</t>
        </is>
      </c>
      <c r="AD45" s="27" t="inlineStr">
        <is>
          <t>False</t>
        </is>
      </c>
      <c r="AE45" s="27" t="inlineStr">
        <is>
          <t>valuation_credit_ml_overlay_candidate.csv</t>
        </is>
      </c>
      <c r="AF45" s="27" t="inlineStr">
        <is>
          <t>208개 반도체 reference universe. Valuation Agent가 자체 intake 폴더로 복제해 Peer/ML/대시보드 비교에 사용.</t>
        </is>
      </c>
      <c r="AG45" s="27" t="inlineStr">
        <is>
          <t>FOCAL_5</t>
        </is>
      </c>
      <c r="AH45" s="27" t="inlineStr">
        <is>
          <t>False</t>
        </is>
      </c>
    </row>
    <row r="46" ht="24" customHeight="1">
      <c r="A46" s="32" t="inlineStr">
        <is>
          <t>192</t>
        </is>
      </c>
      <c r="B46" s="32" t="inlineStr">
        <is>
          <t>hanmi</t>
        </is>
      </c>
      <c r="C46" s="32" t="inlineStr">
        <is>
          <t>한미반도체</t>
        </is>
      </c>
      <c r="D46" s="32" t="inlineStr">
        <is>
          <t>042700</t>
        </is>
      </c>
      <c r="E46" s="32" t="inlineStr">
        <is>
          <t>KOSPI</t>
        </is>
      </c>
      <c r="F46" s="32" t="inlineStr">
        <is>
          <t>후공정/패키징/테스트</t>
        </is>
      </c>
      <c r="G46" s="32" t="inlineStr">
        <is>
          <t>후공정/패키징/테스트</t>
        </is>
      </c>
      <c r="H46" s="32" t="inlineStr">
        <is>
          <t>True</t>
        </is>
      </c>
      <c r="I46" s="32" t="inlineStr">
        <is>
          <t>True</t>
        </is>
      </c>
      <c r="J46" s="32" t="inlineStr">
        <is>
          <t>OK</t>
        </is>
      </c>
      <c r="K46" s="32" t="inlineStr">
        <is>
          <t>데이터 사용 가능</t>
        </is>
      </c>
      <c r="L46" s="32" t="inlineStr">
        <is>
          <t>LOW</t>
        </is>
      </c>
      <c r="M46" s="32" t="inlineStr">
        <is>
          <t>LOW</t>
        </is>
      </c>
      <c r="N46" s="32" t="inlineStr">
        <is>
          <t>0.4712592592592592</t>
        </is>
      </c>
      <c r="O46" s="32" t="inlineStr">
        <is>
          <t>FAIR</t>
        </is>
      </c>
      <c r="P46" s="32" t="inlineStr">
        <is>
          <t>FAIR</t>
        </is>
      </c>
      <c r="Q46" s="32" t="inlineStr">
        <is>
          <t>FAIR</t>
        </is>
      </c>
      <c r="R46" s="32" t="inlineStr">
        <is>
          <t>0.618072727307107</t>
        </is>
      </c>
      <c r="S46" s="32" t="inlineStr">
        <is>
          <t>MEDIUM</t>
        </is>
      </c>
      <c r="T46" s="32" t="inlineStr">
        <is>
          <t>MEDIUM</t>
        </is>
      </c>
      <c r="U46" s="32" t="inlineStr">
        <is>
          <t>0.0</t>
        </is>
      </c>
      <c r="V46" s="32" t="inlineStr">
        <is>
          <t>LOW_RISK</t>
        </is>
      </c>
      <c r="W46" s="32" t="inlineStr">
        <is>
          <t>저위험</t>
        </is>
      </c>
      <c r="X46" s="32" t="inlineStr">
        <is>
          <t>LOW_RISK</t>
        </is>
      </c>
      <c r="Y46" s="32" t="inlineStr">
        <is>
          <t>0.9350232170644448</t>
        </is>
      </c>
      <c r="Z46" s="32" t="inlineStr">
        <is>
          <t>HIGH</t>
        </is>
      </c>
      <c r="AA46" s="32" t="inlineStr">
        <is>
          <t>HIGH</t>
        </is>
      </c>
      <c r="AB46" s="32" t="inlineStr">
        <is>
          <t>0.2707179947680644</t>
        </is>
      </c>
      <c r="AC46" s="32" t="inlineStr">
        <is>
          <t>True</t>
        </is>
      </c>
      <c r="AD46" s="32" t="inlineStr">
        <is>
          <t>True</t>
        </is>
      </c>
      <c r="AE46" s="32" t="inlineStr">
        <is>
          <t>valuation_credit_ml_overlay_candidate.csv</t>
        </is>
      </c>
      <c r="AF46" s="32" t="inlineStr">
        <is>
          <t>208개 반도체 reference universe. Valuation Agent가 자체 intake 폴더로 복제해 Peer/ML/대시보드 비교에 사용.</t>
        </is>
      </c>
      <c r="AG46" s="32" t="inlineStr">
        <is>
          <t>FOCAL_5</t>
        </is>
      </c>
      <c r="AH46" s="32" t="inlineStr">
        <is>
          <t>False</t>
        </is>
      </c>
    </row>
    <row r="47" ht="24" customHeight="1">
      <c r="A47" s="27" t="inlineStr">
        <is>
          <t>99</t>
        </is>
      </c>
      <c r="B47" s="27" t="inlineStr">
        <is>
          <t>해당 없음</t>
        </is>
      </c>
      <c r="C47" s="27" t="inlineStr">
        <is>
          <t>엔투텍</t>
        </is>
      </c>
      <c r="D47" s="27" t="inlineStr">
        <is>
          <t>227950</t>
        </is>
      </c>
      <c r="E47" s="27" t="inlineStr">
        <is>
          <t>KOSDAQ</t>
        </is>
      </c>
      <c r="F47" s="27" t="inlineStr">
        <is>
          <t>장비</t>
        </is>
      </c>
      <c r="G47" s="27" t="inlineStr">
        <is>
          <t>장비</t>
        </is>
      </c>
      <c r="H47" s="27" t="inlineStr">
        <is>
          <t>False</t>
        </is>
      </c>
      <c r="I47" s="27" t="inlineStr">
        <is>
          <t>True</t>
        </is>
      </c>
      <c r="J47" s="27" t="inlineStr">
        <is>
          <t>OK</t>
        </is>
      </c>
      <c r="K47" s="27" t="inlineStr">
        <is>
          <t>데이터 사용 가능</t>
        </is>
      </c>
      <c r="L47" s="27" t="inlineStr">
        <is>
          <t>LOW</t>
        </is>
      </c>
      <c r="M47" s="27" t="inlineStr">
        <is>
          <t>LOW</t>
        </is>
      </c>
      <c r="N47" s="27" t="inlineStr">
        <is>
          <t>0.8128666666666667</t>
        </is>
      </c>
      <c r="O47" s="27" t="inlineStr">
        <is>
          <t>ATTRACTIVE</t>
        </is>
      </c>
      <c r="P47" s="27" t="inlineStr">
        <is>
          <t>가치 매력</t>
        </is>
      </c>
      <c r="Q47" s="27" t="inlineStr">
        <is>
          <t>ATTRACTIVE</t>
        </is>
      </c>
      <c r="R47" s="27" t="inlineStr">
        <is>
          <t>0.8347222629406851</t>
        </is>
      </c>
      <c r="S47" s="27" t="inlineStr">
        <is>
          <t>HIGH</t>
        </is>
      </c>
      <c r="T47" s="27" t="inlineStr">
        <is>
          <t>HIGH</t>
        </is>
      </c>
      <c r="U47" s="27" t="inlineStr">
        <is>
          <t>0.2142857142857142</t>
        </is>
      </c>
      <c r="V47" s="27" t="inlineStr">
        <is>
          <t>MEDIUM_RISK</t>
        </is>
      </c>
      <c r="W47" s="27" t="inlineStr">
        <is>
          <t>중위험</t>
        </is>
      </c>
      <c r="X47" s="27" t="inlineStr">
        <is>
          <t>MEDIUM_RISK</t>
        </is>
      </c>
      <c r="Y47" s="27" t="inlineStr">
        <is>
          <t>0.5142933547274794</t>
        </is>
      </c>
      <c r="Z47" s="27" t="inlineStr">
        <is>
          <t>MEDIUM</t>
        </is>
      </c>
      <c r="AA47" s="27" t="inlineStr">
        <is>
          <t>MEDIUM</t>
        </is>
      </c>
      <c r="AB47" s="27" t="inlineStr">
        <is>
          <t>0.21193857896314997</t>
        </is>
      </c>
      <c r="AC47" s="27" t="inlineStr">
        <is>
          <t>False</t>
        </is>
      </c>
      <c r="AD47" s="27" t="inlineStr">
        <is>
          <t>False</t>
        </is>
      </c>
      <c r="AE47" s="27" t="inlineStr">
        <is>
          <t>valuation_credit_ml_overlay_candidate.csv</t>
        </is>
      </c>
      <c r="AF47" s="27" t="inlineStr">
        <is>
          <t>208개 반도체 reference universe. Valuation Agent가 자체 intake 폴더로 복제해 Peer/ML/대시보드 비교에 사용.</t>
        </is>
      </c>
      <c r="AG47" s="27" t="inlineStr">
        <is>
          <t>TOP_REFERENCE</t>
        </is>
      </c>
      <c r="AH47" s="27" t="inlineStr">
        <is>
          <t>False</t>
        </is>
      </c>
    </row>
    <row r="48" ht="24" customHeight="1">
      <c r="A48" s="32" t="inlineStr">
        <is>
          <t>62</t>
        </is>
      </c>
      <c r="B48" s="32" t="inlineStr">
        <is>
          <t>해당 없음</t>
        </is>
      </c>
      <c r="C48" s="32" t="inlineStr">
        <is>
          <t>에스에이엠티</t>
        </is>
      </c>
      <c r="D48" s="32" t="inlineStr">
        <is>
          <t>031330</t>
        </is>
      </c>
      <c r="E48" s="32" t="inlineStr">
        <is>
          <t>KOSDAQ</t>
        </is>
      </c>
      <c r="F48" s="32" t="inlineStr">
        <is>
          <t>팹리스/설계</t>
        </is>
      </c>
      <c r="G48" s="32" t="inlineStr">
        <is>
          <t>팹리스/설계</t>
        </is>
      </c>
      <c r="H48" s="32" t="inlineStr">
        <is>
          <t>False</t>
        </is>
      </c>
      <c r="I48" s="32" t="inlineStr">
        <is>
          <t>True</t>
        </is>
      </c>
      <c r="J48" s="32" t="inlineStr">
        <is>
          <t>OK</t>
        </is>
      </c>
      <c r="K48" s="32" t="inlineStr">
        <is>
          <t>데이터 사용 가능</t>
        </is>
      </c>
      <c r="L48" s="32" t="inlineStr">
        <is>
          <t>LOW</t>
        </is>
      </c>
      <c r="M48" s="32" t="inlineStr">
        <is>
          <t>LOW</t>
        </is>
      </c>
      <c r="N48" s="32" t="inlineStr">
        <is>
          <t>0.7838383838383839</t>
        </is>
      </c>
      <c r="O48" s="32" t="inlineStr">
        <is>
          <t>FAIR</t>
        </is>
      </c>
      <c r="P48" s="32" t="inlineStr">
        <is>
          <t>FAIR</t>
        </is>
      </c>
      <c r="Q48" s="32" t="inlineStr">
        <is>
          <t>FAIR</t>
        </is>
      </c>
      <c r="R48" s="32" t="inlineStr">
        <is>
          <t>0.8575928985222669</t>
        </is>
      </c>
      <c r="S48" s="32" t="inlineStr">
        <is>
          <t>HIGH</t>
        </is>
      </c>
      <c r="T48" s="32" t="inlineStr">
        <is>
          <t>HIGH</t>
        </is>
      </c>
      <c r="U48" s="32" t="inlineStr">
        <is>
          <t>0.5</t>
        </is>
      </c>
      <c r="V48" s="32" t="inlineStr">
        <is>
          <t>HIGH_RISK</t>
        </is>
      </c>
      <c r="W48" s="32" t="inlineStr">
        <is>
          <t>고위험</t>
        </is>
      </c>
      <c r="X48" s="32" t="inlineStr">
        <is>
          <t>HIGH_RISK</t>
        </is>
      </c>
      <c r="Y48" s="32" t="inlineStr">
        <is>
          <t>0.5021487096911619</t>
        </is>
      </c>
      <c r="Z48" s="32" t="inlineStr">
        <is>
          <t>MEDIUM</t>
        </is>
      </c>
      <c r="AA48" s="32" t="inlineStr">
        <is>
          <t>MEDIUM</t>
        </is>
      </c>
      <c r="AB48" s="32" t="inlineStr">
        <is>
          <t>0.11372149345925425</t>
        </is>
      </c>
      <c r="AC48" s="32" t="inlineStr">
        <is>
          <t>False</t>
        </is>
      </c>
      <c r="AD48" s="32" t="inlineStr">
        <is>
          <t>False</t>
        </is>
      </c>
      <c r="AE48" s="32" t="inlineStr">
        <is>
          <t>valuation_credit_ml_overlay_candidate.csv</t>
        </is>
      </c>
      <c r="AF48" s="32" t="inlineStr">
        <is>
          <t>208개 반도체 reference universe. Valuation Agent가 자체 intake 폴더로 복제해 Peer/ML/대시보드 비교에 사용.</t>
        </is>
      </c>
      <c r="AG48" s="32" t="inlineStr">
        <is>
          <t>TOP_REFERENCE</t>
        </is>
      </c>
      <c r="AH48" s="32" t="inlineStr">
        <is>
          <t>False</t>
        </is>
      </c>
    </row>
    <row r="49" ht="24" customHeight="1">
      <c r="A49" s="27" t="inlineStr">
        <is>
          <t>168</t>
        </is>
      </c>
      <c r="B49" s="27" t="inlineStr">
        <is>
          <t>해당 없음</t>
        </is>
      </c>
      <c r="C49" s="27" t="inlineStr">
        <is>
          <t>성우테크론</t>
        </is>
      </c>
      <c r="D49" s="27" t="inlineStr">
        <is>
          <t>045300</t>
        </is>
      </c>
      <c r="E49" s="27" t="inlineStr">
        <is>
          <t>KOSDAQ</t>
        </is>
      </c>
      <c r="F49" s="27" t="inlineStr">
        <is>
          <t>후공정/패키징/테스트</t>
        </is>
      </c>
      <c r="G49" s="27" t="inlineStr">
        <is>
          <t>후공정/패키징/테스트</t>
        </is>
      </c>
      <c r="H49" s="27" t="inlineStr">
        <is>
          <t>False</t>
        </is>
      </c>
      <c r="I49" s="27" t="inlineStr">
        <is>
          <t>True</t>
        </is>
      </c>
      <c r="J49" s="27" t="inlineStr">
        <is>
          <t>OK</t>
        </is>
      </c>
      <c r="K49" s="27" t="inlineStr">
        <is>
          <t>데이터 사용 가능</t>
        </is>
      </c>
      <c r="L49" s="27" t="inlineStr">
        <is>
          <t>LOW</t>
        </is>
      </c>
      <c r="M49" s="27" t="inlineStr">
        <is>
          <t>LOW</t>
        </is>
      </c>
      <c r="N49" s="27" t="inlineStr">
        <is>
          <t>0.7764444444444445</t>
        </is>
      </c>
      <c r="O49" s="27" t="inlineStr">
        <is>
          <t>ATTRACTIVE</t>
        </is>
      </c>
      <c r="P49" s="27" t="inlineStr">
        <is>
          <t>가치 매력</t>
        </is>
      </c>
      <c r="Q49" s="27" t="inlineStr">
        <is>
          <t>ATTRACTIVE</t>
        </is>
      </c>
      <c r="R49" s="27" t="inlineStr">
        <is>
          <t>0.9526864248076319</t>
        </is>
      </c>
      <c r="S49" s="27" t="inlineStr">
        <is>
          <t>HIGH</t>
        </is>
      </c>
      <c r="T49" s="27" t="inlineStr">
        <is>
          <t>HIGH</t>
        </is>
      </c>
      <c r="U49" s="27" t="inlineStr">
        <is>
          <t>0.0714285714285714</t>
        </is>
      </c>
      <c r="V49" s="27" t="inlineStr">
        <is>
          <t>LOW_RISK</t>
        </is>
      </c>
      <c r="W49" s="27" t="inlineStr">
        <is>
          <t>저위험</t>
        </is>
      </c>
      <c r="X49" s="27" t="inlineStr">
        <is>
          <t>LOW_RISK</t>
        </is>
      </c>
      <c r="Y49" s="27" t="inlineStr">
        <is>
          <t>0.869939352370702</t>
        </is>
      </c>
      <c r="Z49" s="27" t="inlineStr">
        <is>
          <t>HIGH</t>
        </is>
      </c>
      <c r="AA49" s="27" t="inlineStr">
        <is>
          <t>HIGH</t>
        </is>
      </c>
      <c r="AB49" s="27" t="inlineStr">
        <is>
          <t>0.10286671144812394</t>
        </is>
      </c>
      <c r="AC49" s="27" t="inlineStr">
        <is>
          <t>False</t>
        </is>
      </c>
      <c r="AD49" s="27" t="inlineStr">
        <is>
          <t>False</t>
        </is>
      </c>
      <c r="AE49" s="27" t="inlineStr">
        <is>
          <t>valuation_credit_ml_overlay_candidate.csv</t>
        </is>
      </c>
      <c r="AF49" s="27" t="inlineStr">
        <is>
          <t>208개 반도체 reference universe. Valuation Agent가 자체 intake 폴더로 복제해 Peer/ML/대시보드 비교에 사용.</t>
        </is>
      </c>
      <c r="AG49" s="27" t="inlineStr">
        <is>
          <t>TOP_REFERENCE</t>
        </is>
      </c>
      <c r="AH49" s="27" t="inlineStr">
        <is>
          <t>False</t>
        </is>
      </c>
    </row>
    <row r="50" ht="24" customHeight="1">
      <c r="A50" s="32" t="inlineStr">
        <is>
          <t>165</t>
        </is>
      </c>
      <c r="B50" s="32" t="inlineStr">
        <is>
          <t>해당 없음</t>
        </is>
      </c>
      <c r="C50" s="32" t="inlineStr">
        <is>
          <t>미래산업</t>
        </is>
      </c>
      <c r="D50" s="32" t="inlineStr">
        <is>
          <t>025560</t>
        </is>
      </c>
      <c r="E50" s="32" t="inlineStr">
        <is>
          <t>KOSPI</t>
        </is>
      </c>
      <c r="F50" s="32" t="inlineStr">
        <is>
          <t>후공정/패키징/테스트</t>
        </is>
      </c>
      <c r="G50" s="32" t="inlineStr">
        <is>
          <t>후공정/패키징/테스트</t>
        </is>
      </c>
      <c r="H50" s="32" t="inlineStr">
        <is>
          <t>False</t>
        </is>
      </c>
      <c r="I50" s="32" t="inlineStr">
        <is>
          <t>True</t>
        </is>
      </c>
      <c r="J50" s="32" t="inlineStr">
        <is>
          <t>OK</t>
        </is>
      </c>
      <c r="K50" s="32" t="inlineStr">
        <is>
          <t>데이터 사용 가능</t>
        </is>
      </c>
      <c r="L50" s="32" t="inlineStr">
        <is>
          <t>LOW</t>
        </is>
      </c>
      <c r="M50" s="32" t="inlineStr">
        <is>
          <t>LOW</t>
        </is>
      </c>
      <c r="N50" s="32" t="inlineStr">
        <is>
          <t>0.7748148148148148</t>
        </is>
      </c>
      <c r="O50" s="32" t="inlineStr">
        <is>
          <t>FAIR</t>
        </is>
      </c>
      <c r="P50" s="32" t="inlineStr">
        <is>
          <t>FAIR</t>
        </is>
      </c>
      <c r="Q50" s="32" t="inlineStr">
        <is>
          <t>FAIR</t>
        </is>
      </c>
      <c r="R50" s="32" t="inlineStr">
        <is>
          <t>0.883291104654336</t>
        </is>
      </c>
      <c r="S50" s="32" t="inlineStr">
        <is>
          <t>HIGH</t>
        </is>
      </c>
      <c r="T50" s="32" t="inlineStr">
        <is>
          <t>HIGH</t>
        </is>
      </c>
      <c r="U50" s="32" t="inlineStr">
        <is>
          <t>0.2857142857142857</t>
        </is>
      </c>
      <c r="V50" s="32" t="inlineStr">
        <is>
          <t>MEDIUM_RISK</t>
        </is>
      </c>
      <c r="W50" s="32" t="inlineStr">
        <is>
          <t>중위험</t>
        </is>
      </c>
      <c r="X50" s="32" t="inlineStr">
        <is>
          <t>MEDIUM_RISK</t>
        </is>
      </c>
      <c r="Y50" s="32" t="inlineStr">
        <is>
          <t>0.695536763680257</t>
        </is>
      </c>
      <c r="Z50" s="32" t="inlineStr">
        <is>
          <t>MEDIUM</t>
        </is>
      </c>
      <c r="AA50" s="32" t="inlineStr">
        <is>
          <t>MEDIUM</t>
        </is>
      </c>
      <c r="AB50" s="32" t="inlineStr">
        <is>
          <t>0.08100242357773374</t>
        </is>
      </c>
      <c r="AC50" s="32" t="inlineStr">
        <is>
          <t>False</t>
        </is>
      </c>
      <c r="AD50" s="32" t="inlineStr">
        <is>
          <t>False</t>
        </is>
      </c>
      <c r="AE50" s="32" t="inlineStr">
        <is>
          <t>valuation_credit_ml_overlay_candidate.csv</t>
        </is>
      </c>
      <c r="AF50" s="32" t="inlineStr">
        <is>
          <t>208개 반도체 reference universe. Valuation Agent가 자체 intake 폴더로 복제해 Peer/ML/대시보드 비교에 사용.</t>
        </is>
      </c>
      <c r="AG50" s="32" t="inlineStr">
        <is>
          <t>TOP_REFERENCE</t>
        </is>
      </c>
      <c r="AH50" s="32" t="inlineStr">
        <is>
          <t>False</t>
        </is>
      </c>
    </row>
    <row r="51" ht="24" customHeight="1">
      <c r="A51" s="27" t="inlineStr">
        <is>
          <t>10</t>
        </is>
      </c>
      <c r="B51" s="27" t="inlineStr">
        <is>
          <t>해당 없음</t>
        </is>
      </c>
      <c r="C51" s="27" t="inlineStr">
        <is>
          <t>미코</t>
        </is>
      </c>
      <c r="D51" s="27" t="inlineStr">
        <is>
          <t>059090</t>
        </is>
      </c>
      <c r="E51" s="27" t="inlineStr">
        <is>
          <t>KOSDAQ</t>
        </is>
      </c>
      <c r="F51" s="27" t="inlineStr">
        <is>
          <t>IDM/제조/메모리</t>
        </is>
      </c>
      <c r="G51" s="27" t="inlineStr">
        <is>
          <t>IDM/제조/메모리</t>
        </is>
      </c>
      <c r="H51" s="27" t="inlineStr">
        <is>
          <t>False</t>
        </is>
      </c>
      <c r="I51" s="27" t="inlineStr">
        <is>
          <t>True</t>
        </is>
      </c>
      <c r="J51" s="27" t="inlineStr">
        <is>
          <t>OK</t>
        </is>
      </c>
      <c r="K51" s="27" t="inlineStr">
        <is>
          <t>데이터 사용 가능</t>
        </is>
      </c>
      <c r="L51" s="27" t="inlineStr">
        <is>
          <t>LOW</t>
        </is>
      </c>
      <c r="M51" s="27" t="inlineStr">
        <is>
          <t>LOW</t>
        </is>
      </c>
      <c r="N51" s="27" t="inlineStr">
        <is>
          <t>0.7733333333333334</t>
        </is>
      </c>
      <c r="O51" s="27" t="inlineStr">
        <is>
          <t>FAIR</t>
        </is>
      </c>
      <c r="P51" s="27" t="inlineStr">
        <is>
          <t>FAIR</t>
        </is>
      </c>
      <c r="Q51" s="27" t="inlineStr">
        <is>
          <t>FAIR</t>
        </is>
      </c>
      <c r="R51" s="27" t="inlineStr">
        <is>
          <t>0.9066669659525092</t>
        </is>
      </c>
      <c r="S51" s="27" t="inlineStr">
        <is>
          <t>HIGH</t>
        </is>
      </c>
      <c r="T51" s="27" t="inlineStr">
        <is>
          <t>HIGH</t>
        </is>
      </c>
      <c r="U51" s="27" t="inlineStr">
        <is>
          <t>0.2142857142857142</t>
        </is>
      </c>
      <c r="V51" s="27" t="inlineStr">
        <is>
          <t>MEDIUM_RISK</t>
        </is>
      </c>
      <c r="W51" s="27" t="inlineStr">
        <is>
          <t>중위험</t>
        </is>
      </c>
      <c r="X51" s="27" t="inlineStr">
        <is>
          <t>MEDIUM_RISK</t>
        </is>
      </c>
      <c r="Y51" s="27" t="inlineStr">
        <is>
          <t>0.6769145960065608</t>
        </is>
      </c>
      <c r="Z51" s="27" t="inlineStr">
        <is>
          <t>MEDIUM</t>
        </is>
      </c>
      <c r="AA51" s="27" t="inlineStr">
        <is>
          <t>MEDIUM</t>
        </is>
      </c>
      <c r="AB51" s="27" t="inlineStr">
        <is>
          <t>0.10646038380774528</t>
        </is>
      </c>
      <c r="AC51" s="27" t="inlineStr">
        <is>
          <t>False</t>
        </is>
      </c>
      <c r="AD51" s="27" t="inlineStr">
        <is>
          <t>False</t>
        </is>
      </c>
      <c r="AE51" s="27" t="inlineStr">
        <is>
          <t>valuation_credit_ml_overlay_candidate.csv</t>
        </is>
      </c>
      <c r="AF51" s="27" t="inlineStr">
        <is>
          <t>208개 반도체 reference universe. Valuation Agent가 자체 intake 폴더로 복제해 Peer/ML/대시보드 비교에 사용.</t>
        </is>
      </c>
      <c r="AG51" s="27" t="inlineStr">
        <is>
          <t>TOP_REFERENCE</t>
        </is>
      </c>
      <c r="AH51" s="27" t="inlineStr">
        <is>
          <t>False</t>
        </is>
      </c>
    </row>
    <row r="52" ht="24" customHeight="1">
      <c r="A52" s="32" t="inlineStr">
        <is>
          <t>163</t>
        </is>
      </c>
      <c r="B52" s="32" t="inlineStr">
        <is>
          <t>해당 없음</t>
        </is>
      </c>
      <c r="C52" s="32" t="inlineStr">
        <is>
          <t>링크제니시스</t>
        </is>
      </c>
      <c r="D52" s="32" t="inlineStr">
        <is>
          <t>219420</t>
        </is>
      </c>
      <c r="E52" s="32" t="inlineStr">
        <is>
          <t>KOSDAQ</t>
        </is>
      </c>
      <c r="F52" s="32" t="inlineStr">
        <is>
          <t>후공정/패키징/테스트</t>
        </is>
      </c>
      <c r="G52" s="32" t="inlineStr">
        <is>
          <t>후공정/패키징/테스트</t>
        </is>
      </c>
      <c r="H52" s="32" t="inlineStr">
        <is>
          <t>False</t>
        </is>
      </c>
      <c r="I52" s="32" t="inlineStr">
        <is>
          <t>True</t>
        </is>
      </c>
      <c r="J52" s="32" t="inlineStr">
        <is>
          <t>OK</t>
        </is>
      </c>
      <c r="K52" s="32" t="inlineStr">
        <is>
          <t>데이터 사용 가능</t>
        </is>
      </c>
      <c r="L52" s="32" t="inlineStr">
        <is>
          <t>LOW</t>
        </is>
      </c>
      <c r="M52" s="32" t="inlineStr">
        <is>
          <t>LOW</t>
        </is>
      </c>
      <c r="N52" s="32" t="inlineStr">
        <is>
          <t>0.7522962962962964</t>
        </is>
      </c>
      <c r="O52" s="32" t="inlineStr">
        <is>
          <t>ATTRACTIVE</t>
        </is>
      </c>
      <c r="P52" s="32" t="inlineStr">
        <is>
          <t>가치 매력</t>
        </is>
      </c>
      <c r="Q52" s="32" t="inlineStr">
        <is>
          <t>ATTRACTIVE</t>
        </is>
      </c>
      <c r="R52" s="32" t="inlineStr">
        <is>
          <t>0.8724992666433111</t>
        </is>
      </c>
      <c r="S52" s="32" t="inlineStr">
        <is>
          <t>HIGH</t>
        </is>
      </c>
      <c r="T52" s="32" t="inlineStr">
        <is>
          <t>HIGH</t>
        </is>
      </c>
      <c r="U52" s="32" t="inlineStr">
        <is>
          <t>0.0714285714285714</t>
        </is>
      </c>
      <c r="V52" s="32" t="inlineStr">
        <is>
          <t>LOW_RISK</t>
        </is>
      </c>
      <c r="W52" s="32" t="inlineStr">
        <is>
          <t>저위험</t>
        </is>
      </c>
      <c r="X52" s="32" t="inlineStr">
        <is>
          <t>LOW_RISK</t>
        </is>
      </c>
      <c r="Y52" s="32" t="inlineStr">
        <is>
          <t>0.8663667518810074</t>
        </is>
      </c>
      <c r="Z52" s="32" t="inlineStr">
        <is>
          <t>HIGH</t>
        </is>
      </c>
      <c r="AA52" s="32" t="inlineStr">
        <is>
          <t>HIGH</t>
        </is>
      </c>
      <c r="AB52" s="32" t="inlineStr">
        <is>
          <t>0.1247344063934745</t>
        </is>
      </c>
      <c r="AC52" s="32" t="inlineStr">
        <is>
          <t>False</t>
        </is>
      </c>
      <c r="AD52" s="32" t="inlineStr">
        <is>
          <t>False</t>
        </is>
      </c>
      <c r="AE52" s="32" t="inlineStr">
        <is>
          <t>valuation_credit_ml_overlay_candidate.csv</t>
        </is>
      </c>
      <c r="AF52" s="32" t="inlineStr">
        <is>
          <t>208개 반도체 reference universe. Valuation Agent가 자체 intake 폴더로 복제해 Peer/ML/대시보드 비교에 사용.</t>
        </is>
      </c>
      <c r="AG52" s="32" t="inlineStr">
        <is>
          <t>TOP_REFERENCE</t>
        </is>
      </c>
      <c r="AH52" s="32" t="inlineStr">
        <is>
          <t>False</t>
        </is>
      </c>
    </row>
    <row r="53" ht="24" customHeight="1">
      <c r="A53" s="27" t="inlineStr">
        <is>
          <t>22</t>
        </is>
      </c>
      <c r="B53" s="27" t="inlineStr">
        <is>
          <t>해당 없음</t>
        </is>
      </c>
      <c r="C53" s="27" t="inlineStr">
        <is>
          <t>엘디티</t>
        </is>
      </c>
      <c r="D53" s="27" t="inlineStr">
        <is>
          <t>096870</t>
        </is>
      </c>
      <c r="E53" s="27" t="inlineStr">
        <is>
          <t>KOSDAQ</t>
        </is>
      </c>
      <c r="F53" s="27" t="inlineStr">
        <is>
          <t>IDM/제조/메모리</t>
        </is>
      </c>
      <c r="G53" s="27" t="inlineStr">
        <is>
          <t>IDM/제조/메모리</t>
        </is>
      </c>
      <c r="H53" s="27" t="inlineStr">
        <is>
          <t>False</t>
        </is>
      </c>
      <c r="I53" s="27" t="inlineStr">
        <is>
          <t>True</t>
        </is>
      </c>
      <c r="J53" s="27" t="inlineStr">
        <is>
          <t>OK</t>
        </is>
      </c>
      <c r="K53" s="27" t="inlineStr">
        <is>
          <t>데이터 사용 가능</t>
        </is>
      </c>
      <c r="L53" s="27" t="inlineStr">
        <is>
          <t>LOW</t>
        </is>
      </c>
      <c r="M53" s="27" t="inlineStr">
        <is>
          <t>LOW</t>
        </is>
      </c>
      <c r="N53" s="27" t="inlineStr">
        <is>
          <t>0.7518333333333332</t>
        </is>
      </c>
      <c r="O53" s="27" t="inlineStr">
        <is>
          <t>ATTRACTIVE</t>
        </is>
      </c>
      <c r="P53" s="27" t="inlineStr">
        <is>
          <t>가치 매력</t>
        </is>
      </c>
      <c r="Q53" s="27" t="inlineStr">
        <is>
          <t>ATTRACTIVE</t>
        </is>
      </c>
      <c r="R53" s="27" t="inlineStr">
        <is>
          <t>0.8817908899004964</t>
        </is>
      </c>
      <c r="S53" s="27" t="inlineStr">
        <is>
          <t>HIGH</t>
        </is>
      </c>
      <c r="T53" s="27" t="inlineStr">
        <is>
          <t>HIGH</t>
        </is>
      </c>
      <c r="U53" s="27" t="inlineStr">
        <is>
          <t>0.0714285714285714</t>
        </is>
      </c>
      <c r="V53" s="27" t="inlineStr">
        <is>
          <t>LOW_RISK</t>
        </is>
      </c>
      <c r="W53" s="27" t="inlineStr">
        <is>
          <t>저위험</t>
        </is>
      </c>
      <c r="X53" s="27" t="inlineStr">
        <is>
          <t>LOW_RISK</t>
        </is>
      </c>
      <c r="Y53" s="27" t="inlineStr">
        <is>
          <t>0.8068970516192283</t>
        </is>
      </c>
      <c r="Z53" s="27" t="inlineStr">
        <is>
          <t>HIGH</t>
        </is>
      </c>
      <c r="AA53" s="27" t="inlineStr">
        <is>
          <t>HIGH</t>
        </is>
      </c>
      <c r="AB53" s="27" t="inlineStr">
        <is>
          <t>0.2312715560027526</t>
        </is>
      </c>
      <c r="AC53" s="27" t="inlineStr">
        <is>
          <t>False</t>
        </is>
      </c>
      <c r="AD53" s="27" t="inlineStr">
        <is>
          <t>False</t>
        </is>
      </c>
      <c r="AE53" s="27" t="inlineStr">
        <is>
          <t>valuation_credit_ml_overlay_candidate.csv</t>
        </is>
      </c>
      <c r="AF53" s="27" t="inlineStr">
        <is>
          <t>208개 반도체 reference universe. Valuation Agent가 자체 intake 폴더로 복제해 Peer/ML/대시보드 비교에 사용.</t>
        </is>
      </c>
      <c r="AG53" s="27" t="inlineStr">
        <is>
          <t>TOP_REFERENCE</t>
        </is>
      </c>
      <c r="AH53" s="27" t="inlineStr">
        <is>
          <t>False</t>
        </is>
      </c>
    </row>
    <row r="54" ht="24" customHeight="1">
      <c r="A54" s="32" t="inlineStr">
        <is>
          <t>65</t>
        </is>
      </c>
      <c r="B54" s="32" t="inlineStr">
        <is>
          <t>해당 없음</t>
        </is>
      </c>
      <c r="C54" s="32" t="inlineStr">
        <is>
          <t>유니트론텍</t>
        </is>
      </c>
      <c r="D54" s="32" t="inlineStr">
        <is>
          <t>142210</t>
        </is>
      </c>
      <c r="E54" s="32" t="inlineStr">
        <is>
          <t>KOSDAQ</t>
        </is>
      </c>
      <c r="F54" s="32" t="inlineStr">
        <is>
          <t>팹리스/설계</t>
        </is>
      </c>
      <c r="G54" s="32" t="inlineStr">
        <is>
          <t>팹리스/설계</t>
        </is>
      </c>
      <c r="H54" s="32" t="inlineStr">
        <is>
          <t>False</t>
        </is>
      </c>
      <c r="I54" s="32" t="inlineStr">
        <is>
          <t>True</t>
        </is>
      </c>
      <c r="J54" s="32" t="inlineStr">
        <is>
          <t>OK</t>
        </is>
      </c>
      <c r="K54" s="32" t="inlineStr">
        <is>
          <t>데이터 사용 가능</t>
        </is>
      </c>
      <c r="L54" s="32" t="inlineStr">
        <is>
          <t>LOW</t>
        </is>
      </c>
      <c r="M54" s="32" t="inlineStr">
        <is>
          <t>LOW</t>
        </is>
      </c>
      <c r="N54" s="32" t="inlineStr">
        <is>
          <t>0.7478787878787879</t>
        </is>
      </c>
      <c r="O54" s="32" t="inlineStr">
        <is>
          <t>FAIR</t>
        </is>
      </c>
      <c r="P54" s="32" t="inlineStr">
        <is>
          <t>FAIR</t>
        </is>
      </c>
      <c r="Q54" s="32" t="inlineStr">
        <is>
          <t>FAIR</t>
        </is>
      </c>
      <c r="R54" s="32" t="inlineStr">
        <is>
          <t>0.8593164302034415</t>
        </is>
      </c>
      <c r="S54" s="32" t="inlineStr">
        <is>
          <t>HIGH</t>
        </is>
      </c>
      <c r="T54" s="32" t="inlineStr">
        <is>
          <t>HIGH</t>
        </is>
      </c>
      <c r="U54" s="32" t="inlineStr">
        <is>
          <t>0.3571428571428571</t>
        </is>
      </c>
      <c r="V54" s="32" t="inlineStr">
        <is>
          <t>MEDIUM_RISK</t>
        </is>
      </c>
      <c r="W54" s="32" t="inlineStr">
        <is>
          <t>중위험</t>
        </is>
      </c>
      <c r="X54" s="32" t="inlineStr">
        <is>
          <t>MEDIUM_RISK</t>
        </is>
      </c>
      <c r="Y54" s="32" t="inlineStr">
        <is>
          <t>0.6687746551665015</t>
        </is>
      </c>
      <c r="Z54" s="32" t="inlineStr">
        <is>
          <t>MEDIUM</t>
        </is>
      </c>
      <c r="AA54" s="32" t="inlineStr">
        <is>
          <t>MEDIUM</t>
        </is>
      </c>
      <c r="AB54" s="32" t="inlineStr">
        <is>
          <t>0.05354194050015521</t>
        </is>
      </c>
      <c r="AC54" s="32" t="inlineStr">
        <is>
          <t>False</t>
        </is>
      </c>
      <c r="AD54" s="32" t="inlineStr">
        <is>
          <t>False</t>
        </is>
      </c>
      <c r="AE54" s="32" t="inlineStr">
        <is>
          <t>valuation_credit_ml_overlay_candidate.csv</t>
        </is>
      </c>
      <c r="AF54" s="32" t="inlineStr">
        <is>
          <t>208개 반도체 reference universe. Valuation Agent가 자체 intake 폴더로 복제해 Peer/ML/대시보드 비교에 사용.</t>
        </is>
      </c>
      <c r="AG54" s="32" t="inlineStr">
        <is>
          <t>TOP_REFERENCE</t>
        </is>
      </c>
      <c r="AH54" s="32" t="inlineStr">
        <is>
          <t>False</t>
        </is>
      </c>
    </row>
    <row r="55" ht="24" customHeight="1">
      <c r="A55" s="27" t="inlineStr">
        <is>
          <t>9</t>
        </is>
      </c>
      <c r="B55" s="27" t="inlineStr">
        <is>
          <t>해당 없음</t>
        </is>
      </c>
      <c r="C55" s="27" t="inlineStr">
        <is>
          <t>메카로</t>
        </is>
      </c>
      <c r="D55" s="27" t="inlineStr">
        <is>
          <t>241770</t>
        </is>
      </c>
      <c r="E55" s="27" t="inlineStr">
        <is>
          <t>KOSDAQ</t>
        </is>
      </c>
      <c r="F55" s="27" t="inlineStr">
        <is>
          <t>IDM/제조/메모리</t>
        </is>
      </c>
      <c r="G55" s="27" t="inlineStr">
        <is>
          <t>IDM/제조/메모리</t>
        </is>
      </c>
      <c r="H55" s="27" t="inlineStr">
        <is>
          <t>False</t>
        </is>
      </c>
      <c r="I55" s="27" t="inlineStr">
        <is>
          <t>True</t>
        </is>
      </c>
      <c r="J55" s="27" t="inlineStr">
        <is>
          <t>OK</t>
        </is>
      </c>
      <c r="K55" s="27" t="inlineStr">
        <is>
          <t>데이터 사용 가능</t>
        </is>
      </c>
      <c r="L55" s="27" t="inlineStr">
        <is>
          <t>LOW</t>
        </is>
      </c>
      <c r="M55" s="27" t="inlineStr">
        <is>
          <t>LOW</t>
        </is>
      </c>
      <c r="N55" s="27" t="inlineStr">
        <is>
          <t>0.7476666666666667</t>
        </is>
      </c>
      <c r="O55" s="27" t="inlineStr">
        <is>
          <t>ATTRACTIVE</t>
        </is>
      </c>
      <c r="P55" s="27" t="inlineStr">
        <is>
          <t>가치 매력</t>
        </is>
      </c>
      <c r="Q55" s="27" t="inlineStr">
        <is>
          <t>ATTRACTIVE</t>
        </is>
      </c>
      <c r="R55" s="27" t="inlineStr">
        <is>
          <t>0.9154158498128573</t>
        </is>
      </c>
      <c r="S55" s="27" t="inlineStr">
        <is>
          <t>HIGH</t>
        </is>
      </c>
      <c r="T55" s="27" t="inlineStr">
        <is>
          <t>HIGH</t>
        </is>
      </c>
      <c r="U55" s="27" t="inlineStr">
        <is>
          <t>0.0</t>
        </is>
      </c>
      <c r="V55" s="27" t="inlineStr">
        <is>
          <t>LOW_RISK</t>
        </is>
      </c>
      <c r="W55" s="27" t="inlineStr">
        <is>
          <t>저위험</t>
        </is>
      </c>
      <c r="X55" s="27" t="inlineStr">
        <is>
          <t>LOW_RISK</t>
        </is>
      </c>
      <c r="Y55" s="27" t="inlineStr">
        <is>
          <t>0.9196609311939408</t>
        </is>
      </c>
      <c r="Z55" s="27" t="inlineStr">
        <is>
          <t>HIGH</t>
        </is>
      </c>
      <c r="AA55" s="27" t="inlineStr">
        <is>
          <t>HIGH</t>
        </is>
      </c>
      <c r="AB55" s="27" t="inlineStr">
        <is>
          <t>0.12775877727770685</t>
        </is>
      </c>
      <c r="AC55" s="27" t="inlineStr">
        <is>
          <t>False</t>
        </is>
      </c>
      <c r="AD55" s="27" t="inlineStr">
        <is>
          <t>False</t>
        </is>
      </c>
      <c r="AE55" s="27" t="inlineStr">
        <is>
          <t>valuation_credit_ml_overlay_candidate.csv</t>
        </is>
      </c>
      <c r="AF55" s="27" t="inlineStr">
        <is>
          <t>208개 반도체 reference universe. Valuation Agent가 자체 intake 폴더로 복제해 Peer/ML/대시보드 비교에 사용.</t>
        </is>
      </c>
      <c r="AG55" s="27" t="inlineStr">
        <is>
          <t>TOP_REFERENCE</t>
        </is>
      </c>
      <c r="AH55" s="27" t="inlineStr">
        <is>
          <t>False</t>
        </is>
      </c>
    </row>
    <row r="56" ht="24" customHeight="1">
      <c r="A56" s="32" t="inlineStr">
        <is>
          <t>60</t>
        </is>
      </c>
      <c r="B56" s="32" t="inlineStr">
        <is>
          <t>해당 없음</t>
        </is>
      </c>
      <c r="C56" s="32" t="inlineStr">
        <is>
          <t>앤씨앤</t>
        </is>
      </c>
      <c r="D56" s="32" t="inlineStr">
        <is>
          <t>092600</t>
        </is>
      </c>
      <c r="E56" s="32" t="inlineStr">
        <is>
          <t>KOSDAQ</t>
        </is>
      </c>
      <c r="F56" s="32" t="inlineStr">
        <is>
          <t>팹리스/설계</t>
        </is>
      </c>
      <c r="G56" s="32" t="inlineStr">
        <is>
          <t>팹리스/설계</t>
        </is>
      </c>
      <c r="H56" s="32" t="inlineStr">
        <is>
          <t>False</t>
        </is>
      </c>
      <c r="I56" s="32" t="inlineStr">
        <is>
          <t>True</t>
        </is>
      </c>
      <c r="J56" s="32" t="inlineStr">
        <is>
          <t>OK</t>
        </is>
      </c>
      <c r="K56" s="32" t="inlineStr">
        <is>
          <t>데이터 사용 가능</t>
        </is>
      </c>
      <c r="L56" s="32" t="inlineStr">
        <is>
          <t>LOW</t>
        </is>
      </c>
      <c r="M56" s="32" t="inlineStr">
        <is>
          <t>LOW</t>
        </is>
      </c>
      <c r="N56" s="32" t="inlineStr">
        <is>
          <t>0.7450505050505051</t>
        </is>
      </c>
      <c r="O56" s="32" t="inlineStr">
        <is>
          <t>FAIR</t>
        </is>
      </c>
      <c r="P56" s="32" t="inlineStr">
        <is>
          <t>FAIR</t>
        </is>
      </c>
      <c r="Q56" s="32" t="inlineStr">
        <is>
          <t>FAIR</t>
        </is>
      </c>
      <c r="R56" s="32" t="inlineStr">
        <is>
          <t>0.8450252323777523</t>
        </is>
      </c>
      <c r="S56" s="32" t="inlineStr">
        <is>
          <t>HIGH</t>
        </is>
      </c>
      <c r="T56" s="32" t="inlineStr">
        <is>
          <t>HIGH</t>
        </is>
      </c>
      <c r="U56" s="32" t="inlineStr">
        <is>
          <t>0.5</t>
        </is>
      </c>
      <c r="V56" s="32" t="inlineStr">
        <is>
          <t>HIGH_RISK</t>
        </is>
      </c>
      <c r="W56" s="32" t="inlineStr">
        <is>
          <t>고위험</t>
        </is>
      </c>
      <c r="X56" s="32" t="inlineStr">
        <is>
          <t>HIGH_RISK</t>
        </is>
      </c>
      <c r="Y56" s="32" t="inlineStr">
        <is>
          <t>0.6852720703017778</t>
        </is>
      </c>
      <c r="Z56" s="32" t="inlineStr">
        <is>
          <t>MEDIUM</t>
        </is>
      </c>
      <c r="AA56" s="32" t="inlineStr">
        <is>
          <t>MEDIUM</t>
        </is>
      </c>
      <c r="AB56" s="32" t="inlineStr">
        <is>
          <t>0.05126917274476802</t>
        </is>
      </c>
      <c r="AC56" s="32" t="inlineStr">
        <is>
          <t>False</t>
        </is>
      </c>
      <c r="AD56" s="32" t="inlineStr">
        <is>
          <t>False</t>
        </is>
      </c>
      <c r="AE56" s="32" t="inlineStr">
        <is>
          <t>valuation_credit_ml_overlay_candidate.csv</t>
        </is>
      </c>
      <c r="AF56" s="32" t="inlineStr">
        <is>
          <t>208개 반도체 reference universe. Valuation Agent가 자체 intake 폴더로 복제해 Peer/ML/대시보드 비교에 사용.</t>
        </is>
      </c>
      <c r="AG56" s="32" t="inlineStr">
        <is>
          <t>TOP_REFERENCE</t>
        </is>
      </c>
      <c r="AH56" s="32" t="inlineStr">
        <is>
          <t>False</t>
        </is>
      </c>
    </row>
    <row r="57" ht="24" customHeight="1">
      <c r="A57" s="27" t="inlineStr">
        <is>
          <t>47</t>
        </is>
      </c>
      <c r="B57" s="27" t="inlineStr">
        <is>
          <t>해당 없음</t>
        </is>
      </c>
      <c r="C57" s="27" t="inlineStr">
        <is>
          <t>마이크로컨텍솔</t>
        </is>
      </c>
      <c r="D57" s="27" t="inlineStr">
        <is>
          <t>098120</t>
        </is>
      </c>
      <c r="E57" s="27" t="inlineStr">
        <is>
          <t>KOSDAQ</t>
        </is>
      </c>
      <c r="F57" s="27" t="inlineStr">
        <is>
          <t>팹리스/설계</t>
        </is>
      </c>
      <c r="G57" s="27" t="inlineStr">
        <is>
          <t>팹리스/설계</t>
        </is>
      </c>
      <c r="H57" s="27" t="inlineStr">
        <is>
          <t>False</t>
        </is>
      </c>
      <c r="I57" s="27" t="inlineStr">
        <is>
          <t>True</t>
        </is>
      </c>
      <c r="J57" s="27" t="inlineStr">
        <is>
          <t>OK</t>
        </is>
      </c>
      <c r="K57" s="27" t="inlineStr">
        <is>
          <t>데이터 사용 가능</t>
        </is>
      </c>
      <c r="L57" s="27" t="inlineStr">
        <is>
          <t>LOW</t>
        </is>
      </c>
      <c r="M57" s="27" t="inlineStr">
        <is>
          <t>LOW</t>
        </is>
      </c>
      <c r="N57" s="27" t="inlineStr">
        <is>
          <t>0.7383838383838384</t>
        </is>
      </c>
      <c r="O57" s="27" t="inlineStr">
        <is>
          <t>ATTRACTIVE</t>
        </is>
      </c>
      <c r="P57" s="27" t="inlineStr">
        <is>
          <t>가치 매력</t>
        </is>
      </c>
      <c r="Q57" s="27" t="inlineStr">
        <is>
          <t>ATTRACTIVE</t>
        </is>
      </c>
      <c r="R57" s="27" t="inlineStr">
        <is>
          <t>0.8262966149459129</t>
        </is>
      </c>
      <c r="S57" s="27" t="inlineStr">
        <is>
          <t>HIGH</t>
        </is>
      </c>
      <c r="T57" s="27" t="inlineStr">
        <is>
          <t>HIGH</t>
        </is>
      </c>
      <c r="U57" s="27" t="inlineStr">
        <is>
          <t>0.1428571428571428</t>
        </is>
      </c>
      <c r="V57" s="27" t="inlineStr">
        <is>
          <t>LOW_RISK</t>
        </is>
      </c>
      <c r="W57" s="27" t="inlineStr">
        <is>
          <t>저위험</t>
        </is>
      </c>
      <c r="X57" s="27" t="inlineStr">
        <is>
          <t>LOW_RISK</t>
        </is>
      </c>
      <c r="Y57" s="27" t="inlineStr">
        <is>
          <t>0.7491981695245683</t>
        </is>
      </c>
      <c r="Z57" s="27" t="inlineStr">
        <is>
          <t>HIGH</t>
        </is>
      </c>
      <c r="AA57" s="27" t="inlineStr">
        <is>
          <t>HIGH</t>
        </is>
      </c>
      <c r="AB57" s="27" t="inlineStr">
        <is>
          <t>0.08427857084894262</t>
        </is>
      </c>
      <c r="AC57" s="27" t="inlineStr">
        <is>
          <t>False</t>
        </is>
      </c>
      <c r="AD57" s="27" t="inlineStr">
        <is>
          <t>False</t>
        </is>
      </c>
      <c r="AE57" s="27" t="inlineStr">
        <is>
          <t>valuation_credit_ml_overlay_candidate.csv</t>
        </is>
      </c>
      <c r="AF57" s="27" t="inlineStr">
        <is>
          <t>208개 반도체 reference universe. Valuation Agent가 자체 intake 폴더로 복제해 Peer/ML/대시보드 비교에 사용.</t>
        </is>
      </c>
      <c r="AG57" s="27" t="inlineStr">
        <is>
          <t>TOP_REFERENCE</t>
        </is>
      </c>
      <c r="AH57" s="27" t="inlineStr">
        <is>
          <t>False</t>
        </is>
      </c>
    </row>
    <row r="58" ht="24" customHeight="1">
      <c r="A58" s="32" t="inlineStr">
        <is>
          <t>189</t>
        </is>
      </c>
      <c r="B58" s="32" t="inlineStr">
        <is>
          <t>해당 없음</t>
        </is>
      </c>
      <c r="C58" s="32" t="inlineStr">
        <is>
          <t>프로텍</t>
        </is>
      </c>
      <c r="D58" s="32" t="inlineStr">
        <is>
          <t>053610</t>
        </is>
      </c>
      <c r="E58" s="32" t="inlineStr">
        <is>
          <t>KOSDAQ</t>
        </is>
      </c>
      <c r="F58" s="32" t="inlineStr">
        <is>
          <t>후공정/패키징/테스트</t>
        </is>
      </c>
      <c r="G58" s="32" t="inlineStr">
        <is>
          <t>후공정/패키징/테스트</t>
        </is>
      </c>
      <c r="H58" s="32" t="inlineStr">
        <is>
          <t>False</t>
        </is>
      </c>
      <c r="I58" s="32" t="inlineStr">
        <is>
          <t>True</t>
        </is>
      </c>
      <c r="J58" s="32" t="inlineStr">
        <is>
          <t>OK</t>
        </is>
      </c>
      <c r="K58" s="32" t="inlineStr">
        <is>
          <t>데이터 사용 가능</t>
        </is>
      </c>
      <c r="L58" s="32" t="inlineStr">
        <is>
          <t>LOW</t>
        </is>
      </c>
      <c r="M58" s="32" t="inlineStr">
        <is>
          <t>LOW</t>
        </is>
      </c>
      <c r="N58" s="32" t="inlineStr">
        <is>
          <t>0.7342222222222222</t>
        </is>
      </c>
      <c r="O58" s="32" t="inlineStr">
        <is>
          <t>FAIR</t>
        </is>
      </c>
      <c r="P58" s="32" t="inlineStr">
        <is>
          <t>FAIR</t>
        </is>
      </c>
      <c r="Q58" s="32" t="inlineStr">
        <is>
          <t>FAIR</t>
        </is>
      </c>
      <c r="R58" s="32" t="inlineStr">
        <is>
          <t>0.8971257561900263</t>
        </is>
      </c>
      <c r="S58" s="32" t="inlineStr">
        <is>
          <t>HIGH</t>
        </is>
      </c>
      <c r="T58" s="32" t="inlineStr">
        <is>
          <t>HIGH</t>
        </is>
      </c>
      <c r="U58" s="32" t="inlineStr">
        <is>
          <t>0.0714285714285714</t>
        </is>
      </c>
      <c r="V58" s="32" t="inlineStr">
        <is>
          <t>LOW_RISK</t>
        </is>
      </c>
      <c r="W58" s="32" t="inlineStr">
        <is>
          <t>저위험</t>
        </is>
      </c>
      <c r="X58" s="32" t="inlineStr">
        <is>
          <t>LOW_RISK</t>
        </is>
      </c>
      <c r="Y58" s="32" t="inlineStr">
        <is>
          <t>0.9163768919768406</t>
        </is>
      </c>
      <c r="Z58" s="32" t="inlineStr">
        <is>
          <t>HIGH</t>
        </is>
      </c>
      <c r="AA58" s="32" t="inlineStr">
        <is>
          <t>HIGH</t>
        </is>
      </c>
      <c r="AB58" s="32" t="inlineStr">
        <is>
          <t>0.04594870251712977</t>
        </is>
      </c>
      <c r="AC58" s="32" t="inlineStr">
        <is>
          <t>False</t>
        </is>
      </c>
      <c r="AD58" s="32" t="inlineStr">
        <is>
          <t>False</t>
        </is>
      </c>
      <c r="AE58" s="32" t="inlineStr">
        <is>
          <t>valuation_credit_ml_overlay_candidate.csv</t>
        </is>
      </c>
      <c r="AF58" s="32" t="inlineStr">
        <is>
          <t>208개 반도체 reference universe. Valuation Agent가 자체 intake 폴더로 복제해 Peer/ML/대시보드 비교에 사용.</t>
        </is>
      </c>
      <c r="AG58" s="32" t="inlineStr">
        <is>
          <t>TOP_REFERENCE</t>
        </is>
      </c>
      <c r="AH58" s="32" t="inlineStr">
        <is>
          <t>False</t>
        </is>
      </c>
    </row>
    <row r="59" ht="24" customHeight="1">
      <c r="A59" s="27" t="inlineStr">
        <is>
          <t>55</t>
        </is>
      </c>
      <c r="B59" s="27" t="inlineStr">
        <is>
          <t>해당 없음</t>
        </is>
      </c>
      <c r="C59" s="27" t="inlineStr">
        <is>
          <t>아이앤씨</t>
        </is>
      </c>
      <c r="D59" s="27" t="inlineStr">
        <is>
          <t>052860</t>
        </is>
      </c>
      <c r="E59" s="27" t="inlineStr">
        <is>
          <t>KOSDAQ</t>
        </is>
      </c>
      <c r="F59" s="27" t="inlineStr">
        <is>
          <t>팹리스/설계</t>
        </is>
      </c>
      <c r="G59" s="27" t="inlineStr">
        <is>
          <t>팹리스/설계</t>
        </is>
      </c>
      <c r="H59" s="27" t="inlineStr">
        <is>
          <t>False</t>
        </is>
      </c>
      <c r="I59" s="27" t="inlineStr">
        <is>
          <t>True</t>
        </is>
      </c>
      <c r="J59" s="27" t="inlineStr">
        <is>
          <t>OK</t>
        </is>
      </c>
      <c r="K59" s="27" t="inlineStr">
        <is>
          <t>데이터 사용 가능</t>
        </is>
      </c>
      <c r="L59" s="27" t="inlineStr">
        <is>
          <t>LOW</t>
        </is>
      </c>
      <c r="M59" s="27" t="inlineStr">
        <is>
          <t>LOW</t>
        </is>
      </c>
      <c r="N59" s="27" t="inlineStr">
        <is>
          <t>0.7325252525252526</t>
        </is>
      </c>
      <c r="O59" s="27" t="inlineStr">
        <is>
          <t>ATTRACTIVE</t>
        </is>
      </c>
      <c r="P59" s="27" t="inlineStr">
        <is>
          <t>가치 매력</t>
        </is>
      </c>
      <c r="Q59" s="27" t="inlineStr">
        <is>
          <t>ATTRACTIVE</t>
        </is>
      </c>
      <c r="R59" s="27" t="inlineStr">
        <is>
          <t>0.9267130449922303</t>
        </is>
      </c>
      <c r="S59" s="27" t="inlineStr">
        <is>
          <t>HIGH</t>
        </is>
      </c>
      <c r="T59" s="27" t="inlineStr">
        <is>
          <t>HIGH</t>
        </is>
      </c>
      <c r="U59" s="27" t="inlineStr">
        <is>
          <t>0.0</t>
        </is>
      </c>
      <c r="V59" s="27" t="inlineStr">
        <is>
          <t>LOW_RISK</t>
        </is>
      </c>
      <c r="W59" s="27" t="inlineStr">
        <is>
          <t>저위험</t>
        </is>
      </c>
      <c r="X59" s="27" t="inlineStr">
        <is>
          <t>LOW_RISK</t>
        </is>
      </c>
      <c r="Y59" s="27" t="inlineStr">
        <is>
          <t>0.8920304728976969</t>
        </is>
      </c>
      <c r="Z59" s="27" t="inlineStr">
        <is>
          <t>HIGH</t>
        </is>
      </c>
      <c r="AA59" s="27" t="inlineStr">
        <is>
          <t>HIGH</t>
        </is>
      </c>
      <c r="AB59" s="27" t="inlineStr">
        <is>
          <t>0.022475117759514655</t>
        </is>
      </c>
      <c r="AC59" s="27" t="inlineStr">
        <is>
          <t>False</t>
        </is>
      </c>
      <c r="AD59" s="27" t="inlineStr">
        <is>
          <t>False</t>
        </is>
      </c>
      <c r="AE59" s="27" t="inlineStr">
        <is>
          <t>valuation_credit_ml_overlay_candidate.csv</t>
        </is>
      </c>
      <c r="AF59" s="27" t="inlineStr">
        <is>
          <t>208개 반도체 reference universe. Valuation Agent가 자체 intake 폴더로 복제해 Peer/ML/대시보드 비교에 사용.</t>
        </is>
      </c>
      <c r="AG59" s="27" t="inlineStr">
        <is>
          <t>TOP_REFERENCE</t>
        </is>
      </c>
      <c r="AH59" s="27" t="inlineStr">
        <is>
          <t>False</t>
        </is>
      </c>
    </row>
    <row r="60" ht="24" customHeight="1">
      <c r="A60" s="32" t="inlineStr">
        <is>
          <t>88</t>
        </is>
      </c>
      <c r="B60" s="32" t="inlineStr">
        <is>
          <t>해당 없음</t>
        </is>
      </c>
      <c r="C60" s="32" t="inlineStr">
        <is>
          <t>비아트론</t>
        </is>
      </c>
      <c r="D60" s="32" t="inlineStr">
        <is>
          <t>141000</t>
        </is>
      </c>
      <c r="E60" s="32" t="inlineStr">
        <is>
          <t>KOSDAQ</t>
        </is>
      </c>
      <c r="F60" s="32" t="inlineStr">
        <is>
          <t>장비</t>
        </is>
      </c>
      <c r="G60" s="32" t="inlineStr">
        <is>
          <t>장비</t>
        </is>
      </c>
      <c r="H60" s="32" t="inlineStr">
        <is>
          <t>False</t>
        </is>
      </c>
      <c r="I60" s="32" t="inlineStr">
        <is>
          <t>True</t>
        </is>
      </c>
      <c r="J60" s="32" t="inlineStr">
        <is>
          <t>OK</t>
        </is>
      </c>
      <c r="K60" s="32" t="inlineStr">
        <is>
          <t>데이터 사용 가능</t>
        </is>
      </c>
      <c r="L60" s="32" t="inlineStr">
        <is>
          <t>LOW</t>
        </is>
      </c>
      <c r="M60" s="32" t="inlineStr">
        <is>
          <t>LOW</t>
        </is>
      </c>
      <c r="N60" s="32" t="inlineStr">
        <is>
          <t>0.7105333333333335</t>
        </is>
      </c>
      <c r="O60" s="32" t="inlineStr">
        <is>
          <t>ATTRACTIVE</t>
        </is>
      </c>
      <c r="P60" s="32" t="inlineStr">
        <is>
          <t>가치 매력</t>
        </is>
      </c>
      <c r="Q60" s="32" t="inlineStr">
        <is>
          <t>ATTRACTIVE</t>
        </is>
      </c>
      <c r="R60" s="32" t="inlineStr">
        <is>
          <t>0.934708213344448</t>
        </is>
      </c>
      <c r="S60" s="32" t="inlineStr">
        <is>
          <t>HIGH</t>
        </is>
      </c>
      <c r="T60" s="32" t="inlineStr">
        <is>
          <t>HIGH</t>
        </is>
      </c>
      <c r="U60" s="32" t="inlineStr">
        <is>
          <t>0.0</t>
        </is>
      </c>
      <c r="V60" s="32" t="inlineStr">
        <is>
          <t>LOW_RISK</t>
        </is>
      </c>
      <c r="W60" s="32" t="inlineStr">
        <is>
          <t>저위험</t>
        </is>
      </c>
      <c r="X60" s="32" t="inlineStr">
        <is>
          <t>LOW_RISK</t>
        </is>
      </c>
      <c r="Y60" s="32" t="inlineStr">
        <is>
          <t>0.9411184099481913</t>
        </is>
      </c>
      <c r="Z60" s="32" t="inlineStr">
        <is>
          <t>HIGH</t>
        </is>
      </c>
      <c r="AA60" s="32" t="inlineStr">
        <is>
          <t>HIGH</t>
        </is>
      </c>
      <c r="AB60" s="32" t="inlineStr">
        <is>
          <t>0.11715633071246634</t>
        </is>
      </c>
      <c r="AC60" s="32" t="inlineStr">
        <is>
          <t>False</t>
        </is>
      </c>
      <c r="AD60" s="32" t="inlineStr">
        <is>
          <t>False</t>
        </is>
      </c>
      <c r="AE60" s="32" t="inlineStr">
        <is>
          <t>valuation_credit_ml_overlay_candidate.csv</t>
        </is>
      </c>
      <c r="AF60" s="32" t="inlineStr">
        <is>
          <t>208개 반도체 reference universe. Valuation Agent가 자체 intake 폴더로 복제해 Peer/ML/대시보드 비교에 사용.</t>
        </is>
      </c>
      <c r="AG60" s="32" t="inlineStr">
        <is>
          <t>TOP_REFERENCE</t>
        </is>
      </c>
      <c r="AH60" s="32" t="inlineStr">
        <is>
          <t>False</t>
        </is>
      </c>
    </row>
    <row r="61" ht="24" customHeight="1">
      <c r="A61" s="27" t="inlineStr">
        <is>
          <t>203</t>
        </is>
      </c>
      <c r="B61" s="27" t="inlineStr">
        <is>
          <t>해당 없음</t>
        </is>
      </c>
      <c r="C61" s="27" t="inlineStr">
        <is>
          <t>인터플렉스</t>
        </is>
      </c>
      <c r="D61" s="27" t="inlineStr">
        <is>
          <t>051370</t>
        </is>
      </c>
      <c r="E61" s="27" t="inlineStr">
        <is>
          <t>KOSDAQ</t>
        </is>
      </c>
      <c r="F61" s="27" t="inlineStr">
        <is>
          <t>부품/기판</t>
        </is>
      </c>
      <c r="G61" s="27" t="inlineStr">
        <is>
          <t>부품/기판</t>
        </is>
      </c>
      <c r="H61" s="27" t="inlineStr">
        <is>
          <t>False</t>
        </is>
      </c>
      <c r="I61" s="27" t="inlineStr">
        <is>
          <t>True</t>
        </is>
      </c>
      <c r="J61" s="27" t="inlineStr">
        <is>
          <t>OK</t>
        </is>
      </c>
      <c r="K61" s="27" t="inlineStr">
        <is>
          <t>데이터 사용 가능</t>
        </is>
      </c>
      <c r="L61" s="27" t="inlineStr">
        <is>
          <t>LOW</t>
        </is>
      </c>
      <c r="M61" s="27" t="inlineStr">
        <is>
          <t>LOW</t>
        </is>
      </c>
      <c r="N61" s="27" t="inlineStr">
        <is>
          <t>0.709047619047619</t>
        </is>
      </c>
      <c r="O61" s="27" t="inlineStr">
        <is>
          <t>FAIR</t>
        </is>
      </c>
      <c r="P61" s="27" t="inlineStr">
        <is>
          <t>FAIR</t>
        </is>
      </c>
      <c r="Q61" s="27" t="inlineStr">
        <is>
          <t>FAIR</t>
        </is>
      </c>
      <c r="R61" s="27" t="inlineStr">
        <is>
          <t>0.904555257888918</t>
        </is>
      </c>
      <c r="S61" s="27" t="inlineStr">
        <is>
          <t>HIGH</t>
        </is>
      </c>
      <c r="T61" s="27" t="inlineStr">
        <is>
          <t>HIGH</t>
        </is>
      </c>
      <c r="U61" s="27" t="inlineStr">
        <is>
          <t>0.0714285714285714</t>
        </is>
      </c>
      <c r="V61" s="27" t="inlineStr">
        <is>
          <t>LOW_RISK</t>
        </is>
      </c>
      <c r="W61" s="27" t="inlineStr">
        <is>
          <t>저위험</t>
        </is>
      </c>
      <c r="X61" s="27" t="inlineStr">
        <is>
          <t>LOW_RISK</t>
        </is>
      </c>
      <c r="Y61" s="27" t="inlineStr">
        <is>
          <t>0.8421993774288782</t>
        </is>
      </c>
      <c r="Z61" s="27" t="inlineStr">
        <is>
          <t>HIGH</t>
        </is>
      </c>
      <c r="AA61" s="27" t="inlineStr">
        <is>
          <t>HIGH</t>
        </is>
      </c>
      <c r="AB61" s="27" t="inlineStr">
        <is>
          <t>0.04875174090091772</t>
        </is>
      </c>
      <c r="AC61" s="27" t="inlineStr">
        <is>
          <t>False</t>
        </is>
      </c>
      <c r="AD61" s="27" t="inlineStr">
        <is>
          <t>False</t>
        </is>
      </c>
      <c r="AE61" s="27" t="inlineStr">
        <is>
          <t>valuation_credit_ml_overlay_candidate.csv</t>
        </is>
      </c>
      <c r="AF61" s="27" t="inlineStr">
        <is>
          <t>208개 반도체 reference universe. Valuation Agent가 자체 intake 폴더로 복제해 Peer/ML/대시보드 비교에 사용.</t>
        </is>
      </c>
      <c r="AG61" s="27" t="inlineStr">
        <is>
          <t>TOP_REFERENCE</t>
        </is>
      </c>
      <c r="AH61" s="27" t="inlineStr">
        <is>
          <t>False</t>
        </is>
      </c>
    </row>
    <row r="62" ht="24" customHeight="1">
      <c r="A62" s="32" t="inlineStr">
        <is>
          <t>12</t>
        </is>
      </c>
      <c r="B62" s="32" t="inlineStr">
        <is>
          <t>해당 없음</t>
        </is>
      </c>
      <c r="C62" s="32" t="inlineStr">
        <is>
          <t>삼성전자</t>
        </is>
      </c>
      <c r="D62" s="32" t="inlineStr">
        <is>
          <t>005930</t>
        </is>
      </c>
      <c r="E62" s="32" t="inlineStr">
        <is>
          <t>KOSPI</t>
        </is>
      </c>
      <c r="F62" s="32" t="inlineStr">
        <is>
          <t>IDM/제조/메모리</t>
        </is>
      </c>
      <c r="G62" s="32" t="inlineStr">
        <is>
          <t>IDM/제조/메모리</t>
        </is>
      </c>
      <c r="H62" s="32" t="inlineStr">
        <is>
          <t>False</t>
        </is>
      </c>
      <c r="I62" s="32" t="inlineStr">
        <is>
          <t>True</t>
        </is>
      </c>
      <c r="J62" s="32" t="inlineStr">
        <is>
          <t>OK</t>
        </is>
      </c>
      <c r="K62" s="32" t="inlineStr">
        <is>
          <t>데이터 사용 가능</t>
        </is>
      </c>
      <c r="L62" s="32" t="inlineStr">
        <is>
          <t>LOW</t>
        </is>
      </c>
      <c r="M62" s="32" t="inlineStr">
        <is>
          <t>LOW</t>
        </is>
      </c>
      <c r="N62" s="32" t="inlineStr">
        <is>
          <t>0.7078333333333333</t>
        </is>
      </c>
      <c r="O62" s="32" t="inlineStr">
        <is>
          <t>ATTRACTIVE</t>
        </is>
      </c>
      <c r="P62" s="32" t="inlineStr">
        <is>
          <t>가치 매력</t>
        </is>
      </c>
      <c r="Q62" s="32" t="inlineStr">
        <is>
          <t>ATTRACTIVE</t>
        </is>
      </c>
      <c r="R62" s="32" t="inlineStr">
        <is>
          <t>0.9371541027950523</t>
        </is>
      </c>
      <c r="S62" s="32" t="inlineStr">
        <is>
          <t>HIGH</t>
        </is>
      </c>
      <c r="T62" s="32" t="inlineStr">
        <is>
          <t>HIGH</t>
        </is>
      </c>
      <c r="U62" s="32" t="inlineStr">
        <is>
          <t>0.0</t>
        </is>
      </c>
      <c r="V62" s="32" t="inlineStr">
        <is>
          <t>LOW_RISK</t>
        </is>
      </c>
      <c r="W62" s="32" t="inlineStr">
        <is>
          <t>저위험</t>
        </is>
      </c>
      <c r="X62" s="32" t="inlineStr">
        <is>
          <t>LOW_RISK</t>
        </is>
      </c>
      <c r="Y62" s="32" t="inlineStr">
        <is>
          <t>0.9760796731366836</t>
        </is>
      </c>
      <c r="Z62" s="32" t="inlineStr">
        <is>
          <t>HIGH</t>
        </is>
      </c>
      <c r="AA62" s="32" t="inlineStr">
        <is>
          <t>HIGH</t>
        </is>
      </c>
      <c r="AB62" s="32" t="inlineStr">
        <is>
          <t>0.4140062883705867</t>
        </is>
      </c>
      <c r="AC62" s="32" t="inlineStr">
        <is>
          <t>True</t>
        </is>
      </c>
      <c r="AD62" s="32" t="inlineStr">
        <is>
          <t>True</t>
        </is>
      </c>
      <c r="AE62" s="32" t="inlineStr">
        <is>
          <t>valuation_credit_ml_overlay_candidate.csv</t>
        </is>
      </c>
      <c r="AF62" s="32" t="inlineStr">
        <is>
          <t>208개 반도체 reference universe. Valuation Agent가 자체 intake 폴더로 복제해 Peer/ML/대시보드 비교에 사용.</t>
        </is>
      </c>
      <c r="AG62" s="32" t="inlineStr">
        <is>
          <t>TOP_REFERENCE</t>
        </is>
      </c>
      <c r="AH62" s="32" t="inlineStr">
        <is>
          <t>False</t>
        </is>
      </c>
    </row>
    <row r="63" ht="24" customHeight="1"/>
    <row r="64" ht="24" customHeight="1"/>
    <row r="65" ht="24" customHeight="1">
      <c r="A65" s="25" t="inlineStr">
        <is>
          <t>208개 전체 Universe</t>
        </is>
      </c>
    </row>
    <row r="66" ht="24" customHeight="1">
      <c r="A66" s="28" t="inlineStr">
        <is>
          <t>Universe 순번</t>
        </is>
      </c>
      <c r="B66" s="28" t="inlineStr">
        <is>
          <t>기업코드</t>
        </is>
      </c>
      <c r="C66" s="28" t="inlineStr">
        <is>
          <t>기업명</t>
        </is>
      </c>
      <c r="D66" s="28" t="inlineStr">
        <is>
          <t>종목코드</t>
        </is>
      </c>
      <c r="E66" s="28" t="inlineStr">
        <is>
          <t>시장</t>
        </is>
      </c>
      <c r="F66" s="28" t="inlineStr">
        <is>
          <t>피어 그룹</t>
        </is>
      </c>
      <c r="G66" s="28" t="inlineStr">
        <is>
          <t>반도체 세부군</t>
        </is>
      </c>
      <c r="H66" s="28" t="inlineStr">
        <is>
          <t>5개 핵심기업</t>
        </is>
      </c>
      <c r="I66" s="28" t="inlineStr">
        <is>
          <t>market_data_available</t>
        </is>
      </c>
      <c r="J66" s="28" t="inlineStr">
        <is>
          <t>데이터 품질</t>
        </is>
      </c>
      <c r="K66" s="28" t="inlineStr">
        <is>
          <t>데이터 품질 해석</t>
        </is>
      </c>
      <c r="L66" s="28" t="inlineStr">
        <is>
          <t>수동검토 우선순위</t>
        </is>
      </c>
      <c r="M66" s="28" t="inlineStr">
        <is>
          <t>수동검토 우선순위 해석</t>
        </is>
      </c>
      <c r="N66" s="28" t="inlineStr">
        <is>
          <t>Valuation Proxy 점수</t>
        </is>
      </c>
      <c r="O66" s="28" t="inlineStr">
        <is>
          <t>Valuation Proxy 라벨</t>
        </is>
      </c>
      <c r="P66" s="28" t="inlineStr">
        <is>
          <t>가치 라벨</t>
        </is>
      </c>
      <c r="Q66" s="28" t="inlineStr">
        <is>
          <t>valuation_pred_label</t>
        </is>
      </c>
      <c r="R66" s="28" t="inlineStr">
        <is>
          <t>Valuation 신뢰도</t>
        </is>
      </c>
      <c r="S66" s="28" t="inlineStr">
        <is>
          <t>valuation_confidence_bucket</t>
        </is>
      </c>
      <c r="T66" s="28" t="inlineStr">
        <is>
          <t>valuation_confidence_bucket_kr</t>
        </is>
      </c>
      <c r="U66" s="28" t="inlineStr">
        <is>
          <t>Credit Risk 점수</t>
        </is>
      </c>
      <c r="V66" s="28" t="inlineStr">
        <is>
          <t>Credit Risk 라벨</t>
        </is>
      </c>
      <c r="W66" s="28" t="inlineStr">
        <is>
          <t>신용위험 라벨</t>
        </is>
      </c>
      <c r="X66" s="28" t="inlineStr">
        <is>
          <t>credit_pred_label</t>
        </is>
      </c>
      <c r="Y66" s="28" t="inlineStr">
        <is>
          <t>Credit 신뢰도</t>
        </is>
      </c>
      <c r="Z66" s="28" t="inlineStr">
        <is>
          <t>credit_confidence_bucket</t>
        </is>
      </c>
      <c r="AA66" s="28" t="inlineStr">
        <is>
          <t>credit_confidence_bucket_kr</t>
        </is>
      </c>
      <c r="AB66" s="28" t="inlineStr">
        <is>
          <t>Credit 이상치 점수</t>
        </is>
      </c>
      <c r="AC66" s="28" t="inlineStr">
        <is>
          <t>credit_anomaly_flag_top15pct</t>
        </is>
      </c>
      <c r="AD66" s="28" t="inlineStr">
        <is>
          <t>auditor_requires_human_review</t>
        </is>
      </c>
      <c r="AE66" s="28" t="inlineStr">
        <is>
          <t>출처 유형</t>
        </is>
      </c>
      <c r="AF66" s="28" t="inlineStr">
        <is>
          <t>출처 설명</t>
        </is>
      </c>
    </row>
    <row r="67" ht="24" customHeight="1">
      <c r="A67" s="27" t="inlineStr">
        <is>
          <t>10</t>
        </is>
      </c>
      <c r="B67" s="27" t="inlineStr">
        <is>
          <t>해당 없음</t>
        </is>
      </c>
      <c r="C67" s="27" t="inlineStr">
        <is>
          <t>미코</t>
        </is>
      </c>
      <c r="D67" s="27" t="inlineStr">
        <is>
          <t>059090</t>
        </is>
      </c>
      <c r="E67" s="27" t="inlineStr">
        <is>
          <t>KOSDAQ</t>
        </is>
      </c>
      <c r="F67" s="27" t="inlineStr">
        <is>
          <t>IDM/제조/메모리</t>
        </is>
      </c>
      <c r="G67" s="27" t="inlineStr">
        <is>
          <t>IDM/제조/메모리</t>
        </is>
      </c>
      <c r="H67" s="27" t="inlineStr">
        <is>
          <t>False</t>
        </is>
      </c>
      <c r="I67" s="27" t="inlineStr">
        <is>
          <t>True</t>
        </is>
      </c>
      <c r="J67" s="27" t="inlineStr">
        <is>
          <t>OK</t>
        </is>
      </c>
      <c r="K67" s="27" t="inlineStr">
        <is>
          <t>데이터 사용 가능</t>
        </is>
      </c>
      <c r="L67" s="27" t="inlineStr">
        <is>
          <t>LOW</t>
        </is>
      </c>
      <c r="M67" s="27" t="inlineStr">
        <is>
          <t>LOW</t>
        </is>
      </c>
      <c r="N67" s="27" t="inlineStr">
        <is>
          <t>0.7733333333333334</t>
        </is>
      </c>
      <c r="O67" s="27" t="inlineStr">
        <is>
          <t>FAIR</t>
        </is>
      </c>
      <c r="P67" s="27" t="inlineStr">
        <is>
          <t>FAIR</t>
        </is>
      </c>
      <c r="Q67" s="27" t="inlineStr">
        <is>
          <t>FAIR</t>
        </is>
      </c>
      <c r="R67" s="27" t="inlineStr">
        <is>
          <t>0.9066669659525092</t>
        </is>
      </c>
      <c r="S67" s="27" t="inlineStr">
        <is>
          <t>HIGH</t>
        </is>
      </c>
      <c r="T67" s="27" t="inlineStr">
        <is>
          <t>HIGH</t>
        </is>
      </c>
      <c r="U67" s="27" t="inlineStr">
        <is>
          <t>0.2142857142857142</t>
        </is>
      </c>
      <c r="V67" s="27" t="inlineStr">
        <is>
          <t>MEDIUM_RISK</t>
        </is>
      </c>
      <c r="W67" s="27" t="inlineStr">
        <is>
          <t>중위험</t>
        </is>
      </c>
      <c r="X67" s="27" t="inlineStr">
        <is>
          <t>MEDIUM_RISK</t>
        </is>
      </c>
      <c r="Y67" s="27" t="inlineStr">
        <is>
          <t>0.6769145960065608</t>
        </is>
      </c>
      <c r="Z67" s="27" t="inlineStr">
        <is>
          <t>MEDIUM</t>
        </is>
      </c>
      <c r="AA67" s="27" t="inlineStr">
        <is>
          <t>MEDIUM</t>
        </is>
      </c>
      <c r="AB67" s="27" t="inlineStr">
        <is>
          <t>0.10646038380774528</t>
        </is>
      </c>
      <c r="AC67" s="27" t="inlineStr">
        <is>
          <t>False</t>
        </is>
      </c>
      <c r="AD67" s="27" t="inlineStr">
        <is>
          <t>False</t>
        </is>
      </c>
      <c r="AE67" s="27" t="inlineStr">
        <is>
          <t>valuation_credit_ml_overlay_candidate.csv</t>
        </is>
      </c>
      <c r="AF67" s="27" t="inlineStr">
        <is>
          <t>208개 반도체 reference universe. Valuation Agent가 자체 intake 폴더로 복제해 Peer/ML/대시보드 비교에 사용.</t>
        </is>
      </c>
    </row>
    <row r="68" ht="24" customHeight="1">
      <c r="A68" s="32" t="inlineStr">
        <is>
          <t>22</t>
        </is>
      </c>
      <c r="B68" s="32" t="inlineStr">
        <is>
          <t>해당 없음</t>
        </is>
      </c>
      <c r="C68" s="32" t="inlineStr">
        <is>
          <t>엘디티</t>
        </is>
      </c>
      <c r="D68" s="32" t="inlineStr">
        <is>
          <t>096870</t>
        </is>
      </c>
      <c r="E68" s="32" t="inlineStr">
        <is>
          <t>KOSDAQ</t>
        </is>
      </c>
      <c r="F68" s="32" t="inlineStr">
        <is>
          <t>IDM/제조/메모리</t>
        </is>
      </c>
      <c r="G68" s="32" t="inlineStr">
        <is>
          <t>IDM/제조/메모리</t>
        </is>
      </c>
      <c r="H68" s="32" t="inlineStr">
        <is>
          <t>False</t>
        </is>
      </c>
      <c r="I68" s="32" t="inlineStr">
        <is>
          <t>True</t>
        </is>
      </c>
      <c r="J68" s="32" t="inlineStr">
        <is>
          <t>OK</t>
        </is>
      </c>
      <c r="K68" s="32" t="inlineStr">
        <is>
          <t>데이터 사용 가능</t>
        </is>
      </c>
      <c r="L68" s="32" t="inlineStr">
        <is>
          <t>LOW</t>
        </is>
      </c>
      <c r="M68" s="32" t="inlineStr">
        <is>
          <t>LOW</t>
        </is>
      </c>
      <c r="N68" s="32" t="inlineStr">
        <is>
          <t>0.7518333333333332</t>
        </is>
      </c>
      <c r="O68" s="32" t="inlineStr">
        <is>
          <t>ATTRACTIVE</t>
        </is>
      </c>
      <c r="P68" s="32" t="inlineStr">
        <is>
          <t>가치 매력</t>
        </is>
      </c>
      <c r="Q68" s="32" t="inlineStr">
        <is>
          <t>ATTRACTIVE</t>
        </is>
      </c>
      <c r="R68" s="32" t="inlineStr">
        <is>
          <t>0.8817908899004964</t>
        </is>
      </c>
      <c r="S68" s="32" t="inlineStr">
        <is>
          <t>HIGH</t>
        </is>
      </c>
      <c r="T68" s="32" t="inlineStr">
        <is>
          <t>HIGH</t>
        </is>
      </c>
      <c r="U68" s="32" t="inlineStr">
        <is>
          <t>0.0714285714285714</t>
        </is>
      </c>
      <c r="V68" s="32" t="inlineStr">
        <is>
          <t>LOW_RISK</t>
        </is>
      </c>
      <c r="W68" s="32" t="inlineStr">
        <is>
          <t>저위험</t>
        </is>
      </c>
      <c r="X68" s="32" t="inlineStr">
        <is>
          <t>LOW_RISK</t>
        </is>
      </c>
      <c r="Y68" s="32" t="inlineStr">
        <is>
          <t>0.8068970516192283</t>
        </is>
      </c>
      <c r="Z68" s="32" t="inlineStr">
        <is>
          <t>HIGH</t>
        </is>
      </c>
      <c r="AA68" s="32" t="inlineStr">
        <is>
          <t>HIGH</t>
        </is>
      </c>
      <c r="AB68" s="32" t="inlineStr">
        <is>
          <t>0.2312715560027526</t>
        </is>
      </c>
      <c r="AC68" s="32" t="inlineStr">
        <is>
          <t>False</t>
        </is>
      </c>
      <c r="AD68" s="32" t="inlineStr">
        <is>
          <t>False</t>
        </is>
      </c>
      <c r="AE68" s="32" t="inlineStr">
        <is>
          <t>valuation_credit_ml_overlay_candidate.csv</t>
        </is>
      </c>
      <c r="AF68" s="32" t="inlineStr">
        <is>
          <t>208개 반도체 reference universe. Valuation Agent가 자체 intake 폴더로 복제해 Peer/ML/대시보드 비교에 사용.</t>
        </is>
      </c>
    </row>
    <row r="69" ht="24" customHeight="1">
      <c r="A69" s="27" t="inlineStr">
        <is>
          <t>9</t>
        </is>
      </c>
      <c r="B69" s="27" t="inlineStr">
        <is>
          <t>해당 없음</t>
        </is>
      </c>
      <c r="C69" s="27" t="inlineStr">
        <is>
          <t>메카로</t>
        </is>
      </c>
      <c r="D69" s="27" t="inlineStr">
        <is>
          <t>241770</t>
        </is>
      </c>
      <c r="E69" s="27" t="inlineStr">
        <is>
          <t>KOSDAQ</t>
        </is>
      </c>
      <c r="F69" s="27" t="inlineStr">
        <is>
          <t>IDM/제조/메모리</t>
        </is>
      </c>
      <c r="G69" s="27" t="inlineStr">
        <is>
          <t>IDM/제조/메모리</t>
        </is>
      </c>
      <c r="H69" s="27" t="inlineStr">
        <is>
          <t>False</t>
        </is>
      </c>
      <c r="I69" s="27" t="inlineStr">
        <is>
          <t>True</t>
        </is>
      </c>
      <c r="J69" s="27" t="inlineStr">
        <is>
          <t>OK</t>
        </is>
      </c>
      <c r="K69" s="27" t="inlineStr">
        <is>
          <t>데이터 사용 가능</t>
        </is>
      </c>
      <c r="L69" s="27" t="inlineStr">
        <is>
          <t>LOW</t>
        </is>
      </c>
      <c r="M69" s="27" t="inlineStr">
        <is>
          <t>LOW</t>
        </is>
      </c>
      <c r="N69" s="27" t="inlineStr">
        <is>
          <t>0.7476666666666667</t>
        </is>
      </c>
      <c r="O69" s="27" t="inlineStr">
        <is>
          <t>ATTRACTIVE</t>
        </is>
      </c>
      <c r="P69" s="27" t="inlineStr">
        <is>
          <t>가치 매력</t>
        </is>
      </c>
      <c r="Q69" s="27" t="inlineStr">
        <is>
          <t>ATTRACTIVE</t>
        </is>
      </c>
      <c r="R69" s="27" t="inlineStr">
        <is>
          <t>0.9154158498128573</t>
        </is>
      </c>
      <c r="S69" s="27" t="inlineStr">
        <is>
          <t>HIGH</t>
        </is>
      </c>
      <c r="T69" s="27" t="inlineStr">
        <is>
          <t>HIGH</t>
        </is>
      </c>
      <c r="U69" s="27" t="inlineStr">
        <is>
          <t>0.0</t>
        </is>
      </c>
      <c r="V69" s="27" t="inlineStr">
        <is>
          <t>LOW_RISK</t>
        </is>
      </c>
      <c r="W69" s="27" t="inlineStr">
        <is>
          <t>저위험</t>
        </is>
      </c>
      <c r="X69" s="27" t="inlineStr">
        <is>
          <t>LOW_RISK</t>
        </is>
      </c>
      <c r="Y69" s="27" t="inlineStr">
        <is>
          <t>0.9196609311939408</t>
        </is>
      </c>
      <c r="Z69" s="27" t="inlineStr">
        <is>
          <t>HIGH</t>
        </is>
      </c>
      <c r="AA69" s="27" t="inlineStr">
        <is>
          <t>HIGH</t>
        </is>
      </c>
      <c r="AB69" s="27" t="inlineStr">
        <is>
          <t>0.12775877727770685</t>
        </is>
      </c>
      <c r="AC69" s="27" t="inlineStr">
        <is>
          <t>False</t>
        </is>
      </c>
      <c r="AD69" s="27" t="inlineStr">
        <is>
          <t>False</t>
        </is>
      </c>
      <c r="AE69" s="27" t="inlineStr">
        <is>
          <t>valuation_credit_ml_overlay_candidate.csv</t>
        </is>
      </c>
      <c r="AF69" s="27" t="inlineStr">
        <is>
          <t>208개 반도체 reference universe. Valuation Agent가 자체 intake 폴더로 복제해 Peer/ML/대시보드 비교에 사용.</t>
        </is>
      </c>
    </row>
    <row r="70" ht="24" customHeight="1">
      <c r="A70" s="32" t="inlineStr">
        <is>
          <t>12</t>
        </is>
      </c>
      <c r="B70" s="32" t="inlineStr">
        <is>
          <t>해당 없음</t>
        </is>
      </c>
      <c r="C70" s="32" t="inlineStr">
        <is>
          <t>삼성전자</t>
        </is>
      </c>
      <c r="D70" s="32" t="inlineStr">
        <is>
          <t>005930</t>
        </is>
      </c>
      <c r="E70" s="32" t="inlineStr">
        <is>
          <t>KOSPI</t>
        </is>
      </c>
      <c r="F70" s="32" t="inlineStr">
        <is>
          <t>IDM/제조/메모리</t>
        </is>
      </c>
      <c r="G70" s="32" t="inlineStr">
        <is>
          <t>IDM/제조/메모리</t>
        </is>
      </c>
      <c r="H70" s="32" t="inlineStr">
        <is>
          <t>False</t>
        </is>
      </c>
      <c r="I70" s="32" t="inlineStr">
        <is>
          <t>True</t>
        </is>
      </c>
      <c r="J70" s="32" t="inlineStr">
        <is>
          <t>OK</t>
        </is>
      </c>
      <c r="K70" s="32" t="inlineStr">
        <is>
          <t>데이터 사용 가능</t>
        </is>
      </c>
      <c r="L70" s="32" t="inlineStr">
        <is>
          <t>LOW</t>
        </is>
      </c>
      <c r="M70" s="32" t="inlineStr">
        <is>
          <t>LOW</t>
        </is>
      </c>
      <c r="N70" s="32" t="inlineStr">
        <is>
          <t>0.7078333333333333</t>
        </is>
      </c>
      <c r="O70" s="32" t="inlineStr">
        <is>
          <t>ATTRACTIVE</t>
        </is>
      </c>
      <c r="P70" s="32" t="inlineStr">
        <is>
          <t>가치 매력</t>
        </is>
      </c>
      <c r="Q70" s="32" t="inlineStr">
        <is>
          <t>ATTRACTIVE</t>
        </is>
      </c>
      <c r="R70" s="32" t="inlineStr">
        <is>
          <t>0.9371541027950523</t>
        </is>
      </c>
      <c r="S70" s="32" t="inlineStr">
        <is>
          <t>HIGH</t>
        </is>
      </c>
      <c r="T70" s="32" t="inlineStr">
        <is>
          <t>HIGH</t>
        </is>
      </c>
      <c r="U70" s="32" t="inlineStr">
        <is>
          <t>0.0</t>
        </is>
      </c>
      <c r="V70" s="32" t="inlineStr">
        <is>
          <t>LOW_RISK</t>
        </is>
      </c>
      <c r="W70" s="32" t="inlineStr">
        <is>
          <t>저위험</t>
        </is>
      </c>
      <c r="X70" s="32" t="inlineStr">
        <is>
          <t>LOW_RISK</t>
        </is>
      </c>
      <c r="Y70" s="32" t="inlineStr">
        <is>
          <t>0.9760796731366836</t>
        </is>
      </c>
      <c r="Z70" s="32" t="inlineStr">
        <is>
          <t>HIGH</t>
        </is>
      </c>
      <c r="AA70" s="32" t="inlineStr">
        <is>
          <t>HIGH</t>
        </is>
      </c>
      <c r="AB70" s="32" t="inlineStr">
        <is>
          <t>0.4140062883705867</t>
        </is>
      </c>
      <c r="AC70" s="32" t="inlineStr">
        <is>
          <t>True</t>
        </is>
      </c>
      <c r="AD70" s="32" t="inlineStr">
        <is>
          <t>True</t>
        </is>
      </c>
      <c r="AE70" s="32" t="inlineStr">
        <is>
          <t>valuation_credit_ml_overlay_candidate.csv</t>
        </is>
      </c>
      <c r="AF70" s="32" t="inlineStr">
        <is>
          <t>208개 반도체 reference universe. Valuation Agent가 자체 intake 폴더로 복제해 Peer/ML/대시보드 비교에 사용.</t>
        </is>
      </c>
    </row>
    <row r="71" ht="24" customHeight="1">
      <c r="A71" s="27" t="inlineStr">
        <is>
          <t>4</t>
        </is>
      </c>
      <c r="B71" s="27" t="inlineStr">
        <is>
          <t>해당 없음</t>
        </is>
      </c>
      <c r="C71" s="27" t="inlineStr">
        <is>
          <t>SK하이닉스</t>
        </is>
      </c>
      <c r="D71" s="27" t="inlineStr">
        <is>
          <t>000660</t>
        </is>
      </c>
      <c r="E71" s="27" t="inlineStr">
        <is>
          <t>KOSPI</t>
        </is>
      </c>
      <c r="F71" s="27" t="inlineStr">
        <is>
          <t>IDM/제조/메모리</t>
        </is>
      </c>
      <c r="G71" s="27" t="inlineStr">
        <is>
          <t>IDM/제조/메모리</t>
        </is>
      </c>
      <c r="H71" s="27" t="inlineStr">
        <is>
          <t>False</t>
        </is>
      </c>
      <c r="I71" s="27" t="inlineStr">
        <is>
          <t>True</t>
        </is>
      </c>
      <c r="J71" s="27" t="inlineStr">
        <is>
          <t>OK</t>
        </is>
      </c>
      <c r="K71" s="27" t="inlineStr">
        <is>
          <t>데이터 사용 가능</t>
        </is>
      </c>
      <c r="L71" s="27" t="inlineStr">
        <is>
          <t>LOW</t>
        </is>
      </c>
      <c r="M71" s="27" t="inlineStr">
        <is>
          <t>LOW</t>
        </is>
      </c>
      <c r="N71" s="27" t="inlineStr">
        <is>
          <t>0.6933333333333334</t>
        </is>
      </c>
      <c r="O71" s="27" t="inlineStr">
        <is>
          <t>ATTRACTIVE</t>
        </is>
      </c>
      <c r="P71" s="27" t="inlineStr">
        <is>
          <t>가치 매력</t>
        </is>
      </c>
      <c r="Q71" s="27" t="inlineStr">
        <is>
          <t>ATTRACTIVE</t>
        </is>
      </c>
      <c r="R71" s="27" t="inlineStr">
        <is>
          <t>0.8582250965188642</t>
        </is>
      </c>
      <c r="S71" s="27" t="inlineStr">
        <is>
          <t>HIGH</t>
        </is>
      </c>
      <c r="T71" s="27" t="inlineStr">
        <is>
          <t>HIGH</t>
        </is>
      </c>
      <c r="U71" s="27" t="inlineStr">
        <is>
          <t>0.0</t>
        </is>
      </c>
      <c r="V71" s="27" t="inlineStr">
        <is>
          <t>LOW_RISK</t>
        </is>
      </c>
      <c r="W71" s="27" t="inlineStr">
        <is>
          <t>저위험</t>
        </is>
      </c>
      <c r="X71" s="27" t="inlineStr">
        <is>
          <t>LOW_RISK</t>
        </is>
      </c>
      <c r="Y71" s="27" t="inlineStr">
        <is>
          <t>0.9246810687108324</t>
        </is>
      </c>
      <c r="Z71" s="27" t="inlineStr">
        <is>
          <t>HIGH</t>
        </is>
      </c>
      <c r="AA71" s="27" t="inlineStr">
        <is>
          <t>HIGH</t>
        </is>
      </c>
      <c r="AB71" s="27" t="inlineStr">
        <is>
          <t>0.4530741670429333</t>
        </is>
      </c>
      <c r="AC71" s="27" t="inlineStr">
        <is>
          <t>True</t>
        </is>
      </c>
      <c r="AD71" s="27" t="inlineStr">
        <is>
          <t>True</t>
        </is>
      </c>
      <c r="AE71" s="27" t="inlineStr">
        <is>
          <t>valuation_credit_ml_overlay_candidate.csv</t>
        </is>
      </c>
      <c r="AF71" s="27" t="inlineStr">
        <is>
          <t>208개 반도체 reference universe. Valuation Agent가 자체 intake 폴더로 복제해 Peer/ML/대시보드 비교에 사용.</t>
        </is>
      </c>
    </row>
    <row r="72" ht="24" customHeight="1">
      <c r="A72" s="32" t="inlineStr">
        <is>
          <t>32</t>
        </is>
      </c>
      <c r="B72" s="32" t="inlineStr">
        <is>
          <t>해당 없음</t>
        </is>
      </c>
      <c r="C72" s="32" t="inlineStr">
        <is>
          <t>케이엔제이</t>
        </is>
      </c>
      <c r="D72" s="32" t="inlineStr">
        <is>
          <t>272110</t>
        </is>
      </c>
      <c r="E72" s="32" t="inlineStr">
        <is>
          <t>KOSDAQ</t>
        </is>
      </c>
      <c r="F72" s="32" t="inlineStr">
        <is>
          <t>IDM/제조/메모리</t>
        </is>
      </c>
      <c r="G72" s="32" t="inlineStr">
        <is>
          <t>IDM/제조/메모리</t>
        </is>
      </c>
      <c r="H72" s="32" t="inlineStr">
        <is>
          <t>False</t>
        </is>
      </c>
      <c r="I72" s="32" t="inlineStr">
        <is>
          <t>True</t>
        </is>
      </c>
      <c r="J72" s="32" t="inlineStr">
        <is>
          <t>OK</t>
        </is>
      </c>
      <c r="K72" s="32" t="inlineStr">
        <is>
          <t>데이터 사용 가능</t>
        </is>
      </c>
      <c r="L72" s="32" t="inlineStr">
        <is>
          <t>LOW</t>
        </is>
      </c>
      <c r="M72" s="32" t="inlineStr">
        <is>
          <t>LOW</t>
        </is>
      </c>
      <c r="N72" s="32" t="inlineStr">
        <is>
          <t>0.69</t>
        </is>
      </c>
      <c r="O72" s="32" t="inlineStr">
        <is>
          <t>FAIR</t>
        </is>
      </c>
      <c r="P72" s="32" t="inlineStr">
        <is>
          <t>FAIR</t>
        </is>
      </c>
      <c r="Q72" s="32" t="inlineStr">
        <is>
          <t>FAIR</t>
        </is>
      </c>
      <c r="R72" s="32" t="inlineStr">
        <is>
          <t>0.8941431334693103</t>
        </is>
      </c>
      <c r="S72" s="32" t="inlineStr">
        <is>
          <t>HIGH</t>
        </is>
      </c>
      <c r="T72" s="32" t="inlineStr">
        <is>
          <t>HIGH</t>
        </is>
      </c>
      <c r="U72" s="32" t="inlineStr">
        <is>
          <t>0.3571428571428571</t>
        </is>
      </c>
      <c r="V72" s="32" t="inlineStr">
        <is>
          <t>MEDIUM_RISK</t>
        </is>
      </c>
      <c r="W72" s="32" t="inlineStr">
        <is>
          <t>중위험</t>
        </is>
      </c>
      <c r="X72" s="32" t="inlineStr">
        <is>
          <t>MEDIUM_RISK</t>
        </is>
      </c>
      <c r="Y72" s="32" t="inlineStr">
        <is>
          <t>0.6916505304322266</t>
        </is>
      </c>
      <c r="Z72" s="32" t="inlineStr">
        <is>
          <t>MEDIUM</t>
        </is>
      </c>
      <c r="AA72" s="32" t="inlineStr">
        <is>
          <t>MEDIUM</t>
        </is>
      </c>
      <c r="AB72" s="32" t="inlineStr">
        <is>
          <t>0.08026450343217886</t>
        </is>
      </c>
      <c r="AC72" s="32" t="inlineStr">
        <is>
          <t>False</t>
        </is>
      </c>
      <c r="AD72" s="32" t="inlineStr">
        <is>
          <t>False</t>
        </is>
      </c>
      <c r="AE72" s="32" t="inlineStr">
        <is>
          <t>valuation_credit_ml_overlay_candidate.csv</t>
        </is>
      </c>
      <c r="AF72" s="32" t="inlineStr">
        <is>
          <t>208개 반도체 reference universe. Valuation Agent가 자체 intake 폴더로 복제해 Peer/ML/대시보드 비교에 사용.</t>
        </is>
      </c>
    </row>
    <row r="73" ht="24" customHeight="1">
      <c r="A73" s="27" t="inlineStr">
        <is>
          <t>40</t>
        </is>
      </c>
      <c r="B73" s="27" t="inlineStr">
        <is>
          <t>해당 없음</t>
        </is>
      </c>
      <c r="C73" s="27" t="inlineStr">
        <is>
          <t>한양디지텍</t>
        </is>
      </c>
      <c r="D73" s="27" t="inlineStr">
        <is>
          <t>078350</t>
        </is>
      </c>
      <c r="E73" s="27" t="inlineStr">
        <is>
          <t>KOSDAQ</t>
        </is>
      </c>
      <c r="F73" s="27" t="inlineStr">
        <is>
          <t>IDM/제조/메모리</t>
        </is>
      </c>
      <c r="G73" s="27" t="inlineStr">
        <is>
          <t>IDM/제조/메모리</t>
        </is>
      </c>
      <c r="H73" s="27" t="inlineStr">
        <is>
          <t>False</t>
        </is>
      </c>
      <c r="I73" s="27" t="inlineStr">
        <is>
          <t>True</t>
        </is>
      </c>
      <c r="J73" s="27" t="inlineStr">
        <is>
          <t>OK</t>
        </is>
      </c>
      <c r="K73" s="27" t="inlineStr">
        <is>
          <t>데이터 사용 가능</t>
        </is>
      </c>
      <c r="L73" s="27" t="inlineStr">
        <is>
          <t>LOW</t>
        </is>
      </c>
      <c r="M73" s="27" t="inlineStr">
        <is>
          <t>LOW</t>
        </is>
      </c>
      <c r="N73" s="27" t="inlineStr">
        <is>
          <t>0.6805000000000001</t>
        </is>
      </c>
      <c r="O73" s="27" t="inlineStr">
        <is>
          <t>ATTRACTIVE</t>
        </is>
      </c>
      <c r="P73" s="27" t="inlineStr">
        <is>
          <t>가치 매력</t>
        </is>
      </c>
      <c r="Q73" s="27" t="inlineStr">
        <is>
          <t>ATTRACTIVE</t>
        </is>
      </c>
      <c r="R73" s="27" t="inlineStr">
        <is>
          <t>0.8705426081647281</t>
        </is>
      </c>
      <c r="S73" s="27" t="inlineStr">
        <is>
          <t>HIGH</t>
        </is>
      </c>
      <c r="T73" s="27" t="inlineStr">
        <is>
          <t>HIGH</t>
        </is>
      </c>
      <c r="U73" s="27" t="inlineStr">
        <is>
          <t>0.0714285714285714</t>
        </is>
      </c>
      <c r="V73" s="27" t="inlineStr">
        <is>
          <t>LOW_RISK</t>
        </is>
      </c>
      <c r="W73" s="27" t="inlineStr">
        <is>
          <t>저위험</t>
        </is>
      </c>
      <c r="X73" s="27" t="inlineStr">
        <is>
          <t>LOW_RISK</t>
        </is>
      </c>
      <c r="Y73" s="27" t="inlineStr">
        <is>
          <t>0.7978732006060483</t>
        </is>
      </c>
      <c r="Z73" s="27" t="inlineStr">
        <is>
          <t>HIGH</t>
        </is>
      </c>
      <c r="AA73" s="27" t="inlineStr">
        <is>
          <t>HIGH</t>
        </is>
      </c>
      <c r="AB73" s="27" t="inlineStr">
        <is>
          <t>0.008155150389343335</t>
        </is>
      </c>
      <c r="AC73" s="27" t="inlineStr">
        <is>
          <t>False</t>
        </is>
      </c>
      <c r="AD73" s="27" t="inlineStr">
        <is>
          <t>False</t>
        </is>
      </c>
      <c r="AE73" s="27" t="inlineStr">
        <is>
          <t>valuation_credit_ml_overlay_candidate.csv</t>
        </is>
      </c>
      <c r="AF73" s="27" t="inlineStr">
        <is>
          <t>208개 반도체 reference universe. Valuation Agent가 자체 intake 폴더로 복제해 Peer/ML/대시보드 비교에 사용.</t>
        </is>
      </c>
    </row>
    <row r="74" ht="24" customHeight="1">
      <c r="A74" s="32" t="inlineStr">
        <is>
          <t>1</t>
        </is>
      </c>
      <c r="B74" s="32" t="inlineStr">
        <is>
          <t>해당 없음</t>
        </is>
      </c>
      <c r="C74" s="32" t="inlineStr">
        <is>
          <t>DB하이텍</t>
        </is>
      </c>
      <c r="D74" s="32" t="inlineStr">
        <is>
          <t>000990</t>
        </is>
      </c>
      <c r="E74" s="32" t="inlineStr">
        <is>
          <t>KOSPI</t>
        </is>
      </c>
      <c r="F74" s="32" t="inlineStr">
        <is>
          <t>IDM/제조/메모리</t>
        </is>
      </c>
      <c r="G74" s="32" t="inlineStr">
        <is>
          <t>IDM/제조/메모리</t>
        </is>
      </c>
      <c r="H74" s="32" t="inlineStr">
        <is>
          <t>False</t>
        </is>
      </c>
      <c r="I74" s="32" t="inlineStr">
        <is>
          <t>True</t>
        </is>
      </c>
      <c r="J74" s="32" t="inlineStr">
        <is>
          <t>OK</t>
        </is>
      </c>
      <c r="K74" s="32" t="inlineStr">
        <is>
          <t>데이터 사용 가능</t>
        </is>
      </c>
      <c r="L74" s="32" t="inlineStr">
        <is>
          <t>LOW</t>
        </is>
      </c>
      <c r="M74" s="32" t="inlineStr">
        <is>
          <t>LOW</t>
        </is>
      </c>
      <c r="N74" s="32" t="inlineStr">
        <is>
          <t>0.6653333333333333</t>
        </is>
      </c>
      <c r="O74" s="32" t="inlineStr">
        <is>
          <t>ATTRACTIVE</t>
        </is>
      </c>
      <c r="P74" s="32" t="inlineStr">
        <is>
          <t>가치 매력</t>
        </is>
      </c>
      <c r="Q74" s="32" t="inlineStr">
        <is>
          <t>ATTRACTIVE</t>
        </is>
      </c>
      <c r="R74" s="32" t="inlineStr">
        <is>
          <t>0.9104444876024207</t>
        </is>
      </c>
      <c r="S74" s="32" t="inlineStr">
        <is>
          <t>HIGH</t>
        </is>
      </c>
      <c r="T74" s="32" t="inlineStr">
        <is>
          <t>HIGH</t>
        </is>
      </c>
      <c r="U74" s="32" t="inlineStr">
        <is>
          <t>0.0</t>
        </is>
      </c>
      <c r="V74" s="32" t="inlineStr">
        <is>
          <t>LOW_RISK</t>
        </is>
      </c>
      <c r="W74" s="32" t="inlineStr">
        <is>
          <t>저위험</t>
        </is>
      </c>
      <c r="X74" s="32" t="inlineStr">
        <is>
          <t>LOW_RISK</t>
        </is>
      </c>
      <c r="Y74" s="32" t="inlineStr">
        <is>
          <t>0.9880726272379208</t>
        </is>
      </c>
      <c r="Z74" s="32" t="inlineStr">
        <is>
          <t>HIGH</t>
        </is>
      </c>
      <c r="AA74" s="32" t="inlineStr">
        <is>
          <t>HIGH</t>
        </is>
      </c>
      <c r="AB74" s="32" t="inlineStr">
        <is>
          <t>0.04988685023425709</t>
        </is>
      </c>
      <c r="AC74" s="32" t="inlineStr">
        <is>
          <t>False</t>
        </is>
      </c>
      <c r="AD74" s="32" t="inlineStr">
        <is>
          <t>False</t>
        </is>
      </c>
      <c r="AE74" s="32" t="inlineStr">
        <is>
          <t>valuation_credit_ml_overlay_candidate.csv</t>
        </is>
      </c>
      <c r="AF74" s="32" t="inlineStr">
        <is>
          <t>208개 반도체 reference universe. Valuation Agent가 자체 intake 폴더로 복제해 Peer/ML/대시보드 비교에 사용.</t>
        </is>
      </c>
    </row>
    <row r="75" ht="24" customHeight="1">
      <c r="A75" s="27" t="inlineStr">
        <is>
          <t>24</t>
        </is>
      </c>
      <c r="B75" s="27" t="inlineStr">
        <is>
          <t>해당 없음</t>
        </is>
      </c>
      <c r="C75" s="27" t="inlineStr">
        <is>
          <t>오디텍</t>
        </is>
      </c>
      <c r="D75" s="27" t="inlineStr">
        <is>
          <t>080520</t>
        </is>
      </c>
      <c r="E75" s="27" t="inlineStr">
        <is>
          <t>KOSDAQ</t>
        </is>
      </c>
      <c r="F75" s="27" t="inlineStr">
        <is>
          <t>IDM/제조/메모리</t>
        </is>
      </c>
      <c r="G75" s="27" t="inlineStr">
        <is>
          <t>IDM/제조/메모리</t>
        </is>
      </c>
      <c r="H75" s="27" t="inlineStr">
        <is>
          <t>False</t>
        </is>
      </c>
      <c r="I75" s="27" t="inlineStr">
        <is>
          <t>True</t>
        </is>
      </c>
      <c r="J75" s="27" t="inlineStr">
        <is>
          <t>OK</t>
        </is>
      </c>
      <c r="K75" s="27" t="inlineStr">
        <is>
          <t>데이터 사용 가능</t>
        </is>
      </c>
      <c r="L75" s="27" t="inlineStr">
        <is>
          <t>LOW</t>
        </is>
      </c>
      <c r="M75" s="27" t="inlineStr">
        <is>
          <t>LOW</t>
        </is>
      </c>
      <c r="N75" s="27" t="inlineStr">
        <is>
          <t>0.6083333333333334</t>
        </is>
      </c>
      <c r="O75" s="27" t="inlineStr">
        <is>
          <t>FAIR</t>
        </is>
      </c>
      <c r="P75" s="27" t="inlineStr">
        <is>
          <t>FAIR</t>
        </is>
      </c>
      <c r="Q75" s="27" t="inlineStr">
        <is>
          <t>FAIR</t>
        </is>
      </c>
      <c r="R75" s="27" t="inlineStr">
        <is>
          <t>0.8328575689014174</t>
        </is>
      </c>
      <c r="S75" s="27" t="inlineStr">
        <is>
          <t>HIGH</t>
        </is>
      </c>
      <c r="T75" s="27" t="inlineStr">
        <is>
          <t>HIGH</t>
        </is>
      </c>
      <c r="U75" s="27" t="inlineStr">
        <is>
          <t>0.4285714285714285</t>
        </is>
      </c>
      <c r="V75" s="27" t="inlineStr">
        <is>
          <t>HIGH_RISK</t>
        </is>
      </c>
      <c r="W75" s="27" t="inlineStr">
        <is>
          <t>고위험</t>
        </is>
      </c>
      <c r="X75" s="27" t="inlineStr">
        <is>
          <t>HIGH_RISK</t>
        </is>
      </c>
      <c r="Y75" s="27" t="inlineStr">
        <is>
          <t>0.5607063964580236</t>
        </is>
      </c>
      <c r="Z75" s="27" t="inlineStr">
        <is>
          <t>MEDIUM</t>
        </is>
      </c>
      <c r="AA75" s="27" t="inlineStr">
        <is>
          <t>MEDIUM</t>
        </is>
      </c>
      <c r="AB75" s="27" t="inlineStr">
        <is>
          <t>0.4397907707686155</t>
        </is>
      </c>
      <c r="AC75" s="27" t="inlineStr">
        <is>
          <t>True</t>
        </is>
      </c>
      <c r="AD75" s="27" t="inlineStr">
        <is>
          <t>True</t>
        </is>
      </c>
      <c r="AE75" s="27" t="inlineStr">
        <is>
          <t>valuation_credit_ml_overlay_candidate.csv</t>
        </is>
      </c>
      <c r="AF75" s="27" t="inlineStr">
        <is>
          <t>208개 반도체 reference universe. Valuation Agent가 자체 intake 폴더로 복제해 Peer/ML/대시보드 비교에 사용.</t>
        </is>
      </c>
    </row>
    <row r="76" ht="24" customHeight="1">
      <c r="A76" s="32" t="inlineStr">
        <is>
          <t>6</t>
        </is>
      </c>
      <c r="B76" s="32" t="inlineStr">
        <is>
          <t>해당 없음</t>
        </is>
      </c>
      <c r="C76" s="32" t="inlineStr">
        <is>
          <t>그린리소스</t>
        </is>
      </c>
      <c r="D76" s="32" t="inlineStr">
        <is>
          <t>402490</t>
        </is>
      </c>
      <c r="E76" s="32" t="inlineStr">
        <is>
          <t>KOSDAQ</t>
        </is>
      </c>
      <c r="F76" s="32" t="inlineStr">
        <is>
          <t>IDM/제조/메모리</t>
        </is>
      </c>
      <c r="G76" s="32" t="inlineStr">
        <is>
          <t>IDM/제조/메모리</t>
        </is>
      </c>
      <c r="H76" s="32" t="inlineStr">
        <is>
          <t>False</t>
        </is>
      </c>
      <c r="I76" s="32" t="inlineStr">
        <is>
          <t>True</t>
        </is>
      </c>
      <c r="J76" s="32" t="inlineStr">
        <is>
          <t>OK_LIMITED_HISTORY_OR_GROWTH_NA</t>
        </is>
      </c>
      <c r="K76" s="32" t="inlineStr">
        <is>
          <t>데이터 사용 가능</t>
        </is>
      </c>
      <c r="L76" s="32" t="inlineStr">
        <is>
          <t>LOW</t>
        </is>
      </c>
      <c r="M76" s="32" t="inlineStr">
        <is>
          <t>LOW</t>
        </is>
      </c>
      <c r="N76" s="32" t="inlineStr">
        <is>
          <t>0.6021666666666667</t>
        </is>
      </c>
      <c r="O76" s="32" t="inlineStr">
        <is>
          <t>FAIR</t>
        </is>
      </c>
      <c r="P76" s="32" t="inlineStr">
        <is>
          <t>FAIR</t>
        </is>
      </c>
      <c r="Q76" s="32" t="inlineStr">
        <is>
          <t>FAIR</t>
        </is>
      </c>
      <c r="R76" s="32" t="inlineStr">
        <is>
          <t>0.7869051998623771</t>
        </is>
      </c>
      <c r="S76" s="32" t="inlineStr">
        <is>
          <t>HIGH</t>
        </is>
      </c>
      <c r="T76" s="32" t="inlineStr">
        <is>
          <t>HIGH</t>
        </is>
      </c>
      <c r="U76" s="32" t="inlineStr">
        <is>
          <t>0.4285714285714285</t>
        </is>
      </c>
      <c r="V76" s="32" t="inlineStr">
        <is>
          <t>HIGH_RISK</t>
        </is>
      </c>
      <c r="W76" s="32" t="inlineStr">
        <is>
          <t>고위험</t>
        </is>
      </c>
      <c r="X76" s="32" t="inlineStr">
        <is>
          <t>HIGH_RISK</t>
        </is>
      </c>
      <c r="Y76" s="32" t="inlineStr">
        <is>
          <t>0.5860253292011965</t>
        </is>
      </c>
      <c r="Z76" s="32" t="inlineStr">
        <is>
          <t>MEDIUM</t>
        </is>
      </c>
      <c r="AA76" s="32" t="inlineStr">
        <is>
          <t>MEDIUM</t>
        </is>
      </c>
      <c r="AB76" s="32" t="inlineStr">
        <is>
          <t>0.04512954873345755</t>
        </is>
      </c>
      <c r="AC76" s="32" t="inlineStr">
        <is>
          <t>False</t>
        </is>
      </c>
      <c r="AD76" s="32" t="inlineStr">
        <is>
          <t>True</t>
        </is>
      </c>
      <c r="AE76" s="32" t="inlineStr">
        <is>
          <t>valuation_credit_ml_overlay_candidate.csv</t>
        </is>
      </c>
      <c r="AF76" s="32" t="inlineStr">
        <is>
          <t>208개 반도체 reference universe. Valuation Agent가 자체 intake 폴더로 복제해 Peer/ML/대시보드 비교에 사용.</t>
        </is>
      </c>
    </row>
    <row r="77" ht="24" customHeight="1">
      <c r="A77" s="27" t="inlineStr">
        <is>
          <t>8</t>
        </is>
      </c>
      <c r="B77" s="27" t="inlineStr">
        <is>
          <t>해당 없음</t>
        </is>
      </c>
      <c r="C77" s="27" t="inlineStr">
        <is>
          <t>루멘스</t>
        </is>
      </c>
      <c r="D77" s="27" t="inlineStr">
        <is>
          <t>038060</t>
        </is>
      </c>
      <c r="E77" s="27" t="inlineStr">
        <is>
          <t>KOSDAQ</t>
        </is>
      </c>
      <c r="F77" s="27" t="inlineStr">
        <is>
          <t>IDM/제조/메모리</t>
        </is>
      </c>
      <c r="G77" s="27" t="inlineStr">
        <is>
          <t>IDM/제조/메모리</t>
        </is>
      </c>
      <c r="H77" s="27" t="inlineStr">
        <is>
          <t>False</t>
        </is>
      </c>
      <c r="I77" s="27" t="inlineStr">
        <is>
          <t>True</t>
        </is>
      </c>
      <c r="J77" s="27" t="inlineStr">
        <is>
          <t>OK</t>
        </is>
      </c>
      <c r="K77" s="27" t="inlineStr">
        <is>
          <t>데이터 사용 가능</t>
        </is>
      </c>
      <c r="L77" s="27" t="inlineStr">
        <is>
          <t>LOW</t>
        </is>
      </c>
      <c r="M77" s="27" t="inlineStr">
        <is>
          <t>LOW</t>
        </is>
      </c>
      <c r="N77" s="27" t="inlineStr">
        <is>
          <t>0.5970000000000001</t>
        </is>
      </c>
      <c r="O77" s="27" t="inlineStr">
        <is>
          <t>FAIR</t>
        </is>
      </c>
      <c r="P77" s="27" t="inlineStr">
        <is>
          <t>FAIR</t>
        </is>
      </c>
      <c r="Q77" s="27" t="inlineStr">
        <is>
          <t>FAIR</t>
        </is>
      </c>
      <c r="R77" s="27" t="inlineStr">
        <is>
          <t>0.8437683700786414</t>
        </is>
      </c>
      <c r="S77" s="27" t="inlineStr">
        <is>
          <t>HIGH</t>
        </is>
      </c>
      <c r="T77" s="27" t="inlineStr">
        <is>
          <t>HIGH</t>
        </is>
      </c>
      <c r="U77" s="27" t="inlineStr">
        <is>
          <t>0.3571428571428571</t>
        </is>
      </c>
      <c r="V77" s="27" t="inlineStr">
        <is>
          <t>MEDIUM_RISK</t>
        </is>
      </c>
      <c r="W77" s="27" t="inlineStr">
        <is>
          <t>중위험</t>
        </is>
      </c>
      <c r="X77" s="27" t="inlineStr">
        <is>
          <t>MEDIUM_RISK</t>
        </is>
      </c>
      <c r="Y77" s="27" t="inlineStr">
        <is>
          <t>0.7365544810444915</t>
        </is>
      </c>
      <c r="Z77" s="27" t="inlineStr">
        <is>
          <t>HIGH</t>
        </is>
      </c>
      <c r="AA77" s="27" t="inlineStr">
        <is>
          <t>HIGH</t>
        </is>
      </c>
      <c r="AB77" s="27" t="inlineStr">
        <is>
          <t>0.0791711120821534</t>
        </is>
      </c>
      <c r="AC77" s="27" t="inlineStr">
        <is>
          <t>False</t>
        </is>
      </c>
      <c r="AD77" s="27" t="inlineStr">
        <is>
          <t>False</t>
        </is>
      </c>
      <c r="AE77" s="27" t="inlineStr">
        <is>
          <t>valuation_credit_ml_overlay_candidate.csv</t>
        </is>
      </c>
      <c r="AF77" s="27" t="inlineStr">
        <is>
          <t>208개 반도체 reference universe. Valuation Agent가 자체 intake 폴더로 복제해 Peer/ML/대시보드 비교에 사용.</t>
        </is>
      </c>
    </row>
    <row r="78" ht="24" customHeight="1">
      <c r="A78" s="32" t="inlineStr">
        <is>
          <t>37</t>
        </is>
      </c>
      <c r="B78" s="32" t="inlineStr">
        <is>
          <t>해당 없음</t>
        </is>
      </c>
      <c r="C78" s="32" t="inlineStr">
        <is>
          <t>피델릭스</t>
        </is>
      </c>
      <c r="D78" s="32" t="inlineStr">
        <is>
          <t>032580</t>
        </is>
      </c>
      <c r="E78" s="32" t="inlineStr">
        <is>
          <t>KOSDAQ</t>
        </is>
      </c>
      <c r="F78" s="32" t="inlineStr">
        <is>
          <t>IDM/제조/메모리</t>
        </is>
      </c>
      <c r="G78" s="32" t="inlineStr">
        <is>
          <t>IDM/제조/메모리</t>
        </is>
      </c>
      <c r="H78" s="32" t="inlineStr">
        <is>
          <t>False</t>
        </is>
      </c>
      <c r="I78" s="32" t="inlineStr">
        <is>
          <t>True</t>
        </is>
      </c>
      <c r="J78" s="32" t="inlineStr">
        <is>
          <t>OK</t>
        </is>
      </c>
      <c r="K78" s="32" t="inlineStr">
        <is>
          <t>데이터 사용 가능</t>
        </is>
      </c>
      <c r="L78" s="32" t="inlineStr">
        <is>
          <t>LOW</t>
        </is>
      </c>
      <c r="M78" s="32" t="inlineStr">
        <is>
          <t>LOW</t>
        </is>
      </c>
      <c r="N78" s="32" t="inlineStr">
        <is>
          <t>0.5873333333333334</t>
        </is>
      </c>
      <c r="O78" s="32" t="inlineStr">
        <is>
          <t>FAIR</t>
        </is>
      </c>
      <c r="P78" s="32" t="inlineStr">
        <is>
          <t>FAIR</t>
        </is>
      </c>
      <c r="Q78" s="32" t="inlineStr">
        <is>
          <t>FAIR</t>
        </is>
      </c>
      <c r="R78" s="32" t="inlineStr">
        <is>
          <t>0.8604826019551013</t>
        </is>
      </c>
      <c r="S78" s="32" t="inlineStr">
        <is>
          <t>HIGH</t>
        </is>
      </c>
      <c r="T78" s="32" t="inlineStr">
        <is>
          <t>HIGH</t>
        </is>
      </c>
      <c r="U78" s="32" t="inlineStr">
        <is>
          <t>0.5</t>
        </is>
      </c>
      <c r="V78" s="32" t="inlineStr">
        <is>
          <t>HIGH_RISK</t>
        </is>
      </c>
      <c r="W78" s="32" t="inlineStr">
        <is>
          <t>고위험</t>
        </is>
      </c>
      <c r="X78" s="32" t="inlineStr">
        <is>
          <t>HIGH_RISK</t>
        </is>
      </c>
      <c r="Y78" s="32" t="inlineStr">
        <is>
          <t>0.9138628953549666</t>
        </is>
      </c>
      <c r="Z78" s="32" t="inlineStr">
        <is>
          <t>HIGH</t>
        </is>
      </c>
      <c r="AA78" s="32" t="inlineStr">
        <is>
          <t>HIGH</t>
        </is>
      </c>
      <c r="AB78" s="32" t="inlineStr">
        <is>
          <t>0.0765288896391056</t>
        </is>
      </c>
      <c r="AC78" s="32" t="inlineStr">
        <is>
          <t>False</t>
        </is>
      </c>
      <c r="AD78" s="32" t="inlineStr">
        <is>
          <t>False</t>
        </is>
      </c>
      <c r="AE78" s="32" t="inlineStr">
        <is>
          <t>valuation_credit_ml_overlay_candidate.csv</t>
        </is>
      </c>
      <c r="AF78" s="32" t="inlineStr">
        <is>
          <t>208개 반도체 reference universe. Valuation Agent가 자체 intake 폴더로 복제해 Peer/ML/대시보드 비교에 사용.</t>
        </is>
      </c>
    </row>
    <row r="79" ht="24" customHeight="1">
      <c r="A79" s="27" t="inlineStr">
        <is>
          <t>21</t>
        </is>
      </c>
      <c r="B79" s="27" t="inlineStr">
        <is>
          <t>해당 없음</t>
        </is>
      </c>
      <c r="C79" s="27" t="inlineStr">
        <is>
          <t>엔시트론</t>
        </is>
      </c>
      <c r="D79" s="27" t="inlineStr">
        <is>
          <t>101400</t>
        </is>
      </c>
      <c r="E79" s="27" t="inlineStr">
        <is>
          <t>KOSDAQ</t>
        </is>
      </c>
      <c r="F79" s="27" t="inlineStr">
        <is>
          <t>IDM/제조/메모리</t>
        </is>
      </c>
      <c r="G79" s="27" t="inlineStr">
        <is>
          <t>IDM/제조/메모리</t>
        </is>
      </c>
      <c r="H79" s="27" t="inlineStr">
        <is>
          <t>False</t>
        </is>
      </c>
      <c r="I79" s="27" t="inlineStr">
        <is>
          <t>True</t>
        </is>
      </c>
      <c r="J79" s="27" t="inlineStr">
        <is>
          <t>OK</t>
        </is>
      </c>
      <c r="K79" s="27" t="inlineStr">
        <is>
          <t>데이터 사용 가능</t>
        </is>
      </c>
      <c r="L79" s="27" t="inlineStr">
        <is>
          <t>LOW</t>
        </is>
      </c>
      <c r="M79" s="27" t="inlineStr">
        <is>
          <t>LOW</t>
        </is>
      </c>
      <c r="N79" s="27" t="inlineStr">
        <is>
          <t>0.5773333333333333</t>
        </is>
      </c>
      <c r="O79" s="27" t="inlineStr">
        <is>
          <t>FAIR</t>
        </is>
      </c>
      <c r="P79" s="27" t="inlineStr">
        <is>
          <t>FAIR</t>
        </is>
      </c>
      <c r="Q79" s="27" t="inlineStr">
        <is>
          <t>FAIR</t>
        </is>
      </c>
      <c r="R79" s="27" t="inlineStr">
        <is>
          <t>0.8173941540342667</t>
        </is>
      </c>
      <c r="S79" s="27" t="inlineStr">
        <is>
          <t>HIGH</t>
        </is>
      </c>
      <c r="T79" s="27" t="inlineStr">
        <is>
          <t>HIGH</t>
        </is>
      </c>
      <c r="U79" s="27" t="inlineStr">
        <is>
          <t>0.3571428571428571</t>
        </is>
      </c>
      <c r="V79" s="27" t="inlineStr">
        <is>
          <t>MEDIUM_RISK</t>
        </is>
      </c>
      <c r="W79" s="27" t="inlineStr">
        <is>
          <t>중위험</t>
        </is>
      </c>
      <c r="X79" s="27" t="inlineStr">
        <is>
          <t>MEDIUM_RISK</t>
        </is>
      </c>
      <c r="Y79" s="27" t="inlineStr">
        <is>
          <t>0.7799614337035685</t>
        </is>
      </c>
      <c r="Z79" s="27" t="inlineStr">
        <is>
          <t>HIGH</t>
        </is>
      </c>
      <c r="AA79" s="27" t="inlineStr">
        <is>
          <t>HIGH</t>
        </is>
      </c>
      <c r="AB79" s="27" t="inlineStr">
        <is>
          <t>0.08202020185637905</t>
        </is>
      </c>
      <c r="AC79" s="27" t="inlineStr">
        <is>
          <t>False</t>
        </is>
      </c>
      <c r="AD79" s="27" t="inlineStr">
        <is>
          <t>False</t>
        </is>
      </c>
      <c r="AE79" s="27" t="inlineStr">
        <is>
          <t>valuation_credit_ml_overlay_candidate.csv</t>
        </is>
      </c>
      <c r="AF79" s="27" t="inlineStr">
        <is>
          <t>208개 반도체 reference universe. Valuation Agent가 자체 intake 폴더로 복제해 Peer/ML/대시보드 비교에 사용.</t>
        </is>
      </c>
    </row>
    <row r="80" ht="24" customHeight="1">
      <c r="A80" s="32" t="inlineStr">
        <is>
          <t>13</t>
        </is>
      </c>
      <c r="B80" s="32" t="inlineStr">
        <is>
          <t>해당 없음</t>
        </is>
      </c>
      <c r="C80" s="32" t="inlineStr">
        <is>
          <t>서울바이오시스</t>
        </is>
      </c>
      <c r="D80" s="32" t="inlineStr">
        <is>
          <t>092190</t>
        </is>
      </c>
      <c r="E80" s="32" t="inlineStr">
        <is>
          <t>KOSDAQ</t>
        </is>
      </c>
      <c r="F80" s="32" t="inlineStr">
        <is>
          <t>IDM/제조/메모리</t>
        </is>
      </c>
      <c r="G80" s="32" t="inlineStr">
        <is>
          <t>IDM/제조/메모리</t>
        </is>
      </c>
      <c r="H80" s="32" t="inlineStr">
        <is>
          <t>False</t>
        </is>
      </c>
      <c r="I80" s="32" t="inlineStr">
        <is>
          <t>True</t>
        </is>
      </c>
      <c r="J80" s="32" t="inlineStr">
        <is>
          <t>OK</t>
        </is>
      </c>
      <c r="K80" s="32" t="inlineStr">
        <is>
          <t>데이터 사용 가능</t>
        </is>
      </c>
      <c r="L80" s="32" t="inlineStr">
        <is>
          <t>LOW</t>
        </is>
      </c>
      <c r="M80" s="32" t="inlineStr">
        <is>
          <t>LOW</t>
        </is>
      </c>
      <c r="N80" s="32" t="inlineStr">
        <is>
          <t>0.5655</t>
        </is>
      </c>
      <c r="O80" s="32" t="inlineStr">
        <is>
          <t>FAIR</t>
        </is>
      </c>
      <c r="P80" s="32" t="inlineStr">
        <is>
          <t>FAIR</t>
        </is>
      </c>
      <c r="Q80" s="32" t="inlineStr">
        <is>
          <t>FAIR</t>
        </is>
      </c>
      <c r="R80" s="32" t="inlineStr">
        <is>
          <t>0.7336783523450653</t>
        </is>
      </c>
      <c r="S80" s="32" t="inlineStr">
        <is>
          <t>HIGH</t>
        </is>
      </c>
      <c r="T80" s="32" t="inlineStr">
        <is>
          <t>HIGH</t>
        </is>
      </c>
      <c r="U80" s="32" t="inlineStr">
        <is>
          <t>0.4285714285714285</t>
        </is>
      </c>
      <c r="V80" s="32" t="inlineStr">
        <is>
          <t>HIGH_RISK</t>
        </is>
      </c>
      <c r="W80" s="32" t="inlineStr">
        <is>
          <t>고위험</t>
        </is>
      </c>
      <c r="X80" s="32" t="inlineStr">
        <is>
          <t>MEDIUM_RISK</t>
        </is>
      </c>
      <c r="Y80" s="32" t="inlineStr">
        <is>
          <t>0.420701328500417</t>
        </is>
      </c>
      <c r="Z80" s="32" t="inlineStr">
        <is>
          <t>LOW</t>
        </is>
      </c>
      <c r="AA80" s="32" t="inlineStr">
        <is>
          <t>LOW</t>
        </is>
      </c>
      <c r="AB80" s="32" t="inlineStr">
        <is>
          <t>0.22867438374329632</t>
        </is>
      </c>
      <c r="AC80" s="32" t="inlineStr">
        <is>
          <t>False</t>
        </is>
      </c>
      <c r="AD80" s="32" t="inlineStr">
        <is>
          <t>True</t>
        </is>
      </c>
      <c r="AE80" s="32" t="inlineStr">
        <is>
          <t>valuation_credit_ml_overlay_candidate.csv</t>
        </is>
      </c>
      <c r="AF80" s="32" t="inlineStr">
        <is>
          <t>208개 반도체 reference universe. Valuation Agent가 자체 intake 폴더로 복제해 Peer/ML/대시보드 비교에 사용.</t>
        </is>
      </c>
    </row>
    <row r="81" ht="24" customHeight="1">
      <c r="A81" s="27" t="inlineStr">
        <is>
          <t>34</t>
        </is>
      </c>
      <c r="B81" s="27" t="inlineStr">
        <is>
          <t>해당 없음</t>
        </is>
      </c>
      <c r="C81" s="27" t="inlineStr">
        <is>
          <t>큐에스아이</t>
        </is>
      </c>
      <c r="D81" s="27" t="inlineStr">
        <is>
          <t>066310</t>
        </is>
      </c>
      <c r="E81" s="27" t="inlineStr">
        <is>
          <t>KOSDAQ</t>
        </is>
      </c>
      <c r="F81" s="27" t="inlineStr">
        <is>
          <t>IDM/제조/메모리</t>
        </is>
      </c>
      <c r="G81" s="27" t="inlineStr">
        <is>
          <t>IDM/제조/메모리</t>
        </is>
      </c>
      <c r="H81" s="27" t="inlineStr">
        <is>
          <t>False</t>
        </is>
      </c>
      <c r="I81" s="27" t="inlineStr">
        <is>
          <t>True</t>
        </is>
      </c>
      <c r="J81" s="27" t="inlineStr">
        <is>
          <t>OK</t>
        </is>
      </c>
      <c r="K81" s="27" t="inlineStr">
        <is>
          <t>데이터 사용 가능</t>
        </is>
      </c>
      <c r="L81" s="27" t="inlineStr">
        <is>
          <t>LOW</t>
        </is>
      </c>
      <c r="M81" s="27" t="inlineStr">
        <is>
          <t>LOW</t>
        </is>
      </c>
      <c r="N81" s="27" t="inlineStr">
        <is>
          <t>0.5423333333333333</t>
        </is>
      </c>
      <c r="O81" s="27" t="inlineStr">
        <is>
          <t>FAIR</t>
        </is>
      </c>
      <c r="P81" s="27" t="inlineStr">
        <is>
          <t>FAIR</t>
        </is>
      </c>
      <c r="Q81" s="27" t="inlineStr">
        <is>
          <t>FAIR</t>
        </is>
      </c>
      <c r="R81" s="27" t="inlineStr">
        <is>
          <t>0.5496283015517583</t>
        </is>
      </c>
      <c r="S81" s="27" t="inlineStr">
        <is>
          <t>MEDIUM</t>
        </is>
      </c>
      <c r="T81" s="27" t="inlineStr">
        <is>
          <t>MEDIUM</t>
        </is>
      </c>
      <c r="U81" s="27" t="inlineStr">
        <is>
          <t>0.0714285714285714</t>
        </is>
      </c>
      <c r="V81" s="27" t="inlineStr">
        <is>
          <t>LOW_RISK</t>
        </is>
      </c>
      <c r="W81" s="27" t="inlineStr">
        <is>
          <t>저위험</t>
        </is>
      </c>
      <c r="X81" s="27" t="inlineStr">
        <is>
          <t>LOW_RISK</t>
        </is>
      </c>
      <c r="Y81" s="27" t="inlineStr">
        <is>
          <t>0.8341403016587674</t>
        </is>
      </c>
      <c r="Z81" s="27" t="inlineStr">
        <is>
          <t>HIGH</t>
        </is>
      </c>
      <c r="AA81" s="27" t="inlineStr">
        <is>
          <t>HIGH</t>
        </is>
      </c>
      <c r="AB81" s="27" t="inlineStr">
        <is>
          <t>0.21446147407494193</t>
        </is>
      </c>
      <c r="AC81" s="27" t="inlineStr">
        <is>
          <t>False</t>
        </is>
      </c>
      <c r="AD81" s="27" t="inlineStr">
        <is>
          <t>False</t>
        </is>
      </c>
      <c r="AE81" s="27" t="inlineStr">
        <is>
          <t>valuation_credit_ml_overlay_candidate.csv</t>
        </is>
      </c>
      <c r="AF81" s="27" t="inlineStr">
        <is>
          <t>208개 반도체 reference universe. Valuation Agent가 자체 intake 폴더로 복제해 Peer/ML/대시보드 비교에 사용.</t>
        </is>
      </c>
    </row>
    <row r="82" ht="24" customHeight="1">
      <c r="A82" s="32" t="inlineStr">
        <is>
          <t>23</t>
        </is>
      </c>
      <c r="B82" s="32" t="inlineStr">
        <is>
          <t>해당 없음</t>
        </is>
      </c>
      <c r="C82" s="32" t="inlineStr">
        <is>
          <t>엘오티베큠</t>
        </is>
      </c>
      <c r="D82" s="32" t="inlineStr">
        <is>
          <t>083310</t>
        </is>
      </c>
      <c r="E82" s="32" t="inlineStr">
        <is>
          <t>KOSDAQ</t>
        </is>
      </c>
      <c r="F82" s="32" t="inlineStr">
        <is>
          <t>IDM/제조/메모리</t>
        </is>
      </c>
      <c r="G82" s="32" t="inlineStr">
        <is>
          <t>IDM/제조/메모리</t>
        </is>
      </c>
      <c r="H82" s="32" t="inlineStr">
        <is>
          <t>False</t>
        </is>
      </c>
      <c r="I82" s="32" t="inlineStr">
        <is>
          <t>True</t>
        </is>
      </c>
      <c r="J82" s="32" t="inlineStr">
        <is>
          <t>OK</t>
        </is>
      </c>
      <c r="K82" s="32" t="inlineStr">
        <is>
          <t>데이터 사용 가능</t>
        </is>
      </c>
      <c r="L82" s="32" t="inlineStr">
        <is>
          <t>LOW</t>
        </is>
      </c>
      <c r="M82" s="32" t="inlineStr">
        <is>
          <t>LOW</t>
        </is>
      </c>
      <c r="N82" s="32" t="inlineStr">
        <is>
          <t>0.538</t>
        </is>
      </c>
      <c r="O82" s="32" t="inlineStr">
        <is>
          <t>FAIR</t>
        </is>
      </c>
      <c r="P82" s="32" t="inlineStr">
        <is>
          <t>FAIR</t>
        </is>
      </c>
      <c r="Q82" s="32" t="inlineStr">
        <is>
          <t>FAIR</t>
        </is>
      </c>
      <c r="R82" s="32" t="inlineStr">
        <is>
          <t>0.860578291373445</t>
        </is>
      </c>
      <c r="S82" s="32" t="inlineStr">
        <is>
          <t>HIGH</t>
        </is>
      </c>
      <c r="T82" s="32" t="inlineStr">
        <is>
          <t>HIGH</t>
        </is>
      </c>
      <c r="U82" s="32" t="inlineStr">
        <is>
          <t>0.2142857142857142</t>
        </is>
      </c>
      <c r="V82" s="32" t="inlineStr">
        <is>
          <t>MEDIUM_RISK</t>
        </is>
      </c>
      <c r="W82" s="32" t="inlineStr">
        <is>
          <t>중위험</t>
        </is>
      </c>
      <c r="X82" s="32" t="inlineStr">
        <is>
          <t>MEDIUM_RISK</t>
        </is>
      </c>
      <c r="Y82" s="32" t="inlineStr">
        <is>
          <t>0.8356274138697954</t>
        </is>
      </c>
      <c r="Z82" s="32" t="inlineStr">
        <is>
          <t>HIGH</t>
        </is>
      </c>
      <c r="AA82" s="32" t="inlineStr">
        <is>
          <t>HIGH</t>
        </is>
      </c>
      <c r="AB82" s="32" t="inlineStr">
        <is>
          <t>0.04088276425948358</t>
        </is>
      </c>
      <c r="AC82" s="32" t="inlineStr">
        <is>
          <t>False</t>
        </is>
      </c>
      <c r="AD82" s="32" t="inlineStr">
        <is>
          <t>False</t>
        </is>
      </c>
      <c r="AE82" s="32" t="inlineStr">
        <is>
          <t>valuation_credit_ml_overlay_candidate.csv</t>
        </is>
      </c>
      <c r="AF82" s="32" t="inlineStr">
        <is>
          <t>208개 반도체 reference universe. Valuation Agent가 자체 intake 폴더로 복제해 Peer/ML/대시보드 비교에 사용.</t>
        </is>
      </c>
    </row>
    <row r="83" ht="24" customHeight="1">
      <c r="A83" s="27" t="inlineStr">
        <is>
          <t>11</t>
        </is>
      </c>
      <c r="B83" s="27" t="inlineStr">
        <is>
          <t>해당 없음</t>
        </is>
      </c>
      <c r="C83" s="27" t="inlineStr">
        <is>
          <t>비씨엔씨</t>
        </is>
      </c>
      <c r="D83" s="27" t="inlineStr">
        <is>
          <t>146320</t>
        </is>
      </c>
      <c r="E83" s="27" t="inlineStr">
        <is>
          <t>KOSDAQ</t>
        </is>
      </c>
      <c r="F83" s="27" t="inlineStr">
        <is>
          <t>IDM/제조/메모리</t>
        </is>
      </c>
      <c r="G83" s="27" t="inlineStr">
        <is>
          <t>IDM/제조/메모리</t>
        </is>
      </c>
      <c r="H83" s="27" t="inlineStr">
        <is>
          <t>False</t>
        </is>
      </c>
      <c r="I83" s="27" t="inlineStr">
        <is>
          <t>True</t>
        </is>
      </c>
      <c r="J83" s="27" t="inlineStr">
        <is>
          <t>KEY_ACCOUNT_PARTIAL_MISSING</t>
        </is>
      </c>
      <c r="K83" s="27" t="inlineStr">
        <is>
          <t>데이터 사용 가능</t>
        </is>
      </c>
      <c r="L83" s="27" t="inlineStr">
        <is>
          <t>MEDIUM</t>
        </is>
      </c>
      <c r="M83" s="27" t="inlineStr">
        <is>
          <t>MEDIUM</t>
        </is>
      </c>
      <c r="N83" s="27" t="inlineStr">
        <is>
          <t>0.5365833333333333</t>
        </is>
      </c>
      <c r="O83" s="27" t="inlineStr">
        <is>
          <t>FAIR</t>
        </is>
      </c>
      <c r="P83" s="27" t="inlineStr">
        <is>
          <t>FAIR</t>
        </is>
      </c>
      <c r="Q83" s="27" t="inlineStr">
        <is>
          <t>FAIR</t>
        </is>
      </c>
      <c r="R83" s="27" t="inlineStr">
        <is>
          <t>0.7033805368548921</t>
        </is>
      </c>
      <c r="S83" s="27" t="inlineStr">
        <is>
          <t>HIGH</t>
        </is>
      </c>
      <c r="T83" s="27" t="inlineStr">
        <is>
          <t>HIGH</t>
        </is>
      </c>
      <c r="U83" s="27" t="inlineStr">
        <is>
          <t>0.2857142857142857</t>
        </is>
      </c>
      <c r="V83" s="27" t="inlineStr">
        <is>
          <t>MEDIUM_RISK</t>
        </is>
      </c>
      <c r="W83" s="27" t="inlineStr">
        <is>
          <t>중위험</t>
        </is>
      </c>
      <c r="X83" s="27" t="inlineStr">
        <is>
          <t>MEDIUM_RISK</t>
        </is>
      </c>
      <c r="Y83" s="27" t="inlineStr">
        <is>
          <t>0.7333342608471988</t>
        </is>
      </c>
      <c r="Z83" s="27" t="inlineStr">
        <is>
          <t>HIGH</t>
        </is>
      </c>
      <c r="AA83" s="27" t="inlineStr">
        <is>
          <t>HIGH</t>
        </is>
      </c>
      <c r="AB83" s="27" t="inlineStr">
        <is>
          <t>0.031762409510830696</t>
        </is>
      </c>
      <c r="AC83" s="27" t="inlineStr">
        <is>
          <t>False</t>
        </is>
      </c>
      <c r="AD83" s="27" t="inlineStr">
        <is>
          <t>True</t>
        </is>
      </c>
      <c r="AE83" s="27" t="inlineStr">
        <is>
          <t>valuation_credit_ml_overlay_candidate.csv</t>
        </is>
      </c>
      <c r="AF83" s="27" t="inlineStr">
        <is>
          <t>208개 반도체 reference universe. Valuation Agent가 자체 intake 폴더로 복제해 Peer/ML/대시보드 비교에 사용.</t>
        </is>
      </c>
    </row>
    <row r="84" ht="24" customHeight="1">
      <c r="A84" s="32" t="inlineStr">
        <is>
          <t>36</t>
        </is>
      </c>
      <c r="B84" s="32" t="inlineStr">
        <is>
          <t>해당 없음</t>
        </is>
      </c>
      <c r="C84" s="32" t="inlineStr">
        <is>
          <t>티엘비</t>
        </is>
      </c>
      <c r="D84" s="32" t="inlineStr">
        <is>
          <t>356860</t>
        </is>
      </c>
      <c r="E84" s="32" t="inlineStr">
        <is>
          <t>KOSDAQ</t>
        </is>
      </c>
      <c r="F84" s="32" t="inlineStr">
        <is>
          <t>IDM/제조/메모리</t>
        </is>
      </c>
      <c r="G84" s="32" t="inlineStr">
        <is>
          <t>IDM/제조/메모리</t>
        </is>
      </c>
      <c r="H84" s="32" t="inlineStr">
        <is>
          <t>False</t>
        </is>
      </c>
      <c r="I84" s="32" t="inlineStr">
        <is>
          <t>True</t>
        </is>
      </c>
      <c r="J84" s="32" t="inlineStr">
        <is>
          <t>OK</t>
        </is>
      </c>
      <c r="K84" s="32" t="inlineStr">
        <is>
          <t>데이터 사용 가능</t>
        </is>
      </c>
      <c r="L84" s="32" t="inlineStr">
        <is>
          <t>LOW</t>
        </is>
      </c>
      <c r="M84" s="32" t="inlineStr">
        <is>
          <t>LOW</t>
        </is>
      </c>
      <c r="N84" s="32" t="inlineStr">
        <is>
          <t>0.5361666666666667</t>
        </is>
      </c>
      <c r="O84" s="32" t="inlineStr">
        <is>
          <t>FAIR</t>
        </is>
      </c>
      <c r="P84" s="32" t="inlineStr">
        <is>
          <t>FAIR</t>
        </is>
      </c>
      <c r="Q84" s="32" t="inlineStr">
        <is>
          <t>FAIR</t>
        </is>
      </c>
      <c r="R84" s="32" t="inlineStr">
        <is>
          <t>0.8509295904965918</t>
        </is>
      </c>
      <c r="S84" s="32" t="inlineStr">
        <is>
          <t>HIGH</t>
        </is>
      </c>
      <c r="T84" s="32" t="inlineStr">
        <is>
          <t>HIGH</t>
        </is>
      </c>
      <c r="U84" s="32" t="inlineStr">
        <is>
          <t>0.0714285714285714</t>
        </is>
      </c>
      <c r="V84" s="32" t="inlineStr">
        <is>
          <t>LOW_RISK</t>
        </is>
      </c>
      <c r="W84" s="32" t="inlineStr">
        <is>
          <t>저위험</t>
        </is>
      </c>
      <c r="X84" s="32" t="inlineStr">
        <is>
          <t>LOW_RISK</t>
        </is>
      </c>
      <c r="Y84" s="32" t="inlineStr">
        <is>
          <t>0.6625834729097503</t>
        </is>
      </c>
      <c r="Z84" s="32" t="inlineStr">
        <is>
          <t>MEDIUM</t>
        </is>
      </c>
      <c r="AA84" s="32" t="inlineStr">
        <is>
          <t>MEDIUM</t>
        </is>
      </c>
      <c r="AB84" s="32" t="inlineStr">
        <is>
          <t>0.01843936297746685</t>
        </is>
      </c>
      <c r="AC84" s="32" t="inlineStr">
        <is>
          <t>False</t>
        </is>
      </c>
      <c r="AD84" s="32" t="inlineStr">
        <is>
          <t>False</t>
        </is>
      </c>
      <c r="AE84" s="32" t="inlineStr">
        <is>
          <t>valuation_credit_ml_overlay_candidate.csv</t>
        </is>
      </c>
      <c r="AF84" s="32" t="inlineStr">
        <is>
          <t>208개 반도체 reference universe. Valuation Agent가 자체 intake 폴더로 복제해 Peer/ML/대시보드 비교에 사용.</t>
        </is>
      </c>
    </row>
    <row r="85" ht="24" customHeight="1">
      <c r="A85" s="27" t="inlineStr">
        <is>
          <t>38</t>
        </is>
      </c>
      <c r="B85" s="27" t="inlineStr">
        <is>
          <t>해당 없음</t>
        </is>
      </c>
      <c r="C85" s="27" t="inlineStr">
        <is>
          <t>하나머티리얼즈</t>
        </is>
      </c>
      <c r="D85" s="27" t="inlineStr">
        <is>
          <t>166090</t>
        </is>
      </c>
      <c r="E85" s="27" t="inlineStr">
        <is>
          <t>KOSDAQ GLOBAL</t>
        </is>
      </c>
      <c r="F85" s="27" t="inlineStr">
        <is>
          <t>IDM/제조/메모리</t>
        </is>
      </c>
      <c r="G85" s="27" t="inlineStr">
        <is>
          <t>IDM/제조/메모리</t>
        </is>
      </c>
      <c r="H85" s="27" t="inlineStr">
        <is>
          <t>False</t>
        </is>
      </c>
      <c r="I85" s="27" t="inlineStr">
        <is>
          <t>True</t>
        </is>
      </c>
      <c r="J85" s="27" t="inlineStr">
        <is>
          <t>OK</t>
        </is>
      </c>
      <c r="K85" s="27" t="inlineStr">
        <is>
          <t>데이터 사용 가능</t>
        </is>
      </c>
      <c r="L85" s="27" t="inlineStr">
        <is>
          <t>LOW</t>
        </is>
      </c>
      <c r="M85" s="27" t="inlineStr">
        <is>
          <t>LOW</t>
        </is>
      </c>
      <c r="N85" s="27" t="inlineStr">
        <is>
          <t>0.5321666666666667</t>
        </is>
      </c>
      <c r="O85" s="27" t="inlineStr">
        <is>
          <t>FAIR</t>
        </is>
      </c>
      <c r="P85" s="27" t="inlineStr">
        <is>
          <t>FAIR</t>
        </is>
      </c>
      <c r="Q85" s="27" t="inlineStr">
        <is>
          <t>ATTRACTIVE</t>
        </is>
      </c>
      <c r="R85" s="27" t="inlineStr">
        <is>
          <t>0.6425667923365267</t>
        </is>
      </c>
      <c r="S85" s="27" t="inlineStr">
        <is>
          <t>MEDIUM</t>
        </is>
      </c>
      <c r="T85" s="27" t="inlineStr">
        <is>
          <t>MEDIUM</t>
        </is>
      </c>
      <c r="U85" s="27" t="inlineStr">
        <is>
          <t>0.0</t>
        </is>
      </c>
      <c r="V85" s="27" t="inlineStr">
        <is>
          <t>LOW_RISK</t>
        </is>
      </c>
      <c r="W85" s="27" t="inlineStr">
        <is>
          <t>저위험</t>
        </is>
      </c>
      <c r="X85" s="27" t="inlineStr">
        <is>
          <t>LOW_RISK</t>
        </is>
      </c>
      <c r="Y85" s="27" t="inlineStr">
        <is>
          <t>0.9093779024453453</t>
        </is>
      </c>
      <c r="Z85" s="27" t="inlineStr">
        <is>
          <t>HIGH</t>
        </is>
      </c>
      <c r="AA85" s="27" t="inlineStr">
        <is>
          <t>HIGH</t>
        </is>
      </c>
      <c r="AB85" s="27" t="inlineStr">
        <is>
          <t>0.030620686282363033</t>
        </is>
      </c>
      <c r="AC85" s="27" t="inlineStr">
        <is>
          <t>False</t>
        </is>
      </c>
      <c r="AD85" s="27" t="inlineStr">
        <is>
          <t>False</t>
        </is>
      </c>
      <c r="AE85" s="27" t="inlineStr">
        <is>
          <t>valuation_credit_ml_overlay_candidate.csv</t>
        </is>
      </c>
      <c r="AF85" s="27" t="inlineStr">
        <is>
          <t>208개 반도체 reference universe. Valuation Agent가 자체 intake 폴더로 복제해 Peer/ML/대시보드 비교에 사용.</t>
        </is>
      </c>
    </row>
    <row r="86" ht="24" customHeight="1">
      <c r="A86" s="32" t="inlineStr">
        <is>
          <t>26</t>
        </is>
      </c>
      <c r="B86" s="32" t="inlineStr">
        <is>
          <t>해당 없음</t>
        </is>
      </c>
      <c r="C86" s="32" t="inlineStr">
        <is>
          <t>웰킵스하이텍</t>
        </is>
      </c>
      <c r="D86" s="32" t="inlineStr">
        <is>
          <t>043590</t>
        </is>
      </c>
      <c r="E86" s="32" t="inlineStr">
        <is>
          <t>KOSDAQ</t>
        </is>
      </c>
      <c r="F86" s="32" t="inlineStr">
        <is>
          <t>IDM/제조/메모리</t>
        </is>
      </c>
      <c r="G86" s="32" t="inlineStr">
        <is>
          <t>IDM/제조/메모리</t>
        </is>
      </c>
      <c r="H86" s="32" t="inlineStr">
        <is>
          <t>False</t>
        </is>
      </c>
      <c r="I86" s="32" t="inlineStr">
        <is>
          <t>True</t>
        </is>
      </c>
      <c r="J86" s="32" t="inlineStr">
        <is>
          <t>OK</t>
        </is>
      </c>
      <c r="K86" s="32" t="inlineStr">
        <is>
          <t>데이터 사용 가능</t>
        </is>
      </c>
      <c r="L86" s="32" t="inlineStr">
        <is>
          <t>LOW</t>
        </is>
      </c>
      <c r="M86" s="32" t="inlineStr">
        <is>
          <t>LOW</t>
        </is>
      </c>
      <c r="N86" s="32" t="inlineStr">
        <is>
          <t>0.5086666666666667</t>
        </is>
      </c>
      <c r="O86" s="32" t="inlineStr">
        <is>
          <t>FAIR</t>
        </is>
      </c>
      <c r="P86" s="32" t="inlineStr">
        <is>
          <t>FAIR</t>
        </is>
      </c>
      <c r="Q86" s="32" t="inlineStr">
        <is>
          <t>FAIR</t>
        </is>
      </c>
      <c r="R86" s="32" t="inlineStr">
        <is>
          <t>0.7753200487478359</t>
        </is>
      </c>
      <c r="S86" s="32" t="inlineStr">
        <is>
          <t>HIGH</t>
        </is>
      </c>
      <c r="T86" s="32" t="inlineStr">
        <is>
          <t>HIGH</t>
        </is>
      </c>
      <c r="U86" s="32" t="inlineStr">
        <is>
          <t>0.7142857142857143</t>
        </is>
      </c>
      <c r="V86" s="32" t="inlineStr">
        <is>
          <t>HIGH_RISK</t>
        </is>
      </c>
      <c r="W86" s="32" t="inlineStr">
        <is>
          <t>고위험</t>
        </is>
      </c>
      <c r="X86" s="32" t="inlineStr">
        <is>
          <t>HIGH_RISK</t>
        </is>
      </c>
      <c r="Y86" s="32" t="inlineStr">
        <is>
          <t>0.947839296487721</t>
        </is>
      </c>
      <c r="Z86" s="32" t="inlineStr">
        <is>
          <t>HIGH</t>
        </is>
      </c>
      <c r="AA86" s="32" t="inlineStr">
        <is>
          <t>HIGH</t>
        </is>
      </c>
      <c r="AB86" s="32" t="inlineStr">
        <is>
          <t>0.081041930024575</t>
        </is>
      </c>
      <c r="AC86" s="32" t="inlineStr">
        <is>
          <t>False</t>
        </is>
      </c>
      <c r="AD86" s="32" t="inlineStr">
        <is>
          <t>False</t>
        </is>
      </c>
      <c r="AE86" s="32" t="inlineStr">
        <is>
          <t>valuation_credit_ml_overlay_candidate.csv</t>
        </is>
      </c>
      <c r="AF86" s="32" t="inlineStr">
        <is>
          <t>208개 반도체 reference universe. Valuation Agent가 자체 intake 폴더로 복제해 Peer/ML/대시보드 비교에 사용.</t>
        </is>
      </c>
    </row>
    <row r="87" ht="24" customHeight="1">
      <c r="A87" s="27" t="inlineStr">
        <is>
          <t>35</t>
        </is>
      </c>
      <c r="B87" s="27" t="inlineStr">
        <is>
          <t>해당 없음</t>
        </is>
      </c>
      <c r="C87" s="27" t="inlineStr">
        <is>
          <t>테크엘</t>
        </is>
      </c>
      <c r="D87" s="27" t="inlineStr">
        <is>
          <t>064520</t>
        </is>
      </c>
      <c r="E87" s="27" t="inlineStr">
        <is>
          <t>KOSDAQ</t>
        </is>
      </c>
      <c r="F87" s="27" t="inlineStr">
        <is>
          <t>IDM/제조/메모리</t>
        </is>
      </c>
      <c r="G87" s="27" t="inlineStr">
        <is>
          <t>IDM/제조/메모리</t>
        </is>
      </c>
      <c r="H87" s="27" t="inlineStr">
        <is>
          <t>False</t>
        </is>
      </c>
      <c r="I87" s="27" t="inlineStr">
        <is>
          <t>True</t>
        </is>
      </c>
      <c r="J87" s="27" t="inlineStr">
        <is>
          <t>OK</t>
        </is>
      </c>
      <c r="K87" s="27" t="inlineStr">
        <is>
          <t>데이터 사용 가능</t>
        </is>
      </c>
      <c r="L87" s="27" t="inlineStr">
        <is>
          <t>LOW</t>
        </is>
      </c>
      <c r="M87" s="27" t="inlineStr">
        <is>
          <t>LOW</t>
        </is>
      </c>
      <c r="N87" s="27" t="inlineStr">
        <is>
          <t>0.4756666666666667</t>
        </is>
      </c>
      <c r="O87" s="27" t="inlineStr">
        <is>
          <t>FAIR</t>
        </is>
      </c>
      <c r="P87" s="27" t="inlineStr">
        <is>
          <t>FAIR</t>
        </is>
      </c>
      <c r="Q87" s="27" t="inlineStr">
        <is>
          <t>FAIR</t>
        </is>
      </c>
      <c r="R87" s="27" t="inlineStr">
        <is>
          <t>0.7806095936743286</t>
        </is>
      </c>
      <c r="S87" s="27" t="inlineStr">
        <is>
          <t>HIGH</t>
        </is>
      </c>
      <c r="T87" s="27" t="inlineStr">
        <is>
          <t>HIGH</t>
        </is>
      </c>
      <c r="U87" s="27" t="inlineStr">
        <is>
          <t>0.5</t>
        </is>
      </c>
      <c r="V87" s="27" t="inlineStr">
        <is>
          <t>HIGH_RISK</t>
        </is>
      </c>
      <c r="W87" s="27" t="inlineStr">
        <is>
          <t>고위험</t>
        </is>
      </c>
      <c r="X87" s="27" t="inlineStr">
        <is>
          <t>HIGH_RISK</t>
        </is>
      </c>
      <c r="Y87" s="27" t="inlineStr">
        <is>
          <t>0.8561648968032103</t>
        </is>
      </c>
      <c r="Z87" s="27" t="inlineStr">
        <is>
          <t>HIGH</t>
        </is>
      </c>
      <c r="AA87" s="27" t="inlineStr">
        <is>
          <t>HIGH</t>
        </is>
      </c>
      <c r="AB87" s="27" t="inlineStr">
        <is>
          <t>0.5330742789427354</t>
        </is>
      </c>
      <c r="AC87" s="27" t="inlineStr">
        <is>
          <t>True</t>
        </is>
      </c>
      <c r="AD87" s="27" t="inlineStr">
        <is>
          <t>True</t>
        </is>
      </c>
      <c r="AE87" s="27" t="inlineStr">
        <is>
          <t>valuation_credit_ml_overlay_candidate.csv</t>
        </is>
      </c>
      <c r="AF87" s="27" t="inlineStr">
        <is>
          <t>208개 반도체 reference universe. Valuation Agent가 자체 intake 폴더로 복제해 Peer/ML/대시보드 비교에 사용.</t>
        </is>
      </c>
    </row>
    <row r="88" ht="24" customHeight="1">
      <c r="A88" s="32" t="inlineStr">
        <is>
          <t>14</t>
        </is>
      </c>
      <c r="B88" s="32" t="inlineStr">
        <is>
          <t>해당 없음</t>
        </is>
      </c>
      <c r="C88" s="32" t="inlineStr">
        <is>
          <t>서울반도체</t>
        </is>
      </c>
      <c r="D88" s="32" t="inlineStr">
        <is>
          <t>046890</t>
        </is>
      </c>
      <c r="E88" s="32" t="inlineStr">
        <is>
          <t>KOSDAQ GLOBAL</t>
        </is>
      </c>
      <c r="F88" s="32" t="inlineStr">
        <is>
          <t>IDM/제조/메모리</t>
        </is>
      </c>
      <c r="G88" s="32" t="inlineStr">
        <is>
          <t>IDM/제조/메모리</t>
        </is>
      </c>
      <c r="H88" s="32" t="inlineStr">
        <is>
          <t>False</t>
        </is>
      </c>
      <c r="I88" s="32" t="inlineStr">
        <is>
          <t>True</t>
        </is>
      </c>
      <c r="J88" s="32" t="inlineStr">
        <is>
          <t>OK</t>
        </is>
      </c>
      <c r="K88" s="32" t="inlineStr">
        <is>
          <t>데이터 사용 가능</t>
        </is>
      </c>
      <c r="L88" s="32" t="inlineStr">
        <is>
          <t>LOW</t>
        </is>
      </c>
      <c r="M88" s="32" t="inlineStr">
        <is>
          <t>LOW</t>
        </is>
      </c>
      <c r="N88" s="32" t="inlineStr">
        <is>
          <t>0.4713333333333333</t>
        </is>
      </c>
      <c r="O88" s="32" t="inlineStr">
        <is>
          <t>FAIR</t>
        </is>
      </c>
      <c r="P88" s="32" t="inlineStr">
        <is>
          <t>FAIR</t>
        </is>
      </c>
      <c r="Q88" s="32" t="inlineStr">
        <is>
          <t>FAIR</t>
        </is>
      </c>
      <c r="R88" s="32" t="inlineStr">
        <is>
          <t>0.8223266790603506</t>
        </is>
      </c>
      <c r="S88" s="32" t="inlineStr">
        <is>
          <t>HIGH</t>
        </is>
      </c>
      <c r="T88" s="32" t="inlineStr">
        <is>
          <t>HIGH</t>
        </is>
      </c>
      <c r="U88" s="32" t="inlineStr">
        <is>
          <t>0.4285714285714285</t>
        </is>
      </c>
      <c r="V88" s="32" t="inlineStr">
        <is>
          <t>HIGH_RISK</t>
        </is>
      </c>
      <c r="W88" s="32" t="inlineStr">
        <is>
          <t>고위험</t>
        </is>
      </c>
      <c r="X88" s="32" t="inlineStr">
        <is>
          <t>HIGH_RISK</t>
        </is>
      </c>
      <c r="Y88" s="32" t="inlineStr">
        <is>
          <t>0.4638497062404094</t>
        </is>
      </c>
      <c r="Z88" s="32" t="inlineStr">
        <is>
          <t>LOW</t>
        </is>
      </c>
      <c r="AA88" s="32" t="inlineStr">
        <is>
          <t>LOW</t>
        </is>
      </c>
      <c r="AB88" s="32" t="inlineStr">
        <is>
          <t>0.03475805140959721</t>
        </is>
      </c>
      <c r="AC88" s="32" t="inlineStr">
        <is>
          <t>False</t>
        </is>
      </c>
      <c r="AD88" s="32" t="inlineStr">
        <is>
          <t>True</t>
        </is>
      </c>
      <c r="AE88" s="32" t="inlineStr">
        <is>
          <t>valuation_credit_ml_overlay_candidate.csv</t>
        </is>
      </c>
      <c r="AF88" s="32" t="inlineStr">
        <is>
          <t>208개 반도체 reference universe. Valuation Agent가 자체 intake 폴더로 복제해 Peer/ML/대시보드 비교에 사용.</t>
        </is>
      </c>
    </row>
    <row r="89" ht="24" customHeight="1">
      <c r="A89" s="27" t="inlineStr">
        <is>
          <t>2</t>
        </is>
      </c>
      <c r="B89" s="27" t="inlineStr">
        <is>
          <t>해당 없음</t>
        </is>
      </c>
      <c r="C89" s="27" t="inlineStr">
        <is>
          <t>HD현대에너지솔루션</t>
        </is>
      </c>
      <c r="D89" s="27" t="inlineStr">
        <is>
          <t>322000</t>
        </is>
      </c>
      <c r="E89" s="27" t="inlineStr">
        <is>
          <t>KOSPI</t>
        </is>
      </c>
      <c r="F89" s="27" t="inlineStr">
        <is>
          <t>IDM/제조/메모리</t>
        </is>
      </c>
      <c r="G89" s="27" t="inlineStr">
        <is>
          <t>IDM/제조/메모리</t>
        </is>
      </c>
      <c r="H89" s="27" t="inlineStr">
        <is>
          <t>False</t>
        </is>
      </c>
      <c r="I89" s="27" t="inlineStr">
        <is>
          <t>True</t>
        </is>
      </c>
      <c r="J89" s="27" t="inlineStr">
        <is>
          <t>OK</t>
        </is>
      </c>
      <c r="K89" s="27" t="inlineStr">
        <is>
          <t>데이터 사용 가능</t>
        </is>
      </c>
      <c r="L89" s="27" t="inlineStr">
        <is>
          <t>LOW</t>
        </is>
      </c>
      <c r="M89" s="27" t="inlineStr">
        <is>
          <t>LOW</t>
        </is>
      </c>
      <c r="N89" s="27" t="inlineStr">
        <is>
          <t>0.465</t>
        </is>
      </c>
      <c r="O89" s="27" t="inlineStr">
        <is>
          <t>FAIR</t>
        </is>
      </c>
      <c r="P89" s="27" t="inlineStr">
        <is>
          <t>FAIR</t>
        </is>
      </c>
      <c r="Q89" s="27" t="inlineStr">
        <is>
          <t>FAIR</t>
        </is>
      </c>
      <c r="R89" s="27" t="inlineStr">
        <is>
          <t>0.6226975287022534</t>
        </is>
      </c>
      <c r="S89" s="27" t="inlineStr">
        <is>
          <t>MEDIUM</t>
        </is>
      </c>
      <c r="T89" s="27" t="inlineStr">
        <is>
          <t>MEDIUM</t>
        </is>
      </c>
      <c r="U89" s="27" t="inlineStr">
        <is>
          <t>0.1428571428571428</t>
        </is>
      </c>
      <c r="V89" s="27" t="inlineStr">
        <is>
          <t>LOW_RISK</t>
        </is>
      </c>
      <c r="W89" s="27" t="inlineStr">
        <is>
          <t>저위험</t>
        </is>
      </c>
      <c r="X89" s="27" t="inlineStr">
        <is>
          <t>LOW_RISK</t>
        </is>
      </c>
      <c r="Y89" s="27" t="inlineStr">
        <is>
          <t>0.7991918320073205</t>
        </is>
      </c>
      <c r="Z89" s="27" t="inlineStr">
        <is>
          <t>HIGH</t>
        </is>
      </c>
      <c r="AA89" s="27" t="inlineStr">
        <is>
          <t>HIGH</t>
        </is>
      </c>
      <c r="AB89" s="27" t="inlineStr">
        <is>
          <t>0.09437249653360377</t>
        </is>
      </c>
      <c r="AC89" s="27" t="inlineStr">
        <is>
          <t>False</t>
        </is>
      </c>
      <c r="AD89" s="27" t="inlineStr">
        <is>
          <t>False</t>
        </is>
      </c>
      <c r="AE89" s="27" t="inlineStr">
        <is>
          <t>valuation_credit_ml_overlay_candidate.csv</t>
        </is>
      </c>
      <c r="AF89" s="27" t="inlineStr">
        <is>
          <t>208개 반도체 reference universe. Valuation Agent가 자체 intake 폴더로 복제해 Peer/ML/대시보드 비교에 사용.</t>
        </is>
      </c>
    </row>
    <row r="90" ht="24" customHeight="1">
      <c r="A90" s="32" t="inlineStr">
        <is>
          <t>25</t>
        </is>
      </c>
      <c r="B90" s="32" t="inlineStr">
        <is>
          <t>해당 없음</t>
        </is>
      </c>
      <c r="C90" s="32" t="inlineStr">
        <is>
          <t>와이투솔루션</t>
        </is>
      </c>
      <c r="D90" s="32" t="inlineStr">
        <is>
          <t>011690</t>
        </is>
      </c>
      <c r="E90" s="32" t="inlineStr">
        <is>
          <t>KOSPI</t>
        </is>
      </c>
      <c r="F90" s="32" t="inlineStr">
        <is>
          <t>IDM/제조/메모리</t>
        </is>
      </c>
      <c r="G90" s="32" t="inlineStr">
        <is>
          <t>IDM/제조/메모리</t>
        </is>
      </c>
      <c r="H90" s="32" t="inlineStr">
        <is>
          <t>False</t>
        </is>
      </c>
      <c r="I90" s="32" t="inlineStr">
        <is>
          <t>True</t>
        </is>
      </c>
      <c r="J90" s="32" t="inlineStr">
        <is>
          <t>OK</t>
        </is>
      </c>
      <c r="K90" s="32" t="inlineStr">
        <is>
          <t>데이터 사용 가능</t>
        </is>
      </c>
      <c r="L90" s="32" t="inlineStr">
        <is>
          <t>LOW</t>
        </is>
      </c>
      <c r="M90" s="32" t="inlineStr">
        <is>
          <t>LOW</t>
        </is>
      </c>
      <c r="N90" s="32" t="inlineStr">
        <is>
          <t>0.4601666666666666</t>
        </is>
      </c>
      <c r="O90" s="32" t="inlineStr">
        <is>
          <t>FAIR</t>
        </is>
      </c>
      <c r="P90" s="32" t="inlineStr">
        <is>
          <t>FAIR</t>
        </is>
      </c>
      <c r="Q90" s="32" t="inlineStr">
        <is>
          <t>FAIR</t>
        </is>
      </c>
      <c r="R90" s="32" t="inlineStr">
        <is>
          <t>0.7379153959384467</t>
        </is>
      </c>
      <c r="S90" s="32" t="inlineStr">
        <is>
          <t>HIGH</t>
        </is>
      </c>
      <c r="T90" s="32" t="inlineStr">
        <is>
          <t>HIGH</t>
        </is>
      </c>
      <c r="U90" s="32" t="inlineStr">
        <is>
          <t>0.5714285714285714</t>
        </is>
      </c>
      <c r="V90" s="32" t="inlineStr">
        <is>
          <t>HIGH_RISK</t>
        </is>
      </c>
      <c r="W90" s="32" t="inlineStr">
        <is>
          <t>고위험</t>
        </is>
      </c>
      <c r="X90" s="32" t="inlineStr">
        <is>
          <t>HIGH_RISK</t>
        </is>
      </c>
      <c r="Y90" s="32" t="inlineStr">
        <is>
          <t>0.8423633310679534</t>
        </is>
      </c>
      <c r="Z90" s="32" t="inlineStr">
        <is>
          <t>HIGH</t>
        </is>
      </c>
      <c r="AA90" s="32" t="inlineStr">
        <is>
          <t>HIGH</t>
        </is>
      </c>
      <c r="AB90" s="32" t="inlineStr">
        <is>
          <t>0.03670855345736708</t>
        </is>
      </c>
      <c r="AC90" s="32" t="inlineStr">
        <is>
          <t>False</t>
        </is>
      </c>
      <c r="AD90" s="32" t="inlineStr">
        <is>
          <t>False</t>
        </is>
      </c>
      <c r="AE90" s="32" t="inlineStr">
        <is>
          <t>valuation_credit_ml_overlay_candidate.csv</t>
        </is>
      </c>
      <c r="AF90" s="32" t="inlineStr">
        <is>
          <t>208개 반도체 reference universe. Valuation Agent가 자체 intake 폴더로 복제해 Peer/ML/대시보드 비교에 사용.</t>
        </is>
      </c>
    </row>
    <row r="91" ht="24" customHeight="1">
      <c r="A91" s="27" t="inlineStr">
        <is>
          <t>16</t>
        </is>
      </c>
      <c r="B91" s="27" t="inlineStr">
        <is>
          <t>해당 없음</t>
        </is>
      </c>
      <c r="C91" s="27" t="inlineStr">
        <is>
          <t>신성이엔지</t>
        </is>
      </c>
      <c r="D91" s="27" t="inlineStr">
        <is>
          <t>011930</t>
        </is>
      </c>
      <c r="E91" s="27" t="inlineStr">
        <is>
          <t>KOSPI</t>
        </is>
      </c>
      <c r="F91" s="27" t="inlineStr">
        <is>
          <t>IDM/제조/메모리</t>
        </is>
      </c>
      <c r="G91" s="27" t="inlineStr">
        <is>
          <t>IDM/제조/메모리</t>
        </is>
      </c>
      <c r="H91" s="27" t="inlineStr">
        <is>
          <t>False</t>
        </is>
      </c>
      <c r="I91" s="27" t="inlineStr">
        <is>
          <t>True</t>
        </is>
      </c>
      <c r="J91" s="27" t="inlineStr">
        <is>
          <t>OK</t>
        </is>
      </c>
      <c r="K91" s="27" t="inlineStr">
        <is>
          <t>데이터 사용 가능</t>
        </is>
      </c>
      <c r="L91" s="27" t="inlineStr">
        <is>
          <t>LOW</t>
        </is>
      </c>
      <c r="M91" s="27" t="inlineStr">
        <is>
          <t>LOW</t>
        </is>
      </c>
      <c r="N91" s="27" t="inlineStr">
        <is>
          <t>0.4551666666666667</t>
        </is>
      </c>
      <c r="O91" s="27" t="inlineStr">
        <is>
          <t>FAIR</t>
        </is>
      </c>
      <c r="P91" s="27" t="inlineStr">
        <is>
          <t>FAIR</t>
        </is>
      </c>
      <c r="Q91" s="27" t="inlineStr">
        <is>
          <t>FAIR</t>
        </is>
      </c>
      <c r="R91" s="27" t="inlineStr">
        <is>
          <t>0.7610157176994289</t>
        </is>
      </c>
      <c r="S91" s="27" t="inlineStr">
        <is>
          <t>HIGH</t>
        </is>
      </c>
      <c r="T91" s="27" t="inlineStr">
        <is>
          <t>HIGH</t>
        </is>
      </c>
      <c r="U91" s="27" t="inlineStr">
        <is>
          <t>0.5714285714285714</t>
        </is>
      </c>
      <c r="V91" s="27" t="inlineStr">
        <is>
          <t>HIGH_RISK</t>
        </is>
      </c>
      <c r="W91" s="27" t="inlineStr">
        <is>
          <t>고위험</t>
        </is>
      </c>
      <c r="X91" s="27" t="inlineStr">
        <is>
          <t>HIGH_RISK</t>
        </is>
      </c>
      <c r="Y91" s="27" t="inlineStr">
        <is>
          <t>0.8294308064443926</t>
        </is>
      </c>
      <c r="Z91" s="27" t="inlineStr">
        <is>
          <t>HIGH</t>
        </is>
      </c>
      <c r="AA91" s="27" t="inlineStr">
        <is>
          <t>HIGH</t>
        </is>
      </c>
      <c r="AB91" s="27" t="inlineStr">
        <is>
          <t>0.06151448502214275</t>
        </is>
      </c>
      <c r="AC91" s="27" t="inlineStr">
        <is>
          <t>False</t>
        </is>
      </c>
      <c r="AD91" s="27" t="inlineStr">
        <is>
          <t>False</t>
        </is>
      </c>
      <c r="AE91" s="27" t="inlineStr">
        <is>
          <t>valuation_credit_ml_overlay_candidate.csv</t>
        </is>
      </c>
      <c r="AF91" s="27" t="inlineStr">
        <is>
          <t>208개 반도체 reference universe. Valuation Agent가 자체 intake 폴더로 복제해 Peer/ML/대시보드 비교에 사용.</t>
        </is>
      </c>
    </row>
    <row r="92" ht="24" customHeight="1">
      <c r="A92" s="32" t="inlineStr">
        <is>
          <t>3</t>
        </is>
      </c>
      <c r="B92" s="32" t="inlineStr">
        <is>
          <t>해당 없음</t>
        </is>
      </c>
      <c r="C92" s="32" t="inlineStr">
        <is>
          <t>KEC</t>
        </is>
      </c>
      <c r="D92" s="32" t="inlineStr">
        <is>
          <t>092220</t>
        </is>
      </c>
      <c r="E92" s="32" t="inlineStr">
        <is>
          <t>KOSPI</t>
        </is>
      </c>
      <c r="F92" s="32" t="inlineStr">
        <is>
          <t>IDM/제조/메모리</t>
        </is>
      </c>
      <c r="G92" s="32" t="inlineStr">
        <is>
          <t>IDM/제조/메모리</t>
        </is>
      </c>
      <c r="H92" s="32" t="inlineStr">
        <is>
          <t>False</t>
        </is>
      </c>
      <c r="I92" s="32" t="inlineStr">
        <is>
          <t>True</t>
        </is>
      </c>
      <c r="J92" s="32" t="inlineStr">
        <is>
          <t>OK</t>
        </is>
      </c>
      <c r="K92" s="32" t="inlineStr">
        <is>
          <t>데이터 사용 가능</t>
        </is>
      </c>
      <c r="L92" s="32" t="inlineStr">
        <is>
          <t>LOW</t>
        </is>
      </c>
      <c r="M92" s="32" t="inlineStr">
        <is>
          <t>LOW</t>
        </is>
      </c>
      <c r="N92" s="32" t="inlineStr">
        <is>
          <t>0.4550000000000001</t>
        </is>
      </c>
      <c r="O92" s="32" t="inlineStr">
        <is>
          <t>FAIR</t>
        </is>
      </c>
      <c r="P92" s="32" t="inlineStr">
        <is>
          <t>FAIR</t>
        </is>
      </c>
      <c r="Q92" s="32" t="inlineStr">
        <is>
          <t>FAIR</t>
        </is>
      </c>
      <c r="R92" s="32" t="inlineStr">
        <is>
          <t>0.7937660338126779</t>
        </is>
      </c>
      <c r="S92" s="32" t="inlineStr">
        <is>
          <t>HIGH</t>
        </is>
      </c>
      <c r="T92" s="32" t="inlineStr">
        <is>
          <t>HIGH</t>
        </is>
      </c>
      <c r="U92" s="32" t="inlineStr">
        <is>
          <t>0.5</t>
        </is>
      </c>
      <c r="V92" s="32" t="inlineStr">
        <is>
          <t>HIGH_RISK</t>
        </is>
      </c>
      <c r="W92" s="32" t="inlineStr">
        <is>
          <t>고위험</t>
        </is>
      </c>
      <c r="X92" s="32" t="inlineStr">
        <is>
          <t>HIGH_RISK</t>
        </is>
      </c>
      <c r="Y92" s="32" t="inlineStr">
        <is>
          <t>0.7303610104178266</t>
        </is>
      </c>
      <c r="Z92" s="32" t="inlineStr">
        <is>
          <t>HIGH</t>
        </is>
      </c>
      <c r="AA92" s="32" t="inlineStr">
        <is>
          <t>HIGH</t>
        </is>
      </c>
      <c r="AB92" s="32" t="inlineStr">
        <is>
          <t>0.053989845114113894</t>
        </is>
      </c>
      <c r="AC92" s="32" t="inlineStr">
        <is>
          <t>False</t>
        </is>
      </c>
      <c r="AD92" s="32" t="inlineStr">
        <is>
          <t>False</t>
        </is>
      </c>
      <c r="AE92" s="32" t="inlineStr">
        <is>
          <t>valuation_credit_ml_overlay_candidate.csv</t>
        </is>
      </c>
      <c r="AF92" s="32" t="inlineStr">
        <is>
          <t>208개 반도체 reference universe. Valuation Agent가 자체 intake 폴더로 복제해 Peer/ML/대시보드 비교에 사용.</t>
        </is>
      </c>
    </row>
    <row r="93" ht="24" customHeight="1">
      <c r="A93" s="27" t="inlineStr">
        <is>
          <t>28</t>
        </is>
      </c>
      <c r="B93" s="27" t="inlineStr">
        <is>
          <t>해당 없음</t>
        </is>
      </c>
      <c r="C93" s="27" t="inlineStr">
        <is>
          <t>일진디스플</t>
        </is>
      </c>
      <c r="D93" s="27" t="inlineStr">
        <is>
          <t>020760</t>
        </is>
      </c>
      <c r="E93" s="27" t="inlineStr">
        <is>
          <t>KOSPI</t>
        </is>
      </c>
      <c r="F93" s="27" t="inlineStr">
        <is>
          <t>IDM/제조/메모리</t>
        </is>
      </c>
      <c r="G93" s="27" t="inlineStr">
        <is>
          <t>IDM/제조/메모리</t>
        </is>
      </c>
      <c r="H93" s="27" t="inlineStr">
        <is>
          <t>False</t>
        </is>
      </c>
      <c r="I93" s="27" t="inlineStr">
        <is>
          <t>True</t>
        </is>
      </c>
      <c r="J93" s="27" t="inlineStr">
        <is>
          <t>OK</t>
        </is>
      </c>
      <c r="K93" s="27" t="inlineStr">
        <is>
          <t>데이터 사용 가능</t>
        </is>
      </c>
      <c r="L93" s="27" t="inlineStr">
        <is>
          <t>LOW</t>
        </is>
      </c>
      <c r="M93" s="27" t="inlineStr">
        <is>
          <t>LOW</t>
        </is>
      </c>
      <c r="N93" s="27" t="inlineStr">
        <is>
          <t>0.4335</t>
        </is>
      </c>
      <c r="O93" s="27" t="inlineStr">
        <is>
          <t>FAIR</t>
        </is>
      </c>
      <c r="P93" s="27" t="inlineStr">
        <is>
          <t>FAIR</t>
        </is>
      </c>
      <c r="Q93" s="27" t="inlineStr">
        <is>
          <t>FAIR</t>
        </is>
      </c>
      <c r="R93" s="27" t="inlineStr">
        <is>
          <t>0.7887205359697603</t>
        </is>
      </c>
      <c r="S93" s="27" t="inlineStr">
        <is>
          <t>HIGH</t>
        </is>
      </c>
      <c r="T93" s="27" t="inlineStr">
        <is>
          <t>HIGH</t>
        </is>
      </c>
      <c r="U93" s="27" t="inlineStr">
        <is>
          <t>0.6428571428571429</t>
        </is>
      </c>
      <c r="V93" s="27" t="inlineStr">
        <is>
          <t>HIGH_RISK</t>
        </is>
      </c>
      <c r="W93" s="27" t="inlineStr">
        <is>
          <t>고위험</t>
        </is>
      </c>
      <c r="X93" s="27" t="inlineStr">
        <is>
          <t>HIGH_RISK</t>
        </is>
      </c>
      <c r="Y93" s="27" t="inlineStr">
        <is>
          <t>0.8165793827285804</t>
        </is>
      </c>
      <c r="Z93" s="27" t="inlineStr">
        <is>
          <t>HIGH</t>
        </is>
      </c>
      <c r="AA93" s="27" t="inlineStr">
        <is>
          <t>HIGH</t>
        </is>
      </c>
      <c r="AB93" s="27" t="inlineStr">
        <is>
          <t>0.21528045597611217</t>
        </is>
      </c>
      <c r="AC93" s="27" t="inlineStr">
        <is>
          <t>False</t>
        </is>
      </c>
      <c r="AD93" s="27" t="inlineStr">
        <is>
          <t>False</t>
        </is>
      </c>
      <c r="AE93" s="27" t="inlineStr">
        <is>
          <t>valuation_credit_ml_overlay_candidate.csv</t>
        </is>
      </c>
      <c r="AF93" s="27" t="inlineStr">
        <is>
          <t>208개 반도체 reference universe. Valuation Agent가 자체 intake 폴더로 복제해 Peer/ML/대시보드 비교에 사용.</t>
        </is>
      </c>
    </row>
    <row r="94" ht="24" customHeight="1">
      <c r="A94" s="32" t="inlineStr">
        <is>
          <t>7</t>
        </is>
      </c>
      <c r="B94" s="32" t="inlineStr">
        <is>
          <t>해당 없음</t>
        </is>
      </c>
      <c r="C94" s="32" t="inlineStr">
        <is>
          <t>덕산하이메탈</t>
        </is>
      </c>
      <c r="D94" s="32" t="inlineStr">
        <is>
          <t>077360</t>
        </is>
      </c>
      <c r="E94" s="32" t="inlineStr">
        <is>
          <t>KOSDAQ</t>
        </is>
      </c>
      <c r="F94" s="32" t="inlineStr">
        <is>
          <t>IDM/제조/메모리</t>
        </is>
      </c>
      <c r="G94" s="32" t="inlineStr">
        <is>
          <t>IDM/제조/메모리</t>
        </is>
      </c>
      <c r="H94" s="32" t="inlineStr">
        <is>
          <t>False</t>
        </is>
      </c>
      <c r="I94" s="32" t="inlineStr">
        <is>
          <t>True</t>
        </is>
      </c>
      <c r="J94" s="32" t="inlineStr">
        <is>
          <t>OK</t>
        </is>
      </c>
      <c r="K94" s="32" t="inlineStr">
        <is>
          <t>데이터 사용 가능</t>
        </is>
      </c>
      <c r="L94" s="32" t="inlineStr">
        <is>
          <t>LOW</t>
        </is>
      </c>
      <c r="M94" s="32" t="inlineStr">
        <is>
          <t>LOW</t>
        </is>
      </c>
      <c r="N94" s="32" t="inlineStr">
        <is>
          <t>0.4333333333333333</t>
        </is>
      </c>
      <c r="O94" s="32" t="inlineStr">
        <is>
          <t>FAIR</t>
        </is>
      </c>
      <c r="P94" s="32" t="inlineStr">
        <is>
          <t>FAIR</t>
        </is>
      </c>
      <c r="Q94" s="32" t="inlineStr">
        <is>
          <t>FAIR</t>
        </is>
      </c>
      <c r="R94" s="32" t="inlineStr">
        <is>
          <t>0.6698541971057747</t>
        </is>
      </c>
      <c r="S94" s="32" t="inlineStr">
        <is>
          <t>MEDIUM</t>
        </is>
      </c>
      <c r="T94" s="32" t="inlineStr">
        <is>
          <t>MEDIUM</t>
        </is>
      </c>
      <c r="U94" s="32" t="inlineStr">
        <is>
          <t>0.2857142857142857</t>
        </is>
      </c>
      <c r="V94" s="32" t="inlineStr">
        <is>
          <t>MEDIUM_RISK</t>
        </is>
      </c>
      <c r="W94" s="32" t="inlineStr">
        <is>
          <t>중위험</t>
        </is>
      </c>
      <c r="X94" s="32" t="inlineStr">
        <is>
          <t>MEDIUM_RISK</t>
        </is>
      </c>
      <c r="Y94" s="32" t="inlineStr">
        <is>
          <t>0.6576042698954024</t>
        </is>
      </c>
      <c r="Z94" s="32" t="inlineStr">
        <is>
          <t>MEDIUM</t>
        </is>
      </c>
      <c r="AA94" s="32" t="inlineStr">
        <is>
          <t>MEDIUM</t>
        </is>
      </c>
      <c r="AB94" s="32" t="inlineStr">
        <is>
          <t>0.07260471392088348</t>
        </is>
      </c>
      <c r="AC94" s="32" t="inlineStr">
        <is>
          <t>False</t>
        </is>
      </c>
      <c r="AD94" s="32" t="inlineStr">
        <is>
          <t>False</t>
        </is>
      </c>
      <c r="AE94" s="32" t="inlineStr">
        <is>
          <t>valuation_credit_ml_overlay_candidate.csv</t>
        </is>
      </c>
      <c r="AF94" s="32" t="inlineStr">
        <is>
          <t>208개 반도체 reference universe. Valuation Agent가 자체 intake 폴더로 복제해 Peer/ML/대시보드 비교에 사용.</t>
        </is>
      </c>
    </row>
    <row r="95" ht="24" customHeight="1">
      <c r="A95" s="27" t="inlineStr">
        <is>
          <t>20</t>
        </is>
      </c>
      <c r="B95" s="27" t="inlineStr">
        <is>
          <t>해당 없음</t>
        </is>
      </c>
      <c r="C95" s="27" t="inlineStr">
        <is>
          <t>에이디테크놀로지</t>
        </is>
      </c>
      <c r="D95" s="27" t="inlineStr">
        <is>
          <t>200710</t>
        </is>
      </c>
      <c r="E95" s="27" t="inlineStr">
        <is>
          <t>KOSDAQ</t>
        </is>
      </c>
      <c r="F95" s="27" t="inlineStr">
        <is>
          <t>IDM/제조/메모리</t>
        </is>
      </c>
      <c r="G95" s="27" t="inlineStr">
        <is>
          <t>IDM/제조/메모리</t>
        </is>
      </c>
      <c r="H95" s="27" t="inlineStr">
        <is>
          <t>False</t>
        </is>
      </c>
      <c r="I95" s="27" t="inlineStr">
        <is>
          <t>True</t>
        </is>
      </c>
      <c r="J95" s="27" t="inlineStr">
        <is>
          <t>OK</t>
        </is>
      </c>
      <c r="K95" s="27" t="inlineStr">
        <is>
          <t>데이터 사용 가능</t>
        </is>
      </c>
      <c r="L95" s="27" t="inlineStr">
        <is>
          <t>LOW</t>
        </is>
      </c>
      <c r="M95" s="27" t="inlineStr">
        <is>
          <t>LOW</t>
        </is>
      </c>
      <c r="N95" s="27" t="inlineStr">
        <is>
          <t>0.4271666666666666</t>
        </is>
      </c>
      <c r="O95" s="27" t="inlineStr">
        <is>
          <t>FAIR</t>
        </is>
      </c>
      <c r="P95" s="27" t="inlineStr">
        <is>
          <t>FAIR</t>
        </is>
      </c>
      <c r="Q95" s="27" t="inlineStr">
        <is>
          <t>FAIR</t>
        </is>
      </c>
      <c r="R95" s="27" t="inlineStr">
        <is>
          <t>0.6637416757093363</t>
        </is>
      </c>
      <c r="S95" s="27" t="inlineStr">
        <is>
          <t>MEDIUM</t>
        </is>
      </c>
      <c r="T95" s="27" t="inlineStr">
        <is>
          <t>MEDIUM</t>
        </is>
      </c>
      <c r="U95" s="27" t="inlineStr">
        <is>
          <t>0.2857142857142857</t>
        </is>
      </c>
      <c r="V95" s="27" t="inlineStr">
        <is>
          <t>MEDIUM_RISK</t>
        </is>
      </c>
      <c r="W95" s="27" t="inlineStr">
        <is>
          <t>중위험</t>
        </is>
      </c>
      <c r="X95" s="27" t="inlineStr">
        <is>
          <t>MEDIUM_RISK</t>
        </is>
      </c>
      <c r="Y95" s="27" t="inlineStr">
        <is>
          <t>0.4528354914042248</t>
        </is>
      </c>
      <c r="Z95" s="27" t="inlineStr">
        <is>
          <t>LOW</t>
        </is>
      </c>
      <c r="AA95" s="27" t="inlineStr">
        <is>
          <t>LOW</t>
        </is>
      </c>
      <c r="AB95" s="27" t="inlineStr">
        <is>
          <t>0.0588627097981607</t>
        </is>
      </c>
      <c r="AC95" s="27" t="inlineStr">
        <is>
          <t>False</t>
        </is>
      </c>
      <c r="AD95" s="27" t="inlineStr">
        <is>
          <t>True</t>
        </is>
      </c>
      <c r="AE95" s="27" t="inlineStr">
        <is>
          <t>valuation_credit_ml_overlay_candidate.csv</t>
        </is>
      </c>
      <c r="AF95" s="27" t="inlineStr">
        <is>
          <t>208개 반도체 reference universe. Valuation Agent가 자체 intake 폴더로 복제해 Peer/ML/대시보드 비교에 사용.</t>
        </is>
      </c>
    </row>
    <row r="96" ht="24" customHeight="1">
      <c r="A96" s="32" t="inlineStr">
        <is>
          <t>5</t>
        </is>
      </c>
      <c r="B96" s="32" t="inlineStr">
        <is>
          <t>해당 없음</t>
        </is>
      </c>
      <c r="C96" s="32" t="inlineStr">
        <is>
          <t>광전자</t>
        </is>
      </c>
      <c r="D96" s="32" t="inlineStr">
        <is>
          <t>017900</t>
        </is>
      </c>
      <c r="E96" s="32" t="inlineStr">
        <is>
          <t>KOSPI</t>
        </is>
      </c>
      <c r="F96" s="32" t="inlineStr">
        <is>
          <t>IDM/제조/메모리</t>
        </is>
      </c>
      <c r="G96" s="32" t="inlineStr">
        <is>
          <t>IDM/제조/메모리</t>
        </is>
      </c>
      <c r="H96" s="32" t="inlineStr">
        <is>
          <t>False</t>
        </is>
      </c>
      <c r="I96" s="32" t="inlineStr">
        <is>
          <t>True</t>
        </is>
      </c>
      <c r="J96" s="32" t="inlineStr">
        <is>
          <t>OK</t>
        </is>
      </c>
      <c r="K96" s="32" t="inlineStr">
        <is>
          <t>데이터 사용 가능</t>
        </is>
      </c>
      <c r="L96" s="32" t="inlineStr">
        <is>
          <t>LOW</t>
        </is>
      </c>
      <c r="M96" s="32" t="inlineStr">
        <is>
          <t>LOW</t>
        </is>
      </c>
      <c r="N96" s="32" t="inlineStr">
        <is>
          <t>0.4184166666666666</t>
        </is>
      </c>
      <c r="O96" s="32" t="inlineStr">
        <is>
          <t>EXPENSIVE</t>
        </is>
      </c>
      <c r="P96" s="32" t="inlineStr">
        <is>
          <t>EXPENSIVE</t>
        </is>
      </c>
      <c r="Q96" s="32" t="inlineStr">
        <is>
          <t>EXPENSIVE</t>
        </is>
      </c>
      <c r="R96" s="32" t="inlineStr">
        <is>
          <t>0.6817751829328556</t>
        </is>
      </c>
      <c r="S96" s="32" t="inlineStr">
        <is>
          <t>MEDIUM</t>
        </is>
      </c>
      <c r="T96" s="32" t="inlineStr">
        <is>
          <t>MEDIUM</t>
        </is>
      </c>
      <c r="U96" s="32" t="inlineStr">
        <is>
          <t>0.2142857142857142</t>
        </is>
      </c>
      <c r="V96" s="32" t="inlineStr">
        <is>
          <t>MEDIUM_RISK</t>
        </is>
      </c>
      <c r="W96" s="32" t="inlineStr">
        <is>
          <t>중위험</t>
        </is>
      </c>
      <c r="X96" s="32" t="inlineStr">
        <is>
          <t>LOW_RISK</t>
        </is>
      </c>
      <c r="Y96" s="32" t="inlineStr">
        <is>
          <t>0.4656539331033742</t>
        </is>
      </c>
      <c r="Z96" s="32" t="inlineStr">
        <is>
          <t>LOW</t>
        </is>
      </c>
      <c r="AA96" s="32" t="inlineStr">
        <is>
          <t>LOW</t>
        </is>
      </c>
      <c r="AB96" s="32" t="inlineStr">
        <is>
          <t>0.24789843408919227</t>
        </is>
      </c>
      <c r="AC96" s="32" t="inlineStr">
        <is>
          <t>True</t>
        </is>
      </c>
      <c r="AD96" s="32" t="inlineStr">
        <is>
          <t>True</t>
        </is>
      </c>
      <c r="AE96" s="32" t="inlineStr">
        <is>
          <t>valuation_credit_ml_overlay_candidate.csv</t>
        </is>
      </c>
      <c r="AF96" s="32" t="inlineStr">
        <is>
          <t>208개 반도체 reference universe. Valuation Agent가 자체 intake 폴더로 복제해 Peer/ML/대시보드 비교에 사용.</t>
        </is>
      </c>
    </row>
    <row r="97" ht="24" customHeight="1">
      <c r="A97" s="27" t="inlineStr">
        <is>
          <t>19</t>
        </is>
      </c>
      <c r="B97" s="27" t="inlineStr">
        <is>
          <t>해당 없음</t>
        </is>
      </c>
      <c r="C97" s="27" t="inlineStr">
        <is>
          <t>아진엑스텍</t>
        </is>
      </c>
      <c r="D97" s="27" t="inlineStr">
        <is>
          <t>059120</t>
        </is>
      </c>
      <c r="E97" s="27" t="inlineStr">
        <is>
          <t>KOSDAQ</t>
        </is>
      </c>
      <c r="F97" s="27" t="inlineStr">
        <is>
          <t>IDM/제조/메모리</t>
        </is>
      </c>
      <c r="G97" s="27" t="inlineStr">
        <is>
          <t>IDM/제조/메모리</t>
        </is>
      </c>
      <c r="H97" s="27" t="inlineStr">
        <is>
          <t>False</t>
        </is>
      </c>
      <c r="I97" s="27" t="inlineStr">
        <is>
          <t>True</t>
        </is>
      </c>
      <c r="J97" s="27" t="inlineStr">
        <is>
          <t>OK</t>
        </is>
      </c>
      <c r="K97" s="27" t="inlineStr">
        <is>
          <t>데이터 사용 가능</t>
        </is>
      </c>
      <c r="L97" s="27" t="inlineStr">
        <is>
          <t>LOW</t>
        </is>
      </c>
      <c r="M97" s="27" t="inlineStr">
        <is>
          <t>LOW</t>
        </is>
      </c>
      <c r="N97" s="27" t="inlineStr">
        <is>
          <t>0.4128333333333333</t>
        </is>
      </c>
      <c r="O97" s="27" t="inlineStr">
        <is>
          <t>EXPENSIVE</t>
        </is>
      </c>
      <c r="P97" s="27" t="inlineStr">
        <is>
          <t>EXPENSIVE</t>
        </is>
      </c>
      <c r="Q97" s="27" t="inlineStr">
        <is>
          <t>EXPENSIVE</t>
        </is>
      </c>
      <c r="R97" s="27" t="inlineStr">
        <is>
          <t>0.6635799672057409</t>
        </is>
      </c>
      <c r="S97" s="27" t="inlineStr">
        <is>
          <t>MEDIUM</t>
        </is>
      </c>
      <c r="T97" s="27" t="inlineStr">
        <is>
          <t>MEDIUM</t>
        </is>
      </c>
      <c r="U97" s="27" t="inlineStr">
        <is>
          <t>0.0714285714285714</t>
        </is>
      </c>
      <c r="V97" s="27" t="inlineStr">
        <is>
          <t>LOW_RISK</t>
        </is>
      </c>
      <c r="W97" s="27" t="inlineStr">
        <is>
          <t>저위험</t>
        </is>
      </c>
      <c r="X97" s="27" t="inlineStr">
        <is>
          <t>LOW_RISK</t>
        </is>
      </c>
      <c r="Y97" s="27" t="inlineStr">
        <is>
          <t>0.8000764213249202</t>
        </is>
      </c>
      <c r="Z97" s="27" t="inlineStr">
        <is>
          <t>HIGH</t>
        </is>
      </c>
      <c r="AA97" s="27" t="inlineStr">
        <is>
          <t>HIGH</t>
        </is>
      </c>
      <c r="AB97" s="27" t="inlineStr">
        <is>
          <t>0.21158533556078782</t>
        </is>
      </c>
      <c r="AC97" s="27" t="inlineStr">
        <is>
          <t>False</t>
        </is>
      </c>
      <c r="AD97" s="27" t="inlineStr">
        <is>
          <t>False</t>
        </is>
      </c>
      <c r="AE97" s="27" t="inlineStr">
        <is>
          <t>valuation_credit_ml_overlay_candidate.csv</t>
        </is>
      </c>
      <c r="AF97" s="27" t="inlineStr">
        <is>
          <t>208개 반도체 reference universe. Valuation Agent가 자체 intake 폴더로 복제해 Peer/ML/대시보드 비교에 사용.</t>
        </is>
      </c>
    </row>
    <row r="98" ht="24" customHeight="1">
      <c r="A98" s="32" t="inlineStr">
        <is>
          <t>33</t>
        </is>
      </c>
      <c r="B98" s="32" t="inlineStr">
        <is>
          <t>해당 없음</t>
        </is>
      </c>
      <c r="C98" s="32" t="inlineStr">
        <is>
          <t>코스텍시스</t>
        </is>
      </c>
      <c r="D98" s="32" t="inlineStr">
        <is>
          <t>355150</t>
        </is>
      </c>
      <c r="E98" s="32" t="inlineStr">
        <is>
          <t>KOSDAQ</t>
        </is>
      </c>
      <c r="F98" s="32" t="inlineStr">
        <is>
          <t>IDM/제조/메모리</t>
        </is>
      </c>
      <c r="G98" s="32" t="inlineStr">
        <is>
          <t>IDM/제조/메모리</t>
        </is>
      </c>
      <c r="H98" s="32" t="inlineStr">
        <is>
          <t>False</t>
        </is>
      </c>
      <c r="I98" s="32" t="inlineStr">
        <is>
          <t>True</t>
        </is>
      </c>
      <c r="J98" s="32" t="inlineStr">
        <is>
          <t>OK_LIMITED_HISTORY_OR_GROWTH_NA</t>
        </is>
      </c>
      <c r="K98" s="32" t="inlineStr">
        <is>
          <t>데이터 사용 가능</t>
        </is>
      </c>
      <c r="L98" s="32" t="inlineStr">
        <is>
          <t>LOW</t>
        </is>
      </c>
      <c r="M98" s="32" t="inlineStr">
        <is>
          <t>LOW</t>
        </is>
      </c>
      <c r="N98" s="32" t="inlineStr">
        <is>
          <t>0.4096666666666666</t>
        </is>
      </c>
      <c r="O98" s="32" t="inlineStr">
        <is>
          <t>EXPENSIVE</t>
        </is>
      </c>
      <c r="P98" s="32" t="inlineStr">
        <is>
          <t>EXPENSIVE</t>
        </is>
      </c>
      <c r="Q98" s="32" t="inlineStr">
        <is>
          <t>EXPENSIVE</t>
        </is>
      </c>
      <c r="R98" s="32" t="inlineStr">
        <is>
          <t>0.7518748972741711</t>
        </is>
      </c>
      <c r="S98" s="32" t="inlineStr">
        <is>
          <t>HIGH</t>
        </is>
      </c>
      <c r="T98" s="32" t="inlineStr">
        <is>
          <t>HIGH</t>
        </is>
      </c>
      <c r="U98" s="32" t="inlineStr">
        <is>
          <t>0.5</t>
        </is>
      </c>
      <c r="V98" s="32" t="inlineStr">
        <is>
          <t>HIGH_RISK</t>
        </is>
      </c>
      <c r="W98" s="32" t="inlineStr">
        <is>
          <t>고위험</t>
        </is>
      </c>
      <c r="X98" s="32" t="inlineStr">
        <is>
          <t>MEDIUM_RISK</t>
        </is>
      </c>
      <c r="Y98" s="32" t="inlineStr">
        <is>
          <t>0.4364687611213146</t>
        </is>
      </c>
      <c r="Z98" s="32" t="inlineStr">
        <is>
          <t>LOW</t>
        </is>
      </c>
      <c r="AA98" s="32" t="inlineStr">
        <is>
          <t>LOW</t>
        </is>
      </c>
      <c r="AB98" s="32" t="inlineStr">
        <is>
          <t>0.06817918975036392</t>
        </is>
      </c>
      <c r="AC98" s="32" t="inlineStr">
        <is>
          <t>False</t>
        </is>
      </c>
      <c r="AD98" s="32" t="inlineStr">
        <is>
          <t>True</t>
        </is>
      </c>
      <c r="AE98" s="32" t="inlineStr">
        <is>
          <t>valuation_credit_ml_overlay_candidate.csv</t>
        </is>
      </c>
      <c r="AF98" s="32" t="inlineStr">
        <is>
          <t>208개 반도체 reference universe. Valuation Agent가 자체 intake 폴더로 복제해 Peer/ML/대시보드 비교에 사용.</t>
        </is>
      </c>
    </row>
    <row r="99" ht="24" customHeight="1">
      <c r="A99" s="27" t="inlineStr">
        <is>
          <t>27</t>
        </is>
      </c>
      <c r="B99" s="27" t="inlineStr">
        <is>
          <t>해당 없음</t>
        </is>
      </c>
      <c r="C99" s="27" t="inlineStr">
        <is>
          <t>이미지스</t>
        </is>
      </c>
      <c r="D99" s="27" t="inlineStr">
        <is>
          <t>115610</t>
        </is>
      </c>
      <c r="E99" s="27" t="inlineStr">
        <is>
          <t>KOSDAQ</t>
        </is>
      </c>
      <c r="F99" s="27" t="inlineStr">
        <is>
          <t>IDM/제조/메모리</t>
        </is>
      </c>
      <c r="G99" s="27" t="inlineStr">
        <is>
          <t>IDM/제조/메모리</t>
        </is>
      </c>
      <c r="H99" s="27" t="inlineStr">
        <is>
          <t>False</t>
        </is>
      </c>
      <c r="I99" s="27" t="inlineStr">
        <is>
          <t>True</t>
        </is>
      </c>
      <c r="J99" s="27" t="inlineStr">
        <is>
          <t>OK</t>
        </is>
      </c>
      <c r="K99" s="27" t="inlineStr">
        <is>
          <t>데이터 사용 가능</t>
        </is>
      </c>
      <c r="L99" s="27" t="inlineStr">
        <is>
          <t>LOW</t>
        </is>
      </c>
      <c r="M99" s="27" t="inlineStr">
        <is>
          <t>LOW</t>
        </is>
      </c>
      <c r="N99" s="27" t="inlineStr">
        <is>
          <t>0.3633333333333334</t>
        </is>
      </c>
      <c r="O99" s="27" t="inlineStr">
        <is>
          <t>EXPENSIVE</t>
        </is>
      </c>
      <c r="P99" s="27" t="inlineStr">
        <is>
          <t>EXPENSIVE</t>
        </is>
      </c>
      <c r="Q99" s="27" t="inlineStr">
        <is>
          <t>EXPENSIVE</t>
        </is>
      </c>
      <c r="R99" s="27" t="inlineStr">
        <is>
          <t>0.7470098487547145</t>
        </is>
      </c>
      <c r="S99" s="27" t="inlineStr">
        <is>
          <t>HIGH</t>
        </is>
      </c>
      <c r="T99" s="27" t="inlineStr">
        <is>
          <t>HIGH</t>
        </is>
      </c>
      <c r="U99" s="27" t="inlineStr">
        <is>
          <t>0.6428571428571429</t>
        </is>
      </c>
      <c r="V99" s="27" t="inlineStr">
        <is>
          <t>HIGH_RISK</t>
        </is>
      </c>
      <c r="W99" s="27" t="inlineStr">
        <is>
          <t>고위험</t>
        </is>
      </c>
      <c r="X99" s="27" t="inlineStr">
        <is>
          <t>HIGH_RISK</t>
        </is>
      </c>
      <c r="Y99" s="27" t="inlineStr">
        <is>
          <t>0.935919815850912</t>
        </is>
      </c>
      <c r="Z99" s="27" t="inlineStr">
        <is>
          <t>HIGH</t>
        </is>
      </c>
      <c r="AA99" s="27" t="inlineStr">
        <is>
          <t>HIGH</t>
        </is>
      </c>
      <c r="AB99" s="27" t="inlineStr">
        <is>
          <t>0.1192433333650954</t>
        </is>
      </c>
      <c r="AC99" s="27" t="inlineStr">
        <is>
          <t>False</t>
        </is>
      </c>
      <c r="AD99" s="27" t="inlineStr">
        <is>
          <t>False</t>
        </is>
      </c>
      <c r="AE99" s="27" t="inlineStr">
        <is>
          <t>valuation_credit_ml_overlay_candidate.csv</t>
        </is>
      </c>
      <c r="AF99" s="27" t="inlineStr">
        <is>
          <t>208개 반도체 reference universe. Valuation Agent가 자체 intake 폴더로 복제해 Peer/ML/대시보드 비교에 사용.</t>
        </is>
      </c>
    </row>
    <row r="100" ht="24" customHeight="1">
      <c r="A100" s="32" t="inlineStr">
        <is>
          <t>15</t>
        </is>
      </c>
      <c r="B100" s="32" t="inlineStr">
        <is>
          <t>해당 없음</t>
        </is>
      </c>
      <c r="C100" s="32" t="inlineStr">
        <is>
          <t>시지트로닉스</t>
        </is>
      </c>
      <c r="D100" s="32" t="inlineStr">
        <is>
          <t>429270</t>
        </is>
      </c>
      <c r="E100" s="32" t="inlineStr">
        <is>
          <t>KOSDAQ</t>
        </is>
      </c>
      <c r="F100" s="32" t="inlineStr">
        <is>
          <t>IDM/제조/메모리</t>
        </is>
      </c>
      <c r="G100" s="32" t="inlineStr">
        <is>
          <t>IDM/제조/메모리</t>
        </is>
      </c>
      <c r="H100" s="32" t="inlineStr">
        <is>
          <t>False</t>
        </is>
      </c>
      <c r="I100" s="32" t="inlineStr">
        <is>
          <t>True</t>
        </is>
      </c>
      <c r="J100" s="32" t="inlineStr">
        <is>
          <t>OK_LIMITED_HISTORY_OR_GROWTH_NA</t>
        </is>
      </c>
      <c r="K100" s="32" t="inlineStr">
        <is>
          <t>데이터 사용 가능</t>
        </is>
      </c>
      <c r="L100" s="32" t="inlineStr">
        <is>
          <t>LOW</t>
        </is>
      </c>
      <c r="M100" s="32" t="inlineStr">
        <is>
          <t>LOW</t>
        </is>
      </c>
      <c r="N100" s="32" t="inlineStr">
        <is>
          <t>0.3513333333333333</t>
        </is>
      </c>
      <c r="O100" s="32" t="inlineStr">
        <is>
          <t>EXPENSIVE</t>
        </is>
      </c>
      <c r="P100" s="32" t="inlineStr">
        <is>
          <t>EXPENSIVE</t>
        </is>
      </c>
      <c r="Q100" s="32" t="inlineStr">
        <is>
          <t>EXPENSIVE</t>
        </is>
      </c>
      <c r="R100" s="32" t="inlineStr">
        <is>
          <t>0.8423539115807104</t>
        </is>
      </c>
      <c r="S100" s="32" t="inlineStr">
        <is>
          <t>HIGH</t>
        </is>
      </c>
      <c r="T100" s="32" t="inlineStr">
        <is>
          <t>HIGH</t>
        </is>
      </c>
      <c r="U100" s="32" t="inlineStr">
        <is>
          <t>0.7142857142857143</t>
        </is>
      </c>
      <c r="V100" s="32" t="inlineStr">
        <is>
          <t>HIGH_RISK</t>
        </is>
      </c>
      <c r="W100" s="32" t="inlineStr">
        <is>
          <t>고위험</t>
        </is>
      </c>
      <c r="X100" s="32" t="inlineStr">
        <is>
          <t>HIGH_RISK</t>
        </is>
      </c>
      <c r="Y100" s="32" t="inlineStr">
        <is>
          <t>0.981613431413146</t>
        </is>
      </c>
      <c r="Z100" s="32" t="inlineStr">
        <is>
          <t>HIGH</t>
        </is>
      </c>
      <c r="AA100" s="32" t="inlineStr">
        <is>
          <t>HIGH</t>
        </is>
      </c>
      <c r="AB100" s="32" t="inlineStr">
        <is>
          <t>0.19555712998632233</t>
        </is>
      </c>
      <c r="AC100" s="32" t="inlineStr">
        <is>
          <t>False</t>
        </is>
      </c>
      <c r="AD100" s="32" t="inlineStr">
        <is>
          <t>True</t>
        </is>
      </c>
      <c r="AE100" s="32" t="inlineStr">
        <is>
          <t>valuation_credit_ml_overlay_candidate.csv</t>
        </is>
      </c>
      <c r="AF100" s="32" t="inlineStr">
        <is>
          <t>208개 반도체 reference universe. Valuation Agent가 자체 intake 폴더로 복제해 Peer/ML/대시보드 비교에 사용.</t>
        </is>
      </c>
    </row>
    <row r="101" ht="24" customHeight="1">
      <c r="A101" s="27" t="inlineStr">
        <is>
          <t>30</t>
        </is>
      </c>
      <c r="B101" s="27" t="inlineStr">
        <is>
          <t>해당 없음</t>
        </is>
      </c>
      <c r="C101" s="27" t="inlineStr">
        <is>
          <t>지니틱스</t>
        </is>
      </c>
      <c r="D101" s="27" t="inlineStr">
        <is>
          <t>303030</t>
        </is>
      </c>
      <c r="E101" s="27" t="inlineStr">
        <is>
          <t>KOSDAQ</t>
        </is>
      </c>
      <c r="F101" s="27" t="inlineStr">
        <is>
          <t>IDM/제조/메모리</t>
        </is>
      </c>
      <c r="G101" s="27" t="inlineStr">
        <is>
          <t>IDM/제조/메모리</t>
        </is>
      </c>
      <c r="H101" s="27" t="inlineStr">
        <is>
          <t>False</t>
        </is>
      </c>
      <c r="I101" s="27" t="inlineStr">
        <is>
          <t>True</t>
        </is>
      </c>
      <c r="J101" s="27" t="inlineStr">
        <is>
          <t>OK</t>
        </is>
      </c>
      <c r="K101" s="27" t="inlineStr">
        <is>
          <t>데이터 사용 가능</t>
        </is>
      </c>
      <c r="L101" s="27" t="inlineStr">
        <is>
          <t>LOW</t>
        </is>
      </c>
      <c r="M101" s="27" t="inlineStr">
        <is>
          <t>LOW</t>
        </is>
      </c>
      <c r="N101" s="27" t="inlineStr">
        <is>
          <t>0.3293333333333333</t>
        </is>
      </c>
      <c r="O101" s="27" t="inlineStr">
        <is>
          <t>EXPENSIVE</t>
        </is>
      </c>
      <c r="P101" s="27" t="inlineStr">
        <is>
          <t>EXPENSIVE</t>
        </is>
      </c>
      <c r="Q101" s="27" t="inlineStr">
        <is>
          <t>EXPENSIVE</t>
        </is>
      </c>
      <c r="R101" s="27" t="inlineStr">
        <is>
          <t>0.6029464801919612</t>
        </is>
      </c>
      <c r="S101" s="27" t="inlineStr">
        <is>
          <t>MEDIUM</t>
        </is>
      </c>
      <c r="T101" s="27" t="inlineStr">
        <is>
          <t>MEDIUM</t>
        </is>
      </c>
      <c r="U101" s="27" t="inlineStr">
        <is>
          <t>0.7142857142857143</t>
        </is>
      </c>
      <c r="V101" s="27" t="inlineStr">
        <is>
          <t>HIGH_RISK</t>
        </is>
      </c>
      <c r="W101" s="27" t="inlineStr">
        <is>
          <t>고위험</t>
        </is>
      </c>
      <c r="X101" s="27" t="inlineStr">
        <is>
          <t>HIGH_RISK</t>
        </is>
      </c>
      <c r="Y101" s="27" t="inlineStr">
        <is>
          <t>0.9659545889371735</t>
        </is>
      </c>
      <c r="Z101" s="27" t="inlineStr">
        <is>
          <t>HIGH</t>
        </is>
      </c>
      <c r="AA101" s="27" t="inlineStr">
        <is>
          <t>HIGH</t>
        </is>
      </c>
      <c r="AB101" s="27" t="inlineStr">
        <is>
          <t>0.16363869698938038</t>
        </is>
      </c>
      <c r="AC101" s="27" t="inlineStr">
        <is>
          <t>False</t>
        </is>
      </c>
      <c r="AD101" s="27" t="inlineStr">
        <is>
          <t>False</t>
        </is>
      </c>
      <c r="AE101" s="27" t="inlineStr">
        <is>
          <t>valuation_credit_ml_overlay_candidate.csv</t>
        </is>
      </c>
      <c r="AF101" s="27" t="inlineStr">
        <is>
          <t>208개 반도체 reference universe. Valuation Agent가 자체 intake 폴더로 복제해 Peer/ML/대시보드 비교에 사용.</t>
        </is>
      </c>
    </row>
    <row r="102" ht="24" customHeight="1">
      <c r="A102" s="32" t="inlineStr">
        <is>
          <t>18</t>
        </is>
      </c>
      <c r="B102" s="32" t="inlineStr">
        <is>
          <t>해당 없음</t>
        </is>
      </c>
      <c r="C102" s="32" t="inlineStr">
        <is>
          <t>아이에스티이</t>
        </is>
      </c>
      <c r="D102" s="32" t="inlineStr">
        <is>
          <t>212710</t>
        </is>
      </c>
      <c r="E102" s="32" t="inlineStr">
        <is>
          <t>KOSDAQ</t>
        </is>
      </c>
      <c r="F102" s="32" t="inlineStr">
        <is>
          <t>IDM/제조/메모리</t>
        </is>
      </c>
      <c r="G102" s="32" t="inlineStr">
        <is>
          <t>IDM/제조/메모리</t>
        </is>
      </c>
      <c r="H102" s="32" t="inlineStr">
        <is>
          <t>False</t>
        </is>
      </c>
      <c r="I102" s="32" t="inlineStr">
        <is>
          <t>True</t>
        </is>
      </c>
      <c r="J102" s="32" t="inlineStr">
        <is>
          <t>OK_LIMITED_HISTORY_OR_GROWTH_NA</t>
        </is>
      </c>
      <c r="K102" s="32" t="inlineStr">
        <is>
          <t>데이터 사용 가능</t>
        </is>
      </c>
      <c r="L102" s="32" t="inlineStr">
        <is>
          <t>LOW</t>
        </is>
      </c>
      <c r="M102" s="32" t="inlineStr">
        <is>
          <t>LOW</t>
        </is>
      </c>
      <c r="N102" s="32" t="inlineStr">
        <is>
          <t>0.3126666666666666</t>
        </is>
      </c>
      <c r="O102" s="32" t="inlineStr">
        <is>
          <t>EXPENSIVE</t>
        </is>
      </c>
      <c r="P102" s="32" t="inlineStr">
        <is>
          <t>EXPENSIVE</t>
        </is>
      </c>
      <c r="Q102" s="32" t="inlineStr">
        <is>
          <t>EXPENSIVE</t>
        </is>
      </c>
      <c r="R102" s="32" t="inlineStr">
        <is>
          <t>0.6642993493743579</t>
        </is>
      </c>
      <c r="S102" s="32" t="inlineStr">
        <is>
          <t>MEDIUM</t>
        </is>
      </c>
      <c r="T102" s="32" t="inlineStr">
        <is>
          <t>MEDIUM</t>
        </is>
      </c>
      <c r="U102" s="32" t="inlineStr">
        <is>
          <t>0.7142857142857143</t>
        </is>
      </c>
      <c r="V102" s="32" t="inlineStr">
        <is>
          <t>HIGH_RISK</t>
        </is>
      </c>
      <c r="W102" s="32" t="inlineStr">
        <is>
          <t>고위험</t>
        </is>
      </c>
      <c r="X102" s="32" t="inlineStr">
        <is>
          <t>HIGH_RISK</t>
        </is>
      </c>
      <c r="Y102" s="32" t="inlineStr">
        <is>
          <t>0.7912115569930538</t>
        </is>
      </c>
      <c r="Z102" s="32" t="inlineStr">
        <is>
          <t>HIGH</t>
        </is>
      </c>
      <c r="AA102" s="32" t="inlineStr">
        <is>
          <t>HIGH</t>
        </is>
      </c>
      <c r="AB102" s="32" t="inlineStr">
        <is>
          <t>0.13664093420882184</t>
        </is>
      </c>
      <c r="AC102" s="32" t="inlineStr">
        <is>
          <t>False</t>
        </is>
      </c>
      <c r="AD102" s="32" t="inlineStr">
        <is>
          <t>True</t>
        </is>
      </c>
      <c r="AE102" s="32" t="inlineStr">
        <is>
          <t>valuation_credit_ml_overlay_candidate.csv</t>
        </is>
      </c>
      <c r="AF102" s="32" t="inlineStr">
        <is>
          <t>208개 반도체 reference universe. Valuation Agent가 자체 intake 폴더로 복제해 Peer/ML/대시보드 비교에 사용.</t>
        </is>
      </c>
    </row>
    <row r="103" ht="24" customHeight="1">
      <c r="A103" s="27" t="inlineStr">
        <is>
          <t>31</t>
        </is>
      </c>
      <c r="B103" s="27" t="inlineStr">
        <is>
          <t>해당 없음</t>
        </is>
      </c>
      <c r="C103" s="27" t="inlineStr">
        <is>
          <t>케이알엠</t>
        </is>
      </c>
      <c r="D103" s="27" t="inlineStr">
        <is>
          <t>093640</t>
        </is>
      </c>
      <c r="E103" s="27" t="inlineStr">
        <is>
          <t>KOSDAQ</t>
        </is>
      </c>
      <c r="F103" s="27" t="inlineStr">
        <is>
          <t>IDM/제조/메모리</t>
        </is>
      </c>
      <c r="G103" s="27" t="inlineStr">
        <is>
          <t>IDM/제조/메모리</t>
        </is>
      </c>
      <c r="H103" s="27" t="inlineStr">
        <is>
          <t>False</t>
        </is>
      </c>
      <c r="I103" s="27" t="inlineStr">
        <is>
          <t>True</t>
        </is>
      </c>
      <c r="J103" s="27" t="inlineStr">
        <is>
          <t>OK</t>
        </is>
      </c>
      <c r="K103" s="27" t="inlineStr">
        <is>
          <t>데이터 사용 가능</t>
        </is>
      </c>
      <c r="L103" s="27" t="inlineStr">
        <is>
          <t>LOW</t>
        </is>
      </c>
      <c r="M103" s="27" t="inlineStr">
        <is>
          <t>LOW</t>
        </is>
      </c>
      <c r="N103" s="27" t="inlineStr">
        <is>
          <t>0.301</t>
        </is>
      </c>
      <c r="O103" s="27" t="inlineStr">
        <is>
          <t>EXPENSIVE</t>
        </is>
      </c>
      <c r="P103" s="27" t="inlineStr">
        <is>
          <t>EXPENSIVE</t>
        </is>
      </c>
      <c r="Q103" s="27" t="inlineStr">
        <is>
          <t>EXPENSIVE</t>
        </is>
      </c>
      <c r="R103" s="27" t="inlineStr">
        <is>
          <t>0.7957205872008264</t>
        </is>
      </c>
      <c r="S103" s="27" t="inlineStr">
        <is>
          <t>HIGH</t>
        </is>
      </c>
      <c r="T103" s="27" t="inlineStr">
        <is>
          <t>HIGH</t>
        </is>
      </c>
      <c r="U103" s="27" t="inlineStr">
        <is>
          <t>0.4285714285714285</t>
        </is>
      </c>
      <c r="V103" s="27" t="inlineStr">
        <is>
          <t>HIGH_RISK</t>
        </is>
      </c>
      <c r="W103" s="27" t="inlineStr">
        <is>
          <t>고위험</t>
        </is>
      </c>
      <c r="X103" s="27" t="inlineStr">
        <is>
          <t>HIGH_RISK</t>
        </is>
      </c>
      <c r="Y103" s="27" t="inlineStr">
        <is>
          <t>0.9569765609780977</t>
        </is>
      </c>
      <c r="Z103" s="27" t="inlineStr">
        <is>
          <t>HIGH</t>
        </is>
      </c>
      <c r="AA103" s="27" t="inlineStr">
        <is>
          <t>HIGH</t>
        </is>
      </c>
      <c r="AB103" s="27" t="inlineStr">
        <is>
          <t>0.2926124347647049</t>
        </is>
      </c>
      <c r="AC103" s="27" t="inlineStr">
        <is>
          <t>True</t>
        </is>
      </c>
      <c r="AD103" s="27" t="inlineStr">
        <is>
          <t>True</t>
        </is>
      </c>
      <c r="AE103" s="27" t="inlineStr">
        <is>
          <t>valuation_credit_ml_overlay_candidate.csv</t>
        </is>
      </c>
      <c r="AF103" s="27" t="inlineStr">
        <is>
          <t>208개 반도체 reference universe. Valuation Agent가 자체 intake 폴더로 복제해 Peer/ML/대시보드 비교에 사용.</t>
        </is>
      </c>
    </row>
    <row r="104" ht="24" customHeight="1">
      <c r="A104" s="32" t="inlineStr">
        <is>
          <t>17</t>
        </is>
      </c>
      <c r="B104" s="32" t="inlineStr">
        <is>
          <t>해당 없음</t>
        </is>
      </c>
      <c r="C104" s="32" t="inlineStr">
        <is>
          <t>쏘닉스</t>
        </is>
      </c>
      <c r="D104" s="32" t="inlineStr">
        <is>
          <t>088280</t>
        </is>
      </c>
      <c r="E104" s="32" t="inlineStr">
        <is>
          <t>KOSDAQ</t>
        </is>
      </c>
      <c r="F104" s="32" t="inlineStr">
        <is>
          <t>IDM/제조/메모리</t>
        </is>
      </c>
      <c r="G104" s="32" t="inlineStr">
        <is>
          <t>IDM/제조/메모리</t>
        </is>
      </c>
      <c r="H104" s="32" t="inlineStr">
        <is>
          <t>False</t>
        </is>
      </c>
      <c r="I104" s="32" t="inlineStr">
        <is>
          <t>True</t>
        </is>
      </c>
      <c r="J104" s="32" t="inlineStr">
        <is>
          <t>OK_LIMITED_HISTORY_OR_GROWTH_NA</t>
        </is>
      </c>
      <c r="K104" s="32" t="inlineStr">
        <is>
          <t>데이터 사용 가능</t>
        </is>
      </c>
      <c r="L104" s="32" t="inlineStr">
        <is>
          <t>LOW</t>
        </is>
      </c>
      <c r="M104" s="32" t="inlineStr">
        <is>
          <t>LOW</t>
        </is>
      </c>
      <c r="N104" s="32" t="inlineStr">
        <is>
          <t>0.2925</t>
        </is>
      </c>
      <c r="O104" s="32" t="inlineStr">
        <is>
          <t>EXPENSIVE</t>
        </is>
      </c>
      <c r="P104" s="32" t="inlineStr">
        <is>
          <t>EXPENSIVE</t>
        </is>
      </c>
      <c r="Q104" s="32" t="inlineStr">
        <is>
          <t>EXPENSIVE</t>
        </is>
      </c>
      <c r="R104" s="32" t="inlineStr">
        <is>
          <t>0.9167677788852596</t>
        </is>
      </c>
      <c r="S104" s="32" t="inlineStr">
        <is>
          <t>HIGH</t>
        </is>
      </c>
      <c r="T104" s="32" t="inlineStr">
        <is>
          <t>HIGH</t>
        </is>
      </c>
      <c r="U104" s="32" t="inlineStr">
        <is>
          <t>0.5714285714285714</t>
        </is>
      </c>
      <c r="V104" s="32" t="inlineStr">
        <is>
          <t>HIGH_RISK</t>
        </is>
      </c>
      <c r="W104" s="32" t="inlineStr">
        <is>
          <t>고위험</t>
        </is>
      </c>
      <c r="X104" s="32" t="inlineStr">
        <is>
          <t>HIGH_RISK</t>
        </is>
      </c>
      <c r="Y104" s="32" t="inlineStr">
        <is>
          <t>0.9751947390683402</t>
        </is>
      </c>
      <c r="Z104" s="32" t="inlineStr">
        <is>
          <t>HIGH</t>
        </is>
      </c>
      <c r="AA104" s="32" t="inlineStr">
        <is>
          <t>HIGH</t>
        </is>
      </c>
      <c r="AB104" s="32" t="inlineStr">
        <is>
          <t>0.11312412490832129</t>
        </is>
      </c>
      <c r="AC104" s="32" t="inlineStr">
        <is>
          <t>False</t>
        </is>
      </c>
      <c r="AD104" s="32" t="inlineStr">
        <is>
          <t>True</t>
        </is>
      </c>
      <c r="AE104" s="32" t="inlineStr">
        <is>
          <t>valuation_credit_ml_overlay_candidate.csv</t>
        </is>
      </c>
      <c r="AF104" s="32" t="inlineStr">
        <is>
          <t>208개 반도체 reference universe. Valuation Agent가 자체 intake 폴더로 복제해 Peer/ML/대시보드 비교에 사용.</t>
        </is>
      </c>
    </row>
    <row r="105" ht="24" customHeight="1">
      <c r="A105" s="27" t="inlineStr">
        <is>
          <t>29</t>
        </is>
      </c>
      <c r="B105" s="27" t="inlineStr">
        <is>
          <t>해당 없음</t>
        </is>
      </c>
      <c r="C105" s="27" t="inlineStr">
        <is>
          <t>자람테크놀로지</t>
        </is>
      </c>
      <c r="D105" s="27" t="inlineStr">
        <is>
          <t>389020</t>
        </is>
      </c>
      <c r="E105" s="27" t="inlineStr">
        <is>
          <t>KOSDAQ</t>
        </is>
      </c>
      <c r="F105" s="27" t="inlineStr">
        <is>
          <t>IDM/제조/메모리</t>
        </is>
      </c>
      <c r="G105" s="27" t="inlineStr">
        <is>
          <t>IDM/제조/메모리</t>
        </is>
      </c>
      <c r="H105" s="27" t="inlineStr">
        <is>
          <t>False</t>
        </is>
      </c>
      <c r="I105" s="27" t="inlineStr">
        <is>
          <t>True</t>
        </is>
      </c>
      <c r="J105" s="27" t="inlineStr">
        <is>
          <t>OK</t>
        </is>
      </c>
      <c r="K105" s="27" t="inlineStr">
        <is>
          <t>데이터 사용 가능</t>
        </is>
      </c>
      <c r="L105" s="27" t="inlineStr">
        <is>
          <t>LOW</t>
        </is>
      </c>
      <c r="M105" s="27" t="inlineStr">
        <is>
          <t>LOW</t>
        </is>
      </c>
      <c r="N105" s="27" t="inlineStr">
        <is>
          <t>0.1995</t>
        </is>
      </c>
      <c r="O105" s="27" t="inlineStr">
        <is>
          <t>EXPENSIVE</t>
        </is>
      </c>
      <c r="P105" s="27" t="inlineStr">
        <is>
          <t>EXPENSIVE</t>
        </is>
      </c>
      <c r="Q105" s="27" t="inlineStr">
        <is>
          <t>EXPENSIVE</t>
        </is>
      </c>
      <c r="R105" s="27" t="inlineStr">
        <is>
          <t>0.6873284389381621</t>
        </is>
      </c>
      <c r="S105" s="27" t="inlineStr">
        <is>
          <t>MEDIUM</t>
        </is>
      </c>
      <c r="T105" s="27" t="inlineStr">
        <is>
          <t>MEDIUM</t>
        </is>
      </c>
      <c r="U105" s="27" t="inlineStr">
        <is>
          <t>0.2142857142857142</t>
        </is>
      </c>
      <c r="V105" s="27" t="inlineStr">
        <is>
          <t>MEDIUM_RISK</t>
        </is>
      </c>
      <c r="W105" s="27" t="inlineStr">
        <is>
          <t>중위험</t>
        </is>
      </c>
      <c r="X105" s="27" t="inlineStr">
        <is>
          <t>MEDIUM_RISK</t>
        </is>
      </c>
      <c r="Y105" s="27" t="inlineStr">
        <is>
          <t>0.7087592263635621</t>
        </is>
      </c>
      <c r="Z105" s="27" t="inlineStr">
        <is>
          <t>HIGH</t>
        </is>
      </c>
      <c r="AA105" s="27" t="inlineStr">
        <is>
          <t>HIGH</t>
        </is>
      </c>
      <c r="AB105" s="27" t="inlineStr">
        <is>
          <t>0.14222896108498048</t>
        </is>
      </c>
      <c r="AC105" s="27" t="inlineStr">
        <is>
          <t>False</t>
        </is>
      </c>
      <c r="AD105" s="27" t="inlineStr">
        <is>
          <t>False</t>
        </is>
      </c>
      <c r="AE105" s="27" t="inlineStr">
        <is>
          <t>valuation_credit_ml_overlay_candidate.csv</t>
        </is>
      </c>
      <c r="AF105" s="27" t="inlineStr">
        <is>
          <t>208개 반도체 reference universe. Valuation Agent가 자체 intake 폴더로 복제해 Peer/ML/대시보드 비교에 사용.</t>
        </is>
      </c>
    </row>
    <row r="106" ht="24" customHeight="1">
      <c r="A106" s="32" t="inlineStr">
        <is>
          <t>39</t>
        </is>
      </c>
      <c r="B106" s="32" t="inlineStr">
        <is>
          <t>해당 없음</t>
        </is>
      </c>
      <c r="C106" s="32" t="inlineStr">
        <is>
          <t>하이딥</t>
        </is>
      </c>
      <c r="D106" s="32" t="inlineStr">
        <is>
          <t>365590</t>
        </is>
      </c>
      <c r="E106" s="32" t="inlineStr">
        <is>
          <t>KOSDAQ</t>
        </is>
      </c>
      <c r="F106" s="32" t="inlineStr">
        <is>
          <t>IDM/제조/메모리</t>
        </is>
      </c>
      <c r="G106" s="32" t="inlineStr">
        <is>
          <t>IDM/제조/메모리</t>
        </is>
      </c>
      <c r="H106" s="32" t="inlineStr">
        <is>
          <t>False</t>
        </is>
      </c>
      <c r="I106" s="32" t="inlineStr">
        <is>
          <t>True</t>
        </is>
      </c>
      <c r="J106" s="32" t="inlineStr">
        <is>
          <t>OK</t>
        </is>
      </c>
      <c r="K106" s="32" t="inlineStr">
        <is>
          <t>데이터 사용 가능</t>
        </is>
      </c>
      <c r="L106" s="32" t="inlineStr">
        <is>
          <t>LOW</t>
        </is>
      </c>
      <c r="M106" s="32" t="inlineStr">
        <is>
          <t>LOW</t>
        </is>
      </c>
      <c r="N106" s="32" t="inlineStr">
        <is>
          <t>0.125</t>
        </is>
      </c>
      <c r="O106" s="32" t="inlineStr">
        <is>
          <t>EXPENSIVE</t>
        </is>
      </c>
      <c r="P106" s="32" t="inlineStr">
        <is>
          <t>EXPENSIVE</t>
        </is>
      </c>
      <c r="Q106" s="32" t="inlineStr">
        <is>
          <t>EXPENSIVE</t>
        </is>
      </c>
      <c r="R106" s="32" t="inlineStr">
        <is>
          <t>0.93355514861914</t>
        </is>
      </c>
      <c r="S106" s="32" t="inlineStr">
        <is>
          <t>HIGH</t>
        </is>
      </c>
      <c r="T106" s="32" t="inlineStr">
        <is>
          <t>HIGH</t>
        </is>
      </c>
      <c r="U106" s="32" t="inlineStr">
        <is>
          <t>0.8571428571428571</t>
        </is>
      </c>
      <c r="V106" s="32" t="inlineStr">
        <is>
          <t>HIGH_RISK</t>
        </is>
      </c>
      <c r="W106" s="32" t="inlineStr">
        <is>
          <t>고위험</t>
        </is>
      </c>
      <c r="X106" s="32" t="inlineStr">
        <is>
          <t>HIGH_RISK</t>
        </is>
      </c>
      <c r="Y106" s="32" t="inlineStr">
        <is>
          <t>0.9622719553866781</t>
        </is>
      </c>
      <c r="Z106" s="32" t="inlineStr">
        <is>
          <t>HIGH</t>
        </is>
      </c>
      <c r="AA106" s="32" t="inlineStr">
        <is>
          <t>HIGH</t>
        </is>
      </c>
      <c r="AB106" s="32" t="inlineStr">
        <is>
          <t>0.9999999977412558</t>
        </is>
      </c>
      <c r="AC106" s="32" t="inlineStr">
        <is>
          <t>True</t>
        </is>
      </c>
      <c r="AD106" s="32" t="inlineStr">
        <is>
          <t>True</t>
        </is>
      </c>
      <c r="AE106" s="32" t="inlineStr">
        <is>
          <t>valuation_credit_ml_overlay_candidate.csv</t>
        </is>
      </c>
      <c r="AF106" s="32" t="inlineStr">
        <is>
          <t>208개 반도체 reference universe. Valuation Agent가 자체 intake 폴더로 복제해 Peer/ML/대시보드 비교에 사용.</t>
        </is>
      </c>
    </row>
    <row r="107" ht="24" customHeight="1">
      <c r="A107" s="27" t="inlineStr">
        <is>
          <t>203</t>
        </is>
      </c>
      <c r="B107" s="27" t="inlineStr">
        <is>
          <t>해당 없음</t>
        </is>
      </c>
      <c r="C107" s="27" t="inlineStr">
        <is>
          <t>인터플렉스</t>
        </is>
      </c>
      <c r="D107" s="27" t="inlineStr">
        <is>
          <t>051370</t>
        </is>
      </c>
      <c r="E107" s="27" t="inlineStr">
        <is>
          <t>KOSDAQ</t>
        </is>
      </c>
      <c r="F107" s="27" t="inlineStr">
        <is>
          <t>부품/기판</t>
        </is>
      </c>
      <c r="G107" s="27" t="inlineStr">
        <is>
          <t>부품/기판</t>
        </is>
      </c>
      <c r="H107" s="27" t="inlineStr">
        <is>
          <t>False</t>
        </is>
      </c>
      <c r="I107" s="27" t="inlineStr">
        <is>
          <t>True</t>
        </is>
      </c>
      <c r="J107" s="27" t="inlineStr">
        <is>
          <t>OK</t>
        </is>
      </c>
      <c r="K107" s="27" t="inlineStr">
        <is>
          <t>데이터 사용 가능</t>
        </is>
      </c>
      <c r="L107" s="27" t="inlineStr">
        <is>
          <t>LOW</t>
        </is>
      </c>
      <c r="M107" s="27" t="inlineStr">
        <is>
          <t>LOW</t>
        </is>
      </c>
      <c r="N107" s="27" t="inlineStr">
        <is>
          <t>0.709047619047619</t>
        </is>
      </c>
      <c r="O107" s="27" t="inlineStr">
        <is>
          <t>FAIR</t>
        </is>
      </c>
      <c r="P107" s="27" t="inlineStr">
        <is>
          <t>FAIR</t>
        </is>
      </c>
      <c r="Q107" s="27" t="inlineStr">
        <is>
          <t>FAIR</t>
        </is>
      </c>
      <c r="R107" s="27" t="inlineStr">
        <is>
          <t>0.904555257888918</t>
        </is>
      </c>
      <c r="S107" s="27" t="inlineStr">
        <is>
          <t>HIGH</t>
        </is>
      </c>
      <c r="T107" s="27" t="inlineStr">
        <is>
          <t>HIGH</t>
        </is>
      </c>
      <c r="U107" s="27" t="inlineStr">
        <is>
          <t>0.0714285714285714</t>
        </is>
      </c>
      <c r="V107" s="27" t="inlineStr">
        <is>
          <t>LOW_RISK</t>
        </is>
      </c>
      <c r="W107" s="27" t="inlineStr">
        <is>
          <t>저위험</t>
        </is>
      </c>
      <c r="X107" s="27" t="inlineStr">
        <is>
          <t>LOW_RISK</t>
        </is>
      </c>
      <c r="Y107" s="27" t="inlineStr">
        <is>
          <t>0.8421993774288782</t>
        </is>
      </c>
      <c r="Z107" s="27" t="inlineStr">
        <is>
          <t>HIGH</t>
        </is>
      </c>
      <c r="AA107" s="27" t="inlineStr">
        <is>
          <t>HIGH</t>
        </is>
      </c>
      <c r="AB107" s="27" t="inlineStr">
        <is>
          <t>0.04875174090091772</t>
        </is>
      </c>
      <c r="AC107" s="27" t="inlineStr">
        <is>
          <t>False</t>
        </is>
      </c>
      <c r="AD107" s="27" t="inlineStr">
        <is>
          <t>False</t>
        </is>
      </c>
      <c r="AE107" s="27" t="inlineStr">
        <is>
          <t>valuation_credit_ml_overlay_candidate.csv</t>
        </is>
      </c>
      <c r="AF107" s="27" t="inlineStr">
        <is>
          <t>208개 반도체 reference universe. Valuation Agent가 자체 intake 폴더로 복제해 Peer/ML/대시보드 비교에 사용.</t>
        </is>
      </c>
    </row>
    <row r="108" ht="24" customHeight="1">
      <c r="A108" s="32" t="inlineStr">
        <is>
          <t>204</t>
        </is>
      </c>
      <c r="B108" s="32" t="inlineStr">
        <is>
          <t>해당 없음</t>
        </is>
      </c>
      <c r="C108" s="32" t="inlineStr">
        <is>
          <t>자화전자</t>
        </is>
      </c>
      <c r="D108" s="32" t="inlineStr">
        <is>
          <t>033240</t>
        </is>
      </c>
      <c r="E108" s="32" t="inlineStr">
        <is>
          <t>KOSPI</t>
        </is>
      </c>
      <c r="F108" s="32" t="inlineStr">
        <is>
          <t>부품/기판</t>
        </is>
      </c>
      <c r="G108" s="32" t="inlineStr">
        <is>
          <t>부품/기판</t>
        </is>
      </c>
      <c r="H108" s="32" t="inlineStr">
        <is>
          <t>False</t>
        </is>
      </c>
      <c r="I108" s="32" t="inlineStr">
        <is>
          <t>True</t>
        </is>
      </c>
      <c r="J108" s="32" t="inlineStr">
        <is>
          <t>OK</t>
        </is>
      </c>
      <c r="K108" s="32" t="inlineStr">
        <is>
          <t>데이터 사용 가능</t>
        </is>
      </c>
      <c r="L108" s="32" t="inlineStr">
        <is>
          <t>LOW</t>
        </is>
      </c>
      <c r="M108" s="32" t="inlineStr">
        <is>
          <t>LOW</t>
        </is>
      </c>
      <c r="N108" s="32" t="inlineStr">
        <is>
          <t>0.6647619047619049</t>
        </is>
      </c>
      <c r="O108" s="32" t="inlineStr">
        <is>
          <t>FAIR</t>
        </is>
      </c>
      <c r="P108" s="32" t="inlineStr">
        <is>
          <t>FAIR</t>
        </is>
      </c>
      <c r="Q108" s="32" t="inlineStr">
        <is>
          <t>FAIR</t>
        </is>
      </c>
      <c r="R108" s="32" t="inlineStr">
        <is>
          <t>0.9380223994723259</t>
        </is>
      </c>
      <c r="S108" s="32" t="inlineStr">
        <is>
          <t>HIGH</t>
        </is>
      </c>
      <c r="T108" s="32" t="inlineStr">
        <is>
          <t>HIGH</t>
        </is>
      </c>
      <c r="U108" s="32" t="inlineStr">
        <is>
          <t>0.0714285714285714</t>
        </is>
      </c>
      <c r="V108" s="32" t="inlineStr">
        <is>
          <t>LOW_RISK</t>
        </is>
      </c>
      <c r="W108" s="32" t="inlineStr">
        <is>
          <t>저위험</t>
        </is>
      </c>
      <c r="X108" s="32" t="inlineStr">
        <is>
          <t>LOW_RISK</t>
        </is>
      </c>
      <c r="Y108" s="32" t="inlineStr">
        <is>
          <t>0.7827117376718701</t>
        </is>
      </c>
      <c r="Z108" s="32" t="inlineStr">
        <is>
          <t>HIGH</t>
        </is>
      </c>
      <c r="AA108" s="32" t="inlineStr">
        <is>
          <t>HIGH</t>
        </is>
      </c>
      <c r="AB108" s="32" t="inlineStr">
        <is>
          <t>0.004560941446629287</t>
        </is>
      </c>
      <c r="AC108" s="32" t="inlineStr">
        <is>
          <t>False</t>
        </is>
      </c>
      <c r="AD108" s="32" t="inlineStr">
        <is>
          <t>False</t>
        </is>
      </c>
      <c r="AE108" s="32" t="inlineStr">
        <is>
          <t>valuation_credit_ml_overlay_candidate.csv</t>
        </is>
      </c>
      <c r="AF108" s="32" t="inlineStr">
        <is>
          <t>208개 반도체 reference universe. Valuation Agent가 자체 intake 폴더로 복제해 Peer/ML/대시보드 비교에 사용.</t>
        </is>
      </c>
    </row>
    <row r="109" ht="24" customHeight="1">
      <c r="A109" s="27" t="inlineStr">
        <is>
          <t>206</t>
        </is>
      </c>
      <c r="B109" s="27" t="inlineStr">
        <is>
          <t>해당 없음</t>
        </is>
      </c>
      <c r="C109" s="27" t="inlineStr">
        <is>
          <t>코미코</t>
        </is>
      </c>
      <c r="D109" s="27" t="inlineStr">
        <is>
          <t>183300</t>
        </is>
      </c>
      <c r="E109" s="27" t="inlineStr">
        <is>
          <t>KOSDAQ GLOBAL</t>
        </is>
      </c>
      <c r="F109" s="27" t="inlineStr">
        <is>
          <t>부품/기판</t>
        </is>
      </c>
      <c r="G109" s="27" t="inlineStr">
        <is>
          <t>부품/기판</t>
        </is>
      </c>
      <c r="H109" s="27" t="inlineStr">
        <is>
          <t>False</t>
        </is>
      </c>
      <c r="I109" s="27" t="inlineStr">
        <is>
          <t>True</t>
        </is>
      </c>
      <c r="J109" s="27" t="inlineStr">
        <is>
          <t>OK</t>
        </is>
      </c>
      <c r="K109" s="27" t="inlineStr">
        <is>
          <t>데이터 사용 가능</t>
        </is>
      </c>
      <c r="L109" s="27" t="inlineStr">
        <is>
          <t>LOW</t>
        </is>
      </c>
      <c r="M109" s="27" t="inlineStr">
        <is>
          <t>LOW</t>
        </is>
      </c>
      <c r="N109" s="27" t="inlineStr">
        <is>
          <t>0.6342857142857143</t>
        </is>
      </c>
      <c r="O109" s="27" t="inlineStr">
        <is>
          <t>FAIR</t>
        </is>
      </c>
      <c r="P109" s="27" t="inlineStr">
        <is>
          <t>FAIR</t>
        </is>
      </c>
      <c r="Q109" s="27" t="inlineStr">
        <is>
          <t>FAIR</t>
        </is>
      </c>
      <c r="R109" s="27" t="inlineStr">
        <is>
          <t>0.8305894153326006</t>
        </is>
      </c>
      <c r="S109" s="27" t="inlineStr">
        <is>
          <t>HIGH</t>
        </is>
      </c>
      <c r="T109" s="27" t="inlineStr">
        <is>
          <t>HIGH</t>
        </is>
      </c>
      <c r="U109" s="27" t="inlineStr">
        <is>
          <t>0.3571428571428571</t>
        </is>
      </c>
      <c r="V109" s="27" t="inlineStr">
        <is>
          <t>MEDIUM_RISK</t>
        </is>
      </c>
      <c r="W109" s="27" t="inlineStr">
        <is>
          <t>중위험</t>
        </is>
      </c>
      <c r="X109" s="27" t="inlineStr">
        <is>
          <t>MEDIUM_RISK</t>
        </is>
      </c>
      <c r="Y109" s="27" t="inlineStr">
        <is>
          <t>0.6510391794232897</t>
        </is>
      </c>
      <c r="Z109" s="27" t="inlineStr">
        <is>
          <t>MEDIUM</t>
        </is>
      </c>
      <c r="AA109" s="27" t="inlineStr">
        <is>
          <t>MEDIUM</t>
        </is>
      </c>
      <c r="AB109" s="27" t="inlineStr">
        <is>
          <t>0.08075637337557524</t>
        </is>
      </c>
      <c r="AC109" s="27" t="inlineStr">
        <is>
          <t>False</t>
        </is>
      </c>
      <c r="AD109" s="27" t="inlineStr">
        <is>
          <t>False</t>
        </is>
      </c>
      <c r="AE109" s="27" t="inlineStr">
        <is>
          <t>valuation_credit_ml_overlay_candidate.csv</t>
        </is>
      </c>
      <c r="AF109" s="27" t="inlineStr">
        <is>
          <t>208개 반도체 reference universe. Valuation Agent가 자체 intake 폴더로 복제해 Peer/ML/대시보드 비교에 사용.</t>
        </is>
      </c>
    </row>
    <row r="110" ht="24" customHeight="1">
      <c r="A110" s="32" t="inlineStr">
        <is>
          <t>196</t>
        </is>
      </c>
      <c r="B110" s="32" t="inlineStr">
        <is>
          <t>해당 없음</t>
        </is>
      </c>
      <c r="C110" s="32" t="inlineStr">
        <is>
          <t>비에이치</t>
        </is>
      </c>
      <c r="D110" s="32" t="inlineStr">
        <is>
          <t>090460</t>
        </is>
      </c>
      <c r="E110" s="32" t="inlineStr">
        <is>
          <t>KOSPI</t>
        </is>
      </c>
      <c r="F110" s="32" t="inlineStr">
        <is>
          <t>부품/기판</t>
        </is>
      </c>
      <c r="G110" s="32" t="inlineStr">
        <is>
          <t>부품/기판</t>
        </is>
      </c>
      <c r="H110" s="32" t="inlineStr">
        <is>
          <t>False</t>
        </is>
      </c>
      <c r="I110" s="32" t="inlineStr">
        <is>
          <t>True</t>
        </is>
      </c>
      <c r="J110" s="32" t="inlineStr">
        <is>
          <t>OK</t>
        </is>
      </c>
      <c r="K110" s="32" t="inlineStr">
        <is>
          <t>데이터 사용 가능</t>
        </is>
      </c>
      <c r="L110" s="32" t="inlineStr">
        <is>
          <t>LOW</t>
        </is>
      </c>
      <c r="M110" s="32" t="inlineStr">
        <is>
          <t>LOW</t>
        </is>
      </c>
      <c r="N110" s="32" t="inlineStr">
        <is>
          <t>0.5752380952380951</t>
        </is>
      </c>
      <c r="O110" s="32" t="inlineStr">
        <is>
          <t>FAIR</t>
        </is>
      </c>
      <c r="P110" s="32" t="inlineStr">
        <is>
          <t>FAIR</t>
        </is>
      </c>
      <c r="Q110" s="32" t="inlineStr">
        <is>
          <t>FAIR</t>
        </is>
      </c>
      <c r="R110" s="32" t="inlineStr">
        <is>
          <t>0.5078538652826</t>
        </is>
      </c>
      <c r="S110" s="32" t="inlineStr">
        <is>
          <t>MEDIUM</t>
        </is>
      </c>
      <c r="T110" s="32" t="inlineStr">
        <is>
          <t>MEDIUM</t>
        </is>
      </c>
      <c r="U110" s="32" t="inlineStr">
        <is>
          <t>0.0</t>
        </is>
      </c>
      <c r="V110" s="32" t="inlineStr">
        <is>
          <t>LOW_RISK</t>
        </is>
      </c>
      <c r="W110" s="32" t="inlineStr">
        <is>
          <t>저위험</t>
        </is>
      </c>
      <c r="X110" s="32" t="inlineStr">
        <is>
          <t>LOW_RISK</t>
        </is>
      </c>
      <c r="Y110" s="32" t="inlineStr">
        <is>
          <t>0.8498731799769995</t>
        </is>
      </c>
      <c r="Z110" s="32" t="inlineStr">
        <is>
          <t>HIGH</t>
        </is>
      </c>
      <c r="AA110" s="32" t="inlineStr">
        <is>
          <t>HIGH</t>
        </is>
      </c>
      <c r="AB110" s="32" t="inlineStr">
        <is>
          <t>0.004189789054000619</t>
        </is>
      </c>
      <c r="AC110" s="32" t="inlineStr">
        <is>
          <t>False</t>
        </is>
      </c>
      <c r="AD110" s="32" t="inlineStr">
        <is>
          <t>False</t>
        </is>
      </c>
      <c r="AE110" s="32" t="inlineStr">
        <is>
          <t>valuation_credit_ml_overlay_candidate.csv</t>
        </is>
      </c>
      <c r="AF110" s="32" t="inlineStr">
        <is>
          <t>208개 반도체 reference universe. Valuation Agent가 자체 intake 폴더로 복제해 Peer/ML/대시보드 비교에 사용.</t>
        </is>
      </c>
    </row>
    <row r="111" ht="24" customHeight="1">
      <c r="A111" s="27" t="inlineStr">
        <is>
          <t>198</t>
        </is>
      </c>
      <c r="B111" s="27" t="inlineStr">
        <is>
          <t>해당 없음</t>
        </is>
      </c>
      <c r="C111" s="27" t="inlineStr">
        <is>
          <t>심텍홀딩스</t>
        </is>
      </c>
      <c r="D111" s="27" t="inlineStr">
        <is>
          <t>036710</t>
        </is>
      </c>
      <c r="E111" s="27" t="inlineStr">
        <is>
          <t>KOSDAQ</t>
        </is>
      </c>
      <c r="F111" s="27" t="inlineStr">
        <is>
          <t>부품/기판</t>
        </is>
      </c>
      <c r="G111" s="27" t="inlineStr">
        <is>
          <t>부품/기판</t>
        </is>
      </c>
      <c r="H111" s="27" t="inlineStr">
        <is>
          <t>False</t>
        </is>
      </c>
      <c r="I111" s="27" t="inlineStr">
        <is>
          <t>True</t>
        </is>
      </c>
      <c r="J111" s="27" t="inlineStr">
        <is>
          <t>OK</t>
        </is>
      </c>
      <c r="K111" s="27" t="inlineStr">
        <is>
          <t>데이터 사용 가능</t>
        </is>
      </c>
      <c r="L111" s="27" t="inlineStr">
        <is>
          <t>LOW</t>
        </is>
      </c>
      <c r="M111" s="27" t="inlineStr">
        <is>
          <t>LOW</t>
        </is>
      </c>
      <c r="N111" s="27" t="inlineStr">
        <is>
          <t>0.5323809523809524</t>
        </is>
      </c>
      <c r="O111" s="27" t="inlineStr">
        <is>
          <t>FAIR</t>
        </is>
      </c>
      <c r="P111" s="27" t="inlineStr">
        <is>
          <t>FAIR</t>
        </is>
      </c>
      <c r="Q111" s="27" t="inlineStr">
        <is>
          <t>FAIR</t>
        </is>
      </c>
      <c r="R111" s="27" t="inlineStr">
        <is>
          <t>0.726519318190825</t>
        </is>
      </c>
      <c r="S111" s="27" t="inlineStr">
        <is>
          <t>HIGH</t>
        </is>
      </c>
      <c r="T111" s="27" t="inlineStr">
        <is>
          <t>HIGH</t>
        </is>
      </c>
      <c r="U111" s="27" t="inlineStr">
        <is>
          <t>0.7857142857142857</t>
        </is>
      </c>
      <c r="V111" s="27" t="inlineStr">
        <is>
          <t>HIGH_RISK</t>
        </is>
      </c>
      <c r="W111" s="27" t="inlineStr">
        <is>
          <t>고위험</t>
        </is>
      </c>
      <c r="X111" s="27" t="inlineStr">
        <is>
          <t>HIGH_RISK</t>
        </is>
      </c>
      <c r="Y111" s="27" t="inlineStr">
        <is>
          <t>0.9494990496511118</t>
        </is>
      </c>
      <c r="Z111" s="27" t="inlineStr">
        <is>
          <t>HIGH</t>
        </is>
      </c>
      <c r="AA111" s="27" t="inlineStr">
        <is>
          <t>HIGH</t>
        </is>
      </c>
      <c r="AB111" s="27" t="inlineStr">
        <is>
          <t>0.2133344405871512</t>
        </is>
      </c>
      <c r="AC111" s="27" t="inlineStr">
        <is>
          <t>False</t>
        </is>
      </c>
      <c r="AD111" s="27" t="inlineStr">
        <is>
          <t>False</t>
        </is>
      </c>
      <c r="AE111" s="27" t="inlineStr">
        <is>
          <t>valuation_credit_ml_overlay_candidate.csv</t>
        </is>
      </c>
      <c r="AF111" s="27" t="inlineStr">
        <is>
          <t>208개 반도체 reference universe. Valuation Agent가 자체 intake 폴더로 복제해 Peer/ML/대시보드 비교에 사용.</t>
        </is>
      </c>
    </row>
    <row r="112" ht="24" customHeight="1">
      <c r="A112" s="32" t="inlineStr">
        <is>
          <t>201</t>
        </is>
      </c>
      <c r="B112" s="32" t="inlineStr">
        <is>
          <t>해당 없음</t>
        </is>
      </c>
      <c r="C112" s="32" t="inlineStr">
        <is>
          <t>엠디바이스</t>
        </is>
      </c>
      <c r="D112" s="32" t="inlineStr">
        <is>
          <t>226590</t>
        </is>
      </c>
      <c r="E112" s="32" t="inlineStr">
        <is>
          <t>KOSDAQ</t>
        </is>
      </c>
      <c r="F112" s="32" t="inlineStr">
        <is>
          <t>부품/기판</t>
        </is>
      </c>
      <c r="G112" s="32" t="inlineStr">
        <is>
          <t>부품/기판</t>
        </is>
      </c>
      <c r="H112" s="32" t="inlineStr">
        <is>
          <t>False</t>
        </is>
      </c>
      <c r="I112" s="32" t="inlineStr">
        <is>
          <t>True</t>
        </is>
      </c>
      <c r="J112" s="32" t="inlineStr">
        <is>
          <t>OK_LIMITED_HISTORY_OR_GROWTH_NA</t>
        </is>
      </c>
      <c r="K112" s="32" t="inlineStr">
        <is>
          <t>데이터 사용 가능</t>
        </is>
      </c>
      <c r="L112" s="32" t="inlineStr">
        <is>
          <t>LOW</t>
        </is>
      </c>
      <c r="M112" s="32" t="inlineStr">
        <is>
          <t>LOW</t>
        </is>
      </c>
      <c r="N112" s="32" t="inlineStr">
        <is>
          <t>0.531904761904762</t>
        </is>
      </c>
      <c r="O112" s="32" t="inlineStr">
        <is>
          <t>FAIR</t>
        </is>
      </c>
      <c r="P112" s="32" t="inlineStr">
        <is>
          <t>FAIR</t>
        </is>
      </c>
      <c r="Q112" s="32" t="inlineStr">
        <is>
          <t>FAIR</t>
        </is>
      </c>
      <c r="R112" s="32" t="inlineStr">
        <is>
          <t>0.7655361666958056</t>
        </is>
      </c>
      <c r="S112" s="32" t="inlineStr">
        <is>
          <t>HIGH</t>
        </is>
      </c>
      <c r="T112" s="32" t="inlineStr">
        <is>
          <t>HIGH</t>
        </is>
      </c>
      <c r="U112" s="32" t="inlineStr">
        <is>
          <t>0.4285714285714285</t>
        </is>
      </c>
      <c r="V112" s="32" t="inlineStr">
        <is>
          <t>HIGH_RISK</t>
        </is>
      </c>
      <c r="W112" s="32" t="inlineStr">
        <is>
          <t>고위험</t>
        </is>
      </c>
      <c r="X112" s="32" t="inlineStr">
        <is>
          <t>HIGH_RISK</t>
        </is>
      </c>
      <c r="Y112" s="32" t="inlineStr">
        <is>
          <t>0.5435613311923726</t>
        </is>
      </c>
      <c r="Z112" s="32" t="inlineStr">
        <is>
          <t>MEDIUM</t>
        </is>
      </c>
      <c r="AA112" s="32" t="inlineStr">
        <is>
          <t>MEDIUM</t>
        </is>
      </c>
      <c r="AB112" s="32" t="inlineStr">
        <is>
          <t>0.09953338023728169</t>
        </is>
      </c>
      <c r="AC112" s="32" t="inlineStr">
        <is>
          <t>False</t>
        </is>
      </c>
      <c r="AD112" s="32" t="inlineStr">
        <is>
          <t>True</t>
        </is>
      </c>
      <c r="AE112" s="32" t="inlineStr">
        <is>
          <t>valuation_credit_ml_overlay_candidate.csv</t>
        </is>
      </c>
      <c r="AF112" s="32" t="inlineStr">
        <is>
          <t>208개 반도체 reference universe. Valuation Agent가 자체 intake 폴더로 복제해 Peer/ML/대시보드 비교에 사용.</t>
        </is>
      </c>
    </row>
    <row r="113" ht="24" customHeight="1">
      <c r="A113" s="27" t="inlineStr">
        <is>
          <t>207</t>
        </is>
      </c>
      <c r="B113" s="27" t="inlineStr">
        <is>
          <t>해당 없음</t>
        </is>
      </c>
      <c r="C113" s="27" t="inlineStr">
        <is>
          <t>타이거일렉</t>
        </is>
      </c>
      <c r="D113" s="27" t="inlineStr">
        <is>
          <t>219130</t>
        </is>
      </c>
      <c r="E113" s="27" t="inlineStr">
        <is>
          <t>KOSDAQ</t>
        </is>
      </c>
      <c r="F113" s="27" t="inlineStr">
        <is>
          <t>부품/기판</t>
        </is>
      </c>
      <c r="G113" s="27" t="inlineStr">
        <is>
          <t>부품/기판</t>
        </is>
      </c>
      <c r="H113" s="27" t="inlineStr">
        <is>
          <t>False</t>
        </is>
      </c>
      <c r="I113" s="27" t="inlineStr">
        <is>
          <t>True</t>
        </is>
      </c>
      <c r="J113" s="27" t="inlineStr">
        <is>
          <t>OK</t>
        </is>
      </c>
      <c r="K113" s="27" t="inlineStr">
        <is>
          <t>데이터 사용 가능</t>
        </is>
      </c>
      <c r="L113" s="27" t="inlineStr">
        <is>
          <t>LOW</t>
        </is>
      </c>
      <c r="M113" s="27" t="inlineStr">
        <is>
          <t>LOW</t>
        </is>
      </c>
      <c r="N113" s="27" t="inlineStr">
        <is>
          <t>0.5066666666666667</t>
        </is>
      </c>
      <c r="O113" s="27" t="inlineStr">
        <is>
          <t>FAIR</t>
        </is>
      </c>
      <c r="P113" s="27" t="inlineStr">
        <is>
          <t>FAIR</t>
        </is>
      </c>
      <c r="Q113" s="27" t="inlineStr">
        <is>
          <t>FAIR</t>
        </is>
      </c>
      <c r="R113" s="27" t="inlineStr">
        <is>
          <t>0.6463040733623892</t>
        </is>
      </c>
      <c r="S113" s="27" t="inlineStr">
        <is>
          <t>MEDIUM</t>
        </is>
      </c>
      <c r="T113" s="27" t="inlineStr">
        <is>
          <t>MEDIUM</t>
        </is>
      </c>
      <c r="U113" s="27" t="inlineStr">
        <is>
          <t>0.1428571428571428</t>
        </is>
      </c>
      <c r="V113" s="27" t="inlineStr">
        <is>
          <t>LOW_RISK</t>
        </is>
      </c>
      <c r="W113" s="27" t="inlineStr">
        <is>
          <t>저위험</t>
        </is>
      </c>
      <c r="X113" s="27" t="inlineStr">
        <is>
          <t>LOW_RISK</t>
        </is>
      </c>
      <c r="Y113" s="27" t="inlineStr">
        <is>
          <t>0.6693838501840603</t>
        </is>
      </c>
      <c r="Z113" s="27" t="inlineStr">
        <is>
          <t>MEDIUM</t>
        </is>
      </c>
      <c r="AA113" s="27" t="inlineStr">
        <is>
          <t>MEDIUM</t>
        </is>
      </c>
      <c r="AB113" s="27" t="inlineStr">
        <is>
          <t>0.019101509586453232</t>
        </is>
      </c>
      <c r="AC113" s="27" t="inlineStr">
        <is>
          <t>False</t>
        </is>
      </c>
      <c r="AD113" s="27" t="inlineStr">
        <is>
          <t>False</t>
        </is>
      </c>
      <c r="AE113" s="27" t="inlineStr">
        <is>
          <t>valuation_credit_ml_overlay_candidate.csv</t>
        </is>
      </c>
      <c r="AF113" s="27" t="inlineStr">
        <is>
          <t>208개 반도체 reference universe. Valuation Agent가 자체 intake 폴더로 복제해 Peer/ML/대시보드 비교에 사용.</t>
        </is>
      </c>
    </row>
    <row r="114" ht="24" customHeight="1">
      <c r="A114" s="32" t="inlineStr">
        <is>
          <t>202</t>
        </is>
      </c>
      <c r="B114" s="32" t="inlineStr">
        <is>
          <t>해당 없음</t>
        </is>
      </c>
      <c r="C114" s="32" t="inlineStr">
        <is>
          <t>이수페타시스</t>
        </is>
      </c>
      <c r="D114" s="32" t="inlineStr">
        <is>
          <t>007660</t>
        </is>
      </c>
      <c r="E114" s="32" t="inlineStr">
        <is>
          <t>KOSPI</t>
        </is>
      </c>
      <c r="F114" s="32" t="inlineStr">
        <is>
          <t>부품/기판</t>
        </is>
      </c>
      <c r="G114" s="32" t="inlineStr">
        <is>
          <t>부품/기판</t>
        </is>
      </c>
      <c r="H114" s="32" t="inlineStr">
        <is>
          <t>False</t>
        </is>
      </c>
      <c r="I114" s="32" t="inlineStr">
        <is>
          <t>True</t>
        </is>
      </c>
      <c r="J114" s="32" t="inlineStr">
        <is>
          <t>OK</t>
        </is>
      </c>
      <c r="K114" s="32" t="inlineStr">
        <is>
          <t>데이터 사용 가능</t>
        </is>
      </c>
      <c r="L114" s="32" t="inlineStr">
        <is>
          <t>LOW</t>
        </is>
      </c>
      <c r="M114" s="32" t="inlineStr">
        <is>
          <t>LOW</t>
        </is>
      </c>
      <c r="N114" s="32" t="inlineStr">
        <is>
          <t>0.5061904761904762</t>
        </is>
      </c>
      <c r="O114" s="32" t="inlineStr">
        <is>
          <t>FAIR</t>
        </is>
      </c>
      <c r="P114" s="32" t="inlineStr">
        <is>
          <t>FAIR</t>
        </is>
      </c>
      <c r="Q114" s="32" t="inlineStr">
        <is>
          <t>FAIR</t>
        </is>
      </c>
      <c r="R114" s="32" t="inlineStr">
        <is>
          <t>0.599589540069591</t>
        </is>
      </c>
      <c r="S114" s="32" t="inlineStr">
        <is>
          <t>MEDIUM</t>
        </is>
      </c>
      <c r="T114" s="32" t="inlineStr">
        <is>
          <t>MEDIUM</t>
        </is>
      </c>
      <c r="U114" s="32" t="inlineStr">
        <is>
          <t>0.0</t>
        </is>
      </c>
      <c r="V114" s="32" t="inlineStr">
        <is>
          <t>LOW_RISK</t>
        </is>
      </c>
      <c r="W114" s="32" t="inlineStr">
        <is>
          <t>저위험</t>
        </is>
      </c>
      <c r="X114" s="32" t="inlineStr">
        <is>
          <t>LOW_RISK</t>
        </is>
      </c>
      <c r="Y114" s="32" t="inlineStr">
        <is>
          <t>0.8732919913777979</t>
        </is>
      </c>
      <c r="Z114" s="32" t="inlineStr">
        <is>
          <t>HIGH</t>
        </is>
      </c>
      <c r="AA114" s="32" t="inlineStr">
        <is>
          <t>HIGH</t>
        </is>
      </c>
      <c r="AB114" s="32" t="inlineStr">
        <is>
          <t>0.038896158054804106</t>
        </is>
      </c>
      <c r="AC114" s="32" t="inlineStr">
        <is>
          <t>False</t>
        </is>
      </c>
      <c r="AD114" s="32" t="inlineStr">
        <is>
          <t>False</t>
        </is>
      </c>
      <c r="AE114" s="32" t="inlineStr">
        <is>
          <t>valuation_credit_ml_overlay_candidate.csv</t>
        </is>
      </c>
      <c r="AF114" s="32" t="inlineStr">
        <is>
          <t>208개 반도체 reference universe. Valuation Agent가 자체 intake 폴더로 복제해 Peer/ML/대시보드 비교에 사용.</t>
        </is>
      </c>
    </row>
    <row r="115" ht="24" customHeight="1">
      <c r="A115" s="27" t="inlineStr">
        <is>
          <t>205</t>
        </is>
      </c>
      <c r="B115" s="27" t="inlineStr">
        <is>
          <t>해당 없음</t>
        </is>
      </c>
      <c r="C115" s="27" t="inlineStr">
        <is>
          <t>코리아써키트</t>
        </is>
      </c>
      <c r="D115" s="27" t="inlineStr">
        <is>
          <t>007810</t>
        </is>
      </c>
      <c r="E115" s="27" t="inlineStr">
        <is>
          <t>KOSPI</t>
        </is>
      </c>
      <c r="F115" s="27" t="inlineStr">
        <is>
          <t>부품/기판</t>
        </is>
      </c>
      <c r="G115" s="27" t="inlineStr">
        <is>
          <t>부품/기판</t>
        </is>
      </c>
      <c r="H115" s="27" t="inlineStr">
        <is>
          <t>False</t>
        </is>
      </c>
      <c r="I115" s="27" t="inlineStr">
        <is>
          <t>True</t>
        </is>
      </c>
      <c r="J115" s="27" t="inlineStr">
        <is>
          <t>OK</t>
        </is>
      </c>
      <c r="K115" s="27" t="inlineStr">
        <is>
          <t>데이터 사용 가능</t>
        </is>
      </c>
      <c r="L115" s="27" t="inlineStr">
        <is>
          <t>LOW</t>
        </is>
      </c>
      <c r="M115" s="27" t="inlineStr">
        <is>
          <t>LOW</t>
        </is>
      </c>
      <c r="N115" s="27" t="inlineStr">
        <is>
          <t>0.4676190476190476</t>
        </is>
      </c>
      <c r="O115" s="27" t="inlineStr">
        <is>
          <t>FAIR</t>
        </is>
      </c>
      <c r="P115" s="27" t="inlineStr">
        <is>
          <t>FAIR</t>
        </is>
      </c>
      <c r="Q115" s="27" t="inlineStr">
        <is>
          <t>FAIR</t>
        </is>
      </c>
      <c r="R115" s="27" t="inlineStr">
        <is>
          <t>0.8409076697911426</t>
        </is>
      </c>
      <c r="S115" s="27" t="inlineStr">
        <is>
          <t>HIGH</t>
        </is>
      </c>
      <c r="T115" s="27" t="inlineStr">
        <is>
          <t>HIGH</t>
        </is>
      </c>
      <c r="U115" s="27" t="inlineStr">
        <is>
          <t>0.2857142857142857</t>
        </is>
      </c>
      <c r="V115" s="27" t="inlineStr">
        <is>
          <t>MEDIUM_RISK</t>
        </is>
      </c>
      <c r="W115" s="27" t="inlineStr">
        <is>
          <t>중위험</t>
        </is>
      </c>
      <c r="X115" s="27" t="inlineStr">
        <is>
          <t>LOW_RISK</t>
        </is>
      </c>
      <c r="Y115" s="27" t="inlineStr">
        <is>
          <t>0.5792263126697852</t>
        </is>
      </c>
      <c r="Z115" s="27" t="inlineStr">
        <is>
          <t>MEDIUM</t>
        </is>
      </c>
      <c r="AA115" s="27" t="inlineStr">
        <is>
          <t>MEDIUM</t>
        </is>
      </c>
      <c r="AB115" s="27" t="inlineStr">
        <is>
          <t>0.03298450854390864</t>
        </is>
      </c>
      <c r="AC115" s="27" t="inlineStr">
        <is>
          <t>False</t>
        </is>
      </c>
      <c r="AD115" s="27" t="inlineStr">
        <is>
          <t>False</t>
        </is>
      </c>
      <c r="AE115" s="27" t="inlineStr">
        <is>
          <t>valuation_credit_ml_overlay_candidate.csv</t>
        </is>
      </c>
      <c r="AF115" s="27" t="inlineStr">
        <is>
          <t>208개 반도체 reference universe. Valuation Agent가 자체 intake 폴더로 복제해 Peer/ML/대시보드 비교에 사용.</t>
        </is>
      </c>
    </row>
    <row r="116" ht="24" customHeight="1">
      <c r="A116" s="32" t="inlineStr">
        <is>
          <t>200</t>
        </is>
      </c>
      <c r="B116" s="32" t="inlineStr">
        <is>
          <t>해당 없음</t>
        </is>
      </c>
      <c r="C116" s="32" t="inlineStr">
        <is>
          <t>아이티엠반도체</t>
        </is>
      </c>
      <c r="D116" s="32" t="inlineStr">
        <is>
          <t>084850</t>
        </is>
      </c>
      <c r="E116" s="32" t="inlineStr">
        <is>
          <t>KOSDAQ GLOBAL</t>
        </is>
      </c>
      <c r="F116" s="32" t="inlineStr">
        <is>
          <t>부품/기판</t>
        </is>
      </c>
      <c r="G116" s="32" t="inlineStr">
        <is>
          <t>부품/기판</t>
        </is>
      </c>
      <c r="H116" s="32" t="inlineStr">
        <is>
          <t>False</t>
        </is>
      </c>
      <c r="I116" s="32" t="inlineStr">
        <is>
          <t>True</t>
        </is>
      </c>
      <c r="J116" s="32" t="inlineStr">
        <is>
          <t>OK</t>
        </is>
      </c>
      <c r="K116" s="32" t="inlineStr">
        <is>
          <t>데이터 사용 가능</t>
        </is>
      </c>
      <c r="L116" s="32" t="inlineStr">
        <is>
          <t>LOW</t>
        </is>
      </c>
      <c r="M116" s="32" t="inlineStr">
        <is>
          <t>LOW</t>
        </is>
      </c>
      <c r="N116" s="32" t="inlineStr">
        <is>
          <t>0.4123809523809524</t>
        </is>
      </c>
      <c r="O116" s="32" t="inlineStr">
        <is>
          <t>EXPENSIVE</t>
        </is>
      </c>
      <c r="P116" s="32" t="inlineStr">
        <is>
          <t>EXPENSIVE</t>
        </is>
      </c>
      <c r="Q116" s="32" t="inlineStr">
        <is>
          <t>EXPENSIVE</t>
        </is>
      </c>
      <c r="R116" s="32" t="inlineStr">
        <is>
          <t>0.599341656390115</t>
        </is>
      </c>
      <c r="S116" s="32" t="inlineStr">
        <is>
          <t>MEDIUM</t>
        </is>
      </c>
      <c r="T116" s="32" t="inlineStr">
        <is>
          <t>MEDIUM</t>
        </is>
      </c>
      <c r="U116" s="32" t="inlineStr">
        <is>
          <t>0.5</t>
        </is>
      </c>
      <c r="V116" s="32" t="inlineStr">
        <is>
          <t>HIGH_RISK</t>
        </is>
      </c>
      <c r="W116" s="32" t="inlineStr">
        <is>
          <t>고위험</t>
        </is>
      </c>
      <c r="X116" s="32" t="inlineStr">
        <is>
          <t>HIGH_RISK</t>
        </is>
      </c>
      <c r="Y116" s="32" t="inlineStr">
        <is>
          <t>0.5842218052758918</t>
        </is>
      </c>
      <c r="Z116" s="32" t="inlineStr">
        <is>
          <t>MEDIUM</t>
        </is>
      </c>
      <c r="AA116" s="32" t="inlineStr">
        <is>
          <t>MEDIUM</t>
        </is>
      </c>
      <c r="AB116" s="32" t="inlineStr">
        <is>
          <t>0.24031195088694401</t>
        </is>
      </c>
      <c r="AC116" s="32" t="inlineStr">
        <is>
          <t>True</t>
        </is>
      </c>
      <c r="AD116" s="32" t="inlineStr">
        <is>
          <t>True</t>
        </is>
      </c>
      <c r="AE116" s="32" t="inlineStr">
        <is>
          <t>valuation_credit_ml_overlay_candidate.csv</t>
        </is>
      </c>
      <c r="AF116" s="32" t="inlineStr">
        <is>
          <t>208개 반도체 reference universe. Valuation Agent가 자체 intake 폴더로 복제해 Peer/ML/대시보드 비교에 사용.</t>
        </is>
      </c>
    </row>
    <row r="117" ht="24" customHeight="1">
      <c r="A117" s="27" t="inlineStr">
        <is>
          <t>195</t>
        </is>
      </c>
      <c r="B117" s="27" t="inlineStr">
        <is>
          <t>해당 없음</t>
        </is>
      </c>
      <c r="C117" s="27" t="inlineStr">
        <is>
          <t>대덕전자</t>
        </is>
      </c>
      <c r="D117" s="27" t="inlineStr">
        <is>
          <t>353200</t>
        </is>
      </c>
      <c r="E117" s="27" t="inlineStr">
        <is>
          <t>KOSPI</t>
        </is>
      </c>
      <c r="F117" s="27" t="inlineStr">
        <is>
          <t>부품/기판</t>
        </is>
      </c>
      <c r="G117" s="27" t="inlineStr">
        <is>
          <t>부품/기판</t>
        </is>
      </c>
      <c r="H117" s="27" t="inlineStr">
        <is>
          <t>False</t>
        </is>
      </c>
      <c r="I117" s="27" t="inlineStr">
        <is>
          <t>True</t>
        </is>
      </c>
      <c r="J117" s="27" t="inlineStr">
        <is>
          <t>OK</t>
        </is>
      </c>
      <c r="K117" s="27" t="inlineStr">
        <is>
          <t>데이터 사용 가능</t>
        </is>
      </c>
      <c r="L117" s="27" t="inlineStr">
        <is>
          <t>LOW</t>
        </is>
      </c>
      <c r="M117" s="27" t="inlineStr">
        <is>
          <t>LOW</t>
        </is>
      </c>
      <c r="N117" s="27" t="inlineStr">
        <is>
          <t>0.3966666666666666</t>
        </is>
      </c>
      <c r="O117" s="27" t="inlineStr">
        <is>
          <t>EXPENSIVE</t>
        </is>
      </c>
      <c r="P117" s="27" t="inlineStr">
        <is>
          <t>EXPENSIVE</t>
        </is>
      </c>
      <c r="Q117" s="27" t="inlineStr">
        <is>
          <t>EXPENSIVE</t>
        </is>
      </c>
      <c r="R117" s="27" t="inlineStr">
        <is>
          <t>0.6645756407915718</t>
        </is>
      </c>
      <c r="S117" s="27" t="inlineStr">
        <is>
          <t>MEDIUM</t>
        </is>
      </c>
      <c r="T117" s="27" t="inlineStr">
        <is>
          <t>MEDIUM</t>
        </is>
      </c>
      <c r="U117" s="27" t="inlineStr">
        <is>
          <t>0.1428571428571428</t>
        </is>
      </c>
      <c r="V117" s="27" t="inlineStr">
        <is>
          <t>LOW_RISK</t>
        </is>
      </c>
      <c r="W117" s="27" t="inlineStr">
        <is>
          <t>저위험</t>
        </is>
      </c>
      <c r="X117" s="27" t="inlineStr">
        <is>
          <t>LOW_RISK</t>
        </is>
      </c>
      <c r="Y117" s="27" t="inlineStr">
        <is>
          <t>0.8790575945794377</t>
        </is>
      </c>
      <c r="Z117" s="27" t="inlineStr">
        <is>
          <t>HIGH</t>
        </is>
      </c>
      <c r="AA117" s="27" t="inlineStr">
        <is>
          <t>HIGH</t>
        </is>
      </c>
      <c r="AB117" s="27" t="inlineStr">
        <is>
          <t>0.04079572535822507</t>
        </is>
      </c>
      <c r="AC117" s="27" t="inlineStr">
        <is>
          <t>False</t>
        </is>
      </c>
      <c r="AD117" s="27" t="inlineStr">
        <is>
          <t>False</t>
        </is>
      </c>
      <c r="AE117" s="27" t="inlineStr">
        <is>
          <t>valuation_credit_ml_overlay_candidate.csv</t>
        </is>
      </c>
      <c r="AF117" s="27" t="inlineStr">
        <is>
          <t>208개 반도체 reference universe. Valuation Agent가 자체 intake 폴더로 복제해 Peer/ML/대시보드 비교에 사용.</t>
        </is>
      </c>
    </row>
    <row r="118" ht="24" customHeight="1">
      <c r="A118" s="32" t="inlineStr">
        <is>
          <t>197</t>
        </is>
      </c>
      <c r="B118" s="32" t="inlineStr">
        <is>
          <t>해당 없음</t>
        </is>
      </c>
      <c r="C118" s="32" t="inlineStr">
        <is>
          <t>심텍</t>
        </is>
      </c>
      <c r="D118" s="32" t="inlineStr">
        <is>
          <t>222800</t>
        </is>
      </c>
      <c r="E118" s="32" t="inlineStr">
        <is>
          <t>KOSDAQ GLOBAL</t>
        </is>
      </c>
      <c r="F118" s="32" t="inlineStr">
        <is>
          <t>부품/기판</t>
        </is>
      </c>
      <c r="G118" s="32" t="inlineStr">
        <is>
          <t>부품/기판</t>
        </is>
      </c>
      <c r="H118" s="32" t="inlineStr">
        <is>
          <t>False</t>
        </is>
      </c>
      <c r="I118" s="32" t="inlineStr">
        <is>
          <t>True</t>
        </is>
      </c>
      <c r="J118" s="32" t="inlineStr">
        <is>
          <t>OK</t>
        </is>
      </c>
      <c r="K118" s="32" t="inlineStr">
        <is>
          <t>데이터 사용 가능</t>
        </is>
      </c>
      <c r="L118" s="32" t="inlineStr">
        <is>
          <t>LOW</t>
        </is>
      </c>
      <c r="M118" s="32" t="inlineStr">
        <is>
          <t>LOW</t>
        </is>
      </c>
      <c r="N118" s="32" t="inlineStr">
        <is>
          <t>0.3776190476190476</t>
        </is>
      </c>
      <c r="O118" s="32" t="inlineStr">
        <is>
          <t>EXPENSIVE</t>
        </is>
      </c>
      <c r="P118" s="32" t="inlineStr">
        <is>
          <t>EXPENSIVE</t>
        </is>
      </c>
      <c r="Q118" s="32" t="inlineStr">
        <is>
          <t>EXPENSIVE</t>
        </is>
      </c>
      <c r="R118" s="32" t="inlineStr">
        <is>
          <t>0.5170784842162837</t>
        </is>
      </c>
      <c r="S118" s="32" t="inlineStr">
        <is>
          <t>MEDIUM</t>
        </is>
      </c>
      <c r="T118" s="32" t="inlineStr">
        <is>
          <t>MEDIUM</t>
        </is>
      </c>
      <c r="U118" s="32" t="inlineStr">
        <is>
          <t>0.5714285714285714</t>
        </is>
      </c>
      <c r="V118" s="32" t="inlineStr">
        <is>
          <t>HIGH_RISK</t>
        </is>
      </c>
      <c r="W118" s="32" t="inlineStr">
        <is>
          <t>고위험</t>
        </is>
      </c>
      <c r="X118" s="32" t="inlineStr">
        <is>
          <t>HIGH_RISK</t>
        </is>
      </c>
      <c r="Y118" s="32" t="inlineStr">
        <is>
          <t>0.8465973773812472</t>
        </is>
      </c>
      <c r="Z118" s="32" t="inlineStr">
        <is>
          <t>HIGH</t>
        </is>
      </c>
      <c r="AA118" s="32" t="inlineStr">
        <is>
          <t>HIGH</t>
        </is>
      </c>
      <c r="AB118" s="32" t="inlineStr">
        <is>
          <t>0.10596332114746113</t>
        </is>
      </c>
      <c r="AC118" s="32" t="inlineStr">
        <is>
          <t>False</t>
        </is>
      </c>
      <c r="AD118" s="32" t="inlineStr">
        <is>
          <t>False</t>
        </is>
      </c>
      <c r="AE118" s="32" t="inlineStr">
        <is>
          <t>valuation_credit_ml_overlay_candidate.csv</t>
        </is>
      </c>
      <c r="AF118" s="32" t="inlineStr">
        <is>
          <t>208개 반도체 reference universe. Valuation Agent가 자체 intake 폴더로 복제해 Peer/ML/대시보드 비교에 사용.</t>
        </is>
      </c>
    </row>
    <row r="119" ht="24" customHeight="1">
      <c r="A119" s="27" t="inlineStr">
        <is>
          <t>199</t>
        </is>
      </c>
      <c r="B119" s="27" t="inlineStr">
        <is>
          <t>해당 없음</t>
        </is>
      </c>
      <c r="C119" s="27" t="inlineStr">
        <is>
          <t>아이에이</t>
        </is>
      </c>
      <c r="D119" s="27" t="inlineStr">
        <is>
          <t>038880</t>
        </is>
      </c>
      <c r="E119" s="27" t="inlineStr">
        <is>
          <t>KOSDAQ</t>
        </is>
      </c>
      <c r="F119" s="27" t="inlineStr">
        <is>
          <t>부품/기판</t>
        </is>
      </c>
      <c r="G119" s="27" t="inlineStr">
        <is>
          <t>부품/기판</t>
        </is>
      </c>
      <c r="H119" s="27" t="inlineStr">
        <is>
          <t>False</t>
        </is>
      </c>
      <c r="I119" s="27" t="inlineStr">
        <is>
          <t>True</t>
        </is>
      </c>
      <c r="J119" s="27" t="inlineStr">
        <is>
          <t>OK</t>
        </is>
      </c>
      <c r="K119" s="27" t="inlineStr">
        <is>
          <t>데이터 사용 가능</t>
        </is>
      </c>
      <c r="L119" s="27" t="inlineStr">
        <is>
          <t>LOW</t>
        </is>
      </c>
      <c r="M119" s="27" t="inlineStr">
        <is>
          <t>LOW</t>
        </is>
      </c>
      <c r="N119" s="27" t="inlineStr">
        <is>
          <t>0.3776190476190476</t>
        </is>
      </c>
      <c r="O119" s="27" t="inlineStr">
        <is>
          <t>EXPENSIVE</t>
        </is>
      </c>
      <c r="P119" s="27" t="inlineStr">
        <is>
          <t>EXPENSIVE</t>
        </is>
      </c>
      <c r="Q119" s="27" t="inlineStr">
        <is>
          <t>EXPENSIVE</t>
        </is>
      </c>
      <c r="R119" s="27" t="inlineStr">
        <is>
          <t>0.7739089828714508</t>
        </is>
      </c>
      <c r="S119" s="27" t="inlineStr">
        <is>
          <t>HIGH</t>
        </is>
      </c>
      <c r="T119" s="27" t="inlineStr">
        <is>
          <t>HIGH</t>
        </is>
      </c>
      <c r="U119" s="27" t="inlineStr">
        <is>
          <t>0.7142857142857143</t>
        </is>
      </c>
      <c r="V119" s="27" t="inlineStr">
        <is>
          <t>HIGH_RISK</t>
        </is>
      </c>
      <c r="W119" s="27" t="inlineStr">
        <is>
          <t>고위험</t>
        </is>
      </c>
      <c r="X119" s="27" t="inlineStr">
        <is>
          <t>HIGH_RISK</t>
        </is>
      </c>
      <c r="Y119" s="27" t="inlineStr">
        <is>
          <t>0.9768034906818953</t>
        </is>
      </c>
      <c r="Z119" s="27" t="inlineStr">
        <is>
          <t>HIGH</t>
        </is>
      </c>
      <c r="AA119" s="27" t="inlineStr">
        <is>
          <t>HIGH</t>
        </is>
      </c>
      <c r="AB119" s="27" t="inlineStr">
        <is>
          <t>0.2681205370430481</t>
        </is>
      </c>
      <c r="AC119" s="27" t="inlineStr">
        <is>
          <t>True</t>
        </is>
      </c>
      <c r="AD119" s="27" t="inlineStr">
        <is>
          <t>True</t>
        </is>
      </c>
      <c r="AE119" s="27" t="inlineStr">
        <is>
          <t>valuation_credit_ml_overlay_candidate.csv</t>
        </is>
      </c>
      <c r="AF119" s="27" t="inlineStr">
        <is>
          <t>208개 반도체 reference universe. Valuation Agent가 자체 intake 폴더로 복제해 Peer/ML/대시보드 비교에 사용.</t>
        </is>
      </c>
    </row>
    <row r="120" ht="24" customHeight="1">
      <c r="A120" s="32" t="inlineStr">
        <is>
          <t>208</t>
        </is>
      </c>
      <c r="B120" s="32" t="inlineStr">
        <is>
          <t>해당 없음</t>
        </is>
      </c>
      <c r="C120" s="32" t="inlineStr">
        <is>
          <t>3S</t>
        </is>
      </c>
      <c r="D120" s="32" t="inlineStr">
        <is>
          <t>060310</t>
        </is>
      </c>
      <c r="E120" s="32" t="inlineStr">
        <is>
          <t>KOSDAQ</t>
        </is>
      </c>
      <c r="F120" s="32" t="inlineStr">
        <is>
          <t>부품/기판</t>
        </is>
      </c>
      <c r="G120" s="32" t="inlineStr">
        <is>
          <t>부품/웨이퍼캐리어</t>
        </is>
      </c>
      <c r="H120" s="32" t="inlineStr">
        <is>
          <t>False</t>
        </is>
      </c>
      <c r="I120" s="32" t="inlineStr">
        <is>
          <t>True</t>
        </is>
      </c>
      <c r="J120" s="32" t="inlineStr">
        <is>
          <t>OK</t>
        </is>
      </c>
      <c r="K120" s="32" t="inlineStr">
        <is>
          <t>데이터 사용 가능</t>
        </is>
      </c>
      <c r="L120" s="32" t="inlineStr">
        <is>
          <t>LOW</t>
        </is>
      </c>
      <c r="M120" s="32" t="inlineStr">
        <is>
          <t>LOW</t>
        </is>
      </c>
      <c r="N120" s="32" t="inlineStr">
        <is>
          <t>0.3409523809523809</t>
        </is>
      </c>
      <c r="O120" s="32" t="inlineStr">
        <is>
          <t>EXPENSIVE</t>
        </is>
      </c>
      <c r="P120" s="32" t="inlineStr">
        <is>
          <t>EXPENSIVE</t>
        </is>
      </c>
      <c r="Q120" s="32" t="inlineStr">
        <is>
          <t>EXPENSIVE</t>
        </is>
      </c>
      <c r="R120" s="32" t="inlineStr">
        <is>
          <t>0.8755971854841007</t>
        </is>
      </c>
      <c r="S120" s="32" t="inlineStr">
        <is>
          <t>HIGH</t>
        </is>
      </c>
      <c r="T120" s="32" t="inlineStr">
        <is>
          <t>HIGH</t>
        </is>
      </c>
      <c r="U120" s="32" t="inlineStr">
        <is>
          <t>0.5714285714285714</t>
        </is>
      </c>
      <c r="V120" s="32" t="inlineStr">
        <is>
          <t>HIGH_RISK</t>
        </is>
      </c>
      <c r="W120" s="32" t="inlineStr">
        <is>
          <t>고위험</t>
        </is>
      </c>
      <c r="X120" s="32" t="inlineStr">
        <is>
          <t>HIGH_RISK</t>
        </is>
      </c>
      <c r="Y120" s="32" t="inlineStr">
        <is>
          <t>0.9688627439088098</t>
        </is>
      </c>
      <c r="Z120" s="32" t="inlineStr">
        <is>
          <t>HIGH</t>
        </is>
      </c>
      <c r="AA120" s="32" t="inlineStr">
        <is>
          <t>HIGH</t>
        </is>
      </c>
      <c r="AB120" s="32" t="inlineStr">
        <is>
          <t>0.13174199880530135</t>
        </is>
      </c>
      <c r="AC120" s="32" t="inlineStr">
        <is>
          <t>False</t>
        </is>
      </c>
      <c r="AD120" s="32" t="inlineStr">
        <is>
          <t>False</t>
        </is>
      </c>
      <c r="AE120" s="32" t="inlineStr">
        <is>
          <t>valuation_credit_ml_overlay_candidate.csv</t>
        </is>
      </c>
      <c r="AF120" s="32" t="inlineStr">
        <is>
          <t>208개 반도체 reference universe. Valuation Agent가 자체 intake 폴더로 복제해 Peer/ML/대시보드 비교에 사용.</t>
        </is>
      </c>
    </row>
    <row r="121" ht="24" customHeight="1">
      <c r="A121" s="27" t="inlineStr">
        <is>
          <t>139</t>
        </is>
      </c>
      <c r="B121" s="27" t="inlineStr">
        <is>
          <t>해당 없음</t>
        </is>
      </c>
      <c r="C121" s="27" t="inlineStr">
        <is>
          <t>월덱스</t>
        </is>
      </c>
      <c r="D121" s="27" t="inlineStr">
        <is>
          <t>101160</t>
        </is>
      </c>
      <c r="E121" s="27" t="inlineStr">
        <is>
          <t>KOSDAQ</t>
        </is>
      </c>
      <c r="F121" s="27" t="inlineStr">
        <is>
          <t>소재</t>
        </is>
      </c>
      <c r="G121" s="27" t="inlineStr">
        <is>
          <t>소재</t>
        </is>
      </c>
      <c r="H121" s="27" t="inlineStr">
        <is>
          <t>False</t>
        </is>
      </c>
      <c r="I121" s="27" t="inlineStr">
        <is>
          <t>True</t>
        </is>
      </c>
      <c r="J121" s="27" t="inlineStr">
        <is>
          <t>OK</t>
        </is>
      </c>
      <c r="K121" s="27" t="inlineStr">
        <is>
          <t>데이터 사용 가능</t>
        </is>
      </c>
      <c r="L121" s="27" t="inlineStr">
        <is>
          <t>LOW</t>
        </is>
      </c>
      <c r="M121" s="27" t="inlineStr">
        <is>
          <t>LOW</t>
        </is>
      </c>
      <c r="N121" s="27" t="inlineStr">
        <is>
          <t>0.745897435897436</t>
        </is>
      </c>
      <c r="O121" s="27" t="inlineStr">
        <is>
          <t>ATTRACTIVE</t>
        </is>
      </c>
      <c r="P121" s="27" t="inlineStr">
        <is>
          <t>가치 매력</t>
        </is>
      </c>
      <c r="Q121" s="27" t="inlineStr">
        <is>
          <t>ATTRACTIVE</t>
        </is>
      </c>
      <c r="R121" s="27" t="inlineStr">
        <is>
          <t>0.9476922450763601</t>
        </is>
      </c>
      <c r="S121" s="27" t="inlineStr">
        <is>
          <t>HIGH</t>
        </is>
      </c>
      <c r="T121" s="27" t="inlineStr">
        <is>
          <t>HIGH</t>
        </is>
      </c>
      <c r="U121" s="27" t="inlineStr">
        <is>
          <t>0.0</t>
        </is>
      </c>
      <c r="V121" s="27" t="inlineStr">
        <is>
          <t>LOW_RISK</t>
        </is>
      </c>
      <c r="W121" s="27" t="inlineStr">
        <is>
          <t>저위험</t>
        </is>
      </c>
      <c r="X121" s="27" t="inlineStr">
        <is>
          <t>LOW_RISK</t>
        </is>
      </c>
      <c r="Y121" s="27" t="inlineStr">
        <is>
          <t>0.9681016473230849</t>
        </is>
      </c>
      <c r="Z121" s="27" t="inlineStr">
        <is>
          <t>HIGH</t>
        </is>
      </c>
      <c r="AA121" s="27" t="inlineStr">
        <is>
          <t>HIGH</t>
        </is>
      </c>
      <c r="AB121" s="27" t="inlineStr">
        <is>
          <t>0.15527064195126172</t>
        </is>
      </c>
      <c r="AC121" s="27" t="inlineStr">
        <is>
          <t>False</t>
        </is>
      </c>
      <c r="AD121" s="27" t="inlineStr">
        <is>
          <t>False</t>
        </is>
      </c>
      <c r="AE121" s="27" t="inlineStr">
        <is>
          <t>valuation_credit_ml_overlay_candidate.csv</t>
        </is>
      </c>
      <c r="AF121" s="27" t="inlineStr">
        <is>
          <t>208개 반도체 reference universe. Valuation Agent가 자체 intake 폴더로 복제해 Peer/ML/대시보드 비교에 사용.</t>
        </is>
      </c>
    </row>
    <row r="122" ht="24" customHeight="1">
      <c r="A122" s="32" t="inlineStr">
        <is>
          <t>147</t>
        </is>
      </c>
      <c r="B122" s="32" t="inlineStr">
        <is>
          <t>해당 없음</t>
        </is>
      </c>
      <c r="C122" s="32" t="inlineStr">
        <is>
          <t>퓨릿</t>
        </is>
      </c>
      <c r="D122" s="32" t="inlineStr">
        <is>
          <t>445180</t>
        </is>
      </c>
      <c r="E122" s="32" t="inlineStr">
        <is>
          <t>KOSDAQ</t>
        </is>
      </c>
      <c r="F122" s="32" t="inlineStr">
        <is>
          <t>소재</t>
        </is>
      </c>
      <c r="G122" s="32" t="inlineStr">
        <is>
          <t>소재</t>
        </is>
      </c>
      <c r="H122" s="32" t="inlineStr">
        <is>
          <t>False</t>
        </is>
      </c>
      <c r="I122" s="32" t="inlineStr">
        <is>
          <t>True</t>
        </is>
      </c>
      <c r="J122" s="32" t="inlineStr">
        <is>
          <t>OK_LIMITED_HISTORY_OR_GROWTH_NA</t>
        </is>
      </c>
      <c r="K122" s="32" t="inlineStr">
        <is>
          <t>데이터 사용 가능</t>
        </is>
      </c>
      <c r="L122" s="32" t="inlineStr">
        <is>
          <t>LOW</t>
        </is>
      </c>
      <c r="M122" s="32" t="inlineStr">
        <is>
          <t>LOW</t>
        </is>
      </c>
      <c r="N122" s="32" t="inlineStr">
        <is>
          <t>0.7448717948717948</t>
        </is>
      </c>
      <c r="O122" s="32" t="inlineStr">
        <is>
          <t>ATTRACTIVE</t>
        </is>
      </c>
      <c r="P122" s="32" t="inlineStr">
        <is>
          <t>가치 매력</t>
        </is>
      </c>
      <c r="Q122" s="32" t="inlineStr">
        <is>
          <t>ATTRACTIVE</t>
        </is>
      </c>
      <c r="R122" s="32" t="inlineStr">
        <is>
          <t>0.8817607106455689</t>
        </is>
      </c>
      <c r="S122" s="32" t="inlineStr">
        <is>
          <t>HIGH</t>
        </is>
      </c>
      <c r="T122" s="32" t="inlineStr">
        <is>
          <t>HIGH</t>
        </is>
      </c>
      <c r="U122" s="32" t="inlineStr">
        <is>
          <t>0.0714285714285714</t>
        </is>
      </c>
      <c r="V122" s="32" t="inlineStr">
        <is>
          <t>LOW_RISK</t>
        </is>
      </c>
      <c r="W122" s="32" t="inlineStr">
        <is>
          <t>저위험</t>
        </is>
      </c>
      <c r="X122" s="32" t="inlineStr">
        <is>
          <t>LOW_RISK</t>
        </is>
      </c>
      <c r="Y122" s="32" t="inlineStr">
        <is>
          <t>0.9587686707140917</t>
        </is>
      </c>
      <c r="Z122" s="32" t="inlineStr">
        <is>
          <t>HIGH</t>
        </is>
      </c>
      <c r="AA122" s="32" t="inlineStr">
        <is>
          <t>HIGH</t>
        </is>
      </c>
      <c r="AB122" s="32" t="inlineStr">
        <is>
          <t>0.09055441585311619</t>
        </is>
      </c>
      <c r="AC122" s="32" t="inlineStr">
        <is>
          <t>False</t>
        </is>
      </c>
      <c r="AD122" s="32" t="inlineStr">
        <is>
          <t>True</t>
        </is>
      </c>
      <c r="AE122" s="32" t="inlineStr">
        <is>
          <t>valuation_credit_ml_overlay_candidate.csv</t>
        </is>
      </c>
      <c r="AF122" s="32" t="inlineStr">
        <is>
          <t>208개 반도체 reference universe. Valuation Agent가 자체 intake 폴더로 복제해 Peer/ML/대시보드 비교에 사용.</t>
        </is>
      </c>
    </row>
    <row r="123" ht="24" customHeight="1">
      <c r="A123" s="27" t="inlineStr">
        <is>
          <t>141</t>
        </is>
      </c>
      <c r="B123" s="27" t="inlineStr">
        <is>
          <t>해당 없음</t>
        </is>
      </c>
      <c r="C123" s="27" t="inlineStr">
        <is>
          <t>이엔에프테크놀로지</t>
        </is>
      </c>
      <c r="D123" s="27" t="inlineStr">
        <is>
          <t>102710</t>
        </is>
      </c>
      <c r="E123" s="27" t="inlineStr">
        <is>
          <t>KOSDAQ</t>
        </is>
      </c>
      <c r="F123" s="27" t="inlineStr">
        <is>
          <t>소재</t>
        </is>
      </c>
      <c r="G123" s="27" t="inlineStr">
        <is>
          <t>소재</t>
        </is>
      </c>
      <c r="H123" s="27" t="inlineStr">
        <is>
          <t>False</t>
        </is>
      </c>
      <c r="I123" s="27" t="inlineStr">
        <is>
          <t>True</t>
        </is>
      </c>
      <c r="J123" s="27" t="inlineStr">
        <is>
          <t>OK</t>
        </is>
      </c>
      <c r="K123" s="27" t="inlineStr">
        <is>
          <t>데이터 사용 가능</t>
        </is>
      </c>
      <c r="L123" s="27" t="inlineStr">
        <is>
          <t>LOW</t>
        </is>
      </c>
      <c r="M123" s="27" t="inlineStr">
        <is>
          <t>LOW</t>
        </is>
      </c>
      <c r="N123" s="27" t="inlineStr">
        <is>
          <t>0.7061538461538462</t>
        </is>
      </c>
      <c r="O123" s="27" t="inlineStr">
        <is>
          <t>ATTRACTIVE</t>
        </is>
      </c>
      <c r="P123" s="27" t="inlineStr">
        <is>
          <t>가치 매력</t>
        </is>
      </c>
      <c r="Q123" s="27" t="inlineStr">
        <is>
          <t>ATTRACTIVE</t>
        </is>
      </c>
      <c r="R123" s="27" t="inlineStr">
        <is>
          <t>0.9371627732042065</t>
        </is>
      </c>
      <c r="S123" s="27" t="inlineStr">
        <is>
          <t>HIGH</t>
        </is>
      </c>
      <c r="T123" s="27" t="inlineStr">
        <is>
          <t>HIGH</t>
        </is>
      </c>
      <c r="U123" s="27" t="inlineStr">
        <is>
          <t>0.0</t>
        </is>
      </c>
      <c r="V123" s="27" t="inlineStr">
        <is>
          <t>LOW_RISK</t>
        </is>
      </c>
      <c r="W123" s="27" t="inlineStr">
        <is>
          <t>저위험</t>
        </is>
      </c>
      <c r="X123" s="27" t="inlineStr">
        <is>
          <t>LOW_RISK</t>
        </is>
      </c>
      <c r="Y123" s="27" t="inlineStr">
        <is>
          <t>0.8730332003988217</t>
        </is>
      </c>
      <c r="Z123" s="27" t="inlineStr">
        <is>
          <t>HIGH</t>
        </is>
      </c>
      <c r="AA123" s="27" t="inlineStr">
        <is>
          <t>HIGH</t>
        </is>
      </c>
      <c r="AB123" s="27" t="inlineStr">
        <is>
          <t>0.01762692878431683</t>
        </is>
      </c>
      <c r="AC123" s="27" t="inlineStr">
        <is>
          <t>False</t>
        </is>
      </c>
      <c r="AD123" s="27" t="inlineStr">
        <is>
          <t>False</t>
        </is>
      </c>
      <c r="AE123" s="27" t="inlineStr">
        <is>
          <t>valuation_credit_ml_overlay_candidate.csv</t>
        </is>
      </c>
      <c r="AF123" s="27" t="inlineStr">
        <is>
          <t>208개 반도체 reference universe. Valuation Agent가 자체 intake 폴더로 복제해 Peer/ML/대시보드 비교에 사용.</t>
        </is>
      </c>
    </row>
    <row r="124" ht="24" customHeight="1">
      <c r="A124" s="32" t="inlineStr">
        <is>
          <t>138</t>
        </is>
      </c>
      <c r="B124" s="32" t="inlineStr">
        <is>
          <t>해당 없음</t>
        </is>
      </c>
      <c r="C124" s="32" t="inlineStr">
        <is>
          <t>원익머트리얼즈</t>
        </is>
      </c>
      <c r="D124" s="32" t="inlineStr">
        <is>
          <t>104830</t>
        </is>
      </c>
      <c r="E124" s="32" t="inlineStr">
        <is>
          <t>KOSDAQ</t>
        </is>
      </c>
      <c r="F124" s="32" t="inlineStr">
        <is>
          <t>소재</t>
        </is>
      </c>
      <c r="G124" s="32" t="inlineStr">
        <is>
          <t>소재</t>
        </is>
      </c>
      <c r="H124" s="32" t="inlineStr">
        <is>
          <t>False</t>
        </is>
      </c>
      <c r="I124" s="32" t="inlineStr">
        <is>
          <t>True</t>
        </is>
      </c>
      <c r="J124" s="32" t="inlineStr">
        <is>
          <t>OK</t>
        </is>
      </c>
      <c r="K124" s="32" t="inlineStr">
        <is>
          <t>데이터 사용 가능</t>
        </is>
      </c>
      <c r="L124" s="32" t="inlineStr">
        <is>
          <t>LOW</t>
        </is>
      </c>
      <c r="M124" s="32" t="inlineStr">
        <is>
          <t>LOW</t>
        </is>
      </c>
      <c r="N124" s="32" t="inlineStr">
        <is>
          <t>0.6682051282051282</t>
        </is>
      </c>
      <c r="O124" s="32" t="inlineStr">
        <is>
          <t>FAIR</t>
        </is>
      </c>
      <c r="P124" s="32" t="inlineStr">
        <is>
          <t>FAIR</t>
        </is>
      </c>
      <c r="Q124" s="32" t="inlineStr">
        <is>
          <t>FAIR</t>
        </is>
      </c>
      <c r="R124" s="32" t="inlineStr">
        <is>
          <t>0.9160049727267536</t>
        </is>
      </c>
      <c r="S124" s="32" t="inlineStr">
        <is>
          <t>HIGH</t>
        </is>
      </c>
      <c r="T124" s="32" t="inlineStr">
        <is>
          <t>HIGH</t>
        </is>
      </c>
      <c r="U124" s="32" t="inlineStr">
        <is>
          <t>0.0714285714285714</t>
        </is>
      </c>
      <c r="V124" s="32" t="inlineStr">
        <is>
          <t>LOW_RISK</t>
        </is>
      </c>
      <c r="W124" s="32" t="inlineStr">
        <is>
          <t>저위험</t>
        </is>
      </c>
      <c r="X124" s="32" t="inlineStr">
        <is>
          <t>LOW_RISK</t>
        </is>
      </c>
      <c r="Y124" s="32" t="inlineStr">
        <is>
          <t>0.9269592012859288</t>
        </is>
      </c>
      <c r="Z124" s="32" t="inlineStr">
        <is>
          <t>HIGH</t>
        </is>
      </c>
      <c r="AA124" s="32" t="inlineStr">
        <is>
          <t>HIGH</t>
        </is>
      </c>
      <c r="AB124" s="32" t="inlineStr">
        <is>
          <t>0.08809933839296093</t>
        </is>
      </c>
      <c r="AC124" s="32" t="inlineStr">
        <is>
          <t>False</t>
        </is>
      </c>
      <c r="AD124" s="32" t="inlineStr">
        <is>
          <t>False</t>
        </is>
      </c>
      <c r="AE124" s="32" t="inlineStr">
        <is>
          <t>valuation_credit_ml_overlay_candidate.csv</t>
        </is>
      </c>
      <c r="AF124" s="32" t="inlineStr">
        <is>
          <t>208개 반도체 reference universe. Valuation Agent가 자체 intake 폴더로 복제해 Peer/ML/대시보드 비교에 사용.</t>
        </is>
      </c>
    </row>
    <row r="125" ht="24" customHeight="1">
      <c r="A125" s="27" t="inlineStr">
        <is>
          <t>130</t>
        </is>
      </c>
      <c r="B125" s="27" t="inlineStr">
        <is>
          <t>해당 없음</t>
        </is>
      </c>
      <c r="C125" s="27" t="inlineStr">
        <is>
          <t>솔브레인홀딩스</t>
        </is>
      </c>
      <c r="D125" s="27" t="inlineStr">
        <is>
          <t>036830</t>
        </is>
      </c>
      <c r="E125" s="27" t="inlineStr">
        <is>
          <t>KOSDAQ GLOBAL</t>
        </is>
      </c>
      <c r="F125" s="27" t="inlineStr">
        <is>
          <t>소재</t>
        </is>
      </c>
      <c r="G125" s="27" t="inlineStr">
        <is>
          <t>소재</t>
        </is>
      </c>
      <c r="H125" s="27" t="inlineStr">
        <is>
          <t>False</t>
        </is>
      </c>
      <c r="I125" s="27" t="inlineStr">
        <is>
          <t>True</t>
        </is>
      </c>
      <c r="J125" s="27" t="inlineStr">
        <is>
          <t>OK</t>
        </is>
      </c>
      <c r="K125" s="27" t="inlineStr">
        <is>
          <t>데이터 사용 가능</t>
        </is>
      </c>
      <c r="L125" s="27" t="inlineStr">
        <is>
          <t>LOW</t>
        </is>
      </c>
      <c r="M125" s="27" t="inlineStr">
        <is>
          <t>LOW</t>
        </is>
      </c>
      <c r="N125" s="27" t="inlineStr">
        <is>
          <t>0.6666666666666667</t>
        </is>
      </c>
      <c r="O125" s="27" t="inlineStr">
        <is>
          <t>ATTRACTIVE</t>
        </is>
      </c>
      <c r="P125" s="27" t="inlineStr">
        <is>
          <t>가치 매력</t>
        </is>
      </c>
      <c r="Q125" s="27" t="inlineStr">
        <is>
          <t>ATTRACTIVE</t>
        </is>
      </c>
      <c r="R125" s="27" t="inlineStr">
        <is>
          <t>0.5229115612060397</t>
        </is>
      </c>
      <c r="S125" s="27" t="inlineStr">
        <is>
          <t>MEDIUM</t>
        </is>
      </c>
      <c r="T125" s="27" t="inlineStr">
        <is>
          <t>MEDIUM</t>
        </is>
      </c>
      <c r="U125" s="27" t="inlineStr">
        <is>
          <t>0.0</t>
        </is>
      </c>
      <c r="V125" s="27" t="inlineStr">
        <is>
          <t>LOW_RISK</t>
        </is>
      </c>
      <c r="W125" s="27" t="inlineStr">
        <is>
          <t>저위험</t>
        </is>
      </c>
      <c r="X125" s="27" t="inlineStr">
        <is>
          <t>LOW_RISK</t>
        </is>
      </c>
      <c r="Y125" s="27" t="inlineStr">
        <is>
          <t>0.8942479649490351</t>
        </is>
      </c>
      <c r="Z125" s="27" t="inlineStr">
        <is>
          <t>HIGH</t>
        </is>
      </c>
      <c r="AA125" s="27" t="inlineStr">
        <is>
          <t>HIGH</t>
        </is>
      </c>
      <c r="AB125" s="27" t="inlineStr">
        <is>
          <t>0.13058276838656327</t>
        </is>
      </c>
      <c r="AC125" s="27" t="inlineStr">
        <is>
          <t>False</t>
        </is>
      </c>
      <c r="AD125" s="27" t="inlineStr">
        <is>
          <t>False</t>
        </is>
      </c>
      <c r="AE125" s="27" t="inlineStr">
        <is>
          <t>valuation_credit_ml_overlay_candidate.csv</t>
        </is>
      </c>
      <c r="AF125" s="27" t="inlineStr">
        <is>
          <t>208개 반도체 reference universe. Valuation Agent가 자체 intake 폴더로 복제해 Peer/ML/대시보드 비교에 사용.</t>
        </is>
      </c>
    </row>
    <row r="126" ht="24" customHeight="1">
      <c r="A126" s="32" t="inlineStr">
        <is>
          <t>148</t>
        </is>
      </c>
      <c r="B126" s="32" t="inlineStr">
        <is>
          <t>hansol</t>
        </is>
      </c>
      <c r="C126" s="32" t="inlineStr">
        <is>
          <t>한솔케미칼</t>
        </is>
      </c>
      <c r="D126" s="32" t="inlineStr">
        <is>
          <t>014680</t>
        </is>
      </c>
      <c r="E126" s="32" t="inlineStr">
        <is>
          <t>KOSPI</t>
        </is>
      </c>
      <c r="F126" s="32" t="inlineStr">
        <is>
          <t>소재</t>
        </is>
      </c>
      <c r="G126" s="32" t="inlineStr">
        <is>
          <t>소재</t>
        </is>
      </c>
      <c r="H126" s="32" t="inlineStr">
        <is>
          <t>True</t>
        </is>
      </c>
      <c r="I126" s="32" t="inlineStr">
        <is>
          <t>True</t>
        </is>
      </c>
      <c r="J126" s="32" t="inlineStr">
        <is>
          <t>OK</t>
        </is>
      </c>
      <c r="K126" s="32" t="inlineStr">
        <is>
          <t>데이터 사용 가능</t>
        </is>
      </c>
      <c r="L126" s="32" t="inlineStr">
        <is>
          <t>LOW</t>
        </is>
      </c>
      <c r="M126" s="32" t="inlineStr">
        <is>
          <t>LOW</t>
        </is>
      </c>
      <c r="N126" s="32" t="inlineStr">
        <is>
          <t>0.6330769230769231</t>
        </is>
      </c>
      <c r="O126" s="32" t="inlineStr">
        <is>
          <t>ATTRACTIVE</t>
        </is>
      </c>
      <c r="P126" s="32" t="inlineStr">
        <is>
          <t>가치 매력</t>
        </is>
      </c>
      <c r="Q126" s="32" t="inlineStr">
        <is>
          <t>ATTRACTIVE</t>
        </is>
      </c>
      <c r="R126" s="32" t="inlineStr">
        <is>
          <t>0.8364696976606926</t>
        </is>
      </c>
      <c r="S126" s="32" t="inlineStr">
        <is>
          <t>HIGH</t>
        </is>
      </c>
      <c r="T126" s="32" t="inlineStr">
        <is>
          <t>HIGH</t>
        </is>
      </c>
      <c r="U126" s="32" t="inlineStr">
        <is>
          <t>0.0</t>
        </is>
      </c>
      <c r="V126" s="32" t="inlineStr">
        <is>
          <t>LOW_RISK</t>
        </is>
      </c>
      <c r="W126" s="32" t="inlineStr">
        <is>
          <t>저위험</t>
        </is>
      </c>
      <c r="X126" s="32" t="inlineStr">
        <is>
          <t>LOW_RISK</t>
        </is>
      </c>
      <c r="Y126" s="32" t="inlineStr">
        <is>
          <t>0.9711543901439185</t>
        </is>
      </c>
      <c r="Z126" s="32" t="inlineStr">
        <is>
          <t>HIGH</t>
        </is>
      </c>
      <c r="AA126" s="32" t="inlineStr">
        <is>
          <t>HIGH</t>
        </is>
      </c>
      <c r="AB126" s="32" t="inlineStr">
        <is>
          <t>0.058190310497948615</t>
        </is>
      </c>
      <c r="AC126" s="32" t="inlineStr">
        <is>
          <t>False</t>
        </is>
      </c>
      <c r="AD126" s="32" t="inlineStr">
        <is>
          <t>False</t>
        </is>
      </c>
      <c r="AE126" s="32" t="inlineStr">
        <is>
          <t>valuation_credit_ml_overlay_candidate.csv</t>
        </is>
      </c>
      <c r="AF126" s="32" t="inlineStr">
        <is>
          <t>208개 반도체 reference universe. Valuation Agent가 자체 intake 폴더로 복제해 Peer/ML/대시보드 비교에 사용.</t>
        </is>
      </c>
    </row>
    <row r="127" ht="24" customHeight="1">
      <c r="A127" s="27" t="inlineStr">
        <is>
          <t>140</t>
        </is>
      </c>
      <c r="B127" s="27" t="inlineStr">
        <is>
          <t>해당 없음</t>
        </is>
      </c>
      <c r="C127" s="27" t="inlineStr">
        <is>
          <t>이녹스첨단소재</t>
        </is>
      </c>
      <c r="D127" s="27" t="inlineStr">
        <is>
          <t>272290</t>
        </is>
      </c>
      <c r="E127" s="27" t="inlineStr">
        <is>
          <t>KOSDAQ GLOBAL</t>
        </is>
      </c>
      <c r="F127" s="27" t="inlineStr">
        <is>
          <t>소재</t>
        </is>
      </c>
      <c r="G127" s="27" t="inlineStr">
        <is>
          <t>소재</t>
        </is>
      </c>
      <c r="H127" s="27" t="inlineStr">
        <is>
          <t>False</t>
        </is>
      </c>
      <c r="I127" s="27" t="inlineStr">
        <is>
          <t>True</t>
        </is>
      </c>
      <c r="J127" s="27" t="inlineStr">
        <is>
          <t>OK</t>
        </is>
      </c>
      <c r="K127" s="27" t="inlineStr">
        <is>
          <t>데이터 사용 가능</t>
        </is>
      </c>
      <c r="L127" s="27" t="inlineStr">
        <is>
          <t>LOW</t>
        </is>
      </c>
      <c r="M127" s="27" t="inlineStr">
        <is>
          <t>LOW</t>
        </is>
      </c>
      <c r="N127" s="27" t="inlineStr">
        <is>
          <t>0.6312820512820514</t>
        </is>
      </c>
      <c r="O127" s="27" t="inlineStr">
        <is>
          <t>FAIR</t>
        </is>
      </c>
      <c r="P127" s="27" t="inlineStr">
        <is>
          <t>FAIR</t>
        </is>
      </c>
      <c r="Q127" s="27" t="inlineStr">
        <is>
          <t>FAIR</t>
        </is>
      </c>
      <c r="R127" s="27" t="inlineStr">
        <is>
          <t>0.900184891106931</t>
        </is>
      </c>
      <c r="S127" s="27" t="inlineStr">
        <is>
          <t>HIGH</t>
        </is>
      </c>
      <c r="T127" s="27" t="inlineStr">
        <is>
          <t>HIGH</t>
        </is>
      </c>
      <c r="U127" s="27" t="inlineStr">
        <is>
          <t>0.0714285714285714</t>
        </is>
      </c>
      <c r="V127" s="27" t="inlineStr">
        <is>
          <t>LOW_RISK</t>
        </is>
      </c>
      <c r="W127" s="27" t="inlineStr">
        <is>
          <t>저위험</t>
        </is>
      </c>
      <c r="X127" s="27" t="inlineStr">
        <is>
          <t>LOW_RISK</t>
        </is>
      </c>
      <c r="Y127" s="27" t="inlineStr">
        <is>
          <t>0.7417939360948919</t>
        </is>
      </c>
      <c r="Z127" s="27" t="inlineStr">
        <is>
          <t>HIGH</t>
        </is>
      </c>
      <c r="AA127" s="27" t="inlineStr">
        <is>
          <t>HIGH</t>
        </is>
      </c>
      <c r="AB127" s="27" t="inlineStr">
        <is>
          <t>0.06763542968359648</t>
        </is>
      </c>
      <c r="AC127" s="27" t="inlineStr">
        <is>
          <t>False</t>
        </is>
      </c>
      <c r="AD127" s="27" t="inlineStr">
        <is>
          <t>False</t>
        </is>
      </c>
      <c r="AE127" s="27" t="inlineStr">
        <is>
          <t>valuation_credit_ml_overlay_candidate.csv</t>
        </is>
      </c>
      <c r="AF127" s="27" t="inlineStr">
        <is>
          <t>208개 반도체 reference universe. Valuation Agent가 자체 intake 폴더로 복제해 Peer/ML/대시보드 비교에 사용.</t>
        </is>
      </c>
    </row>
    <row r="128" ht="24" customHeight="1">
      <c r="A128" s="32" t="inlineStr">
        <is>
          <t>133</t>
        </is>
      </c>
      <c r="B128" s="32" t="inlineStr">
        <is>
          <t>ltc</t>
        </is>
      </c>
      <c r="C128" s="32" t="inlineStr">
        <is>
          <t>엘티씨</t>
        </is>
      </c>
      <c r="D128" s="32" t="inlineStr">
        <is>
          <t>170920</t>
        </is>
      </c>
      <c r="E128" s="32" t="inlineStr">
        <is>
          <t>KOSDAQ</t>
        </is>
      </c>
      <c r="F128" s="32" t="inlineStr">
        <is>
          <t>소재</t>
        </is>
      </c>
      <c r="G128" s="32" t="inlineStr">
        <is>
          <t>소재</t>
        </is>
      </c>
      <c r="H128" s="32" t="inlineStr">
        <is>
          <t>True</t>
        </is>
      </c>
      <c r="I128" s="32" t="inlineStr">
        <is>
          <t>True</t>
        </is>
      </c>
      <c r="J128" s="32" t="inlineStr">
        <is>
          <t>OK</t>
        </is>
      </c>
      <c r="K128" s="32" t="inlineStr">
        <is>
          <t>데이터 사용 가능</t>
        </is>
      </c>
      <c r="L128" s="32" t="inlineStr">
        <is>
          <t>LOW</t>
        </is>
      </c>
      <c r="M128" s="32" t="inlineStr">
        <is>
          <t>LOW</t>
        </is>
      </c>
      <c r="N128" s="32" t="inlineStr">
        <is>
          <t>0.5838461538461538</t>
        </is>
      </c>
      <c r="O128" s="32" t="inlineStr">
        <is>
          <t>FAIR</t>
        </is>
      </c>
      <c r="P128" s="32" t="inlineStr">
        <is>
          <t>FAIR</t>
        </is>
      </c>
      <c r="Q128" s="32" t="inlineStr">
        <is>
          <t>ATTRACTIVE</t>
        </is>
      </c>
      <c r="R128" s="32" t="inlineStr">
        <is>
          <t>0.6353016273848794</t>
        </is>
      </c>
      <c r="S128" s="32" t="inlineStr">
        <is>
          <t>MEDIUM</t>
        </is>
      </c>
      <c r="T128" s="32" t="inlineStr">
        <is>
          <t>MEDIUM</t>
        </is>
      </c>
      <c r="U128" s="32" t="inlineStr">
        <is>
          <t>0.0</t>
        </is>
      </c>
      <c r="V128" s="32" t="inlineStr">
        <is>
          <t>LOW_RISK</t>
        </is>
      </c>
      <c r="W128" s="32" t="inlineStr">
        <is>
          <t>저위험</t>
        </is>
      </c>
      <c r="X128" s="32" t="inlineStr">
        <is>
          <t>LOW_RISK</t>
        </is>
      </c>
      <c r="Y128" s="32" t="inlineStr">
        <is>
          <t>0.9205018564538214</t>
        </is>
      </c>
      <c r="Z128" s="32" t="inlineStr">
        <is>
          <t>HIGH</t>
        </is>
      </c>
      <c r="AA128" s="32" t="inlineStr">
        <is>
          <t>HIGH</t>
        </is>
      </c>
      <c r="AB128" s="32" t="inlineStr">
        <is>
          <t>0.0038993876391341673</t>
        </is>
      </c>
      <c r="AC128" s="32" t="inlineStr">
        <is>
          <t>False</t>
        </is>
      </c>
      <c r="AD128" s="32" t="inlineStr">
        <is>
          <t>False</t>
        </is>
      </c>
      <c r="AE128" s="32" t="inlineStr">
        <is>
          <t>valuation_credit_ml_overlay_candidate.csv</t>
        </is>
      </c>
      <c r="AF128" s="32" t="inlineStr">
        <is>
          <t>208개 반도체 reference universe. Valuation Agent가 자체 intake 폴더로 복제해 Peer/ML/대시보드 비교에 사용.</t>
        </is>
      </c>
    </row>
    <row r="129" ht="24" customHeight="1">
      <c r="A129" s="27" t="inlineStr">
        <is>
          <t>146</t>
        </is>
      </c>
      <c r="B129" s="27" t="inlineStr">
        <is>
          <t>해당 없음</t>
        </is>
      </c>
      <c r="C129" s="27" t="inlineStr">
        <is>
          <t>티이엠씨</t>
        </is>
      </c>
      <c r="D129" s="27" t="inlineStr">
        <is>
          <t>425040</t>
        </is>
      </c>
      <c r="E129" s="27" t="inlineStr">
        <is>
          <t>KOSDAQ</t>
        </is>
      </c>
      <c r="F129" s="27" t="inlineStr">
        <is>
          <t>소재</t>
        </is>
      </c>
      <c r="G129" s="27" t="inlineStr">
        <is>
          <t>소재</t>
        </is>
      </c>
      <c r="H129" s="27" t="inlineStr">
        <is>
          <t>False</t>
        </is>
      </c>
      <c r="I129" s="27" t="inlineStr">
        <is>
          <t>True</t>
        </is>
      </c>
      <c r="J129" s="27" t="inlineStr">
        <is>
          <t>OK</t>
        </is>
      </c>
      <c r="K129" s="27" t="inlineStr">
        <is>
          <t>데이터 사용 가능</t>
        </is>
      </c>
      <c r="L129" s="27" t="inlineStr">
        <is>
          <t>LOW</t>
        </is>
      </c>
      <c r="M129" s="27" t="inlineStr">
        <is>
          <t>LOW</t>
        </is>
      </c>
      <c r="N129" s="27" t="inlineStr">
        <is>
          <t>0.5666666666666668</t>
        </is>
      </c>
      <c r="O129" s="27" t="inlineStr">
        <is>
          <t>FAIR</t>
        </is>
      </c>
      <c r="P129" s="27" t="inlineStr">
        <is>
          <t>FAIR</t>
        </is>
      </c>
      <c r="Q129" s="27" t="inlineStr">
        <is>
          <t>FAIR</t>
        </is>
      </c>
      <c r="R129" s="27" t="inlineStr">
        <is>
          <t>0.8720430887980049</t>
        </is>
      </c>
      <c r="S129" s="27" t="inlineStr">
        <is>
          <t>HIGH</t>
        </is>
      </c>
      <c r="T129" s="27" t="inlineStr">
        <is>
          <t>HIGH</t>
        </is>
      </c>
      <c r="U129" s="27" t="inlineStr">
        <is>
          <t>0.0714285714285714</t>
        </is>
      </c>
      <c r="V129" s="27" t="inlineStr">
        <is>
          <t>LOW_RISK</t>
        </is>
      </c>
      <c r="W129" s="27" t="inlineStr">
        <is>
          <t>저위험</t>
        </is>
      </c>
      <c r="X129" s="27" t="inlineStr">
        <is>
          <t>LOW_RISK</t>
        </is>
      </c>
      <c r="Y129" s="27" t="inlineStr">
        <is>
          <t>0.7252297088077002</t>
        </is>
      </c>
      <c r="Z129" s="27" t="inlineStr">
        <is>
          <t>HIGH</t>
        </is>
      </c>
      <c r="AA129" s="27" t="inlineStr">
        <is>
          <t>HIGH</t>
        </is>
      </c>
      <c r="AB129" s="27" t="inlineStr">
        <is>
          <t>0.006424650558916757</t>
        </is>
      </c>
      <c r="AC129" s="27" t="inlineStr">
        <is>
          <t>False</t>
        </is>
      </c>
      <c r="AD129" s="27" t="inlineStr">
        <is>
          <t>False</t>
        </is>
      </c>
      <c r="AE129" s="27" t="inlineStr">
        <is>
          <t>valuation_credit_ml_overlay_candidate.csv</t>
        </is>
      </c>
      <c r="AF129" s="27" t="inlineStr">
        <is>
          <t>208개 반도체 reference universe. Valuation Agent가 자체 intake 폴더로 복제해 Peer/ML/대시보드 비교에 사용.</t>
        </is>
      </c>
    </row>
    <row r="130" ht="24" customHeight="1">
      <c r="A130" s="32" t="inlineStr">
        <is>
          <t>131</t>
        </is>
      </c>
      <c r="B130" s="32" t="inlineStr">
        <is>
          <t>해당 없음</t>
        </is>
      </c>
      <c r="C130" s="32" t="inlineStr">
        <is>
          <t>에스앤에스텍</t>
        </is>
      </c>
      <c r="D130" s="32" t="inlineStr">
        <is>
          <t>101490</t>
        </is>
      </c>
      <c r="E130" s="32" t="inlineStr">
        <is>
          <t>KOSDAQ</t>
        </is>
      </c>
      <c r="F130" s="32" t="inlineStr">
        <is>
          <t>소재</t>
        </is>
      </c>
      <c r="G130" s="32" t="inlineStr">
        <is>
          <t>소재</t>
        </is>
      </c>
      <c r="H130" s="32" t="inlineStr">
        <is>
          <t>False</t>
        </is>
      </c>
      <c r="I130" s="32" t="inlineStr">
        <is>
          <t>True</t>
        </is>
      </c>
      <c r="J130" s="32" t="inlineStr">
        <is>
          <t>OK</t>
        </is>
      </c>
      <c r="K130" s="32" t="inlineStr">
        <is>
          <t>데이터 사용 가능</t>
        </is>
      </c>
      <c r="L130" s="32" t="inlineStr">
        <is>
          <t>LOW</t>
        </is>
      </c>
      <c r="M130" s="32" t="inlineStr">
        <is>
          <t>LOW</t>
        </is>
      </c>
      <c r="N130" s="32" t="inlineStr">
        <is>
          <t>0.5653846153846155</t>
        </is>
      </c>
      <c r="O130" s="32" t="inlineStr">
        <is>
          <t>FAIR</t>
        </is>
      </c>
      <c r="P130" s="32" t="inlineStr">
        <is>
          <t>FAIR</t>
        </is>
      </c>
      <c r="Q130" s="32" t="inlineStr">
        <is>
          <t>FAIR</t>
        </is>
      </c>
      <c r="R130" s="32" t="inlineStr">
        <is>
          <t>0.7907123507381016</t>
        </is>
      </c>
      <c r="S130" s="32" t="inlineStr">
        <is>
          <t>HIGH</t>
        </is>
      </c>
      <c r="T130" s="32" t="inlineStr">
        <is>
          <t>HIGH</t>
        </is>
      </c>
      <c r="U130" s="32" t="inlineStr">
        <is>
          <t>0.0714285714285714</t>
        </is>
      </c>
      <c r="V130" s="32" t="inlineStr">
        <is>
          <t>LOW_RISK</t>
        </is>
      </c>
      <c r="W130" s="32" t="inlineStr">
        <is>
          <t>저위험</t>
        </is>
      </c>
      <c r="X130" s="32" t="inlineStr">
        <is>
          <t>LOW_RISK</t>
        </is>
      </c>
      <c r="Y130" s="32" t="inlineStr">
        <is>
          <t>0.877704032267338</t>
        </is>
      </c>
      <c r="Z130" s="32" t="inlineStr">
        <is>
          <t>HIGH</t>
        </is>
      </c>
      <c r="AA130" s="32" t="inlineStr">
        <is>
          <t>HIGH</t>
        </is>
      </c>
      <c r="AB130" s="32" t="inlineStr">
        <is>
          <t>0.05130595484789171</t>
        </is>
      </c>
      <c r="AC130" s="32" t="inlineStr">
        <is>
          <t>False</t>
        </is>
      </c>
      <c r="AD130" s="32" t="inlineStr">
        <is>
          <t>False</t>
        </is>
      </c>
      <c r="AE130" s="32" t="inlineStr">
        <is>
          <t>valuation_credit_ml_overlay_candidate.csv</t>
        </is>
      </c>
      <c r="AF130" s="32" t="inlineStr">
        <is>
          <t>208개 반도체 reference universe. Valuation Agent가 자체 intake 폴더로 복제해 Peer/ML/대시보드 비교에 사용.</t>
        </is>
      </c>
    </row>
    <row r="131" ht="24" customHeight="1">
      <c r="A131" s="27" t="inlineStr">
        <is>
          <t>142</t>
        </is>
      </c>
      <c r="B131" s="27" t="inlineStr">
        <is>
          <t>해당 없음</t>
        </is>
      </c>
      <c r="C131" s="27" t="inlineStr">
        <is>
          <t>제이아이테크</t>
        </is>
      </c>
      <c r="D131" s="27" t="inlineStr">
        <is>
          <t>417500</t>
        </is>
      </c>
      <c r="E131" s="27" t="inlineStr">
        <is>
          <t>KOSDAQ</t>
        </is>
      </c>
      <c r="F131" s="27" t="inlineStr">
        <is>
          <t>소재</t>
        </is>
      </c>
      <c r="G131" s="27" t="inlineStr">
        <is>
          <t>소재</t>
        </is>
      </c>
      <c r="H131" s="27" t="inlineStr">
        <is>
          <t>False</t>
        </is>
      </c>
      <c r="I131" s="27" t="inlineStr">
        <is>
          <t>True</t>
        </is>
      </c>
      <c r="J131" s="27" t="inlineStr">
        <is>
          <t>OK</t>
        </is>
      </c>
      <c r="K131" s="27" t="inlineStr">
        <is>
          <t>데이터 사용 가능</t>
        </is>
      </c>
      <c r="L131" s="27" t="inlineStr">
        <is>
          <t>LOW</t>
        </is>
      </c>
      <c r="M131" s="27" t="inlineStr">
        <is>
          <t>LOW</t>
        </is>
      </c>
      <c r="N131" s="27" t="inlineStr">
        <is>
          <t>0.5264102564102564</t>
        </is>
      </c>
      <c r="O131" s="27" t="inlineStr">
        <is>
          <t>FAIR</t>
        </is>
      </c>
      <c r="P131" s="27" t="inlineStr">
        <is>
          <t>FAIR</t>
        </is>
      </c>
      <c r="Q131" s="27" t="inlineStr">
        <is>
          <t>FAIR</t>
        </is>
      </c>
      <c r="R131" s="27" t="inlineStr">
        <is>
          <t>0.8525733569966568</t>
        </is>
      </c>
      <c r="S131" s="27" t="inlineStr">
        <is>
          <t>HIGH</t>
        </is>
      </c>
      <c r="T131" s="27" t="inlineStr">
        <is>
          <t>HIGH</t>
        </is>
      </c>
      <c r="U131" s="27" t="inlineStr">
        <is>
          <t>0.0714285714285714</t>
        </is>
      </c>
      <c r="V131" s="27" t="inlineStr">
        <is>
          <t>LOW_RISK</t>
        </is>
      </c>
      <c r="W131" s="27" t="inlineStr">
        <is>
          <t>저위험</t>
        </is>
      </c>
      <c r="X131" s="27" t="inlineStr">
        <is>
          <t>LOW_RISK</t>
        </is>
      </c>
      <c r="Y131" s="27" t="inlineStr">
        <is>
          <t>0.7562204122456074</t>
        </is>
      </c>
      <c r="Z131" s="27" t="inlineStr">
        <is>
          <t>HIGH</t>
        </is>
      </c>
      <c r="AA131" s="27" t="inlineStr">
        <is>
          <t>HIGH</t>
        </is>
      </c>
      <c r="AB131" s="27" t="inlineStr">
        <is>
          <t>0.026961826720125225</t>
        </is>
      </c>
      <c r="AC131" s="27" t="inlineStr">
        <is>
          <t>False</t>
        </is>
      </c>
      <c r="AD131" s="27" t="inlineStr">
        <is>
          <t>False</t>
        </is>
      </c>
      <c r="AE131" s="27" t="inlineStr">
        <is>
          <t>valuation_credit_ml_overlay_candidate.csv</t>
        </is>
      </c>
      <c r="AF131" s="27" t="inlineStr">
        <is>
          <t>208개 반도체 reference universe. Valuation Agent가 자체 intake 폴더로 복제해 Peer/ML/대시보드 비교에 사용.</t>
        </is>
      </c>
    </row>
    <row r="132" ht="24" customHeight="1">
      <c r="A132" s="32" t="inlineStr">
        <is>
          <t>137</t>
        </is>
      </c>
      <c r="B132" s="32" t="inlineStr">
        <is>
          <t>해당 없음</t>
        </is>
      </c>
      <c r="C132" s="32" t="inlineStr">
        <is>
          <t>원익QnC</t>
        </is>
      </c>
      <c r="D132" s="32" t="inlineStr">
        <is>
          <t>074600</t>
        </is>
      </c>
      <c r="E132" s="32" t="inlineStr">
        <is>
          <t>KOSDAQ GLOBAL</t>
        </is>
      </c>
      <c r="F132" s="32" t="inlineStr">
        <is>
          <t>소재</t>
        </is>
      </c>
      <c r="G132" s="32" t="inlineStr">
        <is>
          <t>소재</t>
        </is>
      </c>
      <c r="H132" s="32" t="inlineStr">
        <is>
          <t>False</t>
        </is>
      </c>
      <c r="I132" s="32" t="inlineStr">
        <is>
          <t>True</t>
        </is>
      </c>
      <c r="J132" s="32" t="inlineStr">
        <is>
          <t>OK</t>
        </is>
      </c>
      <c r="K132" s="32" t="inlineStr">
        <is>
          <t>데이터 사용 가능</t>
        </is>
      </c>
      <c r="L132" s="32" t="inlineStr">
        <is>
          <t>LOW</t>
        </is>
      </c>
      <c r="M132" s="32" t="inlineStr">
        <is>
          <t>LOW</t>
        </is>
      </c>
      <c r="N132" s="32" t="inlineStr">
        <is>
          <t>0.5156410256410257</t>
        </is>
      </c>
      <c r="O132" s="32" t="inlineStr">
        <is>
          <t>FAIR</t>
        </is>
      </c>
      <c r="P132" s="32" t="inlineStr">
        <is>
          <t>FAIR</t>
        </is>
      </c>
      <c r="Q132" s="32" t="inlineStr">
        <is>
          <t>ATTRACTIVE</t>
        </is>
      </c>
      <c r="R132" s="32" t="inlineStr">
        <is>
          <t>0.4211836082778998</t>
        </is>
      </c>
      <c r="S132" s="32" t="inlineStr">
        <is>
          <t>LOW</t>
        </is>
      </c>
      <c r="T132" s="32" t="inlineStr">
        <is>
          <t>LOW</t>
        </is>
      </c>
      <c r="U132" s="32" t="inlineStr">
        <is>
          <t>0.2857142857142857</t>
        </is>
      </c>
      <c r="V132" s="32" t="inlineStr">
        <is>
          <t>MEDIUM_RISK</t>
        </is>
      </c>
      <c r="W132" s="32" t="inlineStr">
        <is>
          <t>중위험</t>
        </is>
      </c>
      <c r="X132" s="32" t="inlineStr">
        <is>
          <t>MEDIUM_RISK</t>
        </is>
      </c>
      <c r="Y132" s="32" t="inlineStr">
        <is>
          <t>0.6182675579184692</t>
        </is>
      </c>
      <c r="Z132" s="32" t="inlineStr">
        <is>
          <t>MEDIUM</t>
        </is>
      </c>
      <c r="AA132" s="32" t="inlineStr">
        <is>
          <t>MEDIUM</t>
        </is>
      </c>
      <c r="AB132" s="32" t="inlineStr">
        <is>
          <t>0.07153695388648715</t>
        </is>
      </c>
      <c r="AC132" s="32" t="inlineStr">
        <is>
          <t>False</t>
        </is>
      </c>
      <c r="AD132" s="32" t="inlineStr">
        <is>
          <t>True</t>
        </is>
      </c>
      <c r="AE132" s="32" t="inlineStr">
        <is>
          <t>valuation_credit_ml_overlay_candidate.csv</t>
        </is>
      </c>
      <c r="AF132" s="32" t="inlineStr">
        <is>
          <t>208개 반도체 reference universe. Valuation Agent가 자체 intake 폴더로 복제해 Peer/ML/대시보드 비교에 사용.</t>
        </is>
      </c>
    </row>
    <row r="133" ht="24" customHeight="1">
      <c r="A133" s="27" t="inlineStr">
        <is>
          <t>134</t>
        </is>
      </c>
      <c r="B133" s="27" t="inlineStr">
        <is>
          <t>해당 없음</t>
        </is>
      </c>
      <c r="C133" s="27" t="inlineStr">
        <is>
          <t>엠케이전자</t>
        </is>
      </c>
      <c r="D133" s="27" t="inlineStr">
        <is>
          <t>033160</t>
        </is>
      </c>
      <c r="E133" s="27" t="inlineStr">
        <is>
          <t>KOSDAQ</t>
        </is>
      </c>
      <c r="F133" s="27" t="inlineStr">
        <is>
          <t>소재</t>
        </is>
      </c>
      <c r="G133" s="27" t="inlineStr">
        <is>
          <t>소재</t>
        </is>
      </c>
      <c r="H133" s="27" t="inlineStr">
        <is>
          <t>False</t>
        </is>
      </c>
      <c r="I133" s="27" t="inlineStr">
        <is>
          <t>True</t>
        </is>
      </c>
      <c r="J133" s="27" t="inlineStr">
        <is>
          <t>OK</t>
        </is>
      </c>
      <c r="K133" s="27" t="inlineStr">
        <is>
          <t>데이터 사용 가능</t>
        </is>
      </c>
      <c r="L133" s="27" t="inlineStr">
        <is>
          <t>LOW</t>
        </is>
      </c>
      <c r="M133" s="27" t="inlineStr">
        <is>
          <t>LOW</t>
        </is>
      </c>
      <c r="N133" s="27" t="inlineStr">
        <is>
          <t>0.5105128205128205</t>
        </is>
      </c>
      <c r="O133" s="27" t="inlineStr">
        <is>
          <t>FAIR</t>
        </is>
      </c>
      <c r="P133" s="27" t="inlineStr">
        <is>
          <t>FAIR</t>
        </is>
      </c>
      <c r="Q133" s="27" t="inlineStr">
        <is>
          <t>FAIR</t>
        </is>
      </c>
      <c r="R133" s="27" t="inlineStr">
        <is>
          <t>0.801168459079624</t>
        </is>
      </c>
      <c r="S133" s="27" t="inlineStr">
        <is>
          <t>HIGH</t>
        </is>
      </c>
      <c r="T133" s="27" t="inlineStr">
        <is>
          <t>HIGH</t>
        </is>
      </c>
      <c r="U133" s="27" t="inlineStr">
        <is>
          <t>0.5714285714285714</t>
        </is>
      </c>
      <c r="V133" s="27" t="inlineStr">
        <is>
          <t>HIGH_RISK</t>
        </is>
      </c>
      <c r="W133" s="27" t="inlineStr">
        <is>
          <t>고위험</t>
        </is>
      </c>
      <c r="X133" s="27" t="inlineStr">
        <is>
          <t>HIGH_RISK</t>
        </is>
      </c>
      <c r="Y133" s="27" t="inlineStr">
        <is>
          <t>0.6458821552404778</t>
        </is>
      </c>
      <c r="Z133" s="27" t="inlineStr">
        <is>
          <t>MEDIUM</t>
        </is>
      </c>
      <c r="AA133" s="27" t="inlineStr">
        <is>
          <t>MEDIUM</t>
        </is>
      </c>
      <c r="AB133" s="27" t="inlineStr">
        <is>
          <t>0.06935231891152775</t>
        </is>
      </c>
      <c r="AC133" s="27" t="inlineStr">
        <is>
          <t>False</t>
        </is>
      </c>
      <c r="AD133" s="27" t="inlineStr">
        <is>
          <t>False</t>
        </is>
      </c>
      <c r="AE133" s="27" t="inlineStr">
        <is>
          <t>valuation_credit_ml_overlay_candidate.csv</t>
        </is>
      </c>
      <c r="AF133" s="27" t="inlineStr">
        <is>
          <t>208개 반도체 reference universe. Valuation Agent가 자체 intake 폴더로 복제해 Peer/ML/대시보드 비교에 사용.</t>
        </is>
      </c>
    </row>
    <row r="134" ht="24" customHeight="1">
      <c r="A134" s="32" t="inlineStr">
        <is>
          <t>136</t>
        </is>
      </c>
      <c r="B134" s="32" t="inlineStr">
        <is>
          <t>해당 없음</t>
        </is>
      </c>
      <c r="C134" s="32" t="inlineStr">
        <is>
          <t>와이엠티</t>
        </is>
      </c>
      <c r="D134" s="32" t="inlineStr">
        <is>
          <t>251370</t>
        </is>
      </c>
      <c r="E134" s="32" t="inlineStr">
        <is>
          <t>KOSDAQ</t>
        </is>
      </c>
      <c r="F134" s="32" t="inlineStr">
        <is>
          <t>소재</t>
        </is>
      </c>
      <c r="G134" s="32" t="inlineStr">
        <is>
          <t>소재</t>
        </is>
      </c>
      <c r="H134" s="32" t="inlineStr">
        <is>
          <t>False</t>
        </is>
      </c>
      <c r="I134" s="32" t="inlineStr">
        <is>
          <t>True</t>
        </is>
      </c>
      <c r="J134" s="32" t="inlineStr">
        <is>
          <t>OK</t>
        </is>
      </c>
      <c r="K134" s="32" t="inlineStr">
        <is>
          <t>데이터 사용 가능</t>
        </is>
      </c>
      <c r="L134" s="32" t="inlineStr">
        <is>
          <t>LOW</t>
        </is>
      </c>
      <c r="M134" s="32" t="inlineStr">
        <is>
          <t>LOW</t>
        </is>
      </c>
      <c r="N134" s="32" t="inlineStr">
        <is>
          <t>0.4989743589743589</t>
        </is>
      </c>
      <c r="O134" s="32" t="inlineStr">
        <is>
          <t>FAIR</t>
        </is>
      </c>
      <c r="P134" s="32" t="inlineStr">
        <is>
          <t>FAIR</t>
        </is>
      </c>
      <c r="Q134" s="32" t="inlineStr">
        <is>
          <t>FAIR</t>
        </is>
      </c>
      <c r="R134" s="32" t="inlineStr">
        <is>
          <t>0.730943868859095</t>
        </is>
      </c>
      <c r="S134" s="32" t="inlineStr">
        <is>
          <t>HIGH</t>
        </is>
      </c>
      <c r="T134" s="32" t="inlineStr">
        <is>
          <t>HIGH</t>
        </is>
      </c>
      <c r="U134" s="32" t="inlineStr">
        <is>
          <t>0.2142857142857142</t>
        </is>
      </c>
      <c r="V134" s="32" t="inlineStr">
        <is>
          <t>MEDIUM_RISK</t>
        </is>
      </c>
      <c r="W134" s="32" t="inlineStr">
        <is>
          <t>중위험</t>
        </is>
      </c>
      <c r="X134" s="32" t="inlineStr">
        <is>
          <t>MEDIUM_RISK</t>
        </is>
      </c>
      <c r="Y134" s="32" t="inlineStr">
        <is>
          <t>0.4510396871808976</t>
        </is>
      </c>
      <c r="Z134" s="32" t="inlineStr">
        <is>
          <t>LOW</t>
        </is>
      </c>
      <c r="AA134" s="32" t="inlineStr">
        <is>
          <t>LOW</t>
        </is>
      </c>
      <c r="AB134" s="32" t="inlineStr">
        <is>
          <t>0.021802364937517606</t>
        </is>
      </c>
      <c r="AC134" s="32" t="inlineStr">
        <is>
          <t>False</t>
        </is>
      </c>
      <c r="AD134" s="32" t="inlineStr">
        <is>
          <t>True</t>
        </is>
      </c>
      <c r="AE134" s="32" t="inlineStr">
        <is>
          <t>valuation_credit_ml_overlay_candidate.csv</t>
        </is>
      </c>
      <c r="AF134" s="32" t="inlineStr">
        <is>
          <t>208개 반도체 reference universe. Valuation Agent가 자체 intake 폴더로 복제해 Peer/ML/대시보드 비교에 사용.</t>
        </is>
      </c>
    </row>
    <row r="135" ht="24" customHeight="1">
      <c r="A135" s="27" t="inlineStr">
        <is>
          <t>145</t>
        </is>
      </c>
      <c r="B135" s="27" t="inlineStr">
        <is>
          <t>해당 없음</t>
        </is>
      </c>
      <c r="C135" s="27" t="inlineStr">
        <is>
          <t>티씨케이</t>
        </is>
      </c>
      <c r="D135" s="27" t="inlineStr">
        <is>
          <t>064760</t>
        </is>
      </c>
      <c r="E135" s="27" t="inlineStr">
        <is>
          <t>KOSDAQ GLOBAL</t>
        </is>
      </c>
      <c r="F135" s="27" t="inlineStr">
        <is>
          <t>소재</t>
        </is>
      </c>
      <c r="G135" s="27" t="inlineStr">
        <is>
          <t>소재</t>
        </is>
      </c>
      <c r="H135" s="27" t="inlineStr">
        <is>
          <t>False</t>
        </is>
      </c>
      <c r="I135" s="27" t="inlineStr">
        <is>
          <t>True</t>
        </is>
      </c>
      <c r="J135" s="27" t="inlineStr">
        <is>
          <t>OK</t>
        </is>
      </c>
      <c r="K135" s="27" t="inlineStr">
        <is>
          <t>데이터 사용 가능</t>
        </is>
      </c>
      <c r="L135" s="27" t="inlineStr">
        <is>
          <t>LOW</t>
        </is>
      </c>
      <c r="M135" s="27" t="inlineStr">
        <is>
          <t>LOW</t>
        </is>
      </c>
      <c r="N135" s="27" t="inlineStr">
        <is>
          <t>0.4956410256410256</t>
        </is>
      </c>
      <c r="O135" s="27" t="inlineStr">
        <is>
          <t>FAIR</t>
        </is>
      </c>
      <c r="P135" s="27" t="inlineStr">
        <is>
          <t>FAIR</t>
        </is>
      </c>
      <c r="Q135" s="27" t="inlineStr">
        <is>
          <t>FAIR</t>
        </is>
      </c>
      <c r="R135" s="27" t="inlineStr">
        <is>
          <t>0.6535546916238612</t>
        </is>
      </c>
      <c r="S135" s="27" t="inlineStr">
        <is>
          <t>MEDIUM</t>
        </is>
      </c>
      <c r="T135" s="27" t="inlineStr">
        <is>
          <t>MEDIUM</t>
        </is>
      </c>
      <c r="U135" s="27" t="inlineStr">
        <is>
          <t>0.0</t>
        </is>
      </c>
      <c r="V135" s="27" t="inlineStr">
        <is>
          <t>LOW_RISK</t>
        </is>
      </c>
      <c r="W135" s="27" t="inlineStr">
        <is>
          <t>저위험</t>
        </is>
      </c>
      <c r="X135" s="27" t="inlineStr">
        <is>
          <t>LOW_RISK</t>
        </is>
      </c>
      <c r="Y135" s="27" t="inlineStr">
        <is>
          <t>0.7960429313317705</t>
        </is>
      </c>
      <c r="Z135" s="27" t="inlineStr">
        <is>
          <t>HIGH</t>
        </is>
      </c>
      <c r="AA135" s="27" t="inlineStr">
        <is>
          <t>HIGH</t>
        </is>
      </c>
      <c r="AB135" s="27" t="inlineStr">
        <is>
          <t>0.151556576218825</t>
        </is>
      </c>
      <c r="AC135" s="27" t="inlineStr">
        <is>
          <t>False</t>
        </is>
      </c>
      <c r="AD135" s="27" t="inlineStr">
        <is>
          <t>False</t>
        </is>
      </c>
      <c r="AE135" s="27" t="inlineStr">
        <is>
          <t>valuation_credit_ml_overlay_candidate.csv</t>
        </is>
      </c>
      <c r="AF135" s="27" t="inlineStr">
        <is>
          <t>208개 반도체 reference universe. Valuation Agent가 자체 intake 폴더로 복제해 Peer/ML/대시보드 비교에 사용.</t>
        </is>
      </c>
    </row>
    <row r="136" ht="24" customHeight="1">
      <c r="A136" s="32" t="inlineStr">
        <is>
          <t>126</t>
        </is>
      </c>
      <c r="B136" s="32" t="inlineStr">
        <is>
          <t>해당 없음</t>
        </is>
      </c>
      <c r="C136" s="32" t="inlineStr">
        <is>
          <t>동진쎄미켐</t>
        </is>
      </c>
      <c r="D136" s="32" t="inlineStr">
        <is>
          <t>005290</t>
        </is>
      </c>
      <c r="E136" s="32" t="inlineStr">
        <is>
          <t>KOSDAQ</t>
        </is>
      </c>
      <c r="F136" s="32" t="inlineStr">
        <is>
          <t>소재</t>
        </is>
      </c>
      <c r="G136" s="32" t="inlineStr">
        <is>
          <t>소재</t>
        </is>
      </c>
      <c r="H136" s="32" t="inlineStr">
        <is>
          <t>False</t>
        </is>
      </c>
      <c r="I136" s="32" t="inlineStr">
        <is>
          <t>True</t>
        </is>
      </c>
      <c r="J136" s="32" t="inlineStr">
        <is>
          <t>OK</t>
        </is>
      </c>
      <c r="K136" s="32" t="inlineStr">
        <is>
          <t>데이터 사용 가능</t>
        </is>
      </c>
      <c r="L136" s="32" t="inlineStr">
        <is>
          <t>LOW</t>
        </is>
      </c>
      <c r="M136" s="32" t="inlineStr">
        <is>
          <t>LOW</t>
        </is>
      </c>
      <c r="N136" s="32" t="inlineStr">
        <is>
          <t>0.4702564102564102</t>
        </is>
      </c>
      <c r="O136" s="32" t="inlineStr">
        <is>
          <t>FAIR</t>
        </is>
      </c>
      <c r="P136" s="32" t="inlineStr">
        <is>
          <t>FAIR</t>
        </is>
      </c>
      <c r="Q136" s="32" t="inlineStr">
        <is>
          <t>ATTRACTIVE</t>
        </is>
      </c>
      <c r="R136" s="32" t="inlineStr">
        <is>
          <t>0.48929755601795294</t>
        </is>
      </c>
      <c r="S136" s="32" t="inlineStr">
        <is>
          <t>LOW</t>
        </is>
      </c>
      <c r="T136" s="32" t="inlineStr">
        <is>
          <t>LOW</t>
        </is>
      </c>
      <c r="U136" s="32" t="inlineStr">
        <is>
          <t>0.0</t>
        </is>
      </c>
      <c r="V136" s="32" t="inlineStr">
        <is>
          <t>LOW_RISK</t>
        </is>
      </c>
      <c r="W136" s="32" t="inlineStr">
        <is>
          <t>저위험</t>
        </is>
      </c>
      <c r="X136" s="32" t="inlineStr">
        <is>
          <t>LOW_RISK</t>
        </is>
      </c>
      <c r="Y136" s="32" t="inlineStr">
        <is>
          <t>0.9474461757717627</t>
        </is>
      </c>
      <c r="Z136" s="32" t="inlineStr">
        <is>
          <t>HIGH</t>
        </is>
      </c>
      <c r="AA136" s="32" t="inlineStr">
        <is>
          <t>HIGH</t>
        </is>
      </c>
      <c r="AB136" s="32" t="inlineStr">
        <is>
          <t>0.021813937556984325</t>
        </is>
      </c>
      <c r="AC136" s="32" t="inlineStr">
        <is>
          <t>False</t>
        </is>
      </c>
      <c r="AD136" s="32" t="inlineStr">
        <is>
          <t>True</t>
        </is>
      </c>
      <c r="AE136" s="32" t="inlineStr">
        <is>
          <t>valuation_credit_ml_overlay_candidate.csv</t>
        </is>
      </c>
      <c r="AF136" s="32" t="inlineStr">
        <is>
          <t>208개 반도체 reference universe. Valuation Agent가 자체 intake 폴더로 복제해 Peer/ML/대시보드 비교에 사용.</t>
        </is>
      </c>
    </row>
    <row r="137" ht="24" customHeight="1">
      <c r="A137" s="27" t="inlineStr">
        <is>
          <t>144</t>
        </is>
      </c>
      <c r="B137" s="27" t="inlineStr">
        <is>
          <t>해당 없음</t>
        </is>
      </c>
      <c r="C137" s="27" t="inlineStr">
        <is>
          <t>켐트로닉스</t>
        </is>
      </c>
      <c r="D137" s="27" t="inlineStr">
        <is>
          <t>089010</t>
        </is>
      </c>
      <c r="E137" s="27" t="inlineStr">
        <is>
          <t>KOSDAQ</t>
        </is>
      </c>
      <c r="F137" s="27" t="inlineStr">
        <is>
          <t>소재</t>
        </is>
      </c>
      <c r="G137" s="27" t="inlineStr">
        <is>
          <t>소재</t>
        </is>
      </c>
      <c r="H137" s="27" t="inlineStr">
        <is>
          <t>False</t>
        </is>
      </c>
      <c r="I137" s="27" t="inlineStr">
        <is>
          <t>True</t>
        </is>
      </c>
      <c r="J137" s="27" t="inlineStr">
        <is>
          <t>OK</t>
        </is>
      </c>
      <c r="K137" s="27" t="inlineStr">
        <is>
          <t>데이터 사용 가능</t>
        </is>
      </c>
      <c r="L137" s="27" t="inlineStr">
        <is>
          <t>LOW</t>
        </is>
      </c>
      <c r="M137" s="27" t="inlineStr">
        <is>
          <t>LOW</t>
        </is>
      </c>
      <c r="N137" s="27" t="inlineStr">
        <is>
          <t>0.4412820512820513</t>
        </is>
      </c>
      <c r="O137" s="27" t="inlineStr">
        <is>
          <t>FAIR</t>
        </is>
      </c>
      <c r="P137" s="27" t="inlineStr">
        <is>
          <t>FAIR</t>
        </is>
      </c>
      <c r="Q137" s="27" t="inlineStr">
        <is>
          <t>FAIR</t>
        </is>
      </c>
      <c r="R137" s="27" t="inlineStr">
        <is>
          <t>0.7697961799623572</t>
        </is>
      </c>
      <c r="S137" s="27" t="inlineStr">
        <is>
          <t>HIGH</t>
        </is>
      </c>
      <c r="T137" s="27" t="inlineStr">
        <is>
          <t>HIGH</t>
        </is>
      </c>
      <c r="U137" s="27" t="inlineStr">
        <is>
          <t>0.3571428571428571</t>
        </is>
      </c>
      <c r="V137" s="27" t="inlineStr">
        <is>
          <t>MEDIUM_RISK</t>
        </is>
      </c>
      <c r="W137" s="27" t="inlineStr">
        <is>
          <t>중위험</t>
        </is>
      </c>
      <c r="X137" s="27" t="inlineStr">
        <is>
          <t>MEDIUM_RISK</t>
        </is>
      </c>
      <c r="Y137" s="27" t="inlineStr">
        <is>
          <t>0.46850853772952833</t>
        </is>
      </c>
      <c r="Z137" s="27" t="inlineStr">
        <is>
          <t>LOW</t>
        </is>
      </c>
      <c r="AA137" s="27" t="inlineStr">
        <is>
          <t>LOW</t>
        </is>
      </c>
      <c r="AB137" s="27" t="inlineStr">
        <is>
          <t>0.08001716573230905</t>
        </is>
      </c>
      <c r="AC137" s="27" t="inlineStr">
        <is>
          <t>False</t>
        </is>
      </c>
      <c r="AD137" s="27" t="inlineStr">
        <is>
          <t>True</t>
        </is>
      </c>
      <c r="AE137" s="27" t="inlineStr">
        <is>
          <t>valuation_credit_ml_overlay_candidate.csv</t>
        </is>
      </c>
      <c r="AF137" s="27" t="inlineStr">
        <is>
          <t>208개 반도체 reference universe. Valuation Agent가 자체 intake 폴더로 복제해 Peer/ML/대시보드 비교에 사용.</t>
        </is>
      </c>
    </row>
    <row r="138" ht="24" customHeight="1">
      <c r="A138" s="32" t="inlineStr">
        <is>
          <t>129</t>
        </is>
      </c>
      <c r="B138" s="32" t="inlineStr">
        <is>
          <t>해당 없음</t>
        </is>
      </c>
      <c r="C138" s="32" t="inlineStr">
        <is>
          <t>솔브레인</t>
        </is>
      </c>
      <c r="D138" s="32" t="inlineStr">
        <is>
          <t>357780</t>
        </is>
      </c>
      <c r="E138" s="32" t="inlineStr">
        <is>
          <t>KOSDAQ GLOBAL</t>
        </is>
      </c>
      <c r="F138" s="32" t="inlineStr">
        <is>
          <t>소재</t>
        </is>
      </c>
      <c r="G138" s="32" t="inlineStr">
        <is>
          <t>소재</t>
        </is>
      </c>
      <c r="H138" s="32" t="inlineStr">
        <is>
          <t>False</t>
        </is>
      </c>
      <c r="I138" s="32" t="inlineStr">
        <is>
          <t>True</t>
        </is>
      </c>
      <c r="J138" s="32" t="inlineStr">
        <is>
          <t>OK</t>
        </is>
      </c>
      <c r="K138" s="32" t="inlineStr">
        <is>
          <t>데이터 사용 가능</t>
        </is>
      </c>
      <c r="L138" s="32" t="inlineStr">
        <is>
          <t>LOW</t>
        </is>
      </c>
      <c r="M138" s="32" t="inlineStr">
        <is>
          <t>LOW</t>
        </is>
      </c>
      <c r="N138" s="32" t="inlineStr">
        <is>
          <t>0.4330769230769231</t>
        </is>
      </c>
      <c r="O138" s="32" t="inlineStr">
        <is>
          <t>FAIR</t>
        </is>
      </c>
      <c r="P138" s="32" t="inlineStr">
        <is>
          <t>FAIR</t>
        </is>
      </c>
      <c r="Q138" s="32" t="inlineStr">
        <is>
          <t>FAIR</t>
        </is>
      </c>
      <c r="R138" s="32" t="inlineStr">
        <is>
          <t>0.6367158518654258</t>
        </is>
      </c>
      <c r="S138" s="32" t="inlineStr">
        <is>
          <t>MEDIUM</t>
        </is>
      </c>
      <c r="T138" s="32" t="inlineStr">
        <is>
          <t>MEDIUM</t>
        </is>
      </c>
      <c r="U138" s="32" t="inlineStr">
        <is>
          <t>0.0</t>
        </is>
      </c>
      <c r="V138" s="32" t="inlineStr">
        <is>
          <t>LOW_RISK</t>
        </is>
      </c>
      <c r="W138" s="32" t="inlineStr">
        <is>
          <t>저위험</t>
        </is>
      </c>
      <c r="X138" s="32" t="inlineStr">
        <is>
          <t>LOW_RISK</t>
        </is>
      </c>
      <c r="Y138" s="32" t="inlineStr">
        <is>
          <t>0.9460528189989016</t>
        </is>
      </c>
      <c r="Z138" s="32" t="inlineStr">
        <is>
          <t>HIGH</t>
        </is>
      </c>
      <c r="AA138" s="32" t="inlineStr">
        <is>
          <t>HIGH</t>
        </is>
      </c>
      <c r="AB138" s="32" t="inlineStr">
        <is>
          <t>0.0320761550307272</t>
        </is>
      </c>
      <c r="AC138" s="32" t="inlineStr">
        <is>
          <t>False</t>
        </is>
      </c>
      <c r="AD138" s="32" t="inlineStr">
        <is>
          <t>False</t>
        </is>
      </c>
      <c r="AE138" s="32" t="inlineStr">
        <is>
          <t>valuation_credit_ml_overlay_candidate.csv</t>
        </is>
      </c>
      <c r="AF138" s="32" t="inlineStr">
        <is>
          <t>208개 반도체 reference universe. Valuation Agent가 자체 intake 폴더로 복제해 Peer/ML/대시보드 비교에 사용.</t>
        </is>
      </c>
    </row>
    <row r="139" ht="24" customHeight="1">
      <c r="A139" s="27" t="inlineStr">
        <is>
          <t>127</t>
        </is>
      </c>
      <c r="B139" s="27" t="inlineStr">
        <is>
          <t>해당 없음</t>
        </is>
      </c>
      <c r="C139" s="27" t="inlineStr">
        <is>
          <t>디엔에프</t>
        </is>
      </c>
      <c r="D139" s="27" t="inlineStr">
        <is>
          <t>092070</t>
        </is>
      </c>
      <c r="E139" s="27" t="inlineStr">
        <is>
          <t>KOSDAQ</t>
        </is>
      </c>
      <c r="F139" s="27" t="inlineStr">
        <is>
          <t>소재</t>
        </is>
      </c>
      <c r="G139" s="27" t="inlineStr">
        <is>
          <t>소재</t>
        </is>
      </c>
      <c r="H139" s="27" t="inlineStr">
        <is>
          <t>False</t>
        </is>
      </c>
      <c r="I139" s="27" t="inlineStr">
        <is>
          <t>True</t>
        </is>
      </c>
      <c r="J139" s="27" t="inlineStr">
        <is>
          <t>OK</t>
        </is>
      </c>
      <c r="K139" s="27" t="inlineStr">
        <is>
          <t>데이터 사용 가능</t>
        </is>
      </c>
      <c r="L139" s="27" t="inlineStr">
        <is>
          <t>LOW</t>
        </is>
      </c>
      <c r="M139" s="27" t="inlineStr">
        <is>
          <t>LOW</t>
        </is>
      </c>
      <c r="N139" s="27" t="inlineStr">
        <is>
          <t>0.4041025641025642</t>
        </is>
      </c>
      <c r="O139" s="27" t="inlineStr">
        <is>
          <t>EXPENSIVE</t>
        </is>
      </c>
      <c r="P139" s="27" t="inlineStr">
        <is>
          <t>EXPENSIVE</t>
        </is>
      </c>
      <c r="Q139" s="27" t="inlineStr">
        <is>
          <t>EXPENSIVE</t>
        </is>
      </c>
      <c r="R139" s="27" t="inlineStr">
        <is>
          <t>0.6833535693717029</t>
        </is>
      </c>
      <c r="S139" s="27" t="inlineStr">
        <is>
          <t>MEDIUM</t>
        </is>
      </c>
      <c r="T139" s="27" t="inlineStr">
        <is>
          <t>MEDIUM</t>
        </is>
      </c>
      <c r="U139" s="27" t="inlineStr">
        <is>
          <t>0.1428571428571428</t>
        </is>
      </c>
      <c r="V139" s="27" t="inlineStr">
        <is>
          <t>LOW_RISK</t>
        </is>
      </c>
      <c r="W139" s="27" t="inlineStr">
        <is>
          <t>저위험</t>
        </is>
      </c>
      <c r="X139" s="27" t="inlineStr">
        <is>
          <t>LOW_RISK</t>
        </is>
      </c>
      <c r="Y139" s="27" t="inlineStr">
        <is>
          <t>0.5929893794662974</t>
        </is>
      </c>
      <c r="Z139" s="27" t="inlineStr">
        <is>
          <t>MEDIUM</t>
        </is>
      </c>
      <c r="AA139" s="27" t="inlineStr">
        <is>
          <t>MEDIUM</t>
        </is>
      </c>
      <c r="AB139" s="27" t="inlineStr">
        <is>
          <t>0.12453521172683771</t>
        </is>
      </c>
      <c r="AC139" s="27" t="inlineStr">
        <is>
          <t>False</t>
        </is>
      </c>
      <c r="AD139" s="27" t="inlineStr">
        <is>
          <t>False</t>
        </is>
      </c>
      <c r="AE139" s="27" t="inlineStr">
        <is>
          <t>valuation_credit_ml_overlay_candidate.csv</t>
        </is>
      </c>
      <c r="AF139" s="27" t="inlineStr">
        <is>
          <t>208개 반도체 reference universe. Valuation Agent가 자체 intake 폴더로 복제해 Peer/ML/대시보드 비교에 사용.</t>
        </is>
      </c>
    </row>
    <row r="140" ht="24" customHeight="1">
      <c r="A140" s="32" t="inlineStr">
        <is>
          <t>135</t>
        </is>
      </c>
      <c r="B140" s="32" t="inlineStr">
        <is>
          <t>해당 없음</t>
        </is>
      </c>
      <c r="C140" s="32" t="inlineStr">
        <is>
          <t>와이씨켐</t>
        </is>
      </c>
      <c r="D140" s="32" t="inlineStr">
        <is>
          <t>112290</t>
        </is>
      </c>
      <c r="E140" s="32" t="inlineStr">
        <is>
          <t>KOSDAQ</t>
        </is>
      </c>
      <c r="F140" s="32" t="inlineStr">
        <is>
          <t>소재</t>
        </is>
      </c>
      <c r="G140" s="32" t="inlineStr">
        <is>
          <t>소재</t>
        </is>
      </c>
      <c r="H140" s="32" t="inlineStr">
        <is>
          <t>False</t>
        </is>
      </c>
      <c r="I140" s="32" t="inlineStr">
        <is>
          <t>True</t>
        </is>
      </c>
      <c r="J140" s="32" t="inlineStr">
        <is>
          <t>OK</t>
        </is>
      </c>
      <c r="K140" s="32" t="inlineStr">
        <is>
          <t>데이터 사용 가능</t>
        </is>
      </c>
      <c r="L140" s="32" t="inlineStr">
        <is>
          <t>LOW</t>
        </is>
      </c>
      <c r="M140" s="32" t="inlineStr">
        <is>
          <t>LOW</t>
        </is>
      </c>
      <c r="N140" s="32" t="inlineStr">
        <is>
          <t>0.3835897435897436</t>
        </is>
      </c>
      <c r="O140" s="32" t="inlineStr">
        <is>
          <t>EXPENSIVE</t>
        </is>
      </c>
      <c r="P140" s="32" t="inlineStr">
        <is>
          <t>EXPENSIVE</t>
        </is>
      </c>
      <c r="Q140" s="32" t="inlineStr">
        <is>
          <t>EXPENSIVE</t>
        </is>
      </c>
      <c r="R140" s="32" t="inlineStr">
        <is>
          <t>0.7576999610053956</t>
        </is>
      </c>
      <c r="S140" s="32" t="inlineStr">
        <is>
          <t>HIGH</t>
        </is>
      </c>
      <c r="T140" s="32" t="inlineStr">
        <is>
          <t>HIGH</t>
        </is>
      </c>
      <c r="U140" s="32" t="inlineStr">
        <is>
          <t>0.5</t>
        </is>
      </c>
      <c r="V140" s="32" t="inlineStr">
        <is>
          <t>HIGH_RISK</t>
        </is>
      </c>
      <c r="W140" s="32" t="inlineStr">
        <is>
          <t>고위험</t>
        </is>
      </c>
      <c r="X140" s="32" t="inlineStr">
        <is>
          <t>HIGH_RISK</t>
        </is>
      </c>
      <c r="Y140" s="32" t="inlineStr">
        <is>
          <t>0.5943318096005836</t>
        </is>
      </c>
      <c r="Z140" s="32" t="inlineStr">
        <is>
          <t>MEDIUM</t>
        </is>
      </c>
      <c r="AA140" s="32" t="inlineStr">
        <is>
          <t>MEDIUM</t>
        </is>
      </c>
      <c r="AB140" s="32" t="inlineStr">
        <is>
          <t>0.09923299749910795</t>
        </is>
      </c>
      <c r="AC140" s="32" t="inlineStr">
        <is>
          <t>False</t>
        </is>
      </c>
      <c r="AD140" s="32" t="inlineStr">
        <is>
          <t>False</t>
        </is>
      </c>
      <c r="AE140" s="32" t="inlineStr">
        <is>
          <t>valuation_credit_ml_overlay_candidate.csv</t>
        </is>
      </c>
      <c r="AF140" s="32" t="inlineStr">
        <is>
          <t>208개 반도체 reference universe. Valuation Agent가 자체 intake 폴더로 복제해 Peer/ML/대시보드 비교에 사용.</t>
        </is>
      </c>
    </row>
    <row r="141" ht="24" customHeight="1">
      <c r="A141" s="27" t="inlineStr">
        <is>
          <t>143</t>
        </is>
      </c>
      <c r="B141" s="27" t="inlineStr">
        <is>
          <t>해당 없음</t>
        </is>
      </c>
      <c r="C141" s="27" t="inlineStr">
        <is>
          <t>천보</t>
        </is>
      </c>
      <c r="D141" s="27" t="inlineStr">
        <is>
          <t>278280</t>
        </is>
      </c>
      <c r="E141" s="27" t="inlineStr">
        <is>
          <t>KOSDAQ</t>
        </is>
      </c>
      <c r="F141" s="27" t="inlineStr">
        <is>
          <t>소재</t>
        </is>
      </c>
      <c r="G141" s="27" t="inlineStr">
        <is>
          <t>소재</t>
        </is>
      </c>
      <c r="H141" s="27" t="inlineStr">
        <is>
          <t>False</t>
        </is>
      </c>
      <c r="I141" s="27" t="inlineStr">
        <is>
          <t>True</t>
        </is>
      </c>
      <c r="J141" s="27" t="inlineStr">
        <is>
          <t>OK</t>
        </is>
      </c>
      <c r="K141" s="27" t="inlineStr">
        <is>
          <t>데이터 사용 가능</t>
        </is>
      </c>
      <c r="L141" s="27" t="inlineStr">
        <is>
          <t>LOW</t>
        </is>
      </c>
      <c r="M141" s="27" t="inlineStr">
        <is>
          <t>LOW</t>
        </is>
      </c>
      <c r="N141" s="27" t="inlineStr">
        <is>
          <t>0.3387179487179487</t>
        </is>
      </c>
      <c r="O141" s="27" t="inlineStr">
        <is>
          <t>EXPENSIVE</t>
        </is>
      </c>
      <c r="P141" s="27" t="inlineStr">
        <is>
          <t>EXPENSIVE</t>
        </is>
      </c>
      <c r="Q141" s="27" t="inlineStr">
        <is>
          <t>EXPENSIVE</t>
        </is>
      </c>
      <c r="R141" s="27" t="inlineStr">
        <is>
          <t>0.5721835844163214</t>
        </is>
      </c>
      <c r="S141" s="27" t="inlineStr">
        <is>
          <t>MEDIUM</t>
        </is>
      </c>
      <c r="T141" s="27" t="inlineStr">
        <is>
          <t>MEDIUM</t>
        </is>
      </c>
      <c r="U141" s="27" t="inlineStr">
        <is>
          <t>0.3571428571428571</t>
        </is>
      </c>
      <c r="V141" s="27" t="inlineStr">
        <is>
          <t>MEDIUM_RISK</t>
        </is>
      </c>
      <c r="W141" s="27" t="inlineStr">
        <is>
          <t>중위험</t>
        </is>
      </c>
      <c r="X141" s="27" t="inlineStr">
        <is>
          <t>MEDIUM_RISK</t>
        </is>
      </c>
      <c r="Y141" s="27" t="inlineStr">
        <is>
          <t>0.6610625585827647</t>
        </is>
      </c>
      <c r="Z141" s="27" t="inlineStr">
        <is>
          <t>MEDIUM</t>
        </is>
      </c>
      <c r="AA141" s="27" t="inlineStr">
        <is>
          <t>MEDIUM</t>
        </is>
      </c>
      <c r="AB141" s="27" t="inlineStr">
        <is>
          <t>0.09911108426869078</t>
        </is>
      </c>
      <c r="AC141" s="27" t="inlineStr">
        <is>
          <t>False</t>
        </is>
      </c>
      <c r="AD141" s="27" t="inlineStr">
        <is>
          <t>False</t>
        </is>
      </c>
      <c r="AE141" s="27" t="inlineStr">
        <is>
          <t>valuation_credit_ml_overlay_candidate.csv</t>
        </is>
      </c>
      <c r="AF141" s="27" t="inlineStr">
        <is>
          <t>208개 반도체 reference universe. Valuation Agent가 자체 intake 폴더로 복제해 Peer/ML/대시보드 비교에 사용.</t>
        </is>
      </c>
    </row>
    <row r="142" ht="24" customHeight="1">
      <c r="A142" s="32" t="inlineStr">
        <is>
          <t>149</t>
        </is>
      </c>
      <c r="B142" s="32" t="inlineStr">
        <is>
          <t>해당 없음</t>
        </is>
      </c>
      <c r="C142" s="32" t="inlineStr">
        <is>
          <t>후성</t>
        </is>
      </c>
      <c r="D142" s="32" t="inlineStr">
        <is>
          <t>093370</t>
        </is>
      </c>
      <c r="E142" s="32" t="inlineStr">
        <is>
          <t>KOSPI</t>
        </is>
      </c>
      <c r="F142" s="32" t="inlineStr">
        <is>
          <t>소재</t>
        </is>
      </c>
      <c r="G142" s="32" t="inlineStr">
        <is>
          <t>소재</t>
        </is>
      </c>
      <c r="H142" s="32" t="inlineStr">
        <is>
          <t>False</t>
        </is>
      </c>
      <c r="I142" s="32" t="inlineStr">
        <is>
          <t>True</t>
        </is>
      </c>
      <c r="J142" s="32" t="inlineStr">
        <is>
          <t>OK</t>
        </is>
      </c>
      <c r="K142" s="32" t="inlineStr">
        <is>
          <t>데이터 사용 가능</t>
        </is>
      </c>
      <c r="L142" s="32" t="inlineStr">
        <is>
          <t>LOW</t>
        </is>
      </c>
      <c r="M142" s="32" t="inlineStr">
        <is>
          <t>LOW</t>
        </is>
      </c>
      <c r="N142" s="32" t="inlineStr">
        <is>
          <t>0.3387179487179487</t>
        </is>
      </c>
      <c r="O142" s="32" t="inlineStr">
        <is>
          <t>EXPENSIVE</t>
        </is>
      </c>
      <c r="P142" s="32" t="inlineStr">
        <is>
          <t>EXPENSIVE</t>
        </is>
      </c>
      <c r="Q142" s="32" t="inlineStr">
        <is>
          <t>EXPENSIVE</t>
        </is>
      </c>
      <c r="R142" s="32" t="inlineStr">
        <is>
          <t>0.7388215177779633</t>
        </is>
      </c>
      <c r="S142" s="32" t="inlineStr">
        <is>
          <t>HIGH</t>
        </is>
      </c>
      <c r="T142" s="32" t="inlineStr">
        <is>
          <t>HIGH</t>
        </is>
      </c>
      <c r="U142" s="32" t="inlineStr">
        <is>
          <t>0.1428571428571428</t>
        </is>
      </c>
      <c r="V142" s="32" t="inlineStr">
        <is>
          <t>LOW_RISK</t>
        </is>
      </c>
      <c r="W142" s="32" t="inlineStr">
        <is>
          <t>저위험</t>
        </is>
      </c>
      <c r="X142" s="32" t="inlineStr">
        <is>
          <t>LOW_RISK</t>
        </is>
      </c>
      <c r="Y142" s="32" t="inlineStr">
        <is>
          <t>0.6020102100460379</t>
        </is>
      </c>
      <c r="Z142" s="32" t="inlineStr">
        <is>
          <t>MEDIUM</t>
        </is>
      </c>
      <c r="AA142" s="32" t="inlineStr">
        <is>
          <t>MEDIUM</t>
        </is>
      </c>
      <c r="AB142" s="32" t="inlineStr">
        <is>
          <t>0.03702349009826696</t>
        </is>
      </c>
      <c r="AC142" s="32" t="inlineStr">
        <is>
          <t>False</t>
        </is>
      </c>
      <c r="AD142" s="32" t="inlineStr">
        <is>
          <t>False</t>
        </is>
      </c>
      <c r="AE142" s="32" t="inlineStr">
        <is>
          <t>valuation_credit_ml_overlay_candidate.csv</t>
        </is>
      </c>
      <c r="AF142" s="32" t="inlineStr">
        <is>
          <t>208개 반도체 reference universe. Valuation Agent가 자체 intake 폴더로 복제해 Peer/ML/대시보드 비교에 사용.</t>
        </is>
      </c>
    </row>
    <row r="143" ht="24" customHeight="1">
      <c r="A143" s="27" t="inlineStr">
        <is>
          <t>132</t>
        </is>
      </c>
      <c r="B143" s="27" t="inlineStr">
        <is>
          <t>해당 없음</t>
        </is>
      </c>
      <c r="C143" s="27" t="inlineStr">
        <is>
          <t>엘케이켐</t>
        </is>
      </c>
      <c r="D143" s="27" t="inlineStr">
        <is>
          <t>489500</t>
        </is>
      </c>
      <c r="E143" s="27" t="inlineStr">
        <is>
          <t>KOSDAQ</t>
        </is>
      </c>
      <c r="F143" s="27" t="inlineStr">
        <is>
          <t>소재</t>
        </is>
      </c>
      <c r="G143" s="27" t="inlineStr">
        <is>
          <t>소재</t>
        </is>
      </c>
      <c r="H143" s="27" t="inlineStr">
        <is>
          <t>False</t>
        </is>
      </c>
      <c r="I143" s="27" t="inlineStr">
        <is>
          <t>True</t>
        </is>
      </c>
      <c r="J143" s="27" t="inlineStr">
        <is>
          <t>OK_LIMITED_HISTORY_OR_GROWTH_NA</t>
        </is>
      </c>
      <c r="K143" s="27" t="inlineStr">
        <is>
          <t>데이터 사용 가능</t>
        </is>
      </c>
      <c r="L143" s="27" t="inlineStr">
        <is>
          <t>LOW</t>
        </is>
      </c>
      <c r="M143" s="27" t="inlineStr">
        <is>
          <t>LOW</t>
        </is>
      </c>
      <c r="N143" s="27" t="inlineStr">
        <is>
          <t>0.3238461538461538</t>
        </is>
      </c>
      <c r="O143" s="27" t="inlineStr">
        <is>
          <t>EXPENSIVE</t>
        </is>
      </c>
      <c r="P143" s="27" t="inlineStr">
        <is>
          <t>EXPENSIVE</t>
        </is>
      </c>
      <c r="Q143" s="27" t="inlineStr">
        <is>
          <t>EXPENSIVE</t>
        </is>
      </c>
      <c r="R143" s="27" t="inlineStr">
        <is>
          <t>0.702794478496214</t>
        </is>
      </c>
      <c r="S143" s="27" t="inlineStr">
        <is>
          <t>HIGH</t>
        </is>
      </c>
      <c r="T143" s="27" t="inlineStr">
        <is>
          <t>HIGH</t>
        </is>
      </c>
      <c r="U143" s="27" t="inlineStr">
        <is>
          <t>0.2857142857142857</t>
        </is>
      </c>
      <c r="V143" s="27" t="inlineStr">
        <is>
          <t>MEDIUM_RISK</t>
        </is>
      </c>
      <c r="W143" s="27" t="inlineStr">
        <is>
          <t>중위험</t>
        </is>
      </c>
      <c r="X143" s="27" t="inlineStr">
        <is>
          <t>MEDIUM_RISK</t>
        </is>
      </c>
      <c r="Y143" s="27" t="inlineStr">
        <is>
          <t>0.5536965458646373</t>
        </is>
      </c>
      <c r="Z143" s="27" t="inlineStr">
        <is>
          <t>MEDIUM</t>
        </is>
      </c>
      <c r="AA143" s="27" t="inlineStr">
        <is>
          <t>MEDIUM</t>
        </is>
      </c>
      <c r="AB143" s="27" t="inlineStr">
        <is>
          <t>0.25181847400004714</t>
        </is>
      </c>
      <c r="AC143" s="27" t="inlineStr">
        <is>
          <t>True</t>
        </is>
      </c>
      <c r="AD143" s="27" t="inlineStr">
        <is>
          <t>True</t>
        </is>
      </c>
      <c r="AE143" s="27" t="inlineStr">
        <is>
          <t>valuation_credit_ml_overlay_candidate.csv</t>
        </is>
      </c>
      <c r="AF143" s="27" t="inlineStr">
        <is>
          <t>208개 반도체 reference universe. Valuation Agent가 자체 intake 폴더로 복제해 Peer/ML/대시보드 비교에 사용.</t>
        </is>
      </c>
    </row>
    <row r="144" ht="24" customHeight="1">
      <c r="A144" s="32" t="inlineStr">
        <is>
          <t>124</t>
        </is>
      </c>
      <c r="B144" s="32" t="inlineStr">
        <is>
          <t>해당 없음</t>
        </is>
      </c>
      <c r="C144" s="32" t="inlineStr">
        <is>
          <t>SKC</t>
        </is>
      </c>
      <c r="D144" s="32" t="inlineStr">
        <is>
          <t>011790</t>
        </is>
      </c>
      <c r="E144" s="32" t="inlineStr">
        <is>
          <t>KOSPI</t>
        </is>
      </c>
      <c r="F144" s="32" t="inlineStr">
        <is>
          <t>소재</t>
        </is>
      </c>
      <c r="G144" s="32" t="inlineStr">
        <is>
          <t>소재</t>
        </is>
      </c>
      <c r="H144" s="32" t="inlineStr">
        <is>
          <t>False</t>
        </is>
      </c>
      <c r="I144" s="32" t="inlineStr">
        <is>
          <t>True</t>
        </is>
      </c>
      <c r="J144" s="32" t="inlineStr">
        <is>
          <t>OK</t>
        </is>
      </c>
      <c r="K144" s="32" t="inlineStr">
        <is>
          <t>데이터 사용 가능</t>
        </is>
      </c>
      <c r="L144" s="32" t="inlineStr">
        <is>
          <t>LOW</t>
        </is>
      </c>
      <c r="M144" s="32" t="inlineStr">
        <is>
          <t>LOW</t>
        </is>
      </c>
      <c r="N144" s="32" t="inlineStr">
        <is>
          <t>0.3217948717948718</t>
        </is>
      </c>
      <c r="O144" s="32" t="inlineStr">
        <is>
          <t>EXPENSIVE</t>
        </is>
      </c>
      <c r="P144" s="32" t="inlineStr">
        <is>
          <t>EXPENSIVE</t>
        </is>
      </c>
      <c r="Q144" s="32" t="inlineStr">
        <is>
          <t>EXPENSIVE</t>
        </is>
      </c>
      <c r="R144" s="32" t="inlineStr">
        <is>
          <t>0.865330691240198</t>
        </is>
      </c>
      <c r="S144" s="32" t="inlineStr">
        <is>
          <t>HIGH</t>
        </is>
      </c>
      <c r="T144" s="32" t="inlineStr">
        <is>
          <t>HIGH</t>
        </is>
      </c>
      <c r="U144" s="32" t="inlineStr">
        <is>
          <t>0.7142857142857143</t>
        </is>
      </c>
      <c r="V144" s="32" t="inlineStr">
        <is>
          <t>HIGH_RISK</t>
        </is>
      </c>
      <c r="W144" s="32" t="inlineStr">
        <is>
          <t>고위험</t>
        </is>
      </c>
      <c r="X144" s="32" t="inlineStr">
        <is>
          <t>HIGH_RISK</t>
        </is>
      </c>
      <c r="Y144" s="32" t="inlineStr">
        <is>
          <t>0.9272418560336225</t>
        </is>
      </c>
      <c r="Z144" s="32" t="inlineStr">
        <is>
          <t>HIGH</t>
        </is>
      </c>
      <c r="AA144" s="32" t="inlineStr">
        <is>
          <t>HIGH</t>
        </is>
      </c>
      <c r="AB144" s="32" t="inlineStr">
        <is>
          <t>0.23200310396853355</t>
        </is>
      </c>
      <c r="AC144" s="32" t="inlineStr">
        <is>
          <t>False</t>
        </is>
      </c>
      <c r="AD144" s="32" t="inlineStr">
        <is>
          <t>False</t>
        </is>
      </c>
      <c r="AE144" s="32" t="inlineStr">
        <is>
          <t>valuation_credit_ml_overlay_candidate.csv</t>
        </is>
      </c>
      <c r="AF144" s="32" t="inlineStr">
        <is>
          <t>208개 반도체 reference universe. Valuation Agent가 자체 intake 폴더로 복제해 Peer/ML/대시보드 비교에 사용.</t>
        </is>
      </c>
    </row>
    <row r="145" ht="24" customHeight="1">
      <c r="A145" s="27" t="inlineStr">
        <is>
          <t>128</t>
        </is>
      </c>
      <c r="B145" s="27" t="inlineStr">
        <is>
          <t>해당 없음</t>
        </is>
      </c>
      <c r="C145" s="27" t="inlineStr">
        <is>
          <t>레이크머티리얼즈</t>
        </is>
      </c>
      <c r="D145" s="27" t="inlineStr">
        <is>
          <t>281740</t>
        </is>
      </c>
      <c r="E145" s="27" t="inlineStr">
        <is>
          <t>KOSDAQ</t>
        </is>
      </c>
      <c r="F145" s="27" t="inlineStr">
        <is>
          <t>소재</t>
        </is>
      </c>
      <c r="G145" s="27" t="inlineStr">
        <is>
          <t>소재</t>
        </is>
      </c>
      <c r="H145" s="27" t="inlineStr">
        <is>
          <t>False</t>
        </is>
      </c>
      <c r="I145" s="27" t="inlineStr">
        <is>
          <t>True</t>
        </is>
      </c>
      <c r="J145" s="27" t="inlineStr">
        <is>
          <t>OK</t>
        </is>
      </c>
      <c r="K145" s="27" t="inlineStr">
        <is>
          <t>데이터 사용 가능</t>
        </is>
      </c>
      <c r="L145" s="27" t="inlineStr">
        <is>
          <t>LOW</t>
        </is>
      </c>
      <c r="M145" s="27" t="inlineStr">
        <is>
          <t>LOW</t>
        </is>
      </c>
      <c r="N145" s="27" t="inlineStr">
        <is>
          <t>0.2676923076923077</t>
        </is>
      </c>
      <c r="O145" s="27" t="inlineStr">
        <is>
          <t>EXPENSIVE</t>
        </is>
      </c>
      <c r="P145" s="27" t="inlineStr">
        <is>
          <t>EXPENSIVE</t>
        </is>
      </c>
      <c r="Q145" s="27" t="inlineStr">
        <is>
          <t>EXPENSIVE</t>
        </is>
      </c>
      <c r="R145" s="27" t="inlineStr">
        <is>
          <t>0.7822727417954645</t>
        </is>
      </c>
      <c r="S145" s="27" t="inlineStr">
        <is>
          <t>HIGH</t>
        </is>
      </c>
      <c r="T145" s="27" t="inlineStr">
        <is>
          <t>HIGH</t>
        </is>
      </c>
      <c r="U145" s="27" t="inlineStr">
        <is>
          <t>0.2857142857142857</t>
        </is>
      </c>
      <c r="V145" s="27" t="inlineStr">
        <is>
          <t>MEDIUM_RISK</t>
        </is>
      </c>
      <c r="W145" s="27" t="inlineStr">
        <is>
          <t>중위험</t>
        </is>
      </c>
      <c r="X145" s="27" t="inlineStr">
        <is>
          <t>LOW_RISK</t>
        </is>
      </c>
      <c r="Y145" s="27" t="inlineStr">
        <is>
          <t>0.44190315892256776</t>
        </is>
      </c>
      <c r="Z145" s="27" t="inlineStr">
        <is>
          <t>LOW</t>
        </is>
      </c>
      <c r="AA145" s="27" t="inlineStr">
        <is>
          <t>LOW</t>
        </is>
      </c>
      <c r="AB145" s="27" t="inlineStr">
        <is>
          <t>0.0525163305941587</t>
        </is>
      </c>
      <c r="AC145" s="27" t="inlineStr">
        <is>
          <t>False</t>
        </is>
      </c>
      <c r="AD145" s="27" t="inlineStr">
        <is>
          <t>True</t>
        </is>
      </c>
      <c r="AE145" s="27" t="inlineStr">
        <is>
          <t>valuation_credit_ml_overlay_candidate.csv</t>
        </is>
      </c>
      <c r="AF145" s="27" t="inlineStr">
        <is>
          <t>208개 반도체 reference universe. Valuation Agent가 자체 intake 폴더로 복제해 Peer/ML/대시보드 비교에 사용.</t>
        </is>
      </c>
    </row>
    <row r="146" ht="24" customHeight="1">
      <c r="A146" s="32" t="inlineStr">
        <is>
          <t>125</t>
        </is>
      </c>
      <c r="B146" s="32" t="inlineStr">
        <is>
          <t>duksan</t>
        </is>
      </c>
      <c r="C146" s="32" t="inlineStr">
        <is>
          <t>덕산테코피아</t>
        </is>
      </c>
      <c r="D146" s="32" t="inlineStr">
        <is>
          <t>317330</t>
        </is>
      </c>
      <c r="E146" s="32" t="inlineStr">
        <is>
          <t>KOSDAQ</t>
        </is>
      </c>
      <c r="F146" s="32" t="inlineStr">
        <is>
          <t>소재</t>
        </is>
      </c>
      <c r="G146" s="32" t="inlineStr">
        <is>
          <t>소재</t>
        </is>
      </c>
      <c r="H146" s="32" t="inlineStr">
        <is>
          <t>True</t>
        </is>
      </c>
      <c r="I146" s="32" t="inlineStr">
        <is>
          <t>True</t>
        </is>
      </c>
      <c r="J146" s="32" t="inlineStr">
        <is>
          <t>OK</t>
        </is>
      </c>
      <c r="K146" s="32" t="inlineStr">
        <is>
          <t>데이터 사용 가능</t>
        </is>
      </c>
      <c r="L146" s="32" t="inlineStr">
        <is>
          <t>LOW</t>
        </is>
      </c>
      <c r="M146" s="32" t="inlineStr">
        <is>
          <t>LOW</t>
        </is>
      </c>
      <c r="N146" s="32" t="inlineStr">
        <is>
          <t>0.251025641025641</t>
        </is>
      </c>
      <c r="O146" s="32" t="inlineStr">
        <is>
          <t>EXPENSIVE</t>
        </is>
      </c>
      <c r="P146" s="32" t="inlineStr">
        <is>
          <t>EXPENSIVE</t>
        </is>
      </c>
      <c r="Q146" s="32" t="inlineStr">
        <is>
          <t>EXPENSIVE</t>
        </is>
      </c>
      <c r="R146" s="32" t="inlineStr">
        <is>
          <t>0.9683283970250778</t>
        </is>
      </c>
      <c r="S146" s="32" t="inlineStr">
        <is>
          <t>HIGH</t>
        </is>
      </c>
      <c r="T146" s="32" t="inlineStr">
        <is>
          <t>HIGH</t>
        </is>
      </c>
      <c r="U146" s="32" t="inlineStr">
        <is>
          <t>0.7142857142857143</t>
        </is>
      </c>
      <c r="V146" s="32" t="inlineStr">
        <is>
          <t>HIGH_RISK</t>
        </is>
      </c>
      <c r="W146" s="32" t="inlineStr">
        <is>
          <t>고위험</t>
        </is>
      </c>
      <c r="X146" s="32" t="inlineStr">
        <is>
          <t>HIGH_RISK</t>
        </is>
      </c>
      <c r="Y146" s="32" t="inlineStr">
        <is>
          <t>0.9663044353705786</t>
        </is>
      </c>
      <c r="Z146" s="32" t="inlineStr">
        <is>
          <t>HIGH</t>
        </is>
      </c>
      <c r="AA146" s="32" t="inlineStr">
        <is>
          <t>HIGH</t>
        </is>
      </c>
      <c r="AB146" s="32" t="inlineStr">
        <is>
          <t>0.3843555232614074</t>
        </is>
      </c>
      <c r="AC146" s="32" t="inlineStr">
        <is>
          <t>True</t>
        </is>
      </c>
      <c r="AD146" s="32" t="inlineStr">
        <is>
          <t>True</t>
        </is>
      </c>
      <c r="AE146" s="32" t="inlineStr">
        <is>
          <t>valuation_credit_ml_overlay_candidate.csv</t>
        </is>
      </c>
      <c r="AF146" s="32" t="inlineStr">
        <is>
          <t>208개 반도체 reference universe. Valuation Agent가 자체 intake 폴더로 복제해 Peer/ML/대시보드 비교에 사용.</t>
        </is>
      </c>
    </row>
    <row r="147" ht="24" customHeight="1">
      <c r="A147" s="27" t="inlineStr">
        <is>
          <t>99</t>
        </is>
      </c>
      <c r="B147" s="27" t="inlineStr">
        <is>
          <t>해당 없음</t>
        </is>
      </c>
      <c r="C147" s="27" t="inlineStr">
        <is>
          <t>엔투텍</t>
        </is>
      </c>
      <c r="D147" s="27" t="inlineStr">
        <is>
          <t>227950</t>
        </is>
      </c>
      <c r="E147" s="27" t="inlineStr">
        <is>
          <t>KOSDAQ</t>
        </is>
      </c>
      <c r="F147" s="27" t="inlineStr">
        <is>
          <t>장비</t>
        </is>
      </c>
      <c r="G147" s="27" t="inlineStr">
        <is>
          <t>장비</t>
        </is>
      </c>
      <c r="H147" s="27" t="inlineStr">
        <is>
          <t>False</t>
        </is>
      </c>
      <c r="I147" s="27" t="inlineStr">
        <is>
          <t>True</t>
        </is>
      </c>
      <c r="J147" s="27" t="inlineStr">
        <is>
          <t>OK</t>
        </is>
      </c>
      <c r="K147" s="27" t="inlineStr">
        <is>
          <t>데이터 사용 가능</t>
        </is>
      </c>
      <c r="L147" s="27" t="inlineStr">
        <is>
          <t>LOW</t>
        </is>
      </c>
      <c r="M147" s="27" t="inlineStr">
        <is>
          <t>LOW</t>
        </is>
      </c>
      <c r="N147" s="27" t="inlineStr">
        <is>
          <t>0.8128666666666667</t>
        </is>
      </c>
      <c r="O147" s="27" t="inlineStr">
        <is>
          <t>ATTRACTIVE</t>
        </is>
      </c>
      <c r="P147" s="27" t="inlineStr">
        <is>
          <t>가치 매력</t>
        </is>
      </c>
      <c r="Q147" s="27" t="inlineStr">
        <is>
          <t>ATTRACTIVE</t>
        </is>
      </c>
      <c r="R147" s="27" t="inlineStr">
        <is>
          <t>0.8347222629406851</t>
        </is>
      </c>
      <c r="S147" s="27" t="inlineStr">
        <is>
          <t>HIGH</t>
        </is>
      </c>
      <c r="T147" s="27" t="inlineStr">
        <is>
          <t>HIGH</t>
        </is>
      </c>
      <c r="U147" s="27" t="inlineStr">
        <is>
          <t>0.2142857142857142</t>
        </is>
      </c>
      <c r="V147" s="27" t="inlineStr">
        <is>
          <t>MEDIUM_RISK</t>
        </is>
      </c>
      <c r="W147" s="27" t="inlineStr">
        <is>
          <t>중위험</t>
        </is>
      </c>
      <c r="X147" s="27" t="inlineStr">
        <is>
          <t>MEDIUM_RISK</t>
        </is>
      </c>
      <c r="Y147" s="27" t="inlineStr">
        <is>
          <t>0.5142933547274794</t>
        </is>
      </c>
      <c r="Z147" s="27" t="inlineStr">
        <is>
          <t>MEDIUM</t>
        </is>
      </c>
      <c r="AA147" s="27" t="inlineStr">
        <is>
          <t>MEDIUM</t>
        </is>
      </c>
      <c r="AB147" s="27" t="inlineStr">
        <is>
          <t>0.21193857896314997</t>
        </is>
      </c>
      <c r="AC147" s="27" t="inlineStr">
        <is>
          <t>False</t>
        </is>
      </c>
      <c r="AD147" s="27" t="inlineStr">
        <is>
          <t>False</t>
        </is>
      </c>
      <c r="AE147" s="27" t="inlineStr">
        <is>
          <t>valuation_credit_ml_overlay_candidate.csv</t>
        </is>
      </c>
      <c r="AF147" s="27" t="inlineStr">
        <is>
          <t>208개 반도체 reference universe. Valuation Agent가 자체 intake 폴더로 복제해 Peer/ML/대시보드 비교에 사용.</t>
        </is>
      </c>
    </row>
    <row r="148" ht="24" customHeight="1">
      <c r="A148" s="32" t="inlineStr">
        <is>
          <t>88</t>
        </is>
      </c>
      <c r="B148" s="32" t="inlineStr">
        <is>
          <t>해당 없음</t>
        </is>
      </c>
      <c r="C148" s="32" t="inlineStr">
        <is>
          <t>비아트론</t>
        </is>
      </c>
      <c r="D148" s="32" t="inlineStr">
        <is>
          <t>141000</t>
        </is>
      </c>
      <c r="E148" s="32" t="inlineStr">
        <is>
          <t>KOSDAQ</t>
        </is>
      </c>
      <c r="F148" s="32" t="inlineStr">
        <is>
          <t>장비</t>
        </is>
      </c>
      <c r="G148" s="32" t="inlineStr">
        <is>
          <t>장비</t>
        </is>
      </c>
      <c r="H148" s="32" t="inlineStr">
        <is>
          <t>False</t>
        </is>
      </c>
      <c r="I148" s="32" t="inlineStr">
        <is>
          <t>True</t>
        </is>
      </c>
      <c r="J148" s="32" t="inlineStr">
        <is>
          <t>OK</t>
        </is>
      </c>
      <c r="K148" s="32" t="inlineStr">
        <is>
          <t>데이터 사용 가능</t>
        </is>
      </c>
      <c r="L148" s="32" t="inlineStr">
        <is>
          <t>LOW</t>
        </is>
      </c>
      <c r="M148" s="32" t="inlineStr">
        <is>
          <t>LOW</t>
        </is>
      </c>
      <c r="N148" s="32" t="inlineStr">
        <is>
          <t>0.7105333333333335</t>
        </is>
      </c>
      <c r="O148" s="32" t="inlineStr">
        <is>
          <t>ATTRACTIVE</t>
        </is>
      </c>
      <c r="P148" s="32" t="inlineStr">
        <is>
          <t>가치 매력</t>
        </is>
      </c>
      <c r="Q148" s="32" t="inlineStr">
        <is>
          <t>ATTRACTIVE</t>
        </is>
      </c>
      <c r="R148" s="32" t="inlineStr">
        <is>
          <t>0.934708213344448</t>
        </is>
      </c>
      <c r="S148" s="32" t="inlineStr">
        <is>
          <t>HIGH</t>
        </is>
      </c>
      <c r="T148" s="32" t="inlineStr">
        <is>
          <t>HIGH</t>
        </is>
      </c>
      <c r="U148" s="32" t="inlineStr">
        <is>
          <t>0.0</t>
        </is>
      </c>
      <c r="V148" s="32" t="inlineStr">
        <is>
          <t>LOW_RISK</t>
        </is>
      </c>
      <c r="W148" s="32" t="inlineStr">
        <is>
          <t>저위험</t>
        </is>
      </c>
      <c r="X148" s="32" t="inlineStr">
        <is>
          <t>LOW_RISK</t>
        </is>
      </c>
      <c r="Y148" s="32" t="inlineStr">
        <is>
          <t>0.9411184099481913</t>
        </is>
      </c>
      <c r="Z148" s="32" t="inlineStr">
        <is>
          <t>HIGH</t>
        </is>
      </c>
      <c r="AA148" s="32" t="inlineStr">
        <is>
          <t>HIGH</t>
        </is>
      </c>
      <c r="AB148" s="32" t="inlineStr">
        <is>
          <t>0.11715633071246634</t>
        </is>
      </c>
      <c r="AC148" s="32" t="inlineStr">
        <is>
          <t>False</t>
        </is>
      </c>
      <c r="AD148" s="32" t="inlineStr">
        <is>
          <t>False</t>
        </is>
      </c>
      <c r="AE148" s="32" t="inlineStr">
        <is>
          <t>valuation_credit_ml_overlay_candidate.csv</t>
        </is>
      </c>
      <c r="AF148" s="32" t="inlineStr">
        <is>
          <t>208개 반도체 reference universe. Valuation Agent가 자체 intake 폴더로 복제해 Peer/ML/대시보드 비교에 사용.</t>
        </is>
      </c>
    </row>
    <row r="149" ht="24" customHeight="1">
      <c r="A149" s="27" t="inlineStr">
        <is>
          <t>112</t>
        </is>
      </c>
      <c r="B149" s="27" t="inlineStr">
        <is>
          <t>해당 없음</t>
        </is>
      </c>
      <c r="C149" s="27" t="inlineStr">
        <is>
          <t>케이씨</t>
        </is>
      </c>
      <c r="D149" s="27" t="inlineStr">
        <is>
          <t>029460</t>
        </is>
      </c>
      <c r="E149" s="27" t="inlineStr">
        <is>
          <t>KOSPI</t>
        </is>
      </c>
      <c r="F149" s="27" t="inlineStr">
        <is>
          <t>장비</t>
        </is>
      </c>
      <c r="G149" s="27" t="inlineStr">
        <is>
          <t>장비</t>
        </is>
      </c>
      <c r="H149" s="27" t="inlineStr">
        <is>
          <t>False</t>
        </is>
      </c>
      <c r="I149" s="27" t="inlineStr">
        <is>
          <t>True</t>
        </is>
      </c>
      <c r="J149" s="27" t="inlineStr">
        <is>
          <t>OK</t>
        </is>
      </c>
      <c r="K149" s="27" t="inlineStr">
        <is>
          <t>데이터 사용 가능</t>
        </is>
      </c>
      <c r="L149" s="27" t="inlineStr">
        <is>
          <t>LOW</t>
        </is>
      </c>
      <c r="M149" s="27" t="inlineStr">
        <is>
          <t>LOW</t>
        </is>
      </c>
      <c r="N149" s="27" t="inlineStr">
        <is>
          <t>0.7065333333333332</t>
        </is>
      </c>
      <c r="O149" s="27" t="inlineStr">
        <is>
          <t>ATTRACTIVE</t>
        </is>
      </c>
      <c r="P149" s="27" t="inlineStr">
        <is>
          <t>가치 매력</t>
        </is>
      </c>
      <c r="Q149" s="27" t="inlineStr">
        <is>
          <t>ATTRACTIVE</t>
        </is>
      </c>
      <c r="R149" s="27" t="inlineStr">
        <is>
          <t>0.9151708177015135</t>
        </is>
      </c>
      <c r="S149" s="27" t="inlineStr">
        <is>
          <t>HIGH</t>
        </is>
      </c>
      <c r="T149" s="27" t="inlineStr">
        <is>
          <t>HIGH</t>
        </is>
      </c>
      <c r="U149" s="27" t="inlineStr">
        <is>
          <t>0.0</t>
        </is>
      </c>
      <c r="V149" s="27" t="inlineStr">
        <is>
          <t>LOW_RISK</t>
        </is>
      </c>
      <c r="W149" s="27" t="inlineStr">
        <is>
          <t>저위험</t>
        </is>
      </c>
      <c r="X149" s="27" t="inlineStr">
        <is>
          <t>LOW_RISK</t>
        </is>
      </c>
      <c r="Y149" s="27" t="inlineStr">
        <is>
          <t>0.883115363364621</t>
        </is>
      </c>
      <c r="Z149" s="27" t="inlineStr">
        <is>
          <t>HIGH</t>
        </is>
      </c>
      <c r="AA149" s="27" t="inlineStr">
        <is>
          <t>HIGH</t>
        </is>
      </c>
      <c r="AB149" s="27" t="inlineStr">
        <is>
          <t>0.07036651203602409</t>
        </is>
      </c>
      <c r="AC149" s="27" t="inlineStr">
        <is>
          <t>False</t>
        </is>
      </c>
      <c r="AD149" s="27" t="inlineStr">
        <is>
          <t>False</t>
        </is>
      </c>
      <c r="AE149" s="27" t="inlineStr">
        <is>
          <t>valuation_credit_ml_overlay_candidate.csv</t>
        </is>
      </c>
      <c r="AF149" s="27" t="inlineStr">
        <is>
          <t>208개 반도체 reference universe. Valuation Agent가 자체 intake 폴더로 복제해 Peer/ML/대시보드 비교에 사용.</t>
        </is>
      </c>
    </row>
    <row r="150" ht="24" customHeight="1">
      <c r="A150" s="32" t="inlineStr">
        <is>
          <t>81</t>
        </is>
      </c>
      <c r="B150" s="32" t="inlineStr">
        <is>
          <t>해당 없음</t>
        </is>
      </c>
      <c r="C150" s="32" t="inlineStr">
        <is>
          <t>더코디</t>
        </is>
      </c>
      <c r="D150" s="32" t="inlineStr">
        <is>
          <t>224060</t>
        </is>
      </c>
      <c r="E150" s="32" t="inlineStr">
        <is>
          <t>KOSDAQ</t>
        </is>
      </c>
      <c r="F150" s="32" t="inlineStr">
        <is>
          <t>장비</t>
        </is>
      </c>
      <c r="G150" s="32" t="inlineStr">
        <is>
          <t>장비</t>
        </is>
      </c>
      <c r="H150" s="32" t="inlineStr">
        <is>
          <t>False</t>
        </is>
      </c>
      <c r="I150" s="32" t="inlineStr">
        <is>
          <t>True</t>
        </is>
      </c>
      <c r="J150" s="32" t="inlineStr">
        <is>
          <t>OK</t>
        </is>
      </c>
      <c r="K150" s="32" t="inlineStr">
        <is>
          <t>데이터 사용 가능</t>
        </is>
      </c>
      <c r="L150" s="32" t="inlineStr">
        <is>
          <t>LOW</t>
        </is>
      </c>
      <c r="M150" s="32" t="inlineStr">
        <is>
          <t>LOW</t>
        </is>
      </c>
      <c r="N150" s="32" t="inlineStr">
        <is>
          <t>0.6908666666666667</t>
        </is>
      </c>
      <c r="O150" s="32" t="inlineStr">
        <is>
          <t>FAIR</t>
        </is>
      </c>
      <c r="P150" s="32" t="inlineStr">
        <is>
          <t>FAIR</t>
        </is>
      </c>
      <c r="Q150" s="32" t="inlineStr">
        <is>
          <t>FAIR</t>
        </is>
      </c>
      <c r="R150" s="32" t="inlineStr">
        <is>
          <t>0.6613330626239345</t>
        </is>
      </c>
      <c r="S150" s="32" t="inlineStr">
        <is>
          <t>MEDIUM</t>
        </is>
      </c>
      <c r="T150" s="32" t="inlineStr">
        <is>
          <t>MEDIUM</t>
        </is>
      </c>
      <c r="U150" s="32" t="inlineStr">
        <is>
          <t>0.8571428571428571</t>
        </is>
      </c>
      <c r="V150" s="32" t="inlineStr">
        <is>
          <t>HIGH_RISK</t>
        </is>
      </c>
      <c r="W150" s="32" t="inlineStr">
        <is>
          <t>고위험</t>
        </is>
      </c>
      <c r="X150" s="32" t="inlineStr">
        <is>
          <t>HIGH_RISK</t>
        </is>
      </c>
      <c r="Y150" s="32" t="inlineStr">
        <is>
          <t>0.5690179270143122</t>
        </is>
      </c>
      <c r="Z150" s="32" t="inlineStr">
        <is>
          <t>MEDIUM</t>
        </is>
      </c>
      <c r="AA150" s="32" t="inlineStr">
        <is>
          <t>MEDIUM</t>
        </is>
      </c>
      <c r="AB150" s="32" t="inlineStr">
        <is>
          <t>0.3728446721783581</t>
        </is>
      </c>
      <c r="AC150" s="32" t="inlineStr">
        <is>
          <t>True</t>
        </is>
      </c>
      <c r="AD150" s="32" t="inlineStr">
        <is>
          <t>True</t>
        </is>
      </c>
      <c r="AE150" s="32" t="inlineStr">
        <is>
          <t>valuation_credit_ml_overlay_candidate.csv</t>
        </is>
      </c>
      <c r="AF150" s="32" t="inlineStr">
        <is>
          <t>208개 반도체 reference universe. Valuation Agent가 자체 intake 폴더로 복제해 Peer/ML/대시보드 비교에 사용.</t>
        </is>
      </c>
    </row>
    <row r="151" ht="24" customHeight="1">
      <c r="A151" s="27" t="inlineStr">
        <is>
          <t>76</t>
        </is>
      </c>
      <c r="B151" s="27" t="inlineStr">
        <is>
          <t>해당 없음</t>
        </is>
      </c>
      <c r="C151" s="27" t="inlineStr">
        <is>
          <t>KPX케미칼</t>
        </is>
      </c>
      <c r="D151" s="27" t="inlineStr">
        <is>
          <t>025000</t>
        </is>
      </c>
      <c r="E151" s="27" t="inlineStr">
        <is>
          <t>KOSPI</t>
        </is>
      </c>
      <c r="F151" s="27" t="inlineStr">
        <is>
          <t>장비</t>
        </is>
      </c>
      <c r="G151" s="27" t="inlineStr">
        <is>
          <t>장비</t>
        </is>
      </c>
      <c r="H151" s="27" t="inlineStr">
        <is>
          <t>False</t>
        </is>
      </c>
      <c r="I151" s="27" t="inlineStr">
        <is>
          <t>True</t>
        </is>
      </c>
      <c r="J151" s="27" t="inlineStr">
        <is>
          <t>OK</t>
        </is>
      </c>
      <c r="K151" s="27" t="inlineStr">
        <is>
          <t>데이터 사용 가능</t>
        </is>
      </c>
      <c r="L151" s="27" t="inlineStr">
        <is>
          <t>LOW</t>
        </is>
      </c>
      <c r="M151" s="27" t="inlineStr">
        <is>
          <t>LOW</t>
        </is>
      </c>
      <c r="N151" s="27" t="inlineStr">
        <is>
          <t>0.6876</t>
        </is>
      </c>
      <c r="O151" s="27" t="inlineStr">
        <is>
          <t>ATTRACTIVE</t>
        </is>
      </c>
      <c r="P151" s="27" t="inlineStr">
        <is>
          <t>가치 매력</t>
        </is>
      </c>
      <c r="Q151" s="27" t="inlineStr">
        <is>
          <t>ATTRACTIVE</t>
        </is>
      </c>
      <c r="R151" s="27" t="inlineStr">
        <is>
          <t>0.9091955435785402</t>
        </is>
      </c>
      <c r="S151" s="27" t="inlineStr">
        <is>
          <t>HIGH</t>
        </is>
      </c>
      <c r="T151" s="27" t="inlineStr">
        <is>
          <t>HIGH</t>
        </is>
      </c>
      <c r="U151" s="27" t="inlineStr">
        <is>
          <t>0.0</t>
        </is>
      </c>
      <c r="V151" s="27" t="inlineStr">
        <is>
          <t>LOW_RISK</t>
        </is>
      </c>
      <c r="W151" s="27" t="inlineStr">
        <is>
          <t>저위험</t>
        </is>
      </c>
      <c r="X151" s="27" t="inlineStr">
        <is>
          <t>LOW_RISK</t>
        </is>
      </c>
      <c r="Y151" s="27" t="inlineStr">
        <is>
          <t>0.9222174142026104</t>
        </is>
      </c>
      <c r="Z151" s="27" t="inlineStr">
        <is>
          <t>HIGH</t>
        </is>
      </c>
      <c r="AA151" s="27" t="inlineStr">
        <is>
          <t>HIGH</t>
        </is>
      </c>
      <c r="AB151" s="27" t="inlineStr">
        <is>
          <t>0.13901835477996793</t>
        </is>
      </c>
      <c r="AC151" s="27" t="inlineStr">
        <is>
          <t>False</t>
        </is>
      </c>
      <c r="AD151" s="27" t="inlineStr">
        <is>
          <t>False</t>
        </is>
      </c>
      <c r="AE151" s="27" t="inlineStr">
        <is>
          <t>valuation_credit_ml_overlay_candidate.csv</t>
        </is>
      </c>
      <c r="AF151" s="27" t="inlineStr">
        <is>
          <t>208개 반도체 reference universe. Valuation Agent가 자체 intake 폴더로 복제해 Peer/ML/대시보드 비교에 사용.</t>
        </is>
      </c>
    </row>
    <row r="152" ht="24" customHeight="1">
      <c r="A152" s="32" t="inlineStr">
        <is>
          <t>91</t>
        </is>
      </c>
      <c r="B152" s="32" t="inlineStr">
        <is>
          <t>해당 없음</t>
        </is>
      </c>
      <c r="C152" s="32" t="inlineStr">
        <is>
          <t>성도이엔지</t>
        </is>
      </c>
      <c r="D152" s="32" t="inlineStr">
        <is>
          <t>037350</t>
        </is>
      </c>
      <c r="E152" s="32" t="inlineStr">
        <is>
          <t>KOSDAQ</t>
        </is>
      </c>
      <c r="F152" s="32" t="inlineStr">
        <is>
          <t>장비</t>
        </is>
      </c>
      <c r="G152" s="32" t="inlineStr">
        <is>
          <t>장비</t>
        </is>
      </c>
      <c r="H152" s="32" t="inlineStr">
        <is>
          <t>False</t>
        </is>
      </c>
      <c r="I152" s="32" t="inlineStr">
        <is>
          <t>True</t>
        </is>
      </c>
      <c r="J152" s="32" t="inlineStr">
        <is>
          <t>OK</t>
        </is>
      </c>
      <c r="K152" s="32" t="inlineStr">
        <is>
          <t>데이터 사용 가능</t>
        </is>
      </c>
      <c r="L152" s="32" t="inlineStr">
        <is>
          <t>LOW</t>
        </is>
      </c>
      <c r="M152" s="32" t="inlineStr">
        <is>
          <t>LOW</t>
        </is>
      </c>
      <c r="N152" s="32" t="inlineStr">
        <is>
          <t>0.6874666666666667</t>
        </is>
      </c>
      <c r="O152" s="32" t="inlineStr">
        <is>
          <t>ATTRACTIVE</t>
        </is>
      </c>
      <c r="P152" s="32" t="inlineStr">
        <is>
          <t>가치 매력</t>
        </is>
      </c>
      <c r="Q152" s="32" t="inlineStr">
        <is>
          <t>ATTRACTIVE</t>
        </is>
      </c>
      <c r="R152" s="32" t="inlineStr">
        <is>
          <t>0.9250659167833418</t>
        </is>
      </c>
      <c r="S152" s="32" t="inlineStr">
        <is>
          <t>HIGH</t>
        </is>
      </c>
      <c r="T152" s="32" t="inlineStr">
        <is>
          <t>HIGH</t>
        </is>
      </c>
      <c r="U152" s="32" t="inlineStr">
        <is>
          <t>0.0</t>
        </is>
      </c>
      <c r="V152" s="32" t="inlineStr">
        <is>
          <t>LOW_RISK</t>
        </is>
      </c>
      <c r="W152" s="32" t="inlineStr">
        <is>
          <t>저위험</t>
        </is>
      </c>
      <c r="X152" s="32" t="inlineStr">
        <is>
          <t>LOW_RISK</t>
        </is>
      </c>
      <c r="Y152" s="32" t="inlineStr">
        <is>
          <t>0.7848826000183735</t>
        </is>
      </c>
      <c r="Z152" s="32" t="inlineStr">
        <is>
          <t>HIGH</t>
        </is>
      </c>
      <c r="AA152" s="32" t="inlineStr">
        <is>
          <t>HIGH</t>
        </is>
      </c>
      <c r="AB152" s="32" t="inlineStr">
        <is>
          <t>0.02320770424808947</t>
        </is>
      </c>
      <c r="AC152" s="32" t="inlineStr">
        <is>
          <t>False</t>
        </is>
      </c>
      <c r="AD152" s="32" t="inlineStr">
        <is>
          <t>False</t>
        </is>
      </c>
      <c r="AE152" s="32" t="inlineStr">
        <is>
          <t>valuation_credit_ml_overlay_candidate.csv</t>
        </is>
      </c>
      <c r="AF152" s="32" t="inlineStr">
        <is>
          <t>208개 반도체 reference universe. Valuation Agent가 자체 intake 폴더로 복제해 Peer/ML/대시보드 비교에 사용.</t>
        </is>
      </c>
    </row>
    <row r="153" ht="24" customHeight="1">
      <c r="A153" s="27" t="inlineStr">
        <is>
          <t>105</t>
        </is>
      </c>
      <c r="B153" s="27" t="inlineStr">
        <is>
          <t>해당 없음</t>
        </is>
      </c>
      <c r="C153" s="27" t="inlineStr">
        <is>
          <t>유니퀘스트</t>
        </is>
      </c>
      <c r="D153" s="27" t="inlineStr">
        <is>
          <t>077500</t>
        </is>
      </c>
      <c r="E153" s="27" t="inlineStr">
        <is>
          <t>KOSPI</t>
        </is>
      </c>
      <c r="F153" s="27" t="inlineStr">
        <is>
          <t>장비</t>
        </is>
      </c>
      <c r="G153" s="27" t="inlineStr">
        <is>
          <t>장비</t>
        </is>
      </c>
      <c r="H153" s="27" t="inlineStr">
        <is>
          <t>False</t>
        </is>
      </c>
      <c r="I153" s="27" t="inlineStr">
        <is>
          <t>True</t>
        </is>
      </c>
      <c r="J153" s="27" t="inlineStr">
        <is>
          <t>OK</t>
        </is>
      </c>
      <c r="K153" s="27" t="inlineStr">
        <is>
          <t>데이터 사용 가능</t>
        </is>
      </c>
      <c r="L153" s="27" t="inlineStr">
        <is>
          <t>LOW</t>
        </is>
      </c>
      <c r="M153" s="27" t="inlineStr">
        <is>
          <t>LOW</t>
        </is>
      </c>
      <c r="N153" s="27" t="inlineStr">
        <is>
          <t>0.6784</t>
        </is>
      </c>
      <c r="O153" s="27" t="inlineStr">
        <is>
          <t>ATTRACTIVE</t>
        </is>
      </c>
      <c r="P153" s="27" t="inlineStr">
        <is>
          <t>가치 매력</t>
        </is>
      </c>
      <c r="Q153" s="27" t="inlineStr">
        <is>
          <t>ATTRACTIVE</t>
        </is>
      </c>
      <c r="R153" s="27" t="inlineStr">
        <is>
          <t>0.8881603628406226</t>
        </is>
      </c>
      <c r="S153" s="27" t="inlineStr">
        <is>
          <t>HIGH</t>
        </is>
      </c>
      <c r="T153" s="27" t="inlineStr">
        <is>
          <t>HIGH</t>
        </is>
      </c>
      <c r="U153" s="27" t="inlineStr">
        <is>
          <t>0.0</t>
        </is>
      </c>
      <c r="V153" s="27" t="inlineStr">
        <is>
          <t>LOW_RISK</t>
        </is>
      </c>
      <c r="W153" s="27" t="inlineStr">
        <is>
          <t>저위험</t>
        </is>
      </c>
      <c r="X153" s="27" t="inlineStr">
        <is>
          <t>LOW_RISK</t>
        </is>
      </c>
      <c r="Y153" s="27" t="inlineStr">
        <is>
          <t>0.8138676885332061</t>
        </is>
      </c>
      <c r="Z153" s="27" t="inlineStr">
        <is>
          <t>HIGH</t>
        </is>
      </c>
      <c r="AA153" s="27" t="inlineStr">
        <is>
          <t>HIGH</t>
        </is>
      </c>
      <c r="AB153" s="27" t="inlineStr">
        <is>
          <t>0.042139285734196785</t>
        </is>
      </c>
      <c r="AC153" s="27" t="inlineStr">
        <is>
          <t>False</t>
        </is>
      </c>
      <c r="AD153" s="27" t="inlineStr">
        <is>
          <t>False</t>
        </is>
      </c>
      <c r="AE153" s="27" t="inlineStr">
        <is>
          <t>valuation_credit_ml_overlay_candidate.csv</t>
        </is>
      </c>
      <c r="AF153" s="27" t="inlineStr">
        <is>
          <t>208개 반도체 reference universe. Valuation Agent가 자체 intake 폴더로 복제해 Peer/ML/대시보드 비교에 사용.</t>
        </is>
      </c>
    </row>
    <row r="154" ht="24" customHeight="1">
      <c r="A154" s="32" t="inlineStr">
        <is>
          <t>123</t>
        </is>
      </c>
      <c r="B154" s="32" t="inlineStr">
        <is>
          <t>해당 없음</t>
        </is>
      </c>
      <c r="C154" s="32" t="inlineStr">
        <is>
          <t>한솔아이원스</t>
        </is>
      </c>
      <c r="D154" s="32" t="inlineStr">
        <is>
          <t>114810</t>
        </is>
      </c>
      <c r="E154" s="32" t="inlineStr">
        <is>
          <t>KOSDAQ</t>
        </is>
      </c>
      <c r="F154" s="32" t="inlineStr">
        <is>
          <t>장비</t>
        </is>
      </c>
      <c r="G154" s="32" t="inlineStr">
        <is>
          <t>장비</t>
        </is>
      </c>
      <c r="H154" s="32" t="inlineStr">
        <is>
          <t>False</t>
        </is>
      </c>
      <c r="I154" s="32" t="inlineStr">
        <is>
          <t>True</t>
        </is>
      </c>
      <c r="J154" s="32" t="inlineStr">
        <is>
          <t>OK</t>
        </is>
      </c>
      <c r="K154" s="32" t="inlineStr">
        <is>
          <t>데이터 사용 가능</t>
        </is>
      </c>
      <c r="L154" s="32" t="inlineStr">
        <is>
          <t>LOW</t>
        </is>
      </c>
      <c r="M154" s="32" t="inlineStr">
        <is>
          <t>LOW</t>
        </is>
      </c>
      <c r="N154" s="32" t="inlineStr">
        <is>
          <t>0.6648</t>
        </is>
      </c>
      <c r="O154" s="32" t="inlineStr">
        <is>
          <t>ATTRACTIVE</t>
        </is>
      </c>
      <c r="P154" s="32" t="inlineStr">
        <is>
          <t>가치 매력</t>
        </is>
      </c>
      <c r="Q154" s="32" t="inlineStr">
        <is>
          <t>ATTRACTIVE</t>
        </is>
      </c>
      <c r="R154" s="32" t="inlineStr">
        <is>
          <t>0.9031428820161691</t>
        </is>
      </c>
      <c r="S154" s="32" t="inlineStr">
        <is>
          <t>HIGH</t>
        </is>
      </c>
      <c r="T154" s="32" t="inlineStr">
        <is>
          <t>HIGH</t>
        </is>
      </c>
      <c r="U154" s="32" t="inlineStr">
        <is>
          <t>0.1428571428571428</t>
        </is>
      </c>
      <c r="V154" s="32" t="inlineStr">
        <is>
          <t>LOW_RISK</t>
        </is>
      </c>
      <c r="W154" s="32" t="inlineStr">
        <is>
          <t>저위험</t>
        </is>
      </c>
      <c r="X154" s="32" t="inlineStr">
        <is>
          <t>LOW_RISK</t>
        </is>
      </c>
      <c r="Y154" s="32" t="inlineStr">
        <is>
          <t>0.8626763542915618</t>
        </is>
      </c>
      <c r="Z154" s="32" t="inlineStr">
        <is>
          <t>HIGH</t>
        </is>
      </c>
      <c r="AA154" s="32" t="inlineStr">
        <is>
          <t>HIGH</t>
        </is>
      </c>
      <c r="AB154" s="32" t="inlineStr">
        <is>
          <t>0.040357003305963514</t>
        </is>
      </c>
      <c r="AC154" s="32" t="inlineStr">
        <is>
          <t>False</t>
        </is>
      </c>
      <c r="AD154" s="32" t="inlineStr">
        <is>
          <t>False</t>
        </is>
      </c>
      <c r="AE154" s="32" t="inlineStr">
        <is>
          <t>valuation_credit_ml_overlay_candidate.csv</t>
        </is>
      </c>
      <c r="AF154" s="32" t="inlineStr">
        <is>
          <t>208개 반도체 reference universe. Valuation Agent가 자체 intake 폴더로 복제해 Peer/ML/대시보드 비교에 사용.</t>
        </is>
      </c>
    </row>
    <row r="155" ht="24" customHeight="1">
      <c r="A155" s="27" t="inlineStr">
        <is>
          <t>74</t>
        </is>
      </c>
      <c r="B155" s="27" t="inlineStr">
        <is>
          <t>해당 없음</t>
        </is>
      </c>
      <c r="C155" s="27" t="inlineStr">
        <is>
          <t>GST</t>
        </is>
      </c>
      <c r="D155" s="27" t="inlineStr">
        <is>
          <t>083450</t>
        </is>
      </c>
      <c r="E155" s="27" t="inlineStr">
        <is>
          <t>KOSDAQ</t>
        </is>
      </c>
      <c r="F155" s="27" t="inlineStr">
        <is>
          <t>장비</t>
        </is>
      </c>
      <c r="G155" s="27" t="inlineStr">
        <is>
          <t>장비</t>
        </is>
      </c>
      <c r="H155" s="27" t="inlineStr">
        <is>
          <t>False</t>
        </is>
      </c>
      <c r="I155" s="27" t="inlineStr">
        <is>
          <t>True</t>
        </is>
      </c>
      <c r="J155" s="27" t="inlineStr">
        <is>
          <t>OK</t>
        </is>
      </c>
      <c r="K155" s="27" t="inlineStr">
        <is>
          <t>데이터 사용 가능</t>
        </is>
      </c>
      <c r="L155" s="27" t="inlineStr">
        <is>
          <t>LOW</t>
        </is>
      </c>
      <c r="M155" s="27" t="inlineStr">
        <is>
          <t>LOW</t>
        </is>
      </c>
      <c r="N155" s="27" t="inlineStr">
        <is>
          <t>0.6474666666666666</t>
        </is>
      </c>
      <c r="O155" s="27" t="inlineStr">
        <is>
          <t>ATTRACTIVE</t>
        </is>
      </c>
      <c r="P155" s="27" t="inlineStr">
        <is>
          <t>가치 매력</t>
        </is>
      </c>
      <c r="Q155" s="27" t="inlineStr">
        <is>
          <t>ATTRACTIVE</t>
        </is>
      </c>
      <c r="R155" s="27" t="inlineStr">
        <is>
          <t>0.900491542853433</t>
        </is>
      </c>
      <c r="S155" s="27" t="inlineStr">
        <is>
          <t>HIGH</t>
        </is>
      </c>
      <c r="T155" s="27" t="inlineStr">
        <is>
          <t>HIGH</t>
        </is>
      </c>
      <c r="U155" s="27" t="inlineStr">
        <is>
          <t>0.0</t>
        </is>
      </c>
      <c r="V155" s="27" t="inlineStr">
        <is>
          <t>LOW_RISK</t>
        </is>
      </c>
      <c r="W155" s="27" t="inlineStr">
        <is>
          <t>저위험</t>
        </is>
      </c>
      <c r="X155" s="27" t="inlineStr">
        <is>
          <t>LOW_RISK</t>
        </is>
      </c>
      <c r="Y155" s="27" t="inlineStr">
        <is>
          <t>0.9914514013000448</t>
        </is>
      </c>
      <c r="Z155" s="27" t="inlineStr">
        <is>
          <t>HIGH</t>
        </is>
      </c>
      <c r="AA155" s="27" t="inlineStr">
        <is>
          <t>HIGH</t>
        </is>
      </c>
      <c r="AB155" s="27" t="inlineStr">
        <is>
          <t>0.030956097033645616</t>
        </is>
      </c>
      <c r="AC155" s="27" t="inlineStr">
        <is>
          <t>False</t>
        </is>
      </c>
      <c r="AD155" s="27" t="inlineStr">
        <is>
          <t>False</t>
        </is>
      </c>
      <c r="AE155" s="27" t="inlineStr">
        <is>
          <t>valuation_credit_ml_overlay_candidate.csv</t>
        </is>
      </c>
      <c r="AF155" s="27" t="inlineStr">
        <is>
          <t>208개 반도체 reference universe. Valuation Agent가 자체 intake 폴더로 복제해 Peer/ML/대시보드 비교에 사용.</t>
        </is>
      </c>
    </row>
    <row r="156" ht="24" customHeight="1">
      <c r="A156" s="32" t="inlineStr">
        <is>
          <t>117</t>
        </is>
      </c>
      <c r="B156" s="32" t="inlineStr">
        <is>
          <t>해당 없음</t>
        </is>
      </c>
      <c r="C156" s="32" t="inlineStr">
        <is>
          <t>티이엠씨씨엔에스</t>
        </is>
      </c>
      <c r="D156" s="32" t="inlineStr">
        <is>
          <t>241790</t>
        </is>
      </c>
      <c r="E156" s="32" t="inlineStr">
        <is>
          <t>KOSDAQ</t>
        </is>
      </c>
      <c r="F156" s="32" t="inlineStr">
        <is>
          <t>장비</t>
        </is>
      </c>
      <c r="G156" s="32" t="inlineStr">
        <is>
          <t>장비</t>
        </is>
      </c>
      <c r="H156" s="32" t="inlineStr">
        <is>
          <t>False</t>
        </is>
      </c>
      <c r="I156" s="32" t="inlineStr">
        <is>
          <t>True</t>
        </is>
      </c>
      <c r="J156" s="32" t="inlineStr">
        <is>
          <t>OK</t>
        </is>
      </c>
      <c r="K156" s="32" t="inlineStr">
        <is>
          <t>데이터 사용 가능</t>
        </is>
      </c>
      <c r="L156" s="32" t="inlineStr">
        <is>
          <t>LOW</t>
        </is>
      </c>
      <c r="M156" s="32" t="inlineStr">
        <is>
          <t>LOW</t>
        </is>
      </c>
      <c r="N156" s="32" t="inlineStr">
        <is>
          <t>0.6393333333333333</t>
        </is>
      </c>
      <c r="O156" s="32" t="inlineStr">
        <is>
          <t>ATTRACTIVE</t>
        </is>
      </c>
      <c r="P156" s="32" t="inlineStr">
        <is>
          <t>가치 매력</t>
        </is>
      </c>
      <c r="Q156" s="32" t="inlineStr">
        <is>
          <t>ATTRACTIVE</t>
        </is>
      </c>
      <c r="R156" s="32" t="inlineStr">
        <is>
          <t>0.8915695356337118</t>
        </is>
      </c>
      <c r="S156" s="32" t="inlineStr">
        <is>
          <t>HIGH</t>
        </is>
      </c>
      <c r="T156" s="32" t="inlineStr">
        <is>
          <t>HIGH</t>
        </is>
      </c>
      <c r="U156" s="32" t="inlineStr">
        <is>
          <t>0.0714285714285714</t>
        </is>
      </c>
      <c r="V156" s="32" t="inlineStr">
        <is>
          <t>LOW_RISK</t>
        </is>
      </c>
      <c r="W156" s="32" t="inlineStr">
        <is>
          <t>저위험</t>
        </is>
      </c>
      <c r="X156" s="32" t="inlineStr">
        <is>
          <t>LOW_RISK</t>
        </is>
      </c>
      <c r="Y156" s="32" t="inlineStr">
        <is>
          <t>0.8390932561788113</t>
        </is>
      </c>
      <c r="Z156" s="32" t="inlineStr">
        <is>
          <t>HIGH</t>
        </is>
      </c>
      <c r="AA156" s="32" t="inlineStr">
        <is>
          <t>HIGH</t>
        </is>
      </c>
      <c r="AB156" s="32" t="inlineStr">
        <is>
          <t>0.02833353868990863</t>
        </is>
      </c>
      <c r="AC156" s="32" t="inlineStr">
        <is>
          <t>False</t>
        </is>
      </c>
      <c r="AD156" s="32" t="inlineStr">
        <is>
          <t>False</t>
        </is>
      </c>
      <c r="AE156" s="32" t="inlineStr">
        <is>
          <t>valuation_credit_ml_overlay_candidate.csv</t>
        </is>
      </c>
      <c r="AF156" s="32" t="inlineStr">
        <is>
          <t>208개 반도체 reference universe. Valuation Agent가 자체 intake 폴더로 복제해 Peer/ML/대시보드 비교에 사용.</t>
        </is>
      </c>
    </row>
    <row r="157" ht="24" customHeight="1">
      <c r="A157" s="27" t="inlineStr">
        <is>
          <t>82</t>
        </is>
      </c>
      <c r="B157" s="27" t="inlineStr">
        <is>
          <t>해당 없음</t>
        </is>
      </c>
      <c r="C157" s="27" t="inlineStr">
        <is>
          <t>디아이티</t>
        </is>
      </c>
      <c r="D157" s="27" t="inlineStr">
        <is>
          <t>110990</t>
        </is>
      </c>
      <c r="E157" s="27" t="inlineStr">
        <is>
          <t>KOSDAQ</t>
        </is>
      </c>
      <c r="F157" s="27" t="inlineStr">
        <is>
          <t>장비</t>
        </is>
      </c>
      <c r="G157" s="27" t="inlineStr">
        <is>
          <t>장비</t>
        </is>
      </c>
      <c r="H157" s="27" t="inlineStr">
        <is>
          <t>False</t>
        </is>
      </c>
      <c r="I157" s="27" t="inlineStr">
        <is>
          <t>True</t>
        </is>
      </c>
      <c r="J157" s="27" t="inlineStr">
        <is>
          <t>OK</t>
        </is>
      </c>
      <c r="K157" s="27" t="inlineStr">
        <is>
          <t>데이터 사용 가능</t>
        </is>
      </c>
      <c r="L157" s="27" t="inlineStr">
        <is>
          <t>LOW</t>
        </is>
      </c>
      <c r="M157" s="27" t="inlineStr">
        <is>
          <t>LOW</t>
        </is>
      </c>
      <c r="N157" s="27" t="inlineStr">
        <is>
          <t>0.6341333333333333</t>
        </is>
      </c>
      <c r="O157" s="27" t="inlineStr">
        <is>
          <t>ATTRACTIVE</t>
        </is>
      </c>
      <c r="P157" s="27" t="inlineStr">
        <is>
          <t>가치 매력</t>
        </is>
      </c>
      <c r="Q157" s="27" t="inlineStr">
        <is>
          <t>ATTRACTIVE</t>
        </is>
      </c>
      <c r="R157" s="27" t="inlineStr">
        <is>
          <t>0.8847780199048246</t>
        </is>
      </c>
      <c r="S157" s="27" t="inlineStr">
        <is>
          <t>HIGH</t>
        </is>
      </c>
      <c r="T157" s="27" t="inlineStr">
        <is>
          <t>HIGH</t>
        </is>
      </c>
      <c r="U157" s="27" t="inlineStr">
        <is>
          <t>0.0</t>
        </is>
      </c>
      <c r="V157" s="27" t="inlineStr">
        <is>
          <t>LOW_RISK</t>
        </is>
      </c>
      <c r="W157" s="27" t="inlineStr">
        <is>
          <t>저위험</t>
        </is>
      </c>
      <c r="X157" s="27" t="inlineStr">
        <is>
          <t>LOW_RISK</t>
        </is>
      </c>
      <c r="Y157" s="27" t="inlineStr">
        <is>
          <t>0.9680387620928</t>
        </is>
      </c>
      <c r="Z157" s="27" t="inlineStr">
        <is>
          <t>HIGH</t>
        </is>
      </c>
      <c r="AA157" s="27" t="inlineStr">
        <is>
          <t>HIGH</t>
        </is>
      </c>
      <c r="AB157" s="27" t="inlineStr">
        <is>
          <t>0.10339551954594055</t>
        </is>
      </c>
      <c r="AC157" s="27" t="inlineStr">
        <is>
          <t>False</t>
        </is>
      </c>
      <c r="AD157" s="27" t="inlineStr">
        <is>
          <t>False</t>
        </is>
      </c>
      <c r="AE157" s="27" t="inlineStr">
        <is>
          <t>valuation_credit_ml_overlay_candidate.csv</t>
        </is>
      </c>
      <c r="AF157" s="27" t="inlineStr">
        <is>
          <t>208개 반도체 reference universe. Valuation Agent가 자체 intake 폴더로 복제해 Peer/ML/대시보드 비교에 사용.</t>
        </is>
      </c>
    </row>
    <row r="158" ht="24" customHeight="1">
      <c r="A158" s="32" t="inlineStr">
        <is>
          <t>113</t>
        </is>
      </c>
      <c r="B158" s="32" t="inlineStr">
        <is>
          <t>해당 없음</t>
        </is>
      </c>
      <c r="C158" s="32" t="inlineStr">
        <is>
          <t>케이씨텍</t>
        </is>
      </c>
      <c r="D158" s="32" t="inlineStr">
        <is>
          <t>281820</t>
        </is>
      </c>
      <c r="E158" s="32" t="inlineStr">
        <is>
          <t>KOSPI</t>
        </is>
      </c>
      <c r="F158" s="32" t="inlineStr">
        <is>
          <t>장비</t>
        </is>
      </c>
      <c r="G158" s="32" t="inlineStr">
        <is>
          <t>장비</t>
        </is>
      </c>
      <c r="H158" s="32" t="inlineStr">
        <is>
          <t>False</t>
        </is>
      </c>
      <c r="I158" s="32" t="inlineStr">
        <is>
          <t>True</t>
        </is>
      </c>
      <c r="J158" s="32" t="inlineStr">
        <is>
          <t>OK</t>
        </is>
      </c>
      <c r="K158" s="32" t="inlineStr">
        <is>
          <t>데이터 사용 가능</t>
        </is>
      </c>
      <c r="L158" s="32" t="inlineStr">
        <is>
          <t>LOW</t>
        </is>
      </c>
      <c r="M158" s="32" t="inlineStr">
        <is>
          <t>LOW</t>
        </is>
      </c>
      <c r="N158" s="32" t="inlineStr">
        <is>
          <t>0.6314666666666666</t>
        </is>
      </c>
      <c r="O158" s="32" t="inlineStr">
        <is>
          <t>ATTRACTIVE</t>
        </is>
      </c>
      <c r="P158" s="32" t="inlineStr">
        <is>
          <t>가치 매력</t>
        </is>
      </c>
      <c r="Q158" s="32" t="inlineStr">
        <is>
          <t>ATTRACTIVE</t>
        </is>
      </c>
      <c r="R158" s="32" t="inlineStr">
        <is>
          <t>0.8895261430914092</t>
        </is>
      </c>
      <c r="S158" s="32" t="inlineStr">
        <is>
          <t>HIGH</t>
        </is>
      </c>
      <c r="T158" s="32" t="inlineStr">
        <is>
          <t>HIGH</t>
        </is>
      </c>
      <c r="U158" s="32" t="inlineStr">
        <is>
          <t>0.0</t>
        </is>
      </c>
      <c r="V158" s="32" t="inlineStr">
        <is>
          <t>LOW_RISK</t>
        </is>
      </c>
      <c r="W158" s="32" t="inlineStr">
        <is>
          <t>저위험</t>
        </is>
      </c>
      <c r="X158" s="32" t="inlineStr">
        <is>
          <t>LOW_RISK</t>
        </is>
      </c>
      <c r="Y158" s="32" t="inlineStr">
        <is>
          <t>0.9840164809601727</t>
        </is>
      </c>
      <c r="Z158" s="32" t="inlineStr">
        <is>
          <t>HIGH</t>
        </is>
      </c>
      <c r="AA158" s="32" t="inlineStr">
        <is>
          <t>HIGH</t>
        </is>
      </c>
      <c r="AB158" s="32" t="inlineStr">
        <is>
          <t>0.08604596455969397</t>
        </is>
      </c>
      <c r="AC158" s="32" t="inlineStr">
        <is>
          <t>False</t>
        </is>
      </c>
      <c r="AD158" s="32" t="inlineStr">
        <is>
          <t>False</t>
        </is>
      </c>
      <c r="AE158" s="32" t="inlineStr">
        <is>
          <t>valuation_credit_ml_overlay_candidate.csv</t>
        </is>
      </c>
      <c r="AF158" s="32" t="inlineStr">
        <is>
          <t>208개 반도체 reference universe. Valuation Agent가 자체 intake 폴더로 복제해 Peer/ML/대시보드 비교에 사용.</t>
        </is>
      </c>
    </row>
    <row r="159" ht="24" customHeight="1">
      <c r="A159" s="27" t="inlineStr">
        <is>
          <t>85</t>
        </is>
      </c>
      <c r="B159" s="27" t="inlineStr">
        <is>
          <t>해당 없음</t>
        </is>
      </c>
      <c r="C159" s="27" t="inlineStr">
        <is>
          <t>로체시스템즈</t>
        </is>
      </c>
      <c r="D159" s="27" t="inlineStr">
        <is>
          <t>071280</t>
        </is>
      </c>
      <c r="E159" s="27" t="inlineStr">
        <is>
          <t>KOSDAQ</t>
        </is>
      </c>
      <c r="F159" s="27" t="inlineStr">
        <is>
          <t>장비</t>
        </is>
      </c>
      <c r="G159" s="27" t="inlineStr">
        <is>
          <t>장비</t>
        </is>
      </c>
      <c r="H159" s="27" t="inlineStr">
        <is>
          <t>False</t>
        </is>
      </c>
      <c r="I159" s="27" t="inlineStr">
        <is>
          <t>True</t>
        </is>
      </c>
      <c r="J159" s="27" t="inlineStr">
        <is>
          <t>OK</t>
        </is>
      </c>
      <c r="K159" s="27" t="inlineStr">
        <is>
          <t>데이터 사용 가능</t>
        </is>
      </c>
      <c r="L159" s="27" t="inlineStr">
        <is>
          <t>LOW</t>
        </is>
      </c>
      <c r="M159" s="27" t="inlineStr">
        <is>
          <t>LOW</t>
        </is>
      </c>
      <c r="N159" s="27" t="inlineStr">
        <is>
          <t>0.6258666666666667</t>
        </is>
      </c>
      <c r="O159" s="27" t="inlineStr">
        <is>
          <t>ATTRACTIVE</t>
        </is>
      </c>
      <c r="P159" s="27" t="inlineStr">
        <is>
          <t>가치 매력</t>
        </is>
      </c>
      <c r="Q159" s="27" t="inlineStr">
        <is>
          <t>ATTRACTIVE</t>
        </is>
      </c>
      <c r="R159" s="27" t="inlineStr">
        <is>
          <t>0.9642438845844894</t>
        </is>
      </c>
      <c r="S159" s="27" t="inlineStr">
        <is>
          <t>HIGH</t>
        </is>
      </c>
      <c r="T159" s="27" t="inlineStr">
        <is>
          <t>HIGH</t>
        </is>
      </c>
      <c r="U159" s="27" t="inlineStr">
        <is>
          <t>0.0714285714285714</t>
        </is>
      </c>
      <c r="V159" s="27" t="inlineStr">
        <is>
          <t>LOW_RISK</t>
        </is>
      </c>
      <c r="W159" s="27" t="inlineStr">
        <is>
          <t>저위험</t>
        </is>
      </c>
      <c r="X159" s="27" t="inlineStr">
        <is>
          <t>LOW_RISK</t>
        </is>
      </c>
      <c r="Y159" s="27" t="inlineStr">
        <is>
          <t>0.865361141095959</t>
        </is>
      </c>
      <c r="Z159" s="27" t="inlineStr">
        <is>
          <t>HIGH</t>
        </is>
      </c>
      <c r="AA159" s="27" t="inlineStr">
        <is>
          <t>HIGH</t>
        </is>
      </c>
      <c r="AB159" s="27" t="inlineStr">
        <is>
          <t>0.12835380231692475</t>
        </is>
      </c>
      <c r="AC159" s="27" t="inlineStr">
        <is>
          <t>False</t>
        </is>
      </c>
      <c r="AD159" s="27" t="inlineStr">
        <is>
          <t>False</t>
        </is>
      </c>
      <c r="AE159" s="27" t="inlineStr">
        <is>
          <t>valuation_credit_ml_overlay_candidate.csv</t>
        </is>
      </c>
      <c r="AF159" s="27" t="inlineStr">
        <is>
          <t>208개 반도체 reference universe. Valuation Agent가 자체 intake 폴더로 복제해 Peer/ML/대시보드 비교에 사용.</t>
        </is>
      </c>
    </row>
    <row r="160" ht="24" customHeight="1">
      <c r="A160" s="32" t="inlineStr">
        <is>
          <t>95</t>
        </is>
      </c>
      <c r="B160" s="32" t="inlineStr">
        <is>
          <t>해당 없음</t>
        </is>
      </c>
      <c r="C160" s="32" t="inlineStr">
        <is>
          <t>아이씨디</t>
        </is>
      </c>
      <c r="D160" s="32" t="inlineStr">
        <is>
          <t>040910</t>
        </is>
      </c>
      <c r="E160" s="32" t="inlineStr">
        <is>
          <t>KOSDAQ</t>
        </is>
      </c>
      <c r="F160" s="32" t="inlineStr">
        <is>
          <t>장비</t>
        </is>
      </c>
      <c r="G160" s="32" t="inlineStr">
        <is>
          <t>장비</t>
        </is>
      </c>
      <c r="H160" s="32" t="inlineStr">
        <is>
          <t>False</t>
        </is>
      </c>
      <c r="I160" s="32" t="inlineStr">
        <is>
          <t>True</t>
        </is>
      </c>
      <c r="J160" s="32" t="inlineStr">
        <is>
          <t>OK</t>
        </is>
      </c>
      <c r="K160" s="32" t="inlineStr">
        <is>
          <t>데이터 사용 가능</t>
        </is>
      </c>
      <c r="L160" s="32" t="inlineStr">
        <is>
          <t>LOW</t>
        </is>
      </c>
      <c r="M160" s="32" t="inlineStr">
        <is>
          <t>LOW</t>
        </is>
      </c>
      <c r="N160" s="32" t="inlineStr">
        <is>
          <t>0.6158666666666667</t>
        </is>
      </c>
      <c r="O160" s="32" t="inlineStr">
        <is>
          <t>FAIR</t>
        </is>
      </c>
      <c r="P160" s="32" t="inlineStr">
        <is>
          <t>FAIR</t>
        </is>
      </c>
      <c r="Q160" s="32" t="inlineStr">
        <is>
          <t>FAIR</t>
        </is>
      </c>
      <c r="R160" s="32" t="inlineStr">
        <is>
          <t>0.692546582663732</t>
        </is>
      </c>
      <c r="S160" s="32" t="inlineStr">
        <is>
          <t>MEDIUM</t>
        </is>
      </c>
      <c r="T160" s="32" t="inlineStr">
        <is>
          <t>MEDIUM</t>
        </is>
      </c>
      <c r="U160" s="32" t="inlineStr">
        <is>
          <t>0.0714285714285714</t>
        </is>
      </c>
      <c r="V160" s="32" t="inlineStr">
        <is>
          <t>LOW_RISK</t>
        </is>
      </c>
      <c r="W160" s="32" t="inlineStr">
        <is>
          <t>저위험</t>
        </is>
      </c>
      <c r="X160" s="32" t="inlineStr">
        <is>
          <t>LOW_RISK</t>
        </is>
      </c>
      <c r="Y160" s="32" t="inlineStr">
        <is>
          <t>0.44849044524296083</t>
        </is>
      </c>
      <c r="Z160" s="32" t="inlineStr">
        <is>
          <t>LOW</t>
        </is>
      </c>
      <c r="AA160" s="32" t="inlineStr">
        <is>
          <t>LOW</t>
        </is>
      </c>
      <c r="AB160" s="32" t="inlineStr">
        <is>
          <t>0.036739402266510075</t>
        </is>
      </c>
      <c r="AC160" s="32" t="inlineStr">
        <is>
          <t>False</t>
        </is>
      </c>
      <c r="AD160" s="32" t="inlineStr">
        <is>
          <t>True</t>
        </is>
      </c>
      <c r="AE160" s="32" t="inlineStr">
        <is>
          <t>valuation_credit_ml_overlay_candidate.csv</t>
        </is>
      </c>
      <c r="AF160" s="32" t="inlineStr">
        <is>
          <t>208개 반도체 reference universe. Valuation Agent가 자체 intake 폴더로 복제해 Peer/ML/대시보드 비교에 사용.</t>
        </is>
      </c>
    </row>
    <row r="161" ht="24" customHeight="1">
      <c r="A161" s="27" t="inlineStr">
        <is>
          <t>96</t>
        </is>
      </c>
      <c r="B161" s="27" t="inlineStr">
        <is>
          <t>해당 없음</t>
        </is>
      </c>
      <c r="C161" s="27" t="inlineStr">
        <is>
          <t>에스에프에이</t>
        </is>
      </c>
      <c r="D161" s="27" t="inlineStr">
        <is>
          <t>056190</t>
        </is>
      </c>
      <c r="E161" s="27" t="inlineStr">
        <is>
          <t>KOSDAQ GLOBAL</t>
        </is>
      </c>
      <c r="F161" s="27" t="inlineStr">
        <is>
          <t>장비</t>
        </is>
      </c>
      <c r="G161" s="27" t="inlineStr">
        <is>
          <t>장비</t>
        </is>
      </c>
      <c r="H161" s="27" t="inlineStr">
        <is>
          <t>False</t>
        </is>
      </c>
      <c r="I161" s="27" t="inlineStr">
        <is>
          <t>True</t>
        </is>
      </c>
      <c r="J161" s="27" t="inlineStr">
        <is>
          <t>OK</t>
        </is>
      </c>
      <c r="K161" s="27" t="inlineStr">
        <is>
          <t>데이터 사용 가능</t>
        </is>
      </c>
      <c r="L161" s="27" t="inlineStr">
        <is>
          <t>LOW</t>
        </is>
      </c>
      <c r="M161" s="27" t="inlineStr">
        <is>
          <t>LOW</t>
        </is>
      </c>
      <c r="N161" s="27" t="inlineStr">
        <is>
          <t>0.6098666666666667</t>
        </is>
      </c>
      <c r="O161" s="27" t="inlineStr">
        <is>
          <t>ATTRACTIVE</t>
        </is>
      </c>
      <c r="P161" s="27" t="inlineStr">
        <is>
          <t>가치 매력</t>
        </is>
      </c>
      <c r="Q161" s="27" t="inlineStr">
        <is>
          <t>ATTRACTIVE</t>
        </is>
      </c>
      <c r="R161" s="27" t="inlineStr">
        <is>
          <t>0.8690882589557657</t>
        </is>
      </c>
      <c r="S161" s="27" t="inlineStr">
        <is>
          <t>HIGH</t>
        </is>
      </c>
      <c r="T161" s="27" t="inlineStr">
        <is>
          <t>HIGH</t>
        </is>
      </c>
      <c r="U161" s="27" t="inlineStr">
        <is>
          <t>0.0</t>
        </is>
      </c>
      <c r="V161" s="27" t="inlineStr">
        <is>
          <t>LOW_RISK</t>
        </is>
      </c>
      <c r="W161" s="27" t="inlineStr">
        <is>
          <t>저위험</t>
        </is>
      </c>
      <c r="X161" s="27" t="inlineStr">
        <is>
          <t>LOW_RISK</t>
        </is>
      </c>
      <c r="Y161" s="27" t="inlineStr">
        <is>
          <t>0.9436125736629892</t>
        </is>
      </c>
      <c r="Z161" s="27" t="inlineStr">
        <is>
          <t>HIGH</t>
        </is>
      </c>
      <c r="AA161" s="27" t="inlineStr">
        <is>
          <t>HIGH</t>
        </is>
      </c>
      <c r="AB161" s="27" t="inlineStr">
        <is>
          <t>0.014784178233183152</t>
        </is>
      </c>
      <c r="AC161" s="27" t="inlineStr">
        <is>
          <t>False</t>
        </is>
      </c>
      <c r="AD161" s="27" t="inlineStr">
        <is>
          <t>False</t>
        </is>
      </c>
      <c r="AE161" s="27" t="inlineStr">
        <is>
          <t>valuation_credit_ml_overlay_candidate.csv</t>
        </is>
      </c>
      <c r="AF161" s="27" t="inlineStr">
        <is>
          <t>208개 반도체 reference universe. Valuation Agent가 자체 intake 폴더로 복제해 Peer/ML/대시보드 비교에 사용.</t>
        </is>
      </c>
    </row>
    <row r="162" ht="24" customHeight="1">
      <c r="A162" s="32" t="inlineStr">
        <is>
          <t>89</t>
        </is>
      </c>
      <c r="B162" s="32" t="inlineStr">
        <is>
          <t>해당 없음</t>
        </is>
      </c>
      <c r="C162" s="32" t="inlineStr">
        <is>
          <t>삼양엔씨켐</t>
        </is>
      </c>
      <c r="D162" s="32" t="inlineStr">
        <is>
          <t>482630</t>
        </is>
      </c>
      <c r="E162" s="32" t="inlineStr">
        <is>
          <t>KOSDAQ</t>
        </is>
      </c>
      <c r="F162" s="32" t="inlineStr">
        <is>
          <t>장비</t>
        </is>
      </c>
      <c r="G162" s="32" t="inlineStr">
        <is>
          <t>장비</t>
        </is>
      </c>
      <c r="H162" s="32" t="inlineStr">
        <is>
          <t>False</t>
        </is>
      </c>
      <c r="I162" s="32" t="inlineStr">
        <is>
          <t>True</t>
        </is>
      </c>
      <c r="J162" s="32" t="inlineStr">
        <is>
          <t>OK_LIMITED_HISTORY_OR_GROWTH_NA</t>
        </is>
      </c>
      <c r="K162" s="32" t="inlineStr">
        <is>
          <t>데이터 사용 가능</t>
        </is>
      </c>
      <c r="L162" s="32" t="inlineStr">
        <is>
          <t>LOW</t>
        </is>
      </c>
      <c r="M162" s="32" t="inlineStr">
        <is>
          <t>LOW</t>
        </is>
      </c>
      <c r="N162" s="32" t="inlineStr">
        <is>
          <t>0.5993333333333333</t>
        </is>
      </c>
      <c r="O162" s="32" t="inlineStr">
        <is>
          <t>ATTRACTIVE</t>
        </is>
      </c>
      <c r="P162" s="32" t="inlineStr">
        <is>
          <t>가치 매력</t>
        </is>
      </c>
      <c r="Q162" s="32" t="inlineStr">
        <is>
          <t>ATTRACTIVE</t>
        </is>
      </c>
      <c r="R162" s="32" t="inlineStr">
        <is>
          <t>0.6408467710997098</t>
        </is>
      </c>
      <c r="S162" s="32" t="inlineStr">
        <is>
          <t>MEDIUM</t>
        </is>
      </c>
      <c r="T162" s="32" t="inlineStr">
        <is>
          <t>MEDIUM</t>
        </is>
      </c>
      <c r="U162" s="32" t="inlineStr">
        <is>
          <t>0.0714285714285714</t>
        </is>
      </c>
      <c r="V162" s="32" t="inlineStr">
        <is>
          <t>LOW_RISK</t>
        </is>
      </c>
      <c r="W162" s="32" t="inlineStr">
        <is>
          <t>저위험</t>
        </is>
      </c>
      <c r="X162" s="32" t="inlineStr">
        <is>
          <t>LOW_RISK</t>
        </is>
      </c>
      <c r="Y162" s="32" t="inlineStr">
        <is>
          <t>0.9401160844253347</t>
        </is>
      </c>
      <c r="Z162" s="32" t="inlineStr">
        <is>
          <t>HIGH</t>
        </is>
      </c>
      <c r="AA162" s="32" t="inlineStr">
        <is>
          <t>HIGH</t>
        </is>
      </c>
      <c r="AB162" s="32" t="inlineStr">
        <is>
          <t>0.028901776832829695</t>
        </is>
      </c>
      <c r="AC162" s="32" t="inlineStr">
        <is>
          <t>False</t>
        </is>
      </c>
      <c r="AD162" s="32" t="inlineStr">
        <is>
          <t>True</t>
        </is>
      </c>
      <c r="AE162" s="32" t="inlineStr">
        <is>
          <t>valuation_credit_ml_overlay_candidate.csv</t>
        </is>
      </c>
      <c r="AF162" s="32" t="inlineStr">
        <is>
          <t>208개 반도체 reference universe. Valuation Agent가 자체 intake 폴더로 복제해 Peer/ML/대시보드 비교에 사용.</t>
        </is>
      </c>
    </row>
    <row r="163" ht="24" customHeight="1">
      <c r="A163" s="27" t="inlineStr">
        <is>
          <t>92</t>
        </is>
      </c>
      <c r="B163" s="27" t="inlineStr">
        <is>
          <t>해당 없음</t>
        </is>
      </c>
      <c r="C163" s="27" t="inlineStr">
        <is>
          <t>싸이맥스</t>
        </is>
      </c>
      <c r="D163" s="27" t="inlineStr">
        <is>
          <t>160980</t>
        </is>
      </c>
      <c r="E163" s="27" t="inlineStr">
        <is>
          <t>KOSDAQ</t>
        </is>
      </c>
      <c r="F163" s="27" t="inlineStr">
        <is>
          <t>장비</t>
        </is>
      </c>
      <c r="G163" s="27" t="inlineStr">
        <is>
          <t>장비</t>
        </is>
      </c>
      <c r="H163" s="27" t="inlineStr">
        <is>
          <t>False</t>
        </is>
      </c>
      <c r="I163" s="27" t="inlineStr">
        <is>
          <t>True</t>
        </is>
      </c>
      <c r="J163" s="27" t="inlineStr">
        <is>
          <t>OK</t>
        </is>
      </c>
      <c r="K163" s="27" t="inlineStr">
        <is>
          <t>데이터 사용 가능</t>
        </is>
      </c>
      <c r="L163" s="27" t="inlineStr">
        <is>
          <t>LOW</t>
        </is>
      </c>
      <c r="M163" s="27" t="inlineStr">
        <is>
          <t>LOW</t>
        </is>
      </c>
      <c r="N163" s="27" t="inlineStr">
        <is>
          <t>0.5961333333333334</t>
        </is>
      </c>
      <c r="O163" s="27" t="inlineStr">
        <is>
          <t>ATTRACTIVE</t>
        </is>
      </c>
      <c r="P163" s="27" t="inlineStr">
        <is>
          <t>가치 매력</t>
        </is>
      </c>
      <c r="Q163" s="27" t="inlineStr">
        <is>
          <t>ATTRACTIVE</t>
        </is>
      </c>
      <c r="R163" s="27" t="inlineStr">
        <is>
          <t>0.8128181122496774</t>
        </is>
      </c>
      <c r="S163" s="27" t="inlineStr">
        <is>
          <t>HIGH</t>
        </is>
      </c>
      <c r="T163" s="27" t="inlineStr">
        <is>
          <t>HIGH</t>
        </is>
      </c>
      <c r="U163" s="27" t="inlineStr">
        <is>
          <t>0.0</t>
        </is>
      </c>
      <c r="V163" s="27" t="inlineStr">
        <is>
          <t>LOW_RISK</t>
        </is>
      </c>
      <c r="W163" s="27" t="inlineStr">
        <is>
          <t>저위험</t>
        </is>
      </c>
      <c r="X163" s="27" t="inlineStr">
        <is>
          <t>LOW_RISK</t>
        </is>
      </c>
      <c r="Y163" s="27" t="inlineStr">
        <is>
          <t>0.9687749577011366</t>
        </is>
      </c>
      <c r="Z163" s="27" t="inlineStr">
        <is>
          <t>HIGH</t>
        </is>
      </c>
      <c r="AA163" s="27" t="inlineStr">
        <is>
          <t>HIGH</t>
        </is>
      </c>
      <c r="AB163" s="27" t="inlineStr">
        <is>
          <t>0.14360930410301745</t>
        </is>
      </c>
      <c r="AC163" s="27" t="inlineStr">
        <is>
          <t>False</t>
        </is>
      </c>
      <c r="AD163" s="27" t="inlineStr">
        <is>
          <t>False</t>
        </is>
      </c>
      <c r="AE163" s="27" t="inlineStr">
        <is>
          <t>valuation_credit_ml_overlay_candidate.csv</t>
        </is>
      </c>
      <c r="AF163" s="27" t="inlineStr">
        <is>
          <t>208개 반도체 reference universe. Valuation Agent가 자체 intake 폴더로 복제해 Peer/ML/대시보드 비교에 사용.</t>
        </is>
      </c>
    </row>
    <row r="164" ht="24" customHeight="1">
      <c r="A164" s="32" t="inlineStr">
        <is>
          <t>80</t>
        </is>
      </c>
      <c r="B164" s="32" t="inlineStr">
        <is>
          <t>해당 없음</t>
        </is>
      </c>
      <c r="C164" s="32" t="inlineStr">
        <is>
          <t>뉴파워프라즈마</t>
        </is>
      </c>
      <c r="D164" s="32" t="inlineStr">
        <is>
          <t>144960</t>
        </is>
      </c>
      <c r="E164" s="32" t="inlineStr">
        <is>
          <t>KOSDAQ</t>
        </is>
      </c>
      <c r="F164" s="32" t="inlineStr">
        <is>
          <t>장비</t>
        </is>
      </c>
      <c r="G164" s="32" t="inlineStr">
        <is>
          <t>장비</t>
        </is>
      </c>
      <c r="H164" s="32" t="inlineStr">
        <is>
          <t>False</t>
        </is>
      </c>
      <c r="I164" s="32" t="inlineStr">
        <is>
          <t>True</t>
        </is>
      </c>
      <c r="J164" s="32" t="inlineStr">
        <is>
          <t>OK</t>
        </is>
      </c>
      <c r="K164" s="32" t="inlineStr">
        <is>
          <t>데이터 사용 가능</t>
        </is>
      </c>
      <c r="L164" s="32" t="inlineStr">
        <is>
          <t>LOW</t>
        </is>
      </c>
      <c r="M164" s="32" t="inlineStr">
        <is>
          <t>LOW</t>
        </is>
      </c>
      <c r="N164" s="32" t="inlineStr">
        <is>
          <t>0.5749333333333334</t>
        </is>
      </c>
      <c r="O164" s="32" t="inlineStr">
        <is>
          <t>FAIR</t>
        </is>
      </c>
      <c r="P164" s="32" t="inlineStr">
        <is>
          <t>FAIR</t>
        </is>
      </c>
      <c r="Q164" s="32" t="inlineStr">
        <is>
          <t>FAIR</t>
        </is>
      </c>
      <c r="R164" s="32" t="inlineStr">
        <is>
          <t>0.868464354966477</t>
        </is>
      </c>
      <c r="S164" s="32" t="inlineStr">
        <is>
          <t>HIGH</t>
        </is>
      </c>
      <c r="T164" s="32" t="inlineStr">
        <is>
          <t>HIGH</t>
        </is>
      </c>
      <c r="U164" s="32" t="inlineStr">
        <is>
          <t>0.2142857142857142</t>
        </is>
      </c>
      <c r="V164" s="32" t="inlineStr">
        <is>
          <t>MEDIUM_RISK</t>
        </is>
      </c>
      <c r="W164" s="32" t="inlineStr">
        <is>
          <t>중위험</t>
        </is>
      </c>
      <c r="X164" s="32" t="inlineStr">
        <is>
          <t>MEDIUM_RISK</t>
        </is>
      </c>
      <c r="Y164" s="32" t="inlineStr">
        <is>
          <t>0.7046290499893975</t>
        </is>
      </c>
      <c r="Z164" s="32" t="inlineStr">
        <is>
          <t>HIGH</t>
        </is>
      </c>
      <c r="AA164" s="32" t="inlineStr">
        <is>
          <t>HIGH</t>
        </is>
      </c>
      <c r="AB164" s="32" t="inlineStr">
        <is>
          <t>0.04196333332906741</t>
        </is>
      </c>
      <c r="AC164" s="32" t="inlineStr">
        <is>
          <t>False</t>
        </is>
      </c>
      <c r="AD164" s="32" t="inlineStr">
        <is>
          <t>False</t>
        </is>
      </c>
      <c r="AE164" s="32" t="inlineStr">
        <is>
          <t>valuation_credit_ml_overlay_candidate.csv</t>
        </is>
      </c>
      <c r="AF164" s="32" t="inlineStr">
        <is>
          <t>208개 반도체 reference universe. Valuation Agent가 자체 intake 폴더로 복제해 Peer/ML/대시보드 비교에 사용.</t>
        </is>
      </c>
    </row>
    <row r="165" ht="24" customHeight="1">
      <c r="A165" s="27" t="inlineStr">
        <is>
          <t>107</t>
        </is>
      </c>
      <c r="B165" s="27" t="inlineStr">
        <is>
          <t>해당 없음</t>
        </is>
      </c>
      <c r="C165" s="27" t="inlineStr">
        <is>
          <t>이엘씨</t>
        </is>
      </c>
      <c r="D165" s="27" t="inlineStr">
        <is>
          <t>041520</t>
        </is>
      </c>
      <c r="E165" s="27" t="inlineStr">
        <is>
          <t>KOSDAQ</t>
        </is>
      </c>
      <c r="F165" s="27" t="inlineStr">
        <is>
          <t>장비</t>
        </is>
      </c>
      <c r="G165" s="27" t="inlineStr">
        <is>
          <t>장비</t>
        </is>
      </c>
      <c r="H165" s="27" t="inlineStr">
        <is>
          <t>False</t>
        </is>
      </c>
      <c r="I165" s="27" t="inlineStr">
        <is>
          <t>True</t>
        </is>
      </c>
      <c r="J165" s="27" t="inlineStr">
        <is>
          <t>OK</t>
        </is>
      </c>
      <c r="K165" s="27" t="inlineStr">
        <is>
          <t>데이터 사용 가능</t>
        </is>
      </c>
      <c r="L165" s="27" t="inlineStr">
        <is>
          <t>LOW</t>
        </is>
      </c>
      <c r="M165" s="27" t="inlineStr">
        <is>
          <t>LOW</t>
        </is>
      </c>
      <c r="N165" s="27" t="inlineStr">
        <is>
          <t>0.5722</t>
        </is>
      </c>
      <c r="O165" s="27" t="inlineStr">
        <is>
          <t>FAIR</t>
        </is>
      </c>
      <c r="P165" s="27" t="inlineStr">
        <is>
          <t>FAIR</t>
        </is>
      </c>
      <c r="Q165" s="27" t="inlineStr">
        <is>
          <t>FAIR</t>
        </is>
      </c>
      <c r="R165" s="27" t="inlineStr">
        <is>
          <t>0.7059172837936919</t>
        </is>
      </c>
      <c r="S165" s="27" t="inlineStr">
        <is>
          <t>HIGH</t>
        </is>
      </c>
      <c r="T165" s="27" t="inlineStr">
        <is>
          <t>HIGH</t>
        </is>
      </c>
      <c r="U165" s="27" t="inlineStr">
        <is>
          <t>0.3571428571428571</t>
        </is>
      </c>
      <c r="V165" s="27" t="inlineStr">
        <is>
          <t>MEDIUM_RISK</t>
        </is>
      </c>
      <c r="W165" s="27" t="inlineStr">
        <is>
          <t>중위험</t>
        </is>
      </c>
      <c r="X165" s="27" t="inlineStr">
        <is>
          <t>MEDIUM_RISK</t>
        </is>
      </c>
      <c r="Y165" s="27" t="inlineStr">
        <is>
          <t>0.6140431256310129</t>
        </is>
      </c>
      <c r="Z165" s="27" t="inlineStr">
        <is>
          <t>MEDIUM</t>
        </is>
      </c>
      <c r="AA165" s="27" t="inlineStr">
        <is>
          <t>MEDIUM</t>
        </is>
      </c>
      <c r="AB165" s="27" t="inlineStr">
        <is>
          <t>0.48123065048868763</t>
        </is>
      </c>
      <c r="AC165" s="27" t="inlineStr">
        <is>
          <t>True</t>
        </is>
      </c>
      <c r="AD165" s="27" t="inlineStr">
        <is>
          <t>True</t>
        </is>
      </c>
      <c r="AE165" s="27" t="inlineStr">
        <is>
          <t>valuation_credit_ml_overlay_candidate.csv</t>
        </is>
      </c>
      <c r="AF165" s="27" t="inlineStr">
        <is>
          <t>208개 반도체 reference universe. Valuation Agent가 자체 intake 폴더로 복제해 Peer/ML/대시보드 비교에 사용.</t>
        </is>
      </c>
    </row>
    <row r="166" ht="24" customHeight="1">
      <c r="A166" s="32" t="inlineStr">
        <is>
          <t>119</t>
        </is>
      </c>
      <c r="B166" s="32" t="inlineStr">
        <is>
          <t>해당 없음</t>
        </is>
      </c>
      <c r="C166" s="32" t="inlineStr">
        <is>
          <t>포인트엔지니어링</t>
        </is>
      </c>
      <c r="D166" s="32" t="inlineStr">
        <is>
          <t>256630</t>
        </is>
      </c>
      <c r="E166" s="32" t="inlineStr">
        <is>
          <t>KOSDAQ</t>
        </is>
      </c>
      <c r="F166" s="32" t="inlineStr">
        <is>
          <t>장비</t>
        </is>
      </c>
      <c r="G166" s="32" t="inlineStr">
        <is>
          <t>장비</t>
        </is>
      </c>
      <c r="H166" s="32" t="inlineStr">
        <is>
          <t>False</t>
        </is>
      </c>
      <c r="I166" s="32" t="inlineStr">
        <is>
          <t>True</t>
        </is>
      </c>
      <c r="J166" s="32" t="inlineStr">
        <is>
          <t>OK</t>
        </is>
      </c>
      <c r="K166" s="32" t="inlineStr">
        <is>
          <t>데이터 사용 가능</t>
        </is>
      </c>
      <c r="L166" s="32" t="inlineStr">
        <is>
          <t>LOW</t>
        </is>
      </c>
      <c r="M166" s="32" t="inlineStr">
        <is>
          <t>LOW</t>
        </is>
      </c>
      <c r="N166" s="32" t="inlineStr">
        <is>
          <t>0.5648666666666666</t>
        </is>
      </c>
      <c r="O166" s="32" t="inlineStr">
        <is>
          <t>FAIR</t>
        </is>
      </c>
      <c r="P166" s="32" t="inlineStr">
        <is>
          <t>FAIR</t>
        </is>
      </c>
      <c r="Q166" s="32" t="inlineStr">
        <is>
          <t>FAIR</t>
        </is>
      </c>
      <c r="R166" s="32" t="inlineStr">
        <is>
          <t>0.735270480034121</t>
        </is>
      </c>
      <c r="S166" s="32" t="inlineStr">
        <is>
          <t>HIGH</t>
        </is>
      </c>
      <c r="T166" s="32" t="inlineStr">
        <is>
          <t>HIGH</t>
        </is>
      </c>
      <c r="U166" s="32" t="inlineStr">
        <is>
          <t>0.1428571428571428</t>
        </is>
      </c>
      <c r="V166" s="32" t="inlineStr">
        <is>
          <t>LOW_RISK</t>
        </is>
      </c>
      <c r="W166" s="32" t="inlineStr">
        <is>
          <t>저위험</t>
        </is>
      </c>
      <c r="X166" s="32" t="inlineStr">
        <is>
          <t>LOW_RISK</t>
        </is>
      </c>
      <c r="Y166" s="32" t="inlineStr">
        <is>
          <t>0.46973098100913</t>
        </is>
      </c>
      <c r="Z166" s="32" t="inlineStr">
        <is>
          <t>LOW</t>
        </is>
      </c>
      <c r="AA166" s="32" t="inlineStr">
        <is>
          <t>LOW</t>
        </is>
      </c>
      <c r="AB166" s="32" t="inlineStr">
        <is>
          <t>0.13639895278143657</t>
        </is>
      </c>
      <c r="AC166" s="32" t="inlineStr">
        <is>
          <t>False</t>
        </is>
      </c>
      <c r="AD166" s="32" t="inlineStr">
        <is>
          <t>True</t>
        </is>
      </c>
      <c r="AE166" s="32" t="inlineStr">
        <is>
          <t>valuation_credit_ml_overlay_candidate.csv</t>
        </is>
      </c>
      <c r="AF166" s="32" t="inlineStr">
        <is>
          <t>208개 반도체 reference universe. Valuation Agent가 자체 intake 폴더로 복제해 Peer/ML/대시보드 비교에 사용.</t>
        </is>
      </c>
    </row>
    <row r="167" ht="24" customHeight="1">
      <c r="A167" s="27" t="inlineStr">
        <is>
          <t>116</t>
        </is>
      </c>
      <c r="B167" s="27" t="inlineStr">
        <is>
          <t>해당 없음</t>
        </is>
      </c>
      <c r="C167" s="27" t="inlineStr">
        <is>
          <t>테스</t>
        </is>
      </c>
      <c r="D167" s="27" t="inlineStr">
        <is>
          <t>095610</t>
        </is>
      </c>
      <c r="E167" s="27" t="inlineStr">
        <is>
          <t>KOSDAQ</t>
        </is>
      </c>
      <c r="F167" s="27" t="inlineStr">
        <is>
          <t>장비</t>
        </is>
      </c>
      <c r="G167" s="27" t="inlineStr">
        <is>
          <t>장비</t>
        </is>
      </c>
      <c r="H167" s="27" t="inlineStr">
        <is>
          <t>False</t>
        </is>
      </c>
      <c r="I167" s="27" t="inlineStr">
        <is>
          <t>True</t>
        </is>
      </c>
      <c r="J167" s="27" t="inlineStr">
        <is>
          <t>OK</t>
        </is>
      </c>
      <c r="K167" s="27" t="inlineStr">
        <is>
          <t>데이터 사용 가능</t>
        </is>
      </c>
      <c r="L167" s="27" t="inlineStr">
        <is>
          <t>LOW</t>
        </is>
      </c>
      <c r="M167" s="27" t="inlineStr">
        <is>
          <t>LOW</t>
        </is>
      </c>
      <c r="N167" s="27" t="inlineStr">
        <is>
          <t>0.5640000000000001</t>
        </is>
      </c>
      <c r="O167" s="27" t="inlineStr">
        <is>
          <t>FAIR</t>
        </is>
      </c>
      <c r="P167" s="27" t="inlineStr">
        <is>
          <t>FAIR</t>
        </is>
      </c>
      <c r="Q167" s="27" t="inlineStr">
        <is>
          <t>FAIR</t>
        </is>
      </c>
      <c r="R167" s="27" t="inlineStr">
        <is>
          <t>0.5083695341145091</t>
        </is>
      </c>
      <c r="S167" s="27" t="inlineStr">
        <is>
          <t>MEDIUM</t>
        </is>
      </c>
      <c r="T167" s="27" t="inlineStr">
        <is>
          <t>MEDIUM</t>
        </is>
      </c>
      <c r="U167" s="27" t="inlineStr">
        <is>
          <t>0.1428571428571428</t>
        </is>
      </c>
      <c r="V167" s="27" t="inlineStr">
        <is>
          <t>LOW_RISK</t>
        </is>
      </c>
      <c r="W167" s="27" t="inlineStr">
        <is>
          <t>저위험</t>
        </is>
      </c>
      <c r="X167" s="27" t="inlineStr">
        <is>
          <t>LOW_RISK</t>
        </is>
      </c>
      <c r="Y167" s="27" t="inlineStr">
        <is>
          <t>0.8915902677510841</t>
        </is>
      </c>
      <c r="Z167" s="27" t="inlineStr">
        <is>
          <t>HIGH</t>
        </is>
      </c>
      <c r="AA167" s="27" t="inlineStr">
        <is>
          <t>HIGH</t>
        </is>
      </c>
      <c r="AB167" s="27" t="inlineStr">
        <is>
          <t>0.04910195891941634</t>
        </is>
      </c>
      <c r="AC167" s="27" t="inlineStr">
        <is>
          <t>False</t>
        </is>
      </c>
      <c r="AD167" s="27" t="inlineStr">
        <is>
          <t>False</t>
        </is>
      </c>
      <c r="AE167" s="27" t="inlineStr">
        <is>
          <t>valuation_credit_ml_overlay_candidate.csv</t>
        </is>
      </c>
      <c r="AF167" s="27" t="inlineStr">
        <is>
          <t>208개 반도체 reference universe. Valuation Agent가 자체 intake 폴더로 복제해 Peer/ML/대시보드 비교에 사용.</t>
        </is>
      </c>
    </row>
    <row r="168" ht="24" customHeight="1">
      <c r="A168" s="32" t="inlineStr">
        <is>
          <t>104</t>
        </is>
      </c>
      <c r="B168" s="32" t="inlineStr">
        <is>
          <t>해당 없음</t>
        </is>
      </c>
      <c r="C168" s="32" t="inlineStr">
        <is>
          <t>유니셈</t>
        </is>
      </c>
      <c r="D168" s="32" t="inlineStr">
        <is>
          <t>036200</t>
        </is>
      </c>
      <c r="E168" s="32" t="inlineStr">
        <is>
          <t>KOSDAQ</t>
        </is>
      </c>
      <c r="F168" s="32" t="inlineStr">
        <is>
          <t>장비</t>
        </is>
      </c>
      <c r="G168" s="32" t="inlineStr">
        <is>
          <t>장비</t>
        </is>
      </c>
      <c r="H168" s="32" t="inlineStr">
        <is>
          <t>False</t>
        </is>
      </c>
      <c r="I168" s="32" t="inlineStr">
        <is>
          <t>True</t>
        </is>
      </c>
      <c r="J168" s="32" t="inlineStr">
        <is>
          <t>OK</t>
        </is>
      </c>
      <c r="K168" s="32" t="inlineStr">
        <is>
          <t>데이터 사용 가능</t>
        </is>
      </c>
      <c r="L168" s="32" t="inlineStr">
        <is>
          <t>LOW</t>
        </is>
      </c>
      <c r="M168" s="32" t="inlineStr">
        <is>
          <t>LOW</t>
        </is>
      </c>
      <c r="N168" s="32" t="inlineStr">
        <is>
          <t>0.5409333333333334</t>
        </is>
      </c>
      <c r="O168" s="32" t="inlineStr">
        <is>
          <t>FAIR</t>
        </is>
      </c>
      <c r="P168" s="32" t="inlineStr">
        <is>
          <t>FAIR</t>
        </is>
      </c>
      <c r="Q168" s="32" t="inlineStr">
        <is>
          <t>FAIR</t>
        </is>
      </c>
      <c r="R168" s="32" t="inlineStr">
        <is>
          <t>0.751305499027411</t>
        </is>
      </c>
      <c r="S168" s="32" t="inlineStr">
        <is>
          <t>HIGH</t>
        </is>
      </c>
      <c r="T168" s="32" t="inlineStr">
        <is>
          <t>HIGH</t>
        </is>
      </c>
      <c r="U168" s="32" t="inlineStr">
        <is>
          <t>0.2142857142857142</t>
        </is>
      </c>
      <c r="V168" s="32" t="inlineStr">
        <is>
          <t>MEDIUM_RISK</t>
        </is>
      </c>
      <c r="W168" s="32" t="inlineStr">
        <is>
          <t>중위험</t>
        </is>
      </c>
      <c r="X168" s="32" t="inlineStr">
        <is>
          <t>MEDIUM_RISK</t>
        </is>
      </c>
      <c r="Y168" s="32" t="inlineStr">
        <is>
          <t>0.7587275691055257</t>
        </is>
      </c>
      <c r="Z168" s="32" t="inlineStr">
        <is>
          <t>HIGH</t>
        </is>
      </c>
      <c r="AA168" s="32" t="inlineStr">
        <is>
          <t>HIGH</t>
        </is>
      </c>
      <c r="AB168" s="32" t="inlineStr">
        <is>
          <t>0.05351211711100475</t>
        </is>
      </c>
      <c r="AC168" s="32" t="inlineStr">
        <is>
          <t>False</t>
        </is>
      </c>
      <c r="AD168" s="32" t="inlineStr">
        <is>
          <t>False</t>
        </is>
      </c>
      <c r="AE168" s="32" t="inlineStr">
        <is>
          <t>valuation_credit_ml_overlay_candidate.csv</t>
        </is>
      </c>
      <c r="AF168" s="32" t="inlineStr">
        <is>
          <t>208개 반도체 reference universe. Valuation Agent가 자체 intake 폴더로 복제해 Peer/ML/대시보드 비교에 사용.</t>
        </is>
      </c>
    </row>
    <row r="169" ht="24" customHeight="1">
      <c r="A169" s="27" t="inlineStr">
        <is>
          <t>121</t>
        </is>
      </c>
      <c r="B169" s="27" t="inlineStr">
        <is>
          <t>해당 없음</t>
        </is>
      </c>
      <c r="C169" s="27" t="inlineStr">
        <is>
          <t>피에스케이홀딩스</t>
        </is>
      </c>
      <c r="D169" s="27" t="inlineStr">
        <is>
          <t>031980</t>
        </is>
      </c>
      <c r="E169" s="27" t="inlineStr">
        <is>
          <t>KOSDAQ</t>
        </is>
      </c>
      <c r="F169" s="27" t="inlineStr">
        <is>
          <t>장비</t>
        </is>
      </c>
      <c r="G169" s="27" t="inlineStr">
        <is>
          <t>장비</t>
        </is>
      </c>
      <c r="H169" s="27" t="inlineStr">
        <is>
          <t>False</t>
        </is>
      </c>
      <c r="I169" s="27" t="inlineStr">
        <is>
          <t>True</t>
        </is>
      </c>
      <c r="J169" s="27" t="inlineStr">
        <is>
          <t>OK</t>
        </is>
      </c>
      <c r="K169" s="27" t="inlineStr">
        <is>
          <t>데이터 사용 가능</t>
        </is>
      </c>
      <c r="L169" s="27" t="inlineStr">
        <is>
          <t>LOW</t>
        </is>
      </c>
      <c r="M169" s="27" t="inlineStr">
        <is>
          <t>LOW</t>
        </is>
      </c>
      <c r="N169" s="27" t="inlineStr">
        <is>
          <t>0.5385333333333334</t>
        </is>
      </c>
      <c r="O169" s="27" t="inlineStr">
        <is>
          <t>FAIR</t>
        </is>
      </c>
      <c r="P169" s="27" t="inlineStr">
        <is>
          <t>FAIR</t>
        </is>
      </c>
      <c r="Q169" s="27" t="inlineStr">
        <is>
          <t>FAIR</t>
        </is>
      </c>
      <c r="R169" s="27" t="inlineStr">
        <is>
          <t>0.7521125976897308</t>
        </is>
      </c>
      <c r="S169" s="27" t="inlineStr">
        <is>
          <t>HIGH</t>
        </is>
      </c>
      <c r="T169" s="27" t="inlineStr">
        <is>
          <t>HIGH</t>
        </is>
      </c>
      <c r="U169" s="27" t="inlineStr">
        <is>
          <t>0.0</t>
        </is>
      </c>
      <c r="V169" s="27" t="inlineStr">
        <is>
          <t>LOW_RISK</t>
        </is>
      </c>
      <c r="W169" s="27" t="inlineStr">
        <is>
          <t>저위험</t>
        </is>
      </c>
      <c r="X169" s="27" t="inlineStr">
        <is>
          <t>LOW_RISK</t>
        </is>
      </c>
      <c r="Y169" s="27" t="inlineStr">
        <is>
          <t>0.936112522374784</t>
        </is>
      </c>
      <c r="Z169" s="27" t="inlineStr">
        <is>
          <t>HIGH</t>
        </is>
      </c>
      <c r="AA169" s="27" t="inlineStr">
        <is>
          <t>HIGH</t>
        </is>
      </c>
      <c r="AB169" s="27" t="inlineStr">
        <is>
          <t>0.21000654030466528</t>
        </is>
      </c>
      <c r="AC169" s="27" t="inlineStr">
        <is>
          <t>False</t>
        </is>
      </c>
      <c r="AD169" s="27" t="inlineStr">
        <is>
          <t>False</t>
        </is>
      </c>
      <c r="AE169" s="27" t="inlineStr">
        <is>
          <t>valuation_credit_ml_overlay_candidate.csv</t>
        </is>
      </c>
      <c r="AF169" s="27" t="inlineStr">
        <is>
          <t>208개 반도체 reference universe. Valuation Agent가 자체 intake 폴더로 복제해 Peer/ML/대시보드 비교에 사용.</t>
        </is>
      </c>
    </row>
    <row r="170" ht="24" customHeight="1">
      <c r="A170" s="32" t="inlineStr">
        <is>
          <t>102</t>
        </is>
      </c>
      <c r="B170" s="32" t="inlineStr">
        <is>
          <t>해당 없음</t>
        </is>
      </c>
      <c r="C170" s="32" t="inlineStr">
        <is>
          <t>워트</t>
        </is>
      </c>
      <c r="D170" s="32" t="inlineStr">
        <is>
          <t>396470</t>
        </is>
      </c>
      <c r="E170" s="32" t="inlineStr">
        <is>
          <t>KOSDAQ</t>
        </is>
      </c>
      <c r="F170" s="32" t="inlineStr">
        <is>
          <t>장비</t>
        </is>
      </c>
      <c r="G170" s="32" t="inlineStr">
        <is>
          <t>장비</t>
        </is>
      </c>
      <c r="H170" s="32" t="inlineStr">
        <is>
          <t>False</t>
        </is>
      </c>
      <c r="I170" s="32" t="inlineStr">
        <is>
          <t>True</t>
        </is>
      </c>
      <c r="J170" s="32" t="inlineStr">
        <is>
          <t>OK_LIMITED_HISTORY_OR_GROWTH_NA</t>
        </is>
      </c>
      <c r="K170" s="32" t="inlineStr">
        <is>
          <t>데이터 사용 가능</t>
        </is>
      </c>
      <c r="L170" s="32" t="inlineStr">
        <is>
          <t>LOW</t>
        </is>
      </c>
      <c r="M170" s="32" t="inlineStr">
        <is>
          <t>LOW</t>
        </is>
      </c>
      <c r="N170" s="32" t="inlineStr">
        <is>
          <t>0.5384000000000001</t>
        </is>
      </c>
      <c r="O170" s="32" t="inlineStr">
        <is>
          <t>FAIR</t>
        </is>
      </c>
      <c r="P170" s="32" t="inlineStr">
        <is>
          <t>FAIR</t>
        </is>
      </c>
      <c r="Q170" s="32" t="inlineStr">
        <is>
          <t>FAIR</t>
        </is>
      </c>
      <c r="R170" s="32" t="inlineStr">
        <is>
          <t>0.6073344328439819</t>
        </is>
      </c>
      <c r="S170" s="32" t="inlineStr">
        <is>
          <t>MEDIUM</t>
        </is>
      </c>
      <c r="T170" s="32" t="inlineStr">
        <is>
          <t>MEDIUM</t>
        </is>
      </c>
      <c r="U170" s="32" t="inlineStr">
        <is>
          <t>0.0714285714285714</t>
        </is>
      </c>
      <c r="V170" s="32" t="inlineStr">
        <is>
          <t>LOW_RISK</t>
        </is>
      </c>
      <c r="W170" s="32" t="inlineStr">
        <is>
          <t>저위험</t>
        </is>
      </c>
      <c r="X170" s="32" t="inlineStr">
        <is>
          <t>LOW_RISK</t>
        </is>
      </c>
      <c r="Y170" s="32" t="inlineStr">
        <is>
          <t>0.8767524187887936</t>
        </is>
      </c>
      <c r="Z170" s="32" t="inlineStr">
        <is>
          <t>HIGH</t>
        </is>
      </c>
      <c r="AA170" s="32" t="inlineStr">
        <is>
          <t>HIGH</t>
        </is>
      </c>
      <c r="AB170" s="32" t="inlineStr">
        <is>
          <t>0.4537372664198796</t>
        </is>
      </c>
      <c r="AC170" s="32" t="inlineStr">
        <is>
          <t>True</t>
        </is>
      </c>
      <c r="AD170" s="32" t="inlineStr">
        <is>
          <t>True</t>
        </is>
      </c>
      <c r="AE170" s="32" t="inlineStr">
        <is>
          <t>valuation_credit_ml_overlay_candidate.csv</t>
        </is>
      </c>
      <c r="AF170" s="32" t="inlineStr">
        <is>
          <t>208개 반도체 reference universe. Valuation Agent가 자체 intake 폴더로 복제해 Peer/ML/대시보드 비교에 사용.</t>
        </is>
      </c>
    </row>
    <row r="171" ht="24" customHeight="1">
      <c r="A171" s="27" t="inlineStr">
        <is>
          <t>120</t>
        </is>
      </c>
      <c r="B171" s="27" t="inlineStr">
        <is>
          <t>해당 없음</t>
        </is>
      </c>
      <c r="C171" s="27" t="inlineStr">
        <is>
          <t>피에스케이</t>
        </is>
      </c>
      <c r="D171" s="27" t="inlineStr">
        <is>
          <t>319660</t>
        </is>
      </c>
      <c r="E171" s="27" t="inlineStr">
        <is>
          <t>KOSDAQ GLOBAL</t>
        </is>
      </c>
      <c r="F171" s="27" t="inlineStr">
        <is>
          <t>장비</t>
        </is>
      </c>
      <c r="G171" s="27" t="inlineStr">
        <is>
          <t>장비</t>
        </is>
      </c>
      <c r="H171" s="27" t="inlineStr">
        <is>
          <t>False</t>
        </is>
      </c>
      <c r="I171" s="27" t="inlineStr">
        <is>
          <t>True</t>
        </is>
      </c>
      <c r="J171" s="27" t="inlineStr">
        <is>
          <t>OK</t>
        </is>
      </c>
      <c r="K171" s="27" t="inlineStr">
        <is>
          <t>데이터 사용 가능</t>
        </is>
      </c>
      <c r="L171" s="27" t="inlineStr">
        <is>
          <t>LOW</t>
        </is>
      </c>
      <c r="M171" s="27" t="inlineStr">
        <is>
          <t>LOW</t>
        </is>
      </c>
      <c r="N171" s="27" t="inlineStr">
        <is>
          <t>0.5357333333333333</t>
        </is>
      </c>
      <c r="O171" s="27" t="inlineStr">
        <is>
          <t>FAIR</t>
        </is>
      </c>
      <c r="P171" s="27" t="inlineStr">
        <is>
          <t>FAIR</t>
        </is>
      </c>
      <c r="Q171" s="27" t="inlineStr">
        <is>
          <t>FAIR</t>
        </is>
      </c>
      <c r="R171" s="27" t="inlineStr">
        <is>
          <t>0.7072072873445469</t>
        </is>
      </c>
      <c r="S171" s="27" t="inlineStr">
        <is>
          <t>HIGH</t>
        </is>
      </c>
      <c r="T171" s="27" t="inlineStr">
        <is>
          <t>HIGH</t>
        </is>
      </c>
      <c r="U171" s="27" t="inlineStr">
        <is>
          <t>0.0</t>
        </is>
      </c>
      <c r="V171" s="27" t="inlineStr">
        <is>
          <t>LOW_RISK</t>
        </is>
      </c>
      <c r="W171" s="27" t="inlineStr">
        <is>
          <t>저위험</t>
        </is>
      </c>
      <c r="X171" s="27" t="inlineStr">
        <is>
          <t>LOW_RISK</t>
        </is>
      </c>
      <c r="Y171" s="27" t="inlineStr">
        <is>
          <t>0.9811059783961981</t>
        </is>
      </c>
      <c r="Z171" s="27" t="inlineStr">
        <is>
          <t>HIGH</t>
        </is>
      </c>
      <c r="AA171" s="27" t="inlineStr">
        <is>
          <t>HIGH</t>
        </is>
      </c>
      <c r="AB171" s="27" t="inlineStr">
        <is>
          <t>0.06486271422414225</t>
        </is>
      </c>
      <c r="AC171" s="27" t="inlineStr">
        <is>
          <t>False</t>
        </is>
      </c>
      <c r="AD171" s="27" t="inlineStr">
        <is>
          <t>False</t>
        </is>
      </c>
      <c r="AE171" s="27" t="inlineStr">
        <is>
          <t>valuation_credit_ml_overlay_candidate.csv</t>
        </is>
      </c>
      <c r="AF171" s="27" t="inlineStr">
        <is>
          <t>208개 반도체 reference universe. Valuation Agent가 자체 intake 폴더로 복제해 Peer/ML/대시보드 비교에 사용.</t>
        </is>
      </c>
    </row>
    <row r="172" ht="24" customHeight="1">
      <c r="A172" s="32" t="inlineStr">
        <is>
          <t>87</t>
        </is>
      </c>
      <c r="B172" s="32" t="inlineStr">
        <is>
          <t>해당 없음</t>
        </is>
      </c>
      <c r="C172" s="32" t="inlineStr">
        <is>
          <t>브이엠</t>
        </is>
      </c>
      <c r="D172" s="32" t="inlineStr">
        <is>
          <t>089970</t>
        </is>
      </c>
      <c r="E172" s="32" t="inlineStr">
        <is>
          <t>KOSDAQ</t>
        </is>
      </c>
      <c r="F172" s="32" t="inlineStr">
        <is>
          <t>장비</t>
        </is>
      </c>
      <c r="G172" s="32" t="inlineStr">
        <is>
          <t>장비</t>
        </is>
      </c>
      <c r="H172" s="32" t="inlineStr">
        <is>
          <t>False</t>
        </is>
      </c>
      <c r="I172" s="32" t="inlineStr">
        <is>
          <t>True</t>
        </is>
      </c>
      <c r="J172" s="32" t="inlineStr">
        <is>
          <t>OK</t>
        </is>
      </c>
      <c r="K172" s="32" t="inlineStr">
        <is>
          <t>데이터 사용 가능</t>
        </is>
      </c>
      <c r="L172" s="32" t="inlineStr">
        <is>
          <t>LOW</t>
        </is>
      </c>
      <c r="M172" s="32" t="inlineStr">
        <is>
          <t>LOW</t>
        </is>
      </c>
      <c r="N172" s="32" t="inlineStr">
        <is>
          <t>0.5204000000000001</t>
        </is>
      </c>
      <c r="O172" s="32" t="inlineStr">
        <is>
          <t>FAIR</t>
        </is>
      </c>
      <c r="P172" s="32" t="inlineStr">
        <is>
          <t>FAIR</t>
        </is>
      </c>
      <c r="Q172" s="32" t="inlineStr">
        <is>
          <t>FAIR</t>
        </is>
      </c>
      <c r="R172" s="32" t="inlineStr">
        <is>
          <t>0.737579554357605</t>
        </is>
      </c>
      <c r="S172" s="32" t="inlineStr">
        <is>
          <t>HIGH</t>
        </is>
      </c>
      <c r="T172" s="32" t="inlineStr">
        <is>
          <t>HIGH</t>
        </is>
      </c>
      <c r="U172" s="32" t="inlineStr">
        <is>
          <t>0.0</t>
        </is>
      </c>
      <c r="V172" s="32" t="inlineStr">
        <is>
          <t>LOW_RISK</t>
        </is>
      </c>
      <c r="W172" s="32" t="inlineStr">
        <is>
          <t>저위험</t>
        </is>
      </c>
      <c r="X172" s="32" t="inlineStr">
        <is>
          <t>LOW_RISK</t>
        </is>
      </c>
      <c r="Y172" s="32" t="inlineStr">
        <is>
          <t>0.9262131686985617</t>
        </is>
      </c>
      <c r="Z172" s="32" t="inlineStr">
        <is>
          <t>HIGH</t>
        </is>
      </c>
      <c r="AA172" s="32" t="inlineStr">
        <is>
          <t>HIGH</t>
        </is>
      </c>
      <c r="AB172" s="32" t="inlineStr">
        <is>
          <t>0.095895233286532</t>
        </is>
      </c>
      <c r="AC172" s="32" t="inlineStr">
        <is>
          <t>False</t>
        </is>
      </c>
      <c r="AD172" s="32" t="inlineStr">
        <is>
          <t>False</t>
        </is>
      </c>
      <c r="AE172" s="32" t="inlineStr">
        <is>
          <t>valuation_credit_ml_overlay_candidate.csv</t>
        </is>
      </c>
      <c r="AF172" s="32" t="inlineStr">
        <is>
          <t>208개 반도체 reference universe. Valuation Agent가 자체 intake 폴더로 복제해 Peer/ML/대시보드 비교에 사용.</t>
        </is>
      </c>
    </row>
    <row r="173" ht="24" customHeight="1">
      <c r="A173" s="27" t="inlineStr">
        <is>
          <t>114</t>
        </is>
      </c>
      <c r="B173" s="27" t="inlineStr">
        <is>
          <t>해당 없음</t>
        </is>
      </c>
      <c r="C173" s="27" t="inlineStr">
        <is>
          <t>코세스</t>
        </is>
      </c>
      <c r="D173" s="27" t="inlineStr">
        <is>
          <t>089890</t>
        </is>
      </c>
      <c r="E173" s="27" t="inlineStr">
        <is>
          <t>KOSDAQ</t>
        </is>
      </c>
      <c r="F173" s="27" t="inlineStr">
        <is>
          <t>장비</t>
        </is>
      </c>
      <c r="G173" s="27" t="inlineStr">
        <is>
          <t>장비</t>
        </is>
      </c>
      <c r="H173" s="27" t="inlineStr">
        <is>
          <t>False</t>
        </is>
      </c>
      <c r="I173" s="27" t="inlineStr">
        <is>
          <t>True</t>
        </is>
      </c>
      <c r="J173" s="27" t="inlineStr">
        <is>
          <t>OK</t>
        </is>
      </c>
      <c r="K173" s="27" t="inlineStr">
        <is>
          <t>데이터 사용 가능</t>
        </is>
      </c>
      <c r="L173" s="27" t="inlineStr">
        <is>
          <t>LOW</t>
        </is>
      </c>
      <c r="M173" s="27" t="inlineStr">
        <is>
          <t>LOW</t>
        </is>
      </c>
      <c r="N173" s="27" t="inlineStr">
        <is>
          <t>0.4978666666666667</t>
        </is>
      </c>
      <c r="O173" s="27" t="inlineStr">
        <is>
          <t>FAIR</t>
        </is>
      </c>
      <c r="P173" s="27" t="inlineStr">
        <is>
          <t>FAIR</t>
        </is>
      </c>
      <c r="Q173" s="27" t="inlineStr">
        <is>
          <t>FAIR</t>
        </is>
      </c>
      <c r="R173" s="27" t="inlineStr">
        <is>
          <t>0.7228094449358575</t>
        </is>
      </c>
      <c r="S173" s="27" t="inlineStr">
        <is>
          <t>HIGH</t>
        </is>
      </c>
      <c r="T173" s="27" t="inlineStr">
        <is>
          <t>HIGH</t>
        </is>
      </c>
      <c r="U173" s="27" t="inlineStr">
        <is>
          <t>0.0714285714285714</t>
        </is>
      </c>
      <c r="V173" s="27" t="inlineStr">
        <is>
          <t>LOW_RISK</t>
        </is>
      </c>
      <c r="W173" s="27" t="inlineStr">
        <is>
          <t>저위험</t>
        </is>
      </c>
      <c r="X173" s="27" t="inlineStr">
        <is>
          <t>LOW_RISK</t>
        </is>
      </c>
      <c r="Y173" s="27" t="inlineStr">
        <is>
          <t>0.7776657060311913</t>
        </is>
      </c>
      <c r="Z173" s="27" t="inlineStr">
        <is>
          <t>HIGH</t>
        </is>
      </c>
      <c r="AA173" s="27" t="inlineStr">
        <is>
          <t>HIGH</t>
        </is>
      </c>
      <c r="AB173" s="27" t="inlineStr">
        <is>
          <t>0.08712413247882898</t>
        </is>
      </c>
      <c r="AC173" s="27" t="inlineStr">
        <is>
          <t>False</t>
        </is>
      </c>
      <c r="AD173" s="27" t="inlineStr">
        <is>
          <t>False</t>
        </is>
      </c>
      <c r="AE173" s="27" t="inlineStr">
        <is>
          <t>valuation_credit_ml_overlay_candidate.csv</t>
        </is>
      </c>
      <c r="AF173" s="27" t="inlineStr">
        <is>
          <t>208개 반도체 reference universe. Valuation Agent가 자체 intake 폴더로 복제해 Peer/ML/대시보드 비교에 사용.</t>
        </is>
      </c>
    </row>
    <row r="174" ht="24" customHeight="1">
      <c r="A174" s="32" t="inlineStr">
        <is>
          <t>115</t>
        </is>
      </c>
      <c r="B174" s="32" t="inlineStr">
        <is>
          <t>해당 없음</t>
        </is>
      </c>
      <c r="C174" s="32" t="inlineStr">
        <is>
          <t>코스텍시스템</t>
        </is>
      </c>
      <c r="D174" s="32" t="inlineStr">
        <is>
          <t>169670</t>
        </is>
      </c>
      <c r="E174" s="32" t="inlineStr">
        <is>
          <t>KONEX</t>
        </is>
      </c>
      <c r="F174" s="32" t="inlineStr">
        <is>
          <t>장비</t>
        </is>
      </c>
      <c r="G174" s="32" t="inlineStr">
        <is>
          <t>장비</t>
        </is>
      </c>
      <c r="H174" s="32" t="inlineStr">
        <is>
          <t>False</t>
        </is>
      </c>
      <c r="I174" s="32" t="inlineStr">
        <is>
          <t>True</t>
        </is>
      </c>
      <c r="J174" s="32" t="inlineStr">
        <is>
          <t>NO_DART_FINANCIAL_DATA</t>
        </is>
      </c>
      <c r="K174" s="32" t="inlineStr">
        <is>
          <t>데이터 사용 가능</t>
        </is>
      </c>
      <c r="L174" s="32" t="inlineStr">
        <is>
          <t>HIGH</t>
        </is>
      </c>
      <c r="M174" s="32" t="inlineStr">
        <is>
          <t>HIGH</t>
        </is>
      </c>
      <c r="N174" s="32" t="inlineStr">
        <is>
          <t>0.4959999999999999</t>
        </is>
      </c>
      <c r="O174" s="32" t="inlineStr">
        <is>
          <t>FAIR</t>
        </is>
      </c>
      <c r="P174" s="32" t="inlineStr">
        <is>
          <t>FAIR</t>
        </is>
      </c>
      <c r="Q174" s="32" t="inlineStr">
        <is>
          <t>FAIR</t>
        </is>
      </c>
      <c r="R174" s="32" t="inlineStr">
        <is>
          <t>0.9640840061970892</t>
        </is>
      </c>
      <c r="S174" s="32" t="inlineStr">
        <is>
          <t>HIGH</t>
        </is>
      </c>
      <c r="T174" s="32" t="inlineStr">
        <is>
          <t>HIGH</t>
        </is>
      </c>
      <c r="U174" s="32" t="inlineStr">
        <is>
          <t>0.2142857142857142</t>
        </is>
      </c>
      <c r="V174" s="32" t="inlineStr">
        <is>
          <t>MEDIUM_RISK</t>
        </is>
      </c>
      <c r="W174" s="32" t="inlineStr">
        <is>
          <t>중위험</t>
        </is>
      </c>
      <c r="X174" s="32" t="inlineStr">
        <is>
          <t>MEDIUM_RISK</t>
        </is>
      </c>
      <c r="Y174" s="32" t="inlineStr">
        <is>
          <t>0.7627943410657042</t>
        </is>
      </c>
      <c r="Z174" s="32" t="inlineStr">
        <is>
          <t>HIGH</t>
        </is>
      </c>
      <c r="AA174" s="32" t="inlineStr">
        <is>
          <t>HIGH</t>
        </is>
      </c>
      <c r="AB174" s="32" t="inlineStr">
        <is>
          <t>0.1642174593956627</t>
        </is>
      </c>
      <c r="AC174" s="32" t="inlineStr">
        <is>
          <t>False</t>
        </is>
      </c>
      <c r="AD174" s="32" t="inlineStr">
        <is>
          <t>True</t>
        </is>
      </c>
      <c r="AE174" s="32" t="inlineStr">
        <is>
          <t>valuation_credit_ml_overlay_candidate.csv</t>
        </is>
      </c>
      <c r="AF174" s="32" t="inlineStr">
        <is>
          <t>208개 반도체 reference universe. Valuation Agent가 자체 intake 폴더로 복제해 Peer/ML/대시보드 비교에 사용.</t>
        </is>
      </c>
    </row>
    <row r="175" ht="24" customHeight="1">
      <c r="A175" s="27" t="inlineStr">
        <is>
          <t>75</t>
        </is>
      </c>
      <c r="B175" s="27" t="inlineStr">
        <is>
          <t>해당 없음</t>
        </is>
      </c>
      <c r="C175" s="27" t="inlineStr">
        <is>
          <t>HPSP</t>
        </is>
      </c>
      <c r="D175" s="27" t="inlineStr">
        <is>
          <t>403870</t>
        </is>
      </c>
      <c r="E175" s="27" t="inlineStr">
        <is>
          <t>KOSDAQ GLOBAL</t>
        </is>
      </c>
      <c r="F175" s="27" t="inlineStr">
        <is>
          <t>장비</t>
        </is>
      </c>
      <c r="G175" s="27" t="inlineStr">
        <is>
          <t>장비</t>
        </is>
      </c>
      <c r="H175" s="27" t="inlineStr">
        <is>
          <t>False</t>
        </is>
      </c>
      <c r="I175" s="27" t="inlineStr">
        <is>
          <t>True</t>
        </is>
      </c>
      <c r="J175" s="27" t="inlineStr">
        <is>
          <t>OK</t>
        </is>
      </c>
      <c r="K175" s="27" t="inlineStr">
        <is>
          <t>데이터 사용 가능</t>
        </is>
      </c>
      <c r="L175" s="27" t="inlineStr">
        <is>
          <t>LOW</t>
        </is>
      </c>
      <c r="M175" s="27" t="inlineStr">
        <is>
          <t>LOW</t>
        </is>
      </c>
      <c r="N175" s="27" t="inlineStr">
        <is>
          <t>0.4751999999999999</t>
        </is>
      </c>
      <c r="O175" s="27" t="inlineStr">
        <is>
          <t>FAIR</t>
        </is>
      </c>
      <c r="P175" s="27" t="inlineStr">
        <is>
          <t>FAIR</t>
        </is>
      </c>
      <c r="Q175" s="27" t="inlineStr">
        <is>
          <t>FAIR</t>
        </is>
      </c>
      <c r="R175" s="27" t="inlineStr">
        <is>
          <t>0.7108284021978194</t>
        </is>
      </c>
      <c r="S175" s="27" t="inlineStr">
        <is>
          <t>HIGH</t>
        </is>
      </c>
      <c r="T175" s="27" t="inlineStr">
        <is>
          <t>HIGH</t>
        </is>
      </c>
      <c r="U175" s="27" t="inlineStr">
        <is>
          <t>0.0</t>
        </is>
      </c>
      <c r="V175" s="27" t="inlineStr">
        <is>
          <t>LOW_RISK</t>
        </is>
      </c>
      <c r="W175" s="27" t="inlineStr">
        <is>
          <t>저위험</t>
        </is>
      </c>
      <c r="X175" s="27" t="inlineStr">
        <is>
          <t>LOW_RISK</t>
        </is>
      </c>
      <c r="Y175" s="27" t="inlineStr">
        <is>
          <t>0.9192147630692069</t>
        </is>
      </c>
      <c r="Z175" s="27" t="inlineStr">
        <is>
          <t>HIGH</t>
        </is>
      </c>
      <c r="AA175" s="27" t="inlineStr">
        <is>
          <t>HIGH</t>
        </is>
      </c>
      <c r="AB175" s="27" t="inlineStr">
        <is>
          <t>0.3306557234104388</t>
        </is>
      </c>
      <c r="AC175" s="27" t="inlineStr">
        <is>
          <t>True</t>
        </is>
      </c>
      <c r="AD175" s="27" t="inlineStr">
        <is>
          <t>True</t>
        </is>
      </c>
      <c r="AE175" s="27" t="inlineStr">
        <is>
          <t>valuation_credit_ml_overlay_candidate.csv</t>
        </is>
      </c>
      <c r="AF175" s="27" t="inlineStr">
        <is>
          <t>208개 반도체 reference universe. Valuation Agent가 자체 intake 폴더로 복제해 Peer/ML/대시보드 비교에 사용.</t>
        </is>
      </c>
    </row>
    <row r="176" ht="24" customHeight="1">
      <c r="A176" s="32" t="inlineStr">
        <is>
          <t>103</t>
        </is>
      </c>
      <c r="B176" s="32" t="inlineStr">
        <is>
          <t>해당 없음</t>
        </is>
      </c>
      <c r="C176" s="32" t="inlineStr">
        <is>
          <t>원익IPS</t>
        </is>
      </c>
      <c r="D176" s="32" t="inlineStr">
        <is>
          <t>240810</t>
        </is>
      </c>
      <c r="E176" s="32" t="inlineStr">
        <is>
          <t>KOSDAQ GLOBAL</t>
        </is>
      </c>
      <c r="F176" s="32" t="inlineStr">
        <is>
          <t>장비</t>
        </is>
      </c>
      <c r="G176" s="32" t="inlineStr">
        <is>
          <t>장비</t>
        </is>
      </c>
      <c r="H176" s="32" t="inlineStr">
        <is>
          <t>False</t>
        </is>
      </c>
      <c r="I176" s="32" t="inlineStr">
        <is>
          <t>True</t>
        </is>
      </c>
      <c r="J176" s="32" t="inlineStr">
        <is>
          <t>OK</t>
        </is>
      </c>
      <c r="K176" s="32" t="inlineStr">
        <is>
          <t>데이터 사용 가능</t>
        </is>
      </c>
      <c r="L176" s="32" t="inlineStr">
        <is>
          <t>LOW</t>
        </is>
      </c>
      <c r="M176" s="32" t="inlineStr">
        <is>
          <t>LOW</t>
        </is>
      </c>
      <c r="N176" s="32" t="inlineStr">
        <is>
          <t>0.4634666666666667</t>
        </is>
      </c>
      <c r="O176" s="32" t="inlineStr">
        <is>
          <t>FAIR</t>
        </is>
      </c>
      <c r="P176" s="32" t="inlineStr">
        <is>
          <t>FAIR</t>
        </is>
      </c>
      <c r="Q176" s="32" t="inlineStr">
        <is>
          <t>FAIR</t>
        </is>
      </c>
      <c r="R176" s="32" t="inlineStr">
        <is>
          <t>0.5727476694226805</t>
        </is>
      </c>
      <c r="S176" s="32" t="inlineStr">
        <is>
          <t>MEDIUM</t>
        </is>
      </c>
      <c r="T176" s="32" t="inlineStr">
        <is>
          <t>MEDIUM</t>
        </is>
      </c>
      <c r="U176" s="32" t="inlineStr">
        <is>
          <t>0.0714285714285714</t>
        </is>
      </c>
      <c r="V176" s="32" t="inlineStr">
        <is>
          <t>LOW_RISK</t>
        </is>
      </c>
      <c r="W176" s="32" t="inlineStr">
        <is>
          <t>저위험</t>
        </is>
      </c>
      <c r="X176" s="32" t="inlineStr">
        <is>
          <t>LOW_RISK</t>
        </is>
      </c>
      <c r="Y176" s="32" t="inlineStr">
        <is>
          <t>0.9598478437041975</t>
        </is>
      </c>
      <c r="Z176" s="32" t="inlineStr">
        <is>
          <t>HIGH</t>
        </is>
      </c>
      <c r="AA176" s="32" t="inlineStr">
        <is>
          <t>HIGH</t>
        </is>
      </c>
      <c r="AB176" s="32" t="inlineStr">
        <is>
          <t>0.08568837626660758</t>
        </is>
      </c>
      <c r="AC176" s="32" t="inlineStr">
        <is>
          <t>False</t>
        </is>
      </c>
      <c r="AD176" s="32" t="inlineStr">
        <is>
          <t>False</t>
        </is>
      </c>
      <c r="AE176" s="32" t="inlineStr">
        <is>
          <t>valuation_credit_ml_overlay_candidate.csv</t>
        </is>
      </c>
      <c r="AF176" s="32" t="inlineStr">
        <is>
          <t>208개 반도체 reference universe. Valuation Agent가 자체 intake 폴더로 복제해 Peer/ML/대시보드 비교에 사용.</t>
        </is>
      </c>
    </row>
    <row r="177" ht="24" customHeight="1">
      <c r="A177" s="27" t="inlineStr">
        <is>
          <t>118</t>
        </is>
      </c>
      <c r="B177" s="27" t="inlineStr">
        <is>
          <t>해당 없음</t>
        </is>
      </c>
      <c r="C177" s="27" t="inlineStr">
        <is>
          <t>파크시스템스</t>
        </is>
      </c>
      <c r="D177" s="27" t="inlineStr">
        <is>
          <t>140860</t>
        </is>
      </c>
      <c r="E177" s="27" t="inlineStr">
        <is>
          <t>KOSDAQ GLOBAL</t>
        </is>
      </c>
      <c r="F177" s="27" t="inlineStr">
        <is>
          <t>장비</t>
        </is>
      </c>
      <c r="G177" s="27" t="inlineStr">
        <is>
          <t>장비</t>
        </is>
      </c>
      <c r="H177" s="27" t="inlineStr">
        <is>
          <t>False</t>
        </is>
      </c>
      <c r="I177" s="27" t="inlineStr">
        <is>
          <t>True</t>
        </is>
      </c>
      <c r="J177" s="27" t="inlineStr">
        <is>
          <t>OK</t>
        </is>
      </c>
      <c r="K177" s="27" t="inlineStr">
        <is>
          <t>데이터 사용 가능</t>
        </is>
      </c>
      <c r="L177" s="27" t="inlineStr">
        <is>
          <t>LOW</t>
        </is>
      </c>
      <c r="M177" s="27" t="inlineStr">
        <is>
          <t>LOW</t>
        </is>
      </c>
      <c r="N177" s="27" t="inlineStr">
        <is>
          <t>0.4611999999999999</t>
        </is>
      </c>
      <c r="O177" s="27" t="inlineStr">
        <is>
          <t>FAIR</t>
        </is>
      </c>
      <c r="P177" s="27" t="inlineStr">
        <is>
          <t>FAIR</t>
        </is>
      </c>
      <c r="Q177" s="27" t="inlineStr">
        <is>
          <t>FAIR</t>
        </is>
      </c>
      <c r="R177" s="27" t="inlineStr">
        <is>
          <t>0.7158734205313764</t>
        </is>
      </c>
      <c r="S177" s="27" t="inlineStr">
        <is>
          <t>HIGH</t>
        </is>
      </c>
      <c r="T177" s="27" t="inlineStr">
        <is>
          <t>HIGH</t>
        </is>
      </c>
      <c r="U177" s="27" t="inlineStr">
        <is>
          <t>0.0714285714285714</t>
        </is>
      </c>
      <c r="V177" s="27" t="inlineStr">
        <is>
          <t>LOW_RISK</t>
        </is>
      </c>
      <c r="W177" s="27" t="inlineStr">
        <is>
          <t>저위험</t>
        </is>
      </c>
      <c r="X177" s="27" t="inlineStr">
        <is>
          <t>LOW_RISK</t>
        </is>
      </c>
      <c r="Y177" s="27" t="inlineStr">
        <is>
          <t>0.8562648725642331</t>
        </is>
      </c>
      <c r="Z177" s="27" t="inlineStr">
        <is>
          <t>HIGH</t>
        </is>
      </c>
      <c r="AA177" s="27" t="inlineStr">
        <is>
          <t>HIGH</t>
        </is>
      </c>
      <c r="AB177" s="27" t="inlineStr">
        <is>
          <t>0.038412769981702295</t>
        </is>
      </c>
      <c r="AC177" s="27" t="inlineStr">
        <is>
          <t>False</t>
        </is>
      </c>
      <c r="AD177" s="27" t="inlineStr">
        <is>
          <t>False</t>
        </is>
      </c>
      <c r="AE177" s="27" t="inlineStr">
        <is>
          <t>valuation_credit_ml_overlay_candidate.csv</t>
        </is>
      </c>
      <c r="AF177" s="27" t="inlineStr">
        <is>
          <t>208개 반도체 reference universe. Valuation Agent가 자체 intake 폴더로 복제해 Peer/ML/대시보드 비교에 사용.</t>
        </is>
      </c>
    </row>
    <row r="178" ht="24" customHeight="1">
      <c r="A178" s="32" t="inlineStr">
        <is>
          <t>90</t>
        </is>
      </c>
      <c r="B178" s="32" t="inlineStr">
        <is>
          <t>해당 없음</t>
        </is>
      </c>
      <c r="C178" s="32" t="inlineStr">
        <is>
          <t>서플러스글로벌</t>
        </is>
      </c>
      <c r="D178" s="32" t="inlineStr">
        <is>
          <t>140070</t>
        </is>
      </c>
      <c r="E178" s="32" t="inlineStr">
        <is>
          <t>KOSDAQ</t>
        </is>
      </c>
      <c r="F178" s="32" t="inlineStr">
        <is>
          <t>장비</t>
        </is>
      </c>
      <c r="G178" s="32" t="inlineStr">
        <is>
          <t>장비</t>
        </is>
      </c>
      <c r="H178" s="32" t="inlineStr">
        <is>
          <t>False</t>
        </is>
      </c>
      <c r="I178" s="32" t="inlineStr">
        <is>
          <t>True</t>
        </is>
      </c>
      <c r="J178" s="32" t="inlineStr">
        <is>
          <t>OK</t>
        </is>
      </c>
      <c r="K178" s="32" t="inlineStr">
        <is>
          <t>데이터 사용 가능</t>
        </is>
      </c>
      <c r="L178" s="32" t="inlineStr">
        <is>
          <t>LOW</t>
        </is>
      </c>
      <c r="M178" s="32" t="inlineStr">
        <is>
          <t>LOW</t>
        </is>
      </c>
      <c r="N178" s="32" t="inlineStr">
        <is>
          <t>0.4594666666666667</t>
        </is>
      </c>
      <c r="O178" s="32" t="inlineStr">
        <is>
          <t>FAIR</t>
        </is>
      </c>
      <c r="P178" s="32" t="inlineStr">
        <is>
          <t>FAIR</t>
        </is>
      </c>
      <c r="Q178" s="32" t="inlineStr">
        <is>
          <t>FAIR</t>
        </is>
      </c>
      <c r="R178" s="32" t="inlineStr">
        <is>
          <t>0.6515364241286621</t>
        </is>
      </c>
      <c r="S178" s="32" t="inlineStr">
        <is>
          <t>MEDIUM</t>
        </is>
      </c>
      <c r="T178" s="32" t="inlineStr">
        <is>
          <t>MEDIUM</t>
        </is>
      </c>
      <c r="U178" s="32" t="inlineStr">
        <is>
          <t>0.7142857142857143</t>
        </is>
      </c>
      <c r="V178" s="32" t="inlineStr">
        <is>
          <t>HIGH_RISK</t>
        </is>
      </c>
      <c r="W178" s="32" t="inlineStr">
        <is>
          <t>고위험</t>
        </is>
      </c>
      <c r="X178" s="32" t="inlineStr">
        <is>
          <t>HIGH_RISK</t>
        </is>
      </c>
      <c r="Y178" s="32" t="inlineStr">
        <is>
          <t>0.9338637410254204</t>
        </is>
      </c>
      <c r="Z178" s="32" t="inlineStr">
        <is>
          <t>HIGH</t>
        </is>
      </c>
      <c r="AA178" s="32" t="inlineStr">
        <is>
          <t>HIGH</t>
        </is>
      </c>
      <c r="AB178" s="32" t="inlineStr">
        <is>
          <t>0.11246105889395507</t>
        </is>
      </c>
      <c r="AC178" s="32" t="inlineStr">
        <is>
          <t>False</t>
        </is>
      </c>
      <c r="AD178" s="32" t="inlineStr">
        <is>
          <t>False</t>
        </is>
      </c>
      <c r="AE178" s="32" t="inlineStr">
        <is>
          <t>valuation_credit_ml_overlay_candidate.csv</t>
        </is>
      </c>
      <c r="AF178" s="32" t="inlineStr">
        <is>
          <t>208개 반도체 reference universe. Valuation Agent가 자체 intake 폴더로 복제해 Peer/ML/대시보드 비교에 사용.</t>
        </is>
      </c>
    </row>
    <row r="179" ht="24" customHeight="1">
      <c r="A179" s="27" t="inlineStr">
        <is>
          <t>97</t>
        </is>
      </c>
      <c r="B179" s="27" t="inlineStr">
        <is>
          <t>해당 없음</t>
        </is>
      </c>
      <c r="C179" s="27" t="inlineStr">
        <is>
          <t>에스티아이</t>
        </is>
      </c>
      <c r="D179" s="27" t="inlineStr">
        <is>
          <t>039440</t>
        </is>
      </c>
      <c r="E179" s="27" t="inlineStr">
        <is>
          <t>KOSDAQ</t>
        </is>
      </c>
      <c r="F179" s="27" t="inlineStr">
        <is>
          <t>장비</t>
        </is>
      </c>
      <c r="G179" s="27" t="inlineStr">
        <is>
          <t>장비</t>
        </is>
      </c>
      <c r="H179" s="27" t="inlineStr">
        <is>
          <t>False</t>
        </is>
      </c>
      <c r="I179" s="27" t="inlineStr">
        <is>
          <t>True</t>
        </is>
      </c>
      <c r="J179" s="27" t="inlineStr">
        <is>
          <t>OK</t>
        </is>
      </c>
      <c r="K179" s="27" t="inlineStr">
        <is>
          <t>데이터 사용 가능</t>
        </is>
      </c>
      <c r="L179" s="27" t="inlineStr">
        <is>
          <t>LOW</t>
        </is>
      </c>
      <c r="M179" s="27" t="inlineStr">
        <is>
          <t>LOW</t>
        </is>
      </c>
      <c r="N179" s="27" t="inlineStr">
        <is>
          <t>0.4549999999999999</t>
        </is>
      </c>
      <c r="O179" s="27" t="inlineStr">
        <is>
          <t>FAIR</t>
        </is>
      </c>
      <c r="P179" s="27" t="inlineStr">
        <is>
          <t>FAIR</t>
        </is>
      </c>
      <c r="Q179" s="27" t="inlineStr">
        <is>
          <t>FAIR</t>
        </is>
      </c>
      <c r="R179" s="27" t="inlineStr">
        <is>
          <t>0.53270990340385</t>
        </is>
      </c>
      <c r="S179" s="27" t="inlineStr">
        <is>
          <t>MEDIUM</t>
        </is>
      </c>
      <c r="T179" s="27" t="inlineStr">
        <is>
          <t>MEDIUM</t>
        </is>
      </c>
      <c r="U179" s="27" t="inlineStr">
        <is>
          <t>0.0</t>
        </is>
      </c>
      <c r="V179" s="27" t="inlineStr">
        <is>
          <t>LOW_RISK</t>
        </is>
      </c>
      <c r="W179" s="27" t="inlineStr">
        <is>
          <t>저위험</t>
        </is>
      </c>
      <c r="X179" s="27" t="inlineStr">
        <is>
          <t>LOW_RISK</t>
        </is>
      </c>
      <c r="Y179" s="27" t="inlineStr">
        <is>
          <t>0.911990788525375</t>
        </is>
      </c>
      <c r="Z179" s="27" t="inlineStr">
        <is>
          <t>HIGH</t>
        </is>
      </c>
      <c r="AA179" s="27" t="inlineStr">
        <is>
          <t>HIGH</t>
        </is>
      </c>
      <c r="AB179" s="27" t="inlineStr">
        <is>
          <t>0.012946139293246964</t>
        </is>
      </c>
      <c r="AC179" s="27" t="inlineStr">
        <is>
          <t>False</t>
        </is>
      </c>
      <c r="AD179" s="27" t="inlineStr">
        <is>
          <t>False</t>
        </is>
      </c>
      <c r="AE179" s="27" t="inlineStr">
        <is>
          <t>valuation_credit_ml_overlay_candidate.csv</t>
        </is>
      </c>
      <c r="AF179" s="27" t="inlineStr">
        <is>
          <t>208개 반도체 reference universe. Valuation Agent가 자체 intake 폴더로 복제해 Peer/ML/대시보드 비교에 사용.</t>
        </is>
      </c>
    </row>
    <row r="180" ht="24" customHeight="1">
      <c r="A180" s="32" t="inlineStr">
        <is>
          <t>106</t>
        </is>
      </c>
      <c r="B180" s="32" t="inlineStr">
        <is>
          <t>해당 없음</t>
        </is>
      </c>
      <c r="C180" s="32" t="inlineStr">
        <is>
          <t>유진테크</t>
        </is>
      </c>
      <c r="D180" s="32" t="inlineStr">
        <is>
          <t>084370</t>
        </is>
      </c>
      <c r="E180" s="32" t="inlineStr">
        <is>
          <t>KOSDAQ</t>
        </is>
      </c>
      <c r="F180" s="32" t="inlineStr">
        <is>
          <t>장비</t>
        </is>
      </c>
      <c r="G180" s="32" t="inlineStr">
        <is>
          <t>장비</t>
        </is>
      </c>
      <c r="H180" s="32" t="inlineStr">
        <is>
          <t>False</t>
        </is>
      </c>
      <c r="I180" s="32" t="inlineStr">
        <is>
          <t>True</t>
        </is>
      </c>
      <c r="J180" s="32" t="inlineStr">
        <is>
          <t>OK</t>
        </is>
      </c>
      <c r="K180" s="32" t="inlineStr">
        <is>
          <t>데이터 사용 가능</t>
        </is>
      </c>
      <c r="L180" s="32" t="inlineStr">
        <is>
          <t>LOW</t>
        </is>
      </c>
      <c r="M180" s="32" t="inlineStr">
        <is>
          <t>LOW</t>
        </is>
      </c>
      <c r="N180" s="32" t="inlineStr">
        <is>
          <t>0.4335999999999999</t>
        </is>
      </c>
      <c r="O180" s="32" t="inlineStr">
        <is>
          <t>FAIR</t>
        </is>
      </c>
      <c r="P180" s="32" t="inlineStr">
        <is>
          <t>FAIR</t>
        </is>
      </c>
      <c r="Q180" s="32" t="inlineStr">
        <is>
          <t>FAIR</t>
        </is>
      </c>
      <c r="R180" s="32" t="inlineStr">
        <is>
          <t>0.7415227894291446</t>
        </is>
      </c>
      <c r="S180" s="32" t="inlineStr">
        <is>
          <t>HIGH</t>
        </is>
      </c>
      <c r="T180" s="32" t="inlineStr">
        <is>
          <t>HIGH</t>
        </is>
      </c>
      <c r="U180" s="32" t="inlineStr">
        <is>
          <t>0.0</t>
        </is>
      </c>
      <c r="V180" s="32" t="inlineStr">
        <is>
          <t>LOW_RISK</t>
        </is>
      </c>
      <c r="W180" s="32" t="inlineStr">
        <is>
          <t>저위험</t>
        </is>
      </c>
      <c r="X180" s="32" t="inlineStr">
        <is>
          <t>LOW_RISK</t>
        </is>
      </c>
      <c r="Y180" s="32" t="inlineStr">
        <is>
          <t>0.972105078189685</t>
        </is>
      </c>
      <c r="Z180" s="32" t="inlineStr">
        <is>
          <t>HIGH</t>
        </is>
      </c>
      <c r="AA180" s="32" t="inlineStr">
        <is>
          <t>HIGH</t>
        </is>
      </c>
      <c r="AB180" s="32" t="inlineStr">
        <is>
          <t>0.06698695126425369</t>
        </is>
      </c>
      <c r="AC180" s="32" t="inlineStr">
        <is>
          <t>False</t>
        </is>
      </c>
      <c r="AD180" s="32" t="inlineStr">
        <is>
          <t>False</t>
        </is>
      </c>
      <c r="AE180" s="32" t="inlineStr">
        <is>
          <t>valuation_credit_ml_overlay_candidate.csv</t>
        </is>
      </c>
      <c r="AF180" s="32" t="inlineStr">
        <is>
          <t>208개 반도체 reference universe. Valuation Agent가 자체 intake 폴더로 복제해 Peer/ML/대시보드 비교에 사용.</t>
        </is>
      </c>
    </row>
    <row r="181" ht="24" customHeight="1">
      <c r="A181" s="27" t="inlineStr">
        <is>
          <t>109</t>
        </is>
      </c>
      <c r="B181" s="27" t="inlineStr">
        <is>
          <t>해당 없음</t>
        </is>
      </c>
      <c r="C181" s="27" t="inlineStr">
        <is>
          <t>제우스</t>
        </is>
      </c>
      <c r="D181" s="27" t="inlineStr">
        <is>
          <t>079370</t>
        </is>
      </c>
      <c r="E181" s="27" t="inlineStr">
        <is>
          <t>KOSDAQ</t>
        </is>
      </c>
      <c r="F181" s="27" t="inlineStr">
        <is>
          <t>장비</t>
        </is>
      </c>
      <c r="G181" s="27" t="inlineStr">
        <is>
          <t>장비</t>
        </is>
      </c>
      <c r="H181" s="27" t="inlineStr">
        <is>
          <t>False</t>
        </is>
      </c>
      <c r="I181" s="27" t="inlineStr">
        <is>
          <t>True</t>
        </is>
      </c>
      <c r="J181" s="27" t="inlineStr">
        <is>
          <t>OK</t>
        </is>
      </c>
      <c r="K181" s="27" t="inlineStr">
        <is>
          <t>데이터 사용 가능</t>
        </is>
      </c>
      <c r="L181" s="27" t="inlineStr">
        <is>
          <t>LOW</t>
        </is>
      </c>
      <c r="M181" s="27" t="inlineStr">
        <is>
          <t>LOW</t>
        </is>
      </c>
      <c r="N181" s="27" t="inlineStr">
        <is>
          <t>0.4258666666666666</t>
        </is>
      </c>
      <c r="O181" s="27" t="inlineStr">
        <is>
          <t>FAIR</t>
        </is>
      </c>
      <c r="P181" s="27" t="inlineStr">
        <is>
          <t>FAIR</t>
        </is>
      </c>
      <c r="Q181" s="27" t="inlineStr">
        <is>
          <t>FAIR</t>
        </is>
      </c>
      <c r="R181" s="27" t="inlineStr">
        <is>
          <t>0.7744454918412472</t>
        </is>
      </c>
      <c r="S181" s="27" t="inlineStr">
        <is>
          <t>HIGH</t>
        </is>
      </c>
      <c r="T181" s="27" t="inlineStr">
        <is>
          <t>HIGH</t>
        </is>
      </c>
      <c r="U181" s="27" t="inlineStr">
        <is>
          <t>0.2142857142857142</t>
        </is>
      </c>
      <c r="V181" s="27" t="inlineStr">
        <is>
          <t>MEDIUM_RISK</t>
        </is>
      </c>
      <c r="W181" s="27" t="inlineStr">
        <is>
          <t>중위험</t>
        </is>
      </c>
      <c r="X181" s="27" t="inlineStr">
        <is>
          <t>MEDIUM_RISK</t>
        </is>
      </c>
      <c r="Y181" s="27" t="inlineStr">
        <is>
          <t>0.7526716293270965</t>
        </is>
      </c>
      <c r="Z181" s="27" t="inlineStr">
        <is>
          <t>HIGH</t>
        </is>
      </c>
      <c r="AA181" s="27" t="inlineStr">
        <is>
          <t>HIGH</t>
        </is>
      </c>
      <c r="AB181" s="27" t="inlineStr">
        <is>
          <t>0.011543006177035572</t>
        </is>
      </c>
      <c r="AC181" s="27" t="inlineStr">
        <is>
          <t>False</t>
        </is>
      </c>
      <c r="AD181" s="27" t="inlineStr">
        <is>
          <t>False</t>
        </is>
      </c>
      <c r="AE181" s="27" t="inlineStr">
        <is>
          <t>valuation_credit_ml_overlay_candidate.csv</t>
        </is>
      </c>
      <c r="AF181" s="27" t="inlineStr">
        <is>
          <t>208개 반도체 reference universe. Valuation Agent가 자체 intake 폴더로 복제해 Peer/ML/대시보드 비교에 사용.</t>
        </is>
      </c>
    </row>
    <row r="182" ht="24" customHeight="1">
      <c r="A182" s="32" t="inlineStr">
        <is>
          <t>83</t>
        </is>
      </c>
      <c r="B182" s="32" t="inlineStr">
        <is>
          <t>해당 없음</t>
        </is>
      </c>
      <c r="C182" s="32" t="inlineStr">
        <is>
          <t>램테크놀러지</t>
        </is>
      </c>
      <c r="D182" s="32" t="inlineStr">
        <is>
          <t>171010</t>
        </is>
      </c>
      <c r="E182" s="32" t="inlineStr">
        <is>
          <t>KOSDAQ</t>
        </is>
      </c>
      <c r="F182" s="32" t="inlineStr">
        <is>
          <t>장비</t>
        </is>
      </c>
      <c r="G182" s="32" t="inlineStr">
        <is>
          <t>장비</t>
        </is>
      </c>
      <c r="H182" s="32" t="inlineStr">
        <is>
          <t>False</t>
        </is>
      </c>
      <c r="I182" s="32" t="inlineStr">
        <is>
          <t>True</t>
        </is>
      </c>
      <c r="J182" s="32" t="inlineStr">
        <is>
          <t>OK</t>
        </is>
      </c>
      <c r="K182" s="32" t="inlineStr">
        <is>
          <t>데이터 사용 가능</t>
        </is>
      </c>
      <c r="L182" s="32" t="inlineStr">
        <is>
          <t>LOW</t>
        </is>
      </c>
      <c r="M182" s="32" t="inlineStr">
        <is>
          <t>LOW</t>
        </is>
      </c>
      <c r="N182" s="32" t="inlineStr">
        <is>
          <t>0.4097333333333334</t>
        </is>
      </c>
      <c r="O182" s="32" t="inlineStr">
        <is>
          <t>EXPENSIVE</t>
        </is>
      </c>
      <c r="P182" s="32" t="inlineStr">
        <is>
          <t>EXPENSIVE</t>
        </is>
      </c>
      <c r="Q182" s="32" t="inlineStr">
        <is>
          <t>FAIR</t>
        </is>
      </c>
      <c r="R182" s="32" t="inlineStr">
        <is>
          <t>0.500591784236833</t>
        </is>
      </c>
      <c r="S182" s="32" t="inlineStr">
        <is>
          <t>MEDIUM</t>
        </is>
      </c>
      <c r="T182" s="32" t="inlineStr">
        <is>
          <t>MEDIUM</t>
        </is>
      </c>
      <c r="U182" s="32" t="inlineStr">
        <is>
          <t>0.6428571428571429</t>
        </is>
      </c>
      <c r="V182" s="32" t="inlineStr">
        <is>
          <t>HIGH_RISK</t>
        </is>
      </c>
      <c r="W182" s="32" t="inlineStr">
        <is>
          <t>고위험</t>
        </is>
      </c>
      <c r="X182" s="32" t="inlineStr">
        <is>
          <t>HIGH_RISK</t>
        </is>
      </c>
      <c r="Y182" s="32" t="inlineStr">
        <is>
          <t>0.7085071659992903</t>
        </is>
      </c>
      <c r="Z182" s="32" t="inlineStr">
        <is>
          <t>HIGH</t>
        </is>
      </c>
      <c r="AA182" s="32" t="inlineStr">
        <is>
          <t>HIGH</t>
        </is>
      </c>
      <c r="AB182" s="32" t="inlineStr">
        <is>
          <t>0.08748635209855961</t>
        </is>
      </c>
      <c r="AC182" s="32" t="inlineStr">
        <is>
          <t>False</t>
        </is>
      </c>
      <c r="AD182" s="32" t="inlineStr">
        <is>
          <t>False</t>
        </is>
      </c>
      <c r="AE182" s="32" t="inlineStr">
        <is>
          <t>valuation_credit_ml_overlay_candidate.csv</t>
        </is>
      </c>
      <c r="AF182" s="32" t="inlineStr">
        <is>
          <t>208개 반도체 reference universe. Valuation Agent가 자체 intake 폴더로 복제해 Peer/ML/대시보드 비교에 사용.</t>
        </is>
      </c>
    </row>
    <row r="183" ht="24" customHeight="1">
      <c r="A183" s="27" t="inlineStr">
        <is>
          <t>108</t>
        </is>
      </c>
      <c r="B183" s="27" t="inlineStr">
        <is>
          <t>해당 없음</t>
        </is>
      </c>
      <c r="C183" s="27" t="inlineStr">
        <is>
          <t>저스템</t>
        </is>
      </c>
      <c r="D183" s="27" t="inlineStr">
        <is>
          <t>417840</t>
        </is>
      </c>
      <c r="E183" s="27" t="inlineStr">
        <is>
          <t>KOSDAQ</t>
        </is>
      </c>
      <c r="F183" s="27" t="inlineStr">
        <is>
          <t>장비</t>
        </is>
      </c>
      <c r="G183" s="27" t="inlineStr">
        <is>
          <t>장비</t>
        </is>
      </c>
      <c r="H183" s="27" t="inlineStr">
        <is>
          <t>False</t>
        </is>
      </c>
      <c r="I183" s="27" t="inlineStr">
        <is>
          <t>True</t>
        </is>
      </c>
      <c r="J183" s="27" t="inlineStr">
        <is>
          <t>OK</t>
        </is>
      </c>
      <c r="K183" s="27" t="inlineStr">
        <is>
          <t>데이터 사용 가능</t>
        </is>
      </c>
      <c r="L183" s="27" t="inlineStr">
        <is>
          <t>LOW</t>
        </is>
      </c>
      <c r="M183" s="27" t="inlineStr">
        <is>
          <t>LOW</t>
        </is>
      </c>
      <c r="N183" s="27" t="inlineStr">
        <is>
          <t>0.4036</t>
        </is>
      </c>
      <c r="O183" s="27" t="inlineStr">
        <is>
          <t>EXPENSIVE</t>
        </is>
      </c>
      <c r="P183" s="27" t="inlineStr">
        <is>
          <t>EXPENSIVE</t>
        </is>
      </c>
      <c r="Q183" s="27" t="inlineStr">
        <is>
          <t>EXPENSIVE</t>
        </is>
      </c>
      <c r="R183" s="27" t="inlineStr">
        <is>
          <t>0.7213257522774291</t>
        </is>
      </c>
      <c r="S183" s="27" t="inlineStr">
        <is>
          <t>HIGH</t>
        </is>
      </c>
      <c r="T183" s="27" t="inlineStr">
        <is>
          <t>HIGH</t>
        </is>
      </c>
      <c r="U183" s="27" t="inlineStr">
        <is>
          <t>0.2857142857142857</t>
        </is>
      </c>
      <c r="V183" s="27" t="inlineStr">
        <is>
          <t>MEDIUM_RISK</t>
        </is>
      </c>
      <c r="W183" s="27" t="inlineStr">
        <is>
          <t>중위험</t>
        </is>
      </c>
      <c r="X183" s="27" t="inlineStr">
        <is>
          <t>MEDIUM_RISK</t>
        </is>
      </c>
      <c r="Y183" s="27" t="inlineStr">
        <is>
          <t>0.6200895030304687</t>
        </is>
      </c>
      <c r="Z183" s="27" t="inlineStr">
        <is>
          <t>MEDIUM</t>
        </is>
      </c>
      <c r="AA183" s="27" t="inlineStr">
        <is>
          <t>MEDIUM</t>
        </is>
      </c>
      <c r="AB183" s="27" t="inlineStr">
        <is>
          <t>0.06530461326030516</t>
        </is>
      </c>
      <c r="AC183" s="27" t="inlineStr">
        <is>
          <t>False</t>
        </is>
      </c>
      <c r="AD183" s="27" t="inlineStr">
        <is>
          <t>False</t>
        </is>
      </c>
      <c r="AE183" s="27" t="inlineStr">
        <is>
          <t>valuation_credit_ml_overlay_candidate.csv</t>
        </is>
      </c>
      <c r="AF183" s="27" t="inlineStr">
        <is>
          <t>208개 반도체 reference universe. Valuation Agent가 자체 intake 폴더로 복제해 Peer/ML/대시보드 비교에 사용.</t>
        </is>
      </c>
    </row>
    <row r="184" ht="24" customHeight="1">
      <c r="A184" s="32" t="inlineStr">
        <is>
          <t>111</t>
        </is>
      </c>
      <c r="B184" s="32" t="inlineStr">
        <is>
          <t>해당 없음</t>
        </is>
      </c>
      <c r="C184" s="32" t="inlineStr">
        <is>
          <t>지아이에스</t>
        </is>
      </c>
      <c r="D184" s="32" t="inlineStr">
        <is>
          <t>306620</t>
        </is>
      </c>
      <c r="E184" s="32" t="inlineStr">
        <is>
          <t>KOSDAQ</t>
        </is>
      </c>
      <c r="F184" s="32" t="inlineStr">
        <is>
          <t>장비</t>
        </is>
      </c>
      <c r="G184" s="32" t="inlineStr">
        <is>
          <t>장비</t>
        </is>
      </c>
      <c r="H184" s="32" t="inlineStr">
        <is>
          <t>False</t>
        </is>
      </c>
      <c r="I184" s="32" t="inlineStr">
        <is>
          <t>True</t>
        </is>
      </c>
      <c r="J184" s="32" t="inlineStr">
        <is>
          <t>OK</t>
        </is>
      </c>
      <c r="K184" s="32" t="inlineStr">
        <is>
          <t>데이터 사용 가능</t>
        </is>
      </c>
      <c r="L184" s="32" t="inlineStr">
        <is>
          <t>LOW</t>
        </is>
      </c>
      <c r="M184" s="32" t="inlineStr">
        <is>
          <t>LOW</t>
        </is>
      </c>
      <c r="N184" s="32" t="inlineStr">
        <is>
          <t>0.4014666666666666</t>
        </is>
      </c>
      <c r="O184" s="32" t="inlineStr">
        <is>
          <t>EXPENSIVE</t>
        </is>
      </c>
      <c r="P184" s="32" t="inlineStr">
        <is>
          <t>EXPENSIVE</t>
        </is>
      </c>
      <c r="Q184" s="32" t="inlineStr">
        <is>
          <t>EXPENSIVE</t>
        </is>
      </c>
      <c r="R184" s="32" t="inlineStr">
        <is>
          <t>0.745903271306321</t>
        </is>
      </c>
      <c r="S184" s="32" t="inlineStr">
        <is>
          <t>HIGH</t>
        </is>
      </c>
      <c r="T184" s="32" t="inlineStr">
        <is>
          <t>HIGH</t>
        </is>
      </c>
      <c r="U184" s="32" t="inlineStr">
        <is>
          <t>0.5714285714285714</t>
        </is>
      </c>
      <c r="V184" s="32" t="inlineStr">
        <is>
          <t>HIGH_RISK</t>
        </is>
      </c>
      <c r="W184" s="32" t="inlineStr">
        <is>
          <t>고위험</t>
        </is>
      </c>
      <c r="X184" s="32" t="inlineStr">
        <is>
          <t>HIGH_RISK</t>
        </is>
      </c>
      <c r="Y184" s="32" t="inlineStr">
        <is>
          <t>0.7985810664806972</t>
        </is>
      </c>
      <c r="Z184" s="32" t="inlineStr">
        <is>
          <t>HIGH</t>
        </is>
      </c>
      <c r="AA184" s="32" t="inlineStr">
        <is>
          <t>HIGH</t>
        </is>
      </c>
      <c r="AB184" s="32" t="inlineStr">
        <is>
          <t>0.10027107402555603</t>
        </is>
      </c>
      <c r="AC184" s="32" t="inlineStr">
        <is>
          <t>False</t>
        </is>
      </c>
      <c r="AD184" s="32" t="inlineStr">
        <is>
          <t>False</t>
        </is>
      </c>
      <c r="AE184" s="32" t="inlineStr">
        <is>
          <t>valuation_credit_ml_overlay_candidate.csv</t>
        </is>
      </c>
      <c r="AF184" s="32" t="inlineStr">
        <is>
          <t>208개 반도체 reference universe. Valuation Agent가 자체 intake 폴더로 복제해 Peer/ML/대시보드 비교에 사용.</t>
        </is>
      </c>
    </row>
    <row r="185" ht="24" customHeight="1">
      <c r="A185" s="27" t="inlineStr">
        <is>
          <t>98</t>
        </is>
      </c>
      <c r="B185" s="27" t="inlineStr">
        <is>
          <t>해당 없음</t>
        </is>
      </c>
      <c r="C185" s="27" t="inlineStr">
        <is>
          <t>에프에스티</t>
        </is>
      </c>
      <c r="D185" s="27" t="inlineStr">
        <is>
          <t>036810</t>
        </is>
      </c>
      <c r="E185" s="27" t="inlineStr">
        <is>
          <t>KOSDAQ</t>
        </is>
      </c>
      <c r="F185" s="27" t="inlineStr">
        <is>
          <t>장비</t>
        </is>
      </c>
      <c r="G185" s="27" t="inlineStr">
        <is>
          <t>장비</t>
        </is>
      </c>
      <c r="H185" s="27" t="inlineStr">
        <is>
          <t>False</t>
        </is>
      </c>
      <c r="I185" s="27" t="inlineStr">
        <is>
          <t>True</t>
        </is>
      </c>
      <c r="J185" s="27" t="inlineStr">
        <is>
          <t>OK</t>
        </is>
      </c>
      <c r="K185" s="27" t="inlineStr">
        <is>
          <t>데이터 사용 가능</t>
        </is>
      </c>
      <c r="L185" s="27" t="inlineStr">
        <is>
          <t>LOW</t>
        </is>
      </c>
      <c r="M185" s="27" t="inlineStr">
        <is>
          <t>LOW</t>
        </is>
      </c>
      <c r="N185" s="27" t="inlineStr">
        <is>
          <t>0.3826666666666666</t>
        </is>
      </c>
      <c r="O185" s="27" t="inlineStr">
        <is>
          <t>EXPENSIVE</t>
        </is>
      </c>
      <c r="P185" s="27" t="inlineStr">
        <is>
          <t>EXPENSIVE</t>
        </is>
      </c>
      <c r="Q185" s="27" t="inlineStr">
        <is>
          <t>EXPENSIVE</t>
        </is>
      </c>
      <c r="R185" s="27" t="inlineStr">
        <is>
          <t>0.8925631629286743</t>
        </is>
      </c>
      <c r="S185" s="27" t="inlineStr">
        <is>
          <t>HIGH</t>
        </is>
      </c>
      <c r="T185" s="27" t="inlineStr">
        <is>
          <t>HIGH</t>
        </is>
      </c>
      <c r="U185" s="27" t="inlineStr">
        <is>
          <t>0.5</t>
        </is>
      </c>
      <c r="V185" s="27" t="inlineStr">
        <is>
          <t>HIGH_RISK</t>
        </is>
      </c>
      <c r="W185" s="27" t="inlineStr">
        <is>
          <t>고위험</t>
        </is>
      </c>
      <c r="X185" s="27" t="inlineStr">
        <is>
          <t>HIGH_RISK</t>
        </is>
      </c>
      <c r="Y185" s="27" t="inlineStr">
        <is>
          <t>0.6842794288306946</t>
        </is>
      </c>
      <c r="Z185" s="27" t="inlineStr">
        <is>
          <t>MEDIUM</t>
        </is>
      </c>
      <c r="AA185" s="27" t="inlineStr">
        <is>
          <t>MEDIUM</t>
        </is>
      </c>
      <c r="AB185" s="27" t="inlineStr">
        <is>
          <t>0.03870825972114044</t>
        </is>
      </c>
      <c r="AC185" s="27" t="inlineStr">
        <is>
          <t>False</t>
        </is>
      </c>
      <c r="AD185" s="27" t="inlineStr">
        <is>
          <t>False</t>
        </is>
      </c>
      <c r="AE185" s="27" t="inlineStr">
        <is>
          <t>valuation_credit_ml_overlay_candidate.csv</t>
        </is>
      </c>
      <c r="AF185" s="27" t="inlineStr">
        <is>
          <t>208개 반도체 reference universe. Valuation Agent가 자체 intake 폴더로 복제해 Peer/ML/대시보드 비교에 사용.</t>
        </is>
      </c>
    </row>
    <row r="186" ht="24" customHeight="1">
      <c r="A186" s="32" t="inlineStr">
        <is>
          <t>78</t>
        </is>
      </c>
      <c r="B186" s="32" t="inlineStr">
        <is>
          <t>해당 없음</t>
        </is>
      </c>
      <c r="C186" s="32" t="inlineStr">
        <is>
          <t>나노신소재</t>
        </is>
      </c>
      <c r="D186" s="32" t="inlineStr">
        <is>
          <t>121600</t>
        </is>
      </c>
      <c r="E186" s="32" t="inlineStr">
        <is>
          <t>KOSDAQ</t>
        </is>
      </c>
      <c r="F186" s="32" t="inlineStr">
        <is>
          <t>장비</t>
        </is>
      </c>
      <c r="G186" s="32" t="inlineStr">
        <is>
          <t>장비</t>
        </is>
      </c>
      <c r="H186" s="32" t="inlineStr">
        <is>
          <t>False</t>
        </is>
      </c>
      <c r="I186" s="32" t="inlineStr">
        <is>
          <t>True</t>
        </is>
      </c>
      <c r="J186" s="32" t="inlineStr">
        <is>
          <t>OK</t>
        </is>
      </c>
      <c r="K186" s="32" t="inlineStr">
        <is>
          <t>데이터 사용 가능</t>
        </is>
      </c>
      <c r="L186" s="32" t="inlineStr">
        <is>
          <t>LOW</t>
        </is>
      </c>
      <c r="M186" s="32" t="inlineStr">
        <is>
          <t>LOW</t>
        </is>
      </c>
      <c r="N186" s="32" t="inlineStr">
        <is>
          <t>0.3822666666666666</t>
        </is>
      </c>
      <c r="O186" s="32" t="inlineStr">
        <is>
          <t>EXPENSIVE</t>
        </is>
      </c>
      <c r="P186" s="32" t="inlineStr">
        <is>
          <t>EXPENSIVE</t>
        </is>
      </c>
      <c r="Q186" s="32" t="inlineStr">
        <is>
          <t>EXPENSIVE</t>
        </is>
      </c>
      <c r="R186" s="32" t="inlineStr">
        <is>
          <t>0.7555342246021253</t>
        </is>
      </c>
      <c r="S186" s="32" t="inlineStr">
        <is>
          <t>HIGH</t>
        </is>
      </c>
      <c r="T186" s="32" t="inlineStr">
        <is>
          <t>HIGH</t>
        </is>
      </c>
      <c r="U186" s="32" t="inlineStr">
        <is>
          <t>0.0</t>
        </is>
      </c>
      <c r="V186" s="32" t="inlineStr">
        <is>
          <t>LOW_RISK</t>
        </is>
      </c>
      <c r="W186" s="32" t="inlineStr">
        <is>
          <t>저위험</t>
        </is>
      </c>
      <c r="X186" s="32" t="inlineStr">
        <is>
          <t>LOW_RISK</t>
        </is>
      </c>
      <c r="Y186" s="32" t="inlineStr">
        <is>
          <t>0.6225133085657061</t>
        </is>
      </c>
      <c r="Z186" s="32" t="inlineStr">
        <is>
          <t>MEDIUM</t>
        </is>
      </c>
      <c r="AA186" s="32" t="inlineStr">
        <is>
          <t>MEDIUM</t>
        </is>
      </c>
      <c r="AB186" s="32" t="inlineStr">
        <is>
          <t>0.006422827813209868</t>
        </is>
      </c>
      <c r="AC186" s="32" t="inlineStr">
        <is>
          <t>False</t>
        </is>
      </c>
      <c r="AD186" s="32" t="inlineStr">
        <is>
          <t>False</t>
        </is>
      </c>
      <c r="AE186" s="32" t="inlineStr">
        <is>
          <t>valuation_credit_ml_overlay_candidate.csv</t>
        </is>
      </c>
      <c r="AF186" s="32" t="inlineStr">
        <is>
          <t>208개 반도체 reference universe. Valuation Agent가 자체 intake 폴더로 복제해 Peer/ML/대시보드 비교에 사용.</t>
        </is>
      </c>
    </row>
    <row r="187" ht="24" customHeight="1">
      <c r="A187" s="27" t="inlineStr">
        <is>
          <t>93</t>
        </is>
      </c>
      <c r="B187" s="27" t="inlineStr">
        <is>
          <t>해당 없음</t>
        </is>
      </c>
      <c r="C187" s="27" t="inlineStr">
        <is>
          <t>씨엠티엑스</t>
        </is>
      </c>
      <c r="D187" s="27" t="inlineStr">
        <is>
          <t>388210</t>
        </is>
      </c>
      <c r="E187" s="27" t="inlineStr">
        <is>
          <t>KOSDAQ</t>
        </is>
      </c>
      <c r="F187" s="27" t="inlineStr">
        <is>
          <t>장비</t>
        </is>
      </c>
      <c r="G187" s="27" t="inlineStr">
        <is>
          <t>장비</t>
        </is>
      </c>
      <c r="H187" s="27" t="inlineStr">
        <is>
          <t>False</t>
        </is>
      </c>
      <c r="I187" s="27" t="inlineStr">
        <is>
          <t>True</t>
        </is>
      </c>
      <c r="J187" s="27" t="inlineStr">
        <is>
          <t>OK_LIMITED_HISTORY_OR_GROWTH_NA</t>
        </is>
      </c>
      <c r="K187" s="27" t="inlineStr">
        <is>
          <t>데이터 사용 가능</t>
        </is>
      </c>
      <c r="L187" s="27" t="inlineStr">
        <is>
          <t>LOW</t>
        </is>
      </c>
      <c r="M187" s="27" t="inlineStr">
        <is>
          <t>LOW</t>
        </is>
      </c>
      <c r="N187" s="27" t="inlineStr">
        <is>
          <t>0.3652666666666667</t>
        </is>
      </c>
      <c r="O187" s="27" t="inlineStr">
        <is>
          <t>EXPENSIVE</t>
        </is>
      </c>
      <c r="P187" s="27" t="inlineStr">
        <is>
          <t>EXPENSIVE</t>
        </is>
      </c>
      <c r="Q187" s="27" t="inlineStr">
        <is>
          <t>EXPENSIVE</t>
        </is>
      </c>
      <c r="R187" s="27" t="inlineStr">
        <is>
          <t>0.7157707609420977</t>
        </is>
      </c>
      <c r="S187" s="27" t="inlineStr">
        <is>
          <t>HIGH</t>
        </is>
      </c>
      <c r="T187" s="27" t="inlineStr">
        <is>
          <t>HIGH</t>
        </is>
      </c>
      <c r="U187" s="27" t="inlineStr">
        <is>
          <t>0.2142857142857142</t>
        </is>
      </c>
      <c r="V187" s="27" t="inlineStr">
        <is>
          <t>MEDIUM_RISK</t>
        </is>
      </c>
      <c r="W187" s="27" t="inlineStr">
        <is>
          <t>중위험</t>
        </is>
      </c>
      <c r="X187" s="27" t="inlineStr">
        <is>
          <t>MEDIUM_RISK</t>
        </is>
      </c>
      <c r="Y187" s="27" t="inlineStr">
        <is>
          <t>0.6836967884951827</t>
        </is>
      </c>
      <c r="Z187" s="27" t="inlineStr">
        <is>
          <t>MEDIUM</t>
        </is>
      </c>
      <c r="AA187" s="27" t="inlineStr">
        <is>
          <t>MEDIUM</t>
        </is>
      </c>
      <c r="AB187" s="27" t="inlineStr">
        <is>
          <t>0.10495929656754996</t>
        </is>
      </c>
      <c r="AC187" s="27" t="inlineStr">
        <is>
          <t>False</t>
        </is>
      </c>
      <c r="AD187" s="27" t="inlineStr">
        <is>
          <t>True</t>
        </is>
      </c>
      <c r="AE187" s="27" t="inlineStr">
        <is>
          <t>valuation_credit_ml_overlay_candidate.csv</t>
        </is>
      </c>
      <c r="AF187" s="27" t="inlineStr">
        <is>
          <t>208개 반도체 reference universe. Valuation Agent가 자체 intake 폴더로 복제해 Peer/ML/대시보드 비교에 사용.</t>
        </is>
      </c>
    </row>
    <row r="188" ht="24" customHeight="1">
      <c r="A188" s="32" t="inlineStr">
        <is>
          <t>94</t>
        </is>
      </c>
      <c r="B188" s="32" t="inlineStr">
        <is>
          <t>해당 없음</t>
        </is>
      </c>
      <c r="C188" s="32" t="inlineStr">
        <is>
          <t>아스플로</t>
        </is>
      </c>
      <c r="D188" s="32" t="inlineStr">
        <is>
          <t>159010</t>
        </is>
      </c>
      <c r="E188" s="32" t="inlineStr">
        <is>
          <t>KOSDAQ</t>
        </is>
      </c>
      <c r="F188" s="32" t="inlineStr">
        <is>
          <t>장비</t>
        </is>
      </c>
      <c r="G188" s="32" t="inlineStr">
        <is>
          <t>장비</t>
        </is>
      </c>
      <c r="H188" s="32" t="inlineStr">
        <is>
          <t>False</t>
        </is>
      </c>
      <c r="I188" s="32" t="inlineStr">
        <is>
          <t>True</t>
        </is>
      </c>
      <c r="J188" s="32" t="inlineStr">
        <is>
          <t>OK</t>
        </is>
      </c>
      <c r="K188" s="32" t="inlineStr">
        <is>
          <t>데이터 사용 가능</t>
        </is>
      </c>
      <c r="L188" s="32" t="inlineStr">
        <is>
          <t>LOW</t>
        </is>
      </c>
      <c r="M188" s="32" t="inlineStr">
        <is>
          <t>LOW</t>
        </is>
      </c>
      <c r="N188" s="32" t="inlineStr">
        <is>
          <t>0.3025333333333333</t>
        </is>
      </c>
      <c r="O188" s="32" t="inlineStr">
        <is>
          <t>EXPENSIVE</t>
        </is>
      </c>
      <c r="P188" s="32" t="inlineStr">
        <is>
          <t>EXPENSIVE</t>
        </is>
      </c>
      <c r="Q188" s="32" t="inlineStr">
        <is>
          <t>EXPENSIVE</t>
        </is>
      </c>
      <c r="R188" s="32" t="inlineStr">
        <is>
          <t>0.8970141905473263</t>
        </is>
      </c>
      <c r="S188" s="32" t="inlineStr">
        <is>
          <t>HIGH</t>
        </is>
      </c>
      <c r="T188" s="32" t="inlineStr">
        <is>
          <t>HIGH</t>
        </is>
      </c>
      <c r="U188" s="32" t="inlineStr">
        <is>
          <t>0.5714285714285714</t>
        </is>
      </c>
      <c r="V188" s="32" t="inlineStr">
        <is>
          <t>HIGH_RISK</t>
        </is>
      </c>
      <c r="W188" s="32" t="inlineStr">
        <is>
          <t>고위험</t>
        </is>
      </c>
      <c r="X188" s="32" t="inlineStr">
        <is>
          <t>HIGH_RISK</t>
        </is>
      </c>
      <c r="Y188" s="32" t="inlineStr">
        <is>
          <t>0.9808254047374049</t>
        </is>
      </c>
      <c r="Z188" s="32" t="inlineStr">
        <is>
          <t>HIGH</t>
        </is>
      </c>
      <c r="AA188" s="32" t="inlineStr">
        <is>
          <t>HIGH</t>
        </is>
      </c>
      <c r="AB188" s="32" t="inlineStr">
        <is>
          <t>0.04621877213272216</t>
        </is>
      </c>
      <c r="AC188" s="32" t="inlineStr">
        <is>
          <t>False</t>
        </is>
      </c>
      <c r="AD188" s="32" t="inlineStr">
        <is>
          <t>False</t>
        </is>
      </c>
      <c r="AE188" s="32" t="inlineStr">
        <is>
          <t>valuation_credit_ml_overlay_candidate.csv</t>
        </is>
      </c>
      <c r="AF188" s="32" t="inlineStr">
        <is>
          <t>208개 반도체 reference universe. Valuation Agent가 자체 intake 폴더로 복제해 Peer/ML/대시보드 비교에 사용.</t>
        </is>
      </c>
    </row>
    <row r="189" ht="24" customHeight="1">
      <c r="A189" s="27" t="inlineStr">
        <is>
          <t>101</t>
        </is>
      </c>
      <c r="B189" s="27" t="inlineStr">
        <is>
          <t>해당 없음</t>
        </is>
      </c>
      <c r="C189" s="27" t="inlineStr">
        <is>
          <t>오로스테크놀로지</t>
        </is>
      </c>
      <c r="D189" s="27" t="inlineStr">
        <is>
          <t>322310</t>
        </is>
      </c>
      <c r="E189" s="27" t="inlineStr">
        <is>
          <t>KOSDAQ</t>
        </is>
      </c>
      <c r="F189" s="27" t="inlineStr">
        <is>
          <t>장비</t>
        </is>
      </c>
      <c r="G189" s="27" t="inlineStr">
        <is>
          <t>장비</t>
        </is>
      </c>
      <c r="H189" s="27" t="inlineStr">
        <is>
          <t>False</t>
        </is>
      </c>
      <c r="I189" s="27" t="inlineStr">
        <is>
          <t>True</t>
        </is>
      </c>
      <c r="J189" s="27" t="inlineStr">
        <is>
          <t>OK</t>
        </is>
      </c>
      <c r="K189" s="27" t="inlineStr">
        <is>
          <t>데이터 사용 가능</t>
        </is>
      </c>
      <c r="L189" s="27" t="inlineStr">
        <is>
          <t>LOW</t>
        </is>
      </c>
      <c r="M189" s="27" t="inlineStr">
        <is>
          <t>LOW</t>
        </is>
      </c>
      <c r="N189" s="27" t="inlineStr">
        <is>
          <t>0.2969333333333333</t>
        </is>
      </c>
      <c r="O189" s="27" t="inlineStr">
        <is>
          <t>EXPENSIVE</t>
        </is>
      </c>
      <c r="P189" s="27" t="inlineStr">
        <is>
          <t>EXPENSIVE</t>
        </is>
      </c>
      <c r="Q189" s="27" t="inlineStr">
        <is>
          <t>EXPENSIVE</t>
        </is>
      </c>
      <c r="R189" s="27" t="inlineStr">
        <is>
          <t>0.9263479879516093</t>
        </is>
      </c>
      <c r="S189" s="27" t="inlineStr">
        <is>
          <t>HIGH</t>
        </is>
      </c>
      <c r="T189" s="27" t="inlineStr">
        <is>
          <t>HIGH</t>
        </is>
      </c>
      <c r="U189" s="27" t="inlineStr">
        <is>
          <t>0.2857142857142857</t>
        </is>
      </c>
      <c r="V189" s="27" t="inlineStr">
        <is>
          <t>MEDIUM_RISK</t>
        </is>
      </c>
      <c r="W189" s="27" t="inlineStr">
        <is>
          <t>중위험</t>
        </is>
      </c>
      <c r="X189" s="27" t="inlineStr">
        <is>
          <t>HIGH_RISK</t>
        </is>
      </c>
      <c r="Y189" s="27" t="inlineStr">
        <is>
          <t>0.5823799649469713</t>
        </is>
      </c>
      <c r="Z189" s="27" t="inlineStr">
        <is>
          <t>MEDIUM</t>
        </is>
      </c>
      <c r="AA189" s="27" t="inlineStr">
        <is>
          <t>MEDIUM</t>
        </is>
      </c>
      <c r="AB189" s="27" t="inlineStr">
        <is>
          <t>0.025687830037607388</t>
        </is>
      </c>
      <c r="AC189" s="27" t="inlineStr">
        <is>
          <t>False</t>
        </is>
      </c>
      <c r="AD189" s="27" t="inlineStr">
        <is>
          <t>False</t>
        </is>
      </c>
      <c r="AE189" s="27" t="inlineStr">
        <is>
          <t>valuation_credit_ml_overlay_candidate.csv</t>
        </is>
      </c>
      <c r="AF189" s="27" t="inlineStr">
        <is>
          <t>208개 반도체 reference universe. Valuation Agent가 자체 intake 폴더로 복제해 Peer/ML/대시보드 비교에 사용.</t>
        </is>
      </c>
    </row>
    <row r="190" ht="24" customHeight="1">
      <c r="A190" s="32" t="inlineStr">
        <is>
          <t>84</t>
        </is>
      </c>
      <c r="B190" s="32" t="inlineStr">
        <is>
          <t>해당 없음</t>
        </is>
      </c>
      <c r="C190" s="32" t="inlineStr">
        <is>
          <t>러셀</t>
        </is>
      </c>
      <c r="D190" s="32" t="inlineStr">
        <is>
          <t>217500</t>
        </is>
      </c>
      <c r="E190" s="32" t="inlineStr">
        <is>
          <t>KOSDAQ</t>
        </is>
      </c>
      <c r="F190" s="32" t="inlineStr">
        <is>
          <t>장비</t>
        </is>
      </c>
      <c r="G190" s="32" t="inlineStr">
        <is>
          <t>장비</t>
        </is>
      </c>
      <c r="H190" s="32" t="inlineStr">
        <is>
          <t>False</t>
        </is>
      </c>
      <c r="I190" s="32" t="inlineStr">
        <is>
          <t>True</t>
        </is>
      </c>
      <c r="J190" s="32" t="inlineStr">
        <is>
          <t>OK</t>
        </is>
      </c>
      <c r="K190" s="32" t="inlineStr">
        <is>
          <t>데이터 사용 가능</t>
        </is>
      </c>
      <c r="L190" s="32" t="inlineStr">
        <is>
          <t>LOW</t>
        </is>
      </c>
      <c r="M190" s="32" t="inlineStr">
        <is>
          <t>LOW</t>
        </is>
      </c>
      <c r="N190" s="32" t="inlineStr">
        <is>
          <t>0.2889333333333334</t>
        </is>
      </c>
      <c r="O190" s="32" t="inlineStr">
        <is>
          <t>EXPENSIVE</t>
        </is>
      </c>
      <c r="P190" s="32" t="inlineStr">
        <is>
          <t>EXPENSIVE</t>
        </is>
      </c>
      <c r="Q190" s="32" t="inlineStr">
        <is>
          <t>EXPENSIVE</t>
        </is>
      </c>
      <c r="R190" s="32" t="inlineStr">
        <is>
          <t>0.873177337125051</t>
        </is>
      </c>
      <c r="S190" s="32" t="inlineStr">
        <is>
          <t>HIGH</t>
        </is>
      </c>
      <c r="T190" s="32" t="inlineStr">
        <is>
          <t>HIGH</t>
        </is>
      </c>
      <c r="U190" s="32" t="inlineStr">
        <is>
          <t>0.5714285714285714</t>
        </is>
      </c>
      <c r="V190" s="32" t="inlineStr">
        <is>
          <t>HIGH_RISK</t>
        </is>
      </c>
      <c r="W190" s="32" t="inlineStr">
        <is>
          <t>고위험</t>
        </is>
      </c>
      <c r="X190" s="32" t="inlineStr">
        <is>
          <t>HIGH_RISK</t>
        </is>
      </c>
      <c r="Y190" s="32" t="inlineStr">
        <is>
          <t>0.9431199578760465</t>
        </is>
      </c>
      <c r="Z190" s="32" t="inlineStr">
        <is>
          <t>HIGH</t>
        </is>
      </c>
      <c r="AA190" s="32" t="inlineStr">
        <is>
          <t>HIGH</t>
        </is>
      </c>
      <c r="AB190" s="32" t="inlineStr">
        <is>
          <t>0.17682420550247213</t>
        </is>
      </c>
      <c r="AC190" s="32" t="inlineStr">
        <is>
          <t>False</t>
        </is>
      </c>
      <c r="AD190" s="32" t="inlineStr">
        <is>
          <t>False</t>
        </is>
      </c>
      <c r="AE190" s="32" t="inlineStr">
        <is>
          <t>valuation_credit_ml_overlay_candidate.csv</t>
        </is>
      </c>
      <c r="AF190" s="32" t="inlineStr">
        <is>
          <t>208개 반도체 reference universe. Valuation Agent가 자체 intake 폴더로 복제해 Peer/ML/대시보드 비교에 사용.</t>
        </is>
      </c>
    </row>
    <row r="191" ht="24" customHeight="1">
      <c r="A191" s="27" t="inlineStr">
        <is>
          <t>86</t>
        </is>
      </c>
      <c r="B191" s="27" t="inlineStr">
        <is>
          <t>해당 없음</t>
        </is>
      </c>
      <c r="C191" s="27" t="inlineStr">
        <is>
          <t>미래컴퍼니</t>
        </is>
      </c>
      <c r="D191" s="27" t="inlineStr">
        <is>
          <t>049950</t>
        </is>
      </c>
      <c r="E191" s="27" t="inlineStr">
        <is>
          <t>KOSDAQ</t>
        </is>
      </c>
      <c r="F191" s="27" t="inlineStr">
        <is>
          <t>장비</t>
        </is>
      </c>
      <c r="G191" s="27" t="inlineStr">
        <is>
          <t>장비</t>
        </is>
      </c>
      <c r="H191" s="27" t="inlineStr">
        <is>
          <t>False</t>
        </is>
      </c>
      <c r="I191" s="27" t="inlineStr">
        <is>
          <t>True</t>
        </is>
      </c>
      <c r="J191" s="27" t="inlineStr">
        <is>
          <t>OK</t>
        </is>
      </c>
      <c r="K191" s="27" t="inlineStr">
        <is>
          <t>데이터 사용 가능</t>
        </is>
      </c>
      <c r="L191" s="27" t="inlineStr">
        <is>
          <t>LOW</t>
        </is>
      </c>
      <c r="M191" s="27" t="inlineStr">
        <is>
          <t>LOW</t>
        </is>
      </c>
      <c r="N191" s="27" t="inlineStr">
        <is>
          <t>0.2874666666666666</t>
        </is>
      </c>
      <c r="O191" s="27" t="inlineStr">
        <is>
          <t>EXPENSIVE</t>
        </is>
      </c>
      <c r="P191" s="27" t="inlineStr">
        <is>
          <t>EXPENSIVE</t>
        </is>
      </c>
      <c r="Q191" s="27" t="inlineStr">
        <is>
          <t>EXPENSIVE</t>
        </is>
      </c>
      <c r="R191" s="27" t="inlineStr">
        <is>
          <t>0.8354805452058427</t>
        </is>
      </c>
      <c r="S191" s="27" t="inlineStr">
        <is>
          <t>HIGH</t>
        </is>
      </c>
      <c r="T191" s="27" t="inlineStr">
        <is>
          <t>HIGH</t>
        </is>
      </c>
      <c r="U191" s="27" t="inlineStr">
        <is>
          <t>0.4285714285714285</t>
        </is>
      </c>
      <c r="V191" s="27" t="inlineStr">
        <is>
          <t>HIGH_RISK</t>
        </is>
      </c>
      <c r="W191" s="27" t="inlineStr">
        <is>
          <t>고위험</t>
        </is>
      </c>
      <c r="X191" s="27" t="inlineStr">
        <is>
          <t>HIGH_RISK</t>
        </is>
      </c>
      <c r="Y191" s="27" t="inlineStr">
        <is>
          <t>0.8989374267322742</t>
        </is>
      </c>
      <c r="Z191" s="27" t="inlineStr">
        <is>
          <t>HIGH</t>
        </is>
      </c>
      <c r="AA191" s="27" t="inlineStr">
        <is>
          <t>HIGH</t>
        </is>
      </c>
      <c r="AB191" s="27" t="inlineStr">
        <is>
          <t>0.23454395430777328</t>
        </is>
      </c>
      <c r="AC191" s="27" t="inlineStr">
        <is>
          <t>True</t>
        </is>
      </c>
      <c r="AD191" s="27" t="inlineStr">
        <is>
          <t>True</t>
        </is>
      </c>
      <c r="AE191" s="27" t="inlineStr">
        <is>
          <t>valuation_credit_ml_overlay_candidate.csv</t>
        </is>
      </c>
      <c r="AF191" s="27" t="inlineStr">
        <is>
          <t>208개 반도체 reference universe. Valuation Agent가 자체 intake 폴더로 복제해 Peer/ML/대시보드 비교에 사용.</t>
        </is>
      </c>
    </row>
    <row r="192" ht="24" customHeight="1">
      <c r="A192" s="32" t="inlineStr">
        <is>
          <t>100</t>
        </is>
      </c>
      <c r="B192" s="32" t="inlineStr">
        <is>
          <t>해당 없음</t>
        </is>
      </c>
      <c r="C192" s="32" t="inlineStr">
        <is>
          <t>예스티</t>
        </is>
      </c>
      <c r="D192" s="32" t="inlineStr">
        <is>
          <t>122640</t>
        </is>
      </c>
      <c r="E192" s="32" t="inlineStr">
        <is>
          <t>KOSDAQ</t>
        </is>
      </c>
      <c r="F192" s="32" t="inlineStr">
        <is>
          <t>장비</t>
        </is>
      </c>
      <c r="G192" s="32" t="inlineStr">
        <is>
          <t>장비</t>
        </is>
      </c>
      <c r="H192" s="32" t="inlineStr">
        <is>
          <t>False</t>
        </is>
      </c>
      <c r="I192" s="32" t="inlineStr">
        <is>
          <t>True</t>
        </is>
      </c>
      <c r="J192" s="32" t="inlineStr">
        <is>
          <t>OK</t>
        </is>
      </c>
      <c r="K192" s="32" t="inlineStr">
        <is>
          <t>데이터 사용 가능</t>
        </is>
      </c>
      <c r="L192" s="32" t="inlineStr">
        <is>
          <t>LOW</t>
        </is>
      </c>
      <c r="M192" s="32" t="inlineStr">
        <is>
          <t>LOW</t>
        </is>
      </c>
      <c r="N192" s="32" t="inlineStr">
        <is>
          <t>0.2778666666666666</t>
        </is>
      </c>
      <c r="O192" s="32" t="inlineStr">
        <is>
          <t>EXPENSIVE</t>
        </is>
      </c>
      <c r="P192" s="32" t="inlineStr">
        <is>
          <t>EXPENSIVE</t>
        </is>
      </c>
      <c r="Q192" s="32" t="inlineStr">
        <is>
          <t>EXPENSIVE</t>
        </is>
      </c>
      <c r="R192" s="32" t="inlineStr">
        <is>
          <t>0.8070752756860592</t>
        </is>
      </c>
      <c r="S192" s="32" t="inlineStr">
        <is>
          <t>HIGH</t>
        </is>
      </c>
      <c r="T192" s="32" t="inlineStr">
        <is>
          <t>HIGH</t>
        </is>
      </c>
      <c r="U192" s="32" t="inlineStr">
        <is>
          <t>0.2142857142857142</t>
        </is>
      </c>
      <c r="V192" s="32" t="inlineStr">
        <is>
          <t>MEDIUM_RISK</t>
        </is>
      </c>
      <c r="W192" s="32" t="inlineStr">
        <is>
          <t>중위험</t>
        </is>
      </c>
      <c r="X192" s="32" t="inlineStr">
        <is>
          <t>MEDIUM_RISK</t>
        </is>
      </c>
      <c r="Y192" s="32" t="inlineStr">
        <is>
          <t>0.6435379731563315</t>
        </is>
      </c>
      <c r="Z192" s="32" t="inlineStr">
        <is>
          <t>MEDIUM</t>
        </is>
      </c>
      <c r="AA192" s="32" t="inlineStr">
        <is>
          <t>MEDIUM</t>
        </is>
      </c>
      <c r="AB192" s="32" t="inlineStr">
        <is>
          <t>0.013991683799831916</t>
        </is>
      </c>
      <c r="AC192" s="32" t="inlineStr">
        <is>
          <t>False</t>
        </is>
      </c>
      <c r="AD192" s="32" t="inlineStr">
        <is>
          <t>False</t>
        </is>
      </c>
      <c r="AE192" s="32" t="inlineStr">
        <is>
          <t>valuation_credit_ml_overlay_candidate.csv</t>
        </is>
      </c>
      <c r="AF192" s="32" t="inlineStr">
        <is>
          <t>208개 반도체 reference universe. Valuation Agent가 자체 intake 폴더로 복제해 Peer/ML/대시보드 비교에 사용.</t>
        </is>
      </c>
    </row>
    <row r="193" ht="24" customHeight="1">
      <c r="A193" s="27" t="inlineStr">
        <is>
          <t>77</t>
        </is>
      </c>
      <c r="B193" s="27" t="inlineStr">
        <is>
          <t>해당 없음</t>
        </is>
      </c>
      <c r="C193" s="27" t="inlineStr">
        <is>
          <t>기가레인</t>
        </is>
      </c>
      <c r="D193" s="27" t="inlineStr">
        <is>
          <t>049080</t>
        </is>
      </c>
      <c r="E193" s="27" t="inlineStr">
        <is>
          <t>KOSDAQ</t>
        </is>
      </c>
      <c r="F193" s="27" t="inlineStr">
        <is>
          <t>장비</t>
        </is>
      </c>
      <c r="G193" s="27" t="inlineStr">
        <is>
          <t>장비</t>
        </is>
      </c>
      <c r="H193" s="27" t="inlineStr">
        <is>
          <t>False</t>
        </is>
      </c>
      <c r="I193" s="27" t="inlineStr">
        <is>
          <t>True</t>
        </is>
      </c>
      <c r="J193" s="27" t="inlineStr">
        <is>
          <t>OK</t>
        </is>
      </c>
      <c r="K193" s="27" t="inlineStr">
        <is>
          <t>데이터 사용 가능</t>
        </is>
      </c>
      <c r="L193" s="27" t="inlineStr">
        <is>
          <t>LOW</t>
        </is>
      </c>
      <c r="M193" s="27" t="inlineStr">
        <is>
          <t>LOW</t>
        </is>
      </c>
      <c r="N193" s="27" t="inlineStr">
        <is>
          <t>0.2353333333333333</t>
        </is>
      </c>
      <c r="O193" s="27" t="inlineStr">
        <is>
          <t>EXPENSIVE</t>
        </is>
      </c>
      <c r="P193" s="27" t="inlineStr">
        <is>
          <t>EXPENSIVE</t>
        </is>
      </c>
      <c r="Q193" s="27" t="inlineStr">
        <is>
          <t>EXPENSIVE</t>
        </is>
      </c>
      <c r="R193" s="27" t="inlineStr">
        <is>
          <t>0.9628494209555842</t>
        </is>
      </c>
      <c r="S193" s="27" t="inlineStr">
        <is>
          <t>HIGH</t>
        </is>
      </c>
      <c r="T193" s="27" t="inlineStr">
        <is>
          <t>HIGH</t>
        </is>
      </c>
      <c r="U193" s="27" t="inlineStr">
        <is>
          <t>0.5</t>
        </is>
      </c>
      <c r="V193" s="27" t="inlineStr">
        <is>
          <t>HIGH_RISK</t>
        </is>
      </c>
      <c r="W193" s="27" t="inlineStr">
        <is>
          <t>고위험</t>
        </is>
      </c>
      <c r="X193" s="27" t="inlineStr">
        <is>
          <t>HIGH_RISK</t>
        </is>
      </c>
      <c r="Y193" s="27" t="inlineStr">
        <is>
          <t>0.9675100472985046</t>
        </is>
      </c>
      <c r="Z193" s="27" t="inlineStr">
        <is>
          <t>HIGH</t>
        </is>
      </c>
      <c r="AA193" s="27" t="inlineStr">
        <is>
          <t>HIGH</t>
        </is>
      </c>
      <c r="AB193" s="27" t="inlineStr">
        <is>
          <t>0.24264303605410006</t>
        </is>
      </c>
      <c r="AC193" s="27" t="inlineStr">
        <is>
          <t>True</t>
        </is>
      </c>
      <c r="AD193" s="27" t="inlineStr">
        <is>
          <t>True</t>
        </is>
      </c>
      <c r="AE193" s="27" t="inlineStr">
        <is>
          <t>valuation_credit_ml_overlay_candidate.csv</t>
        </is>
      </c>
      <c r="AF193" s="27" t="inlineStr">
        <is>
          <t>208개 반도체 reference universe. Valuation Agent가 자체 intake 폴더로 복제해 Peer/ML/대시보드 비교에 사용.</t>
        </is>
      </c>
    </row>
    <row r="194" ht="24" customHeight="1">
      <c r="A194" s="32" t="inlineStr">
        <is>
          <t>79</t>
        </is>
      </c>
      <c r="B194" s="32" t="inlineStr">
        <is>
          <t>해당 없음</t>
        </is>
      </c>
      <c r="C194" s="32" t="inlineStr">
        <is>
          <t>넥스틴</t>
        </is>
      </c>
      <c r="D194" s="32" t="inlineStr">
        <is>
          <t>348210</t>
        </is>
      </c>
      <c r="E194" s="32" t="inlineStr">
        <is>
          <t>KOSDAQ GLOBAL</t>
        </is>
      </c>
      <c r="F194" s="32" t="inlineStr">
        <is>
          <t>장비</t>
        </is>
      </c>
      <c r="G194" s="32" t="inlineStr">
        <is>
          <t>장비</t>
        </is>
      </c>
      <c r="H194" s="32" t="inlineStr">
        <is>
          <t>False</t>
        </is>
      </c>
      <c r="I194" s="32" t="inlineStr">
        <is>
          <t>True</t>
        </is>
      </c>
      <c r="J194" s="32" t="inlineStr">
        <is>
          <t>OK</t>
        </is>
      </c>
      <c r="K194" s="32" t="inlineStr">
        <is>
          <t>데이터 사용 가능</t>
        </is>
      </c>
      <c r="L194" s="32" t="inlineStr">
        <is>
          <t>LOW</t>
        </is>
      </c>
      <c r="M194" s="32" t="inlineStr">
        <is>
          <t>LOW</t>
        </is>
      </c>
      <c r="N194" s="32" t="inlineStr">
        <is>
          <t>0.2353333333333333</t>
        </is>
      </c>
      <c r="O194" s="32" t="inlineStr">
        <is>
          <t>EXPENSIVE</t>
        </is>
      </c>
      <c r="P194" s="32" t="inlineStr">
        <is>
          <t>EXPENSIVE</t>
        </is>
      </c>
      <c r="Q194" s="32" t="inlineStr">
        <is>
          <t>EXPENSIVE</t>
        </is>
      </c>
      <c r="R194" s="32" t="inlineStr">
        <is>
          <t>0.7906546201121369</t>
        </is>
      </c>
      <c r="S194" s="32" t="inlineStr">
        <is>
          <t>HIGH</t>
        </is>
      </c>
      <c r="T194" s="32" t="inlineStr">
        <is>
          <t>HIGH</t>
        </is>
      </c>
      <c r="U194" s="32" t="inlineStr">
        <is>
          <t>0.4285714285714285</t>
        </is>
      </c>
      <c r="V194" s="32" t="inlineStr">
        <is>
          <t>HIGH_RISK</t>
        </is>
      </c>
      <c r="W194" s="32" t="inlineStr">
        <is>
          <t>고위험</t>
        </is>
      </c>
      <c r="X194" s="32" t="inlineStr">
        <is>
          <t>HIGH_RISK</t>
        </is>
      </c>
      <c r="Y194" s="32" t="inlineStr">
        <is>
          <t>0.8216799677089676</t>
        </is>
      </c>
      <c r="Z194" s="32" t="inlineStr">
        <is>
          <t>HIGH</t>
        </is>
      </c>
      <c r="AA194" s="32" t="inlineStr">
        <is>
          <t>HIGH</t>
        </is>
      </c>
      <c r="AB194" s="32" t="inlineStr">
        <is>
          <t>0.0826003513380603</t>
        </is>
      </c>
      <c r="AC194" s="32" t="inlineStr">
        <is>
          <t>False</t>
        </is>
      </c>
      <c r="AD194" s="32" t="inlineStr">
        <is>
          <t>False</t>
        </is>
      </c>
      <c r="AE194" s="32" t="inlineStr">
        <is>
          <t>valuation_credit_ml_overlay_candidate.csv</t>
        </is>
      </c>
      <c r="AF194" s="32" t="inlineStr">
        <is>
          <t>208개 반도체 reference universe. Valuation Agent가 자체 intake 폴더로 복제해 Peer/ML/대시보드 비교에 사용.</t>
        </is>
      </c>
    </row>
    <row r="195" ht="24" customHeight="1">
      <c r="A195" s="27" t="inlineStr">
        <is>
          <t>110</t>
        </is>
      </c>
      <c r="B195" s="27" t="inlineStr">
        <is>
          <t>해당 없음</t>
        </is>
      </c>
      <c r="C195" s="27" t="inlineStr">
        <is>
          <t>주성엔지니어링</t>
        </is>
      </c>
      <c r="D195" s="27" t="inlineStr">
        <is>
          <t>036930</t>
        </is>
      </c>
      <c r="E195" s="27" t="inlineStr">
        <is>
          <t>KOSDAQ GLOBAL</t>
        </is>
      </c>
      <c r="F195" s="27" t="inlineStr">
        <is>
          <t>장비</t>
        </is>
      </c>
      <c r="G195" s="27" t="inlineStr">
        <is>
          <t>장비</t>
        </is>
      </c>
      <c r="H195" s="27" t="inlineStr">
        <is>
          <t>False</t>
        </is>
      </c>
      <c r="I195" s="27" t="inlineStr">
        <is>
          <t>True</t>
        </is>
      </c>
      <c r="J195" s="27" t="inlineStr">
        <is>
          <t>OK</t>
        </is>
      </c>
      <c r="K195" s="27" t="inlineStr">
        <is>
          <t>데이터 사용 가능</t>
        </is>
      </c>
      <c r="L195" s="27" t="inlineStr">
        <is>
          <t>LOW</t>
        </is>
      </c>
      <c r="M195" s="27" t="inlineStr">
        <is>
          <t>LOW</t>
        </is>
      </c>
      <c r="N195" s="27" t="inlineStr">
        <is>
          <t>0.2335999999999999</t>
        </is>
      </c>
      <c r="O195" s="27" t="inlineStr">
        <is>
          <t>EXPENSIVE</t>
        </is>
      </c>
      <c r="P195" s="27" t="inlineStr">
        <is>
          <t>EXPENSIVE</t>
        </is>
      </c>
      <c r="Q195" s="27" t="inlineStr">
        <is>
          <t>EXPENSIVE</t>
        </is>
      </c>
      <c r="R195" s="27" t="inlineStr">
        <is>
          <t>0.7918979957613304</t>
        </is>
      </c>
      <c r="S195" s="27" t="inlineStr">
        <is>
          <t>HIGH</t>
        </is>
      </c>
      <c r="T195" s="27" t="inlineStr">
        <is>
          <t>HIGH</t>
        </is>
      </c>
      <c r="U195" s="27" t="inlineStr">
        <is>
          <t>0.2857142857142857</t>
        </is>
      </c>
      <c r="V195" s="27" t="inlineStr">
        <is>
          <t>MEDIUM_RISK</t>
        </is>
      </c>
      <c r="W195" s="27" t="inlineStr">
        <is>
          <t>중위험</t>
        </is>
      </c>
      <c r="X195" s="27" t="inlineStr">
        <is>
          <t>MEDIUM_RISK</t>
        </is>
      </c>
      <c r="Y195" s="27" t="inlineStr">
        <is>
          <t>0.4347911224964779</t>
        </is>
      </c>
      <c r="Z195" s="27" t="inlineStr">
        <is>
          <t>LOW</t>
        </is>
      </c>
      <c r="AA195" s="27" t="inlineStr">
        <is>
          <t>LOW</t>
        </is>
      </c>
      <c r="AB195" s="27" t="inlineStr">
        <is>
          <t>0.0617535897003664</t>
        </is>
      </c>
      <c r="AC195" s="27" t="inlineStr">
        <is>
          <t>False</t>
        </is>
      </c>
      <c r="AD195" s="27" t="inlineStr">
        <is>
          <t>True</t>
        </is>
      </c>
      <c r="AE195" s="27" t="inlineStr">
        <is>
          <t>valuation_credit_ml_overlay_candidate.csv</t>
        </is>
      </c>
      <c r="AF195" s="27" t="inlineStr">
        <is>
          <t>208개 반도체 reference universe. Valuation Agent가 자체 intake 폴더로 복제해 Peer/ML/대시보드 비교에 사용.</t>
        </is>
      </c>
    </row>
    <row r="196" ht="24" customHeight="1">
      <c r="A196" s="32" t="inlineStr">
        <is>
          <t>122</t>
        </is>
      </c>
      <c r="B196" s="32" t="inlineStr">
        <is>
          <t>해당 없음</t>
        </is>
      </c>
      <c r="C196" s="32" t="inlineStr">
        <is>
          <t>필옵틱스</t>
        </is>
      </c>
      <c r="D196" s="32" t="inlineStr">
        <is>
          <t>161580</t>
        </is>
      </c>
      <c r="E196" s="32" t="inlineStr">
        <is>
          <t>KOSDAQ</t>
        </is>
      </c>
      <c r="F196" s="32" t="inlineStr">
        <is>
          <t>장비</t>
        </is>
      </c>
      <c r="G196" s="32" t="inlineStr">
        <is>
          <t>장비</t>
        </is>
      </c>
      <c r="H196" s="32" t="inlineStr">
        <is>
          <t>False</t>
        </is>
      </c>
      <c r="I196" s="32" t="inlineStr">
        <is>
          <t>True</t>
        </is>
      </c>
      <c r="J196" s="32" t="inlineStr">
        <is>
          <t>OK</t>
        </is>
      </c>
      <c r="K196" s="32" t="inlineStr">
        <is>
          <t>데이터 사용 가능</t>
        </is>
      </c>
      <c r="L196" s="32" t="inlineStr">
        <is>
          <t>LOW</t>
        </is>
      </c>
      <c r="M196" s="32" t="inlineStr">
        <is>
          <t>LOW</t>
        </is>
      </c>
      <c r="N196" s="32" t="inlineStr">
        <is>
          <t>0.1741333333333333</t>
        </is>
      </c>
      <c r="O196" s="32" t="inlineStr">
        <is>
          <t>EXPENSIVE</t>
        </is>
      </c>
      <c r="P196" s="32" t="inlineStr">
        <is>
          <t>EXPENSIVE</t>
        </is>
      </c>
      <c r="Q196" s="32" t="inlineStr">
        <is>
          <t>EXPENSIVE</t>
        </is>
      </c>
      <c r="R196" s="32" t="inlineStr">
        <is>
          <t>0.9632435860929522</t>
        </is>
      </c>
      <c r="S196" s="32" t="inlineStr">
        <is>
          <t>HIGH</t>
        </is>
      </c>
      <c r="T196" s="32" t="inlineStr">
        <is>
          <t>HIGH</t>
        </is>
      </c>
      <c r="U196" s="32" t="inlineStr">
        <is>
          <t>0.2857142857142857</t>
        </is>
      </c>
      <c r="V196" s="32" t="inlineStr">
        <is>
          <t>MEDIUM_RISK</t>
        </is>
      </c>
      <c r="W196" s="32" t="inlineStr">
        <is>
          <t>중위험</t>
        </is>
      </c>
      <c r="X196" s="32" t="inlineStr">
        <is>
          <t>MEDIUM_RISK</t>
        </is>
      </c>
      <c r="Y196" s="32" t="inlineStr">
        <is>
          <t>0.6167987381468966</t>
        </is>
      </c>
      <c r="Z196" s="32" t="inlineStr">
        <is>
          <t>MEDIUM</t>
        </is>
      </c>
      <c r="AA196" s="32" t="inlineStr">
        <is>
          <t>MEDIUM</t>
        </is>
      </c>
      <c r="AB196" s="32" t="inlineStr">
        <is>
          <t>0.06203854489426491</t>
        </is>
      </c>
      <c r="AC196" s="32" t="inlineStr">
        <is>
          <t>False</t>
        </is>
      </c>
      <c r="AD196" s="32" t="inlineStr">
        <is>
          <t>False</t>
        </is>
      </c>
      <c r="AE196" s="32" t="inlineStr">
        <is>
          <t>valuation_credit_ml_overlay_candidate.csv</t>
        </is>
      </c>
      <c r="AF196" s="32" t="inlineStr">
        <is>
          <t>208개 반도체 reference universe. Valuation Agent가 자체 intake 폴더로 복제해 Peer/ML/대시보드 비교에 사용.</t>
        </is>
      </c>
    </row>
    <row r="197" ht="24" customHeight="1">
      <c r="A197" s="27" t="inlineStr">
        <is>
          <t>62</t>
        </is>
      </c>
      <c r="B197" s="27" t="inlineStr">
        <is>
          <t>해당 없음</t>
        </is>
      </c>
      <c r="C197" s="27" t="inlineStr">
        <is>
          <t>에스에이엠티</t>
        </is>
      </c>
      <c r="D197" s="27" t="inlineStr">
        <is>
          <t>031330</t>
        </is>
      </c>
      <c r="E197" s="27" t="inlineStr">
        <is>
          <t>KOSDAQ</t>
        </is>
      </c>
      <c r="F197" s="27" t="inlineStr">
        <is>
          <t>팹리스/설계</t>
        </is>
      </c>
      <c r="G197" s="27" t="inlineStr">
        <is>
          <t>팹리스/설계</t>
        </is>
      </c>
      <c r="H197" s="27" t="inlineStr">
        <is>
          <t>False</t>
        </is>
      </c>
      <c r="I197" s="27" t="inlineStr">
        <is>
          <t>True</t>
        </is>
      </c>
      <c r="J197" s="27" t="inlineStr">
        <is>
          <t>OK</t>
        </is>
      </c>
      <c r="K197" s="27" t="inlineStr">
        <is>
          <t>데이터 사용 가능</t>
        </is>
      </c>
      <c r="L197" s="27" t="inlineStr">
        <is>
          <t>LOW</t>
        </is>
      </c>
      <c r="M197" s="27" t="inlineStr">
        <is>
          <t>LOW</t>
        </is>
      </c>
      <c r="N197" s="27" t="inlineStr">
        <is>
          <t>0.7838383838383839</t>
        </is>
      </c>
      <c r="O197" s="27" t="inlineStr">
        <is>
          <t>FAIR</t>
        </is>
      </c>
      <c r="P197" s="27" t="inlineStr">
        <is>
          <t>FAIR</t>
        </is>
      </c>
      <c r="Q197" s="27" t="inlineStr">
        <is>
          <t>FAIR</t>
        </is>
      </c>
      <c r="R197" s="27" t="inlineStr">
        <is>
          <t>0.8575928985222669</t>
        </is>
      </c>
      <c r="S197" s="27" t="inlineStr">
        <is>
          <t>HIGH</t>
        </is>
      </c>
      <c r="T197" s="27" t="inlineStr">
        <is>
          <t>HIGH</t>
        </is>
      </c>
      <c r="U197" s="27" t="inlineStr">
        <is>
          <t>0.5</t>
        </is>
      </c>
      <c r="V197" s="27" t="inlineStr">
        <is>
          <t>HIGH_RISK</t>
        </is>
      </c>
      <c r="W197" s="27" t="inlineStr">
        <is>
          <t>고위험</t>
        </is>
      </c>
      <c r="X197" s="27" t="inlineStr">
        <is>
          <t>HIGH_RISK</t>
        </is>
      </c>
      <c r="Y197" s="27" t="inlineStr">
        <is>
          <t>0.5021487096911619</t>
        </is>
      </c>
      <c r="Z197" s="27" t="inlineStr">
        <is>
          <t>MEDIUM</t>
        </is>
      </c>
      <c r="AA197" s="27" t="inlineStr">
        <is>
          <t>MEDIUM</t>
        </is>
      </c>
      <c r="AB197" s="27" t="inlineStr">
        <is>
          <t>0.11372149345925425</t>
        </is>
      </c>
      <c r="AC197" s="27" t="inlineStr">
        <is>
          <t>False</t>
        </is>
      </c>
      <c r="AD197" s="27" t="inlineStr">
        <is>
          <t>False</t>
        </is>
      </c>
      <c r="AE197" s="27" t="inlineStr">
        <is>
          <t>valuation_credit_ml_overlay_candidate.csv</t>
        </is>
      </c>
      <c r="AF197" s="27" t="inlineStr">
        <is>
          <t>208개 반도체 reference universe. Valuation Agent가 자체 intake 폴더로 복제해 Peer/ML/대시보드 비교에 사용.</t>
        </is>
      </c>
    </row>
    <row r="198" ht="24" customHeight="1">
      <c r="A198" s="32" t="inlineStr">
        <is>
          <t>65</t>
        </is>
      </c>
      <c r="B198" s="32" t="inlineStr">
        <is>
          <t>해당 없음</t>
        </is>
      </c>
      <c r="C198" s="32" t="inlineStr">
        <is>
          <t>유니트론텍</t>
        </is>
      </c>
      <c r="D198" s="32" t="inlineStr">
        <is>
          <t>142210</t>
        </is>
      </c>
      <c r="E198" s="32" t="inlineStr">
        <is>
          <t>KOSDAQ</t>
        </is>
      </c>
      <c r="F198" s="32" t="inlineStr">
        <is>
          <t>팹리스/설계</t>
        </is>
      </c>
      <c r="G198" s="32" t="inlineStr">
        <is>
          <t>팹리스/설계</t>
        </is>
      </c>
      <c r="H198" s="32" t="inlineStr">
        <is>
          <t>False</t>
        </is>
      </c>
      <c r="I198" s="32" t="inlineStr">
        <is>
          <t>True</t>
        </is>
      </c>
      <c r="J198" s="32" t="inlineStr">
        <is>
          <t>OK</t>
        </is>
      </c>
      <c r="K198" s="32" t="inlineStr">
        <is>
          <t>데이터 사용 가능</t>
        </is>
      </c>
      <c r="L198" s="32" t="inlineStr">
        <is>
          <t>LOW</t>
        </is>
      </c>
      <c r="M198" s="32" t="inlineStr">
        <is>
          <t>LOW</t>
        </is>
      </c>
      <c r="N198" s="32" t="inlineStr">
        <is>
          <t>0.7478787878787879</t>
        </is>
      </c>
      <c r="O198" s="32" t="inlineStr">
        <is>
          <t>FAIR</t>
        </is>
      </c>
      <c r="P198" s="32" t="inlineStr">
        <is>
          <t>FAIR</t>
        </is>
      </c>
      <c r="Q198" s="32" t="inlineStr">
        <is>
          <t>FAIR</t>
        </is>
      </c>
      <c r="R198" s="32" t="inlineStr">
        <is>
          <t>0.8593164302034415</t>
        </is>
      </c>
      <c r="S198" s="32" t="inlineStr">
        <is>
          <t>HIGH</t>
        </is>
      </c>
      <c r="T198" s="32" t="inlineStr">
        <is>
          <t>HIGH</t>
        </is>
      </c>
      <c r="U198" s="32" t="inlineStr">
        <is>
          <t>0.3571428571428571</t>
        </is>
      </c>
      <c r="V198" s="32" t="inlineStr">
        <is>
          <t>MEDIUM_RISK</t>
        </is>
      </c>
      <c r="W198" s="32" t="inlineStr">
        <is>
          <t>중위험</t>
        </is>
      </c>
      <c r="X198" s="32" t="inlineStr">
        <is>
          <t>MEDIUM_RISK</t>
        </is>
      </c>
      <c r="Y198" s="32" t="inlineStr">
        <is>
          <t>0.6687746551665015</t>
        </is>
      </c>
      <c r="Z198" s="32" t="inlineStr">
        <is>
          <t>MEDIUM</t>
        </is>
      </c>
      <c r="AA198" s="32" t="inlineStr">
        <is>
          <t>MEDIUM</t>
        </is>
      </c>
      <c r="AB198" s="32" t="inlineStr">
        <is>
          <t>0.05354194050015521</t>
        </is>
      </c>
      <c r="AC198" s="32" t="inlineStr">
        <is>
          <t>False</t>
        </is>
      </c>
      <c r="AD198" s="32" t="inlineStr">
        <is>
          <t>False</t>
        </is>
      </c>
      <c r="AE198" s="32" t="inlineStr">
        <is>
          <t>valuation_credit_ml_overlay_candidate.csv</t>
        </is>
      </c>
      <c r="AF198" s="32" t="inlineStr">
        <is>
          <t>208개 반도체 reference universe. Valuation Agent가 자체 intake 폴더로 복제해 Peer/ML/대시보드 비교에 사용.</t>
        </is>
      </c>
    </row>
    <row r="199" ht="24" customHeight="1">
      <c r="A199" s="27" t="inlineStr">
        <is>
          <t>60</t>
        </is>
      </c>
      <c r="B199" s="27" t="inlineStr">
        <is>
          <t>해당 없음</t>
        </is>
      </c>
      <c r="C199" s="27" t="inlineStr">
        <is>
          <t>앤씨앤</t>
        </is>
      </c>
      <c r="D199" s="27" t="inlineStr">
        <is>
          <t>092600</t>
        </is>
      </c>
      <c r="E199" s="27" t="inlineStr">
        <is>
          <t>KOSDAQ</t>
        </is>
      </c>
      <c r="F199" s="27" t="inlineStr">
        <is>
          <t>팹리스/설계</t>
        </is>
      </c>
      <c r="G199" s="27" t="inlineStr">
        <is>
          <t>팹리스/설계</t>
        </is>
      </c>
      <c r="H199" s="27" t="inlineStr">
        <is>
          <t>False</t>
        </is>
      </c>
      <c r="I199" s="27" t="inlineStr">
        <is>
          <t>True</t>
        </is>
      </c>
      <c r="J199" s="27" t="inlineStr">
        <is>
          <t>OK</t>
        </is>
      </c>
      <c r="K199" s="27" t="inlineStr">
        <is>
          <t>데이터 사용 가능</t>
        </is>
      </c>
      <c r="L199" s="27" t="inlineStr">
        <is>
          <t>LOW</t>
        </is>
      </c>
      <c r="M199" s="27" t="inlineStr">
        <is>
          <t>LOW</t>
        </is>
      </c>
      <c r="N199" s="27" t="inlineStr">
        <is>
          <t>0.7450505050505051</t>
        </is>
      </c>
      <c r="O199" s="27" t="inlineStr">
        <is>
          <t>FAIR</t>
        </is>
      </c>
      <c r="P199" s="27" t="inlineStr">
        <is>
          <t>FAIR</t>
        </is>
      </c>
      <c r="Q199" s="27" t="inlineStr">
        <is>
          <t>FAIR</t>
        </is>
      </c>
      <c r="R199" s="27" t="inlineStr">
        <is>
          <t>0.8450252323777523</t>
        </is>
      </c>
      <c r="S199" s="27" t="inlineStr">
        <is>
          <t>HIGH</t>
        </is>
      </c>
      <c r="T199" s="27" t="inlineStr">
        <is>
          <t>HIGH</t>
        </is>
      </c>
      <c r="U199" s="27" t="inlineStr">
        <is>
          <t>0.5</t>
        </is>
      </c>
      <c r="V199" s="27" t="inlineStr">
        <is>
          <t>HIGH_RISK</t>
        </is>
      </c>
      <c r="W199" s="27" t="inlineStr">
        <is>
          <t>고위험</t>
        </is>
      </c>
      <c r="X199" s="27" t="inlineStr">
        <is>
          <t>HIGH_RISK</t>
        </is>
      </c>
      <c r="Y199" s="27" t="inlineStr">
        <is>
          <t>0.6852720703017778</t>
        </is>
      </c>
      <c r="Z199" s="27" t="inlineStr">
        <is>
          <t>MEDIUM</t>
        </is>
      </c>
      <c r="AA199" s="27" t="inlineStr">
        <is>
          <t>MEDIUM</t>
        </is>
      </c>
      <c r="AB199" s="27" t="inlineStr">
        <is>
          <t>0.05126917274476802</t>
        </is>
      </c>
      <c r="AC199" s="27" t="inlineStr">
        <is>
          <t>False</t>
        </is>
      </c>
      <c r="AD199" s="27" t="inlineStr">
        <is>
          <t>False</t>
        </is>
      </c>
      <c r="AE199" s="27" t="inlineStr">
        <is>
          <t>valuation_credit_ml_overlay_candidate.csv</t>
        </is>
      </c>
      <c r="AF199" s="27" t="inlineStr">
        <is>
          <t>208개 반도체 reference universe. Valuation Agent가 자체 intake 폴더로 복제해 Peer/ML/대시보드 비교에 사용.</t>
        </is>
      </c>
    </row>
    <row r="200" ht="24" customHeight="1">
      <c r="A200" s="32" t="inlineStr">
        <is>
          <t>47</t>
        </is>
      </c>
      <c r="B200" s="32" t="inlineStr">
        <is>
          <t>해당 없음</t>
        </is>
      </c>
      <c r="C200" s="32" t="inlineStr">
        <is>
          <t>마이크로컨텍솔</t>
        </is>
      </c>
      <c r="D200" s="32" t="inlineStr">
        <is>
          <t>098120</t>
        </is>
      </c>
      <c r="E200" s="32" t="inlineStr">
        <is>
          <t>KOSDAQ</t>
        </is>
      </c>
      <c r="F200" s="32" t="inlineStr">
        <is>
          <t>팹리스/설계</t>
        </is>
      </c>
      <c r="G200" s="32" t="inlineStr">
        <is>
          <t>팹리스/설계</t>
        </is>
      </c>
      <c r="H200" s="32" t="inlineStr">
        <is>
          <t>False</t>
        </is>
      </c>
      <c r="I200" s="32" t="inlineStr">
        <is>
          <t>True</t>
        </is>
      </c>
      <c r="J200" s="32" t="inlineStr">
        <is>
          <t>OK</t>
        </is>
      </c>
      <c r="K200" s="32" t="inlineStr">
        <is>
          <t>데이터 사용 가능</t>
        </is>
      </c>
      <c r="L200" s="32" t="inlineStr">
        <is>
          <t>LOW</t>
        </is>
      </c>
      <c r="M200" s="32" t="inlineStr">
        <is>
          <t>LOW</t>
        </is>
      </c>
      <c r="N200" s="32" t="inlineStr">
        <is>
          <t>0.7383838383838384</t>
        </is>
      </c>
      <c r="O200" s="32" t="inlineStr">
        <is>
          <t>ATTRACTIVE</t>
        </is>
      </c>
      <c r="P200" s="32" t="inlineStr">
        <is>
          <t>가치 매력</t>
        </is>
      </c>
      <c r="Q200" s="32" t="inlineStr">
        <is>
          <t>ATTRACTIVE</t>
        </is>
      </c>
      <c r="R200" s="32" t="inlineStr">
        <is>
          <t>0.8262966149459129</t>
        </is>
      </c>
      <c r="S200" s="32" t="inlineStr">
        <is>
          <t>HIGH</t>
        </is>
      </c>
      <c r="T200" s="32" t="inlineStr">
        <is>
          <t>HIGH</t>
        </is>
      </c>
      <c r="U200" s="32" t="inlineStr">
        <is>
          <t>0.1428571428571428</t>
        </is>
      </c>
      <c r="V200" s="32" t="inlineStr">
        <is>
          <t>LOW_RISK</t>
        </is>
      </c>
      <c r="W200" s="32" t="inlineStr">
        <is>
          <t>저위험</t>
        </is>
      </c>
      <c r="X200" s="32" t="inlineStr">
        <is>
          <t>LOW_RISK</t>
        </is>
      </c>
      <c r="Y200" s="32" t="inlineStr">
        <is>
          <t>0.7491981695245683</t>
        </is>
      </c>
      <c r="Z200" s="32" t="inlineStr">
        <is>
          <t>HIGH</t>
        </is>
      </c>
      <c r="AA200" s="32" t="inlineStr">
        <is>
          <t>HIGH</t>
        </is>
      </c>
      <c r="AB200" s="32" t="inlineStr">
        <is>
          <t>0.08427857084894262</t>
        </is>
      </c>
      <c r="AC200" s="32" t="inlineStr">
        <is>
          <t>False</t>
        </is>
      </c>
      <c r="AD200" s="32" t="inlineStr">
        <is>
          <t>False</t>
        </is>
      </c>
      <c r="AE200" s="32" t="inlineStr">
        <is>
          <t>valuation_credit_ml_overlay_candidate.csv</t>
        </is>
      </c>
      <c r="AF200" s="32" t="inlineStr">
        <is>
          <t>208개 반도체 reference universe. Valuation Agent가 자체 intake 폴더로 복제해 Peer/ML/대시보드 비교에 사용.</t>
        </is>
      </c>
    </row>
    <row r="201" ht="24" customHeight="1">
      <c r="A201" s="27" t="inlineStr">
        <is>
          <t>55</t>
        </is>
      </c>
      <c r="B201" s="27" t="inlineStr">
        <is>
          <t>해당 없음</t>
        </is>
      </c>
      <c r="C201" s="27" t="inlineStr">
        <is>
          <t>아이앤씨</t>
        </is>
      </c>
      <c r="D201" s="27" t="inlineStr">
        <is>
          <t>052860</t>
        </is>
      </c>
      <c r="E201" s="27" t="inlineStr">
        <is>
          <t>KOSDAQ</t>
        </is>
      </c>
      <c r="F201" s="27" t="inlineStr">
        <is>
          <t>팹리스/설계</t>
        </is>
      </c>
      <c r="G201" s="27" t="inlineStr">
        <is>
          <t>팹리스/설계</t>
        </is>
      </c>
      <c r="H201" s="27" t="inlineStr">
        <is>
          <t>False</t>
        </is>
      </c>
      <c r="I201" s="27" t="inlineStr">
        <is>
          <t>True</t>
        </is>
      </c>
      <c r="J201" s="27" t="inlineStr">
        <is>
          <t>OK</t>
        </is>
      </c>
      <c r="K201" s="27" t="inlineStr">
        <is>
          <t>데이터 사용 가능</t>
        </is>
      </c>
      <c r="L201" s="27" t="inlineStr">
        <is>
          <t>LOW</t>
        </is>
      </c>
      <c r="M201" s="27" t="inlineStr">
        <is>
          <t>LOW</t>
        </is>
      </c>
      <c r="N201" s="27" t="inlineStr">
        <is>
          <t>0.7325252525252526</t>
        </is>
      </c>
      <c r="O201" s="27" t="inlineStr">
        <is>
          <t>ATTRACTIVE</t>
        </is>
      </c>
      <c r="P201" s="27" t="inlineStr">
        <is>
          <t>가치 매력</t>
        </is>
      </c>
      <c r="Q201" s="27" t="inlineStr">
        <is>
          <t>ATTRACTIVE</t>
        </is>
      </c>
      <c r="R201" s="27" t="inlineStr">
        <is>
          <t>0.9267130449922303</t>
        </is>
      </c>
      <c r="S201" s="27" t="inlineStr">
        <is>
          <t>HIGH</t>
        </is>
      </c>
      <c r="T201" s="27" t="inlineStr">
        <is>
          <t>HIGH</t>
        </is>
      </c>
      <c r="U201" s="27" t="inlineStr">
        <is>
          <t>0.0</t>
        </is>
      </c>
      <c r="V201" s="27" t="inlineStr">
        <is>
          <t>LOW_RISK</t>
        </is>
      </c>
      <c r="W201" s="27" t="inlineStr">
        <is>
          <t>저위험</t>
        </is>
      </c>
      <c r="X201" s="27" t="inlineStr">
        <is>
          <t>LOW_RISK</t>
        </is>
      </c>
      <c r="Y201" s="27" t="inlineStr">
        <is>
          <t>0.8920304728976969</t>
        </is>
      </c>
      <c r="Z201" s="27" t="inlineStr">
        <is>
          <t>HIGH</t>
        </is>
      </c>
      <c r="AA201" s="27" t="inlineStr">
        <is>
          <t>HIGH</t>
        </is>
      </c>
      <c r="AB201" s="27" t="inlineStr">
        <is>
          <t>0.022475117759514655</t>
        </is>
      </c>
      <c r="AC201" s="27" t="inlineStr">
        <is>
          <t>False</t>
        </is>
      </c>
      <c r="AD201" s="27" t="inlineStr">
        <is>
          <t>False</t>
        </is>
      </c>
      <c r="AE201" s="27" t="inlineStr">
        <is>
          <t>valuation_credit_ml_overlay_candidate.csv</t>
        </is>
      </c>
      <c r="AF201" s="27" t="inlineStr">
        <is>
          <t>208개 반도체 reference universe. Valuation Agent가 자체 intake 폴더로 복제해 Peer/ML/대시보드 비교에 사용.</t>
        </is>
      </c>
    </row>
    <row r="202" ht="24" customHeight="1">
      <c r="A202" s="32" t="inlineStr">
        <is>
          <t>48</t>
        </is>
      </c>
      <c r="B202" s="32" t="inlineStr">
        <is>
          <t>해당 없음</t>
        </is>
      </c>
      <c r="C202" s="32" t="inlineStr">
        <is>
          <t>매커스</t>
        </is>
      </c>
      <c r="D202" s="32" t="inlineStr">
        <is>
          <t>093520</t>
        </is>
      </c>
      <c r="E202" s="32" t="inlineStr">
        <is>
          <t>KOSDAQ</t>
        </is>
      </c>
      <c r="F202" s="32" t="inlineStr">
        <is>
          <t>팹리스/설계</t>
        </is>
      </c>
      <c r="G202" s="32" t="inlineStr">
        <is>
          <t>팹리스/설계</t>
        </is>
      </c>
      <c r="H202" s="32" t="inlineStr">
        <is>
          <t>False</t>
        </is>
      </c>
      <c r="I202" s="32" t="inlineStr">
        <is>
          <t>True</t>
        </is>
      </c>
      <c r="J202" s="32" t="inlineStr">
        <is>
          <t>OK</t>
        </is>
      </c>
      <c r="K202" s="32" t="inlineStr">
        <is>
          <t>데이터 사용 가능</t>
        </is>
      </c>
      <c r="L202" s="32" t="inlineStr">
        <is>
          <t>LOW</t>
        </is>
      </c>
      <c r="M202" s="32" t="inlineStr">
        <is>
          <t>LOW</t>
        </is>
      </c>
      <c r="N202" s="32" t="inlineStr">
        <is>
          <t>0.7056565656565656</t>
        </is>
      </c>
      <c r="O202" s="32" t="inlineStr">
        <is>
          <t>ATTRACTIVE</t>
        </is>
      </c>
      <c r="P202" s="32" t="inlineStr">
        <is>
          <t>가치 매력</t>
        </is>
      </c>
      <c r="Q202" s="32" t="inlineStr">
        <is>
          <t>ATTRACTIVE</t>
        </is>
      </c>
      <c r="R202" s="32" t="inlineStr">
        <is>
          <t>0.9375173489226767</t>
        </is>
      </c>
      <c r="S202" s="32" t="inlineStr">
        <is>
          <t>HIGH</t>
        </is>
      </c>
      <c r="T202" s="32" t="inlineStr">
        <is>
          <t>HIGH</t>
        </is>
      </c>
      <c r="U202" s="32" t="inlineStr">
        <is>
          <t>0.0</t>
        </is>
      </c>
      <c r="V202" s="32" t="inlineStr">
        <is>
          <t>LOW_RISK</t>
        </is>
      </c>
      <c r="W202" s="32" t="inlineStr">
        <is>
          <t>저위험</t>
        </is>
      </c>
      <c r="X202" s="32" t="inlineStr">
        <is>
          <t>LOW_RISK</t>
        </is>
      </c>
      <c r="Y202" s="32" t="inlineStr">
        <is>
          <t>0.8297390345025338</t>
        </is>
      </c>
      <c r="Z202" s="32" t="inlineStr">
        <is>
          <t>HIGH</t>
        </is>
      </c>
      <c r="AA202" s="32" t="inlineStr">
        <is>
          <t>HIGH</t>
        </is>
      </c>
      <c r="AB202" s="32" t="inlineStr">
        <is>
          <t>0.08420442573717486</t>
        </is>
      </c>
      <c r="AC202" s="32" t="inlineStr">
        <is>
          <t>False</t>
        </is>
      </c>
      <c r="AD202" s="32" t="inlineStr">
        <is>
          <t>False</t>
        </is>
      </c>
      <c r="AE202" s="32" t="inlineStr">
        <is>
          <t>valuation_credit_ml_overlay_candidate.csv</t>
        </is>
      </c>
      <c r="AF202" s="32" t="inlineStr">
        <is>
          <t>208개 반도체 reference universe. Valuation Agent가 자체 intake 폴더로 복제해 Peer/ML/대시보드 비교에 사용.</t>
        </is>
      </c>
    </row>
    <row r="203" ht="24" customHeight="1">
      <c r="A203" s="27" t="inlineStr">
        <is>
          <t>41</t>
        </is>
      </c>
      <c r="B203" s="27" t="inlineStr">
        <is>
          <t>해당 없음</t>
        </is>
      </c>
      <c r="C203" s="27" t="inlineStr">
        <is>
          <t>LX세미콘</t>
        </is>
      </c>
      <c r="D203" s="27" t="inlineStr">
        <is>
          <t>108320</t>
        </is>
      </c>
      <c r="E203" s="27" t="inlineStr">
        <is>
          <t>KOSPI</t>
        </is>
      </c>
      <c r="F203" s="27" t="inlineStr">
        <is>
          <t>팹리스/설계</t>
        </is>
      </c>
      <c r="G203" s="27" t="inlineStr">
        <is>
          <t>팹리스/설계</t>
        </is>
      </c>
      <c r="H203" s="27" t="inlineStr">
        <is>
          <t>False</t>
        </is>
      </c>
      <c r="I203" s="27" t="inlineStr">
        <is>
          <t>True</t>
        </is>
      </c>
      <c r="J203" s="27" t="inlineStr">
        <is>
          <t>OK</t>
        </is>
      </c>
      <c r="K203" s="27" t="inlineStr">
        <is>
          <t>데이터 사용 가능</t>
        </is>
      </c>
      <c r="L203" s="27" t="inlineStr">
        <is>
          <t>LOW</t>
        </is>
      </c>
      <c r="M203" s="27" t="inlineStr">
        <is>
          <t>LOW</t>
        </is>
      </c>
      <c r="N203" s="27" t="inlineStr">
        <is>
          <t>0.6953535353535354</t>
        </is>
      </c>
      <c r="O203" s="27" t="inlineStr">
        <is>
          <t>ATTRACTIVE</t>
        </is>
      </c>
      <c r="P203" s="27" t="inlineStr">
        <is>
          <t>가치 매력</t>
        </is>
      </c>
      <c r="Q203" s="27" t="inlineStr">
        <is>
          <t>ATTRACTIVE</t>
        </is>
      </c>
      <c r="R203" s="27" t="inlineStr">
        <is>
          <t>0.951012131492064</t>
        </is>
      </c>
      <c r="S203" s="27" t="inlineStr">
        <is>
          <t>HIGH</t>
        </is>
      </c>
      <c r="T203" s="27" t="inlineStr">
        <is>
          <t>HIGH</t>
        </is>
      </c>
      <c r="U203" s="27" t="inlineStr">
        <is>
          <t>0.0</t>
        </is>
      </c>
      <c r="V203" s="27" t="inlineStr">
        <is>
          <t>LOW_RISK</t>
        </is>
      </c>
      <c r="W203" s="27" t="inlineStr">
        <is>
          <t>저위험</t>
        </is>
      </c>
      <c r="X203" s="27" t="inlineStr">
        <is>
          <t>LOW_RISK</t>
        </is>
      </c>
      <c r="Y203" s="27" t="inlineStr">
        <is>
          <t>0.9675260077633142</t>
        </is>
      </c>
      <c r="Z203" s="27" t="inlineStr">
        <is>
          <t>HIGH</t>
        </is>
      </c>
      <c r="AA203" s="27" t="inlineStr">
        <is>
          <t>HIGH</t>
        </is>
      </c>
      <c r="AB203" s="27" t="inlineStr">
        <is>
          <t>0.0526549169074082</t>
        </is>
      </c>
      <c r="AC203" s="27" t="inlineStr">
        <is>
          <t>False</t>
        </is>
      </c>
      <c r="AD203" s="27" t="inlineStr">
        <is>
          <t>False</t>
        </is>
      </c>
      <c r="AE203" s="27" t="inlineStr">
        <is>
          <t>valuation_credit_ml_overlay_candidate.csv</t>
        </is>
      </c>
      <c r="AF203" s="27" t="inlineStr">
        <is>
          <t>208개 반도체 reference universe. Valuation Agent가 자체 intake 폴더로 복제해 Peer/ML/대시보드 비교에 사용.</t>
        </is>
      </c>
    </row>
    <row r="204" ht="24" customHeight="1">
      <c r="A204" s="32" t="inlineStr">
        <is>
          <t>61</t>
        </is>
      </c>
      <c r="B204" s="32" t="inlineStr">
        <is>
          <t>해당 없음</t>
        </is>
      </c>
      <c r="C204" s="32" t="inlineStr">
        <is>
          <t>어보브반도체</t>
        </is>
      </c>
      <c r="D204" s="32" t="inlineStr">
        <is>
          <t>102120</t>
        </is>
      </c>
      <c r="E204" s="32" t="inlineStr">
        <is>
          <t>KOSDAQ</t>
        </is>
      </c>
      <c r="F204" s="32" t="inlineStr">
        <is>
          <t>팹리스/설계</t>
        </is>
      </c>
      <c r="G204" s="32" t="inlineStr">
        <is>
          <t>팹리스/설계</t>
        </is>
      </c>
      <c r="H204" s="32" t="inlineStr">
        <is>
          <t>False</t>
        </is>
      </c>
      <c r="I204" s="32" t="inlineStr">
        <is>
          <t>True</t>
        </is>
      </c>
      <c r="J204" s="32" t="inlineStr">
        <is>
          <t>OK</t>
        </is>
      </c>
      <c r="K204" s="32" t="inlineStr">
        <is>
          <t>데이터 사용 가능</t>
        </is>
      </c>
      <c r="L204" s="32" t="inlineStr">
        <is>
          <t>LOW</t>
        </is>
      </c>
      <c r="M204" s="32" t="inlineStr">
        <is>
          <t>LOW</t>
        </is>
      </c>
      <c r="N204" s="32" t="inlineStr">
        <is>
          <t>0.6933333333333332</t>
        </is>
      </c>
      <c r="O204" s="32" t="inlineStr">
        <is>
          <t>FAIR</t>
        </is>
      </c>
      <c r="P204" s="32" t="inlineStr">
        <is>
          <t>FAIR</t>
        </is>
      </c>
      <c r="Q204" s="32" t="inlineStr">
        <is>
          <t>FAIR</t>
        </is>
      </c>
      <c r="R204" s="32" t="inlineStr">
        <is>
          <t>0.9028406871788379</t>
        </is>
      </c>
      <c r="S204" s="32" t="inlineStr">
        <is>
          <t>HIGH</t>
        </is>
      </c>
      <c r="T204" s="32" t="inlineStr">
        <is>
          <t>HIGH</t>
        </is>
      </c>
      <c r="U204" s="32" t="inlineStr">
        <is>
          <t>0.0714285714285714</t>
        </is>
      </c>
      <c r="V204" s="32" t="inlineStr">
        <is>
          <t>LOW_RISK</t>
        </is>
      </c>
      <c r="W204" s="32" t="inlineStr">
        <is>
          <t>저위험</t>
        </is>
      </c>
      <c r="X204" s="32" t="inlineStr">
        <is>
          <t>LOW_RISK</t>
        </is>
      </c>
      <c r="Y204" s="32" t="inlineStr">
        <is>
          <t>0.7134163381020407</t>
        </is>
      </c>
      <c r="Z204" s="32" t="inlineStr">
        <is>
          <t>HIGH</t>
        </is>
      </c>
      <c r="AA204" s="32" t="inlineStr">
        <is>
          <t>HIGH</t>
        </is>
      </c>
      <c r="AB204" s="32" t="inlineStr">
        <is>
          <t>0.020764615542161708</t>
        </is>
      </c>
      <c r="AC204" s="32" t="inlineStr">
        <is>
          <t>False</t>
        </is>
      </c>
      <c r="AD204" s="32" t="inlineStr">
        <is>
          <t>False</t>
        </is>
      </c>
      <c r="AE204" s="32" t="inlineStr">
        <is>
          <t>valuation_credit_ml_overlay_candidate.csv</t>
        </is>
      </c>
      <c r="AF204" s="32" t="inlineStr">
        <is>
          <t>208개 반도체 reference universe. Valuation Agent가 자체 intake 폴더로 복제해 Peer/ML/대시보드 비교에 사용.</t>
        </is>
      </c>
    </row>
    <row r="205" ht="24" customHeight="1">
      <c r="A205" s="27" t="inlineStr">
        <is>
          <t>58</t>
        </is>
      </c>
      <c r="B205" s="27" t="inlineStr">
        <is>
          <t>해당 없음</t>
        </is>
      </c>
      <c r="C205" s="27" t="inlineStr">
        <is>
          <t>알에프세미</t>
        </is>
      </c>
      <c r="D205" s="27" t="inlineStr">
        <is>
          <t>096610</t>
        </is>
      </c>
      <c r="E205" s="27" t="inlineStr">
        <is>
          <t>KOSDAQ</t>
        </is>
      </c>
      <c r="F205" s="27" t="inlineStr">
        <is>
          <t>팹리스/설계</t>
        </is>
      </c>
      <c r="G205" s="27" t="inlineStr">
        <is>
          <t>팹리스/설계</t>
        </is>
      </c>
      <c r="H205" s="27" t="inlineStr">
        <is>
          <t>False</t>
        </is>
      </c>
      <c r="I205" s="27" t="inlineStr">
        <is>
          <t>True</t>
        </is>
      </c>
      <c r="J205" s="27" t="inlineStr">
        <is>
          <t>OK</t>
        </is>
      </c>
      <c r="K205" s="27" t="inlineStr">
        <is>
          <t>데이터 사용 가능</t>
        </is>
      </c>
      <c r="L205" s="27" t="inlineStr">
        <is>
          <t>LOW</t>
        </is>
      </c>
      <c r="M205" s="27" t="inlineStr">
        <is>
          <t>LOW</t>
        </is>
      </c>
      <c r="N205" s="27" t="inlineStr">
        <is>
          <t>0.603030303030303</t>
        </is>
      </c>
      <c r="O205" s="27" t="inlineStr">
        <is>
          <t>ATTRACTIVE</t>
        </is>
      </c>
      <c r="P205" s="27" t="inlineStr">
        <is>
          <t>가치 매력</t>
        </is>
      </c>
      <c r="Q205" s="27" t="inlineStr">
        <is>
          <t>ATTRACTIVE</t>
        </is>
      </c>
      <c r="R205" s="27" t="inlineStr">
        <is>
          <t>0.8083150256499313</t>
        </is>
      </c>
      <c r="S205" s="27" t="inlineStr">
        <is>
          <t>HIGH</t>
        </is>
      </c>
      <c r="T205" s="27" t="inlineStr">
        <is>
          <t>HIGH</t>
        </is>
      </c>
      <c r="U205" s="27" t="inlineStr">
        <is>
          <t>0.0714285714285714</t>
        </is>
      </c>
      <c r="V205" s="27" t="inlineStr">
        <is>
          <t>LOW_RISK</t>
        </is>
      </c>
      <c r="W205" s="27" t="inlineStr">
        <is>
          <t>저위험</t>
        </is>
      </c>
      <c r="X205" s="27" t="inlineStr">
        <is>
          <t>LOW_RISK</t>
        </is>
      </c>
      <c r="Y205" s="27" t="inlineStr">
        <is>
          <t>0.8655657172147194</t>
        </is>
      </c>
      <c r="Z205" s="27" t="inlineStr">
        <is>
          <t>HIGH</t>
        </is>
      </c>
      <c r="AA205" s="27" t="inlineStr">
        <is>
          <t>HIGH</t>
        </is>
      </c>
      <c r="AB205" s="27" t="inlineStr">
        <is>
          <t>0.30686355706948754</t>
        </is>
      </c>
      <c r="AC205" s="27" t="inlineStr">
        <is>
          <t>True</t>
        </is>
      </c>
      <c r="AD205" s="27" t="inlineStr">
        <is>
          <t>True</t>
        </is>
      </c>
      <c r="AE205" s="27" t="inlineStr">
        <is>
          <t>valuation_credit_ml_overlay_candidate.csv</t>
        </is>
      </c>
      <c r="AF205" s="27" t="inlineStr">
        <is>
          <t>208개 반도체 reference universe. Valuation Agent가 자체 intake 폴더로 복제해 Peer/ML/대시보드 비교에 사용.</t>
        </is>
      </c>
    </row>
    <row r="206" ht="24" customHeight="1">
      <c r="A206" s="32" t="inlineStr">
        <is>
          <t>66</t>
        </is>
      </c>
      <c r="B206" s="32" t="inlineStr">
        <is>
          <t>해당 없음</t>
        </is>
      </c>
      <c r="C206" s="32" t="inlineStr">
        <is>
          <t>제주반도체</t>
        </is>
      </c>
      <c r="D206" s="32" t="inlineStr">
        <is>
          <t>080220</t>
        </is>
      </c>
      <c r="E206" s="32" t="inlineStr">
        <is>
          <t>KOSDAQ</t>
        </is>
      </c>
      <c r="F206" s="32" t="inlineStr">
        <is>
          <t>팹리스/설계</t>
        </is>
      </c>
      <c r="G206" s="32" t="inlineStr">
        <is>
          <t>팹리스/설계</t>
        </is>
      </c>
      <c r="H206" s="32" t="inlineStr">
        <is>
          <t>False</t>
        </is>
      </c>
      <c r="I206" s="32" t="inlineStr">
        <is>
          <t>True</t>
        </is>
      </c>
      <c r="J206" s="32" t="inlineStr">
        <is>
          <t>OK</t>
        </is>
      </c>
      <c r="K206" s="32" t="inlineStr">
        <is>
          <t>데이터 사용 가능</t>
        </is>
      </c>
      <c r="L206" s="32" t="inlineStr">
        <is>
          <t>LOW</t>
        </is>
      </c>
      <c r="M206" s="32" t="inlineStr">
        <is>
          <t>LOW</t>
        </is>
      </c>
      <c r="N206" s="32" t="inlineStr">
        <is>
          <t>0.5917171717171718</t>
        </is>
      </c>
      <c r="O206" s="32" t="inlineStr">
        <is>
          <t>ATTRACTIVE</t>
        </is>
      </c>
      <c r="P206" s="32" t="inlineStr">
        <is>
          <t>가치 매력</t>
        </is>
      </c>
      <c r="Q206" s="32" t="inlineStr">
        <is>
          <t>ATTRACTIVE</t>
        </is>
      </c>
      <c r="R206" s="32" t="inlineStr">
        <is>
          <t>0.6955424557105586</t>
        </is>
      </c>
      <c r="S206" s="32" t="inlineStr">
        <is>
          <t>MEDIUM</t>
        </is>
      </c>
      <c r="T206" s="32" t="inlineStr">
        <is>
          <t>MEDIUM</t>
        </is>
      </c>
      <c r="U206" s="32" t="inlineStr">
        <is>
          <t>0.0</t>
        </is>
      </c>
      <c r="V206" s="32" t="inlineStr">
        <is>
          <t>LOW_RISK</t>
        </is>
      </c>
      <c r="W206" s="32" t="inlineStr">
        <is>
          <t>저위험</t>
        </is>
      </c>
      <c r="X206" s="32" t="inlineStr">
        <is>
          <t>LOW_RISK</t>
        </is>
      </c>
      <c r="Y206" s="32" t="inlineStr">
        <is>
          <t>0.9206625395821784</t>
        </is>
      </c>
      <c r="Z206" s="32" t="inlineStr">
        <is>
          <t>HIGH</t>
        </is>
      </c>
      <c r="AA206" s="32" t="inlineStr">
        <is>
          <t>HIGH</t>
        </is>
      </c>
      <c r="AB206" s="32" t="inlineStr">
        <is>
          <t>0.022944474321634056</t>
        </is>
      </c>
      <c r="AC206" s="32" t="inlineStr">
        <is>
          <t>False</t>
        </is>
      </c>
      <c r="AD206" s="32" t="inlineStr">
        <is>
          <t>False</t>
        </is>
      </c>
      <c r="AE206" s="32" t="inlineStr">
        <is>
          <t>valuation_credit_ml_overlay_candidate.csv</t>
        </is>
      </c>
      <c r="AF206" s="32" t="inlineStr">
        <is>
          <t>208개 반도체 reference universe. Valuation Agent가 자체 intake 폴더로 복제해 Peer/ML/대시보드 비교에 사용.</t>
        </is>
      </c>
    </row>
    <row r="207" ht="24" customHeight="1">
      <c r="A207" s="27" t="inlineStr">
        <is>
          <t>71</t>
        </is>
      </c>
      <c r="B207" s="27" t="inlineStr">
        <is>
          <t>해당 없음</t>
        </is>
      </c>
      <c r="C207" s="27" t="inlineStr">
        <is>
          <t>티에스이</t>
        </is>
      </c>
      <c r="D207" s="27" t="inlineStr">
        <is>
          <t>131290</t>
        </is>
      </c>
      <c r="E207" s="27" t="inlineStr">
        <is>
          <t>KOSDAQ</t>
        </is>
      </c>
      <c r="F207" s="27" t="inlineStr">
        <is>
          <t>팹리스/설계</t>
        </is>
      </c>
      <c r="G207" s="27" t="inlineStr">
        <is>
          <t>팹리스/설계</t>
        </is>
      </c>
      <c r="H207" s="27" t="inlineStr">
        <is>
          <t>False</t>
        </is>
      </c>
      <c r="I207" s="27" t="inlineStr">
        <is>
          <t>True</t>
        </is>
      </c>
      <c r="J207" s="27" t="inlineStr">
        <is>
          <t>OK</t>
        </is>
      </c>
      <c r="K207" s="27" t="inlineStr">
        <is>
          <t>데이터 사용 가능</t>
        </is>
      </c>
      <c r="L207" s="27" t="inlineStr">
        <is>
          <t>LOW</t>
        </is>
      </c>
      <c r="M207" s="27" t="inlineStr">
        <is>
          <t>LOW</t>
        </is>
      </c>
      <c r="N207" s="27" t="inlineStr">
        <is>
          <t>0.5880808080808082</t>
        </is>
      </c>
      <c r="O207" s="27" t="inlineStr">
        <is>
          <t>ATTRACTIVE</t>
        </is>
      </c>
      <c r="P207" s="27" t="inlineStr">
        <is>
          <t>가치 매력</t>
        </is>
      </c>
      <c r="Q207" s="27" t="inlineStr">
        <is>
          <t>ATTRACTIVE</t>
        </is>
      </c>
      <c r="R207" s="27" t="inlineStr">
        <is>
          <t>0.7390287615028212</t>
        </is>
      </c>
      <c r="S207" s="27" t="inlineStr">
        <is>
          <t>HIGH</t>
        </is>
      </c>
      <c r="T207" s="27" t="inlineStr">
        <is>
          <t>HIGH</t>
        </is>
      </c>
      <c r="U207" s="27" t="inlineStr">
        <is>
          <t>0.0</t>
        </is>
      </c>
      <c r="V207" s="27" t="inlineStr">
        <is>
          <t>LOW_RISK</t>
        </is>
      </c>
      <c r="W207" s="27" t="inlineStr">
        <is>
          <t>저위험</t>
        </is>
      </c>
      <c r="X207" s="27" t="inlineStr">
        <is>
          <t>LOW_RISK</t>
        </is>
      </c>
      <c r="Y207" s="27" t="inlineStr">
        <is>
          <t>0.9709748314872512</t>
        </is>
      </c>
      <c r="Z207" s="27" t="inlineStr">
        <is>
          <t>HIGH</t>
        </is>
      </c>
      <c r="AA207" s="27" t="inlineStr">
        <is>
          <t>HIGH</t>
        </is>
      </c>
      <c r="AB207" s="27" t="inlineStr">
        <is>
          <t>0.018067787318761474</t>
        </is>
      </c>
      <c r="AC207" s="27" t="inlineStr">
        <is>
          <t>False</t>
        </is>
      </c>
      <c r="AD207" s="27" t="inlineStr">
        <is>
          <t>False</t>
        </is>
      </c>
      <c r="AE207" s="27" t="inlineStr">
        <is>
          <t>valuation_credit_ml_overlay_candidate.csv</t>
        </is>
      </c>
      <c r="AF207" s="27" t="inlineStr">
        <is>
          <t>208개 반도체 reference universe. Valuation Agent가 자체 intake 폴더로 복제해 Peer/ML/대시보드 비교에 사용.</t>
        </is>
      </c>
    </row>
    <row r="208" ht="24" customHeight="1">
      <c r="A208" s="32" t="inlineStr">
        <is>
          <t>53</t>
        </is>
      </c>
      <c r="B208" s="32" t="inlineStr">
        <is>
          <t>해당 없음</t>
        </is>
      </c>
      <c r="C208" s="32" t="inlineStr">
        <is>
          <t>아나패스</t>
        </is>
      </c>
      <c r="D208" s="32" t="inlineStr">
        <is>
          <t>123860</t>
        </is>
      </c>
      <c r="E208" s="32" t="inlineStr">
        <is>
          <t>KOSDAQ</t>
        </is>
      </c>
      <c r="F208" s="32" t="inlineStr">
        <is>
          <t>팹리스/설계</t>
        </is>
      </c>
      <c r="G208" s="32" t="inlineStr">
        <is>
          <t>팹리스/설계</t>
        </is>
      </c>
      <c r="H208" s="32" t="inlineStr">
        <is>
          <t>False</t>
        </is>
      </c>
      <c r="I208" s="32" t="inlineStr">
        <is>
          <t>True</t>
        </is>
      </c>
      <c r="J208" s="32" t="inlineStr">
        <is>
          <t>OK</t>
        </is>
      </c>
      <c r="K208" s="32" t="inlineStr">
        <is>
          <t>데이터 사용 가능</t>
        </is>
      </c>
      <c r="L208" s="32" t="inlineStr">
        <is>
          <t>LOW</t>
        </is>
      </c>
      <c r="M208" s="32" t="inlineStr">
        <is>
          <t>LOW</t>
        </is>
      </c>
      <c r="N208" s="32" t="inlineStr">
        <is>
          <t>0.5761616161616162</t>
        </is>
      </c>
      <c r="O208" s="32" t="inlineStr">
        <is>
          <t>FAIR</t>
        </is>
      </c>
      <c r="P208" s="32" t="inlineStr">
        <is>
          <t>FAIR</t>
        </is>
      </c>
      <c r="Q208" s="32" t="inlineStr">
        <is>
          <t>ATTRACTIVE</t>
        </is>
      </c>
      <c r="R208" s="32" t="inlineStr">
        <is>
          <t>0.510332377942325</t>
        </is>
      </c>
      <c r="S208" s="32" t="inlineStr">
        <is>
          <t>MEDIUM</t>
        </is>
      </c>
      <c r="T208" s="32" t="inlineStr">
        <is>
          <t>MEDIUM</t>
        </is>
      </c>
      <c r="U208" s="32" t="inlineStr">
        <is>
          <t>0.0</t>
        </is>
      </c>
      <c r="V208" s="32" t="inlineStr">
        <is>
          <t>LOW_RISK</t>
        </is>
      </c>
      <c r="W208" s="32" t="inlineStr">
        <is>
          <t>저위험</t>
        </is>
      </c>
      <c r="X208" s="32" t="inlineStr">
        <is>
          <t>LOW_RISK</t>
        </is>
      </c>
      <c r="Y208" s="32" t="inlineStr">
        <is>
          <t>0.9162612285765747</t>
        </is>
      </c>
      <c r="Z208" s="32" t="inlineStr">
        <is>
          <t>HIGH</t>
        </is>
      </c>
      <c r="AA208" s="32" t="inlineStr">
        <is>
          <t>HIGH</t>
        </is>
      </c>
      <c r="AB208" s="32" t="inlineStr">
        <is>
          <t>0.10416084144507474</t>
        </is>
      </c>
      <c r="AC208" s="32" t="inlineStr">
        <is>
          <t>False</t>
        </is>
      </c>
      <c r="AD208" s="32" t="inlineStr">
        <is>
          <t>False</t>
        </is>
      </c>
      <c r="AE208" s="32" t="inlineStr">
        <is>
          <t>valuation_credit_ml_overlay_candidate.csv</t>
        </is>
      </c>
      <c r="AF208" s="32" t="inlineStr">
        <is>
          <t>208개 반도체 reference universe. Valuation Agent가 자체 intake 폴더로 복제해 Peer/ML/대시보드 비교에 사용.</t>
        </is>
      </c>
    </row>
    <row r="209" ht="24" customHeight="1">
      <c r="A209" s="27" t="inlineStr">
        <is>
          <t>68</t>
        </is>
      </c>
      <c r="B209" s="27" t="inlineStr">
        <is>
          <t>해당 없음</t>
        </is>
      </c>
      <c r="C209" s="27" t="inlineStr">
        <is>
          <t>코아시아</t>
        </is>
      </c>
      <c r="D209" s="27" t="inlineStr">
        <is>
          <t>045970</t>
        </is>
      </c>
      <c r="E209" s="27" t="inlineStr">
        <is>
          <t>KOSDAQ</t>
        </is>
      </c>
      <c r="F209" s="27" t="inlineStr">
        <is>
          <t>팹리스/설계</t>
        </is>
      </c>
      <c r="G209" s="27" t="inlineStr">
        <is>
          <t>팹리스/설계</t>
        </is>
      </c>
      <c r="H209" s="27" t="inlineStr">
        <is>
          <t>False</t>
        </is>
      </c>
      <c r="I209" s="27" t="inlineStr">
        <is>
          <t>True</t>
        </is>
      </c>
      <c r="J209" s="27" t="inlineStr">
        <is>
          <t>OK</t>
        </is>
      </c>
      <c r="K209" s="27" t="inlineStr">
        <is>
          <t>데이터 사용 가능</t>
        </is>
      </c>
      <c r="L209" s="27" t="inlineStr">
        <is>
          <t>LOW</t>
        </is>
      </c>
      <c r="M209" s="27" t="inlineStr">
        <is>
          <t>LOW</t>
        </is>
      </c>
      <c r="N209" s="27" t="inlineStr">
        <is>
          <t>0.5612121212121212</t>
        </is>
      </c>
      <c r="O209" s="27" t="inlineStr">
        <is>
          <t>FAIR</t>
        </is>
      </c>
      <c r="P209" s="27" t="inlineStr">
        <is>
          <t>FAIR</t>
        </is>
      </c>
      <c r="Q209" s="27" t="inlineStr">
        <is>
          <t>FAIR</t>
        </is>
      </c>
      <c r="R209" s="27" t="inlineStr">
        <is>
          <t>0.811266524244761</t>
        </is>
      </c>
      <c r="S209" s="27" t="inlineStr">
        <is>
          <t>HIGH</t>
        </is>
      </c>
      <c r="T209" s="27" t="inlineStr">
        <is>
          <t>HIGH</t>
        </is>
      </c>
      <c r="U209" s="27" t="inlineStr">
        <is>
          <t>0.5</t>
        </is>
      </c>
      <c r="V209" s="27" t="inlineStr">
        <is>
          <t>HIGH_RISK</t>
        </is>
      </c>
      <c r="W209" s="27" t="inlineStr">
        <is>
          <t>고위험</t>
        </is>
      </c>
      <c r="X209" s="27" t="inlineStr">
        <is>
          <t>HIGH_RISK</t>
        </is>
      </c>
      <c r="Y209" s="27" t="inlineStr">
        <is>
          <t>0.7677840717507917</t>
        </is>
      </c>
      <c r="Z209" s="27" t="inlineStr">
        <is>
          <t>HIGH</t>
        </is>
      </c>
      <c r="AA209" s="27" t="inlineStr">
        <is>
          <t>HIGH</t>
        </is>
      </c>
      <c r="AB209" s="27" t="inlineStr">
        <is>
          <t>0.06747219473464933</t>
        </is>
      </c>
      <c r="AC209" s="27" t="inlineStr">
        <is>
          <t>False</t>
        </is>
      </c>
      <c r="AD209" s="27" t="inlineStr">
        <is>
          <t>False</t>
        </is>
      </c>
      <c r="AE209" s="27" t="inlineStr">
        <is>
          <t>valuation_credit_ml_overlay_candidate.csv</t>
        </is>
      </c>
      <c r="AF209" s="27" t="inlineStr">
        <is>
          <t>208개 반도체 reference universe. Valuation Agent가 자체 intake 폴더로 복제해 Peer/ML/대시보드 비교에 사용.</t>
        </is>
      </c>
    </row>
    <row r="210" ht="24" customHeight="1">
      <c r="A210" s="32" t="inlineStr">
        <is>
          <t>73</t>
        </is>
      </c>
      <c r="B210" s="32" t="inlineStr">
        <is>
          <t>해당 없음</t>
        </is>
      </c>
      <c r="C210" s="32" t="inlineStr">
        <is>
          <t>픽셀플러스</t>
        </is>
      </c>
      <c r="D210" s="32" t="inlineStr">
        <is>
          <t>087600</t>
        </is>
      </c>
      <c r="E210" s="32" t="inlineStr">
        <is>
          <t>KOSDAQ</t>
        </is>
      </c>
      <c r="F210" s="32" t="inlineStr">
        <is>
          <t>팹리스/설계</t>
        </is>
      </c>
      <c r="G210" s="32" t="inlineStr">
        <is>
          <t>팹리스/설계</t>
        </is>
      </c>
      <c r="H210" s="32" t="inlineStr">
        <is>
          <t>False</t>
        </is>
      </c>
      <c r="I210" s="32" t="inlineStr">
        <is>
          <t>True</t>
        </is>
      </c>
      <c r="J210" s="32" t="inlineStr">
        <is>
          <t>OK</t>
        </is>
      </c>
      <c r="K210" s="32" t="inlineStr">
        <is>
          <t>데이터 사용 가능</t>
        </is>
      </c>
      <c r="L210" s="32" t="inlineStr">
        <is>
          <t>LOW</t>
        </is>
      </c>
      <c r="M210" s="32" t="inlineStr">
        <is>
          <t>LOW</t>
        </is>
      </c>
      <c r="N210" s="32" t="inlineStr">
        <is>
          <t>0.543030303030303</t>
        </is>
      </c>
      <c r="O210" s="32" t="inlineStr">
        <is>
          <t>FAIR</t>
        </is>
      </c>
      <c r="P210" s="32" t="inlineStr">
        <is>
          <t>FAIR</t>
        </is>
      </c>
      <c r="Q210" s="32" t="inlineStr">
        <is>
          <t>FAIR</t>
        </is>
      </c>
      <c r="R210" s="32" t="inlineStr">
        <is>
          <t>0.8353732583827468</t>
        </is>
      </c>
      <c r="S210" s="32" t="inlineStr">
        <is>
          <t>HIGH</t>
        </is>
      </c>
      <c r="T210" s="32" t="inlineStr">
        <is>
          <t>HIGH</t>
        </is>
      </c>
      <c r="U210" s="32" t="inlineStr">
        <is>
          <t>0.2857142857142857</t>
        </is>
      </c>
      <c r="V210" s="32" t="inlineStr">
        <is>
          <t>MEDIUM_RISK</t>
        </is>
      </c>
      <c r="W210" s="32" t="inlineStr">
        <is>
          <t>중위험</t>
        </is>
      </c>
      <c r="X210" s="32" t="inlineStr">
        <is>
          <t>MEDIUM_RISK</t>
        </is>
      </c>
      <c r="Y210" s="32" t="inlineStr">
        <is>
          <t>0.8277119254156154</t>
        </is>
      </c>
      <c r="Z210" s="32" t="inlineStr">
        <is>
          <t>HIGH</t>
        </is>
      </c>
      <c r="AA210" s="32" t="inlineStr">
        <is>
          <t>HIGH</t>
        </is>
      </c>
      <c r="AB210" s="32" t="inlineStr">
        <is>
          <t>0.08861749399056779</t>
        </is>
      </c>
      <c r="AC210" s="32" t="inlineStr">
        <is>
          <t>False</t>
        </is>
      </c>
      <c r="AD210" s="32" t="inlineStr">
        <is>
          <t>False</t>
        </is>
      </c>
      <c r="AE210" s="32" t="inlineStr">
        <is>
          <t>valuation_credit_ml_overlay_candidate.csv</t>
        </is>
      </c>
      <c r="AF210" s="32" t="inlineStr">
        <is>
          <t>208개 반도체 reference universe. Valuation Agent가 자체 intake 폴더로 복제해 Peer/ML/대시보드 비교에 사용.</t>
        </is>
      </c>
    </row>
    <row r="211" ht="24" customHeight="1">
      <c r="A211" s="27" t="inlineStr">
        <is>
          <t>67</t>
        </is>
      </c>
      <c r="B211" s="27" t="inlineStr">
        <is>
          <t>해당 없음</t>
        </is>
      </c>
      <c r="C211" s="27" t="inlineStr">
        <is>
          <t>칩스앤미디어</t>
        </is>
      </c>
      <c r="D211" s="27" t="inlineStr">
        <is>
          <t>094360</t>
        </is>
      </c>
      <c r="E211" s="27" t="inlineStr">
        <is>
          <t>KOSDAQ</t>
        </is>
      </c>
      <c r="F211" s="27" t="inlineStr">
        <is>
          <t>팹리스/설계</t>
        </is>
      </c>
      <c r="G211" s="27" t="inlineStr">
        <is>
          <t>팹리스/설계</t>
        </is>
      </c>
      <c r="H211" s="27" t="inlineStr">
        <is>
          <t>False</t>
        </is>
      </c>
      <c r="I211" s="27" t="inlineStr">
        <is>
          <t>True</t>
        </is>
      </c>
      <c r="J211" s="27" t="inlineStr">
        <is>
          <t>OK</t>
        </is>
      </c>
      <c r="K211" s="27" t="inlineStr">
        <is>
          <t>데이터 사용 가능</t>
        </is>
      </c>
      <c r="L211" s="27" t="inlineStr">
        <is>
          <t>LOW</t>
        </is>
      </c>
      <c r="M211" s="27" t="inlineStr">
        <is>
          <t>LOW</t>
        </is>
      </c>
      <c r="N211" s="27" t="inlineStr">
        <is>
          <t>0.5424242424242424</t>
        </is>
      </c>
      <c r="O211" s="27" t="inlineStr">
        <is>
          <t>FAIR</t>
        </is>
      </c>
      <c r="P211" s="27" t="inlineStr">
        <is>
          <t>FAIR</t>
        </is>
      </c>
      <c r="Q211" s="27" t="inlineStr">
        <is>
          <t>FAIR</t>
        </is>
      </c>
      <c r="R211" s="27" t="inlineStr">
        <is>
          <t>0.44740744488593415</t>
        </is>
      </c>
      <c r="S211" s="27" t="inlineStr">
        <is>
          <t>LOW</t>
        </is>
      </c>
      <c r="T211" s="27" t="inlineStr">
        <is>
          <t>LOW</t>
        </is>
      </c>
      <c r="U211" s="27" t="inlineStr">
        <is>
          <t>0.0</t>
        </is>
      </c>
      <c r="V211" s="27" t="inlineStr">
        <is>
          <t>LOW_RISK</t>
        </is>
      </c>
      <c r="W211" s="27" t="inlineStr">
        <is>
          <t>저위험</t>
        </is>
      </c>
      <c r="X211" s="27" t="inlineStr">
        <is>
          <t>LOW_RISK</t>
        </is>
      </c>
      <c r="Y211" s="27" t="inlineStr">
        <is>
          <t>0.9394752479511282</t>
        </is>
      </c>
      <c r="Z211" s="27" t="inlineStr">
        <is>
          <t>HIGH</t>
        </is>
      </c>
      <c r="AA211" s="27" t="inlineStr">
        <is>
          <t>HIGH</t>
        </is>
      </c>
      <c r="AB211" s="27" t="inlineStr">
        <is>
          <t>0.1165162896524789</t>
        </is>
      </c>
      <c r="AC211" s="27" t="inlineStr">
        <is>
          <t>False</t>
        </is>
      </c>
      <c r="AD211" s="27" t="inlineStr">
        <is>
          <t>True</t>
        </is>
      </c>
      <c r="AE211" s="27" t="inlineStr">
        <is>
          <t>valuation_credit_ml_overlay_candidate.csv</t>
        </is>
      </c>
      <c r="AF211" s="27" t="inlineStr">
        <is>
          <t>208개 반도체 reference universe. Valuation Agent가 자체 intake 폴더로 복제해 Peer/ML/대시보드 비교에 사용.</t>
        </is>
      </c>
    </row>
    <row r="212" ht="24" customHeight="1">
      <c r="A212" s="32" t="inlineStr">
        <is>
          <t>57</t>
        </is>
      </c>
      <c r="B212" s="32" t="inlineStr">
        <is>
          <t>해당 없음</t>
        </is>
      </c>
      <c r="C212" s="32" t="inlineStr">
        <is>
          <t>아이케이세미콘</t>
        </is>
      </c>
      <c r="D212" s="32" t="inlineStr">
        <is>
          <t>149010</t>
        </is>
      </c>
      <c r="E212" s="32" t="inlineStr">
        <is>
          <t>KONEX</t>
        </is>
      </c>
      <c r="F212" s="32" t="inlineStr">
        <is>
          <t>팹리스/설계</t>
        </is>
      </c>
      <c r="G212" s="32" t="inlineStr">
        <is>
          <t>팹리스/설계</t>
        </is>
      </c>
      <c r="H212" s="32" t="inlineStr">
        <is>
          <t>False</t>
        </is>
      </c>
      <c r="I212" s="32" t="inlineStr">
        <is>
          <t>True</t>
        </is>
      </c>
      <c r="J212" s="32" t="inlineStr">
        <is>
          <t>NO_DART_FINANCIAL_DATA</t>
        </is>
      </c>
      <c r="K212" s="32" t="inlineStr">
        <is>
          <t>데이터 사용 가능</t>
        </is>
      </c>
      <c r="L212" s="32" t="inlineStr">
        <is>
          <t>HIGH</t>
        </is>
      </c>
      <c r="M212" s="32" t="inlineStr">
        <is>
          <t>HIGH</t>
        </is>
      </c>
      <c r="N212" s="32" t="inlineStr">
        <is>
          <t>0.497979797979798</t>
        </is>
      </c>
      <c r="O212" s="32" t="inlineStr">
        <is>
          <t>FAIR</t>
        </is>
      </c>
      <c r="P212" s="32" t="inlineStr">
        <is>
          <t>FAIR</t>
        </is>
      </c>
      <c r="Q212" s="32" t="inlineStr">
        <is>
          <t>FAIR</t>
        </is>
      </c>
      <c r="R212" s="32" t="inlineStr">
        <is>
          <t>0.9626560040296214</t>
        </is>
      </c>
      <c r="S212" s="32" t="inlineStr">
        <is>
          <t>HIGH</t>
        </is>
      </c>
      <c r="T212" s="32" t="inlineStr">
        <is>
          <t>HIGH</t>
        </is>
      </c>
      <c r="U212" s="32" t="inlineStr">
        <is>
          <t>0.6428571428571429</t>
        </is>
      </c>
      <c r="V212" s="32" t="inlineStr">
        <is>
          <t>HIGH_RISK</t>
        </is>
      </c>
      <c r="W212" s="32" t="inlineStr">
        <is>
          <t>고위험</t>
        </is>
      </c>
      <c r="X212" s="32" t="inlineStr">
        <is>
          <t>HIGH_RISK</t>
        </is>
      </c>
      <c r="Y212" s="32" t="inlineStr">
        <is>
          <t>0.7070645883552188</t>
        </is>
      </c>
      <c r="Z212" s="32" t="inlineStr">
        <is>
          <t>HIGH</t>
        </is>
      </c>
      <c r="AA212" s="32" t="inlineStr">
        <is>
          <t>HIGH</t>
        </is>
      </c>
      <c r="AB212" s="32" t="inlineStr">
        <is>
          <t>0.07589516599498297</t>
        </is>
      </c>
      <c r="AC212" s="32" t="inlineStr">
        <is>
          <t>False</t>
        </is>
      </c>
      <c r="AD212" s="32" t="inlineStr">
        <is>
          <t>True</t>
        </is>
      </c>
      <c r="AE212" s="32" t="inlineStr">
        <is>
          <t>valuation_credit_ml_overlay_candidate.csv</t>
        </is>
      </c>
      <c r="AF212" s="32" t="inlineStr">
        <is>
          <t>208개 반도체 reference universe. Valuation Agent가 자체 intake 폴더로 복제해 Peer/ML/대시보드 비교에 사용.</t>
        </is>
      </c>
    </row>
    <row r="213" ht="24" customHeight="1">
      <c r="A213" s="27" t="inlineStr">
        <is>
          <t>70</t>
        </is>
      </c>
      <c r="B213" s="27" t="inlineStr">
        <is>
          <t>해당 없음</t>
        </is>
      </c>
      <c r="C213" s="27" t="inlineStr">
        <is>
          <t>텔레칩스</t>
        </is>
      </c>
      <c r="D213" s="27" t="inlineStr">
        <is>
          <t>054450</t>
        </is>
      </c>
      <c r="E213" s="27" t="inlineStr">
        <is>
          <t>KOSDAQ</t>
        </is>
      </c>
      <c r="F213" s="27" t="inlineStr">
        <is>
          <t>팹리스/설계</t>
        </is>
      </c>
      <c r="G213" s="27" t="inlineStr">
        <is>
          <t>팹리스/설계</t>
        </is>
      </c>
      <c r="H213" s="27" t="inlineStr">
        <is>
          <t>False</t>
        </is>
      </c>
      <c r="I213" s="27" t="inlineStr">
        <is>
          <t>True</t>
        </is>
      </c>
      <c r="J213" s="27" t="inlineStr">
        <is>
          <t>OK</t>
        </is>
      </c>
      <c r="K213" s="27" t="inlineStr">
        <is>
          <t>데이터 사용 가능</t>
        </is>
      </c>
      <c r="L213" s="27" t="inlineStr">
        <is>
          <t>LOW</t>
        </is>
      </c>
      <c r="M213" s="27" t="inlineStr">
        <is>
          <t>LOW</t>
        </is>
      </c>
      <c r="N213" s="27" t="inlineStr">
        <is>
          <t>0.4943434343434343</t>
        </is>
      </c>
      <c r="O213" s="27" t="inlineStr">
        <is>
          <t>FAIR</t>
        </is>
      </c>
      <c r="P213" s="27" t="inlineStr">
        <is>
          <t>FAIR</t>
        </is>
      </c>
      <c r="Q213" s="27" t="inlineStr">
        <is>
          <t>EXPENSIVE</t>
        </is>
      </c>
      <c r="R213" s="27" t="inlineStr">
        <is>
          <t>0.5716537225721987</t>
        </is>
      </c>
      <c r="S213" s="27" t="inlineStr">
        <is>
          <t>MEDIUM</t>
        </is>
      </c>
      <c r="T213" s="27" t="inlineStr">
        <is>
          <t>MEDIUM</t>
        </is>
      </c>
      <c r="U213" s="27" t="inlineStr">
        <is>
          <t>0.7142857142857143</t>
        </is>
      </c>
      <c r="V213" s="27" t="inlineStr">
        <is>
          <t>HIGH_RISK</t>
        </is>
      </c>
      <c r="W213" s="27" t="inlineStr">
        <is>
          <t>고위험</t>
        </is>
      </c>
      <c r="X213" s="27" t="inlineStr">
        <is>
          <t>HIGH_RISK</t>
        </is>
      </c>
      <c r="Y213" s="27" t="inlineStr">
        <is>
          <t>0.9759550340612091</t>
        </is>
      </c>
      <c r="Z213" s="27" t="inlineStr">
        <is>
          <t>HIGH</t>
        </is>
      </c>
      <c r="AA213" s="27" t="inlineStr">
        <is>
          <t>HIGH</t>
        </is>
      </c>
      <c r="AB213" s="27" t="inlineStr">
        <is>
          <t>0.07328745198510121</t>
        </is>
      </c>
      <c r="AC213" s="27" t="inlineStr">
        <is>
          <t>False</t>
        </is>
      </c>
      <c r="AD213" s="27" t="inlineStr">
        <is>
          <t>False</t>
        </is>
      </c>
      <c r="AE213" s="27" t="inlineStr">
        <is>
          <t>valuation_credit_ml_overlay_candidate.csv</t>
        </is>
      </c>
      <c r="AF213" s="27" t="inlineStr">
        <is>
          <t>208개 반도체 reference universe. Valuation Agent가 자체 intake 폴더로 복제해 Peer/ML/대시보드 비교에 사용.</t>
        </is>
      </c>
    </row>
    <row r="214" ht="24" customHeight="1">
      <c r="A214" s="32" t="inlineStr">
        <is>
          <t>59</t>
        </is>
      </c>
      <c r="B214" s="32" t="inlineStr">
        <is>
          <t>해당 없음</t>
        </is>
      </c>
      <c r="C214" s="32" t="inlineStr">
        <is>
          <t>알파칩스</t>
        </is>
      </c>
      <c r="D214" s="32" t="inlineStr">
        <is>
          <t>117670</t>
        </is>
      </c>
      <c r="E214" s="32" t="inlineStr">
        <is>
          <t>KOSDAQ</t>
        </is>
      </c>
      <c r="F214" s="32" t="inlineStr">
        <is>
          <t>팹리스/설계</t>
        </is>
      </c>
      <c r="G214" s="32" t="inlineStr">
        <is>
          <t>팹리스/설계</t>
        </is>
      </c>
      <c r="H214" s="32" t="inlineStr">
        <is>
          <t>False</t>
        </is>
      </c>
      <c r="I214" s="32" t="inlineStr">
        <is>
          <t>True</t>
        </is>
      </c>
      <c r="J214" s="32" t="inlineStr">
        <is>
          <t>OK</t>
        </is>
      </c>
      <c r="K214" s="32" t="inlineStr">
        <is>
          <t>데이터 사용 가능</t>
        </is>
      </c>
      <c r="L214" s="32" t="inlineStr">
        <is>
          <t>LOW</t>
        </is>
      </c>
      <c r="M214" s="32" t="inlineStr">
        <is>
          <t>LOW</t>
        </is>
      </c>
      <c r="N214" s="32" t="inlineStr">
        <is>
          <t>0.4826262626262627</t>
        </is>
      </c>
      <c r="O214" s="32" t="inlineStr">
        <is>
          <t>FAIR</t>
        </is>
      </c>
      <c r="P214" s="32" t="inlineStr">
        <is>
          <t>FAIR</t>
        </is>
      </c>
      <c r="Q214" s="32" t="inlineStr">
        <is>
          <t>FAIR</t>
        </is>
      </c>
      <c r="R214" s="32" t="inlineStr">
        <is>
          <t>0.7398835550872951</t>
        </is>
      </c>
      <c r="S214" s="32" t="inlineStr">
        <is>
          <t>HIGH</t>
        </is>
      </c>
      <c r="T214" s="32" t="inlineStr">
        <is>
          <t>HIGH</t>
        </is>
      </c>
      <c r="U214" s="32" t="inlineStr">
        <is>
          <t>0.2857142857142857</t>
        </is>
      </c>
      <c r="V214" s="32" t="inlineStr">
        <is>
          <t>MEDIUM_RISK</t>
        </is>
      </c>
      <c r="W214" s="32" t="inlineStr">
        <is>
          <t>중위험</t>
        </is>
      </c>
      <c r="X214" s="32" t="inlineStr">
        <is>
          <t>MEDIUM_RISK</t>
        </is>
      </c>
      <c r="Y214" s="32" t="inlineStr">
        <is>
          <t>0.8321400367761521</t>
        </is>
      </c>
      <c r="Z214" s="32" t="inlineStr">
        <is>
          <t>HIGH</t>
        </is>
      </c>
      <c r="AA214" s="32" t="inlineStr">
        <is>
          <t>HIGH</t>
        </is>
      </c>
      <c r="AB214" s="32" t="inlineStr">
        <is>
          <t>0.06605777558134833</t>
        </is>
      </c>
      <c r="AC214" s="32" t="inlineStr">
        <is>
          <t>False</t>
        </is>
      </c>
      <c r="AD214" s="32" t="inlineStr">
        <is>
          <t>False</t>
        </is>
      </c>
      <c r="AE214" s="32" t="inlineStr">
        <is>
          <t>valuation_credit_ml_overlay_candidate.csv</t>
        </is>
      </c>
      <c r="AF214" s="32" t="inlineStr">
        <is>
          <t>208개 반도체 reference universe. Valuation Agent가 자체 intake 폴더로 복제해 Peer/ML/대시보드 비교에 사용.</t>
        </is>
      </c>
    </row>
    <row r="215" ht="24" customHeight="1">
      <c r="A215" s="27" t="inlineStr">
        <is>
          <t>46</t>
        </is>
      </c>
      <c r="B215" s="27" t="inlineStr">
        <is>
          <t>해당 없음</t>
        </is>
      </c>
      <c r="C215" s="27" t="inlineStr">
        <is>
          <t>라온로보틱스</t>
        </is>
      </c>
      <c r="D215" s="27" t="inlineStr">
        <is>
          <t>232680</t>
        </is>
      </c>
      <c r="E215" s="27" t="inlineStr">
        <is>
          <t>KOSDAQ</t>
        </is>
      </c>
      <c r="F215" s="27" t="inlineStr">
        <is>
          <t>팹리스/설계</t>
        </is>
      </c>
      <c r="G215" s="27" t="inlineStr">
        <is>
          <t>팹리스/설계</t>
        </is>
      </c>
      <c r="H215" s="27" t="inlineStr">
        <is>
          <t>False</t>
        </is>
      </c>
      <c r="I215" s="27" t="inlineStr">
        <is>
          <t>True</t>
        </is>
      </c>
      <c r="J215" s="27" t="inlineStr">
        <is>
          <t>OK</t>
        </is>
      </c>
      <c r="K215" s="27" t="inlineStr">
        <is>
          <t>데이터 사용 가능</t>
        </is>
      </c>
      <c r="L215" s="27" t="inlineStr">
        <is>
          <t>LOW</t>
        </is>
      </c>
      <c r="M215" s="27" t="inlineStr">
        <is>
          <t>LOW</t>
        </is>
      </c>
      <c r="N215" s="27" t="inlineStr">
        <is>
          <t>0.4745454545454545</t>
        </is>
      </c>
      <c r="O215" s="27" t="inlineStr">
        <is>
          <t>FAIR</t>
        </is>
      </c>
      <c r="P215" s="27" t="inlineStr">
        <is>
          <t>FAIR</t>
        </is>
      </c>
      <c r="Q215" s="27" t="inlineStr">
        <is>
          <t>FAIR</t>
        </is>
      </c>
      <c r="R215" s="27" t="inlineStr">
        <is>
          <t>0.7863374675167921</t>
        </is>
      </c>
      <c r="S215" s="27" t="inlineStr">
        <is>
          <t>HIGH</t>
        </is>
      </c>
      <c r="T215" s="27" t="inlineStr">
        <is>
          <t>HIGH</t>
        </is>
      </c>
      <c r="U215" s="27" t="inlineStr">
        <is>
          <t>0.1428571428571428</t>
        </is>
      </c>
      <c r="V215" s="27" t="inlineStr">
        <is>
          <t>LOW_RISK</t>
        </is>
      </c>
      <c r="W215" s="27" t="inlineStr">
        <is>
          <t>저위험</t>
        </is>
      </c>
      <c r="X215" s="27" t="inlineStr">
        <is>
          <t>LOW_RISK</t>
        </is>
      </c>
      <c r="Y215" s="27" t="inlineStr">
        <is>
          <t>0.6877521386643212</t>
        </is>
      </c>
      <c r="Z215" s="27" t="inlineStr">
        <is>
          <t>MEDIUM</t>
        </is>
      </c>
      <c r="AA215" s="27" t="inlineStr">
        <is>
          <t>MEDIUM</t>
        </is>
      </c>
      <c r="AB215" s="27" t="inlineStr">
        <is>
          <t>0.026169607074936322</t>
        </is>
      </c>
      <c r="AC215" s="27" t="inlineStr">
        <is>
          <t>False</t>
        </is>
      </c>
      <c r="AD215" s="27" t="inlineStr">
        <is>
          <t>False</t>
        </is>
      </c>
      <c r="AE215" s="27" t="inlineStr">
        <is>
          <t>valuation_credit_ml_overlay_candidate.csv</t>
        </is>
      </c>
      <c r="AF215" s="27" t="inlineStr">
        <is>
          <t>208개 반도체 reference universe. Valuation Agent가 자체 intake 폴더로 복제해 Peer/ML/대시보드 비교에 사용.</t>
        </is>
      </c>
    </row>
    <row r="216" ht="24" customHeight="1">
      <c r="A216" s="32" t="inlineStr">
        <is>
          <t>51</t>
        </is>
      </c>
      <c r="B216" s="32" t="inlineStr">
        <is>
          <t>해당 없음</t>
        </is>
      </c>
      <c r="C216" s="32" t="inlineStr">
        <is>
          <t>싸이닉솔루션</t>
        </is>
      </c>
      <c r="D216" s="32" t="inlineStr">
        <is>
          <t>234030</t>
        </is>
      </c>
      <c r="E216" s="32" t="inlineStr">
        <is>
          <t>KOSDAQ</t>
        </is>
      </c>
      <c r="F216" s="32" t="inlineStr">
        <is>
          <t>팹리스/설계</t>
        </is>
      </c>
      <c r="G216" s="32" t="inlineStr">
        <is>
          <t>팹리스/설계</t>
        </is>
      </c>
      <c r="H216" s="32" t="inlineStr">
        <is>
          <t>False</t>
        </is>
      </c>
      <c r="I216" s="32" t="inlineStr">
        <is>
          <t>True</t>
        </is>
      </c>
      <c r="J216" s="32" t="inlineStr">
        <is>
          <t>OK_LIMITED_HISTORY_OR_GROWTH_NA</t>
        </is>
      </c>
      <c r="K216" s="32" t="inlineStr">
        <is>
          <t>데이터 사용 가능</t>
        </is>
      </c>
      <c r="L216" s="32" t="inlineStr">
        <is>
          <t>LOW</t>
        </is>
      </c>
      <c r="M216" s="32" t="inlineStr">
        <is>
          <t>LOW</t>
        </is>
      </c>
      <c r="N216" s="32" t="inlineStr">
        <is>
          <t>0.4670707070707071</t>
        </is>
      </c>
      <c r="O216" s="32" t="inlineStr">
        <is>
          <t>FAIR</t>
        </is>
      </c>
      <c r="P216" s="32" t="inlineStr">
        <is>
          <t>FAIR</t>
        </is>
      </c>
      <c r="Q216" s="32" t="inlineStr">
        <is>
          <t>FAIR</t>
        </is>
      </c>
      <c r="R216" s="32" t="inlineStr">
        <is>
          <t>0.7962034217650586</t>
        </is>
      </c>
      <c r="S216" s="32" t="inlineStr">
        <is>
          <t>HIGH</t>
        </is>
      </c>
      <c r="T216" s="32" t="inlineStr">
        <is>
          <t>HIGH</t>
        </is>
      </c>
      <c r="U216" s="32" t="inlineStr">
        <is>
          <t>0.3571428571428571</t>
        </is>
      </c>
      <c r="V216" s="32" t="inlineStr">
        <is>
          <t>MEDIUM_RISK</t>
        </is>
      </c>
      <c r="W216" s="32" t="inlineStr">
        <is>
          <t>중위험</t>
        </is>
      </c>
      <c r="X216" s="32" t="inlineStr">
        <is>
          <t>MEDIUM_RISK</t>
        </is>
      </c>
      <c r="Y216" s="32" t="inlineStr">
        <is>
          <t>0.7381251250014311</t>
        </is>
      </c>
      <c r="Z216" s="32" t="inlineStr">
        <is>
          <t>HIGH</t>
        </is>
      </c>
      <c r="AA216" s="32" t="inlineStr">
        <is>
          <t>HIGH</t>
        </is>
      </c>
      <c r="AB216" s="32" t="inlineStr">
        <is>
          <t>0.06902922032160619</t>
        </is>
      </c>
      <c r="AC216" s="32" t="inlineStr">
        <is>
          <t>False</t>
        </is>
      </c>
      <c r="AD216" s="32" t="inlineStr">
        <is>
          <t>True</t>
        </is>
      </c>
      <c r="AE216" s="32" t="inlineStr">
        <is>
          <t>valuation_credit_ml_overlay_candidate.csv</t>
        </is>
      </c>
      <c r="AF216" s="32" t="inlineStr">
        <is>
          <t>208개 반도체 reference universe. Valuation Agent가 자체 intake 폴더로 복제해 Peer/ML/대시보드 비교에 사용.</t>
        </is>
      </c>
    </row>
    <row r="217" ht="24" customHeight="1">
      <c r="A217" s="27" t="inlineStr">
        <is>
          <t>56</t>
        </is>
      </c>
      <c r="B217" s="27" t="inlineStr">
        <is>
          <t>해당 없음</t>
        </is>
      </c>
      <c r="C217" s="27" t="inlineStr">
        <is>
          <t>아이언디바이스</t>
        </is>
      </c>
      <c r="D217" s="27" t="inlineStr">
        <is>
          <t>464500</t>
        </is>
      </c>
      <c r="E217" s="27" t="inlineStr">
        <is>
          <t>KOSDAQ</t>
        </is>
      </c>
      <c r="F217" s="27" t="inlineStr">
        <is>
          <t>팹리스/설계</t>
        </is>
      </c>
      <c r="G217" s="27" t="inlineStr">
        <is>
          <t>팹리스/설계</t>
        </is>
      </c>
      <c r="H217" s="27" t="inlineStr">
        <is>
          <t>False</t>
        </is>
      </c>
      <c r="I217" s="27" t="inlineStr">
        <is>
          <t>True</t>
        </is>
      </c>
      <c r="J217" s="27" t="inlineStr">
        <is>
          <t>OK_LIMITED_HISTORY_OR_GROWTH_NA</t>
        </is>
      </c>
      <c r="K217" s="27" t="inlineStr">
        <is>
          <t>데이터 사용 가능</t>
        </is>
      </c>
      <c r="L217" s="27" t="inlineStr">
        <is>
          <t>LOW</t>
        </is>
      </c>
      <c r="M217" s="27" t="inlineStr">
        <is>
          <t>LOW</t>
        </is>
      </c>
      <c r="N217" s="27" t="inlineStr">
        <is>
          <t>0.4278787878787879</t>
        </is>
      </c>
      <c r="O217" s="27" t="inlineStr">
        <is>
          <t>FAIR</t>
        </is>
      </c>
      <c r="P217" s="27" t="inlineStr">
        <is>
          <t>FAIR</t>
        </is>
      </c>
      <c r="Q217" s="27" t="inlineStr">
        <is>
          <t>EXPENSIVE</t>
        </is>
      </c>
      <c r="R217" s="27" t="inlineStr">
        <is>
          <t>0.767854918982104</t>
        </is>
      </c>
      <c r="S217" s="27" t="inlineStr">
        <is>
          <t>HIGH</t>
        </is>
      </c>
      <c r="T217" s="27" t="inlineStr">
        <is>
          <t>HIGH</t>
        </is>
      </c>
      <c r="U217" s="27" t="inlineStr">
        <is>
          <t>0.5714285714285714</t>
        </is>
      </c>
      <c r="V217" s="27" t="inlineStr">
        <is>
          <t>HIGH_RISK</t>
        </is>
      </c>
      <c r="W217" s="27" t="inlineStr">
        <is>
          <t>고위험</t>
        </is>
      </c>
      <c r="X217" s="27" t="inlineStr">
        <is>
          <t>HIGH_RISK</t>
        </is>
      </c>
      <c r="Y217" s="27" t="inlineStr">
        <is>
          <t>0.9669454138137473</t>
        </is>
      </c>
      <c r="Z217" s="27" t="inlineStr">
        <is>
          <t>HIGH</t>
        </is>
      </c>
      <c r="AA217" s="27" t="inlineStr">
        <is>
          <t>HIGH</t>
        </is>
      </c>
      <c r="AB217" s="27" t="inlineStr">
        <is>
          <t>0.37904191381671964</t>
        </is>
      </c>
      <c r="AC217" s="27" t="inlineStr">
        <is>
          <t>True</t>
        </is>
      </c>
      <c r="AD217" s="27" t="inlineStr">
        <is>
          <t>True</t>
        </is>
      </c>
      <c r="AE217" s="27" t="inlineStr">
        <is>
          <t>valuation_credit_ml_overlay_candidate.csv</t>
        </is>
      </c>
      <c r="AF217" s="27" t="inlineStr">
        <is>
          <t>208개 반도체 reference universe. Valuation Agent가 자체 intake 폴더로 복제해 Peer/ML/대시보드 비교에 사용.</t>
        </is>
      </c>
    </row>
    <row r="218" ht="24" customHeight="1">
      <c r="A218" s="32" t="inlineStr">
        <is>
          <t>52</t>
        </is>
      </c>
      <c r="B218" s="32" t="inlineStr">
        <is>
          <t>해당 없음</t>
        </is>
      </c>
      <c r="C218" s="32" t="inlineStr">
        <is>
          <t>쓰리에이로직스</t>
        </is>
      </c>
      <c r="D218" s="32" t="inlineStr">
        <is>
          <t>177900</t>
        </is>
      </c>
      <c r="E218" s="32" t="inlineStr">
        <is>
          <t>KOSDAQ</t>
        </is>
      </c>
      <c r="F218" s="32" t="inlineStr">
        <is>
          <t>팹리스/설계</t>
        </is>
      </c>
      <c r="G218" s="32" t="inlineStr">
        <is>
          <t>팹리스/설계</t>
        </is>
      </c>
      <c r="H218" s="32" t="inlineStr">
        <is>
          <t>False</t>
        </is>
      </c>
      <c r="I218" s="32" t="inlineStr">
        <is>
          <t>True</t>
        </is>
      </c>
      <c r="J218" s="32" t="inlineStr">
        <is>
          <t>OK_LIMITED_HISTORY_OR_GROWTH_NA</t>
        </is>
      </c>
      <c r="K218" s="32" t="inlineStr">
        <is>
          <t>데이터 사용 가능</t>
        </is>
      </c>
      <c r="L218" s="32" t="inlineStr">
        <is>
          <t>LOW</t>
        </is>
      </c>
      <c r="M218" s="32" t="inlineStr">
        <is>
          <t>LOW</t>
        </is>
      </c>
      <c r="N218" s="32" t="inlineStr">
        <is>
          <t>0.4266666666666666</t>
        </is>
      </c>
      <c r="O218" s="32" t="inlineStr">
        <is>
          <t>FAIR</t>
        </is>
      </c>
      <c r="P218" s="32" t="inlineStr">
        <is>
          <t>FAIR</t>
        </is>
      </c>
      <c r="Q218" s="32" t="inlineStr">
        <is>
          <t>EXPENSIVE</t>
        </is>
      </c>
      <c r="R218" s="32" t="inlineStr">
        <is>
          <t>0.5793703556022938</t>
        </is>
      </c>
      <c r="S218" s="32" t="inlineStr">
        <is>
          <t>MEDIUM</t>
        </is>
      </c>
      <c r="T218" s="32" t="inlineStr">
        <is>
          <t>MEDIUM</t>
        </is>
      </c>
      <c r="U218" s="32" t="inlineStr">
        <is>
          <t>0.5714285714285714</t>
        </is>
      </c>
      <c r="V218" s="32" t="inlineStr">
        <is>
          <t>HIGH_RISK</t>
        </is>
      </c>
      <c r="W218" s="32" t="inlineStr">
        <is>
          <t>고위험</t>
        </is>
      </c>
      <c r="X218" s="32" t="inlineStr">
        <is>
          <t>HIGH_RISK</t>
        </is>
      </c>
      <c r="Y218" s="32" t="inlineStr">
        <is>
          <t>0.947298040301951</t>
        </is>
      </c>
      <c r="Z218" s="32" t="inlineStr">
        <is>
          <t>HIGH</t>
        </is>
      </c>
      <c r="AA218" s="32" t="inlineStr">
        <is>
          <t>HIGH</t>
        </is>
      </c>
      <c r="AB218" s="32" t="inlineStr">
        <is>
          <t>0.09970421258194967</t>
        </is>
      </c>
      <c r="AC218" s="32" t="inlineStr">
        <is>
          <t>False</t>
        </is>
      </c>
      <c r="AD218" s="32" t="inlineStr">
        <is>
          <t>True</t>
        </is>
      </c>
      <c r="AE218" s="32" t="inlineStr">
        <is>
          <t>valuation_credit_ml_overlay_candidate.csv</t>
        </is>
      </c>
      <c r="AF218" s="32" t="inlineStr">
        <is>
          <t>208개 반도체 reference universe. Valuation Agent가 자체 intake 폴더로 복제해 Peer/ML/대시보드 비교에 사용.</t>
        </is>
      </c>
    </row>
    <row r="219" ht="24" customHeight="1">
      <c r="A219" s="27" t="inlineStr">
        <is>
          <t>43</t>
        </is>
      </c>
      <c r="B219" s="27" t="inlineStr">
        <is>
          <t>해당 없음</t>
        </is>
      </c>
      <c r="C219" s="27" t="inlineStr">
        <is>
          <t>넥스트칩</t>
        </is>
      </c>
      <c r="D219" s="27" t="inlineStr">
        <is>
          <t>396270</t>
        </is>
      </c>
      <c r="E219" s="27" t="inlineStr">
        <is>
          <t>KOSDAQ</t>
        </is>
      </c>
      <c r="F219" s="27" t="inlineStr">
        <is>
          <t>팹리스/설계</t>
        </is>
      </c>
      <c r="G219" s="27" t="inlineStr">
        <is>
          <t>팹리스/설계</t>
        </is>
      </c>
      <c r="H219" s="27" t="inlineStr">
        <is>
          <t>False</t>
        </is>
      </c>
      <c r="I219" s="27" t="inlineStr">
        <is>
          <t>True</t>
        </is>
      </c>
      <c r="J219" s="27" t="inlineStr">
        <is>
          <t>OK</t>
        </is>
      </c>
      <c r="K219" s="27" t="inlineStr">
        <is>
          <t>데이터 사용 가능</t>
        </is>
      </c>
      <c r="L219" s="27" t="inlineStr">
        <is>
          <t>LOW</t>
        </is>
      </c>
      <c r="M219" s="27" t="inlineStr">
        <is>
          <t>LOW</t>
        </is>
      </c>
      <c r="N219" s="27" t="inlineStr">
        <is>
          <t>0.3743434343434344</t>
        </is>
      </c>
      <c r="O219" s="27" t="inlineStr">
        <is>
          <t>EXPENSIVE</t>
        </is>
      </c>
      <c r="P219" s="27" t="inlineStr">
        <is>
          <t>EXPENSIVE</t>
        </is>
      </c>
      <c r="Q219" s="27" t="inlineStr">
        <is>
          <t>EXPENSIVE</t>
        </is>
      </c>
      <c r="R219" s="27" t="inlineStr">
        <is>
          <t>0.9380466040149497</t>
        </is>
      </c>
      <c r="S219" s="27" t="inlineStr">
        <is>
          <t>HIGH</t>
        </is>
      </c>
      <c r="T219" s="27" t="inlineStr">
        <is>
          <t>HIGH</t>
        </is>
      </c>
      <c r="U219" s="27" t="inlineStr">
        <is>
          <t>0.7142857142857143</t>
        </is>
      </c>
      <c r="V219" s="27" t="inlineStr">
        <is>
          <t>HIGH_RISK</t>
        </is>
      </c>
      <c r="W219" s="27" t="inlineStr">
        <is>
          <t>고위험</t>
        </is>
      </c>
      <c r="X219" s="27" t="inlineStr">
        <is>
          <t>HIGH_RISK</t>
        </is>
      </c>
      <c r="Y219" s="27" t="inlineStr">
        <is>
          <t>0.9903921975513593</t>
        </is>
      </c>
      <c r="Z219" s="27" t="inlineStr">
        <is>
          <t>HIGH</t>
        </is>
      </c>
      <c r="AA219" s="27" t="inlineStr">
        <is>
          <t>HIGH</t>
        </is>
      </c>
      <c r="AB219" s="27" t="inlineStr">
        <is>
          <t>0.35370954409664757</t>
        </is>
      </c>
      <c r="AC219" s="27" t="inlineStr">
        <is>
          <t>True</t>
        </is>
      </c>
      <c r="AD219" s="27" t="inlineStr">
        <is>
          <t>True</t>
        </is>
      </c>
      <c r="AE219" s="27" t="inlineStr">
        <is>
          <t>valuation_credit_ml_overlay_candidate.csv</t>
        </is>
      </c>
      <c r="AF219" s="27" t="inlineStr">
        <is>
          <t>208개 반도체 reference universe. Valuation Agent가 자체 intake 폴더로 복제해 Peer/ML/대시보드 비교에 사용.</t>
        </is>
      </c>
    </row>
    <row r="220" ht="24" customHeight="1">
      <c r="A220" s="32" t="inlineStr">
        <is>
          <t>49</t>
        </is>
      </c>
      <c r="B220" s="32" t="inlineStr">
        <is>
          <t>해당 없음</t>
        </is>
      </c>
      <c r="C220" s="32" t="inlineStr">
        <is>
          <t>사피엔반도체</t>
        </is>
      </c>
      <c r="D220" s="32" t="inlineStr">
        <is>
          <t>452430</t>
        </is>
      </c>
      <c r="E220" s="32" t="inlineStr">
        <is>
          <t>KOSDAQ</t>
        </is>
      </c>
      <c r="F220" s="32" t="inlineStr">
        <is>
          <t>팹리스/설계</t>
        </is>
      </c>
      <c r="G220" s="32" t="inlineStr">
        <is>
          <t>팹리스/설계</t>
        </is>
      </c>
      <c r="H220" s="32" t="inlineStr">
        <is>
          <t>False</t>
        </is>
      </c>
      <c r="I220" s="32" t="inlineStr">
        <is>
          <t>True</t>
        </is>
      </c>
      <c r="J220" s="32" t="inlineStr">
        <is>
          <t>OK_LIMITED_HISTORY_OR_GROWTH_NA</t>
        </is>
      </c>
      <c r="K220" s="32" t="inlineStr">
        <is>
          <t>데이터 사용 가능</t>
        </is>
      </c>
      <c r="L220" s="32" t="inlineStr">
        <is>
          <t>LOW</t>
        </is>
      </c>
      <c r="M220" s="32" t="inlineStr">
        <is>
          <t>LOW</t>
        </is>
      </c>
      <c r="N220" s="32" t="inlineStr">
        <is>
          <t>0.3721212121212121</t>
        </is>
      </c>
      <c r="O220" s="32" t="inlineStr">
        <is>
          <t>EXPENSIVE</t>
        </is>
      </c>
      <c r="P220" s="32" t="inlineStr">
        <is>
          <t>EXPENSIVE</t>
        </is>
      </c>
      <c r="Q220" s="32" t="inlineStr">
        <is>
          <t>EXPENSIVE</t>
        </is>
      </c>
      <c r="R220" s="32" t="inlineStr">
        <is>
          <t>0.8482781866315999</t>
        </is>
      </c>
      <c r="S220" s="32" t="inlineStr">
        <is>
          <t>HIGH</t>
        </is>
      </c>
      <c r="T220" s="32" t="inlineStr">
        <is>
          <t>HIGH</t>
        </is>
      </c>
      <c r="U220" s="32" t="inlineStr">
        <is>
          <t>0.5714285714285714</t>
        </is>
      </c>
      <c r="V220" s="32" t="inlineStr">
        <is>
          <t>HIGH_RISK</t>
        </is>
      </c>
      <c r="W220" s="32" t="inlineStr">
        <is>
          <t>고위험</t>
        </is>
      </c>
      <c r="X220" s="32" t="inlineStr">
        <is>
          <t>MEDIUM_RISK</t>
        </is>
      </c>
      <c r="Y220" s="32" t="inlineStr">
        <is>
          <t>0.5745685064585346</t>
        </is>
      </c>
      <c r="Z220" s="32" t="inlineStr">
        <is>
          <t>MEDIUM</t>
        </is>
      </c>
      <c r="AA220" s="32" t="inlineStr">
        <is>
          <t>MEDIUM</t>
        </is>
      </c>
      <c r="AB220" s="32" t="inlineStr">
        <is>
          <t>0.12187984427462309</t>
        </is>
      </c>
      <c r="AC220" s="32" t="inlineStr">
        <is>
          <t>False</t>
        </is>
      </c>
      <c r="AD220" s="32" t="inlineStr">
        <is>
          <t>True</t>
        </is>
      </c>
      <c r="AE220" s="32" t="inlineStr">
        <is>
          <t>valuation_credit_ml_overlay_candidate.csv</t>
        </is>
      </c>
      <c r="AF220" s="32" t="inlineStr">
        <is>
          <t>208개 반도체 reference universe. Valuation Agent가 자체 intake 폴더로 복제해 Peer/ML/대시보드 비교에 사용.</t>
        </is>
      </c>
    </row>
    <row r="221" ht="24" customHeight="1">
      <c r="A221" s="27" t="inlineStr">
        <is>
          <t>44</t>
        </is>
      </c>
      <c r="B221" s="27" t="inlineStr">
        <is>
          <t>해당 없음</t>
        </is>
      </c>
      <c r="C221" s="27" t="inlineStr">
        <is>
          <t>동운아나텍</t>
        </is>
      </c>
      <c r="D221" s="27" t="inlineStr">
        <is>
          <t>094170</t>
        </is>
      </c>
      <c r="E221" s="27" t="inlineStr">
        <is>
          <t>KOSDAQ</t>
        </is>
      </c>
      <c r="F221" s="27" t="inlineStr">
        <is>
          <t>팹리스/설계</t>
        </is>
      </c>
      <c r="G221" s="27" t="inlineStr">
        <is>
          <t>팹리스/설계</t>
        </is>
      </c>
      <c r="H221" s="27" t="inlineStr">
        <is>
          <t>False</t>
        </is>
      </c>
      <c r="I221" s="27" t="inlineStr">
        <is>
          <t>True</t>
        </is>
      </c>
      <c r="J221" s="27" t="inlineStr">
        <is>
          <t>OK</t>
        </is>
      </c>
      <c r="K221" s="27" t="inlineStr">
        <is>
          <t>데이터 사용 가능</t>
        </is>
      </c>
      <c r="L221" s="27" t="inlineStr">
        <is>
          <t>LOW</t>
        </is>
      </c>
      <c r="M221" s="27" t="inlineStr">
        <is>
          <t>LOW</t>
        </is>
      </c>
      <c r="N221" s="27" t="inlineStr">
        <is>
          <t>0.3670707070707071</t>
        </is>
      </c>
      <c r="O221" s="27" t="inlineStr">
        <is>
          <t>EXPENSIVE</t>
        </is>
      </c>
      <c r="P221" s="27" t="inlineStr">
        <is>
          <t>EXPENSIVE</t>
        </is>
      </c>
      <c r="Q221" s="27" t="inlineStr">
        <is>
          <t>EXPENSIVE</t>
        </is>
      </c>
      <c r="R221" s="27" t="inlineStr">
        <is>
          <t>0.4894423516429773</t>
        </is>
      </c>
      <c r="S221" s="27" t="inlineStr">
        <is>
          <t>LOW</t>
        </is>
      </c>
      <c r="T221" s="27" t="inlineStr">
        <is>
          <t>LOW</t>
        </is>
      </c>
      <c r="U221" s="27" t="inlineStr">
        <is>
          <t>0.2142857142857142</t>
        </is>
      </c>
      <c r="V221" s="27" t="inlineStr">
        <is>
          <t>MEDIUM_RISK</t>
        </is>
      </c>
      <c r="W221" s="27" t="inlineStr">
        <is>
          <t>중위험</t>
        </is>
      </c>
      <c r="X221" s="27" t="inlineStr">
        <is>
          <t>MEDIUM_RISK</t>
        </is>
      </c>
      <c r="Y221" s="27" t="inlineStr">
        <is>
          <t>0.5063531969196903</t>
        </is>
      </c>
      <c r="Z221" s="27" t="inlineStr">
        <is>
          <t>MEDIUM</t>
        </is>
      </c>
      <c r="AA221" s="27" t="inlineStr">
        <is>
          <t>MEDIUM</t>
        </is>
      </c>
      <c r="AB221" s="27" t="inlineStr">
        <is>
          <t>0.09811976029987664</t>
        </is>
      </c>
      <c r="AC221" s="27" t="inlineStr">
        <is>
          <t>False</t>
        </is>
      </c>
      <c r="AD221" s="27" t="inlineStr">
        <is>
          <t>True</t>
        </is>
      </c>
      <c r="AE221" s="27" t="inlineStr">
        <is>
          <t>valuation_credit_ml_overlay_candidate.csv</t>
        </is>
      </c>
      <c r="AF221" s="27" t="inlineStr">
        <is>
          <t>208개 반도체 reference universe. Valuation Agent가 자체 intake 폴더로 복제해 Peer/ML/대시보드 비교에 사용.</t>
        </is>
      </c>
    </row>
    <row r="222" ht="24" customHeight="1">
      <c r="A222" s="32" t="inlineStr">
        <is>
          <t>50</t>
        </is>
      </c>
      <c r="B222" s="32" t="inlineStr">
        <is>
          <t>해당 없음</t>
        </is>
      </c>
      <c r="C222" s="32" t="inlineStr">
        <is>
          <t>세미파이브</t>
        </is>
      </c>
      <c r="D222" s="32" t="inlineStr">
        <is>
          <t>490470</t>
        </is>
      </c>
      <c r="E222" s="32" t="inlineStr">
        <is>
          <t>KOSDAQ</t>
        </is>
      </c>
      <c r="F222" s="32" t="inlineStr">
        <is>
          <t>팹리스/설계</t>
        </is>
      </c>
      <c r="G222" s="32" t="inlineStr">
        <is>
          <t>팹리스/설계</t>
        </is>
      </c>
      <c r="H222" s="32" t="inlineStr">
        <is>
          <t>False</t>
        </is>
      </c>
      <c r="I222" s="32" t="inlineStr">
        <is>
          <t>True</t>
        </is>
      </c>
      <c r="J222" s="32" t="inlineStr">
        <is>
          <t>OK_LIMITED_HISTORY_OR_GROWTH_NA</t>
        </is>
      </c>
      <c r="K222" s="32" t="inlineStr">
        <is>
          <t>데이터 사용 가능</t>
        </is>
      </c>
      <c r="L222" s="32" t="inlineStr">
        <is>
          <t>LOW</t>
        </is>
      </c>
      <c r="M222" s="32" t="inlineStr">
        <is>
          <t>LOW</t>
        </is>
      </c>
      <c r="N222" s="32" t="inlineStr">
        <is>
          <t>0.3646464646464646</t>
        </is>
      </c>
      <c r="O222" s="32" t="inlineStr">
        <is>
          <t>EXPENSIVE</t>
        </is>
      </c>
      <c r="P222" s="32" t="inlineStr">
        <is>
          <t>EXPENSIVE</t>
        </is>
      </c>
      <c r="Q222" s="32" t="inlineStr">
        <is>
          <t>EXPENSIVE</t>
        </is>
      </c>
      <c r="R222" s="32" t="inlineStr">
        <is>
          <t>0.9277538303818181</t>
        </is>
      </c>
      <c r="S222" s="32" t="inlineStr">
        <is>
          <t>HIGH</t>
        </is>
      </c>
      <c r="T222" s="32" t="inlineStr">
        <is>
          <t>HIGH</t>
        </is>
      </c>
      <c r="U222" s="32" t="inlineStr">
        <is>
          <t>0.5</t>
        </is>
      </c>
      <c r="V222" s="32" t="inlineStr">
        <is>
          <t>HIGH_RISK</t>
        </is>
      </c>
      <c r="W222" s="32" t="inlineStr">
        <is>
          <t>고위험</t>
        </is>
      </c>
      <c r="X222" s="32" t="inlineStr">
        <is>
          <t>HIGH_RISK</t>
        </is>
      </c>
      <c r="Y222" s="32" t="inlineStr">
        <is>
          <t>0.8726925242668786</t>
        </is>
      </c>
      <c r="Z222" s="32" t="inlineStr">
        <is>
          <t>HIGH</t>
        </is>
      </c>
      <c r="AA222" s="32" t="inlineStr">
        <is>
          <t>HIGH</t>
        </is>
      </c>
      <c r="AB222" s="32" t="inlineStr">
        <is>
          <t>0.10138163372341347</t>
        </is>
      </c>
      <c r="AC222" s="32" t="inlineStr">
        <is>
          <t>False</t>
        </is>
      </c>
      <c r="AD222" s="32" t="inlineStr">
        <is>
          <t>True</t>
        </is>
      </c>
      <c r="AE222" s="32" t="inlineStr">
        <is>
          <t>valuation_credit_ml_overlay_candidate.csv</t>
        </is>
      </c>
      <c r="AF222" s="32" t="inlineStr">
        <is>
          <t>208개 반도체 reference universe. Valuation Agent가 자체 intake 폴더로 복제해 Peer/ML/대시보드 비교에 사용.</t>
        </is>
      </c>
    </row>
    <row r="223" ht="24" customHeight="1">
      <c r="A223" s="27" t="inlineStr">
        <is>
          <t>63</t>
        </is>
      </c>
      <c r="B223" s="27" t="inlineStr">
        <is>
          <t>해당 없음</t>
        </is>
      </c>
      <c r="C223" s="27" t="inlineStr">
        <is>
          <t>에이직랜드</t>
        </is>
      </c>
      <c r="D223" s="27" t="inlineStr">
        <is>
          <t>445090</t>
        </is>
      </c>
      <c r="E223" s="27" t="inlineStr">
        <is>
          <t>KOSDAQ</t>
        </is>
      </c>
      <c r="F223" s="27" t="inlineStr">
        <is>
          <t>팹리스/설계</t>
        </is>
      </c>
      <c r="G223" s="27" t="inlineStr">
        <is>
          <t>팹리스/설계</t>
        </is>
      </c>
      <c r="H223" s="27" t="inlineStr">
        <is>
          <t>False</t>
        </is>
      </c>
      <c r="I223" s="27" t="inlineStr">
        <is>
          <t>True</t>
        </is>
      </c>
      <c r="J223" s="27" t="inlineStr">
        <is>
          <t>OK_LIMITED_HISTORY_OR_GROWTH_NA</t>
        </is>
      </c>
      <c r="K223" s="27" t="inlineStr">
        <is>
          <t>데이터 사용 가능</t>
        </is>
      </c>
      <c r="L223" s="27" t="inlineStr">
        <is>
          <t>LOW</t>
        </is>
      </c>
      <c r="M223" s="27" t="inlineStr">
        <is>
          <t>LOW</t>
        </is>
      </c>
      <c r="N223" s="27" t="inlineStr">
        <is>
          <t>0.3294949494949495</t>
        </is>
      </c>
      <c r="O223" s="27" t="inlineStr">
        <is>
          <t>EXPENSIVE</t>
        </is>
      </c>
      <c r="P223" s="27" t="inlineStr">
        <is>
          <t>EXPENSIVE</t>
        </is>
      </c>
      <c r="Q223" s="27" t="inlineStr">
        <is>
          <t>EXPENSIVE</t>
        </is>
      </c>
      <c r="R223" s="27" t="inlineStr">
        <is>
          <t>0.9058303131641584</t>
        </is>
      </c>
      <c r="S223" s="27" t="inlineStr">
        <is>
          <t>HIGH</t>
        </is>
      </c>
      <c r="T223" s="27" t="inlineStr">
        <is>
          <t>HIGH</t>
        </is>
      </c>
      <c r="U223" s="27" t="inlineStr">
        <is>
          <t>0.7857142857142857</t>
        </is>
      </c>
      <c r="V223" s="27" t="inlineStr">
        <is>
          <t>HIGH_RISK</t>
        </is>
      </c>
      <c r="W223" s="27" t="inlineStr">
        <is>
          <t>고위험</t>
        </is>
      </c>
      <c r="X223" s="27" t="inlineStr">
        <is>
          <t>HIGH_RISK</t>
        </is>
      </c>
      <c r="Y223" s="27" t="inlineStr">
        <is>
          <t>0.9947590219356869</t>
        </is>
      </c>
      <c r="Z223" s="27" t="inlineStr">
        <is>
          <t>HIGH</t>
        </is>
      </c>
      <c r="AA223" s="27" t="inlineStr">
        <is>
          <t>HIGH</t>
        </is>
      </c>
      <c r="AB223" s="27" t="inlineStr">
        <is>
          <t>0.22322767104490657</t>
        </is>
      </c>
      <c r="AC223" s="27" t="inlineStr">
        <is>
          <t>False</t>
        </is>
      </c>
      <c r="AD223" s="27" t="inlineStr">
        <is>
          <t>True</t>
        </is>
      </c>
      <c r="AE223" s="27" t="inlineStr">
        <is>
          <t>valuation_credit_ml_overlay_candidate.csv</t>
        </is>
      </c>
      <c r="AF223" s="27" t="inlineStr">
        <is>
          <t>208개 반도체 reference universe. Valuation Agent가 자체 intake 폴더로 복제해 Peer/ML/대시보드 비교에 사용.</t>
        </is>
      </c>
    </row>
    <row r="224" ht="24" customHeight="1">
      <c r="A224" s="32" t="inlineStr">
        <is>
          <t>45</t>
        </is>
      </c>
      <c r="B224" s="32" t="inlineStr">
        <is>
          <t>해당 없음</t>
        </is>
      </c>
      <c r="C224" s="32" t="inlineStr">
        <is>
          <t>라닉스</t>
        </is>
      </c>
      <c r="D224" s="32" t="inlineStr">
        <is>
          <t>317120</t>
        </is>
      </c>
      <c r="E224" s="32" t="inlineStr">
        <is>
          <t>KOSDAQ</t>
        </is>
      </c>
      <c r="F224" s="32" t="inlineStr">
        <is>
          <t>팹리스/설계</t>
        </is>
      </c>
      <c r="G224" s="32" t="inlineStr">
        <is>
          <t>팹리스/설계</t>
        </is>
      </c>
      <c r="H224" s="32" t="inlineStr">
        <is>
          <t>False</t>
        </is>
      </c>
      <c r="I224" s="32" t="inlineStr">
        <is>
          <t>True</t>
        </is>
      </c>
      <c r="J224" s="32" t="inlineStr">
        <is>
          <t>OK</t>
        </is>
      </c>
      <c r="K224" s="32" t="inlineStr">
        <is>
          <t>데이터 사용 가능</t>
        </is>
      </c>
      <c r="L224" s="32" t="inlineStr">
        <is>
          <t>LOW</t>
        </is>
      </c>
      <c r="M224" s="32" t="inlineStr">
        <is>
          <t>LOW</t>
        </is>
      </c>
      <c r="N224" s="32" t="inlineStr">
        <is>
          <t>0.3208080808080809</t>
        </is>
      </c>
      <c r="O224" s="32" t="inlineStr">
        <is>
          <t>EXPENSIVE</t>
        </is>
      </c>
      <c r="P224" s="32" t="inlineStr">
        <is>
          <t>EXPENSIVE</t>
        </is>
      </c>
      <c r="Q224" s="32" t="inlineStr">
        <is>
          <t>EXPENSIVE</t>
        </is>
      </c>
      <c r="R224" s="32" t="inlineStr">
        <is>
          <t>0.9281808400807596</t>
        </is>
      </c>
      <c r="S224" s="32" t="inlineStr">
        <is>
          <t>HIGH</t>
        </is>
      </c>
      <c r="T224" s="32" t="inlineStr">
        <is>
          <t>HIGH</t>
        </is>
      </c>
      <c r="U224" s="32" t="inlineStr">
        <is>
          <t>0.7142857142857143</t>
        </is>
      </c>
      <c r="V224" s="32" t="inlineStr">
        <is>
          <t>HIGH_RISK</t>
        </is>
      </c>
      <c r="W224" s="32" t="inlineStr">
        <is>
          <t>고위험</t>
        </is>
      </c>
      <c r="X224" s="32" t="inlineStr">
        <is>
          <t>HIGH_RISK</t>
        </is>
      </c>
      <c r="Y224" s="32" t="inlineStr">
        <is>
          <t>0.9891542031597422</t>
        </is>
      </c>
      <c r="Z224" s="32" t="inlineStr">
        <is>
          <t>HIGH</t>
        </is>
      </c>
      <c r="AA224" s="32" t="inlineStr">
        <is>
          <t>HIGH</t>
        </is>
      </c>
      <c r="AB224" s="32" t="inlineStr">
        <is>
          <t>0.2722138190712409</t>
        </is>
      </c>
      <c r="AC224" s="32" t="inlineStr">
        <is>
          <t>True</t>
        </is>
      </c>
      <c r="AD224" s="32" t="inlineStr">
        <is>
          <t>True</t>
        </is>
      </c>
      <c r="AE224" s="32" t="inlineStr">
        <is>
          <t>valuation_credit_ml_overlay_candidate.csv</t>
        </is>
      </c>
      <c r="AF224" s="32" t="inlineStr">
        <is>
          <t>208개 반도체 reference universe. Valuation Agent가 자체 intake 폴더로 복제해 Peer/ML/대시보드 비교에 사용.</t>
        </is>
      </c>
    </row>
    <row r="225" ht="24" customHeight="1">
      <c r="A225" s="27" t="inlineStr">
        <is>
          <t>42</t>
        </is>
      </c>
      <c r="B225" s="27" t="inlineStr">
        <is>
          <t>해당 없음</t>
        </is>
      </c>
      <c r="C225" s="27" t="inlineStr">
        <is>
          <t>가온칩스</t>
        </is>
      </c>
      <c r="D225" s="27" t="inlineStr">
        <is>
          <t>399720</t>
        </is>
      </c>
      <c r="E225" s="27" t="inlineStr">
        <is>
          <t>KOSDAQ</t>
        </is>
      </c>
      <c r="F225" s="27" t="inlineStr">
        <is>
          <t>팹리스/설계</t>
        </is>
      </c>
      <c r="G225" s="27" t="inlineStr">
        <is>
          <t>팹리스/설계</t>
        </is>
      </c>
      <c r="H225" s="27" t="inlineStr">
        <is>
          <t>False</t>
        </is>
      </c>
      <c r="I225" s="27" t="inlineStr">
        <is>
          <t>True</t>
        </is>
      </c>
      <c r="J225" s="27" t="inlineStr">
        <is>
          <t>OK</t>
        </is>
      </c>
      <c r="K225" s="27" t="inlineStr">
        <is>
          <t>데이터 사용 가능</t>
        </is>
      </c>
      <c r="L225" s="27" t="inlineStr">
        <is>
          <t>LOW</t>
        </is>
      </c>
      <c r="M225" s="27" t="inlineStr">
        <is>
          <t>LOW</t>
        </is>
      </c>
      <c r="N225" s="27" t="inlineStr">
        <is>
          <t>0.3119191919191919</t>
        </is>
      </c>
      <c r="O225" s="27" t="inlineStr">
        <is>
          <t>EXPENSIVE</t>
        </is>
      </c>
      <c r="P225" s="27" t="inlineStr">
        <is>
          <t>EXPENSIVE</t>
        </is>
      </c>
      <c r="Q225" s="27" t="inlineStr">
        <is>
          <t>EXPENSIVE</t>
        </is>
      </c>
      <c r="R225" s="27" t="inlineStr">
        <is>
          <t>0.9202856043409283</t>
        </is>
      </c>
      <c r="S225" s="27" t="inlineStr">
        <is>
          <t>HIGH</t>
        </is>
      </c>
      <c r="T225" s="27" t="inlineStr">
        <is>
          <t>HIGH</t>
        </is>
      </c>
      <c r="U225" s="27" t="inlineStr">
        <is>
          <t>0.5714285714285714</t>
        </is>
      </c>
      <c r="V225" s="27" t="inlineStr">
        <is>
          <t>HIGH_RISK</t>
        </is>
      </c>
      <c r="W225" s="27" t="inlineStr">
        <is>
          <t>고위험</t>
        </is>
      </c>
      <c r="X225" s="27" t="inlineStr">
        <is>
          <t>HIGH_RISK</t>
        </is>
      </c>
      <c r="Y225" s="27" t="inlineStr">
        <is>
          <t>0.9252273149693407</t>
        </is>
      </c>
      <c r="Z225" s="27" t="inlineStr">
        <is>
          <t>HIGH</t>
        </is>
      </c>
      <c r="AA225" s="27" t="inlineStr">
        <is>
          <t>HIGH</t>
        </is>
      </c>
      <c r="AB225" s="27" t="inlineStr">
        <is>
          <t>0.08996216176961074</t>
        </is>
      </c>
      <c r="AC225" s="27" t="inlineStr">
        <is>
          <t>False</t>
        </is>
      </c>
      <c r="AD225" s="27" t="inlineStr">
        <is>
          <t>False</t>
        </is>
      </c>
      <c r="AE225" s="27" t="inlineStr">
        <is>
          <t>valuation_credit_ml_overlay_candidate.csv</t>
        </is>
      </c>
      <c r="AF225" s="27" t="inlineStr">
        <is>
          <t>208개 반도체 reference universe. Valuation Agent가 자체 intake 폴더로 복제해 Peer/ML/대시보드 비교에 사용.</t>
        </is>
      </c>
    </row>
    <row r="226" ht="24" customHeight="1">
      <c r="A226" s="32" t="inlineStr">
        <is>
          <t>72</t>
        </is>
      </c>
      <c r="B226" s="32" t="inlineStr">
        <is>
          <t>해당 없음</t>
        </is>
      </c>
      <c r="C226" s="32" t="inlineStr">
        <is>
          <t>파두</t>
        </is>
      </c>
      <c r="D226" s="32" t="inlineStr">
        <is>
          <t>440110</t>
        </is>
      </c>
      <c r="E226" s="32" t="inlineStr">
        <is>
          <t>KOSDAQ</t>
        </is>
      </c>
      <c r="F226" s="32" t="inlineStr">
        <is>
          <t>팹리스/설계</t>
        </is>
      </c>
      <c r="G226" s="32" t="inlineStr">
        <is>
          <t>팹리스/설계</t>
        </is>
      </c>
      <c r="H226" s="32" t="inlineStr">
        <is>
          <t>False</t>
        </is>
      </c>
      <c r="I226" s="32" t="inlineStr">
        <is>
          <t>True</t>
        </is>
      </c>
      <c r="J226" s="32" t="inlineStr">
        <is>
          <t>OK_LIMITED_HISTORY_OR_GROWTH_NA</t>
        </is>
      </c>
      <c r="K226" s="32" t="inlineStr">
        <is>
          <t>데이터 사용 가능</t>
        </is>
      </c>
      <c r="L226" s="32" t="inlineStr">
        <is>
          <t>LOW</t>
        </is>
      </c>
      <c r="M226" s="32" t="inlineStr">
        <is>
          <t>LOW</t>
        </is>
      </c>
      <c r="N226" s="32" t="inlineStr">
        <is>
          <t>0.2817171717171717</t>
        </is>
      </c>
      <c r="O226" s="32" t="inlineStr">
        <is>
          <t>EXPENSIVE</t>
        </is>
      </c>
      <c r="P226" s="32" t="inlineStr">
        <is>
          <t>EXPENSIVE</t>
        </is>
      </c>
      <c r="Q226" s="32" t="inlineStr">
        <is>
          <t>EXPENSIVE</t>
        </is>
      </c>
      <c r="R226" s="32" t="inlineStr">
        <is>
          <t>0.9722302520284296</t>
        </is>
      </c>
      <c r="S226" s="32" t="inlineStr">
        <is>
          <t>HIGH</t>
        </is>
      </c>
      <c r="T226" s="32" t="inlineStr">
        <is>
          <t>HIGH</t>
        </is>
      </c>
      <c r="U226" s="32" t="inlineStr">
        <is>
          <t>0.7142857142857143</t>
        </is>
      </c>
      <c r="V226" s="32" t="inlineStr">
        <is>
          <t>HIGH_RISK</t>
        </is>
      </c>
      <c r="W226" s="32" t="inlineStr">
        <is>
          <t>고위험</t>
        </is>
      </c>
      <c r="X226" s="32" t="inlineStr">
        <is>
          <t>HIGH_RISK</t>
        </is>
      </c>
      <c r="Y226" s="32" t="inlineStr">
        <is>
          <t>0.9166704410023929</t>
        </is>
      </c>
      <c r="Z226" s="32" t="inlineStr">
        <is>
          <t>HIGH</t>
        </is>
      </c>
      <c r="AA226" s="32" t="inlineStr">
        <is>
          <t>HIGH</t>
        </is>
      </c>
      <c r="AB226" s="32" t="inlineStr">
        <is>
          <t>0.4892266150598854</t>
        </is>
      </c>
      <c r="AC226" s="32" t="inlineStr">
        <is>
          <t>True</t>
        </is>
      </c>
      <c r="AD226" s="32" t="inlineStr">
        <is>
          <t>True</t>
        </is>
      </c>
      <c r="AE226" s="32" t="inlineStr">
        <is>
          <t>valuation_credit_ml_overlay_candidate.csv</t>
        </is>
      </c>
      <c r="AF226" s="32" t="inlineStr">
        <is>
          <t>208개 반도체 reference universe. Valuation Agent가 자체 intake 폴더로 복제해 Peer/ML/대시보드 비교에 사용.</t>
        </is>
      </c>
    </row>
    <row r="227" ht="24" customHeight="1">
      <c r="A227" s="27" t="inlineStr">
        <is>
          <t>54</t>
        </is>
      </c>
      <c r="B227" s="27" t="inlineStr">
        <is>
          <t>해당 없음</t>
        </is>
      </c>
      <c r="C227" s="27" t="inlineStr">
        <is>
          <t>아이씨티케이</t>
        </is>
      </c>
      <c r="D227" s="27" t="inlineStr">
        <is>
          <t>456010</t>
        </is>
      </c>
      <c r="E227" s="27" t="inlineStr">
        <is>
          <t>KOSDAQ</t>
        </is>
      </c>
      <c r="F227" s="27" t="inlineStr">
        <is>
          <t>팹리스/설계</t>
        </is>
      </c>
      <c r="G227" s="27" t="inlineStr">
        <is>
          <t>팹리스/설계</t>
        </is>
      </c>
      <c r="H227" s="27" t="inlineStr">
        <is>
          <t>False</t>
        </is>
      </c>
      <c r="I227" s="27" t="inlineStr">
        <is>
          <t>True</t>
        </is>
      </c>
      <c r="J227" s="27" t="inlineStr">
        <is>
          <t>OK_LIMITED_HISTORY_OR_GROWTH_NA</t>
        </is>
      </c>
      <c r="K227" s="27" t="inlineStr">
        <is>
          <t>데이터 사용 가능</t>
        </is>
      </c>
      <c r="L227" s="27" t="inlineStr">
        <is>
          <t>LOW</t>
        </is>
      </c>
      <c r="M227" s="27" t="inlineStr">
        <is>
          <t>LOW</t>
        </is>
      </c>
      <c r="N227" s="27" t="inlineStr">
        <is>
          <t>0.2421212121212121</t>
        </is>
      </c>
      <c r="O227" s="27" t="inlineStr">
        <is>
          <t>EXPENSIVE</t>
        </is>
      </c>
      <c r="P227" s="27" t="inlineStr">
        <is>
          <t>EXPENSIVE</t>
        </is>
      </c>
      <c r="Q227" s="27" t="inlineStr">
        <is>
          <t>EXPENSIVE</t>
        </is>
      </c>
      <c r="R227" s="27" t="inlineStr">
        <is>
          <t>0.9318776222941163</t>
        </is>
      </c>
      <c r="S227" s="27" t="inlineStr">
        <is>
          <t>HIGH</t>
        </is>
      </c>
      <c r="T227" s="27" t="inlineStr">
        <is>
          <t>HIGH</t>
        </is>
      </c>
      <c r="U227" s="27" t="inlineStr">
        <is>
          <t>0.5714285714285714</t>
        </is>
      </c>
      <c r="V227" s="27" t="inlineStr">
        <is>
          <t>HIGH_RISK</t>
        </is>
      </c>
      <c r="W227" s="27" t="inlineStr">
        <is>
          <t>고위험</t>
        </is>
      </c>
      <c r="X227" s="27" t="inlineStr">
        <is>
          <t>HIGH_RISK</t>
        </is>
      </c>
      <c r="Y227" s="27" t="inlineStr">
        <is>
          <t>0.9704486787687135</t>
        </is>
      </c>
      <c r="Z227" s="27" t="inlineStr">
        <is>
          <t>HIGH</t>
        </is>
      </c>
      <c r="AA227" s="27" t="inlineStr">
        <is>
          <t>HIGH</t>
        </is>
      </c>
      <c r="AB227" s="27" t="inlineStr">
        <is>
          <t>0.44110450319077704</t>
        </is>
      </c>
      <c r="AC227" s="27" t="inlineStr">
        <is>
          <t>True</t>
        </is>
      </c>
      <c r="AD227" s="27" t="inlineStr">
        <is>
          <t>True</t>
        </is>
      </c>
      <c r="AE227" s="27" t="inlineStr">
        <is>
          <t>valuation_credit_ml_overlay_candidate.csv</t>
        </is>
      </c>
      <c r="AF227" s="27" t="inlineStr">
        <is>
          <t>208개 반도체 reference universe. Valuation Agent가 자체 intake 폴더로 복제해 Peer/ML/대시보드 비교에 사용.</t>
        </is>
      </c>
    </row>
    <row r="228" ht="24" customHeight="1">
      <c r="A228" s="32" t="inlineStr">
        <is>
          <t>64</t>
        </is>
      </c>
      <c r="B228" s="32" t="inlineStr">
        <is>
          <t>해당 없음</t>
        </is>
      </c>
      <c r="C228" s="32" t="inlineStr">
        <is>
          <t>오픈엣지테크놀로지</t>
        </is>
      </c>
      <c r="D228" s="32" t="inlineStr">
        <is>
          <t>394280</t>
        </is>
      </c>
      <c r="E228" s="32" t="inlineStr">
        <is>
          <t>KOSDAQ</t>
        </is>
      </c>
      <c r="F228" s="32" t="inlineStr">
        <is>
          <t>팹리스/설계</t>
        </is>
      </c>
      <c r="G228" s="32" t="inlineStr">
        <is>
          <t>팹리스/설계</t>
        </is>
      </c>
      <c r="H228" s="32" t="inlineStr">
        <is>
          <t>False</t>
        </is>
      </c>
      <c r="I228" s="32" t="inlineStr">
        <is>
          <t>True</t>
        </is>
      </c>
      <c r="J228" s="32" t="inlineStr">
        <is>
          <t>OK</t>
        </is>
      </c>
      <c r="K228" s="32" t="inlineStr">
        <is>
          <t>데이터 사용 가능</t>
        </is>
      </c>
      <c r="L228" s="32" t="inlineStr">
        <is>
          <t>LOW</t>
        </is>
      </c>
      <c r="M228" s="32" t="inlineStr">
        <is>
          <t>LOW</t>
        </is>
      </c>
      <c r="N228" s="32" t="inlineStr">
        <is>
          <t>0.2383838383838384</t>
        </is>
      </c>
      <c r="O228" s="32" t="inlineStr">
        <is>
          <t>EXPENSIVE</t>
        </is>
      </c>
      <c r="P228" s="32" t="inlineStr">
        <is>
          <t>EXPENSIVE</t>
        </is>
      </c>
      <c r="Q228" s="32" t="inlineStr">
        <is>
          <t>EXPENSIVE</t>
        </is>
      </c>
      <c r="R228" s="32" t="inlineStr">
        <is>
          <t>0.9776205348568181</t>
        </is>
      </c>
      <c r="S228" s="32" t="inlineStr">
        <is>
          <t>HIGH</t>
        </is>
      </c>
      <c r="T228" s="32" t="inlineStr">
        <is>
          <t>HIGH</t>
        </is>
      </c>
      <c r="U228" s="32" t="inlineStr">
        <is>
          <t>0.5714285714285714</t>
        </is>
      </c>
      <c r="V228" s="32" t="inlineStr">
        <is>
          <t>HIGH_RISK</t>
        </is>
      </c>
      <c r="W228" s="32" t="inlineStr">
        <is>
          <t>고위험</t>
        </is>
      </c>
      <c r="X228" s="32" t="inlineStr">
        <is>
          <t>HIGH_RISK</t>
        </is>
      </c>
      <c r="Y228" s="32" t="inlineStr">
        <is>
          <t>0.979409987987143</t>
        </is>
      </c>
      <c r="Z228" s="32" t="inlineStr">
        <is>
          <t>HIGH</t>
        </is>
      </c>
      <c r="AA228" s="32" t="inlineStr">
        <is>
          <t>HIGH</t>
        </is>
      </c>
      <c r="AB228" s="32" t="inlineStr">
        <is>
          <t>0.49673253879125484</t>
        </is>
      </c>
      <c r="AC228" s="32" t="inlineStr">
        <is>
          <t>True</t>
        </is>
      </c>
      <c r="AD228" s="32" t="inlineStr">
        <is>
          <t>True</t>
        </is>
      </c>
      <c r="AE228" s="32" t="inlineStr">
        <is>
          <t>valuation_credit_ml_overlay_candidate.csv</t>
        </is>
      </c>
      <c r="AF228" s="32" t="inlineStr">
        <is>
          <t>208개 반도체 reference universe. Valuation Agent가 자체 intake 폴더로 복제해 Peer/ML/대시보드 비교에 사용.</t>
        </is>
      </c>
    </row>
    <row r="229" ht="24" customHeight="1">
      <c r="A229" s="27" t="inlineStr">
        <is>
          <t>69</t>
        </is>
      </c>
      <c r="B229" s="27" t="inlineStr">
        <is>
          <t>해당 없음</t>
        </is>
      </c>
      <c r="C229" s="27" t="inlineStr">
        <is>
          <t>퀄리타스반도체</t>
        </is>
      </c>
      <c r="D229" s="27" t="inlineStr">
        <is>
          <t>432720</t>
        </is>
      </c>
      <c r="E229" s="27" t="inlineStr">
        <is>
          <t>KOSDAQ</t>
        </is>
      </c>
      <c r="F229" s="27" t="inlineStr">
        <is>
          <t>팹리스/설계</t>
        </is>
      </c>
      <c r="G229" s="27" t="inlineStr">
        <is>
          <t>팹리스/설계</t>
        </is>
      </c>
      <c r="H229" s="27" t="inlineStr">
        <is>
          <t>False</t>
        </is>
      </c>
      <c r="I229" s="27" t="inlineStr">
        <is>
          <t>True</t>
        </is>
      </c>
      <c r="J229" s="27" t="inlineStr">
        <is>
          <t>OK_LIMITED_HISTORY_OR_GROWTH_NA</t>
        </is>
      </c>
      <c r="K229" s="27" t="inlineStr">
        <is>
          <t>데이터 사용 가능</t>
        </is>
      </c>
      <c r="L229" s="27" t="inlineStr">
        <is>
          <t>LOW</t>
        </is>
      </c>
      <c r="M229" s="27" t="inlineStr">
        <is>
          <t>LOW</t>
        </is>
      </c>
      <c r="N229" s="27" t="inlineStr">
        <is>
          <t>0.2119191919191919</t>
        </is>
      </c>
      <c r="O229" s="27" t="inlineStr">
        <is>
          <t>EXPENSIVE</t>
        </is>
      </c>
      <c r="P229" s="27" t="inlineStr">
        <is>
          <t>EXPENSIVE</t>
        </is>
      </c>
      <c r="Q229" s="27" t="inlineStr">
        <is>
          <t>EXPENSIVE</t>
        </is>
      </c>
      <c r="R229" s="27" t="inlineStr">
        <is>
          <t>0.9844433173148716</t>
        </is>
      </c>
      <c r="S229" s="27" t="inlineStr">
        <is>
          <t>HIGH</t>
        </is>
      </c>
      <c r="T229" s="27" t="inlineStr">
        <is>
          <t>HIGH</t>
        </is>
      </c>
      <c r="U229" s="27" t="inlineStr">
        <is>
          <t>0.5714285714285714</t>
        </is>
      </c>
      <c r="V229" s="27" t="inlineStr">
        <is>
          <t>HIGH_RISK</t>
        </is>
      </c>
      <c r="W229" s="27" t="inlineStr">
        <is>
          <t>고위험</t>
        </is>
      </c>
      <c r="X229" s="27" t="inlineStr">
        <is>
          <t>HIGH_RISK</t>
        </is>
      </c>
      <c r="Y229" s="27" t="inlineStr">
        <is>
          <t>0.9775928777225235</t>
        </is>
      </c>
      <c r="Z229" s="27" t="inlineStr">
        <is>
          <t>HIGH</t>
        </is>
      </c>
      <c r="AA229" s="27" t="inlineStr">
        <is>
          <t>HIGH</t>
        </is>
      </c>
      <c r="AB229" s="27" t="inlineStr">
        <is>
          <t>0.7960673007059423</t>
        </is>
      </c>
      <c r="AC229" s="27" t="inlineStr">
        <is>
          <t>True</t>
        </is>
      </c>
      <c r="AD229" s="27" t="inlineStr">
        <is>
          <t>True</t>
        </is>
      </c>
      <c r="AE229" s="27" t="inlineStr">
        <is>
          <t>valuation_credit_ml_overlay_candidate.csv</t>
        </is>
      </c>
      <c r="AF229" s="27" t="inlineStr">
        <is>
          <t>208개 반도체 reference universe. Valuation Agent가 자체 intake 폴더로 복제해 Peer/ML/대시보드 비교에 사용.</t>
        </is>
      </c>
    </row>
    <row r="230" ht="24" customHeight="1">
      <c r="A230" s="32" t="inlineStr">
        <is>
          <t>168</t>
        </is>
      </c>
      <c r="B230" s="32" t="inlineStr">
        <is>
          <t>해당 없음</t>
        </is>
      </c>
      <c r="C230" s="32" t="inlineStr">
        <is>
          <t>성우테크론</t>
        </is>
      </c>
      <c r="D230" s="32" t="inlineStr">
        <is>
          <t>045300</t>
        </is>
      </c>
      <c r="E230" s="32" t="inlineStr">
        <is>
          <t>KOSDAQ</t>
        </is>
      </c>
      <c r="F230" s="32" t="inlineStr">
        <is>
          <t>후공정/패키징/테스트</t>
        </is>
      </c>
      <c r="G230" s="32" t="inlineStr">
        <is>
          <t>후공정/패키징/테스트</t>
        </is>
      </c>
      <c r="H230" s="32" t="inlineStr">
        <is>
          <t>False</t>
        </is>
      </c>
      <c r="I230" s="32" t="inlineStr">
        <is>
          <t>True</t>
        </is>
      </c>
      <c r="J230" s="32" t="inlineStr">
        <is>
          <t>OK</t>
        </is>
      </c>
      <c r="K230" s="32" t="inlineStr">
        <is>
          <t>데이터 사용 가능</t>
        </is>
      </c>
      <c r="L230" s="32" t="inlineStr">
        <is>
          <t>LOW</t>
        </is>
      </c>
      <c r="M230" s="32" t="inlineStr">
        <is>
          <t>LOW</t>
        </is>
      </c>
      <c r="N230" s="32" t="inlineStr">
        <is>
          <t>0.7764444444444445</t>
        </is>
      </c>
      <c r="O230" s="32" t="inlineStr">
        <is>
          <t>ATTRACTIVE</t>
        </is>
      </c>
      <c r="P230" s="32" t="inlineStr">
        <is>
          <t>가치 매력</t>
        </is>
      </c>
      <c r="Q230" s="32" t="inlineStr">
        <is>
          <t>ATTRACTIVE</t>
        </is>
      </c>
      <c r="R230" s="32" t="inlineStr">
        <is>
          <t>0.9526864248076319</t>
        </is>
      </c>
      <c r="S230" s="32" t="inlineStr">
        <is>
          <t>HIGH</t>
        </is>
      </c>
      <c r="T230" s="32" t="inlineStr">
        <is>
          <t>HIGH</t>
        </is>
      </c>
      <c r="U230" s="32" t="inlineStr">
        <is>
          <t>0.0714285714285714</t>
        </is>
      </c>
      <c r="V230" s="32" t="inlineStr">
        <is>
          <t>LOW_RISK</t>
        </is>
      </c>
      <c r="W230" s="32" t="inlineStr">
        <is>
          <t>저위험</t>
        </is>
      </c>
      <c r="X230" s="32" t="inlineStr">
        <is>
          <t>LOW_RISK</t>
        </is>
      </c>
      <c r="Y230" s="32" t="inlineStr">
        <is>
          <t>0.869939352370702</t>
        </is>
      </c>
      <c r="Z230" s="32" t="inlineStr">
        <is>
          <t>HIGH</t>
        </is>
      </c>
      <c r="AA230" s="32" t="inlineStr">
        <is>
          <t>HIGH</t>
        </is>
      </c>
      <c r="AB230" s="32" t="inlineStr">
        <is>
          <t>0.10286671144812394</t>
        </is>
      </c>
      <c r="AC230" s="32" t="inlineStr">
        <is>
          <t>False</t>
        </is>
      </c>
      <c r="AD230" s="32" t="inlineStr">
        <is>
          <t>False</t>
        </is>
      </c>
      <c r="AE230" s="32" t="inlineStr">
        <is>
          <t>valuation_credit_ml_overlay_candidate.csv</t>
        </is>
      </c>
      <c r="AF230" s="32" t="inlineStr">
        <is>
          <t>208개 반도체 reference universe. Valuation Agent가 자체 intake 폴더로 복제해 Peer/ML/대시보드 비교에 사용.</t>
        </is>
      </c>
    </row>
    <row r="231" ht="24" customHeight="1">
      <c r="A231" s="27" t="inlineStr">
        <is>
          <t>165</t>
        </is>
      </c>
      <c r="B231" s="27" t="inlineStr">
        <is>
          <t>해당 없음</t>
        </is>
      </c>
      <c r="C231" s="27" t="inlineStr">
        <is>
          <t>미래산업</t>
        </is>
      </c>
      <c r="D231" s="27" t="inlineStr">
        <is>
          <t>025560</t>
        </is>
      </c>
      <c r="E231" s="27" t="inlineStr">
        <is>
          <t>KOSPI</t>
        </is>
      </c>
      <c r="F231" s="27" t="inlineStr">
        <is>
          <t>후공정/패키징/테스트</t>
        </is>
      </c>
      <c r="G231" s="27" t="inlineStr">
        <is>
          <t>후공정/패키징/테스트</t>
        </is>
      </c>
      <c r="H231" s="27" t="inlineStr">
        <is>
          <t>False</t>
        </is>
      </c>
      <c r="I231" s="27" t="inlineStr">
        <is>
          <t>True</t>
        </is>
      </c>
      <c r="J231" s="27" t="inlineStr">
        <is>
          <t>OK</t>
        </is>
      </c>
      <c r="K231" s="27" t="inlineStr">
        <is>
          <t>데이터 사용 가능</t>
        </is>
      </c>
      <c r="L231" s="27" t="inlineStr">
        <is>
          <t>LOW</t>
        </is>
      </c>
      <c r="M231" s="27" t="inlineStr">
        <is>
          <t>LOW</t>
        </is>
      </c>
      <c r="N231" s="27" t="inlineStr">
        <is>
          <t>0.7748148148148148</t>
        </is>
      </c>
      <c r="O231" s="27" t="inlineStr">
        <is>
          <t>FAIR</t>
        </is>
      </c>
      <c r="P231" s="27" t="inlineStr">
        <is>
          <t>FAIR</t>
        </is>
      </c>
      <c r="Q231" s="27" t="inlineStr">
        <is>
          <t>FAIR</t>
        </is>
      </c>
      <c r="R231" s="27" t="inlineStr">
        <is>
          <t>0.883291104654336</t>
        </is>
      </c>
      <c r="S231" s="27" t="inlineStr">
        <is>
          <t>HIGH</t>
        </is>
      </c>
      <c r="T231" s="27" t="inlineStr">
        <is>
          <t>HIGH</t>
        </is>
      </c>
      <c r="U231" s="27" t="inlineStr">
        <is>
          <t>0.2857142857142857</t>
        </is>
      </c>
      <c r="V231" s="27" t="inlineStr">
        <is>
          <t>MEDIUM_RISK</t>
        </is>
      </c>
      <c r="W231" s="27" t="inlineStr">
        <is>
          <t>중위험</t>
        </is>
      </c>
      <c r="X231" s="27" t="inlineStr">
        <is>
          <t>MEDIUM_RISK</t>
        </is>
      </c>
      <c r="Y231" s="27" t="inlineStr">
        <is>
          <t>0.695536763680257</t>
        </is>
      </c>
      <c r="Z231" s="27" t="inlineStr">
        <is>
          <t>MEDIUM</t>
        </is>
      </c>
      <c r="AA231" s="27" t="inlineStr">
        <is>
          <t>MEDIUM</t>
        </is>
      </c>
      <c r="AB231" s="27" t="inlineStr">
        <is>
          <t>0.08100242357773374</t>
        </is>
      </c>
      <c r="AC231" s="27" t="inlineStr">
        <is>
          <t>False</t>
        </is>
      </c>
      <c r="AD231" s="27" t="inlineStr">
        <is>
          <t>False</t>
        </is>
      </c>
      <c r="AE231" s="27" t="inlineStr">
        <is>
          <t>valuation_credit_ml_overlay_candidate.csv</t>
        </is>
      </c>
      <c r="AF231" s="27" t="inlineStr">
        <is>
          <t>208개 반도체 reference universe. Valuation Agent가 자체 intake 폴더로 복제해 Peer/ML/대시보드 비교에 사용.</t>
        </is>
      </c>
    </row>
    <row r="232" ht="24" customHeight="1">
      <c r="A232" s="32" t="inlineStr">
        <is>
          <t>163</t>
        </is>
      </c>
      <c r="B232" s="32" t="inlineStr">
        <is>
          <t>해당 없음</t>
        </is>
      </c>
      <c r="C232" s="32" t="inlineStr">
        <is>
          <t>링크제니시스</t>
        </is>
      </c>
      <c r="D232" s="32" t="inlineStr">
        <is>
          <t>219420</t>
        </is>
      </c>
      <c r="E232" s="32" t="inlineStr">
        <is>
          <t>KOSDAQ</t>
        </is>
      </c>
      <c r="F232" s="32" t="inlineStr">
        <is>
          <t>후공정/패키징/테스트</t>
        </is>
      </c>
      <c r="G232" s="32" t="inlineStr">
        <is>
          <t>후공정/패키징/테스트</t>
        </is>
      </c>
      <c r="H232" s="32" t="inlineStr">
        <is>
          <t>False</t>
        </is>
      </c>
      <c r="I232" s="32" t="inlineStr">
        <is>
          <t>True</t>
        </is>
      </c>
      <c r="J232" s="32" t="inlineStr">
        <is>
          <t>OK</t>
        </is>
      </c>
      <c r="K232" s="32" t="inlineStr">
        <is>
          <t>데이터 사용 가능</t>
        </is>
      </c>
      <c r="L232" s="32" t="inlineStr">
        <is>
          <t>LOW</t>
        </is>
      </c>
      <c r="M232" s="32" t="inlineStr">
        <is>
          <t>LOW</t>
        </is>
      </c>
      <c r="N232" s="32" t="inlineStr">
        <is>
          <t>0.7522962962962964</t>
        </is>
      </c>
      <c r="O232" s="32" t="inlineStr">
        <is>
          <t>ATTRACTIVE</t>
        </is>
      </c>
      <c r="P232" s="32" t="inlineStr">
        <is>
          <t>가치 매력</t>
        </is>
      </c>
      <c r="Q232" s="32" t="inlineStr">
        <is>
          <t>ATTRACTIVE</t>
        </is>
      </c>
      <c r="R232" s="32" t="inlineStr">
        <is>
          <t>0.8724992666433111</t>
        </is>
      </c>
      <c r="S232" s="32" t="inlineStr">
        <is>
          <t>HIGH</t>
        </is>
      </c>
      <c r="T232" s="32" t="inlineStr">
        <is>
          <t>HIGH</t>
        </is>
      </c>
      <c r="U232" s="32" t="inlineStr">
        <is>
          <t>0.0714285714285714</t>
        </is>
      </c>
      <c r="V232" s="32" t="inlineStr">
        <is>
          <t>LOW_RISK</t>
        </is>
      </c>
      <c r="W232" s="32" t="inlineStr">
        <is>
          <t>저위험</t>
        </is>
      </c>
      <c r="X232" s="32" t="inlineStr">
        <is>
          <t>LOW_RISK</t>
        </is>
      </c>
      <c r="Y232" s="32" t="inlineStr">
        <is>
          <t>0.8663667518810074</t>
        </is>
      </c>
      <c r="Z232" s="32" t="inlineStr">
        <is>
          <t>HIGH</t>
        </is>
      </c>
      <c r="AA232" s="32" t="inlineStr">
        <is>
          <t>HIGH</t>
        </is>
      </c>
      <c r="AB232" s="32" t="inlineStr">
        <is>
          <t>0.1247344063934745</t>
        </is>
      </c>
      <c r="AC232" s="32" t="inlineStr">
        <is>
          <t>False</t>
        </is>
      </c>
      <c r="AD232" s="32" t="inlineStr">
        <is>
          <t>False</t>
        </is>
      </c>
      <c r="AE232" s="32" t="inlineStr">
        <is>
          <t>valuation_credit_ml_overlay_candidate.csv</t>
        </is>
      </c>
      <c r="AF232" s="32" t="inlineStr">
        <is>
          <t>208개 반도체 reference universe. Valuation Agent가 자체 intake 폴더로 복제해 Peer/ML/대시보드 비교에 사용.</t>
        </is>
      </c>
    </row>
    <row r="233" ht="24" customHeight="1">
      <c r="A233" s="27" t="inlineStr">
        <is>
          <t>189</t>
        </is>
      </c>
      <c r="B233" s="27" t="inlineStr">
        <is>
          <t>해당 없음</t>
        </is>
      </c>
      <c r="C233" s="27" t="inlineStr">
        <is>
          <t>프로텍</t>
        </is>
      </c>
      <c r="D233" s="27" t="inlineStr">
        <is>
          <t>053610</t>
        </is>
      </c>
      <c r="E233" s="27" t="inlineStr">
        <is>
          <t>KOSDAQ</t>
        </is>
      </c>
      <c r="F233" s="27" t="inlineStr">
        <is>
          <t>후공정/패키징/테스트</t>
        </is>
      </c>
      <c r="G233" s="27" t="inlineStr">
        <is>
          <t>후공정/패키징/테스트</t>
        </is>
      </c>
      <c r="H233" s="27" t="inlineStr">
        <is>
          <t>False</t>
        </is>
      </c>
      <c r="I233" s="27" t="inlineStr">
        <is>
          <t>True</t>
        </is>
      </c>
      <c r="J233" s="27" t="inlineStr">
        <is>
          <t>OK</t>
        </is>
      </c>
      <c r="K233" s="27" t="inlineStr">
        <is>
          <t>데이터 사용 가능</t>
        </is>
      </c>
      <c r="L233" s="27" t="inlineStr">
        <is>
          <t>LOW</t>
        </is>
      </c>
      <c r="M233" s="27" t="inlineStr">
        <is>
          <t>LOW</t>
        </is>
      </c>
      <c r="N233" s="27" t="inlineStr">
        <is>
          <t>0.7342222222222222</t>
        </is>
      </c>
      <c r="O233" s="27" t="inlineStr">
        <is>
          <t>FAIR</t>
        </is>
      </c>
      <c r="P233" s="27" t="inlineStr">
        <is>
          <t>FAIR</t>
        </is>
      </c>
      <c r="Q233" s="27" t="inlineStr">
        <is>
          <t>FAIR</t>
        </is>
      </c>
      <c r="R233" s="27" t="inlineStr">
        <is>
          <t>0.8971257561900263</t>
        </is>
      </c>
      <c r="S233" s="27" t="inlineStr">
        <is>
          <t>HIGH</t>
        </is>
      </c>
      <c r="T233" s="27" t="inlineStr">
        <is>
          <t>HIGH</t>
        </is>
      </c>
      <c r="U233" s="27" t="inlineStr">
        <is>
          <t>0.0714285714285714</t>
        </is>
      </c>
      <c r="V233" s="27" t="inlineStr">
        <is>
          <t>LOW_RISK</t>
        </is>
      </c>
      <c r="W233" s="27" t="inlineStr">
        <is>
          <t>저위험</t>
        </is>
      </c>
      <c r="X233" s="27" t="inlineStr">
        <is>
          <t>LOW_RISK</t>
        </is>
      </c>
      <c r="Y233" s="27" t="inlineStr">
        <is>
          <t>0.9163768919768406</t>
        </is>
      </c>
      <c r="Z233" s="27" t="inlineStr">
        <is>
          <t>HIGH</t>
        </is>
      </c>
      <c r="AA233" s="27" t="inlineStr">
        <is>
          <t>HIGH</t>
        </is>
      </c>
      <c r="AB233" s="27" t="inlineStr">
        <is>
          <t>0.04594870251712977</t>
        </is>
      </c>
      <c r="AC233" s="27" t="inlineStr">
        <is>
          <t>False</t>
        </is>
      </c>
      <c r="AD233" s="27" t="inlineStr">
        <is>
          <t>False</t>
        </is>
      </c>
      <c r="AE233" s="27" t="inlineStr">
        <is>
          <t>valuation_credit_ml_overlay_candidate.csv</t>
        </is>
      </c>
      <c r="AF233" s="27" t="inlineStr">
        <is>
          <t>208개 반도체 reference universe. Valuation Agent가 자체 intake 폴더로 복제해 Peer/ML/대시보드 비교에 사용.</t>
        </is>
      </c>
    </row>
    <row r="234" ht="24" customHeight="1">
      <c r="A234" s="32" t="inlineStr">
        <is>
          <t>188</t>
        </is>
      </c>
      <c r="B234" s="32" t="inlineStr">
        <is>
          <t>해당 없음</t>
        </is>
      </c>
      <c r="C234" s="32" t="inlineStr">
        <is>
          <t>프로이천</t>
        </is>
      </c>
      <c r="D234" s="32" t="inlineStr">
        <is>
          <t>321260</t>
        </is>
      </c>
      <c r="E234" s="32" t="inlineStr">
        <is>
          <t>KOSDAQ</t>
        </is>
      </c>
      <c r="F234" s="32" t="inlineStr">
        <is>
          <t>후공정/패키징/테스트</t>
        </is>
      </c>
      <c r="G234" s="32" t="inlineStr">
        <is>
          <t>후공정/패키징/테스트</t>
        </is>
      </c>
      <c r="H234" s="32" t="inlineStr">
        <is>
          <t>False</t>
        </is>
      </c>
      <c r="I234" s="32" t="inlineStr">
        <is>
          <t>True</t>
        </is>
      </c>
      <c r="J234" s="32" t="inlineStr">
        <is>
          <t>OK</t>
        </is>
      </c>
      <c r="K234" s="32" t="inlineStr">
        <is>
          <t>데이터 사용 가능</t>
        </is>
      </c>
      <c r="L234" s="32" t="inlineStr">
        <is>
          <t>LOW</t>
        </is>
      </c>
      <c r="M234" s="32" t="inlineStr">
        <is>
          <t>LOW</t>
        </is>
      </c>
      <c r="N234" s="32" t="inlineStr">
        <is>
          <t>0.6905185185185185</t>
        </is>
      </c>
      <c r="O234" s="32" t="inlineStr">
        <is>
          <t>ATTRACTIVE</t>
        </is>
      </c>
      <c r="P234" s="32" t="inlineStr">
        <is>
          <t>가치 매력</t>
        </is>
      </c>
      <c r="Q234" s="32" t="inlineStr">
        <is>
          <t>ATTRACTIVE</t>
        </is>
      </c>
      <c r="R234" s="32" t="inlineStr">
        <is>
          <t>0.9481469936627798</t>
        </is>
      </c>
      <c r="S234" s="32" t="inlineStr">
        <is>
          <t>HIGH</t>
        </is>
      </c>
      <c r="T234" s="32" t="inlineStr">
        <is>
          <t>HIGH</t>
        </is>
      </c>
      <c r="U234" s="32" t="inlineStr">
        <is>
          <t>0.1428571428571428</t>
        </is>
      </c>
      <c r="V234" s="32" t="inlineStr">
        <is>
          <t>LOW_RISK</t>
        </is>
      </c>
      <c r="W234" s="32" t="inlineStr">
        <is>
          <t>저위험</t>
        </is>
      </c>
      <c r="X234" s="32" t="inlineStr">
        <is>
          <t>LOW_RISK</t>
        </is>
      </c>
      <c r="Y234" s="32" t="inlineStr">
        <is>
          <t>0.7571217577270841</t>
        </is>
      </c>
      <c r="Z234" s="32" t="inlineStr">
        <is>
          <t>HIGH</t>
        </is>
      </c>
      <c r="AA234" s="32" t="inlineStr">
        <is>
          <t>HIGH</t>
        </is>
      </c>
      <c r="AB234" s="32" t="inlineStr">
        <is>
          <t>0.1980202748075635</t>
        </is>
      </c>
      <c r="AC234" s="32" t="inlineStr">
        <is>
          <t>False</t>
        </is>
      </c>
      <c r="AD234" s="32" t="inlineStr">
        <is>
          <t>False</t>
        </is>
      </c>
      <c r="AE234" s="32" t="inlineStr">
        <is>
          <t>valuation_credit_ml_overlay_candidate.csv</t>
        </is>
      </c>
      <c r="AF234" s="32" t="inlineStr">
        <is>
          <t>208개 반도체 reference universe. Valuation Agent가 자체 intake 폴더로 복제해 Peer/ML/대시보드 비교에 사용.</t>
        </is>
      </c>
    </row>
    <row r="235" ht="24" customHeight="1">
      <c r="A235" s="27" t="inlineStr">
        <is>
          <t>167</t>
        </is>
      </c>
      <c r="B235" s="27" t="inlineStr">
        <is>
          <t>해당 없음</t>
        </is>
      </c>
      <c r="C235" s="27" t="inlineStr">
        <is>
          <t>샘씨엔에스</t>
        </is>
      </c>
      <c r="D235" s="27" t="inlineStr">
        <is>
          <t>252990</t>
        </is>
      </c>
      <c r="E235" s="27" t="inlineStr">
        <is>
          <t>KOSDAQ</t>
        </is>
      </c>
      <c r="F235" s="27" t="inlineStr">
        <is>
          <t>후공정/패키징/테스트</t>
        </is>
      </c>
      <c r="G235" s="27" t="inlineStr">
        <is>
          <t>후공정/패키징/테스트</t>
        </is>
      </c>
      <c r="H235" s="27" t="inlineStr">
        <is>
          <t>False</t>
        </is>
      </c>
      <c r="I235" s="27" t="inlineStr">
        <is>
          <t>True</t>
        </is>
      </c>
      <c r="J235" s="27" t="inlineStr">
        <is>
          <t>OK</t>
        </is>
      </c>
      <c r="K235" s="27" t="inlineStr">
        <is>
          <t>데이터 사용 가능</t>
        </is>
      </c>
      <c r="L235" s="27" t="inlineStr">
        <is>
          <t>LOW</t>
        </is>
      </c>
      <c r="M235" s="27" t="inlineStr">
        <is>
          <t>LOW</t>
        </is>
      </c>
      <c r="N235" s="27" t="inlineStr">
        <is>
          <t>0.6491851851851852</t>
        </is>
      </c>
      <c r="O235" s="27" t="inlineStr">
        <is>
          <t>ATTRACTIVE</t>
        </is>
      </c>
      <c r="P235" s="27" t="inlineStr">
        <is>
          <t>가치 매력</t>
        </is>
      </c>
      <c r="Q235" s="27" t="inlineStr">
        <is>
          <t>ATTRACTIVE</t>
        </is>
      </c>
      <c r="R235" s="27" t="inlineStr">
        <is>
          <t>0.5521991152548656</t>
        </is>
      </c>
      <c r="S235" s="27" t="inlineStr">
        <is>
          <t>MEDIUM</t>
        </is>
      </c>
      <c r="T235" s="27" t="inlineStr">
        <is>
          <t>MEDIUM</t>
        </is>
      </c>
      <c r="U235" s="27" t="inlineStr">
        <is>
          <t>0.1428571428571428</t>
        </is>
      </c>
      <c r="V235" s="27" t="inlineStr">
        <is>
          <t>LOW_RISK</t>
        </is>
      </c>
      <c r="W235" s="27" t="inlineStr">
        <is>
          <t>저위험</t>
        </is>
      </c>
      <c r="X235" s="27" t="inlineStr">
        <is>
          <t>LOW_RISK</t>
        </is>
      </c>
      <c r="Y235" s="27" t="inlineStr">
        <is>
          <t>0.8184283672559926</t>
        </is>
      </c>
      <c r="Z235" s="27" t="inlineStr">
        <is>
          <t>HIGH</t>
        </is>
      </c>
      <c r="AA235" s="27" t="inlineStr">
        <is>
          <t>HIGH</t>
        </is>
      </c>
      <c r="AB235" s="27" t="inlineStr">
        <is>
          <t>0.02862485694144737</t>
        </is>
      </c>
      <c r="AC235" s="27" t="inlineStr">
        <is>
          <t>False</t>
        </is>
      </c>
      <c r="AD235" s="27" t="inlineStr">
        <is>
          <t>False</t>
        </is>
      </c>
      <c r="AE235" s="27" t="inlineStr">
        <is>
          <t>valuation_credit_ml_overlay_candidate.csv</t>
        </is>
      </c>
      <c r="AF235" s="27" t="inlineStr">
        <is>
          <t>208개 반도체 reference universe. Valuation Agent가 자체 intake 폴더로 복제해 Peer/ML/대시보드 비교에 사용.</t>
        </is>
      </c>
    </row>
    <row r="236" ht="24" customHeight="1">
      <c r="A236" s="32" t="inlineStr">
        <is>
          <t>191</t>
        </is>
      </c>
      <c r="B236" s="32" t="inlineStr">
        <is>
          <t>해당 없음</t>
        </is>
      </c>
      <c r="C236" s="32" t="inlineStr">
        <is>
          <t>하나마이크론</t>
        </is>
      </c>
      <c r="D236" s="32" t="inlineStr">
        <is>
          <t>067310</t>
        </is>
      </c>
      <c r="E236" s="32" t="inlineStr">
        <is>
          <t>KOSDAQ</t>
        </is>
      </c>
      <c r="F236" s="32" t="inlineStr">
        <is>
          <t>후공정/패키징/테스트</t>
        </is>
      </c>
      <c r="G236" s="32" t="inlineStr">
        <is>
          <t>후공정/패키징/테스트</t>
        </is>
      </c>
      <c r="H236" s="32" t="inlineStr">
        <is>
          <t>False</t>
        </is>
      </c>
      <c r="I236" s="32" t="inlineStr">
        <is>
          <t>True</t>
        </is>
      </c>
      <c r="J236" s="32" t="inlineStr">
        <is>
          <t>OK</t>
        </is>
      </c>
      <c r="K236" s="32" t="inlineStr">
        <is>
          <t>데이터 사용 가능</t>
        </is>
      </c>
      <c r="L236" s="32" t="inlineStr">
        <is>
          <t>LOW</t>
        </is>
      </c>
      <c r="M236" s="32" t="inlineStr">
        <is>
          <t>LOW</t>
        </is>
      </c>
      <c r="N236" s="32" t="inlineStr">
        <is>
          <t>0.6405925925925926</t>
        </is>
      </c>
      <c r="O236" s="32" t="inlineStr">
        <is>
          <t>ATTRACTIVE</t>
        </is>
      </c>
      <c r="P236" s="32" t="inlineStr">
        <is>
          <t>가치 매력</t>
        </is>
      </c>
      <c r="Q236" s="32" t="inlineStr">
        <is>
          <t>ATTRACTIVE</t>
        </is>
      </c>
      <c r="R236" s="32" t="inlineStr">
        <is>
          <t>0.8727001075083287</t>
        </is>
      </c>
      <c r="S236" s="32" t="inlineStr">
        <is>
          <t>HIGH</t>
        </is>
      </c>
      <c r="T236" s="32" t="inlineStr">
        <is>
          <t>HIGH</t>
        </is>
      </c>
      <c r="U236" s="32" t="inlineStr">
        <is>
          <t>0.2857142857142857</t>
        </is>
      </c>
      <c r="V236" s="32" t="inlineStr">
        <is>
          <t>MEDIUM_RISK</t>
        </is>
      </c>
      <c r="W236" s="32" t="inlineStr">
        <is>
          <t>중위험</t>
        </is>
      </c>
      <c r="X236" s="32" t="inlineStr">
        <is>
          <t>MEDIUM_RISK</t>
        </is>
      </c>
      <c r="Y236" s="32" t="inlineStr">
        <is>
          <t>0.4659076101576026</t>
        </is>
      </c>
      <c r="Z236" s="32" t="inlineStr">
        <is>
          <t>LOW</t>
        </is>
      </c>
      <c r="AA236" s="32" t="inlineStr">
        <is>
          <t>LOW</t>
        </is>
      </c>
      <c r="AB236" s="32" t="inlineStr">
        <is>
          <t>0.1167493316831868</t>
        </is>
      </c>
      <c r="AC236" s="32" t="inlineStr">
        <is>
          <t>False</t>
        </is>
      </c>
      <c r="AD236" s="32" t="inlineStr">
        <is>
          <t>True</t>
        </is>
      </c>
      <c r="AE236" s="32" t="inlineStr">
        <is>
          <t>valuation_credit_ml_overlay_candidate.csv</t>
        </is>
      </c>
      <c r="AF236" s="32" t="inlineStr">
        <is>
          <t>208개 반도체 reference universe. Valuation Agent가 자체 intake 폴더로 복제해 Peer/ML/대시보드 비교에 사용.</t>
        </is>
      </c>
    </row>
    <row r="237" ht="24" customHeight="1">
      <c r="A237" s="27" t="inlineStr">
        <is>
          <t>157</t>
        </is>
      </c>
      <c r="B237" s="27" t="inlineStr">
        <is>
          <t>nepes</t>
        </is>
      </c>
      <c r="C237" s="27" t="inlineStr">
        <is>
          <t>네패스</t>
        </is>
      </c>
      <c r="D237" s="27" t="inlineStr">
        <is>
          <t>033640</t>
        </is>
      </c>
      <c r="E237" s="27" t="inlineStr">
        <is>
          <t>KOSDAQ</t>
        </is>
      </c>
      <c r="F237" s="27" t="inlineStr">
        <is>
          <t>후공정/패키징/테스트</t>
        </is>
      </c>
      <c r="G237" s="27" t="inlineStr">
        <is>
          <t>후공정/패키징/테스트</t>
        </is>
      </c>
      <c r="H237" s="27" t="inlineStr">
        <is>
          <t>True</t>
        </is>
      </c>
      <c r="I237" s="27" t="inlineStr">
        <is>
          <t>True</t>
        </is>
      </c>
      <c r="J237" s="27" t="inlineStr">
        <is>
          <t>OK</t>
        </is>
      </c>
      <c r="K237" s="27" t="inlineStr">
        <is>
          <t>데이터 사용 가능</t>
        </is>
      </c>
      <c r="L237" s="27" t="inlineStr">
        <is>
          <t>LOW</t>
        </is>
      </c>
      <c r="M237" s="27" t="inlineStr">
        <is>
          <t>LOW</t>
        </is>
      </c>
      <c r="N237" s="27" t="inlineStr">
        <is>
          <t>0.6385185185185186</t>
        </is>
      </c>
      <c r="O237" s="27" t="inlineStr">
        <is>
          <t>ATTRACTIVE</t>
        </is>
      </c>
      <c r="P237" s="27" t="inlineStr">
        <is>
          <t>가치 매력</t>
        </is>
      </c>
      <c r="Q237" s="27" t="inlineStr">
        <is>
          <t>ATTRACTIVE</t>
        </is>
      </c>
      <c r="R237" s="27" t="inlineStr">
        <is>
          <t>0.8763685947958789</t>
        </is>
      </c>
      <c r="S237" s="27" t="inlineStr">
        <is>
          <t>HIGH</t>
        </is>
      </c>
      <c r="T237" s="27" t="inlineStr">
        <is>
          <t>HIGH</t>
        </is>
      </c>
      <c r="U237" s="27" t="inlineStr">
        <is>
          <t>0.2857142857142857</t>
        </is>
      </c>
      <c r="V237" s="27" t="inlineStr">
        <is>
          <t>MEDIUM_RISK</t>
        </is>
      </c>
      <c r="W237" s="27" t="inlineStr">
        <is>
          <t>중위험</t>
        </is>
      </c>
      <c r="X237" s="27" t="inlineStr">
        <is>
          <t>MEDIUM_RISK</t>
        </is>
      </c>
      <c r="Y237" s="27" t="inlineStr">
        <is>
          <t>0.5963458259503356</t>
        </is>
      </c>
      <c r="Z237" s="27" t="inlineStr">
        <is>
          <t>MEDIUM</t>
        </is>
      </c>
      <c r="AA237" s="27" t="inlineStr">
        <is>
          <t>MEDIUM</t>
        </is>
      </c>
      <c r="AB237" s="27" t="inlineStr">
        <is>
          <t>0.07896643996759804</t>
        </is>
      </c>
      <c r="AC237" s="27" t="inlineStr">
        <is>
          <t>False</t>
        </is>
      </c>
      <c r="AD237" s="27" t="inlineStr">
        <is>
          <t>False</t>
        </is>
      </c>
      <c r="AE237" s="27" t="inlineStr">
        <is>
          <t>valuation_credit_ml_overlay_candidate.csv</t>
        </is>
      </c>
      <c r="AF237" s="27" t="inlineStr">
        <is>
          <t>208개 반도체 reference universe. Valuation Agent가 자체 intake 폴더로 복제해 Peer/ML/대시보드 비교에 사용.</t>
        </is>
      </c>
    </row>
    <row r="238" ht="24" customHeight="1">
      <c r="A238" s="32" t="inlineStr">
        <is>
          <t>151</t>
        </is>
      </c>
      <c r="B238" s="32" t="inlineStr">
        <is>
          <t>해당 없음</t>
        </is>
      </c>
      <c r="C238" s="32" t="inlineStr">
        <is>
          <t>KX하이텍</t>
        </is>
      </c>
      <c r="D238" s="32" t="inlineStr">
        <is>
          <t>052900</t>
        </is>
      </c>
      <c r="E238" s="32" t="inlineStr">
        <is>
          <t>KOSDAQ</t>
        </is>
      </c>
      <c r="F238" s="32" t="inlineStr">
        <is>
          <t>후공정/패키징/테스트</t>
        </is>
      </c>
      <c r="G238" s="32" t="inlineStr">
        <is>
          <t>후공정/패키징/테스트</t>
        </is>
      </c>
      <c r="H238" s="32" t="inlineStr">
        <is>
          <t>False</t>
        </is>
      </c>
      <c r="I238" s="32" t="inlineStr">
        <is>
          <t>True</t>
        </is>
      </c>
      <c r="J238" s="32" t="inlineStr">
        <is>
          <t>OK</t>
        </is>
      </c>
      <c r="K238" s="32" t="inlineStr">
        <is>
          <t>데이터 사용 가능</t>
        </is>
      </c>
      <c r="L238" s="32" t="inlineStr">
        <is>
          <t>LOW</t>
        </is>
      </c>
      <c r="M238" s="32" t="inlineStr">
        <is>
          <t>LOW</t>
        </is>
      </c>
      <c r="N238" s="32" t="inlineStr">
        <is>
          <t>0.6361481481481482</t>
        </is>
      </c>
      <c r="O238" s="32" t="inlineStr">
        <is>
          <t>ATTRACTIVE</t>
        </is>
      </c>
      <c r="P238" s="32" t="inlineStr">
        <is>
          <t>가치 매력</t>
        </is>
      </c>
      <c r="Q238" s="32" t="inlineStr">
        <is>
          <t>ATTRACTIVE</t>
        </is>
      </c>
      <c r="R238" s="32" t="inlineStr">
        <is>
          <t>0.7896879678479897</t>
        </is>
      </c>
      <c r="S238" s="32" t="inlineStr">
        <is>
          <t>HIGH</t>
        </is>
      </c>
      <c r="T238" s="32" t="inlineStr">
        <is>
          <t>HIGH</t>
        </is>
      </c>
      <c r="U238" s="32" t="inlineStr">
        <is>
          <t>0.0714285714285714</t>
        </is>
      </c>
      <c r="V238" s="32" t="inlineStr">
        <is>
          <t>LOW_RISK</t>
        </is>
      </c>
      <c r="W238" s="32" t="inlineStr">
        <is>
          <t>저위험</t>
        </is>
      </c>
      <c r="X238" s="32" t="inlineStr">
        <is>
          <t>LOW_RISK</t>
        </is>
      </c>
      <c r="Y238" s="32" t="inlineStr">
        <is>
          <t>0.87015899446037</t>
        </is>
      </c>
      <c r="Z238" s="32" t="inlineStr">
        <is>
          <t>HIGH</t>
        </is>
      </c>
      <c r="AA238" s="32" t="inlineStr">
        <is>
          <t>HIGH</t>
        </is>
      </c>
      <c r="AB238" s="32" t="inlineStr">
        <is>
          <t>0.012348610212675635</t>
        </is>
      </c>
      <c r="AC238" s="32" t="inlineStr">
        <is>
          <t>False</t>
        </is>
      </c>
      <c r="AD238" s="32" t="inlineStr">
        <is>
          <t>False</t>
        </is>
      </c>
      <c r="AE238" s="32" t="inlineStr">
        <is>
          <t>valuation_credit_ml_overlay_candidate.csv</t>
        </is>
      </c>
      <c r="AF238" s="32" t="inlineStr">
        <is>
          <t>208개 반도체 reference universe. Valuation Agent가 자체 intake 폴더로 복제해 Peer/ML/대시보드 비교에 사용.</t>
        </is>
      </c>
    </row>
    <row r="239" ht="24" customHeight="1">
      <c r="A239" s="27" t="inlineStr">
        <is>
          <t>172</t>
        </is>
      </c>
      <c r="B239" s="27" t="inlineStr">
        <is>
          <t>해당 없음</t>
        </is>
      </c>
      <c r="C239" s="27" t="inlineStr">
        <is>
          <t>에이치엠넥스</t>
        </is>
      </c>
      <c r="D239" s="27" t="inlineStr">
        <is>
          <t>036170</t>
        </is>
      </c>
      <c r="E239" s="27" t="inlineStr">
        <is>
          <t>KOSDAQ</t>
        </is>
      </c>
      <c r="F239" s="27" t="inlineStr">
        <is>
          <t>후공정/패키징/테스트</t>
        </is>
      </c>
      <c r="G239" s="27" t="inlineStr">
        <is>
          <t>후공정/패키징/테스트</t>
        </is>
      </c>
      <c r="H239" s="27" t="inlineStr">
        <is>
          <t>False</t>
        </is>
      </c>
      <c r="I239" s="27" t="inlineStr">
        <is>
          <t>True</t>
        </is>
      </c>
      <c r="J239" s="27" t="inlineStr">
        <is>
          <t>OK</t>
        </is>
      </c>
      <c r="K239" s="27" t="inlineStr">
        <is>
          <t>데이터 사용 가능</t>
        </is>
      </c>
      <c r="L239" s="27" t="inlineStr">
        <is>
          <t>LOW</t>
        </is>
      </c>
      <c r="M239" s="27" t="inlineStr">
        <is>
          <t>LOW</t>
        </is>
      </c>
      <c r="N239" s="27" t="inlineStr">
        <is>
          <t>0.621037037037037</t>
        </is>
      </c>
      <c r="O239" s="27" t="inlineStr">
        <is>
          <t>FAIR</t>
        </is>
      </c>
      <c r="P239" s="27" t="inlineStr">
        <is>
          <t>FAIR</t>
        </is>
      </c>
      <c r="Q239" s="27" t="inlineStr">
        <is>
          <t>FAIR</t>
        </is>
      </c>
      <c r="R239" s="27" t="inlineStr">
        <is>
          <t>0.7433115072206052</t>
        </is>
      </c>
      <c r="S239" s="27" t="inlineStr">
        <is>
          <t>HIGH</t>
        </is>
      </c>
      <c r="T239" s="27" t="inlineStr">
        <is>
          <t>HIGH</t>
        </is>
      </c>
      <c r="U239" s="27" t="inlineStr">
        <is>
          <t>0.3571428571428571</t>
        </is>
      </c>
      <c r="V239" s="27" t="inlineStr">
        <is>
          <t>MEDIUM_RISK</t>
        </is>
      </c>
      <c r="W239" s="27" t="inlineStr">
        <is>
          <t>중위험</t>
        </is>
      </c>
      <c r="X239" s="27" t="inlineStr">
        <is>
          <t>MEDIUM_RISK</t>
        </is>
      </c>
      <c r="Y239" s="27" t="inlineStr">
        <is>
          <t>0.7084051764737881</t>
        </is>
      </c>
      <c r="Z239" s="27" t="inlineStr">
        <is>
          <t>HIGH</t>
        </is>
      </c>
      <c r="AA239" s="27" t="inlineStr">
        <is>
          <t>HIGH</t>
        </is>
      </c>
      <c r="AB239" s="27" t="inlineStr">
        <is>
          <t>0.3531105059628509</t>
        </is>
      </c>
      <c r="AC239" s="27" t="inlineStr">
        <is>
          <t>True</t>
        </is>
      </c>
      <c r="AD239" s="27" t="inlineStr">
        <is>
          <t>True</t>
        </is>
      </c>
      <c r="AE239" s="27" t="inlineStr">
        <is>
          <t>valuation_credit_ml_overlay_candidate.csv</t>
        </is>
      </c>
      <c r="AF239" s="27" t="inlineStr">
        <is>
          <t>208개 반도체 reference universe. Valuation Agent가 자체 intake 폴더로 복제해 Peer/ML/대시보드 비교에 사용.</t>
        </is>
      </c>
    </row>
    <row r="240" ht="24" customHeight="1">
      <c r="A240" s="32" t="inlineStr">
        <is>
          <t>162</t>
        </is>
      </c>
      <c r="B240" s="32" t="inlineStr">
        <is>
          <t>해당 없음</t>
        </is>
      </c>
      <c r="C240" s="32" t="inlineStr">
        <is>
          <t>리노공업</t>
        </is>
      </c>
      <c r="D240" s="32" t="inlineStr">
        <is>
          <t>058470</t>
        </is>
      </c>
      <c r="E240" s="32" t="inlineStr">
        <is>
          <t>KOSDAQ GLOBAL</t>
        </is>
      </c>
      <c r="F240" s="32" t="inlineStr">
        <is>
          <t>후공정/패키징/테스트</t>
        </is>
      </c>
      <c r="G240" s="32" t="inlineStr">
        <is>
          <t>후공정/패키징/테스트</t>
        </is>
      </c>
      <c r="H240" s="32" t="inlineStr">
        <is>
          <t>False</t>
        </is>
      </c>
      <c r="I240" s="32" t="inlineStr">
        <is>
          <t>True</t>
        </is>
      </c>
      <c r="J240" s="32" t="inlineStr">
        <is>
          <t>OK</t>
        </is>
      </c>
      <c r="K240" s="32" t="inlineStr">
        <is>
          <t>데이터 사용 가능</t>
        </is>
      </c>
      <c r="L240" s="32" t="inlineStr">
        <is>
          <t>LOW</t>
        </is>
      </c>
      <c r="M240" s="32" t="inlineStr">
        <is>
          <t>LOW</t>
        </is>
      </c>
      <c r="N240" s="32" t="inlineStr">
        <is>
          <t>0.6191111111111112</t>
        </is>
      </c>
      <c r="O240" s="32" t="inlineStr">
        <is>
          <t>ATTRACTIVE</t>
        </is>
      </c>
      <c r="P240" s="32" t="inlineStr">
        <is>
          <t>가치 매력</t>
        </is>
      </c>
      <c r="Q240" s="32" t="inlineStr">
        <is>
          <t>ATTRACTIVE</t>
        </is>
      </c>
      <c r="R240" s="32" t="inlineStr">
        <is>
          <t>0.6825301704423244</t>
        </is>
      </c>
      <c r="S240" s="32" t="inlineStr">
        <is>
          <t>MEDIUM</t>
        </is>
      </c>
      <c r="T240" s="32" t="inlineStr">
        <is>
          <t>MEDIUM</t>
        </is>
      </c>
      <c r="U240" s="32" t="inlineStr">
        <is>
          <t>0.0</t>
        </is>
      </c>
      <c r="V240" s="32" t="inlineStr">
        <is>
          <t>LOW_RISK</t>
        </is>
      </c>
      <c r="W240" s="32" t="inlineStr">
        <is>
          <t>저위험</t>
        </is>
      </c>
      <c r="X240" s="32" t="inlineStr">
        <is>
          <t>LOW_RISK</t>
        </is>
      </c>
      <c r="Y240" s="32" t="inlineStr">
        <is>
          <t>0.941163557572434</t>
        </is>
      </c>
      <c r="Z240" s="32" t="inlineStr">
        <is>
          <t>HIGH</t>
        </is>
      </c>
      <c r="AA240" s="32" t="inlineStr">
        <is>
          <t>HIGH</t>
        </is>
      </c>
      <c r="AB240" s="32" t="inlineStr">
        <is>
          <t>0.3137137380028342</t>
        </is>
      </c>
      <c r="AC240" s="32" t="inlineStr">
        <is>
          <t>True</t>
        </is>
      </c>
      <c r="AD240" s="32" t="inlineStr">
        <is>
          <t>True</t>
        </is>
      </c>
      <c r="AE240" s="32" t="inlineStr">
        <is>
          <t>valuation_credit_ml_overlay_candidate.csv</t>
        </is>
      </c>
      <c r="AF240" s="32" t="inlineStr">
        <is>
          <t>208개 반도체 reference universe. Valuation Agent가 자체 intake 폴더로 복제해 Peer/ML/대시보드 비교에 사용.</t>
        </is>
      </c>
    </row>
    <row r="241" ht="24" customHeight="1">
      <c r="A241" s="27" t="inlineStr">
        <is>
          <t>175</t>
        </is>
      </c>
      <c r="B241" s="27" t="inlineStr">
        <is>
          <t>해당 없음</t>
        </is>
      </c>
      <c r="C241" s="27" t="inlineStr">
        <is>
          <t>오킨스전자</t>
        </is>
      </c>
      <c r="D241" s="27" t="inlineStr">
        <is>
          <t>080580</t>
        </is>
      </c>
      <c r="E241" s="27" t="inlineStr">
        <is>
          <t>KOSDAQ</t>
        </is>
      </c>
      <c r="F241" s="27" t="inlineStr">
        <is>
          <t>후공정/패키징/테스트</t>
        </is>
      </c>
      <c r="G241" s="27" t="inlineStr">
        <is>
          <t>후공정/패키징/테스트</t>
        </is>
      </c>
      <c r="H241" s="27" t="inlineStr">
        <is>
          <t>False</t>
        </is>
      </c>
      <c r="I241" s="27" t="inlineStr">
        <is>
          <t>True</t>
        </is>
      </c>
      <c r="J241" s="27" t="inlineStr">
        <is>
          <t>OK</t>
        </is>
      </c>
      <c r="K241" s="27" t="inlineStr">
        <is>
          <t>데이터 사용 가능</t>
        </is>
      </c>
      <c r="L241" s="27" t="inlineStr">
        <is>
          <t>LOW</t>
        </is>
      </c>
      <c r="M241" s="27" t="inlineStr">
        <is>
          <t>LOW</t>
        </is>
      </c>
      <c r="N241" s="27" t="inlineStr">
        <is>
          <t>0.6062222222222222</t>
        </is>
      </c>
      <c r="O241" s="27" t="inlineStr">
        <is>
          <t>ATTRACTIVE</t>
        </is>
      </c>
      <c r="P241" s="27" t="inlineStr">
        <is>
          <t>가치 매력</t>
        </is>
      </c>
      <c r="Q241" s="27" t="inlineStr">
        <is>
          <t>ATTRACTIVE</t>
        </is>
      </c>
      <c r="R241" s="27" t="inlineStr">
        <is>
          <t>0.8105235691914331</t>
        </is>
      </c>
      <c r="S241" s="27" t="inlineStr">
        <is>
          <t>HIGH</t>
        </is>
      </c>
      <c r="T241" s="27" t="inlineStr">
        <is>
          <t>HIGH</t>
        </is>
      </c>
      <c r="U241" s="27" t="inlineStr">
        <is>
          <t>0.2142857142857142</t>
        </is>
      </c>
      <c r="V241" s="27" t="inlineStr">
        <is>
          <t>MEDIUM_RISK</t>
        </is>
      </c>
      <c r="W241" s="27" t="inlineStr">
        <is>
          <t>중위험</t>
        </is>
      </c>
      <c r="X241" s="27" t="inlineStr">
        <is>
          <t>MEDIUM_RISK</t>
        </is>
      </c>
      <c r="Y241" s="27" t="inlineStr">
        <is>
          <t>0.5565647223385506</t>
        </is>
      </c>
      <c r="Z241" s="27" t="inlineStr">
        <is>
          <t>MEDIUM</t>
        </is>
      </c>
      <c r="AA241" s="27" t="inlineStr">
        <is>
          <t>MEDIUM</t>
        </is>
      </c>
      <c r="AB241" s="27" t="inlineStr">
        <is>
          <t>0.05131400931985753</t>
        </is>
      </c>
      <c r="AC241" s="27" t="inlineStr">
        <is>
          <t>False</t>
        </is>
      </c>
      <c r="AD241" s="27" t="inlineStr">
        <is>
          <t>False</t>
        </is>
      </c>
      <c r="AE241" s="27" t="inlineStr">
        <is>
          <t>valuation_credit_ml_overlay_candidate.csv</t>
        </is>
      </c>
      <c r="AF241" s="27" t="inlineStr">
        <is>
          <t>208개 반도체 reference universe. Valuation Agent가 자체 intake 폴더로 복제해 Peer/ML/대시보드 비교에 사용.</t>
        </is>
      </c>
    </row>
    <row r="242" ht="24" customHeight="1">
      <c r="A242" s="32" t="inlineStr">
        <is>
          <t>160</t>
        </is>
      </c>
      <c r="B242" s="32" t="inlineStr">
        <is>
          <t>해당 없음</t>
        </is>
      </c>
      <c r="C242" s="32" t="inlineStr">
        <is>
          <t>디아이</t>
        </is>
      </c>
      <c r="D242" s="32" t="inlineStr">
        <is>
          <t>003160</t>
        </is>
      </c>
      <c r="E242" s="32" t="inlineStr">
        <is>
          <t>KOSPI</t>
        </is>
      </c>
      <c r="F242" s="32" t="inlineStr">
        <is>
          <t>후공정/패키징/테스트</t>
        </is>
      </c>
      <c r="G242" s="32" t="inlineStr">
        <is>
          <t>후공정/패키징/테스트</t>
        </is>
      </c>
      <c r="H242" s="32" t="inlineStr">
        <is>
          <t>False</t>
        </is>
      </c>
      <c r="I242" s="32" t="inlineStr">
        <is>
          <t>True</t>
        </is>
      </c>
      <c r="J242" s="32" t="inlineStr">
        <is>
          <t>OK</t>
        </is>
      </c>
      <c r="K242" s="32" t="inlineStr">
        <is>
          <t>데이터 사용 가능</t>
        </is>
      </c>
      <c r="L242" s="32" t="inlineStr">
        <is>
          <t>LOW</t>
        </is>
      </c>
      <c r="M242" s="32" t="inlineStr">
        <is>
          <t>LOW</t>
        </is>
      </c>
      <c r="N242" s="32" t="inlineStr">
        <is>
          <t>0.5875555555555555</t>
        </is>
      </c>
      <c r="O242" s="32" t="inlineStr">
        <is>
          <t>ATTRACTIVE</t>
        </is>
      </c>
      <c r="P242" s="32" t="inlineStr">
        <is>
          <t>가치 매력</t>
        </is>
      </c>
      <c r="Q242" s="32" t="inlineStr">
        <is>
          <t>ATTRACTIVE</t>
        </is>
      </c>
      <c r="R242" s="32" t="inlineStr">
        <is>
          <t>0.6560906263736197</t>
        </is>
      </c>
      <c r="S242" s="32" t="inlineStr">
        <is>
          <t>MEDIUM</t>
        </is>
      </c>
      <c r="T242" s="32" t="inlineStr">
        <is>
          <t>MEDIUM</t>
        </is>
      </c>
      <c r="U242" s="32" t="inlineStr">
        <is>
          <t>0.0714285714285714</t>
        </is>
      </c>
      <c r="V242" s="32" t="inlineStr">
        <is>
          <t>LOW_RISK</t>
        </is>
      </c>
      <c r="W242" s="32" t="inlineStr">
        <is>
          <t>저위험</t>
        </is>
      </c>
      <c r="X242" s="32" t="inlineStr">
        <is>
          <t>LOW_RISK</t>
        </is>
      </c>
      <c r="Y242" s="32" t="inlineStr">
        <is>
          <t>0.7571818581431954</t>
        </is>
      </c>
      <c r="Z242" s="32" t="inlineStr">
        <is>
          <t>HIGH</t>
        </is>
      </c>
      <c r="AA242" s="32" t="inlineStr">
        <is>
          <t>HIGH</t>
        </is>
      </c>
      <c r="AB242" s="32" t="inlineStr">
        <is>
          <t>0.027510707117244317</t>
        </is>
      </c>
      <c r="AC242" s="32" t="inlineStr">
        <is>
          <t>False</t>
        </is>
      </c>
      <c r="AD242" s="32" t="inlineStr">
        <is>
          <t>False</t>
        </is>
      </c>
      <c r="AE242" s="32" t="inlineStr">
        <is>
          <t>valuation_credit_ml_overlay_candidate.csv</t>
        </is>
      </c>
      <c r="AF242" s="32" t="inlineStr">
        <is>
          <t>208개 반도체 reference universe. Valuation Agent가 자체 intake 폴더로 복제해 Peer/ML/대시보드 비교에 사용.</t>
        </is>
      </c>
    </row>
    <row r="243" ht="24" customHeight="1">
      <c r="A243" s="27" t="inlineStr">
        <is>
          <t>174</t>
        </is>
      </c>
      <c r="B243" s="27" t="inlineStr">
        <is>
          <t>해당 없음</t>
        </is>
      </c>
      <c r="C243" s="27" t="inlineStr">
        <is>
          <t>엑시콘</t>
        </is>
      </c>
      <c r="D243" s="27" t="inlineStr">
        <is>
          <t>092870</t>
        </is>
      </c>
      <c r="E243" s="27" t="inlineStr">
        <is>
          <t>KOSDAQ</t>
        </is>
      </c>
      <c r="F243" s="27" t="inlineStr">
        <is>
          <t>후공정/패키징/테스트</t>
        </is>
      </c>
      <c r="G243" s="27" t="inlineStr">
        <is>
          <t>후공정/패키징/테스트</t>
        </is>
      </c>
      <c r="H243" s="27" t="inlineStr">
        <is>
          <t>False</t>
        </is>
      </c>
      <c r="I243" s="27" t="inlineStr">
        <is>
          <t>True</t>
        </is>
      </c>
      <c r="J243" s="27" t="inlineStr">
        <is>
          <t>OK</t>
        </is>
      </c>
      <c r="K243" s="27" t="inlineStr">
        <is>
          <t>데이터 사용 가능</t>
        </is>
      </c>
      <c r="L243" s="27" t="inlineStr">
        <is>
          <t>LOW</t>
        </is>
      </c>
      <c r="M243" s="27" t="inlineStr">
        <is>
          <t>LOW</t>
        </is>
      </c>
      <c r="N243" s="27" t="inlineStr">
        <is>
          <t>0.5711111111111111</t>
        </is>
      </c>
      <c r="O243" s="27" t="inlineStr">
        <is>
          <t>FAIR</t>
        </is>
      </c>
      <c r="P243" s="27" t="inlineStr">
        <is>
          <t>FAIR</t>
        </is>
      </c>
      <c r="Q243" s="27" t="inlineStr">
        <is>
          <t>FAIR</t>
        </is>
      </c>
      <c r="R243" s="27" t="inlineStr">
        <is>
          <t>0.7870958268046786</t>
        </is>
      </c>
      <c r="S243" s="27" t="inlineStr">
        <is>
          <t>HIGH</t>
        </is>
      </c>
      <c r="T243" s="27" t="inlineStr">
        <is>
          <t>HIGH</t>
        </is>
      </c>
      <c r="U243" s="27" t="inlineStr">
        <is>
          <t>0.2142857142857142</t>
        </is>
      </c>
      <c r="V243" s="27" t="inlineStr">
        <is>
          <t>MEDIUM_RISK</t>
        </is>
      </c>
      <c r="W243" s="27" t="inlineStr">
        <is>
          <t>중위험</t>
        </is>
      </c>
      <c r="X243" s="27" t="inlineStr">
        <is>
          <t>MEDIUM_RISK</t>
        </is>
      </c>
      <c r="Y243" s="27" t="inlineStr">
        <is>
          <t>0.6956414267155251</t>
        </is>
      </c>
      <c r="Z243" s="27" t="inlineStr">
        <is>
          <t>MEDIUM</t>
        </is>
      </c>
      <c r="AA243" s="27" t="inlineStr">
        <is>
          <t>MEDIUM</t>
        </is>
      </c>
      <c r="AB243" s="27" t="inlineStr">
        <is>
          <t>0.09079387845598708</t>
        </is>
      </c>
      <c r="AC243" s="27" t="inlineStr">
        <is>
          <t>False</t>
        </is>
      </c>
      <c r="AD243" s="27" t="inlineStr">
        <is>
          <t>False</t>
        </is>
      </c>
      <c r="AE243" s="27" t="inlineStr">
        <is>
          <t>valuation_credit_ml_overlay_candidate.csv</t>
        </is>
      </c>
      <c r="AF243" s="27" t="inlineStr">
        <is>
          <t>208개 반도체 reference universe. Valuation Agent가 자체 intake 폴더로 복제해 Peer/ML/대시보드 비교에 사용.</t>
        </is>
      </c>
    </row>
    <row r="244" ht="24" customHeight="1">
      <c r="A244" s="32" t="inlineStr">
        <is>
          <t>177</t>
        </is>
      </c>
      <c r="B244" s="32" t="inlineStr">
        <is>
          <t>해당 없음</t>
        </is>
      </c>
      <c r="C244" s="32" t="inlineStr">
        <is>
          <t>우리이앤엘하루틴</t>
        </is>
      </c>
      <c r="D244" s="32" t="inlineStr">
        <is>
          <t>153490</t>
        </is>
      </c>
      <c r="E244" s="32" t="inlineStr">
        <is>
          <t>KOSDAQ</t>
        </is>
      </c>
      <c r="F244" s="32" t="inlineStr">
        <is>
          <t>후공정/패키징/테스트</t>
        </is>
      </c>
      <c r="G244" s="32" t="inlineStr">
        <is>
          <t>후공정/패키징/테스트</t>
        </is>
      </c>
      <c r="H244" s="32" t="inlineStr">
        <is>
          <t>False</t>
        </is>
      </c>
      <c r="I244" s="32" t="inlineStr">
        <is>
          <t>True</t>
        </is>
      </c>
      <c r="J244" s="32" t="inlineStr">
        <is>
          <t>OK</t>
        </is>
      </c>
      <c r="K244" s="32" t="inlineStr">
        <is>
          <t>데이터 사용 가능</t>
        </is>
      </c>
      <c r="L244" s="32" t="inlineStr">
        <is>
          <t>LOW</t>
        </is>
      </c>
      <c r="M244" s="32" t="inlineStr">
        <is>
          <t>LOW</t>
        </is>
      </c>
      <c r="N244" s="32" t="inlineStr">
        <is>
          <t>0.5598518518518519</t>
        </is>
      </c>
      <c r="O244" s="32" t="inlineStr">
        <is>
          <t>FAIR</t>
        </is>
      </c>
      <c r="P244" s="32" t="inlineStr">
        <is>
          <t>FAIR</t>
        </is>
      </c>
      <c r="Q244" s="32" t="inlineStr">
        <is>
          <t>FAIR</t>
        </is>
      </c>
      <c r="R244" s="32" t="inlineStr">
        <is>
          <t>0.803860880134826</t>
        </is>
      </c>
      <c r="S244" s="32" t="inlineStr">
        <is>
          <t>HIGH</t>
        </is>
      </c>
      <c r="T244" s="32" t="inlineStr">
        <is>
          <t>HIGH</t>
        </is>
      </c>
      <c r="U244" s="32" t="inlineStr">
        <is>
          <t>0.1428571428571428</t>
        </is>
      </c>
      <c r="V244" s="32" t="inlineStr">
        <is>
          <t>LOW_RISK</t>
        </is>
      </c>
      <c r="W244" s="32" t="inlineStr">
        <is>
          <t>저위험</t>
        </is>
      </c>
      <c r="X244" s="32" t="inlineStr">
        <is>
          <t>LOW_RISK</t>
        </is>
      </c>
      <c r="Y244" s="32" t="inlineStr">
        <is>
          <t>0.5263237628250668</t>
        </is>
      </c>
      <c r="Z244" s="32" t="inlineStr">
        <is>
          <t>MEDIUM</t>
        </is>
      </c>
      <c r="AA244" s="32" t="inlineStr">
        <is>
          <t>MEDIUM</t>
        </is>
      </c>
      <c r="AB244" s="32" t="inlineStr">
        <is>
          <t>0.12425981563248314</t>
        </is>
      </c>
      <c r="AC244" s="32" t="inlineStr">
        <is>
          <t>False</t>
        </is>
      </c>
      <c r="AD244" s="32" t="inlineStr">
        <is>
          <t>False</t>
        </is>
      </c>
      <c r="AE244" s="32" t="inlineStr">
        <is>
          <t>valuation_credit_ml_overlay_candidate.csv</t>
        </is>
      </c>
      <c r="AF244" s="32" t="inlineStr">
        <is>
          <t>208개 반도체 reference universe. Valuation Agent가 자체 intake 폴더로 복제해 Peer/ML/대시보드 비교에 사용.</t>
        </is>
      </c>
    </row>
    <row r="245" ht="24" customHeight="1">
      <c r="A245" s="27" t="inlineStr">
        <is>
          <t>176</t>
        </is>
      </c>
      <c r="B245" s="27" t="inlineStr">
        <is>
          <t>해당 없음</t>
        </is>
      </c>
      <c r="C245" s="27" t="inlineStr">
        <is>
          <t>와이씨</t>
        </is>
      </c>
      <c r="D245" s="27" t="inlineStr">
        <is>
          <t>232140</t>
        </is>
      </c>
      <c r="E245" s="27" t="inlineStr">
        <is>
          <t>KOSDAQ</t>
        </is>
      </c>
      <c r="F245" s="27" t="inlineStr">
        <is>
          <t>후공정/패키징/테스트</t>
        </is>
      </c>
      <c r="G245" s="27" t="inlineStr">
        <is>
          <t>후공정/패키징/테스트</t>
        </is>
      </c>
      <c r="H245" s="27" t="inlineStr">
        <is>
          <t>False</t>
        </is>
      </c>
      <c r="I245" s="27" t="inlineStr">
        <is>
          <t>True</t>
        </is>
      </c>
      <c r="J245" s="27" t="inlineStr">
        <is>
          <t>OK</t>
        </is>
      </c>
      <c r="K245" s="27" t="inlineStr">
        <is>
          <t>데이터 사용 가능</t>
        </is>
      </c>
      <c r="L245" s="27" t="inlineStr">
        <is>
          <t>LOW</t>
        </is>
      </c>
      <c r="M245" s="27" t="inlineStr">
        <is>
          <t>LOW</t>
        </is>
      </c>
      <c r="N245" s="27" t="inlineStr">
        <is>
          <t>0.5573333333333333</t>
        </is>
      </c>
      <c r="O245" s="27" t="inlineStr">
        <is>
          <t>FAIR</t>
        </is>
      </c>
      <c r="P245" s="27" t="inlineStr">
        <is>
          <t>FAIR</t>
        </is>
      </c>
      <c r="Q245" s="27" t="inlineStr">
        <is>
          <t>FAIR</t>
        </is>
      </c>
      <c r="R245" s="27" t="inlineStr">
        <is>
          <t>0.5813875575219858</t>
        </is>
      </c>
      <c r="S245" s="27" t="inlineStr">
        <is>
          <t>MEDIUM</t>
        </is>
      </c>
      <c r="T245" s="27" t="inlineStr">
        <is>
          <t>MEDIUM</t>
        </is>
      </c>
      <c r="U245" s="27" t="inlineStr">
        <is>
          <t>0.0</t>
        </is>
      </c>
      <c r="V245" s="27" t="inlineStr">
        <is>
          <t>LOW_RISK</t>
        </is>
      </c>
      <c r="W245" s="27" t="inlineStr">
        <is>
          <t>저위험</t>
        </is>
      </c>
      <c r="X245" s="27" t="inlineStr">
        <is>
          <t>LOW_RISK</t>
        </is>
      </c>
      <c r="Y245" s="27" t="inlineStr">
        <is>
          <t>0.9779169949984006</t>
        </is>
      </c>
      <c r="Z245" s="27" t="inlineStr">
        <is>
          <t>HIGH</t>
        </is>
      </c>
      <c r="AA245" s="27" t="inlineStr">
        <is>
          <t>HIGH</t>
        </is>
      </c>
      <c r="AB245" s="27" t="inlineStr">
        <is>
          <t>0.027903490153269303</t>
        </is>
      </c>
      <c r="AC245" s="27" t="inlineStr">
        <is>
          <t>False</t>
        </is>
      </c>
      <c r="AD245" s="27" t="inlineStr">
        <is>
          <t>False</t>
        </is>
      </c>
      <c r="AE245" s="27" t="inlineStr">
        <is>
          <t>valuation_credit_ml_overlay_candidate.csv</t>
        </is>
      </c>
      <c r="AF245" s="27" t="inlineStr">
        <is>
          <t>208개 반도체 reference universe. Valuation Agent가 자체 intake 폴더로 복제해 Peer/ML/대시보드 비교에 사용.</t>
        </is>
      </c>
    </row>
    <row r="246" ht="24" customHeight="1">
      <c r="A246" s="32" t="inlineStr">
        <is>
          <t>155</t>
        </is>
      </c>
      <c r="B246" s="32" t="inlineStr">
        <is>
          <t>해당 없음</t>
        </is>
      </c>
      <c r="C246" s="32" t="inlineStr">
        <is>
          <t>기가비스</t>
        </is>
      </c>
      <c r="D246" s="32" t="inlineStr">
        <is>
          <t>420770</t>
        </is>
      </c>
      <c r="E246" s="32" t="inlineStr">
        <is>
          <t>KOSDAQ</t>
        </is>
      </c>
      <c r="F246" s="32" t="inlineStr">
        <is>
          <t>후공정/패키징/테스트</t>
        </is>
      </c>
      <c r="G246" s="32" t="inlineStr">
        <is>
          <t>후공정/패키징/테스트</t>
        </is>
      </c>
      <c r="H246" s="32" t="inlineStr">
        <is>
          <t>False</t>
        </is>
      </c>
      <c r="I246" s="32" t="inlineStr">
        <is>
          <t>True</t>
        </is>
      </c>
      <c r="J246" s="32" t="inlineStr">
        <is>
          <t>OK_LIMITED_HISTORY_OR_GROWTH_NA</t>
        </is>
      </c>
      <c r="K246" s="32" t="inlineStr">
        <is>
          <t>데이터 사용 가능</t>
        </is>
      </c>
      <c r="L246" s="32" t="inlineStr">
        <is>
          <t>LOW</t>
        </is>
      </c>
      <c r="M246" s="32" t="inlineStr">
        <is>
          <t>LOW</t>
        </is>
      </c>
      <c r="N246" s="32" t="inlineStr">
        <is>
          <t>0.5544444444444445</t>
        </is>
      </c>
      <c r="O246" s="32" t="inlineStr">
        <is>
          <t>FAIR</t>
        </is>
      </c>
      <c r="P246" s="32" t="inlineStr">
        <is>
          <t>FAIR</t>
        </is>
      </c>
      <c r="Q246" s="32" t="inlineStr">
        <is>
          <t>FAIR</t>
        </is>
      </c>
      <c r="R246" s="32" t="inlineStr">
        <is>
          <t>0.604283449323821</t>
        </is>
      </c>
      <c r="S246" s="32" t="inlineStr">
        <is>
          <t>MEDIUM</t>
        </is>
      </c>
      <c r="T246" s="32" t="inlineStr">
        <is>
          <t>MEDIUM</t>
        </is>
      </c>
      <c r="U246" s="32" t="inlineStr">
        <is>
          <t>0.0714285714285714</t>
        </is>
      </c>
      <c r="V246" s="32" t="inlineStr">
        <is>
          <t>LOW_RISK</t>
        </is>
      </c>
      <c r="W246" s="32" t="inlineStr">
        <is>
          <t>저위험</t>
        </is>
      </c>
      <c r="X246" s="32" t="inlineStr">
        <is>
          <t>LOW_RISK</t>
        </is>
      </c>
      <c r="Y246" s="32" t="inlineStr">
        <is>
          <t>0.9462252670112353</t>
        </is>
      </c>
      <c r="Z246" s="32" t="inlineStr">
        <is>
          <t>HIGH</t>
        </is>
      </c>
      <c r="AA246" s="32" t="inlineStr">
        <is>
          <t>HIGH</t>
        </is>
      </c>
      <c r="AB246" s="32" t="inlineStr">
        <is>
          <t>0.34444594339538714</t>
        </is>
      </c>
      <c r="AC246" s="32" t="inlineStr">
        <is>
          <t>True</t>
        </is>
      </c>
      <c r="AD246" s="32" t="inlineStr">
        <is>
          <t>True</t>
        </is>
      </c>
      <c r="AE246" s="32" t="inlineStr">
        <is>
          <t>valuation_credit_ml_overlay_candidate.csv</t>
        </is>
      </c>
      <c r="AF246" s="32" t="inlineStr">
        <is>
          <t>208개 반도체 reference universe. Valuation Agent가 자체 intake 폴더로 복제해 Peer/ML/대시보드 비교에 사용.</t>
        </is>
      </c>
    </row>
    <row r="247" ht="24" customHeight="1">
      <c r="A247" s="27" t="inlineStr">
        <is>
          <t>194</t>
        </is>
      </c>
      <c r="B247" s="27" t="inlineStr">
        <is>
          <t>해당 없음</t>
        </is>
      </c>
      <c r="C247" s="27" t="inlineStr">
        <is>
          <t>해성디에스</t>
        </is>
      </c>
      <c r="D247" s="27" t="inlineStr">
        <is>
          <t>195870</t>
        </is>
      </c>
      <c r="E247" s="27" t="inlineStr">
        <is>
          <t>KOSPI</t>
        </is>
      </c>
      <c r="F247" s="27" t="inlineStr">
        <is>
          <t>후공정/패키징/테스트</t>
        </is>
      </c>
      <c r="G247" s="27" t="inlineStr">
        <is>
          <t>후공정/패키징/테스트</t>
        </is>
      </c>
      <c r="H247" s="27" t="inlineStr">
        <is>
          <t>False</t>
        </is>
      </c>
      <c r="I247" s="27" t="inlineStr">
        <is>
          <t>True</t>
        </is>
      </c>
      <c r="J247" s="27" t="inlineStr">
        <is>
          <t>OK</t>
        </is>
      </c>
      <c r="K247" s="27" t="inlineStr">
        <is>
          <t>데이터 사용 가능</t>
        </is>
      </c>
      <c r="L247" s="27" t="inlineStr">
        <is>
          <t>LOW</t>
        </is>
      </c>
      <c r="M247" s="27" t="inlineStr">
        <is>
          <t>LOW</t>
        </is>
      </c>
      <c r="N247" s="27" t="inlineStr">
        <is>
          <t>0.5333333333333333</t>
        </is>
      </c>
      <c r="O247" s="27" t="inlineStr">
        <is>
          <t>FAIR</t>
        </is>
      </c>
      <c r="P247" s="27" t="inlineStr">
        <is>
          <t>FAIR</t>
        </is>
      </c>
      <c r="Q247" s="27" t="inlineStr">
        <is>
          <t>FAIR</t>
        </is>
      </c>
      <c r="R247" s="27" t="inlineStr">
        <is>
          <t>0.8942165906576592</t>
        </is>
      </c>
      <c r="S247" s="27" t="inlineStr">
        <is>
          <t>HIGH</t>
        </is>
      </c>
      <c r="T247" s="27" t="inlineStr">
        <is>
          <t>HIGH</t>
        </is>
      </c>
      <c r="U247" s="27" t="inlineStr">
        <is>
          <t>0.0714285714285714</t>
        </is>
      </c>
      <c r="V247" s="27" t="inlineStr">
        <is>
          <t>LOW_RISK</t>
        </is>
      </c>
      <c r="W247" s="27" t="inlineStr">
        <is>
          <t>저위험</t>
        </is>
      </c>
      <c r="X247" s="27" t="inlineStr">
        <is>
          <t>LOW_RISK</t>
        </is>
      </c>
      <c r="Y247" s="27" t="inlineStr">
        <is>
          <t>0.7552918248784374</t>
        </is>
      </c>
      <c r="Z247" s="27" t="inlineStr">
        <is>
          <t>HIGH</t>
        </is>
      </c>
      <c r="AA247" s="27" t="inlineStr">
        <is>
          <t>HIGH</t>
        </is>
      </c>
      <c r="AB247" s="27" t="inlineStr">
        <is>
          <t>0.0</t>
        </is>
      </c>
      <c r="AC247" s="27" t="inlineStr">
        <is>
          <t>False</t>
        </is>
      </c>
      <c r="AD247" s="27" t="inlineStr">
        <is>
          <t>False</t>
        </is>
      </c>
      <c r="AE247" s="27" t="inlineStr">
        <is>
          <t>valuation_credit_ml_overlay_candidate.csv</t>
        </is>
      </c>
      <c r="AF247" s="27" t="inlineStr">
        <is>
          <t>208개 반도체 reference universe. Valuation Agent가 자체 intake 폴더로 복제해 Peer/ML/대시보드 비교에 사용.</t>
        </is>
      </c>
    </row>
    <row r="248" ht="24" customHeight="1">
      <c r="A248" s="32" t="inlineStr">
        <is>
          <t>150</t>
        </is>
      </c>
      <c r="B248" s="32" t="inlineStr">
        <is>
          <t>해당 없음</t>
        </is>
      </c>
      <c r="C248" s="32" t="inlineStr">
        <is>
          <t>ISC</t>
        </is>
      </c>
      <c r="D248" s="32" t="inlineStr">
        <is>
          <t>095340</t>
        </is>
      </c>
      <c r="E248" s="32" t="inlineStr">
        <is>
          <t>KOSDAQ GLOBAL</t>
        </is>
      </c>
      <c r="F248" s="32" t="inlineStr">
        <is>
          <t>후공정/패키징/테스트</t>
        </is>
      </c>
      <c r="G248" s="32" t="inlineStr">
        <is>
          <t>후공정/패키징/테스트</t>
        </is>
      </c>
      <c r="H248" s="32" t="inlineStr">
        <is>
          <t>False</t>
        </is>
      </c>
      <c r="I248" s="32" t="inlineStr">
        <is>
          <t>True</t>
        </is>
      </c>
      <c r="J248" s="32" t="inlineStr">
        <is>
          <t>OK</t>
        </is>
      </c>
      <c r="K248" s="32" t="inlineStr">
        <is>
          <t>데이터 사용 가능</t>
        </is>
      </c>
      <c r="L248" s="32" t="inlineStr">
        <is>
          <t>LOW</t>
        </is>
      </c>
      <c r="M248" s="32" t="inlineStr">
        <is>
          <t>LOW</t>
        </is>
      </c>
      <c r="N248" s="32" t="inlineStr">
        <is>
          <t>0.5176296296296296</t>
        </is>
      </c>
      <c r="O248" s="32" t="inlineStr">
        <is>
          <t>FAIR</t>
        </is>
      </c>
      <c r="P248" s="32" t="inlineStr">
        <is>
          <t>FAIR</t>
        </is>
      </c>
      <c r="Q248" s="32" t="inlineStr">
        <is>
          <t>FAIR</t>
        </is>
      </c>
      <c r="R248" s="32" t="inlineStr">
        <is>
          <t>0.5753148434947495</t>
        </is>
      </c>
      <c r="S248" s="32" t="inlineStr">
        <is>
          <t>MEDIUM</t>
        </is>
      </c>
      <c r="T248" s="32" t="inlineStr">
        <is>
          <t>MEDIUM</t>
        </is>
      </c>
      <c r="U248" s="32" t="inlineStr">
        <is>
          <t>0.0</t>
        </is>
      </c>
      <c r="V248" s="32" t="inlineStr">
        <is>
          <t>LOW_RISK</t>
        </is>
      </c>
      <c r="W248" s="32" t="inlineStr">
        <is>
          <t>저위험</t>
        </is>
      </c>
      <c r="X248" s="32" t="inlineStr">
        <is>
          <t>LOW_RISK</t>
        </is>
      </c>
      <c r="Y248" s="32" t="inlineStr">
        <is>
          <t>0.9755870924998499</t>
        </is>
      </c>
      <c r="Z248" s="32" t="inlineStr">
        <is>
          <t>HIGH</t>
        </is>
      </c>
      <c r="AA248" s="32" t="inlineStr">
        <is>
          <t>HIGH</t>
        </is>
      </c>
      <c r="AB248" s="32" t="inlineStr">
        <is>
          <t>0.14006921921799445</t>
        </is>
      </c>
      <c r="AC248" s="32" t="inlineStr">
        <is>
          <t>False</t>
        </is>
      </c>
      <c r="AD248" s="32" t="inlineStr">
        <is>
          <t>False</t>
        </is>
      </c>
      <c r="AE248" s="32" t="inlineStr">
        <is>
          <t>valuation_credit_ml_overlay_candidate.csv</t>
        </is>
      </c>
      <c r="AF248" s="32" t="inlineStr">
        <is>
          <t>208개 반도체 reference universe. Valuation Agent가 자체 intake 폴더로 복제해 Peer/ML/대시보드 비교에 사용.</t>
        </is>
      </c>
    </row>
    <row r="249" ht="24" customHeight="1">
      <c r="A249" s="27" t="inlineStr">
        <is>
          <t>173</t>
        </is>
      </c>
      <c r="B249" s="27" t="inlineStr">
        <is>
          <t>해당 없음</t>
        </is>
      </c>
      <c r="C249" s="27" t="inlineStr">
        <is>
          <t>에이팩트</t>
        </is>
      </c>
      <c r="D249" s="27" t="inlineStr">
        <is>
          <t>200470</t>
        </is>
      </c>
      <c r="E249" s="27" t="inlineStr">
        <is>
          <t>KOSDAQ</t>
        </is>
      </c>
      <c r="F249" s="27" t="inlineStr">
        <is>
          <t>후공정/패키징/테스트</t>
        </is>
      </c>
      <c r="G249" s="27" t="inlineStr">
        <is>
          <t>후공정/패키징/테스트</t>
        </is>
      </c>
      <c r="H249" s="27" t="inlineStr">
        <is>
          <t>False</t>
        </is>
      </c>
      <c r="I249" s="27" t="inlineStr">
        <is>
          <t>True</t>
        </is>
      </c>
      <c r="J249" s="27" t="inlineStr">
        <is>
          <t>OK</t>
        </is>
      </c>
      <c r="K249" s="27" t="inlineStr">
        <is>
          <t>데이터 사용 가능</t>
        </is>
      </c>
      <c r="L249" s="27" t="inlineStr">
        <is>
          <t>LOW</t>
        </is>
      </c>
      <c r="M249" s="27" t="inlineStr">
        <is>
          <t>LOW</t>
        </is>
      </c>
      <c r="N249" s="27" t="inlineStr">
        <is>
          <t>0.5026666666666667</t>
        </is>
      </c>
      <c r="O249" s="27" t="inlineStr">
        <is>
          <t>FAIR</t>
        </is>
      </c>
      <c r="P249" s="27" t="inlineStr">
        <is>
          <t>FAIR</t>
        </is>
      </c>
      <c r="Q249" s="27" t="inlineStr">
        <is>
          <t>FAIR</t>
        </is>
      </c>
      <c r="R249" s="27" t="inlineStr">
        <is>
          <t>0.8010795762920226</t>
        </is>
      </c>
      <c r="S249" s="27" t="inlineStr">
        <is>
          <t>HIGH</t>
        </is>
      </c>
      <c r="T249" s="27" t="inlineStr">
        <is>
          <t>HIGH</t>
        </is>
      </c>
      <c r="U249" s="27" t="inlineStr">
        <is>
          <t>0.4285714285714285</t>
        </is>
      </c>
      <c r="V249" s="27" t="inlineStr">
        <is>
          <t>HIGH_RISK</t>
        </is>
      </c>
      <c r="W249" s="27" t="inlineStr">
        <is>
          <t>고위험</t>
        </is>
      </c>
      <c r="X249" s="27" t="inlineStr">
        <is>
          <t>MEDIUM_RISK</t>
        </is>
      </c>
      <c r="Y249" s="27" t="inlineStr">
        <is>
          <t>0.40666664980482187</t>
        </is>
      </c>
      <c r="Z249" s="27" t="inlineStr">
        <is>
          <t>LOW</t>
        </is>
      </c>
      <c r="AA249" s="27" t="inlineStr">
        <is>
          <t>LOW</t>
        </is>
      </c>
      <c r="AB249" s="27" t="inlineStr">
        <is>
          <t>0.060282917359955154</t>
        </is>
      </c>
      <c r="AC249" s="27" t="inlineStr">
        <is>
          <t>False</t>
        </is>
      </c>
      <c r="AD249" s="27" t="inlineStr">
        <is>
          <t>True</t>
        </is>
      </c>
      <c r="AE249" s="27" t="inlineStr">
        <is>
          <t>valuation_credit_ml_overlay_candidate.csv</t>
        </is>
      </c>
      <c r="AF249" s="27" t="inlineStr">
        <is>
          <t>208개 반도체 reference universe. Valuation Agent가 자체 intake 폴더로 복제해 Peer/ML/대시보드 비교에 사용.</t>
        </is>
      </c>
    </row>
    <row r="250" ht="24" customHeight="1">
      <c r="A250" s="32" t="inlineStr">
        <is>
          <t>166</t>
        </is>
      </c>
      <c r="B250" s="32" t="inlineStr">
        <is>
          <t>해당 없음</t>
        </is>
      </c>
      <c r="C250" s="32" t="inlineStr">
        <is>
          <t>삼성전기</t>
        </is>
      </c>
      <c r="D250" s="32" t="inlineStr">
        <is>
          <t>009150</t>
        </is>
      </c>
      <c r="E250" s="32" t="inlineStr">
        <is>
          <t>KOSPI</t>
        </is>
      </c>
      <c r="F250" s="32" t="inlineStr">
        <is>
          <t>후공정/패키징/테스트</t>
        </is>
      </c>
      <c r="G250" s="32" t="inlineStr">
        <is>
          <t>후공정/패키징/테스트</t>
        </is>
      </c>
      <c r="H250" s="32" t="inlineStr">
        <is>
          <t>False</t>
        </is>
      </c>
      <c r="I250" s="32" t="inlineStr">
        <is>
          <t>True</t>
        </is>
      </c>
      <c r="J250" s="32" t="inlineStr">
        <is>
          <t>OK</t>
        </is>
      </c>
      <c r="K250" s="32" t="inlineStr">
        <is>
          <t>데이터 사용 가능</t>
        </is>
      </c>
      <c r="L250" s="32" t="inlineStr">
        <is>
          <t>LOW</t>
        </is>
      </c>
      <c r="M250" s="32" t="inlineStr">
        <is>
          <t>LOW</t>
        </is>
      </c>
      <c r="N250" s="32" t="inlineStr">
        <is>
          <t>0.4957037037037037</t>
        </is>
      </c>
      <c r="O250" s="32" t="inlineStr">
        <is>
          <t>FAIR</t>
        </is>
      </c>
      <c r="P250" s="32" t="inlineStr">
        <is>
          <t>FAIR</t>
        </is>
      </c>
      <c r="Q250" s="32" t="inlineStr">
        <is>
          <t>FAIR</t>
        </is>
      </c>
      <c r="R250" s="32" t="inlineStr">
        <is>
          <t>0.5297655139045552</t>
        </is>
      </c>
      <c r="S250" s="32" t="inlineStr">
        <is>
          <t>MEDIUM</t>
        </is>
      </c>
      <c r="T250" s="32" t="inlineStr">
        <is>
          <t>MEDIUM</t>
        </is>
      </c>
      <c r="U250" s="32" t="inlineStr">
        <is>
          <t>0.0</t>
        </is>
      </c>
      <c r="V250" s="32" t="inlineStr">
        <is>
          <t>LOW_RISK</t>
        </is>
      </c>
      <c r="W250" s="32" t="inlineStr">
        <is>
          <t>저위험</t>
        </is>
      </c>
      <c r="X250" s="32" t="inlineStr">
        <is>
          <t>LOW_RISK</t>
        </is>
      </c>
      <c r="Y250" s="32" t="inlineStr">
        <is>
          <t>0.9613637696053304</t>
        </is>
      </c>
      <c r="Z250" s="32" t="inlineStr">
        <is>
          <t>HIGH</t>
        </is>
      </c>
      <c r="AA250" s="32" t="inlineStr">
        <is>
          <t>HIGH</t>
        </is>
      </c>
      <c r="AB250" s="32" t="inlineStr">
        <is>
          <t>0.09523408011479967</t>
        </is>
      </c>
      <c r="AC250" s="32" t="inlineStr">
        <is>
          <t>False</t>
        </is>
      </c>
      <c r="AD250" s="32" t="inlineStr">
        <is>
          <t>False</t>
        </is>
      </c>
      <c r="AE250" s="32" t="inlineStr">
        <is>
          <t>valuation_credit_ml_overlay_candidate.csv</t>
        </is>
      </c>
      <c r="AF250" s="32" t="inlineStr">
        <is>
          <t>208개 반도체 reference universe. Valuation Agent가 자체 intake 폴더로 복제해 Peer/ML/대시보드 비교에 사용.</t>
        </is>
      </c>
    </row>
    <row r="251" ht="24" customHeight="1">
      <c r="A251" s="27" t="inlineStr">
        <is>
          <t>171</t>
        </is>
      </c>
      <c r="B251" s="27" t="inlineStr">
        <is>
          <t>해당 없음</t>
        </is>
      </c>
      <c r="C251" s="27" t="inlineStr">
        <is>
          <t>에이엘티</t>
        </is>
      </c>
      <c r="D251" s="27" t="inlineStr">
        <is>
          <t>172670</t>
        </is>
      </c>
      <c r="E251" s="27" t="inlineStr">
        <is>
          <t>KOSDAQ</t>
        </is>
      </c>
      <c r="F251" s="27" t="inlineStr">
        <is>
          <t>후공정/패키징/테스트</t>
        </is>
      </c>
      <c r="G251" s="27" t="inlineStr">
        <is>
          <t>후공정/패키징/테스트</t>
        </is>
      </c>
      <c r="H251" s="27" t="inlineStr">
        <is>
          <t>False</t>
        </is>
      </c>
      <c r="I251" s="27" t="inlineStr">
        <is>
          <t>True</t>
        </is>
      </c>
      <c r="J251" s="27" t="inlineStr">
        <is>
          <t>OK</t>
        </is>
      </c>
      <c r="K251" s="27" t="inlineStr">
        <is>
          <t>데이터 사용 가능</t>
        </is>
      </c>
      <c r="L251" s="27" t="inlineStr">
        <is>
          <t>LOW</t>
        </is>
      </c>
      <c r="M251" s="27" t="inlineStr">
        <is>
          <t>LOW</t>
        </is>
      </c>
      <c r="N251" s="27" t="inlineStr">
        <is>
          <t>0.4877037037037036</t>
        </is>
      </c>
      <c r="O251" s="27" t="inlineStr">
        <is>
          <t>FAIR</t>
        </is>
      </c>
      <c r="P251" s="27" t="inlineStr">
        <is>
          <t>FAIR</t>
        </is>
      </c>
      <c r="Q251" s="27" t="inlineStr">
        <is>
          <t>FAIR</t>
        </is>
      </c>
      <c r="R251" s="27" t="inlineStr">
        <is>
          <t>0.5308622758067901</t>
        </is>
      </c>
      <c r="S251" s="27" t="inlineStr">
        <is>
          <t>MEDIUM</t>
        </is>
      </c>
      <c r="T251" s="27" t="inlineStr">
        <is>
          <t>MEDIUM</t>
        </is>
      </c>
      <c r="U251" s="27" t="inlineStr">
        <is>
          <t>0.3571428571428571</t>
        </is>
      </c>
      <c r="V251" s="27" t="inlineStr">
        <is>
          <t>MEDIUM_RISK</t>
        </is>
      </c>
      <c r="W251" s="27" t="inlineStr">
        <is>
          <t>중위험</t>
        </is>
      </c>
      <c r="X251" s="27" t="inlineStr">
        <is>
          <t>MEDIUM_RISK</t>
        </is>
      </c>
      <c r="Y251" s="27" t="inlineStr">
        <is>
          <t>0.6934148613969219</t>
        </is>
      </c>
      <c r="Z251" s="27" t="inlineStr">
        <is>
          <t>MEDIUM</t>
        </is>
      </c>
      <c r="AA251" s="27" t="inlineStr">
        <is>
          <t>MEDIUM</t>
        </is>
      </c>
      <c r="AB251" s="27" t="inlineStr">
        <is>
          <t>0.07946889412350498</t>
        </is>
      </c>
      <c r="AC251" s="27" t="inlineStr">
        <is>
          <t>False</t>
        </is>
      </c>
      <c r="AD251" s="27" t="inlineStr">
        <is>
          <t>False</t>
        </is>
      </c>
      <c r="AE251" s="27" t="inlineStr">
        <is>
          <t>valuation_credit_ml_overlay_candidate.csv</t>
        </is>
      </c>
      <c r="AF251" s="27" t="inlineStr">
        <is>
          <t>208개 반도체 reference universe. Valuation Agent가 자체 intake 폴더로 복제해 Peer/ML/대시보드 비교에 사용.</t>
        </is>
      </c>
    </row>
    <row r="252" ht="24" customHeight="1">
      <c r="A252" s="32" t="inlineStr">
        <is>
          <t>184</t>
        </is>
      </c>
      <c r="B252" s="32" t="inlineStr">
        <is>
          <t>해당 없음</t>
        </is>
      </c>
      <c r="C252" s="32" t="inlineStr">
        <is>
          <t>큐알티</t>
        </is>
      </c>
      <c r="D252" s="32" t="inlineStr">
        <is>
          <t>405100</t>
        </is>
      </c>
      <c r="E252" s="32" t="inlineStr">
        <is>
          <t>KOSDAQ</t>
        </is>
      </c>
      <c r="F252" s="32" t="inlineStr">
        <is>
          <t>후공정/패키징/테스트</t>
        </is>
      </c>
      <c r="G252" s="32" t="inlineStr">
        <is>
          <t>후공정/패키징/테스트</t>
        </is>
      </c>
      <c r="H252" s="32" t="inlineStr">
        <is>
          <t>False</t>
        </is>
      </c>
      <c r="I252" s="32" t="inlineStr">
        <is>
          <t>True</t>
        </is>
      </c>
      <c r="J252" s="32" t="inlineStr">
        <is>
          <t>OK</t>
        </is>
      </c>
      <c r="K252" s="32" t="inlineStr">
        <is>
          <t>데이터 사용 가능</t>
        </is>
      </c>
      <c r="L252" s="32" t="inlineStr">
        <is>
          <t>LOW</t>
        </is>
      </c>
      <c r="M252" s="32" t="inlineStr">
        <is>
          <t>LOW</t>
        </is>
      </c>
      <c r="N252" s="32" t="inlineStr">
        <is>
          <t>0.4782222222222222</t>
        </is>
      </c>
      <c r="O252" s="32" t="inlineStr">
        <is>
          <t>FAIR</t>
        </is>
      </c>
      <c r="P252" s="32" t="inlineStr">
        <is>
          <t>FAIR</t>
        </is>
      </c>
      <c r="Q252" s="32" t="inlineStr">
        <is>
          <t>ATTRACTIVE</t>
        </is>
      </c>
      <c r="R252" s="32" t="inlineStr">
        <is>
          <t>0.4463498311096922</t>
        </is>
      </c>
      <c r="S252" s="32" t="inlineStr">
        <is>
          <t>LOW</t>
        </is>
      </c>
      <c r="T252" s="32" t="inlineStr">
        <is>
          <t>LOW</t>
        </is>
      </c>
      <c r="U252" s="32" t="inlineStr">
        <is>
          <t>0.0</t>
        </is>
      </c>
      <c r="V252" s="32" t="inlineStr">
        <is>
          <t>LOW_RISK</t>
        </is>
      </c>
      <c r="W252" s="32" t="inlineStr">
        <is>
          <t>저위험</t>
        </is>
      </c>
      <c r="X252" s="32" t="inlineStr">
        <is>
          <t>LOW_RISK</t>
        </is>
      </c>
      <c r="Y252" s="32" t="inlineStr">
        <is>
          <t>0.8693080817598533</t>
        </is>
      </c>
      <c r="Z252" s="32" t="inlineStr">
        <is>
          <t>HIGH</t>
        </is>
      </c>
      <c r="AA252" s="32" t="inlineStr">
        <is>
          <t>HIGH</t>
        </is>
      </c>
      <c r="AB252" s="32" t="inlineStr">
        <is>
          <t>0.014158930737617927</t>
        </is>
      </c>
      <c r="AC252" s="32" t="inlineStr">
        <is>
          <t>False</t>
        </is>
      </c>
      <c r="AD252" s="32" t="inlineStr">
        <is>
          <t>True</t>
        </is>
      </c>
      <c r="AE252" s="32" t="inlineStr">
        <is>
          <t>valuation_credit_ml_overlay_candidate.csv</t>
        </is>
      </c>
      <c r="AF252" s="32" t="inlineStr">
        <is>
          <t>208개 반도체 reference universe. Valuation Agent가 자체 intake 폴더로 복제해 Peer/ML/대시보드 비교에 사용.</t>
        </is>
      </c>
    </row>
    <row r="253" ht="24" customHeight="1">
      <c r="A253" s="27" t="inlineStr">
        <is>
          <t>192</t>
        </is>
      </c>
      <c r="B253" s="27" t="inlineStr">
        <is>
          <t>hanmi</t>
        </is>
      </c>
      <c r="C253" s="27" t="inlineStr">
        <is>
          <t>한미반도체</t>
        </is>
      </c>
      <c r="D253" s="27" t="inlineStr">
        <is>
          <t>042700</t>
        </is>
      </c>
      <c r="E253" s="27" t="inlineStr">
        <is>
          <t>KOSPI</t>
        </is>
      </c>
      <c r="F253" s="27" t="inlineStr">
        <is>
          <t>후공정/패키징/테스트</t>
        </is>
      </c>
      <c r="G253" s="27" t="inlineStr">
        <is>
          <t>후공정/패키징/테스트</t>
        </is>
      </c>
      <c r="H253" s="27" t="inlineStr">
        <is>
          <t>True</t>
        </is>
      </c>
      <c r="I253" s="27" t="inlineStr">
        <is>
          <t>True</t>
        </is>
      </c>
      <c r="J253" s="27" t="inlineStr">
        <is>
          <t>OK</t>
        </is>
      </c>
      <c r="K253" s="27" t="inlineStr">
        <is>
          <t>데이터 사용 가능</t>
        </is>
      </c>
      <c r="L253" s="27" t="inlineStr">
        <is>
          <t>LOW</t>
        </is>
      </c>
      <c r="M253" s="27" t="inlineStr">
        <is>
          <t>LOW</t>
        </is>
      </c>
      <c r="N253" s="27" t="inlineStr">
        <is>
          <t>0.4712592592592592</t>
        </is>
      </c>
      <c r="O253" s="27" t="inlineStr">
        <is>
          <t>FAIR</t>
        </is>
      </c>
      <c r="P253" s="27" t="inlineStr">
        <is>
          <t>FAIR</t>
        </is>
      </c>
      <c r="Q253" s="27" t="inlineStr">
        <is>
          <t>FAIR</t>
        </is>
      </c>
      <c r="R253" s="27" t="inlineStr">
        <is>
          <t>0.618072727307107</t>
        </is>
      </c>
      <c r="S253" s="27" t="inlineStr">
        <is>
          <t>MEDIUM</t>
        </is>
      </c>
      <c r="T253" s="27" t="inlineStr">
        <is>
          <t>MEDIUM</t>
        </is>
      </c>
      <c r="U253" s="27" t="inlineStr">
        <is>
          <t>0.0</t>
        </is>
      </c>
      <c r="V253" s="27" t="inlineStr">
        <is>
          <t>LOW_RISK</t>
        </is>
      </c>
      <c r="W253" s="27" t="inlineStr">
        <is>
          <t>저위험</t>
        </is>
      </c>
      <c r="X253" s="27" t="inlineStr">
        <is>
          <t>LOW_RISK</t>
        </is>
      </c>
      <c r="Y253" s="27" t="inlineStr">
        <is>
          <t>0.9350232170644448</t>
        </is>
      </c>
      <c r="Z253" s="27" t="inlineStr">
        <is>
          <t>HIGH</t>
        </is>
      </c>
      <c r="AA253" s="27" t="inlineStr">
        <is>
          <t>HIGH</t>
        </is>
      </c>
      <c r="AB253" s="27" t="inlineStr">
        <is>
          <t>0.2707179947680644</t>
        </is>
      </c>
      <c r="AC253" s="27" t="inlineStr">
        <is>
          <t>True</t>
        </is>
      </c>
      <c r="AD253" s="27" t="inlineStr">
        <is>
          <t>True</t>
        </is>
      </c>
      <c r="AE253" s="27" t="inlineStr">
        <is>
          <t>valuation_credit_ml_overlay_candidate.csv</t>
        </is>
      </c>
      <c r="AF253" s="27" t="inlineStr">
        <is>
          <t>208개 반도체 reference universe. Valuation Agent가 자체 intake 폴더로 복제해 Peer/ML/대시보드 비교에 사용.</t>
        </is>
      </c>
    </row>
    <row r="254" ht="24" customHeight="1">
      <c r="A254" s="32" t="inlineStr">
        <is>
          <t>185</t>
        </is>
      </c>
      <c r="B254" s="32" t="inlineStr">
        <is>
          <t>해당 없음</t>
        </is>
      </c>
      <c r="C254" s="32" t="inlineStr">
        <is>
          <t>큐엠씨</t>
        </is>
      </c>
      <c r="D254" s="32" t="inlineStr">
        <is>
          <t>136660</t>
        </is>
      </c>
      <c r="E254" s="32" t="inlineStr">
        <is>
          <t>KONEX</t>
        </is>
      </c>
      <c r="F254" s="32" t="inlineStr">
        <is>
          <t>후공정/패키징/테스트</t>
        </is>
      </c>
      <c r="G254" s="32" t="inlineStr">
        <is>
          <t>후공정/패키징/테스트</t>
        </is>
      </c>
      <c r="H254" s="32" t="inlineStr">
        <is>
          <t>False</t>
        </is>
      </c>
      <c r="I254" s="32" t="inlineStr">
        <is>
          <t>True</t>
        </is>
      </c>
      <c r="J254" s="32" t="inlineStr">
        <is>
          <t>NO_DART_FINANCIAL_DATA</t>
        </is>
      </c>
      <c r="K254" s="32" t="inlineStr">
        <is>
          <t>데이터 사용 가능</t>
        </is>
      </c>
      <c r="L254" s="32" t="inlineStr">
        <is>
          <t>HIGH</t>
        </is>
      </c>
      <c r="M254" s="32" t="inlineStr">
        <is>
          <t>HIGH</t>
        </is>
      </c>
      <c r="N254" s="32" t="inlineStr">
        <is>
          <t>0.4711111111111111</t>
        </is>
      </c>
      <c r="O254" s="32" t="inlineStr">
        <is>
          <t>FAIR</t>
        </is>
      </c>
      <c r="P254" s="32" t="inlineStr">
        <is>
          <t>FAIR</t>
        </is>
      </c>
      <c r="Q254" s="32" t="inlineStr">
        <is>
          <t>FAIR</t>
        </is>
      </c>
      <c r="R254" s="32" t="inlineStr">
        <is>
          <t>0.9731046168075388</t>
        </is>
      </c>
      <c r="S254" s="32" t="inlineStr">
        <is>
          <t>HIGH</t>
        </is>
      </c>
      <c r="T254" s="32" t="inlineStr">
        <is>
          <t>HIGH</t>
        </is>
      </c>
      <c r="U254" s="32" t="inlineStr">
        <is>
          <t>0.2857142857142857</t>
        </is>
      </c>
      <c r="V254" s="32" t="inlineStr">
        <is>
          <t>MEDIUM_RISK</t>
        </is>
      </c>
      <c r="W254" s="32" t="inlineStr">
        <is>
          <t>중위험</t>
        </is>
      </c>
      <c r="X254" s="32" t="inlineStr">
        <is>
          <t>MEDIUM_RISK</t>
        </is>
      </c>
      <c r="Y254" s="32" t="inlineStr">
        <is>
          <t>0.7892126449586269</t>
        </is>
      </c>
      <c r="Z254" s="32" t="inlineStr">
        <is>
          <t>HIGH</t>
        </is>
      </c>
      <c r="AA254" s="32" t="inlineStr">
        <is>
          <t>HIGH</t>
        </is>
      </c>
      <c r="AB254" s="32" t="inlineStr">
        <is>
          <t>0.07859474908410963</t>
        </is>
      </c>
      <c r="AC254" s="32" t="inlineStr">
        <is>
          <t>False</t>
        </is>
      </c>
      <c r="AD254" s="32" t="inlineStr">
        <is>
          <t>True</t>
        </is>
      </c>
      <c r="AE254" s="32" t="inlineStr">
        <is>
          <t>valuation_credit_ml_overlay_candidate.csv</t>
        </is>
      </c>
      <c r="AF254" s="32" t="inlineStr">
        <is>
          <t>208개 반도체 reference universe. Valuation Agent가 자체 intake 폴더로 복제해 Peer/ML/대시보드 비교에 사용.</t>
        </is>
      </c>
    </row>
    <row r="255" ht="24" customHeight="1">
      <c r="A255" s="27" t="inlineStr">
        <is>
          <t>161</t>
        </is>
      </c>
      <c r="B255" s="27" t="inlineStr">
        <is>
          <t>해당 없음</t>
        </is>
      </c>
      <c r="C255" s="27" t="inlineStr">
        <is>
          <t>럭스피아</t>
        </is>
      </c>
      <c r="D255" s="27" t="inlineStr">
        <is>
          <t>092590</t>
        </is>
      </c>
      <c r="E255" s="27" t="inlineStr">
        <is>
          <t>KONEX</t>
        </is>
      </c>
      <c r="F255" s="27" t="inlineStr">
        <is>
          <t>후공정/패키징/테스트</t>
        </is>
      </c>
      <c r="G255" s="27" t="inlineStr">
        <is>
          <t>후공정/패키징/테스트</t>
        </is>
      </c>
      <c r="H255" s="27" t="inlineStr">
        <is>
          <t>False</t>
        </is>
      </c>
      <c r="I255" s="27" t="inlineStr">
        <is>
          <t>True</t>
        </is>
      </c>
      <c r="J255" s="27" t="inlineStr">
        <is>
          <t>NO_DART_FINANCIAL_DATA</t>
        </is>
      </c>
      <c r="K255" s="27" t="inlineStr">
        <is>
          <t>데이터 사용 가능</t>
        </is>
      </c>
      <c r="L255" s="27" t="inlineStr">
        <is>
          <t>HIGH</t>
        </is>
      </c>
      <c r="M255" s="27" t="inlineStr">
        <is>
          <t>HIGH</t>
        </is>
      </c>
      <c r="N255" s="27" t="inlineStr">
        <is>
          <t>0.4681481481481481</t>
        </is>
      </c>
      <c r="O255" s="27" t="inlineStr">
        <is>
          <t>FAIR</t>
        </is>
      </c>
      <c r="P255" s="27" t="inlineStr">
        <is>
          <t>FAIR</t>
        </is>
      </c>
      <c r="Q255" s="27" t="inlineStr">
        <is>
          <t>FAIR</t>
        </is>
      </c>
      <c r="R255" s="27" t="inlineStr">
        <is>
          <t>0.969533908094729</t>
        </is>
      </c>
      <c r="S255" s="27" t="inlineStr">
        <is>
          <t>HIGH</t>
        </is>
      </c>
      <c r="T255" s="27" t="inlineStr">
        <is>
          <t>HIGH</t>
        </is>
      </c>
      <c r="U255" s="27" t="inlineStr">
        <is>
          <t>0.2857142857142857</t>
        </is>
      </c>
      <c r="V255" s="27" t="inlineStr">
        <is>
          <t>MEDIUM_RISK</t>
        </is>
      </c>
      <c r="W255" s="27" t="inlineStr">
        <is>
          <t>중위험</t>
        </is>
      </c>
      <c r="X255" s="27" t="inlineStr">
        <is>
          <t>MEDIUM_RISK</t>
        </is>
      </c>
      <c r="Y255" s="27" t="inlineStr">
        <is>
          <t>0.7911598348888624</t>
        </is>
      </c>
      <c r="Z255" s="27" t="inlineStr">
        <is>
          <t>HIGH</t>
        </is>
      </c>
      <c r="AA255" s="27" t="inlineStr">
        <is>
          <t>HIGH</t>
        </is>
      </c>
      <c r="AB255" s="27" t="inlineStr">
        <is>
          <t>0.2507708118458056</t>
        </is>
      </c>
      <c r="AC255" s="27" t="inlineStr">
        <is>
          <t>True</t>
        </is>
      </c>
      <c r="AD255" s="27" t="inlineStr">
        <is>
          <t>True</t>
        </is>
      </c>
      <c r="AE255" s="27" t="inlineStr">
        <is>
          <t>valuation_credit_ml_overlay_candidate.csv</t>
        </is>
      </c>
      <c r="AF255" s="27" t="inlineStr">
        <is>
          <t>208개 반도체 reference universe. Valuation Agent가 자체 intake 폴더로 복제해 Peer/ML/대시보드 비교에 사용.</t>
        </is>
      </c>
    </row>
    <row r="256" ht="24" customHeight="1">
      <c r="A256" s="32" t="inlineStr">
        <is>
          <t>170</t>
        </is>
      </c>
      <c r="B256" s="32" t="inlineStr">
        <is>
          <t>해당 없음</t>
        </is>
      </c>
      <c r="C256" s="32" t="inlineStr">
        <is>
          <t>아이텍</t>
        </is>
      </c>
      <c r="D256" s="32" t="inlineStr">
        <is>
          <t>119830</t>
        </is>
      </c>
      <c r="E256" s="32" t="inlineStr">
        <is>
          <t>KOSDAQ</t>
        </is>
      </c>
      <c r="F256" s="32" t="inlineStr">
        <is>
          <t>후공정/패키징/테스트</t>
        </is>
      </c>
      <c r="G256" s="32" t="inlineStr">
        <is>
          <t>후공정/패키징/테스트</t>
        </is>
      </c>
      <c r="H256" s="32" t="inlineStr">
        <is>
          <t>False</t>
        </is>
      </c>
      <c r="I256" s="32" t="inlineStr">
        <is>
          <t>True</t>
        </is>
      </c>
      <c r="J256" s="32" t="inlineStr">
        <is>
          <t>OK</t>
        </is>
      </c>
      <c r="K256" s="32" t="inlineStr">
        <is>
          <t>데이터 사용 가능</t>
        </is>
      </c>
      <c r="L256" s="32" t="inlineStr">
        <is>
          <t>LOW</t>
        </is>
      </c>
      <c r="M256" s="32" t="inlineStr">
        <is>
          <t>LOW</t>
        </is>
      </c>
      <c r="N256" s="32" t="inlineStr">
        <is>
          <t>0.4573333333333333</t>
        </is>
      </c>
      <c r="O256" s="32" t="inlineStr">
        <is>
          <t>FAIR</t>
        </is>
      </c>
      <c r="P256" s="32" t="inlineStr">
        <is>
          <t>FAIR</t>
        </is>
      </c>
      <c r="Q256" s="32" t="inlineStr">
        <is>
          <t>FAIR</t>
        </is>
      </c>
      <c r="R256" s="32" t="inlineStr">
        <is>
          <t>0.6018206034002739</t>
        </is>
      </c>
      <c r="S256" s="32" t="inlineStr">
        <is>
          <t>MEDIUM</t>
        </is>
      </c>
      <c r="T256" s="32" t="inlineStr">
        <is>
          <t>MEDIUM</t>
        </is>
      </c>
      <c r="U256" s="32" t="inlineStr">
        <is>
          <t>0.2142857142857142</t>
        </is>
      </c>
      <c r="V256" s="32" t="inlineStr">
        <is>
          <t>MEDIUM_RISK</t>
        </is>
      </c>
      <c r="W256" s="32" t="inlineStr">
        <is>
          <t>중위험</t>
        </is>
      </c>
      <c r="X256" s="32" t="inlineStr">
        <is>
          <t>MEDIUM_RISK</t>
        </is>
      </c>
      <c r="Y256" s="32" t="inlineStr">
        <is>
          <t>0.793957358322354</t>
        </is>
      </c>
      <c r="Z256" s="32" t="inlineStr">
        <is>
          <t>HIGH</t>
        </is>
      </c>
      <c r="AA256" s="32" t="inlineStr">
        <is>
          <t>HIGH</t>
        </is>
      </c>
      <c r="AB256" s="32" t="inlineStr">
        <is>
          <t>0.17465361432297097</t>
        </is>
      </c>
      <c r="AC256" s="32" t="inlineStr">
        <is>
          <t>False</t>
        </is>
      </c>
      <c r="AD256" s="32" t="inlineStr">
        <is>
          <t>False</t>
        </is>
      </c>
      <c r="AE256" s="32" t="inlineStr">
        <is>
          <t>valuation_credit_ml_overlay_candidate.csv</t>
        </is>
      </c>
      <c r="AF256" s="32" t="inlineStr">
        <is>
          <t>208개 반도체 reference universe. Valuation Agent가 자체 intake 폴더로 복제해 Peer/ML/대시보드 비교에 사용.</t>
        </is>
      </c>
    </row>
    <row r="257" ht="24" customHeight="1">
      <c r="A257" s="27" t="inlineStr">
        <is>
          <t>179</t>
        </is>
      </c>
      <c r="B257" s="27" t="inlineStr">
        <is>
          <t>해당 없음</t>
        </is>
      </c>
      <c r="C257" s="27" t="inlineStr">
        <is>
          <t>윈팩</t>
        </is>
      </c>
      <c r="D257" s="27" t="inlineStr">
        <is>
          <t>097800</t>
        </is>
      </c>
      <c r="E257" s="27" t="inlineStr">
        <is>
          <t>KOSDAQ</t>
        </is>
      </c>
      <c r="F257" s="27" t="inlineStr">
        <is>
          <t>후공정/패키징/테스트</t>
        </is>
      </c>
      <c r="G257" s="27" t="inlineStr">
        <is>
          <t>후공정/패키징/테스트</t>
        </is>
      </c>
      <c r="H257" s="27" t="inlineStr">
        <is>
          <t>False</t>
        </is>
      </c>
      <c r="I257" s="27" t="inlineStr">
        <is>
          <t>True</t>
        </is>
      </c>
      <c r="J257" s="27" t="inlineStr">
        <is>
          <t>OK</t>
        </is>
      </c>
      <c r="K257" s="27" t="inlineStr">
        <is>
          <t>데이터 사용 가능</t>
        </is>
      </c>
      <c r="L257" s="27" t="inlineStr">
        <is>
          <t>LOW</t>
        </is>
      </c>
      <c r="M257" s="27" t="inlineStr">
        <is>
          <t>LOW</t>
        </is>
      </c>
      <c r="N257" s="27" t="inlineStr">
        <is>
          <t>0.4417777777777778</t>
        </is>
      </c>
      <c r="O257" s="27" t="inlineStr">
        <is>
          <t>FAIR</t>
        </is>
      </c>
      <c r="P257" s="27" t="inlineStr">
        <is>
          <t>FAIR</t>
        </is>
      </c>
      <c r="Q257" s="27" t="inlineStr">
        <is>
          <t>FAIR</t>
        </is>
      </c>
      <c r="R257" s="27" t="inlineStr">
        <is>
          <t>0.5735742758518154</t>
        </is>
      </c>
      <c r="S257" s="27" t="inlineStr">
        <is>
          <t>MEDIUM</t>
        </is>
      </c>
      <c r="T257" s="27" t="inlineStr">
        <is>
          <t>MEDIUM</t>
        </is>
      </c>
      <c r="U257" s="27" t="inlineStr">
        <is>
          <t>0.7142857142857143</t>
        </is>
      </c>
      <c r="V257" s="27" t="inlineStr">
        <is>
          <t>HIGH_RISK</t>
        </is>
      </c>
      <c r="W257" s="27" t="inlineStr">
        <is>
          <t>고위험</t>
        </is>
      </c>
      <c r="X257" s="27" t="inlineStr">
        <is>
          <t>HIGH_RISK</t>
        </is>
      </c>
      <c r="Y257" s="27" t="inlineStr">
        <is>
          <t>0.9273765785577542</t>
        </is>
      </c>
      <c r="Z257" s="27" t="inlineStr">
        <is>
          <t>HIGH</t>
        </is>
      </c>
      <c r="AA257" s="27" t="inlineStr">
        <is>
          <t>HIGH</t>
        </is>
      </c>
      <c r="AB257" s="27" t="inlineStr">
        <is>
          <t>0.09157899320413745</t>
        </is>
      </c>
      <c r="AC257" s="27" t="inlineStr">
        <is>
          <t>False</t>
        </is>
      </c>
      <c r="AD257" s="27" t="inlineStr">
        <is>
          <t>False</t>
        </is>
      </c>
      <c r="AE257" s="27" t="inlineStr">
        <is>
          <t>valuation_credit_ml_overlay_candidate.csv</t>
        </is>
      </c>
      <c r="AF257" s="27" t="inlineStr">
        <is>
          <t>208개 반도체 reference universe. Valuation Agent가 자체 intake 폴더로 복제해 Peer/ML/대시보드 비교에 사용.</t>
        </is>
      </c>
    </row>
    <row r="258" ht="24" customHeight="1">
      <c r="A258" s="32" t="inlineStr">
        <is>
          <t>187</t>
        </is>
      </c>
      <c r="B258" s="32" t="inlineStr">
        <is>
          <t>해당 없음</t>
        </is>
      </c>
      <c r="C258" s="32" t="inlineStr">
        <is>
          <t>팸텍</t>
        </is>
      </c>
      <c r="D258" s="32" t="inlineStr">
        <is>
          <t>271830</t>
        </is>
      </c>
      <c r="E258" s="32" t="inlineStr">
        <is>
          <t>KOSDAQ</t>
        </is>
      </c>
      <c r="F258" s="32" t="inlineStr">
        <is>
          <t>후공정/패키징/테스트</t>
        </is>
      </c>
      <c r="G258" s="32" t="inlineStr">
        <is>
          <t>후공정/패키징/테스트</t>
        </is>
      </c>
      <c r="H258" s="32" t="inlineStr">
        <is>
          <t>False</t>
        </is>
      </c>
      <c r="I258" s="32" t="inlineStr">
        <is>
          <t>True</t>
        </is>
      </c>
      <c r="J258" s="32" t="inlineStr">
        <is>
          <t>OK</t>
        </is>
      </c>
      <c r="K258" s="32" t="inlineStr">
        <is>
          <t>데이터 사용 가능</t>
        </is>
      </c>
      <c r="L258" s="32" t="inlineStr">
        <is>
          <t>LOW</t>
        </is>
      </c>
      <c r="M258" s="32" t="inlineStr">
        <is>
          <t>LOW</t>
        </is>
      </c>
      <c r="N258" s="32" t="inlineStr">
        <is>
          <t>0.4402962962962963</t>
        </is>
      </c>
      <c r="O258" s="32" t="inlineStr">
        <is>
          <t>FAIR</t>
        </is>
      </c>
      <c r="P258" s="32" t="inlineStr">
        <is>
          <t>FAIR</t>
        </is>
      </c>
      <c r="Q258" s="32" t="inlineStr">
        <is>
          <t>FAIR</t>
        </is>
      </c>
      <c r="R258" s="32" t="inlineStr">
        <is>
          <t>0.6809009837226325</t>
        </is>
      </c>
      <c r="S258" s="32" t="inlineStr">
        <is>
          <t>MEDIUM</t>
        </is>
      </c>
      <c r="T258" s="32" t="inlineStr">
        <is>
          <t>MEDIUM</t>
        </is>
      </c>
      <c r="U258" s="32" t="inlineStr">
        <is>
          <t>0.5714285714285714</t>
        </is>
      </c>
      <c r="V258" s="32" t="inlineStr">
        <is>
          <t>HIGH_RISK</t>
        </is>
      </c>
      <c r="W258" s="32" t="inlineStr">
        <is>
          <t>고위험</t>
        </is>
      </c>
      <c r="X258" s="32" t="inlineStr">
        <is>
          <t>HIGH_RISK</t>
        </is>
      </c>
      <c r="Y258" s="32" t="inlineStr">
        <is>
          <t>0.9054415631219938</t>
        </is>
      </c>
      <c r="Z258" s="32" t="inlineStr">
        <is>
          <t>HIGH</t>
        </is>
      </c>
      <c r="AA258" s="32" t="inlineStr">
        <is>
          <t>HIGH</t>
        </is>
      </c>
      <c r="AB258" s="32" t="inlineStr">
        <is>
          <t>0.08867309587377735</t>
        </is>
      </c>
      <c r="AC258" s="32" t="inlineStr">
        <is>
          <t>False</t>
        </is>
      </c>
      <c r="AD258" s="32" t="inlineStr">
        <is>
          <t>False</t>
        </is>
      </c>
      <c r="AE258" s="32" t="inlineStr">
        <is>
          <t>valuation_credit_ml_overlay_candidate.csv</t>
        </is>
      </c>
      <c r="AF258" s="32" t="inlineStr">
        <is>
          <t>208개 반도체 reference universe. Valuation Agent가 자체 intake 폴더로 복제해 Peer/ML/대시보드 비교에 사용.</t>
        </is>
      </c>
    </row>
    <row r="259" ht="24" customHeight="1">
      <c r="A259" s="27" t="inlineStr">
        <is>
          <t>152</t>
        </is>
      </c>
      <c r="B259" s="27" t="inlineStr">
        <is>
          <t>해당 없음</t>
        </is>
      </c>
      <c r="C259" s="27" t="inlineStr">
        <is>
          <t>LB세미콘</t>
        </is>
      </c>
      <c r="D259" s="27" t="inlineStr">
        <is>
          <t>061970</t>
        </is>
      </c>
      <c r="E259" s="27" t="inlineStr">
        <is>
          <t>KOSDAQ</t>
        </is>
      </c>
      <c r="F259" s="27" t="inlineStr">
        <is>
          <t>후공정/패키징/테스트</t>
        </is>
      </c>
      <c r="G259" s="27" t="inlineStr">
        <is>
          <t>후공정/패키징/테스트</t>
        </is>
      </c>
      <c r="H259" s="27" t="inlineStr">
        <is>
          <t>False</t>
        </is>
      </c>
      <c r="I259" s="27" t="inlineStr">
        <is>
          <t>True</t>
        </is>
      </c>
      <c r="J259" s="27" t="inlineStr">
        <is>
          <t>OK</t>
        </is>
      </c>
      <c r="K259" s="27" t="inlineStr">
        <is>
          <t>데이터 사용 가능</t>
        </is>
      </c>
      <c r="L259" s="27" t="inlineStr">
        <is>
          <t>LOW</t>
        </is>
      </c>
      <c r="M259" s="27" t="inlineStr">
        <is>
          <t>LOW</t>
        </is>
      </c>
      <c r="N259" s="27" t="inlineStr">
        <is>
          <t>0.4394074074074074</t>
        </is>
      </c>
      <c r="O259" s="27" t="inlineStr">
        <is>
          <t>FAIR</t>
        </is>
      </c>
      <c r="P259" s="27" t="inlineStr">
        <is>
          <t>FAIR</t>
        </is>
      </c>
      <c r="Q259" s="27" t="inlineStr">
        <is>
          <t>FAIR</t>
        </is>
      </c>
      <c r="R259" s="27" t="inlineStr">
        <is>
          <t>0.519835518569549</t>
        </is>
      </c>
      <c r="S259" s="27" t="inlineStr">
        <is>
          <t>MEDIUM</t>
        </is>
      </c>
      <c r="T259" s="27" t="inlineStr">
        <is>
          <t>MEDIUM</t>
        </is>
      </c>
      <c r="U259" s="27" t="inlineStr">
        <is>
          <t>0.5714285714285714</t>
        </is>
      </c>
      <c r="V259" s="27" t="inlineStr">
        <is>
          <t>HIGH_RISK</t>
        </is>
      </c>
      <c r="W259" s="27" t="inlineStr">
        <is>
          <t>고위험</t>
        </is>
      </c>
      <c r="X259" s="27" t="inlineStr">
        <is>
          <t>HIGH_RISK</t>
        </is>
      </c>
      <c r="Y259" s="27" t="inlineStr">
        <is>
          <t>0.8577554718342005</t>
        </is>
      </c>
      <c r="Z259" s="27" t="inlineStr">
        <is>
          <t>HIGH</t>
        </is>
      </c>
      <c r="AA259" s="27" t="inlineStr">
        <is>
          <t>HIGH</t>
        </is>
      </c>
      <c r="AB259" s="27" t="inlineStr">
        <is>
          <t>0.04865368060535977</t>
        </is>
      </c>
      <c r="AC259" s="27" t="inlineStr">
        <is>
          <t>False</t>
        </is>
      </c>
      <c r="AD259" s="27" t="inlineStr">
        <is>
          <t>False</t>
        </is>
      </c>
      <c r="AE259" s="27" t="inlineStr">
        <is>
          <t>valuation_credit_ml_overlay_candidate.csv</t>
        </is>
      </c>
      <c r="AF259" s="27" t="inlineStr">
        <is>
          <t>208개 반도체 reference universe. Valuation Agent가 자체 intake 폴더로 복제해 Peer/ML/대시보드 비교에 사용.</t>
        </is>
      </c>
    </row>
    <row r="260" ht="24" customHeight="1">
      <c r="A260" s="32" t="inlineStr">
        <is>
          <t>183</t>
        </is>
      </c>
      <c r="B260" s="32" t="inlineStr">
        <is>
          <t>해당 없음</t>
        </is>
      </c>
      <c r="C260" s="32" t="inlineStr">
        <is>
          <t>제이티</t>
        </is>
      </c>
      <c r="D260" s="32" t="inlineStr">
        <is>
          <t>089790</t>
        </is>
      </c>
      <c r="E260" s="32" t="inlineStr">
        <is>
          <t>KOSDAQ</t>
        </is>
      </c>
      <c r="F260" s="32" t="inlineStr">
        <is>
          <t>후공정/패키징/테스트</t>
        </is>
      </c>
      <c r="G260" s="32" t="inlineStr">
        <is>
          <t>후공정/패키징/테스트</t>
        </is>
      </c>
      <c r="H260" s="32" t="inlineStr">
        <is>
          <t>False</t>
        </is>
      </c>
      <c r="I260" s="32" t="inlineStr">
        <is>
          <t>True</t>
        </is>
      </c>
      <c r="J260" s="32" t="inlineStr">
        <is>
          <t>OK</t>
        </is>
      </c>
      <c r="K260" s="32" t="inlineStr">
        <is>
          <t>데이터 사용 가능</t>
        </is>
      </c>
      <c r="L260" s="32" t="inlineStr">
        <is>
          <t>LOW</t>
        </is>
      </c>
      <c r="M260" s="32" t="inlineStr">
        <is>
          <t>LOW</t>
        </is>
      </c>
      <c r="N260" s="32" t="inlineStr">
        <is>
          <t>0.4293333333333333</t>
        </is>
      </c>
      <c r="O260" s="32" t="inlineStr">
        <is>
          <t>FAIR</t>
        </is>
      </c>
      <c r="P260" s="32" t="inlineStr">
        <is>
          <t>FAIR</t>
        </is>
      </c>
      <c r="Q260" s="32" t="inlineStr">
        <is>
          <t>FAIR</t>
        </is>
      </c>
      <c r="R260" s="32" t="inlineStr">
        <is>
          <t>0.7953438622461361</t>
        </is>
      </c>
      <c r="S260" s="32" t="inlineStr">
        <is>
          <t>HIGH</t>
        </is>
      </c>
      <c r="T260" s="32" t="inlineStr">
        <is>
          <t>HIGH</t>
        </is>
      </c>
      <c r="U260" s="32" t="inlineStr">
        <is>
          <t>0.2857142857142857</t>
        </is>
      </c>
      <c r="V260" s="32" t="inlineStr">
        <is>
          <t>MEDIUM_RISK</t>
        </is>
      </c>
      <c r="W260" s="32" t="inlineStr">
        <is>
          <t>중위험</t>
        </is>
      </c>
      <c r="X260" s="32" t="inlineStr">
        <is>
          <t>MEDIUM_RISK</t>
        </is>
      </c>
      <c r="Y260" s="32" t="inlineStr">
        <is>
          <t>0.634985809262478</t>
        </is>
      </c>
      <c r="Z260" s="32" t="inlineStr">
        <is>
          <t>MEDIUM</t>
        </is>
      </c>
      <c r="AA260" s="32" t="inlineStr">
        <is>
          <t>MEDIUM</t>
        </is>
      </c>
      <c r="AB260" s="32" t="inlineStr">
        <is>
          <t>0.0037958156542815414</t>
        </is>
      </c>
      <c r="AC260" s="32" t="inlineStr">
        <is>
          <t>False</t>
        </is>
      </c>
      <c r="AD260" s="32" t="inlineStr">
        <is>
          <t>False</t>
        </is>
      </c>
      <c r="AE260" s="32" t="inlineStr">
        <is>
          <t>valuation_credit_ml_overlay_candidate.csv</t>
        </is>
      </c>
      <c r="AF260" s="32" t="inlineStr">
        <is>
          <t>208개 반도체 reference universe. Valuation Agent가 자체 intake 폴더로 복제해 Peer/ML/대시보드 비교에 사용.</t>
        </is>
      </c>
    </row>
    <row r="261" ht="24" customHeight="1">
      <c r="A261" s="27" t="inlineStr">
        <is>
          <t>182</t>
        </is>
      </c>
      <c r="B261" s="27" t="inlineStr">
        <is>
          <t>해당 없음</t>
        </is>
      </c>
      <c r="C261" s="27" t="inlineStr">
        <is>
          <t>제너셈</t>
        </is>
      </c>
      <c r="D261" s="27" t="inlineStr">
        <is>
          <t>217190</t>
        </is>
      </c>
      <c r="E261" s="27" t="inlineStr">
        <is>
          <t>KOSDAQ</t>
        </is>
      </c>
      <c r="F261" s="27" t="inlineStr">
        <is>
          <t>후공정/패키징/테스트</t>
        </is>
      </c>
      <c r="G261" s="27" t="inlineStr">
        <is>
          <t>후공정/패키징/테스트</t>
        </is>
      </c>
      <c r="H261" s="27" t="inlineStr">
        <is>
          <t>False</t>
        </is>
      </c>
      <c r="I261" s="27" t="inlineStr">
        <is>
          <t>True</t>
        </is>
      </c>
      <c r="J261" s="27" t="inlineStr">
        <is>
          <t>HIGH_PRIORITY_MANUAL_REVIEW</t>
        </is>
      </c>
      <c r="K261" s="27" t="inlineStr">
        <is>
          <t>데이터 사용 가능</t>
        </is>
      </c>
      <c r="L261" s="27" t="inlineStr">
        <is>
          <t>HIGH</t>
        </is>
      </c>
      <c r="M261" s="27" t="inlineStr">
        <is>
          <t>HIGH</t>
        </is>
      </c>
      <c r="N261" s="27" t="inlineStr">
        <is>
          <t>0.4278518518518518</t>
        </is>
      </c>
      <c r="O261" s="27" t="inlineStr">
        <is>
          <t>FAIR</t>
        </is>
      </c>
      <c r="P261" s="27" t="inlineStr">
        <is>
          <t>FAIR</t>
        </is>
      </c>
      <c r="Q261" s="27" t="inlineStr">
        <is>
          <t>FAIR</t>
        </is>
      </c>
      <c r="R261" s="27" t="inlineStr">
        <is>
          <t>0.7410125545144256</t>
        </is>
      </c>
      <c r="S261" s="27" t="inlineStr">
        <is>
          <t>HIGH</t>
        </is>
      </c>
      <c r="T261" s="27" t="inlineStr">
        <is>
          <t>HIGH</t>
        </is>
      </c>
      <c r="U261" s="27" t="inlineStr">
        <is>
          <t>0.2857142857142857</t>
        </is>
      </c>
      <c r="V261" s="27" t="inlineStr">
        <is>
          <t>MEDIUM_RISK</t>
        </is>
      </c>
      <c r="W261" s="27" t="inlineStr">
        <is>
          <t>중위험</t>
        </is>
      </c>
      <c r="X261" s="27" t="inlineStr">
        <is>
          <t>MEDIUM_RISK</t>
        </is>
      </c>
      <c r="Y261" s="27" t="inlineStr">
        <is>
          <t>0.7596080290203916</t>
        </is>
      </c>
      <c r="Z261" s="27" t="inlineStr">
        <is>
          <t>HIGH</t>
        </is>
      </c>
      <c r="AA261" s="27" t="inlineStr">
        <is>
          <t>HIGH</t>
        </is>
      </c>
      <c r="AB261" s="27" t="inlineStr">
        <is>
          <t>0.005601152238630833</t>
        </is>
      </c>
      <c r="AC261" s="27" t="inlineStr">
        <is>
          <t>False</t>
        </is>
      </c>
      <c r="AD261" s="27" t="inlineStr">
        <is>
          <t>True</t>
        </is>
      </c>
      <c r="AE261" s="27" t="inlineStr">
        <is>
          <t>valuation_credit_ml_overlay_candidate.csv</t>
        </is>
      </c>
      <c r="AF261" s="27" t="inlineStr">
        <is>
          <t>208개 반도체 reference universe. Valuation Agent가 자체 intake 폴더로 복제해 Peer/ML/대시보드 비교에 사용.</t>
        </is>
      </c>
    </row>
    <row r="262" ht="24" customHeight="1">
      <c r="A262" s="32" t="inlineStr">
        <is>
          <t>158</t>
        </is>
      </c>
      <c r="B262" s="32" t="inlineStr">
        <is>
          <t>해당 없음</t>
        </is>
      </c>
      <c r="C262" s="32" t="inlineStr">
        <is>
          <t>네패스아크</t>
        </is>
      </c>
      <c r="D262" s="32" t="inlineStr">
        <is>
          <t>330860</t>
        </is>
      </c>
      <c r="E262" s="32" t="inlineStr">
        <is>
          <t>KOSDAQ</t>
        </is>
      </c>
      <c r="F262" s="32" t="inlineStr">
        <is>
          <t>후공정/패키징/테스트</t>
        </is>
      </c>
      <c r="G262" s="32" t="inlineStr">
        <is>
          <t>후공정/패키징/테스트</t>
        </is>
      </c>
      <c r="H262" s="32" t="inlineStr">
        <is>
          <t>False</t>
        </is>
      </c>
      <c r="I262" s="32" t="inlineStr">
        <is>
          <t>True</t>
        </is>
      </c>
      <c r="J262" s="32" t="inlineStr">
        <is>
          <t>OK</t>
        </is>
      </c>
      <c r="K262" s="32" t="inlineStr">
        <is>
          <t>데이터 사용 가능</t>
        </is>
      </c>
      <c r="L262" s="32" t="inlineStr">
        <is>
          <t>LOW</t>
        </is>
      </c>
      <c r="M262" s="32" t="inlineStr">
        <is>
          <t>LOW</t>
        </is>
      </c>
      <c r="N262" s="32" t="inlineStr">
        <is>
          <t>0.4207407407407407</t>
        </is>
      </c>
      <c r="O262" s="32" t="inlineStr">
        <is>
          <t>EXPENSIVE</t>
        </is>
      </c>
      <c r="P262" s="32" t="inlineStr">
        <is>
          <t>EXPENSIVE</t>
        </is>
      </c>
      <c r="Q262" s="32" t="inlineStr">
        <is>
          <t>EXPENSIVE</t>
        </is>
      </c>
      <c r="R262" s="32" t="inlineStr">
        <is>
          <t>0.5804758808286147</t>
        </is>
      </c>
      <c r="S262" s="32" t="inlineStr">
        <is>
          <t>MEDIUM</t>
        </is>
      </c>
      <c r="T262" s="32" t="inlineStr">
        <is>
          <t>MEDIUM</t>
        </is>
      </c>
      <c r="U262" s="32" t="inlineStr">
        <is>
          <t>0.0</t>
        </is>
      </c>
      <c r="V262" s="32" t="inlineStr">
        <is>
          <t>LOW_RISK</t>
        </is>
      </c>
      <c r="W262" s="32" t="inlineStr">
        <is>
          <t>저위험</t>
        </is>
      </c>
      <c r="X262" s="32" t="inlineStr">
        <is>
          <t>LOW_RISK</t>
        </is>
      </c>
      <c r="Y262" s="32" t="inlineStr">
        <is>
          <t>0.7522882908851339</t>
        </is>
      </c>
      <c r="Z262" s="32" t="inlineStr">
        <is>
          <t>HIGH</t>
        </is>
      </c>
      <c r="AA262" s="32" t="inlineStr">
        <is>
          <t>HIGH</t>
        </is>
      </c>
      <c r="AB262" s="32" t="inlineStr">
        <is>
          <t>0.07850484580290398</t>
        </is>
      </c>
      <c r="AC262" s="32" t="inlineStr">
        <is>
          <t>False</t>
        </is>
      </c>
      <c r="AD262" s="32" t="inlineStr">
        <is>
          <t>False</t>
        </is>
      </c>
      <c r="AE262" s="32" t="inlineStr">
        <is>
          <t>valuation_credit_ml_overlay_candidate.csv</t>
        </is>
      </c>
      <c r="AF262" s="32" t="inlineStr">
        <is>
          <t>208개 반도체 reference universe. Valuation Agent가 자체 intake 폴더로 복제해 Peer/ML/대시보드 비교에 사용.</t>
        </is>
      </c>
    </row>
    <row r="263" ht="24" customHeight="1">
      <c r="A263" s="27" t="inlineStr">
        <is>
          <t>164</t>
        </is>
      </c>
      <c r="B263" s="27" t="inlineStr">
        <is>
          <t>해당 없음</t>
        </is>
      </c>
      <c r="C263" s="27" t="inlineStr">
        <is>
          <t>마이크로투나노</t>
        </is>
      </c>
      <c r="D263" s="27" t="inlineStr">
        <is>
          <t>424980</t>
        </is>
      </c>
      <c r="E263" s="27" t="inlineStr">
        <is>
          <t>KOSDAQ</t>
        </is>
      </c>
      <c r="F263" s="27" t="inlineStr">
        <is>
          <t>후공정/패키징/테스트</t>
        </is>
      </c>
      <c r="G263" s="27" t="inlineStr">
        <is>
          <t>후공정/패키징/테스트</t>
        </is>
      </c>
      <c r="H263" s="27" t="inlineStr">
        <is>
          <t>False</t>
        </is>
      </c>
      <c r="I263" s="27" t="inlineStr">
        <is>
          <t>True</t>
        </is>
      </c>
      <c r="J263" s="27" t="inlineStr">
        <is>
          <t>OK_LIMITED_HISTORY_OR_GROWTH_NA</t>
        </is>
      </c>
      <c r="K263" s="27" t="inlineStr">
        <is>
          <t>데이터 사용 가능</t>
        </is>
      </c>
      <c r="L263" s="27" t="inlineStr">
        <is>
          <t>LOW</t>
        </is>
      </c>
      <c r="M263" s="27" t="inlineStr">
        <is>
          <t>LOW</t>
        </is>
      </c>
      <c r="N263" s="27" t="inlineStr">
        <is>
          <t>0.4188148148148148</t>
        </is>
      </c>
      <c r="O263" s="27" t="inlineStr">
        <is>
          <t>EXPENSIVE</t>
        </is>
      </c>
      <c r="P263" s="27" t="inlineStr">
        <is>
          <t>EXPENSIVE</t>
        </is>
      </c>
      <c r="Q263" s="27" t="inlineStr">
        <is>
          <t>EXPENSIVE</t>
        </is>
      </c>
      <c r="R263" s="27" t="inlineStr">
        <is>
          <t>0.8919952418828875</t>
        </is>
      </c>
      <c r="S263" s="27" t="inlineStr">
        <is>
          <t>HIGH</t>
        </is>
      </c>
      <c r="T263" s="27" t="inlineStr">
        <is>
          <t>HIGH</t>
        </is>
      </c>
      <c r="U263" s="27" t="inlineStr">
        <is>
          <t>0.5714285714285714</t>
        </is>
      </c>
      <c r="V263" s="27" t="inlineStr">
        <is>
          <t>HIGH_RISK</t>
        </is>
      </c>
      <c r="W263" s="27" t="inlineStr">
        <is>
          <t>고위험</t>
        </is>
      </c>
      <c r="X263" s="27" t="inlineStr">
        <is>
          <t>HIGH_RISK</t>
        </is>
      </c>
      <c r="Y263" s="27" t="inlineStr">
        <is>
          <t>0.8679140027753699</t>
        </is>
      </c>
      <c r="Z263" s="27" t="inlineStr">
        <is>
          <t>HIGH</t>
        </is>
      </c>
      <c r="AA263" s="27" t="inlineStr">
        <is>
          <t>HIGH</t>
        </is>
      </c>
      <c r="AB263" s="27" t="inlineStr">
        <is>
          <t>0.06592211461176288</t>
        </is>
      </c>
      <c r="AC263" s="27" t="inlineStr">
        <is>
          <t>False</t>
        </is>
      </c>
      <c r="AD263" s="27" t="inlineStr">
        <is>
          <t>True</t>
        </is>
      </c>
      <c r="AE263" s="27" t="inlineStr">
        <is>
          <t>valuation_credit_ml_overlay_candidate.csv</t>
        </is>
      </c>
      <c r="AF263" s="27" t="inlineStr">
        <is>
          <t>208개 반도체 reference universe. Valuation Agent가 자체 intake 폴더로 복제해 Peer/ML/대시보드 비교에 사용.</t>
        </is>
      </c>
    </row>
    <row r="264" ht="24" customHeight="1">
      <c r="A264" s="32" t="inlineStr">
        <is>
          <t>169</t>
        </is>
      </c>
      <c r="B264" s="32" t="inlineStr">
        <is>
          <t>해당 없음</t>
        </is>
      </c>
      <c r="C264" s="32" t="inlineStr">
        <is>
          <t>시그네틱스</t>
        </is>
      </c>
      <c r="D264" s="32" t="inlineStr">
        <is>
          <t>033170</t>
        </is>
      </c>
      <c r="E264" s="32" t="inlineStr">
        <is>
          <t>KOSDAQ</t>
        </is>
      </c>
      <c r="F264" s="32" t="inlineStr">
        <is>
          <t>후공정/패키징/테스트</t>
        </is>
      </c>
      <c r="G264" s="32" t="inlineStr">
        <is>
          <t>후공정/패키징/테스트</t>
        </is>
      </c>
      <c r="H264" s="32" t="inlineStr">
        <is>
          <t>False</t>
        </is>
      </c>
      <c r="I264" s="32" t="inlineStr">
        <is>
          <t>True</t>
        </is>
      </c>
      <c r="J264" s="32" t="inlineStr">
        <is>
          <t>OK</t>
        </is>
      </c>
      <c r="K264" s="32" t="inlineStr">
        <is>
          <t>데이터 사용 가능</t>
        </is>
      </c>
      <c r="L264" s="32" t="inlineStr">
        <is>
          <t>LOW</t>
        </is>
      </c>
      <c r="M264" s="32" t="inlineStr">
        <is>
          <t>LOW</t>
        </is>
      </c>
      <c r="N264" s="32" t="inlineStr">
        <is>
          <t>0.4068148148148148</t>
        </is>
      </c>
      <c r="O264" s="32" t="inlineStr">
        <is>
          <t>EXPENSIVE</t>
        </is>
      </c>
      <c r="P264" s="32" t="inlineStr">
        <is>
          <t>EXPENSIVE</t>
        </is>
      </c>
      <c r="Q264" s="32" t="inlineStr">
        <is>
          <t>EXPENSIVE</t>
        </is>
      </c>
      <c r="R264" s="32" t="inlineStr">
        <is>
          <t>0.6660306558324866</t>
        </is>
      </c>
      <c r="S264" s="32" t="inlineStr">
        <is>
          <t>MEDIUM</t>
        </is>
      </c>
      <c r="T264" s="32" t="inlineStr">
        <is>
          <t>MEDIUM</t>
        </is>
      </c>
      <c r="U264" s="32" t="inlineStr">
        <is>
          <t>0.6428571428571429</t>
        </is>
      </c>
      <c r="V264" s="32" t="inlineStr">
        <is>
          <t>HIGH_RISK</t>
        </is>
      </c>
      <c r="W264" s="32" t="inlineStr">
        <is>
          <t>고위험</t>
        </is>
      </c>
      <c r="X264" s="32" t="inlineStr">
        <is>
          <t>HIGH_RISK</t>
        </is>
      </c>
      <c r="Y264" s="32" t="inlineStr">
        <is>
          <t>0.9103717836414464</t>
        </is>
      </c>
      <c r="Z264" s="32" t="inlineStr">
        <is>
          <t>HIGH</t>
        </is>
      </c>
      <c r="AA264" s="32" t="inlineStr">
        <is>
          <t>HIGH</t>
        </is>
      </c>
      <c r="AB264" s="32" t="inlineStr">
        <is>
          <t>0.09415815096164672</t>
        </is>
      </c>
      <c r="AC264" s="32" t="inlineStr">
        <is>
          <t>False</t>
        </is>
      </c>
      <c r="AD264" s="32" t="inlineStr">
        <is>
          <t>False</t>
        </is>
      </c>
      <c r="AE264" s="32" t="inlineStr">
        <is>
          <t>valuation_credit_ml_overlay_candidate.csv</t>
        </is>
      </c>
      <c r="AF264" s="32" t="inlineStr">
        <is>
          <t>208개 반도체 reference universe. Valuation Agent가 자체 intake 폴더로 복제해 Peer/ML/대시보드 비교에 사용.</t>
        </is>
      </c>
    </row>
    <row r="265" ht="24" customHeight="1">
      <c r="A265" s="27" t="inlineStr">
        <is>
          <t>154</t>
        </is>
      </c>
      <c r="B265" s="27" t="inlineStr">
        <is>
          <t>해당 없음</t>
        </is>
      </c>
      <c r="C265" s="27" t="inlineStr">
        <is>
          <t>고영</t>
        </is>
      </c>
      <c r="D265" s="27" t="inlineStr">
        <is>
          <t>098460</t>
        </is>
      </c>
      <c r="E265" s="27" t="inlineStr">
        <is>
          <t>KOSDAQ</t>
        </is>
      </c>
      <c r="F265" s="27" t="inlineStr">
        <is>
          <t>후공정/패키징/테스트</t>
        </is>
      </c>
      <c r="G265" s="27" t="inlineStr">
        <is>
          <t>후공정/패키징/테스트</t>
        </is>
      </c>
      <c r="H265" s="27" t="inlineStr">
        <is>
          <t>False</t>
        </is>
      </c>
      <c r="I265" s="27" t="inlineStr">
        <is>
          <t>True</t>
        </is>
      </c>
      <c r="J265" s="27" t="inlineStr">
        <is>
          <t>OK</t>
        </is>
      </c>
      <c r="K265" s="27" t="inlineStr">
        <is>
          <t>데이터 사용 가능</t>
        </is>
      </c>
      <c r="L265" s="27" t="inlineStr">
        <is>
          <t>LOW</t>
        </is>
      </c>
      <c r="M265" s="27" t="inlineStr">
        <is>
          <t>LOW</t>
        </is>
      </c>
      <c r="N265" s="27" t="inlineStr">
        <is>
          <t>0.3933333333333333</t>
        </is>
      </c>
      <c r="O265" s="27" t="inlineStr">
        <is>
          <t>EXPENSIVE</t>
        </is>
      </c>
      <c r="P265" s="27" t="inlineStr">
        <is>
          <t>EXPENSIVE</t>
        </is>
      </c>
      <c r="Q265" s="27" t="inlineStr">
        <is>
          <t>EXPENSIVE</t>
        </is>
      </c>
      <c r="R265" s="27" t="inlineStr">
        <is>
          <t>0.4306692416005982</t>
        </is>
      </c>
      <c r="S265" s="27" t="inlineStr">
        <is>
          <t>LOW</t>
        </is>
      </c>
      <c r="T265" s="27" t="inlineStr">
        <is>
          <t>LOW</t>
        </is>
      </c>
      <c r="U265" s="27" t="inlineStr">
        <is>
          <t>0.0714285714285714</t>
        </is>
      </c>
      <c r="V265" s="27" t="inlineStr">
        <is>
          <t>LOW_RISK</t>
        </is>
      </c>
      <c r="W265" s="27" t="inlineStr">
        <is>
          <t>저위험</t>
        </is>
      </c>
      <c r="X265" s="27" t="inlineStr">
        <is>
          <t>LOW_RISK</t>
        </is>
      </c>
      <c r="Y265" s="27" t="inlineStr">
        <is>
          <t>0.9147267479763326</t>
        </is>
      </c>
      <c r="Z265" s="27" t="inlineStr">
        <is>
          <t>HIGH</t>
        </is>
      </c>
      <c r="AA265" s="27" t="inlineStr">
        <is>
          <t>HIGH</t>
        </is>
      </c>
      <c r="AB265" s="27" t="inlineStr">
        <is>
          <t>0.05497222824798623</t>
        </is>
      </c>
      <c r="AC265" s="27" t="inlineStr">
        <is>
          <t>False</t>
        </is>
      </c>
      <c r="AD265" s="27" t="inlineStr">
        <is>
          <t>True</t>
        </is>
      </c>
      <c r="AE265" s="27" t="inlineStr">
        <is>
          <t>valuation_credit_ml_overlay_candidate.csv</t>
        </is>
      </c>
      <c r="AF265" s="27" t="inlineStr">
        <is>
          <t>208개 반도체 reference universe. Valuation Agent가 자체 intake 폴더로 복제해 Peer/ML/대시보드 비교에 사용.</t>
        </is>
      </c>
    </row>
    <row r="266" ht="24" customHeight="1">
      <c r="A266" s="32" t="inlineStr">
        <is>
          <t>178</t>
        </is>
      </c>
      <c r="B266" s="32" t="inlineStr">
        <is>
          <t>해당 없음</t>
        </is>
      </c>
      <c r="C266" s="32" t="inlineStr">
        <is>
          <t>웨이비스</t>
        </is>
      </c>
      <c r="D266" s="32" t="inlineStr">
        <is>
          <t>289930</t>
        </is>
      </c>
      <c r="E266" s="32" t="inlineStr">
        <is>
          <t>KOSDAQ</t>
        </is>
      </c>
      <c r="F266" s="32" t="inlineStr">
        <is>
          <t>후공정/패키징/테스트</t>
        </is>
      </c>
      <c r="G266" s="32" t="inlineStr">
        <is>
          <t>후공정/패키징/테스트</t>
        </is>
      </c>
      <c r="H266" s="32" t="inlineStr">
        <is>
          <t>False</t>
        </is>
      </c>
      <c r="I266" s="32" t="inlineStr">
        <is>
          <t>True</t>
        </is>
      </c>
      <c r="J266" s="32" t="inlineStr">
        <is>
          <t>OK_LIMITED_HISTORY_OR_GROWTH_NA</t>
        </is>
      </c>
      <c r="K266" s="32" t="inlineStr">
        <is>
          <t>데이터 사용 가능</t>
        </is>
      </c>
      <c r="L266" s="32" t="inlineStr">
        <is>
          <t>LOW</t>
        </is>
      </c>
      <c r="M266" s="32" t="inlineStr">
        <is>
          <t>LOW</t>
        </is>
      </c>
      <c r="N266" s="32" t="inlineStr">
        <is>
          <t>0.3765925925925926</t>
        </is>
      </c>
      <c r="O266" s="32" t="inlineStr">
        <is>
          <t>EXPENSIVE</t>
        </is>
      </c>
      <c r="P266" s="32" t="inlineStr">
        <is>
          <t>EXPENSIVE</t>
        </is>
      </c>
      <c r="Q266" s="32" t="inlineStr">
        <is>
          <t>EXPENSIVE</t>
        </is>
      </c>
      <c r="R266" s="32" t="inlineStr">
        <is>
          <t>0.5209890944205295</t>
        </is>
      </c>
      <c r="S266" s="32" t="inlineStr">
        <is>
          <t>MEDIUM</t>
        </is>
      </c>
      <c r="T266" s="32" t="inlineStr">
        <is>
          <t>MEDIUM</t>
        </is>
      </c>
      <c r="U266" s="32" t="inlineStr">
        <is>
          <t>0.1428571428571428</t>
        </is>
      </c>
      <c r="V266" s="32" t="inlineStr">
        <is>
          <t>LOW_RISK</t>
        </is>
      </c>
      <c r="W266" s="32" t="inlineStr">
        <is>
          <t>저위험</t>
        </is>
      </c>
      <c r="X266" s="32" t="inlineStr">
        <is>
          <t>LOW_RISK</t>
        </is>
      </c>
      <c r="Y266" s="32" t="inlineStr">
        <is>
          <t>0.5760026387111382</t>
        </is>
      </c>
      <c r="Z266" s="32" t="inlineStr">
        <is>
          <t>MEDIUM</t>
        </is>
      </c>
      <c r="AA266" s="32" t="inlineStr">
        <is>
          <t>MEDIUM</t>
        </is>
      </c>
      <c r="AB266" s="32" t="inlineStr">
        <is>
          <t>0.04339911179550382</t>
        </is>
      </c>
      <c r="AC266" s="32" t="inlineStr">
        <is>
          <t>False</t>
        </is>
      </c>
      <c r="AD266" s="32" t="inlineStr">
        <is>
          <t>True</t>
        </is>
      </c>
      <c r="AE266" s="32" t="inlineStr">
        <is>
          <t>valuation_credit_ml_overlay_candidate.csv</t>
        </is>
      </c>
      <c r="AF266" s="32" t="inlineStr">
        <is>
          <t>208개 반도체 reference universe. Valuation Agent가 자체 intake 폴더로 복제해 Peer/ML/대시보드 비교에 사용.</t>
        </is>
      </c>
    </row>
    <row r="267" ht="24" customHeight="1">
      <c r="A267" s="27" t="inlineStr">
        <is>
          <t>153</t>
        </is>
      </c>
      <c r="B267" s="27" t="inlineStr">
        <is>
          <t>해당 없음</t>
        </is>
      </c>
      <c r="C267" s="27" t="inlineStr">
        <is>
          <t>SFA반도체</t>
        </is>
      </c>
      <c r="D267" s="27" t="inlineStr">
        <is>
          <t>036540</t>
        </is>
      </c>
      <c r="E267" s="27" t="inlineStr">
        <is>
          <t>KOSDAQ</t>
        </is>
      </c>
      <c r="F267" s="27" t="inlineStr">
        <is>
          <t>후공정/패키징/테스트</t>
        </is>
      </c>
      <c r="G267" s="27" t="inlineStr">
        <is>
          <t>후공정/패키징/테스트</t>
        </is>
      </c>
      <c r="H267" s="27" t="inlineStr">
        <is>
          <t>False</t>
        </is>
      </c>
      <c r="I267" s="27" t="inlineStr">
        <is>
          <t>True</t>
        </is>
      </c>
      <c r="J267" s="27" t="inlineStr">
        <is>
          <t>OK</t>
        </is>
      </c>
      <c r="K267" s="27" t="inlineStr">
        <is>
          <t>데이터 사용 가능</t>
        </is>
      </c>
      <c r="L267" s="27" t="inlineStr">
        <is>
          <t>LOW</t>
        </is>
      </c>
      <c r="M267" s="27" t="inlineStr">
        <is>
          <t>LOW</t>
        </is>
      </c>
      <c r="N267" s="27" t="inlineStr">
        <is>
          <t>0.3725925925925926</t>
        </is>
      </c>
      <c r="O267" s="27" t="inlineStr">
        <is>
          <t>EXPENSIVE</t>
        </is>
      </c>
      <c r="P267" s="27" t="inlineStr">
        <is>
          <t>EXPENSIVE</t>
        </is>
      </c>
      <c r="Q267" s="27" t="inlineStr">
        <is>
          <t>EXPENSIVE</t>
        </is>
      </c>
      <c r="R267" s="27" t="inlineStr">
        <is>
          <t>0.7912156659089058</t>
        </is>
      </c>
      <c r="S267" s="27" t="inlineStr">
        <is>
          <t>HIGH</t>
        </is>
      </c>
      <c r="T267" s="27" t="inlineStr">
        <is>
          <t>HIGH</t>
        </is>
      </c>
      <c r="U267" s="27" t="inlineStr">
        <is>
          <t>0.2857142857142857</t>
        </is>
      </c>
      <c r="V267" s="27" t="inlineStr">
        <is>
          <t>MEDIUM_RISK</t>
        </is>
      </c>
      <c r="W267" s="27" t="inlineStr">
        <is>
          <t>중위험</t>
        </is>
      </c>
      <c r="X267" s="27" t="inlineStr">
        <is>
          <t>MEDIUM_RISK</t>
        </is>
      </c>
      <c r="Y267" s="27" t="inlineStr">
        <is>
          <t>0.6035260416354965</t>
        </is>
      </c>
      <c r="Z267" s="27" t="inlineStr">
        <is>
          <t>MEDIUM</t>
        </is>
      </c>
      <c r="AA267" s="27" t="inlineStr">
        <is>
          <t>MEDIUM</t>
        </is>
      </c>
      <c r="AB267" s="27" t="inlineStr">
        <is>
          <t>0.060421941503641885</t>
        </is>
      </c>
      <c r="AC267" s="27" t="inlineStr">
        <is>
          <t>False</t>
        </is>
      </c>
      <c r="AD267" s="27" t="inlineStr">
        <is>
          <t>False</t>
        </is>
      </c>
      <c r="AE267" s="27" t="inlineStr">
        <is>
          <t>valuation_credit_ml_overlay_candidate.csv</t>
        </is>
      </c>
      <c r="AF267" s="27" t="inlineStr">
        <is>
          <t>208개 반도체 reference universe. Valuation Agent가 자체 intake 폴더로 복제해 Peer/ML/대시보드 비교에 사용.</t>
        </is>
      </c>
    </row>
    <row r="268" ht="24" customHeight="1">
      <c r="A268" s="32" t="inlineStr">
        <is>
          <t>181</t>
        </is>
      </c>
      <c r="B268" s="32" t="inlineStr">
        <is>
          <t>해당 없음</t>
        </is>
      </c>
      <c r="C268" s="32" t="inlineStr">
        <is>
          <t>인텍플러스</t>
        </is>
      </c>
      <c r="D268" s="32" t="inlineStr">
        <is>
          <t>064290</t>
        </is>
      </c>
      <c r="E268" s="32" t="inlineStr">
        <is>
          <t>KOSDAQ</t>
        </is>
      </c>
      <c r="F268" s="32" t="inlineStr">
        <is>
          <t>후공정/패키징/테스트</t>
        </is>
      </c>
      <c r="G268" s="32" t="inlineStr">
        <is>
          <t>후공정/패키징/테스트</t>
        </is>
      </c>
      <c r="H268" s="32" t="inlineStr">
        <is>
          <t>False</t>
        </is>
      </c>
      <c r="I268" s="32" t="inlineStr">
        <is>
          <t>True</t>
        </is>
      </c>
      <c r="J268" s="32" t="inlineStr">
        <is>
          <t>OK</t>
        </is>
      </c>
      <c r="K268" s="32" t="inlineStr">
        <is>
          <t>데이터 사용 가능</t>
        </is>
      </c>
      <c r="L268" s="32" t="inlineStr">
        <is>
          <t>LOW</t>
        </is>
      </c>
      <c r="M268" s="32" t="inlineStr">
        <is>
          <t>LOW</t>
        </is>
      </c>
      <c r="N268" s="32" t="inlineStr">
        <is>
          <t>0.3431111111111111</t>
        </is>
      </c>
      <c r="O268" s="32" t="inlineStr">
        <is>
          <t>EXPENSIVE</t>
        </is>
      </c>
      <c r="P268" s="32" t="inlineStr">
        <is>
          <t>EXPENSIVE</t>
        </is>
      </c>
      <c r="Q268" s="32" t="inlineStr">
        <is>
          <t>EXPENSIVE</t>
        </is>
      </c>
      <c r="R268" s="32" t="inlineStr">
        <is>
          <t>0.7612288958400996</t>
        </is>
      </c>
      <c r="S268" s="32" t="inlineStr">
        <is>
          <t>HIGH</t>
        </is>
      </c>
      <c r="T268" s="32" t="inlineStr">
        <is>
          <t>HIGH</t>
        </is>
      </c>
      <c r="U268" s="32" t="inlineStr">
        <is>
          <t>0.4285714285714285</t>
        </is>
      </c>
      <c r="V268" s="32" t="inlineStr">
        <is>
          <t>HIGH_RISK</t>
        </is>
      </c>
      <c r="W268" s="32" t="inlineStr">
        <is>
          <t>고위험</t>
        </is>
      </c>
      <c r="X268" s="32" t="inlineStr">
        <is>
          <t>MEDIUM_RISK</t>
        </is>
      </c>
      <c r="Y268" s="32" t="inlineStr">
        <is>
          <t>0.5782298550270377</t>
        </is>
      </c>
      <c r="Z268" s="32" t="inlineStr">
        <is>
          <t>MEDIUM</t>
        </is>
      </c>
      <c r="AA268" s="32" t="inlineStr">
        <is>
          <t>MEDIUM</t>
        </is>
      </c>
      <c r="AB268" s="32" t="inlineStr">
        <is>
          <t>0.054796756066406084</t>
        </is>
      </c>
      <c r="AC268" s="32" t="inlineStr">
        <is>
          <t>False</t>
        </is>
      </c>
      <c r="AD268" s="32" t="inlineStr">
        <is>
          <t>False</t>
        </is>
      </c>
      <c r="AE268" s="32" t="inlineStr">
        <is>
          <t>valuation_credit_ml_overlay_candidate.csv</t>
        </is>
      </c>
      <c r="AF268" s="32" t="inlineStr">
        <is>
          <t>208개 반도체 reference universe. Valuation Agent가 자체 intake 폴더로 복제해 Peer/ML/대시보드 비교에 사용.</t>
        </is>
      </c>
    </row>
    <row r="269" ht="24" customHeight="1">
      <c r="A269" s="27" t="inlineStr">
        <is>
          <t>193</t>
        </is>
      </c>
      <c r="B269" s="27" t="inlineStr">
        <is>
          <t>해당 없음</t>
        </is>
      </c>
      <c r="C269" s="27" t="inlineStr">
        <is>
          <t>한울반도체</t>
        </is>
      </c>
      <c r="D269" s="27" t="inlineStr">
        <is>
          <t>320000</t>
        </is>
      </c>
      <c r="E269" s="27" t="inlineStr">
        <is>
          <t>KOSDAQ</t>
        </is>
      </c>
      <c r="F269" s="27" t="inlineStr">
        <is>
          <t>후공정/패키징/테스트</t>
        </is>
      </c>
      <c r="G269" s="27" t="inlineStr">
        <is>
          <t>후공정/패키징/테스트</t>
        </is>
      </c>
      <c r="H269" s="27" t="inlineStr">
        <is>
          <t>False</t>
        </is>
      </c>
      <c r="I269" s="27" t="inlineStr">
        <is>
          <t>True</t>
        </is>
      </c>
      <c r="J269" s="27" t="inlineStr">
        <is>
          <t>OK</t>
        </is>
      </c>
      <c r="K269" s="27" t="inlineStr">
        <is>
          <t>데이터 사용 가능</t>
        </is>
      </c>
      <c r="L269" s="27" t="inlineStr">
        <is>
          <t>LOW</t>
        </is>
      </c>
      <c r="M269" s="27" t="inlineStr">
        <is>
          <t>LOW</t>
        </is>
      </c>
      <c r="N269" s="27" t="inlineStr">
        <is>
          <t>0.3376296296296296</t>
        </is>
      </c>
      <c r="O269" s="27" t="inlineStr">
        <is>
          <t>EXPENSIVE</t>
        </is>
      </c>
      <c r="P269" s="27" t="inlineStr">
        <is>
          <t>EXPENSIVE</t>
        </is>
      </c>
      <c r="Q269" s="27" t="inlineStr">
        <is>
          <t>EXPENSIVE</t>
        </is>
      </c>
      <c r="R269" s="27" t="inlineStr">
        <is>
          <t>0.7769228627558715</t>
        </is>
      </c>
      <c r="S269" s="27" t="inlineStr">
        <is>
          <t>HIGH</t>
        </is>
      </c>
      <c r="T269" s="27" t="inlineStr">
        <is>
          <t>HIGH</t>
        </is>
      </c>
      <c r="U269" s="27" t="inlineStr">
        <is>
          <t>0.7142857142857143</t>
        </is>
      </c>
      <c r="V269" s="27" t="inlineStr">
        <is>
          <t>HIGH_RISK</t>
        </is>
      </c>
      <c r="W269" s="27" t="inlineStr">
        <is>
          <t>고위험</t>
        </is>
      </c>
      <c r="X269" s="27" t="inlineStr">
        <is>
          <t>HIGH_RISK</t>
        </is>
      </c>
      <c r="Y269" s="27" t="inlineStr">
        <is>
          <t>0.9268996528836525</t>
        </is>
      </c>
      <c r="Z269" s="27" t="inlineStr">
        <is>
          <t>HIGH</t>
        </is>
      </c>
      <c r="AA269" s="27" t="inlineStr">
        <is>
          <t>HIGH</t>
        </is>
      </c>
      <c r="AB269" s="27" t="inlineStr">
        <is>
          <t>0.3732718821533064</t>
        </is>
      </c>
      <c r="AC269" s="27" t="inlineStr">
        <is>
          <t>True</t>
        </is>
      </c>
      <c r="AD269" s="27" t="inlineStr">
        <is>
          <t>True</t>
        </is>
      </c>
      <c r="AE269" s="27" t="inlineStr">
        <is>
          <t>valuation_credit_ml_overlay_candidate.csv</t>
        </is>
      </c>
      <c r="AF269" s="27" t="inlineStr">
        <is>
          <t>208개 반도체 reference universe. Valuation Agent가 자체 intake 폴더로 복제해 Peer/ML/대시보드 비교에 사용.</t>
        </is>
      </c>
    </row>
    <row r="270" ht="24" customHeight="1">
      <c r="A270" s="32" t="inlineStr">
        <is>
          <t>180</t>
        </is>
      </c>
      <c r="B270" s="32" t="inlineStr">
        <is>
          <t>해당 없음</t>
        </is>
      </c>
      <c r="C270" s="32" t="inlineStr">
        <is>
          <t>유니테스트</t>
        </is>
      </c>
      <c r="D270" s="32" t="inlineStr">
        <is>
          <t>086390</t>
        </is>
      </c>
      <c r="E270" s="32" t="inlineStr">
        <is>
          <t>KOSDAQ</t>
        </is>
      </c>
      <c r="F270" s="32" t="inlineStr">
        <is>
          <t>후공정/패키징/테스트</t>
        </is>
      </c>
      <c r="G270" s="32" t="inlineStr">
        <is>
          <t>후공정/패키징/테스트</t>
        </is>
      </c>
      <c r="H270" s="32" t="inlineStr">
        <is>
          <t>False</t>
        </is>
      </c>
      <c r="I270" s="32" t="inlineStr">
        <is>
          <t>True</t>
        </is>
      </c>
      <c r="J270" s="32" t="inlineStr">
        <is>
          <t>OK</t>
        </is>
      </c>
      <c r="K270" s="32" t="inlineStr">
        <is>
          <t>데이터 사용 가능</t>
        </is>
      </c>
      <c r="L270" s="32" t="inlineStr">
        <is>
          <t>LOW</t>
        </is>
      </c>
      <c r="M270" s="32" t="inlineStr">
        <is>
          <t>LOW</t>
        </is>
      </c>
      <c r="N270" s="32" t="inlineStr">
        <is>
          <t>0.3371851851851852</t>
        </is>
      </c>
      <c r="O270" s="32" t="inlineStr">
        <is>
          <t>EXPENSIVE</t>
        </is>
      </c>
      <c r="P270" s="32" t="inlineStr">
        <is>
          <t>EXPENSIVE</t>
        </is>
      </c>
      <c r="Q270" s="32" t="inlineStr">
        <is>
          <t>EXPENSIVE</t>
        </is>
      </c>
      <c r="R270" s="32" t="inlineStr">
        <is>
          <t>0.9109345080202441</t>
        </is>
      </c>
      <c r="S270" s="32" t="inlineStr">
        <is>
          <t>HIGH</t>
        </is>
      </c>
      <c r="T270" s="32" t="inlineStr">
        <is>
          <t>HIGH</t>
        </is>
      </c>
      <c r="U270" s="32" t="inlineStr">
        <is>
          <t>0.5714285714285714</t>
        </is>
      </c>
      <c r="V270" s="32" t="inlineStr">
        <is>
          <t>HIGH_RISK</t>
        </is>
      </c>
      <c r="W270" s="32" t="inlineStr">
        <is>
          <t>고위험</t>
        </is>
      </c>
      <c r="X270" s="32" t="inlineStr">
        <is>
          <t>HIGH_RISK</t>
        </is>
      </c>
      <c r="Y270" s="32" t="inlineStr">
        <is>
          <t>0.9310666121801914</t>
        </is>
      </c>
      <c r="Z270" s="32" t="inlineStr">
        <is>
          <t>HIGH</t>
        </is>
      </c>
      <c r="AA270" s="32" t="inlineStr">
        <is>
          <t>HIGH</t>
        </is>
      </c>
      <c r="AB270" s="32" t="inlineStr">
        <is>
          <t>0.07777762014388422</t>
        </is>
      </c>
      <c r="AC270" s="32" t="inlineStr">
        <is>
          <t>False</t>
        </is>
      </c>
      <c r="AD270" s="32" t="inlineStr">
        <is>
          <t>False</t>
        </is>
      </c>
      <c r="AE270" s="32" t="inlineStr">
        <is>
          <t>valuation_credit_ml_overlay_candidate.csv</t>
        </is>
      </c>
      <c r="AF270" s="32" t="inlineStr">
        <is>
          <t>208개 반도체 reference universe. Valuation Agent가 자체 intake 폴더로 복제해 Peer/ML/대시보드 비교에 사용.</t>
        </is>
      </c>
    </row>
    <row r="271" ht="24" customHeight="1">
      <c r="A271" s="27" t="inlineStr">
        <is>
          <t>159</t>
        </is>
      </c>
      <c r="B271" s="27" t="inlineStr">
        <is>
          <t>해당 없음</t>
        </is>
      </c>
      <c r="C271" s="27" t="inlineStr">
        <is>
          <t>두산테스나</t>
        </is>
      </c>
      <c r="D271" s="27" t="inlineStr">
        <is>
          <t>131970</t>
        </is>
      </c>
      <c r="E271" s="27" t="inlineStr">
        <is>
          <t>KOSDAQ GLOBAL</t>
        </is>
      </c>
      <c r="F271" s="27" t="inlineStr">
        <is>
          <t>후공정/패키징/테스트</t>
        </is>
      </c>
      <c r="G271" s="27" t="inlineStr">
        <is>
          <t>후공정/패키징/테스트</t>
        </is>
      </c>
      <c r="H271" s="27" t="inlineStr">
        <is>
          <t>False</t>
        </is>
      </c>
      <c r="I271" s="27" t="inlineStr">
        <is>
          <t>True</t>
        </is>
      </c>
      <c r="J271" s="27" t="inlineStr">
        <is>
          <t>OK</t>
        </is>
      </c>
      <c r="K271" s="27" t="inlineStr">
        <is>
          <t>데이터 사용 가능</t>
        </is>
      </c>
      <c r="L271" s="27" t="inlineStr">
        <is>
          <t>LOW</t>
        </is>
      </c>
      <c r="M271" s="27" t="inlineStr">
        <is>
          <t>LOW</t>
        </is>
      </c>
      <c r="N271" s="27" t="inlineStr">
        <is>
          <t>0.3217037037037037</t>
        </is>
      </c>
      <c r="O271" s="27" t="inlineStr">
        <is>
          <t>EXPENSIVE</t>
        </is>
      </c>
      <c r="P271" s="27" t="inlineStr">
        <is>
          <t>EXPENSIVE</t>
        </is>
      </c>
      <c r="Q271" s="27" t="inlineStr">
        <is>
          <t>EXPENSIVE</t>
        </is>
      </c>
      <c r="R271" s="27" t="inlineStr">
        <is>
          <t>0.5774876642912814</t>
        </is>
      </c>
      <c r="S271" s="27" t="inlineStr">
        <is>
          <t>MEDIUM</t>
        </is>
      </c>
      <c r="T271" s="27" t="inlineStr">
        <is>
          <t>MEDIUM</t>
        </is>
      </c>
      <c r="U271" s="27" t="inlineStr">
        <is>
          <t>0.1428571428571428</t>
        </is>
      </c>
      <c r="V271" s="27" t="inlineStr">
        <is>
          <t>LOW_RISK</t>
        </is>
      </c>
      <c r="W271" s="27" t="inlineStr">
        <is>
          <t>저위험</t>
        </is>
      </c>
      <c r="X271" s="27" t="inlineStr">
        <is>
          <t>LOW_RISK</t>
        </is>
      </c>
      <c r="Y271" s="27" t="inlineStr">
        <is>
          <t>0.5730698742411416</t>
        </is>
      </c>
      <c r="Z271" s="27" t="inlineStr">
        <is>
          <t>MEDIUM</t>
        </is>
      </c>
      <c r="AA271" s="27" t="inlineStr">
        <is>
          <t>MEDIUM</t>
        </is>
      </c>
      <c r="AB271" s="27" t="inlineStr">
        <is>
          <t>0.11339298523731103</t>
        </is>
      </c>
      <c r="AC271" s="27" t="inlineStr">
        <is>
          <t>False</t>
        </is>
      </c>
      <c r="AD271" s="27" t="inlineStr">
        <is>
          <t>False</t>
        </is>
      </c>
      <c r="AE271" s="27" t="inlineStr">
        <is>
          <t>valuation_credit_ml_overlay_candidate.csv</t>
        </is>
      </c>
      <c r="AF271" s="27" t="inlineStr">
        <is>
          <t>208개 반도체 reference universe. Valuation Agent가 자체 intake 폴더로 복제해 Peer/ML/대시보드 비교에 사용.</t>
        </is>
      </c>
    </row>
    <row r="272" ht="24" customHeight="1">
      <c r="A272" s="32" t="inlineStr">
        <is>
          <t>156</t>
        </is>
      </c>
      <c r="B272" s="32" t="inlineStr">
        <is>
          <t>해당 없음</t>
        </is>
      </c>
      <c r="C272" s="32" t="inlineStr">
        <is>
          <t>네오셈</t>
        </is>
      </c>
      <c r="D272" s="32" t="inlineStr">
        <is>
          <t>253590</t>
        </is>
      </c>
      <c r="E272" s="32" t="inlineStr">
        <is>
          <t>KOSDAQ</t>
        </is>
      </c>
      <c r="F272" s="32" t="inlineStr">
        <is>
          <t>후공정/패키징/테스트</t>
        </is>
      </c>
      <c r="G272" s="32" t="inlineStr">
        <is>
          <t>후공정/패키징/테스트</t>
        </is>
      </c>
      <c r="H272" s="32" t="inlineStr">
        <is>
          <t>False</t>
        </is>
      </c>
      <c r="I272" s="32" t="inlineStr">
        <is>
          <t>True</t>
        </is>
      </c>
      <c r="J272" s="32" t="inlineStr">
        <is>
          <t>OK</t>
        </is>
      </c>
      <c r="K272" s="32" t="inlineStr">
        <is>
          <t>데이터 사용 가능</t>
        </is>
      </c>
      <c r="L272" s="32" t="inlineStr">
        <is>
          <t>LOW</t>
        </is>
      </c>
      <c r="M272" s="32" t="inlineStr">
        <is>
          <t>LOW</t>
        </is>
      </c>
      <c r="N272" s="32" t="inlineStr">
        <is>
          <t>0.3059259259259259</t>
        </is>
      </c>
      <c r="O272" s="32" t="inlineStr">
        <is>
          <t>EXPENSIVE</t>
        </is>
      </c>
      <c r="P272" s="32" t="inlineStr">
        <is>
          <t>EXPENSIVE</t>
        </is>
      </c>
      <c r="Q272" s="32" t="inlineStr">
        <is>
          <t>EXPENSIVE</t>
        </is>
      </c>
      <c r="R272" s="32" t="inlineStr">
        <is>
          <t>0.7695353673338539</t>
        </is>
      </c>
      <c r="S272" s="32" t="inlineStr">
        <is>
          <t>HIGH</t>
        </is>
      </c>
      <c r="T272" s="32" t="inlineStr">
        <is>
          <t>HIGH</t>
        </is>
      </c>
      <c r="U272" s="32" t="inlineStr">
        <is>
          <t>0.0714285714285714</t>
        </is>
      </c>
      <c r="V272" s="32" t="inlineStr">
        <is>
          <t>LOW_RISK</t>
        </is>
      </c>
      <c r="W272" s="32" t="inlineStr">
        <is>
          <t>저위험</t>
        </is>
      </c>
      <c r="X272" s="32" t="inlineStr">
        <is>
          <t>LOW_RISK</t>
        </is>
      </c>
      <c r="Y272" s="32" t="inlineStr">
        <is>
          <t>0.7735591671201707</t>
        </is>
      </c>
      <c r="Z272" s="32" t="inlineStr">
        <is>
          <t>HIGH</t>
        </is>
      </c>
      <c r="AA272" s="32" t="inlineStr">
        <is>
          <t>HIGH</t>
        </is>
      </c>
      <c r="AB272" s="32" t="inlineStr">
        <is>
          <t>0.06887713556186657</t>
        </is>
      </c>
      <c r="AC272" s="32" t="inlineStr">
        <is>
          <t>False</t>
        </is>
      </c>
      <c r="AD272" s="32" t="inlineStr">
        <is>
          <t>False</t>
        </is>
      </c>
      <c r="AE272" s="32" t="inlineStr">
        <is>
          <t>valuation_credit_ml_overlay_candidate.csv</t>
        </is>
      </c>
      <c r="AF272" s="32" t="inlineStr">
        <is>
          <t>208개 반도체 reference universe. Valuation Agent가 자체 intake 폴더로 복제해 Peer/ML/대시보드 비교에 사용.</t>
        </is>
      </c>
    </row>
    <row r="273" ht="24" customHeight="1">
      <c r="A273" s="27" t="inlineStr">
        <is>
          <t>190</t>
        </is>
      </c>
      <c r="B273" s="27" t="inlineStr">
        <is>
          <t>해당 없음</t>
        </is>
      </c>
      <c r="C273" s="27" t="inlineStr">
        <is>
          <t>피엠티</t>
        </is>
      </c>
      <c r="D273" s="27" t="inlineStr">
        <is>
          <t>147760</t>
        </is>
      </c>
      <c r="E273" s="27" t="inlineStr">
        <is>
          <t>KOSDAQ</t>
        </is>
      </c>
      <c r="F273" s="27" t="inlineStr">
        <is>
          <t>후공정/패키징/테스트</t>
        </is>
      </c>
      <c r="G273" s="27" t="inlineStr">
        <is>
          <t>후공정/패키징/테스트</t>
        </is>
      </c>
      <c r="H273" s="27" t="inlineStr">
        <is>
          <t>False</t>
        </is>
      </c>
      <c r="I273" s="27" t="inlineStr">
        <is>
          <t>True</t>
        </is>
      </c>
      <c r="J273" s="27" t="inlineStr">
        <is>
          <t>OK</t>
        </is>
      </c>
      <c r="K273" s="27" t="inlineStr">
        <is>
          <t>데이터 사용 가능</t>
        </is>
      </c>
      <c r="L273" s="27" t="inlineStr">
        <is>
          <t>LOW</t>
        </is>
      </c>
      <c r="M273" s="27" t="inlineStr">
        <is>
          <t>LOW</t>
        </is>
      </c>
      <c r="N273" s="27" t="inlineStr">
        <is>
          <t>0.2471111111111111</t>
        </is>
      </c>
      <c r="O273" s="27" t="inlineStr">
        <is>
          <t>EXPENSIVE</t>
        </is>
      </c>
      <c r="P273" s="27" t="inlineStr">
        <is>
          <t>EXPENSIVE</t>
        </is>
      </c>
      <c r="Q273" s="27" t="inlineStr">
        <is>
          <t>EXPENSIVE</t>
        </is>
      </c>
      <c r="R273" s="27" t="inlineStr">
        <is>
          <t>0.952821790032095</t>
        </is>
      </c>
      <c r="S273" s="27" t="inlineStr">
        <is>
          <t>HIGH</t>
        </is>
      </c>
      <c r="T273" s="27" t="inlineStr">
        <is>
          <t>HIGH</t>
        </is>
      </c>
      <c r="U273" s="27" t="inlineStr">
        <is>
          <t>0.7857142857142857</t>
        </is>
      </c>
      <c r="V273" s="27" t="inlineStr">
        <is>
          <t>HIGH_RISK</t>
        </is>
      </c>
      <c r="W273" s="27" t="inlineStr">
        <is>
          <t>고위험</t>
        </is>
      </c>
      <c r="X273" s="27" t="inlineStr">
        <is>
          <t>HIGH_RISK</t>
        </is>
      </c>
      <c r="Y273" s="27" t="inlineStr">
        <is>
          <t>0.9374258948385606</t>
        </is>
      </c>
      <c r="Z273" s="27" t="inlineStr">
        <is>
          <t>HIGH</t>
        </is>
      </c>
      <c r="AA273" s="27" t="inlineStr">
        <is>
          <t>HIGH</t>
        </is>
      </c>
      <c r="AB273" s="27" t="inlineStr">
        <is>
          <t>0.45054632167168013</t>
        </is>
      </c>
      <c r="AC273" s="27" t="inlineStr">
        <is>
          <t>True</t>
        </is>
      </c>
      <c r="AD273" s="27" t="inlineStr">
        <is>
          <t>True</t>
        </is>
      </c>
      <c r="AE273" s="27" t="inlineStr">
        <is>
          <t>valuation_credit_ml_overlay_candidate.csv</t>
        </is>
      </c>
      <c r="AF273" s="27" t="inlineStr">
        <is>
          <t>208개 반도체 reference universe. Valuation Agent가 자체 intake 폴더로 복제해 Peer/ML/대시보드 비교에 사용.</t>
        </is>
      </c>
    </row>
    <row r="274" ht="24" customHeight="1">
      <c r="A274" s="32" t="inlineStr">
        <is>
          <t>186</t>
        </is>
      </c>
      <c r="B274" s="32" t="inlineStr">
        <is>
          <t>해당 없음</t>
        </is>
      </c>
      <c r="C274" s="32" t="inlineStr">
        <is>
          <t>테크윙</t>
        </is>
      </c>
      <c r="D274" s="32" t="inlineStr">
        <is>
          <t>089030</t>
        </is>
      </c>
      <c r="E274" s="32" t="inlineStr">
        <is>
          <t>KOSDAQ</t>
        </is>
      </c>
      <c r="F274" s="32" t="inlineStr">
        <is>
          <t>후공정/패키징/테스트</t>
        </is>
      </c>
      <c r="G274" s="32" t="inlineStr">
        <is>
          <t>후공정/패키징/테스트</t>
        </is>
      </c>
      <c r="H274" s="32" t="inlineStr">
        <is>
          <t>False</t>
        </is>
      </c>
      <c r="I274" s="32" t="inlineStr">
        <is>
          <t>True</t>
        </is>
      </c>
      <c r="J274" s="32" t="inlineStr">
        <is>
          <t>OK</t>
        </is>
      </c>
      <c r="K274" s="32" t="inlineStr">
        <is>
          <t>데이터 사용 가능</t>
        </is>
      </c>
      <c r="L274" s="32" t="inlineStr">
        <is>
          <t>LOW</t>
        </is>
      </c>
      <c r="M274" s="32" t="inlineStr">
        <is>
          <t>LOW</t>
        </is>
      </c>
      <c r="N274" s="32" t="inlineStr">
        <is>
          <t>0.2205925925925926</t>
        </is>
      </c>
      <c r="O274" s="32" t="inlineStr">
        <is>
          <t>EXPENSIVE</t>
        </is>
      </c>
      <c r="P274" s="32" t="inlineStr">
        <is>
          <t>EXPENSIVE</t>
        </is>
      </c>
      <c r="Q274" s="32" t="inlineStr">
        <is>
          <t>EXPENSIVE</t>
        </is>
      </c>
      <c r="R274" s="32" t="inlineStr">
        <is>
          <t>0.7946423848576873</t>
        </is>
      </c>
      <c r="S274" s="32" t="inlineStr">
        <is>
          <t>HIGH</t>
        </is>
      </c>
      <c r="T274" s="32" t="inlineStr">
        <is>
          <t>HIGH</t>
        </is>
      </c>
      <c r="U274" s="32" t="inlineStr">
        <is>
          <t>0.5714285714285714</t>
        </is>
      </c>
      <c r="V274" s="32" t="inlineStr">
        <is>
          <t>HIGH_RISK</t>
        </is>
      </c>
      <c r="W274" s="32" t="inlineStr">
        <is>
          <t>고위험</t>
        </is>
      </c>
      <c r="X274" s="32" t="inlineStr">
        <is>
          <t>MEDIUM_RISK</t>
        </is>
      </c>
      <c r="Y274" s="32" t="inlineStr">
        <is>
          <t>0.4396420822644243</t>
        </is>
      </c>
      <c r="Z274" s="32" t="inlineStr">
        <is>
          <t>LOW</t>
        </is>
      </c>
      <c r="AA274" s="32" t="inlineStr">
        <is>
          <t>LOW</t>
        </is>
      </c>
      <c r="AB274" s="32" t="inlineStr">
        <is>
          <t>0.13035438491081522</t>
        </is>
      </c>
      <c r="AC274" s="32" t="inlineStr">
        <is>
          <t>False</t>
        </is>
      </c>
      <c r="AD274" s="32" t="inlineStr">
        <is>
          <t>True</t>
        </is>
      </c>
      <c r="AE274" s="32" t="inlineStr">
        <is>
          <t>valuation_credit_ml_overlay_candidate.csv</t>
        </is>
      </c>
      <c r="AF274" s="32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가치평가 브릿지</t>
        </is>
      </c>
    </row>
    <row r="2" ht="28" customHeight="1">
      <c r="A2" s="20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21" t="inlineStr">
        <is>
          <t>종합 점수</t>
        </is>
      </c>
      <c r="B4" s="22" t="n"/>
      <c r="C4" s="21" t="inlineStr">
        <is>
          <t>DCF 괴리율</t>
        </is>
      </c>
      <c r="D4" s="22" t="n"/>
      <c r="E4" s="21" t="inlineStr">
        <is>
          <t>P/S</t>
        </is>
      </c>
      <c r="F4" s="22" t="n"/>
      <c r="G4" s="21" t="inlineStr">
        <is>
          <t>Peer P/S 중앙값</t>
        </is>
      </c>
      <c r="H4" s="22" t="n"/>
      <c r="I4" s="21" t="inlineStr">
        <is>
          <t>208개 Universe</t>
        </is>
      </c>
      <c r="J4" s="22" t="n"/>
    </row>
    <row r="5" ht="24" customHeight="1">
      <c r="A5" s="23" t="inlineStr">
        <is>
          <t>61.8/100</t>
        </is>
      </c>
      <c r="B5" s="22" t="n"/>
      <c r="C5" s="23" t="inlineStr">
        <is>
          <t>해당 없음</t>
        </is>
      </c>
      <c r="D5" s="22" t="n"/>
      <c r="E5" s="23" t="inlineStr">
        <is>
          <t>1.22배</t>
        </is>
      </c>
      <c r="F5" s="22" t="n"/>
      <c r="G5" s="23" t="inlineStr">
        <is>
          <t>3.43배</t>
        </is>
      </c>
      <c r="H5" s="22" t="n"/>
      <c r="I5" s="23" t="inlineStr">
        <is>
          <t>208개</t>
        </is>
      </c>
      <c r="J5" s="22" t="n"/>
    </row>
    <row r="6" ht="24" customHeight="1">
      <c r="A6" s="24" t="inlineStr">
        <is>
          <t>중립 이상</t>
        </is>
      </c>
      <c r="B6" s="22" t="n"/>
      <c r="C6" s="24" t="inlineStr">
        <is>
          <t>내재주가/현재가-1</t>
        </is>
      </c>
      <c r="D6" s="22" t="n"/>
      <c r="E6" s="24" t="inlineStr">
        <is>
          <t>피어 대비 저PSR 구간: 상대 저평가 가능성</t>
        </is>
      </c>
      <c r="F6" s="22" t="n"/>
      <c r="G6" s="24" t="inlineStr">
        <is>
          <t>live peer 기준</t>
        </is>
      </c>
      <c r="H6" s="22" t="n"/>
      <c r="I6" s="24" t="inlineStr">
        <is>
          <t>소재</t>
        </is>
      </c>
      <c r="J6" s="22" t="n"/>
    </row>
    <row r="7" ht="24" customHeight="1"/>
    <row r="8" ht="24" customHeight="1"/>
    <row r="9" ht="24" customHeight="1">
      <c r="A9" s="25" t="inlineStr">
        <is>
          <t>핵심 해석</t>
        </is>
      </c>
    </row>
    <row r="10" ht="24" customHeight="1">
      <c r="A10" s="28" t="inlineStr">
        <is>
          <t>구분</t>
        </is>
      </c>
      <c r="B10" s="28" t="inlineStr">
        <is>
          <t>내용</t>
        </is>
      </c>
    </row>
    <row r="11" ht="24" customHeight="1">
      <c r="A11" s="27" t="inlineStr">
        <is>
          <t>역할</t>
        </is>
      </c>
      <c r="B11" s="27" t="inlineStr">
        <is>
          <t>Chair 최종 가중합을 대체하지 않는 보조 밸류에이션 판단 근거</t>
        </is>
      </c>
    </row>
    <row r="12" ht="24" customHeight="1">
      <c r="A12" s="32" t="inlineStr">
        <is>
          <t>해석</t>
        </is>
      </c>
      <c r="B12" s="32" t="inlineStr">
        <is>
          <t>핵심 지표는 중립권이나 일부 우호 요인이 있습니다.</t>
        </is>
      </c>
    </row>
    <row r="13" ht="24" customHeight="1">
      <c r="A13" s="27" t="inlineStr">
        <is>
          <t>방법</t>
        </is>
      </c>
      <c r="B13" s="27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32" t="inlineStr">
        <is>
          <t>검증상태</t>
        </is>
      </c>
      <c r="B14" s="32" t="inlineStr">
        <is>
          <t>FAIL</t>
        </is>
      </c>
    </row>
    <row r="15" ht="24" customHeight="1"/>
    <row r="16" ht="24" customHeight="1"/>
    <row r="17" ht="24" customHeight="1">
      <c r="A17" s="25" t="inlineStr">
        <is>
          <t>가중 점수 구성</t>
        </is>
      </c>
    </row>
    <row r="18" ht="24" customHeight="1">
      <c r="A18" s="28" t="inlineStr">
        <is>
          <t>요인 코드</t>
        </is>
      </c>
      <c r="B18" s="28" t="inlineStr">
        <is>
          <t>요인</t>
        </is>
      </c>
      <c r="C18" s="28" t="inlineStr">
        <is>
          <t>가중치</t>
        </is>
      </c>
      <c r="D18" s="28" t="inlineStr">
        <is>
          <t>원천값</t>
        </is>
      </c>
      <c r="E18" s="28" t="inlineStr">
        <is>
          <t>점수</t>
        </is>
      </c>
      <c r="F18" s="28" t="inlineStr">
        <is>
          <t>해석</t>
        </is>
      </c>
    </row>
    <row r="19" ht="24" customHeight="1">
      <c r="A19" s="27" t="inlineStr">
        <is>
          <t>DCF_UPSIDE</t>
        </is>
      </c>
      <c r="B19" s="27" t="inlineStr">
        <is>
          <t>DCF 현재가 대비 괴리율</t>
        </is>
      </c>
      <c r="C19" s="33" t="n">
        <v>0.25</v>
      </c>
      <c r="D19" s="33" t="n">
        <v>0</v>
      </c>
      <c r="E19" s="33" t="n">
        <v>50</v>
      </c>
      <c r="F19" s="27" t="inlineStr">
        <is>
          <t>내재주가가 현재가보다 높을수록 우호</t>
        </is>
      </c>
    </row>
    <row r="20" ht="24" customHeight="1">
      <c r="A20" s="32" t="inlineStr">
        <is>
          <t>PEER_PSR</t>
        </is>
      </c>
      <c r="B20" s="32" t="inlineStr">
        <is>
          <t>Peer P/S 상대 매력도</t>
        </is>
      </c>
      <c r="C20" s="34" t="n">
        <v>0.15</v>
      </c>
      <c r="D20" s="34" t="n">
        <v>1.22274433704152</v>
      </c>
      <c r="E20" s="34" t="n">
        <v>100</v>
      </c>
      <c r="F20" s="32" t="inlineStr">
        <is>
          <t>P/S가 동종 피어 대비 낮을수록 우호</t>
        </is>
      </c>
    </row>
    <row r="21" ht="24" customHeight="1">
      <c r="A21" s="27" t="inlineStr">
        <is>
          <t>QUALITY_ML</t>
        </is>
      </c>
      <c r="B21" s="27" t="inlineStr">
        <is>
          <t>수익성·현금흐름·안정성 ML 보조점수</t>
        </is>
      </c>
      <c r="C21" s="33" t="n">
        <v>0.15</v>
      </c>
      <c r="D21" s="33" t="n">
        <v>55.43</v>
      </c>
      <c r="E21" s="33" t="n">
        <v>55.43</v>
      </c>
      <c r="F21" s="27" t="inlineStr">
        <is>
          <t>Valuation Agent 자체 peer percentile composite</t>
        </is>
      </c>
    </row>
    <row r="22" ht="24" customHeight="1">
      <c r="A22" s="32" t="inlineStr">
        <is>
          <t>REFERENCE_UNIVERSE</t>
        </is>
      </c>
      <c r="B22" s="32" t="inlineStr">
        <is>
          <t>208개 반도체 Reference Universe 위치</t>
        </is>
      </c>
      <c r="C22" s="34" t="n">
        <v>0.1</v>
      </c>
      <c r="D22" s="34" t="n">
        <v>47.02564102564102</v>
      </c>
      <c r="E22" s="34" t="n">
        <v>47.02564102564102</v>
      </c>
      <c r="F22" s="32" t="inlineStr">
        <is>
          <t>업로드/기존 universe 후보 파일의 valuation proxy 기반 상대 위치</t>
        </is>
      </c>
    </row>
    <row r="23" ht="24" customHeight="1">
      <c r="A23" s="27" t="inlineStr">
        <is>
          <t>ADVANCED_VALUATION</t>
        </is>
      </c>
      <c r="B23" s="27" t="inlineStr">
        <is>
          <t>가치범위표·역산 DCF·오너 이익 교차검증</t>
        </is>
      </c>
      <c r="C23" s="33" t="n">
        <v>0.2</v>
      </c>
      <c r="D23" s="33" t="n">
        <v>68.61</v>
      </c>
      <c r="E23" s="33" t="n">
        <v>68.61</v>
      </c>
      <c r="F23" s="27" t="inlineStr">
        <is>
          <t>DCF 하나에 의존하지 않고 복수 가치평가 방법의 중앙값·안전마진·역산가정을 함께 평가</t>
        </is>
      </c>
    </row>
    <row r="24" ht="24" customHeight="1">
      <c r="A24" s="32" t="inlineStr">
        <is>
          <t>LIQUIDITY_RISK</t>
        </is>
      </c>
      <c r="B24" s="32" t="inlineStr">
        <is>
          <t>유동성·변동성 리스크</t>
        </is>
      </c>
      <c r="C24" s="34" t="n">
        <v>0.1</v>
      </c>
      <c r="D24" s="34" t="n">
        <v>56257479630</v>
      </c>
      <c r="E24" s="34" t="n">
        <v>66</v>
      </c>
      <c r="F24" s="32" t="inlineStr">
        <is>
          <t>거래대금은 높을수록, 변동성과 MDD는 낮을수록 우호</t>
        </is>
      </c>
    </row>
    <row r="25" ht="24" customHeight="1">
      <c r="A25" s="27" t="inlineStr">
        <is>
          <t>DATA_VALIDATION</t>
        </is>
      </c>
      <c r="B25" s="27" t="inlineStr">
        <is>
          <t>데이터 검증 상태</t>
        </is>
      </c>
      <c r="C25" s="33" t="n">
        <v>0.05</v>
      </c>
      <c r="D25" s="27" t="inlineStr">
        <is>
          <t>FAIL</t>
        </is>
      </c>
      <c r="E25" s="33" t="n">
        <v>20</v>
      </c>
      <c r="F25" s="27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5" t="inlineStr">
        <is>
          <t>데이터 연결 맵</t>
        </is>
      </c>
    </row>
    <row r="29" ht="24" customHeight="1">
      <c r="A29" s="28" t="inlineStr">
        <is>
          <t>데이터블록</t>
        </is>
      </c>
      <c r="B29" s="28" t="inlineStr">
        <is>
          <t>사용값</t>
        </is>
      </c>
      <c r="C29" s="28" t="inlineStr">
        <is>
          <t>출처</t>
        </is>
      </c>
    </row>
    <row r="30" ht="24" customHeight="1">
      <c r="A30" s="27" t="inlineStr">
        <is>
          <t>DCF</t>
        </is>
      </c>
      <c r="B30" s="27" t="inlineStr">
        <is>
          <t>해당 없음</t>
        </is>
      </c>
      <c r="C30" s="27" t="inlineStr">
        <is>
          <t>valuation_metrics.json / 09_DCF_가치평가</t>
        </is>
      </c>
    </row>
    <row r="31" ht="24" customHeight="1">
      <c r="A31" s="32" t="inlineStr">
        <is>
          <t>Peer P/S</t>
        </is>
      </c>
      <c r="B31" s="32" t="inlineStr">
        <is>
          <t>1.22배</t>
        </is>
      </c>
      <c r="C31" s="32" t="inlineStr">
        <is>
          <t>valuation_peer_input.csv / 10_피어비교</t>
        </is>
      </c>
    </row>
    <row r="32" ht="24" customHeight="1">
      <c r="A32" s="27" t="inlineStr">
        <is>
          <t>208개 Universe</t>
        </is>
      </c>
      <c r="B32" s="27" t="inlineStr">
        <is>
          <t>208개</t>
        </is>
      </c>
      <c r="C32" s="27" t="inlineStr">
        <is>
          <t>valuation_reference_universe_208.csv</t>
        </is>
      </c>
    </row>
    <row r="33" ht="24" customHeight="1">
      <c r="A33" s="32" t="inlineStr">
        <is>
          <t>주가·유동성</t>
        </is>
      </c>
      <c r="B33" s="32" t="inlineStr">
        <is>
          <t>562.6억원</t>
        </is>
      </c>
      <c r="C33" s="32" t="inlineStr">
        <is>
          <t>valuation_price_history.csv / valuation_price_summary.json</t>
        </is>
      </c>
    </row>
    <row r="34" ht="24" customHeight="1">
      <c r="A34" s="27" t="inlineStr">
        <is>
          <t>ML 보조판단</t>
        </is>
      </c>
      <c r="B34" s="27" t="inlineStr">
        <is>
          <t>55.4/100</t>
        </is>
      </c>
      <c r="C34" s="27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시나리오 요약</t>
        </is>
      </c>
    </row>
    <row r="2" ht="28" customHeight="1">
      <c r="A2" s="20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5" t="inlineStr">
        <is>
          <t>3단계 시나리오 가정</t>
        </is>
      </c>
    </row>
    <row r="5" ht="24" customHeight="1">
      <c r="A5" s="28" t="inlineStr">
        <is>
          <t>시나리오</t>
        </is>
      </c>
      <c r="B5" s="28" t="inlineStr">
        <is>
          <t>매출성장률</t>
        </is>
      </c>
      <c r="C5" s="28" t="inlineStr">
        <is>
          <t>FCF마진</t>
        </is>
      </c>
      <c r="D5" s="28" t="inlineStr">
        <is>
          <t>WACC</t>
        </is>
      </c>
      <c r="E5" s="28" t="inlineStr">
        <is>
          <t>영구성장률</t>
        </is>
      </c>
      <c r="F5" s="28" t="inlineStr">
        <is>
          <t>해석</t>
        </is>
      </c>
    </row>
    <row r="6" ht="24" customHeight="1">
      <c r="A6" s="27" t="inlineStr">
        <is>
          <t>Bear</t>
        </is>
      </c>
      <c r="B6" s="33" t="n">
        <v>0.009999999999999998</v>
      </c>
      <c r="C6" s="33" t="n">
        <v>0</v>
      </c>
      <c r="D6" s="33" t="n">
        <v>0.1282349478540854</v>
      </c>
      <c r="E6" s="33" t="n">
        <v>0.009999999999999998</v>
      </c>
      <c r="F6" s="27" t="inlineStr">
        <is>
          <t>보수적 수익성·할인율 가정</t>
        </is>
      </c>
    </row>
    <row r="7" ht="24" customHeight="1">
      <c r="A7" s="32" t="inlineStr">
        <is>
          <t>Base</t>
        </is>
      </c>
      <c r="B7" s="34" t="n">
        <v>0.03</v>
      </c>
      <c r="C7" s="34" t="n">
        <v>0.02</v>
      </c>
      <c r="D7" s="34" t="n">
        <v>0.1182349478540854</v>
      </c>
      <c r="E7" s="34" t="n">
        <v>0.015</v>
      </c>
      <c r="F7" s="32" t="inlineStr">
        <is>
          <t>현재 모델 기본 가정</t>
        </is>
      </c>
    </row>
    <row r="8" ht="24" customHeight="1">
      <c r="A8" s="27" t="inlineStr">
        <is>
          <t>Bull</t>
        </is>
      </c>
      <c r="B8" s="33" t="n">
        <v>0.05</v>
      </c>
      <c r="C8" s="33" t="n">
        <v>0.04</v>
      </c>
      <c r="D8" s="33" t="n">
        <v>0.1082349478540854</v>
      </c>
      <c r="E8" s="33" t="n">
        <v>0.02</v>
      </c>
      <c r="F8" s="27" t="inlineStr">
        <is>
          <t>성장·마진 개선 가정</t>
        </is>
      </c>
    </row>
    <row r="9" ht="24" customHeight="1"/>
    <row r="10" ht="24" customHeight="1"/>
    <row r="11" ht="24" customHeight="1">
      <c r="A11" s="25" t="inlineStr">
        <is>
          <t>대시보드 연결 가이드</t>
        </is>
      </c>
    </row>
    <row r="12" ht="24" customHeight="1">
      <c r="A12" s="28" t="inlineStr">
        <is>
          <t>항목</t>
        </is>
      </c>
      <c r="B12" s="28" t="inlineStr">
        <is>
          <t>내용</t>
        </is>
      </c>
    </row>
    <row r="13" ht="24" customHeight="1">
      <c r="A13" s="27" t="inlineStr">
        <is>
          <t>활용</t>
        </is>
      </c>
      <c r="B13" s="27" t="inlineStr">
        <is>
          <t>대시보드에서 WACC/성장률/마진 슬라이더를 만들 때 기본 입력값으로 사용</t>
        </is>
      </c>
    </row>
    <row r="14" ht="24" customHeight="1">
      <c r="A14" s="32" t="inlineStr">
        <is>
          <t>주의</t>
        </is>
      </c>
      <c r="B14" s="32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데이터 품질·커버리지</t>
        </is>
      </c>
    </row>
    <row r="2" ht="28" customHeight="1">
      <c r="A2" s="20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5" t="inlineStr">
        <is>
          <t>커버리지 체크</t>
        </is>
      </c>
    </row>
    <row r="5" ht="24" customHeight="1">
      <c r="A5" s="28" t="inlineStr">
        <is>
          <t>데이터블록</t>
        </is>
      </c>
      <c r="B5" s="28" t="inlineStr">
        <is>
          <t>행수</t>
        </is>
      </c>
      <c r="C5" s="28" t="inlineStr">
        <is>
          <t>상태</t>
        </is>
      </c>
      <c r="D5" s="28" t="inlineStr">
        <is>
          <t>대시보드 영향</t>
        </is>
      </c>
    </row>
    <row r="6" ht="24" customHeight="1">
      <c r="A6" s="27" t="inlineStr">
        <is>
          <t>DART 정규화 재무제표</t>
        </is>
      </c>
      <c r="B6" s="33" t="n">
        <v>5</v>
      </c>
      <c r="C6" s="27" t="inlineStr">
        <is>
          <t>OK</t>
        </is>
      </c>
      <c r="D6" s="27" t="inlineStr">
        <is>
          <t>DCF/WACC/핵심비율</t>
        </is>
      </c>
    </row>
    <row r="7" ht="24" customHeight="1">
      <c r="A7" s="32" t="inlineStr">
        <is>
          <t>주가 이력</t>
        </is>
      </c>
      <c r="B7" s="34" t="n">
        <v>1221</v>
      </c>
      <c r="C7" s="32" t="inlineStr">
        <is>
          <t>OK</t>
        </is>
      </c>
      <c r="D7" s="32" t="inlineStr">
        <is>
          <t>현재가/변동성/MDD/차트</t>
        </is>
      </c>
    </row>
    <row r="8" ht="24" customHeight="1">
      <c r="A8" s="27" t="inlineStr">
        <is>
          <t>Live peer</t>
        </is>
      </c>
      <c r="B8" s="33" t="n">
        <v>5</v>
      </c>
      <c r="C8" s="27" t="inlineStr">
        <is>
          <t>OK</t>
        </is>
      </c>
      <c r="D8" s="27" t="inlineStr">
        <is>
          <t>P/S, PER, PBR</t>
        </is>
      </c>
    </row>
    <row r="9" ht="24" customHeight="1">
      <c r="A9" s="32" t="inlineStr">
        <is>
          <t>208개 Reference Universe</t>
        </is>
      </c>
      <c r="B9" s="34" t="n">
        <v>208</v>
      </c>
      <c r="C9" s="32" t="inlineStr">
        <is>
          <t>OK</t>
        </is>
      </c>
      <c r="D9" s="32" t="inlineStr">
        <is>
          <t>상대 위치/ML 보조</t>
        </is>
      </c>
    </row>
    <row r="10" ht="24" customHeight="1">
      <c r="A10" s="27" t="inlineStr">
        <is>
          <t>가치평가 스코어카드</t>
        </is>
      </c>
      <c r="B10" s="33" t="n">
        <v>7</v>
      </c>
      <c r="C10" s="27" t="inlineStr">
        <is>
          <t>OK</t>
        </is>
      </c>
      <c r="D10" s="27" t="inlineStr">
        <is>
          <t>투자자 요약/Chair 보조</t>
        </is>
      </c>
    </row>
    <row r="11" ht="24" customHeight="1">
      <c r="A11" s="32" t="inlineStr">
        <is>
          <t>Validation</t>
        </is>
      </c>
      <c r="B11" s="34" t="n">
        <v>2</v>
      </c>
      <c r="C11" s="32" t="inlineStr">
        <is>
          <t>FAIL</t>
        </is>
      </c>
      <c r="D11" s="32" t="inlineStr">
        <is>
          <t>경고/품질 배지</t>
        </is>
      </c>
    </row>
    <row r="12" ht="24" customHeight="1"/>
    <row r="13" ht="24" customHeight="1"/>
    <row r="14" ht="24" customHeight="1">
      <c r="A14" s="25" t="inlineStr">
        <is>
          <t>Validation 이슈</t>
        </is>
      </c>
    </row>
    <row r="15" ht="24" customHeight="1">
      <c r="A15" s="28" t="inlineStr">
        <is>
          <t>중요도</t>
        </is>
      </c>
      <c r="B15" s="28" t="inlineStr">
        <is>
          <t>코드</t>
        </is>
      </c>
      <c r="C15" s="28" t="inlineStr">
        <is>
          <t>메시지</t>
        </is>
      </c>
    </row>
    <row r="16" ht="24" customHeight="1">
      <c r="A16" s="27" t="inlineStr">
        <is>
          <t>MEDIUM</t>
        </is>
      </c>
      <c r="B16" s="27" t="inlineStr">
        <is>
          <t>MISSING_REVENUE</t>
        </is>
      </c>
      <c r="C16" s="27" t="inlineStr">
        <is>
          <t>최근 연도 revenue 값이 없습니다.</t>
        </is>
      </c>
    </row>
    <row r="17" ht="24" customHeight="1">
      <c r="A17" s="32" t="inlineStr">
        <is>
          <t>HIGH</t>
        </is>
      </c>
      <c r="B17" s="32" t="inlineStr">
        <is>
          <t>DCF_NOT_OK</t>
        </is>
      </c>
      <c r="C17" s="32" t="inlineStr">
        <is>
          <t>DCF 상태가 OK가 아닙니다: WARN_NO_REVENUE</t>
        </is>
      </c>
    </row>
  </sheetData>
  <autoFilter ref="A15:C17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종합 가치평가 요약</t>
        </is>
      </c>
    </row>
    <row r="2" ht="28" customHeight="1">
      <c r="A2" s="20" t="inlineStr">
        <is>
          <t>DCF·상대가치·역산 DCF·오너 이익·EPV·Graham Number로 교차검증</t>
        </is>
      </c>
    </row>
    <row r="3" ht="24" customHeight="1"/>
    <row r="4" ht="24" customHeight="1">
      <c r="A4" s="21" t="inlineStr">
        <is>
          <t>종합 가치평가 점수</t>
        </is>
      </c>
      <c r="B4" s="22" t="n"/>
      <c r="C4" s="21" t="inlineStr">
        <is>
          <t>가치범위 중앙값</t>
        </is>
      </c>
      <c r="D4" s="22" t="n"/>
      <c r="E4" s="21" t="inlineStr">
        <is>
          <t>안전마진</t>
        </is>
      </c>
      <c r="F4" s="22" t="n"/>
      <c r="G4" s="21" t="inlineStr">
        <is>
          <t>역산 DCF</t>
        </is>
      </c>
      <c r="H4" s="22" t="n"/>
      <c r="I4" s="21" t="inlineStr">
        <is>
          <t>오너 이익</t>
        </is>
      </c>
      <c r="J4" s="22" t="n"/>
      <c r="K4" s="21" t="inlineStr">
        <is>
          <t>검증상태</t>
        </is>
      </c>
      <c r="L4" s="22" t="n"/>
    </row>
    <row r="5" ht="24" customHeight="1">
      <c r="A5" s="23" t="inlineStr">
        <is>
          <t>68.6/100</t>
        </is>
      </c>
      <c r="B5" s="22" t="n"/>
      <c r="C5" s="23" t="inlineStr">
        <is>
          <t>55,394원</t>
        </is>
      </c>
      <c r="D5" s="22" t="n"/>
      <c r="E5" s="23" t="inlineStr">
        <is>
          <t>2.0%</t>
        </is>
      </c>
      <c r="F5" s="22" t="n"/>
      <c r="G5" s="23" t="inlineStr">
        <is>
          <t>해당 없음</t>
        </is>
      </c>
      <c r="H5" s="22" t="n"/>
      <c r="I5" s="23" t="inlineStr">
        <is>
          <t>30,763원</t>
        </is>
      </c>
      <c r="J5" s="22" t="n"/>
      <c r="K5" s="23" t="inlineStr">
        <is>
          <t>FAIL</t>
        </is>
      </c>
      <c r="L5" s="22" t="n"/>
    </row>
    <row r="6" ht="24" customHeight="1">
      <c r="A6" s="24" t="inlineStr">
        <is>
          <t>복수 방법 교차검증</t>
        </is>
      </c>
      <c r="B6" s="22" t="n"/>
      <c r="C6" s="24" t="inlineStr">
        <is>
          <t>중립권</t>
        </is>
      </c>
      <c r="D6" s="22" t="n"/>
      <c r="E6" s="24" t="inlineStr">
        <is>
          <t>중앙값/현재가-1</t>
        </is>
      </c>
      <c r="F6" s="22" t="n"/>
      <c r="G6" s="24" t="inlineStr">
        <is>
          <t>시장가격 내재 성장률</t>
        </is>
      </c>
      <c r="H6" s="22" t="n"/>
      <c r="I6" s="24" t="inlineStr">
        <is>
          <t>보수 현금창출 기준</t>
        </is>
      </c>
      <c r="J6" s="22" t="n"/>
      <c r="K6" s="24" t="inlineStr">
        <is>
          <t>PASS 권장</t>
        </is>
      </c>
      <c r="L6" s="22" t="n"/>
    </row>
    <row r="7" ht="24" customHeight="1"/>
    <row r="8" ht="24" customHeight="1"/>
    <row r="9" ht="24" customHeight="1">
      <c r="A9" s="25" t="inlineStr">
        <is>
          <t>투자자용 해석</t>
        </is>
      </c>
    </row>
    <row r="10" ht="24" customHeight="1">
      <c r="A10" s="28" t="inlineStr">
        <is>
          <t>구분</t>
        </is>
      </c>
      <c r="B10" s="28" t="inlineStr">
        <is>
          <t>내용</t>
        </is>
      </c>
    </row>
    <row r="11" ht="24" customHeight="1">
      <c r="A11" s="27" t="inlineStr">
        <is>
          <t>결론</t>
        </is>
      </c>
      <c r="B11" s="27" t="inlineStr">
        <is>
          <t>핵심 지표는 중립권이나 일부 우호 요인이 있습니다.</t>
        </is>
      </c>
    </row>
    <row r="12" ht="24" customHeight="1">
      <c r="A12" s="32" t="inlineStr">
        <is>
          <t>핵심 산식</t>
        </is>
      </c>
      <c r="B12" s="32" t="inlineStr">
        <is>
          <t>DCF + 피어 멀티플 가치범위표 + 역산 DCF + 오너 이익/EPV + 시장내재 배수 + 데이터 커버리지</t>
        </is>
      </c>
    </row>
    <row r="13" ht="24" customHeight="1">
      <c r="A13" s="27" t="inlineStr">
        <is>
          <t>사용 이유</t>
        </is>
      </c>
      <c r="B13" s="27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32" t="inlineStr">
        <is>
          <t>대시보드 활용</t>
        </is>
      </c>
      <c r="B14" s="32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5" t="inlineStr">
        <is>
          <t>방법별 내재가격 요약</t>
        </is>
      </c>
    </row>
    <row r="18" ht="24" customHeight="1">
      <c r="A18" s="28" t="inlineStr">
        <is>
          <t>방법 코드</t>
        </is>
      </c>
      <c r="B18" s="28" t="inlineStr">
        <is>
          <t>가치평가 방법</t>
        </is>
      </c>
      <c r="C18" s="28" t="inlineStr">
        <is>
          <t>하단 지분가치</t>
        </is>
      </c>
      <c r="D18" s="28" t="inlineStr">
        <is>
          <t>중앙 지분가치</t>
        </is>
      </c>
      <c r="E18" s="28" t="inlineStr">
        <is>
          <t>상단 지분가치</t>
        </is>
      </c>
      <c r="F18" s="28" t="inlineStr">
        <is>
          <t>하단 주당가치</t>
        </is>
      </c>
      <c r="G18" s="28" t="inlineStr">
        <is>
          <t>중앙 주당가치</t>
        </is>
      </c>
      <c r="H18" s="28" t="inlineStr">
        <is>
          <t>상단 주당가치</t>
        </is>
      </c>
      <c r="I18" s="28" t="inlineStr">
        <is>
          <t>현재가</t>
        </is>
      </c>
      <c r="J18" s="28" t="inlineStr">
        <is>
          <t>현재가 대비</t>
        </is>
      </c>
      <c r="K18" s="28" t="inlineStr">
        <is>
          <t>해석</t>
        </is>
      </c>
      <c r="L18" s="28" t="inlineStr">
        <is>
          <t>출처</t>
        </is>
      </c>
      <c r="M18" s="28" t="inlineStr">
        <is>
          <t>신뢰도</t>
        </is>
      </c>
    </row>
    <row r="19" ht="24" customHeight="1">
      <c r="A19" s="27" t="inlineStr">
        <is>
          <t>PBR_COMP</t>
        </is>
      </c>
      <c r="B19" s="27" t="inlineStr">
        <is>
          <t>P/B 상대가치</t>
        </is>
      </c>
      <c r="C19" s="33" t="n">
        <v>2837228343668.168</v>
      </c>
      <c r="D19" s="33" t="n">
        <v>2861783712133.849</v>
      </c>
      <c r="E19" s="33" t="n">
        <v>4236951662440.529</v>
      </c>
      <c r="F19" s="33" t="n">
        <v>55183.43414345707</v>
      </c>
      <c r="G19" s="33" t="n">
        <v>55661.03037275537</v>
      </c>
      <c r="H19" s="33" t="n">
        <v>82407.72849851502</v>
      </c>
      <c r="I19" s="33" t="n">
        <v>54300</v>
      </c>
      <c r="J19" s="38" t="n">
        <v>0.02506501607284295</v>
      </c>
      <c r="K19" s="27" t="inlineStr">
        <is>
          <t>중립권</t>
        </is>
      </c>
      <c r="L19" s="27" t="inlineStr">
        <is>
          <t>시가총액/자본 피어 비교</t>
        </is>
      </c>
      <c r="M19" s="27" t="inlineStr">
        <is>
          <t>피어 중앙값 기반</t>
        </is>
      </c>
    </row>
    <row r="20" ht="24" customHeight="1">
      <c r="A20" s="32" t="inlineStr">
        <is>
          <t>PER_COMP</t>
        </is>
      </c>
      <c r="B20" s="32" t="inlineStr">
        <is>
          <t>PER 상대가치</t>
        </is>
      </c>
      <c r="C20" s="34" t="n">
        <v>1925969297799.27</v>
      </c>
      <c r="D20" s="34" t="n">
        <v>2240509892284.61</v>
      </c>
      <c r="E20" s="34" t="n">
        <v>2975966304341.821</v>
      </c>
      <c r="F20" s="34" t="n">
        <v>37459.65676136519</v>
      </c>
      <c r="G20" s="34" t="n">
        <v>43577.39847220144</v>
      </c>
      <c r="H20" s="34" t="n">
        <v>57881.85534495042</v>
      </c>
      <c r="I20" s="34" t="n">
        <v>54300</v>
      </c>
      <c r="J20" s="39" t="n">
        <v>-0.197469641395922</v>
      </c>
      <c r="K20" s="32" t="inlineStr">
        <is>
          <t>중립권</t>
        </is>
      </c>
      <c r="L20" s="32" t="inlineStr">
        <is>
          <t>시가총액/순이익 피어 비교</t>
        </is>
      </c>
      <c r="M20" s="32" t="inlineStr">
        <is>
          <t>피어 중앙값 기반</t>
        </is>
      </c>
    </row>
    <row r="21" ht="24" customHeight="1">
      <c r="A21" s="27" t="inlineStr">
        <is>
          <t>PFCF_COMP</t>
        </is>
      </c>
      <c r="B21" s="27" t="inlineStr">
        <is>
          <t>P/FCF 상대가치</t>
        </is>
      </c>
      <c r="C21" s="33" t="n">
        <v>1156308543462.292</v>
      </c>
      <c r="D21" s="33" t="n">
        <v>2834281063919.161</v>
      </c>
      <c r="E21" s="33" t="n">
        <v>3278024887237.415</v>
      </c>
      <c r="F21" s="33" t="n">
        <v>22489.93335346824</v>
      </c>
      <c r="G21" s="33" t="n">
        <v>55126.11023496916</v>
      </c>
      <c r="H21" s="33" t="n">
        <v>63756.8248213707</v>
      </c>
      <c r="I21" s="33" t="n">
        <v>54300</v>
      </c>
      <c r="J21" s="38" t="n">
        <v>0.01521381648193665</v>
      </c>
      <c r="K21" s="27" t="inlineStr">
        <is>
          <t>중립권</t>
        </is>
      </c>
      <c r="L21" s="27" t="inlineStr">
        <is>
          <t>시가총액/FCF 피어 비교</t>
        </is>
      </c>
      <c r="M21" s="27" t="inlineStr">
        <is>
          <t>피어 중앙값 기반</t>
        </is>
      </c>
    </row>
    <row r="22" ht="24" customHeight="1">
      <c r="A22" s="32" t="inlineStr">
        <is>
          <t>EV_EBIT_COMP</t>
        </is>
      </c>
      <c r="B22" s="32" t="inlineStr">
        <is>
          <t>EV/EBIT 상대가치</t>
        </is>
      </c>
      <c r="C22" s="34" t="n">
        <v>2917440583289.607</v>
      </c>
      <c r="D22" s="34" t="n">
        <v>3281234581434.776</v>
      </c>
      <c r="E22" s="34" t="n">
        <v>7366252166226.978</v>
      </c>
      <c r="F22" s="34" t="n">
        <v>56743.54362584231</v>
      </c>
      <c r="G22" s="34" t="n">
        <v>63819.25263010029</v>
      </c>
      <c r="H22" s="34" t="n">
        <v>143271.8985083657</v>
      </c>
      <c r="I22" s="34" t="n">
        <v>54300</v>
      </c>
      <c r="J22" s="39" t="n">
        <v>0.1753085198913498</v>
      </c>
      <c r="K22" s="32" t="inlineStr">
        <is>
          <t>중립권</t>
        </is>
      </c>
      <c r="L22" s="32" t="inlineStr">
        <is>
          <t>EV/영업이익 피어 비교</t>
        </is>
      </c>
      <c r="M22" s="32" t="inlineStr">
        <is>
          <t>EV 조정 피어 기준</t>
        </is>
      </c>
    </row>
    <row r="23" ht="24" customHeight="1"/>
    <row r="24" ht="24" customHeight="1"/>
    <row r="25" ht="24" customHeight="1">
      <c r="A25" s="25" t="inlineStr">
        <is>
          <t>시장내재 배수 자동산출</t>
        </is>
      </c>
    </row>
    <row r="26" ht="24" customHeight="1">
      <c r="A26" s="28" t="inlineStr">
        <is>
          <t>latest_close</t>
        </is>
      </c>
      <c r="B26" s="28" t="inlineStr">
        <is>
          <t>시가총액</t>
        </is>
      </c>
      <c r="C26" s="28" t="inlineStr">
        <is>
          <t>EV proxy</t>
        </is>
      </c>
      <c r="D26" s="28" t="inlineStr">
        <is>
          <t>psr_market</t>
        </is>
      </c>
      <c r="E26" s="28" t="inlineStr">
        <is>
          <t>pbr_market</t>
        </is>
      </c>
      <c r="F26" s="28" t="inlineStr">
        <is>
          <t>per_market</t>
        </is>
      </c>
      <c r="G26" s="28" t="inlineStr">
        <is>
          <t>p_fcf_market</t>
        </is>
      </c>
      <c r="H26" s="28" t="inlineStr">
        <is>
          <t>ev_sales_market</t>
        </is>
      </c>
      <c r="I26" s="28" t="inlineStr">
        <is>
          <t>ev_ebit_market</t>
        </is>
      </c>
      <c r="J26" s="28" t="inlineStr">
        <is>
          <t>eps_derived</t>
        </is>
      </c>
      <c r="K26" s="28" t="inlineStr">
        <is>
          <t>bps_derived</t>
        </is>
      </c>
      <c r="L26" s="28" t="inlineStr">
        <is>
          <t>fcf_yield_market</t>
        </is>
      </c>
      <c r="M26" s="28" t="inlineStr">
        <is>
          <t>sales_yield_market</t>
        </is>
      </c>
      <c r="N26" s="28" t="inlineStr">
        <is>
          <t>source_kr</t>
        </is>
      </c>
    </row>
    <row r="27" ht="24" customHeight="1">
      <c r="A27" s="33" t="n">
        <v>54300</v>
      </c>
      <c r="B27" s="33" t="n">
        <v>2791807024200</v>
      </c>
      <c r="C27" s="33" t="n">
        <v>3324445553028</v>
      </c>
      <c r="D27" s="27" t="inlineStr">
        <is>
          <t>해당 없음</t>
        </is>
      </c>
      <c r="E27" s="45" t="n">
        <v>2.534364889497414</v>
      </c>
      <c r="F27" s="45" t="n">
        <v>29.67096377121527</v>
      </c>
      <c r="G27" s="45" t="n">
        <v>14.92862599303233</v>
      </c>
      <c r="H27" s="27" t="inlineStr">
        <is>
          <t>해당 없음</t>
        </is>
      </c>
      <c r="I27" s="45" t="n">
        <v>19.27786003702892</v>
      </c>
      <c r="J27" s="33" t="n">
        <v>1830.071999638857</v>
      </c>
      <c r="K27" s="33" t="n">
        <v>21425.48621353737</v>
      </c>
      <c r="L27" s="38" t="n">
        <v>0.06698540109898474</v>
      </c>
      <c r="M27" s="27" t="inlineStr">
        <is>
          <t>해당 없음</t>
        </is>
      </c>
      <c r="N27" s="27" t="inlineStr">
        <is>
          <t>DART 정규화 재무제표 + Valuation Agent 주가/발행주식 수 intake로 자동 산출</t>
        </is>
      </c>
    </row>
    <row r="28" ht="24" customHeight="1"/>
    <row r="29" ht="24" customHeight="1"/>
    <row r="30" ht="24" customHeight="1">
      <c r="A30" s="25" t="inlineStr">
        <is>
          <t>품질 진단 체크</t>
        </is>
      </c>
    </row>
    <row r="31" ht="24" customHeight="1">
      <c r="A31" s="28" t="inlineStr">
        <is>
          <t>진단항목</t>
        </is>
      </c>
      <c r="B31" s="28" t="inlineStr">
        <is>
          <t>상태</t>
        </is>
      </c>
      <c r="C31" s="28" t="inlineStr">
        <is>
          <t>근거값</t>
        </is>
      </c>
      <c r="D31" s="28" t="inlineStr">
        <is>
          <t>해석</t>
        </is>
      </c>
    </row>
    <row r="32" ht="24" customHeight="1">
      <c r="A32" s="27" t="inlineStr">
        <is>
          <t>재무제표 기간</t>
        </is>
      </c>
      <c r="B32" s="27" t="inlineStr">
        <is>
          <t>충분</t>
        </is>
      </c>
      <c r="C32" s="33" t="n">
        <v>5</v>
      </c>
      <c r="D32" s="27" t="inlineStr">
        <is>
          <t>5개년이면 DCF 추세 가정과 CAGR 산정에 충분합니다.</t>
        </is>
      </c>
    </row>
    <row r="33" ht="24" customHeight="1">
      <c r="A33" s="32" t="inlineStr">
        <is>
          <t>주가 이력</t>
        </is>
      </c>
      <c r="B33" s="32" t="inlineStr">
        <is>
          <t>충분</t>
        </is>
      </c>
      <c r="C33" s="34" t="n">
        <v>1221</v>
      </c>
      <c r="D33" s="32" t="inlineStr">
        <is>
          <t>현재가, 52주 범위, MDD, 변동성, 거래대금 지표 품질을 좌우합니다.</t>
        </is>
      </c>
    </row>
    <row r="34" ht="24" customHeight="1">
      <c r="A34" s="27" t="inlineStr">
        <is>
          <t>가치평가 방법 수</t>
        </is>
      </c>
      <c r="B34" s="27" t="inlineStr">
        <is>
          <t>사용 가능</t>
        </is>
      </c>
      <c r="C34" s="33" t="n">
        <v>4</v>
      </c>
      <c r="D34" s="27" t="inlineStr">
        <is>
          <t>DCF 하나가 아니라 상대가치·EV 멀티플·현금창출 지표까지 교차검증합니다.</t>
        </is>
      </c>
    </row>
    <row r="35" ht="24" customHeight="1">
      <c r="A35" s="32" t="inlineStr">
        <is>
          <t>수익성</t>
        </is>
      </c>
      <c r="B35" s="32" t="inlineStr">
        <is>
          <t>주의</t>
        </is>
      </c>
      <c r="C35" s="32" t="inlineStr">
        <is>
          <t>해당 없음</t>
        </is>
      </c>
      <c r="D35" s="32" t="inlineStr">
        <is>
          <t>영업이익률이 높을수록 DCF의 현금흐름 안정성이 높습니다.</t>
        </is>
      </c>
    </row>
    <row r="36" ht="24" customHeight="1">
      <c r="A36" s="27" t="inlineStr">
        <is>
          <t>현금창출</t>
        </is>
      </c>
      <c r="B36" s="27" t="inlineStr">
        <is>
          <t>주의</t>
        </is>
      </c>
      <c r="C36" s="27" t="inlineStr">
        <is>
          <t>해당 없음</t>
        </is>
      </c>
      <c r="D36" s="27" t="inlineStr">
        <is>
          <t>FCF margin과 오너 이익 수익률이 DCF 품질의 핵심입니다.</t>
        </is>
      </c>
    </row>
    <row r="37" ht="24" customHeight="1">
      <c r="A37" s="32" t="inlineStr">
        <is>
          <t>재무 레버리지</t>
        </is>
      </c>
      <c r="B37" s="32" t="inlineStr">
        <is>
          <t>보수적</t>
        </is>
      </c>
      <c r="C37" s="34" t="n">
        <v>0.8211385028350476</v>
      </c>
      <c r="D37" s="32" t="inlineStr">
        <is>
          <t>부채/자본이 높으면 WACC와 지분가치 산정에 보수 가정을 적용합니다.</t>
        </is>
      </c>
    </row>
    <row r="38" ht="24" customHeight="1">
      <c r="A38" s="27" t="inlineStr">
        <is>
          <t>시장 내재가정</t>
        </is>
      </c>
      <c r="B38" s="27" t="inlineStr">
        <is>
          <t>보조 산출 필요</t>
        </is>
      </c>
      <c r="C38" s="27" t="inlineStr">
        <is>
          <t>해당 없음</t>
        </is>
      </c>
      <c r="D38" s="27" t="inlineStr">
        <is>
          <t>현재 시가총액이 요구하는 영구성장률을 역산해 과도한 기대가 반영됐는지 확인합니다.</t>
        </is>
      </c>
    </row>
    <row r="39" ht="24" customHeight="1">
      <c r="A39" s="32" t="inlineStr">
        <is>
          <t>오너 이익</t>
        </is>
      </c>
      <c r="B39" s="32" t="inlineStr">
        <is>
          <t>계산 완료</t>
        </is>
      </c>
      <c r="C39" s="34" t="n">
        <v>30763.38549380255</v>
      </c>
      <c r="D39" s="32" t="inlineStr">
        <is>
          <t>CFO-CAPEX 또는 FCF 기반 보수 가치가 DCF와 같은 방향인지 확인합니다.</t>
        </is>
      </c>
    </row>
  </sheetData>
  <autoFilter ref="A31:D39"/>
  <mergeCells count="24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30:F30"/>
    <mergeCell ref="A4:B4"/>
    <mergeCell ref="G4:H4"/>
    <mergeCell ref="I4:J4"/>
    <mergeCell ref="A1:L1"/>
    <mergeCell ref="K4:L4"/>
    <mergeCell ref="A25:F25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가치범위표</t>
        </is>
      </c>
    </row>
    <row r="2" ht="28" customHeight="1">
      <c r="A2" s="20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21" t="inlineStr">
        <is>
          <t>현재가</t>
        </is>
      </c>
      <c r="B4" s="22" t="n"/>
      <c r="C4" s="21" t="inlineStr">
        <is>
          <t>하단값</t>
        </is>
      </c>
      <c r="D4" s="22" t="n"/>
      <c r="E4" s="21" t="inlineStr">
        <is>
          <t>중앙값</t>
        </is>
      </c>
      <c r="F4" s="22" t="n"/>
      <c r="G4" s="21" t="inlineStr">
        <is>
          <t>상단값</t>
        </is>
      </c>
      <c r="H4" s="22" t="n"/>
      <c r="I4" s="21" t="inlineStr">
        <is>
          <t>방법 수</t>
        </is>
      </c>
      <c r="J4" s="22" t="n"/>
      <c r="K4" s="21" t="inlineStr">
        <is>
          <t>안전마진</t>
        </is>
      </c>
      <c r="L4" s="22" t="n"/>
    </row>
    <row r="5" ht="24" customHeight="1">
      <c r="A5" s="23" t="inlineStr">
        <is>
          <t>54,300원</t>
        </is>
      </c>
      <c r="B5" s="22" t="n"/>
      <c r="C5" s="23" t="inlineStr">
        <is>
          <t>52,239원</t>
        </is>
      </c>
      <c r="D5" s="22" t="n"/>
      <c r="E5" s="23" t="inlineStr">
        <is>
          <t>55,394원</t>
        </is>
      </c>
      <c r="F5" s="22" t="n"/>
      <c r="G5" s="23" t="inlineStr">
        <is>
          <t>57,701원</t>
        </is>
      </c>
      <c r="H5" s="22" t="n"/>
      <c r="I5" s="23" t="inlineStr">
        <is>
          <t>4</t>
        </is>
      </c>
      <c r="J5" s="22" t="n"/>
      <c r="K5" s="23" t="inlineStr">
        <is>
          <t>2.0%</t>
        </is>
      </c>
      <c r="L5" s="22" t="n"/>
    </row>
    <row r="6" ht="24" customHeight="1">
      <c r="A6" s="24" t="inlineStr">
        <is>
          <t>시장 기준</t>
        </is>
      </c>
      <c r="B6" s="22" t="n"/>
      <c r="C6" s="24" t="inlineStr">
        <is>
          <t>25% 분위</t>
        </is>
      </c>
      <c r="D6" s="22" t="n"/>
      <c r="E6" s="24" t="inlineStr">
        <is>
          <t>50% 분위</t>
        </is>
      </c>
      <c r="F6" s="22" t="n"/>
      <c r="G6" s="24" t="inlineStr">
        <is>
          <t>75% 분위</t>
        </is>
      </c>
      <c r="H6" s="22" t="n"/>
      <c r="I6" s="24" t="inlineStr">
        <is>
          <t>산출 가능한 방법</t>
        </is>
      </c>
      <c r="J6" s="22" t="n"/>
      <c r="K6" s="24" t="inlineStr">
        <is>
          <t>중앙값 기준</t>
        </is>
      </c>
      <c r="L6" s="22" t="n"/>
    </row>
    <row r="7" ht="24" customHeight="1"/>
    <row r="8" ht="24" customHeight="1"/>
    <row r="9" ht="24" customHeight="1">
      <c r="A9" s="25" t="inlineStr">
        <is>
          <t>가치평가 방법별 Low/Base/High</t>
        </is>
      </c>
    </row>
    <row r="10" ht="24" customHeight="1">
      <c r="A10" s="28" t="inlineStr">
        <is>
          <t>방법 코드</t>
        </is>
      </c>
      <c r="B10" s="28" t="inlineStr">
        <is>
          <t>가치평가 방법</t>
        </is>
      </c>
      <c r="C10" s="28" t="inlineStr">
        <is>
          <t>하단 지분가치</t>
        </is>
      </c>
      <c r="D10" s="28" t="inlineStr">
        <is>
          <t>중앙 지분가치</t>
        </is>
      </c>
      <c r="E10" s="28" t="inlineStr">
        <is>
          <t>상단 지분가치</t>
        </is>
      </c>
      <c r="F10" s="28" t="inlineStr">
        <is>
          <t>하단 주당가치</t>
        </is>
      </c>
      <c r="G10" s="28" t="inlineStr">
        <is>
          <t>중앙 주당가치</t>
        </is>
      </c>
      <c r="H10" s="28" t="inlineStr">
        <is>
          <t>상단 주당가치</t>
        </is>
      </c>
      <c r="I10" s="28" t="inlineStr">
        <is>
          <t>현재가</t>
        </is>
      </c>
      <c r="J10" s="28" t="inlineStr">
        <is>
          <t>현재가 대비</t>
        </is>
      </c>
      <c r="K10" s="28" t="inlineStr">
        <is>
          <t>해석</t>
        </is>
      </c>
      <c r="L10" s="28" t="inlineStr">
        <is>
          <t>출처</t>
        </is>
      </c>
      <c r="M10" s="28" t="inlineStr">
        <is>
          <t>신뢰도</t>
        </is>
      </c>
    </row>
    <row r="11" ht="24" customHeight="1">
      <c r="A11" s="27" t="inlineStr">
        <is>
          <t>PBR_COMP</t>
        </is>
      </c>
      <c r="B11" s="27" t="inlineStr">
        <is>
          <t>P/B 상대가치</t>
        </is>
      </c>
      <c r="C11" s="33" t="n">
        <v>2837228343668.168</v>
      </c>
      <c r="D11" s="33" t="n">
        <v>2861783712133.849</v>
      </c>
      <c r="E11" s="33" t="n">
        <v>4236951662440.529</v>
      </c>
      <c r="F11" s="33" t="n">
        <v>55183.43414345707</v>
      </c>
      <c r="G11" s="33" t="n">
        <v>55661.03037275537</v>
      </c>
      <c r="H11" s="33" t="n">
        <v>82407.72849851502</v>
      </c>
      <c r="I11" s="33" t="n">
        <v>54300</v>
      </c>
      <c r="J11" s="38" t="n">
        <v>0.02506501607284295</v>
      </c>
      <c r="K11" s="27" t="inlineStr">
        <is>
          <t>중립권</t>
        </is>
      </c>
      <c r="L11" s="27" t="inlineStr">
        <is>
          <t>시가총액/자본 피어 비교</t>
        </is>
      </c>
      <c r="M11" s="27" t="inlineStr">
        <is>
          <t>피어 중앙값 기반</t>
        </is>
      </c>
    </row>
    <row r="12" ht="24" customHeight="1">
      <c r="A12" s="32" t="inlineStr">
        <is>
          <t>PER_COMP</t>
        </is>
      </c>
      <c r="B12" s="32" t="inlineStr">
        <is>
          <t>PER 상대가치</t>
        </is>
      </c>
      <c r="C12" s="34" t="n">
        <v>1925969297799.27</v>
      </c>
      <c r="D12" s="34" t="n">
        <v>2240509892284.61</v>
      </c>
      <c r="E12" s="34" t="n">
        <v>2975966304341.821</v>
      </c>
      <c r="F12" s="34" t="n">
        <v>37459.65676136519</v>
      </c>
      <c r="G12" s="34" t="n">
        <v>43577.39847220144</v>
      </c>
      <c r="H12" s="34" t="n">
        <v>57881.85534495042</v>
      </c>
      <c r="I12" s="34" t="n">
        <v>54300</v>
      </c>
      <c r="J12" s="39" t="n">
        <v>-0.197469641395922</v>
      </c>
      <c r="K12" s="32" t="inlineStr">
        <is>
          <t>중립권</t>
        </is>
      </c>
      <c r="L12" s="32" t="inlineStr">
        <is>
          <t>시가총액/순이익 피어 비교</t>
        </is>
      </c>
      <c r="M12" s="32" t="inlineStr">
        <is>
          <t>피어 중앙값 기반</t>
        </is>
      </c>
    </row>
    <row r="13" ht="24" customHeight="1">
      <c r="A13" s="27" t="inlineStr">
        <is>
          <t>PFCF_COMP</t>
        </is>
      </c>
      <c r="B13" s="27" t="inlineStr">
        <is>
          <t>P/FCF 상대가치</t>
        </is>
      </c>
      <c r="C13" s="33" t="n">
        <v>1156308543462.292</v>
      </c>
      <c r="D13" s="33" t="n">
        <v>2834281063919.161</v>
      </c>
      <c r="E13" s="33" t="n">
        <v>3278024887237.415</v>
      </c>
      <c r="F13" s="33" t="n">
        <v>22489.93335346824</v>
      </c>
      <c r="G13" s="33" t="n">
        <v>55126.11023496916</v>
      </c>
      <c r="H13" s="33" t="n">
        <v>63756.8248213707</v>
      </c>
      <c r="I13" s="33" t="n">
        <v>54300</v>
      </c>
      <c r="J13" s="38" t="n">
        <v>0.01521381648193665</v>
      </c>
      <c r="K13" s="27" t="inlineStr">
        <is>
          <t>중립권</t>
        </is>
      </c>
      <c r="L13" s="27" t="inlineStr">
        <is>
          <t>시가총액/FCF 피어 비교</t>
        </is>
      </c>
      <c r="M13" s="27" t="inlineStr">
        <is>
          <t>피어 중앙값 기반</t>
        </is>
      </c>
    </row>
    <row r="14" ht="24" customHeight="1">
      <c r="A14" s="32" t="inlineStr">
        <is>
          <t>EV_EBIT_COMP</t>
        </is>
      </c>
      <c r="B14" s="32" t="inlineStr">
        <is>
          <t>EV/EBIT 상대가치</t>
        </is>
      </c>
      <c r="C14" s="34" t="n">
        <v>2917440583289.607</v>
      </c>
      <c r="D14" s="34" t="n">
        <v>3281234581434.776</v>
      </c>
      <c r="E14" s="34" t="n">
        <v>7366252166226.978</v>
      </c>
      <c r="F14" s="34" t="n">
        <v>56743.54362584231</v>
      </c>
      <c r="G14" s="34" t="n">
        <v>63819.25263010029</v>
      </c>
      <c r="H14" s="34" t="n">
        <v>143271.8985083657</v>
      </c>
      <c r="I14" s="34" t="n">
        <v>54300</v>
      </c>
      <c r="J14" s="39" t="n">
        <v>0.1753085198913498</v>
      </c>
      <c r="K14" s="32" t="inlineStr">
        <is>
          <t>중립권</t>
        </is>
      </c>
      <c r="L14" s="32" t="inlineStr">
        <is>
          <t>EV/영업이익 피어 비교</t>
        </is>
      </c>
      <c r="M14" s="32" t="inlineStr">
        <is>
          <t>EV 조정 피어 기준</t>
        </is>
      </c>
    </row>
    <row r="15" ht="24" customHeight="1"/>
    <row r="16" ht="24" customHeight="1"/>
    <row r="17" ht="24" customHeight="1">
      <c r="A17" s="25" t="inlineStr">
        <is>
          <t>사용 가이드</t>
        </is>
      </c>
    </row>
    <row r="18" ht="24" customHeight="1">
      <c r="A18" s="28" t="inlineStr">
        <is>
          <t>항목</t>
        </is>
      </c>
      <c r="B18" s="28" t="inlineStr">
        <is>
          <t>내용</t>
        </is>
      </c>
    </row>
    <row r="19" ht="24" customHeight="1">
      <c r="A19" s="27" t="inlineStr">
        <is>
          <t>해석 방법</t>
        </is>
      </c>
      <c r="B19" s="27" t="inlineStr">
        <is>
          <t>한 방법만 우호적이면 확신도가 낮고, 여러 방법의 중앙값이 현재가보다 높으면 상대적으로 우호적입니다.</t>
        </is>
      </c>
    </row>
    <row r="20" ht="24" customHeight="1">
      <c r="A20" s="32" t="inlineStr">
        <is>
          <t>주의</t>
        </is>
      </c>
      <c r="B20" s="32" t="inlineStr">
        <is>
          <t>PER/PBR/EV/EBIT는 적자·음수 지표에서 자동 제외됩니다. 제외 사유는 빈칸이 아니라 해당 없음으로 표시됩니다.</t>
        </is>
      </c>
    </row>
  </sheetData>
  <autoFilter ref="A18:B20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역산 DCF·오너 이익</t>
        </is>
      </c>
    </row>
    <row r="2" ht="28" customHeight="1">
      <c r="A2" s="20" t="inlineStr">
        <is>
          <t>현재 주가가 요구하는 성장률과 현금창출 기준 보수 가치를 점검</t>
        </is>
      </c>
    </row>
    <row r="3" ht="24" customHeight="1"/>
    <row r="4" ht="24" customHeight="1">
      <c r="A4" s="21" t="inlineStr">
        <is>
          <t>시장 내재 EV</t>
        </is>
      </c>
      <c r="B4" s="22" t="n"/>
      <c r="C4" s="21" t="inlineStr">
        <is>
          <t>모델 EV</t>
        </is>
      </c>
      <c r="D4" s="22" t="n"/>
      <c r="E4" s="21" t="inlineStr">
        <is>
          <t>EV 괴리</t>
        </is>
      </c>
      <c r="F4" s="22" t="n"/>
      <c r="G4" s="21" t="inlineStr">
        <is>
          <t>요구 FCF 수익률</t>
        </is>
      </c>
      <c r="H4" s="22" t="n"/>
      <c r="I4" s="21" t="inlineStr">
        <is>
          <t>역산 성장률</t>
        </is>
      </c>
      <c r="J4" s="22" t="n"/>
    </row>
    <row r="5" ht="24" customHeight="1">
      <c r="A5" s="23" t="inlineStr">
        <is>
          <t>33,244.5억원</t>
        </is>
      </c>
      <c r="B5" s="22" t="n"/>
      <c r="C5" s="23" t="inlineStr">
        <is>
          <t>해당 없음</t>
        </is>
      </c>
      <c r="D5" s="22" t="n"/>
      <c r="E5" s="23" t="inlineStr">
        <is>
          <t>해당 없음</t>
        </is>
      </c>
      <c r="F5" s="22" t="n"/>
      <c r="G5" s="23" t="inlineStr">
        <is>
          <t>5.6%</t>
        </is>
      </c>
      <c r="H5" s="22" t="n"/>
      <c r="I5" s="23" t="inlineStr">
        <is>
          <t>해당 없음</t>
        </is>
      </c>
      <c r="J5" s="22" t="n"/>
    </row>
    <row r="6" ht="24" customHeight="1">
      <c r="A6" s="24" t="inlineStr">
        <is>
          <t>시가총액+부채-현금</t>
        </is>
      </c>
      <c r="B6" s="22" t="n"/>
      <c r="C6" s="24" t="inlineStr">
        <is>
          <t>DCF 산출 EV</t>
        </is>
      </c>
      <c r="D6" s="22" t="n"/>
      <c r="E6" s="24" t="inlineStr">
        <is>
          <t>시장/모델-1</t>
        </is>
      </c>
      <c r="F6" s="22" t="n"/>
      <c r="G6" s="24" t="inlineStr">
        <is>
          <t>FCF/시장내재 EV</t>
        </is>
      </c>
      <c r="H6" s="22" t="n"/>
      <c r="I6" s="24" t="inlineStr">
        <is>
          <t>시장가격 내재</t>
        </is>
      </c>
      <c r="J6" s="22" t="n"/>
    </row>
    <row r="7" ht="24" customHeight="1"/>
    <row r="8" ht="24" customHeight="1"/>
    <row r="9" ht="24" customHeight="1">
      <c r="A9" s="25" t="inlineStr">
        <is>
          <t>역산 DCF 핵심값</t>
        </is>
      </c>
    </row>
    <row r="10" ht="24" customHeight="1">
      <c r="A10" s="28" t="inlineStr">
        <is>
          <t>현재가</t>
        </is>
      </c>
      <c r="B10" s="28" t="inlineStr">
        <is>
          <t>시가총액</t>
        </is>
      </c>
      <c r="C10" s="28" t="inlineStr">
        <is>
          <t>시장 내재 EV</t>
        </is>
      </c>
      <c r="D10" s="28" t="inlineStr">
        <is>
          <t>모델 EV</t>
        </is>
      </c>
      <c r="E10" s="28" t="inlineStr">
        <is>
          <t>시장/모델 EV 괴리</t>
        </is>
      </c>
      <c r="F10" s="28" t="inlineStr">
        <is>
          <t>요구 FCF 수익률</t>
        </is>
      </c>
      <c r="G10" s="28" t="inlineStr">
        <is>
          <t>역산 영구성장률</t>
        </is>
      </c>
      <c r="H10" s="28" t="inlineStr">
        <is>
          <t>wacc_used</t>
        </is>
      </c>
      <c r="I10" s="28" t="inlineStr">
        <is>
          <t>해석</t>
        </is>
      </c>
    </row>
    <row r="11" ht="24" customHeight="1">
      <c r="A11" s="33" t="n">
        <v>54300</v>
      </c>
      <c r="B11" s="33" t="n">
        <v>2791807024200</v>
      </c>
      <c r="C11" s="33" t="n">
        <v>3324445553028</v>
      </c>
      <c r="D11" s="27" t="inlineStr">
        <is>
          <t>해당 없음</t>
        </is>
      </c>
      <c r="E11" s="27" t="inlineStr">
        <is>
          <t>해당 없음</t>
        </is>
      </c>
      <c r="F11" s="38" t="n">
        <v>0.05625308350641076</v>
      </c>
      <c r="G11" s="27" t="inlineStr">
        <is>
          <t>해당 없음</t>
        </is>
      </c>
      <c r="H11" s="33" t="n">
        <v>0.1182349478540854</v>
      </c>
      <c r="I11" s="27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5" t="inlineStr">
        <is>
          <t>오너 이익 / EPV / Graham Number</t>
        </is>
      </c>
    </row>
    <row r="15" ht="24" customHeight="1">
      <c r="A15" s="28" t="inlineStr">
        <is>
          <t>오너 이익</t>
        </is>
      </c>
      <c r="B15" s="28" t="inlineStr">
        <is>
          <t>owner_earnings_method_kr</t>
        </is>
      </c>
      <c r="C15" s="28" t="inlineStr">
        <is>
          <t>오너 이익 수익률</t>
        </is>
      </c>
      <c r="D15" s="28" t="inlineStr">
        <is>
          <t>owner_earnings_value</t>
        </is>
      </c>
      <c r="E15" s="28" t="inlineStr">
        <is>
          <t>오너 이익 주당가치</t>
        </is>
      </c>
      <c r="F15" s="28" t="inlineStr">
        <is>
          <t>epv_equity_value</t>
        </is>
      </c>
      <c r="G15" s="28" t="inlineStr">
        <is>
          <t>EPV 주당가치</t>
        </is>
      </c>
      <c r="H15" s="28" t="inlineStr">
        <is>
          <t>eps</t>
        </is>
      </c>
      <c r="I15" s="28" t="inlineStr">
        <is>
          <t>bps</t>
        </is>
      </c>
      <c r="J15" s="28" t="inlineStr">
        <is>
          <t>Graham Number</t>
        </is>
      </c>
      <c r="K15" s="28" t="inlineStr">
        <is>
          <t>method_note_kr</t>
        </is>
      </c>
    </row>
    <row r="16" ht="24" customHeight="1">
      <c r="A16" s="33" t="n">
        <v>187010313307</v>
      </c>
      <c r="B16" s="27" t="inlineStr">
        <is>
          <t>FCF = CFO - CAPEX</t>
        </is>
      </c>
      <c r="C16" s="38" t="n">
        <v>0.06698540109898474</v>
      </c>
      <c r="D16" s="33" t="n">
        <v>1581683898890.798</v>
      </c>
      <c r="E16" s="33" t="n">
        <v>30763.38549380255</v>
      </c>
      <c r="F16" s="33" t="n">
        <v>575842155675.7351</v>
      </c>
      <c r="G16" s="33" t="n">
        <v>11199.99655497407</v>
      </c>
      <c r="H16" s="33" t="n">
        <v>1830.071999638857</v>
      </c>
      <c r="I16" s="33" t="n">
        <v>21425.48621353737</v>
      </c>
      <c r="J16" s="33" t="n">
        <v>29702.34172512278</v>
      </c>
      <c r="K16" s="27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5" t="inlineStr">
        <is>
          <t>해석 가이드</t>
        </is>
      </c>
    </row>
    <row r="20" ht="24" customHeight="1">
      <c r="A20" s="28" t="inlineStr">
        <is>
          <t>항목</t>
        </is>
      </c>
      <c r="B20" s="28" t="inlineStr">
        <is>
          <t>내용</t>
        </is>
      </c>
    </row>
    <row r="21" ht="24" customHeight="1">
      <c r="A21" s="27" t="inlineStr">
        <is>
          <t>역산 DCF</t>
        </is>
      </c>
      <c r="B21" s="27" t="inlineStr">
        <is>
          <t>현재 주가를 정당화하려면 어떤 영구성장률·FCF 수익률이 필요한지 역산합니다.</t>
        </is>
      </c>
    </row>
    <row r="22" ht="24" customHeight="1">
      <c r="A22" s="32" t="inlineStr">
        <is>
          <t>오너 이익</t>
        </is>
      </c>
      <c r="B22" s="32" t="inlineStr">
        <is>
          <t>CFO-CAPEX 또는 FCF를 기반으로 보수적 현금창출 가치를 계산합니다.</t>
        </is>
      </c>
    </row>
    <row r="23" ht="24" customHeight="1">
      <c r="A23" s="27" t="inlineStr">
        <is>
          <t>EPV</t>
        </is>
      </c>
      <c r="B23" s="27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9" t="inlineStr">
        <is>
          <t>동진쎄미켐 데이터 수집현황·보강경로</t>
        </is>
      </c>
    </row>
    <row r="2" ht="28" customHeight="1">
      <c r="A2" s="20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5" t="inlineStr">
        <is>
          <t>데이터 블록별 확보 상태</t>
        </is>
      </c>
    </row>
    <row r="5" ht="24" customHeight="1">
      <c r="A5" s="28" t="inlineStr">
        <is>
          <t>데이터블록</t>
        </is>
      </c>
      <c r="B5" s="28" t="inlineStr">
        <is>
          <t>상태</t>
        </is>
      </c>
      <c r="C5" s="28" t="inlineStr">
        <is>
          <t>수집경로</t>
        </is>
      </c>
      <c r="D5" s="28" t="inlineStr">
        <is>
          <t>가치평가 활용</t>
        </is>
      </c>
      <c r="E5" s="28" t="inlineStr">
        <is>
          <t>대시보드 표시</t>
        </is>
      </c>
    </row>
    <row r="6" ht="24" customHeight="1">
      <c r="A6" s="27" t="inlineStr">
        <is>
          <t>DART 재무제표</t>
        </is>
      </c>
      <c r="B6" s="27" t="inlineStr">
        <is>
          <t>대체 산출 경로 지정</t>
        </is>
      </c>
      <c r="C6" s="27" t="inlineStr">
        <is>
          <t>OpenDART fnlttSinglAcntAll/fnlttSinglAcnt</t>
        </is>
      </c>
      <c r="D6" s="27" t="inlineStr">
        <is>
          <t>매출·자본·순이익·현금흐름 확보</t>
        </is>
      </c>
      <c r="E6" s="27" t="inlineStr">
        <is>
          <t>보완 배지 표시</t>
        </is>
      </c>
    </row>
    <row r="7" ht="24" customHeight="1">
      <c r="A7" s="32" t="inlineStr">
        <is>
          <t>주가 이력</t>
        </is>
      </c>
      <c r="B7" s="32" t="inlineStr">
        <is>
          <t>확보</t>
        </is>
      </c>
      <c r="C7" s="32" t="inlineStr">
        <is>
          <t>yfinance → Yahoo chart → Naver 일별시세 fallback</t>
        </is>
      </c>
      <c r="D7" s="32" t="inlineStr">
        <is>
          <t>현재가·변동성·MDD·거래대금 확보</t>
        </is>
      </c>
      <c r="E7" s="32" t="inlineStr">
        <is>
          <t>표시 가능</t>
        </is>
      </c>
    </row>
    <row r="8" ht="24" customHeight="1">
      <c r="A8" s="27" t="inlineStr">
        <is>
          <t>발행주식 수</t>
        </is>
      </c>
      <c r="B8" s="27" t="inlineStr">
        <is>
          <t>확보</t>
        </is>
      </c>
      <c r="C8" s="27" t="inlineStr">
        <is>
          <t>OpenDART stockTotqySttus</t>
        </is>
      </c>
      <c r="D8" s="27" t="inlineStr">
        <is>
          <t>내재주가·시가총액 계산</t>
        </is>
      </c>
      <c r="E8" s="27" t="inlineStr">
        <is>
          <t>표시 가능</t>
        </is>
      </c>
    </row>
    <row r="9" ht="24" customHeight="1">
      <c r="A9" s="32" t="inlineStr">
        <is>
          <t>피어 멀티플</t>
        </is>
      </c>
      <c r="B9" s="32" t="inlineStr">
        <is>
          <t>확보</t>
        </is>
      </c>
      <c r="C9" s="32" t="inlineStr">
        <is>
          <t>Valuation 전용 live peer intake</t>
        </is>
      </c>
      <c r="D9" s="32" t="inlineStr">
        <is>
          <t>P/S·PER·PBR·EV/Sales 비교</t>
        </is>
      </c>
      <c r="E9" s="32" t="inlineStr">
        <is>
          <t>표시 가능</t>
        </is>
      </c>
    </row>
    <row r="10" ht="24" customHeight="1">
      <c r="A10" s="27" t="inlineStr">
        <is>
          <t>208개 Universe</t>
        </is>
      </c>
      <c r="B10" s="27" t="inlineStr">
        <is>
          <t>확보</t>
        </is>
      </c>
      <c r="C10" s="27" t="inlineStr">
        <is>
          <t>Tech universe 축 복제 + valuation proxy</t>
        </is>
      </c>
      <c r="D10" s="27" t="inlineStr">
        <is>
          <t>대규모 상대 위치 비교</t>
        </is>
      </c>
      <c r="E10" s="27" t="inlineStr">
        <is>
          <t>표시 가능</t>
        </is>
      </c>
    </row>
    <row r="11" ht="24" customHeight="1">
      <c r="A11" s="32" t="inlineStr">
        <is>
          <t>보조 투자지표</t>
        </is>
      </c>
      <c r="B11" s="32" t="inlineStr">
        <is>
          <t>확보</t>
        </is>
      </c>
      <c r="C11" s="32" t="inlineStr">
        <is>
          <t>Naver finance live + DART/주가 자동 산출 fallback</t>
        </is>
      </c>
      <c r="D11" s="32" t="inlineStr">
        <is>
          <t>외부 표시 PER/PBR/EPS/BPS 또는 자체 산출값</t>
        </is>
      </c>
      <c r="E11" s="32" t="inlineStr">
        <is>
          <t>표시 가능</t>
        </is>
      </c>
    </row>
    <row r="12" ht="24" customHeight="1"/>
    <row r="13" ht="24" customHeight="1"/>
    <row r="14" ht="24" customHeight="1">
      <c r="A14" s="25" t="inlineStr">
        <is>
          <t>자동 생성/참조 파일 경로</t>
        </is>
      </c>
    </row>
    <row r="15" ht="24" customHeight="1">
      <c r="A15" s="28" t="inlineStr">
        <is>
          <t>파일구분</t>
        </is>
      </c>
      <c r="B15" s="28" t="inlineStr">
        <is>
          <t>경로</t>
        </is>
      </c>
      <c r="C15" s="28" t="inlineStr">
        <is>
          <t>활용</t>
        </is>
      </c>
    </row>
    <row r="16" ht="24" customHeight="1">
      <c r="A16" s="27" t="inlineStr">
        <is>
          <t>template_catalog_csv</t>
        </is>
      </c>
      <c r="B16" s="27" t="inlineStr">
        <is>
          <t>data/반도체/동진쎄미켐/valuation/intake/valuation_modeling_template_catalog.csv</t>
        </is>
      </c>
      <c r="C16" s="27" t="inlineStr">
        <is>
          <t>Valuation Agent intake/output</t>
        </is>
      </c>
    </row>
    <row r="17" ht="24" customHeight="1">
      <c r="A17" s="32" t="inlineStr">
        <is>
          <t>template_catalog_json</t>
        </is>
      </c>
      <c r="B17" s="32" t="inlineStr">
        <is>
          <t>data/반도체/동진쎄미켐/valuation/intake/valuation_modeling_template_catalog.json</t>
        </is>
      </c>
      <c r="C17" s="32" t="inlineStr">
        <is>
          <t>Valuation Agent intake/output</t>
        </is>
      </c>
    </row>
    <row r="18" ht="24" customHeight="1">
      <c r="A18" s="27" t="inlineStr">
        <is>
          <t>raw_dart_accounts_csv</t>
        </is>
      </c>
      <c r="B18" s="27" t="inlineStr">
        <is>
          <t>data/반도체/동진쎄미켐/valuation/intake/valuation_raw_dart_accounts.csv</t>
        </is>
      </c>
      <c r="C18" s="27" t="inlineStr">
        <is>
          <t>Valuation Agent intake/output</t>
        </is>
      </c>
    </row>
    <row r="19" ht="24" customHeight="1">
      <c r="A19" s="32" t="inlineStr">
        <is>
          <t>normalized_financials_csv</t>
        </is>
      </c>
      <c r="B19" s="32" t="inlineStr">
        <is>
          <t>data/반도체/동진쎄미켐/valuation/intake/valuation_normalized_financials.csv</t>
        </is>
      </c>
      <c r="C19" s="32" t="inlineStr">
        <is>
          <t>Valuation Agent intake/output</t>
        </is>
      </c>
    </row>
    <row r="20" ht="24" customHeight="1">
      <c r="A20" s="27" t="inlineStr">
        <is>
          <t>price_history_csv</t>
        </is>
      </c>
      <c r="B20" s="27" t="inlineStr">
        <is>
          <t>data/반도체/동진쎄미켐/valuation/intake/valuation_price_history.csv</t>
        </is>
      </c>
      <c r="C20" s="27" t="inlineStr">
        <is>
          <t>Valuation Agent intake/output</t>
        </is>
      </c>
    </row>
    <row r="21" ht="24" customHeight="1">
      <c r="A21" s="32" t="inlineStr">
        <is>
          <t>share_count_csv</t>
        </is>
      </c>
      <c r="B21" s="32" t="inlineStr">
        <is>
          <t>data/반도체/동진쎄미켐/valuation/intake/valuation_share_count.csv</t>
        </is>
      </c>
      <c r="C21" s="32" t="inlineStr">
        <is>
          <t>Valuation Agent intake/output</t>
        </is>
      </c>
    </row>
    <row r="22" ht="24" customHeight="1">
      <c r="A22" s="27" t="inlineStr">
        <is>
          <t>price_summary_json</t>
        </is>
      </c>
      <c r="B22" s="27" t="inlineStr">
        <is>
          <t>data/반도체/동진쎄미켐/valuation/intake/valuation_price_summary.json</t>
        </is>
      </c>
      <c r="C22" s="27" t="inlineStr">
        <is>
          <t>Valuation Agent intake/output</t>
        </is>
      </c>
    </row>
    <row r="23" ht="24" customHeight="1">
      <c r="A23" s="32" t="inlineStr">
        <is>
          <t>market_snapshot_json</t>
        </is>
      </c>
      <c r="B23" s="32" t="inlineStr">
        <is>
          <t>data/반도체/동진쎄미켐/valuation/intake/valuation_market_snapshot.json</t>
        </is>
      </c>
      <c r="C23" s="32" t="inlineStr">
        <is>
          <t>Valuation Agent intake/output</t>
        </is>
      </c>
    </row>
    <row r="24" ht="24" customHeight="1">
      <c r="A24" s="27" t="inlineStr">
        <is>
          <t>market_snapshot_csv</t>
        </is>
      </c>
      <c r="B24" s="27" t="inlineStr">
        <is>
          <t>data/반도체/동진쎄미켐/valuation/intake/valuation_market_snapshot.csv</t>
        </is>
      </c>
      <c r="C24" s="27" t="inlineStr">
        <is>
          <t>Valuation Agent intake/output</t>
        </is>
      </c>
    </row>
    <row r="25" ht="24" customHeight="1">
      <c r="A25" s="32" t="inlineStr">
        <is>
          <t>peer_input_csv</t>
        </is>
      </c>
      <c r="B25" s="32" t="inlineStr">
        <is>
          <t>data/반도체/동진쎄미켐/valuation/intake/valuation_peer_input.csv</t>
        </is>
      </c>
      <c r="C25" s="32" t="inlineStr">
        <is>
          <t>Valuation Agent intake/output</t>
        </is>
      </c>
    </row>
    <row r="26" ht="24" customHeight="1">
      <c r="A26" s="27" t="inlineStr">
        <is>
          <t>assumptions_json</t>
        </is>
      </c>
      <c r="B26" s="27" t="inlineStr">
        <is>
          <t>data/반도체/동진쎄미켐/valuation/intake/valuation_assumptions.json</t>
        </is>
      </c>
      <c r="C26" s="27" t="inlineStr">
        <is>
          <t>Valuation Agent intake/output</t>
        </is>
      </c>
    </row>
    <row r="27" ht="24" customHeight="1">
      <c r="A27" s="32" t="inlineStr">
        <is>
          <t>reference_universe_208_csv</t>
        </is>
      </c>
      <c r="B27" s="32" t="inlineStr">
        <is>
          <t>data/반도체/동진쎄미켐/valuation/intake/valuation_reference_universe_208.csv</t>
        </is>
      </c>
      <c r="C27" s="32" t="inlineStr">
        <is>
          <t>Valuation Agent intake/output</t>
        </is>
      </c>
    </row>
    <row r="28" ht="24" customHeight="1">
      <c r="A28" s="27" t="inlineStr">
        <is>
          <t>reference_universe_focus_csv</t>
        </is>
      </c>
      <c r="B28" s="27" t="inlineStr">
        <is>
          <t>data/반도체/동진쎄미켐/valuation/intake/valuation_reference_universe_focus.csv</t>
        </is>
      </c>
      <c r="C28" s="27" t="inlineStr">
        <is>
          <t>Valuation Agent intake/output</t>
        </is>
      </c>
    </row>
    <row r="29" ht="24" customHeight="1">
      <c r="A29" s="32" t="inlineStr">
        <is>
          <t>reference_universe_summary_json</t>
        </is>
      </c>
      <c r="B29" s="32" t="inlineStr">
        <is>
          <t>data/반도체/동진쎄미켐/valuation/intake/valuation_reference_universe_summary.json</t>
        </is>
      </c>
      <c r="C29" s="32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동진쎄미켐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저평가와 리스크 신호가 혼재되어 있습니다.</t>
        </is>
      </c>
      <c r="E3" t="inlineStr">
        <is>
          <t>검증 상태</t>
        </is>
      </c>
      <c r="F3" t="inlineStr">
        <is>
          <t>FAIL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54,300원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/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/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11.8%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1.22배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3.43배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55,394원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/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30,763원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/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FAIL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동진쎄미켐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28.39배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2.59배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1.22배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14.93배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/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19.28배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51,414,494주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27,918.1억원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562.6억원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0.1182349478540854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inlineStr"/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inlineStr"/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54300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inlineStr"/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inlineStr"/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1.22274433704152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3.430171921382347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-0.6435326377026727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0.8100000000000001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0.5127024634609597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2791807024200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51414494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56257479630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0.006665921870202593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55.43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61.84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 이상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68.61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55393.57030386227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0.0201394162773898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inlineStr"/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30763.38549380255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inlineStr"/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2.534364889497414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0.06698540109898474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FAIL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7" t="inlineStr">
        <is>
          <t>동진쎄미켐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8" t="inlineStr">
        <is>
          <t>동진쎄미켐</t>
        </is>
      </c>
      <c r="C4" t="inlineStr"/>
      <c r="D4" s="3" t="inlineStr">
        <is>
          <t>동일 세부군</t>
        </is>
      </c>
      <c r="E4" s="48">
        <f>IFERROR(XLOOKUP($B$4,$A$59:$A$266,$E$59:$E$266),"")</f>
        <v/>
      </c>
      <c r="F4" t="inlineStr"/>
      <c r="G4" s="3" t="inlineStr">
        <is>
          <t>선택기업 점수</t>
        </is>
      </c>
      <c r="H4" s="49">
        <f>IFERROR(XLOOKUP($B$4,$A$59:$A$266,$F$59:$F$266),"")</f>
        <v/>
      </c>
      <c r="I4" t="inlineStr"/>
      <c r="J4" s="3" t="inlineStr">
        <is>
          <t>208개 내 백분위</t>
        </is>
      </c>
      <c r="K4" s="50">
        <f>IFERROR(PERCENTRANK.INC($F$59:$F$266,$H$4),"")</f>
        <v/>
      </c>
      <c r="L4" t="inlineStr"/>
      <c r="M4" s="3" t="inlineStr">
        <is>
          <t>라벨</t>
        </is>
      </c>
      <c r="N4" s="48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51" t="inlineStr">
        <is>
          <t>선택기업</t>
        </is>
      </c>
      <c r="B9" s="51">
        <f>IFERROR(XLOOKUP($B$4,$A$59:$A$266,$F$59:$F$266),"")</f>
        <v/>
      </c>
      <c r="C9" s="51">
        <f>IFERROR(XLOOKUP($B$4,$A$59:$A$266,$G$59:$G$266),"")</f>
        <v/>
      </c>
      <c r="D9" s="51" t="n">
        <v>1</v>
      </c>
    </row>
    <row r="10" ht="22" customHeight="1">
      <c r="A10" s="52" t="inlineStr">
        <is>
          <t>동일 세부군 평균</t>
        </is>
      </c>
      <c r="B10" s="52">
        <f>IFERROR(AVERAGEIF($E$59:$E$266,$E$4,$F$59:$F$266),"")</f>
        <v/>
      </c>
      <c r="C10" s="52">
        <f>IFERROR(AVERAGEIF($E$59:$E$266,$E$4,$G$59:$G$266),"")</f>
        <v/>
      </c>
      <c r="D10" s="52">
        <f>IFERROR(COUNTIF($E$59:$E$266,$E$4),"")</f>
        <v/>
      </c>
    </row>
    <row r="11" ht="22" customHeight="1">
      <c r="A11" s="53" t="inlineStr">
        <is>
          <t>208개 전체 평균</t>
        </is>
      </c>
      <c r="B11" s="53">
        <f>IFERROR(AVERAGE($F$59:$F$266),"")</f>
        <v/>
      </c>
      <c r="C11" s="53">
        <f>IFERROR(AVERAGE($G$59:$G$266),"")</f>
        <v/>
      </c>
      <c r="D11" s="53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51" t="inlineStr">
        <is>
          <t>TAM: 반도체 전체 비교군</t>
        </is>
      </c>
      <c r="B17" s="51" t="n">
        <v>208</v>
      </c>
      <c r="C17" s="51" t="inlineStr">
        <is>
          <t>현재 가치평가 에이전트가 비교 가능한 전체 반도체 기준군</t>
        </is>
      </c>
    </row>
    <row r="18" ht="22" customHeight="1">
      <c r="A18" s="52" t="inlineStr">
        <is>
          <t>SAM: 선택기업 세부군</t>
        </is>
      </c>
      <c r="B18" s="52">
        <f>IFERROR(COUNTIF($E$59:$E$266,$E$4),"")</f>
        <v/>
      </c>
      <c r="C18" s="52" t="inlineStr">
        <is>
          <t>동일 사업축 안에서 상대가치 비교가 더 직접적인 집단</t>
        </is>
      </c>
    </row>
    <row r="19" ht="22" customHeight="1">
      <c r="A19" s="54" t="inlineStr">
        <is>
          <t>SOM: 선택기업</t>
        </is>
      </c>
      <c r="B19" s="54" t="n">
        <v>1</v>
      </c>
      <c r="C19" s="54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8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8" t="inlineStr">
        <is>
          <t>네패스</t>
        </is>
      </c>
      <c r="B26" s="18" t="inlineStr">
        <is>
          <t>후공정/패키징/테스트</t>
        </is>
      </c>
      <c r="C26" s="18" t="n">
        <v>63.85</v>
      </c>
      <c r="D26" s="18" t="n">
        <v>28.57</v>
      </c>
      <c r="E26" s="18" t="inlineStr">
        <is>
          <t>가치 매력</t>
        </is>
      </c>
      <c r="F26" t="inlineStr"/>
    </row>
    <row r="27" ht="22" customHeight="1">
      <c r="A27" s="18" t="inlineStr">
        <is>
          <t>한솔케미칼</t>
        </is>
      </c>
      <c r="B27" s="18" t="inlineStr">
        <is>
          <t>소재</t>
        </is>
      </c>
      <c r="C27" s="18" t="n">
        <v>63.31</v>
      </c>
      <c r="D27" s="18" t="n">
        <v>0</v>
      </c>
      <c r="E27" s="18" t="inlineStr">
        <is>
          <t>가치 매력</t>
        </is>
      </c>
      <c r="F27" t="inlineStr"/>
    </row>
    <row r="28" ht="22" customHeight="1">
      <c r="A28" s="18" t="inlineStr">
        <is>
          <t>엘티씨</t>
        </is>
      </c>
      <c r="B28" s="18" t="inlineStr">
        <is>
          <t>소재</t>
        </is>
      </c>
      <c r="C28" s="18" t="n">
        <v>58.38</v>
      </c>
      <c r="D28" s="18" t="n">
        <v>0</v>
      </c>
      <c r="E28" s="18" t="inlineStr">
        <is>
          <t>중립</t>
        </is>
      </c>
      <c r="F28" t="inlineStr"/>
    </row>
    <row r="29" ht="22" customHeight="1">
      <c r="A29" s="18" t="inlineStr">
        <is>
          <t>한미반도체</t>
        </is>
      </c>
      <c r="B29" s="18" t="inlineStr">
        <is>
          <t>후공정/패키징/테스트</t>
        </is>
      </c>
      <c r="C29" s="18" t="n">
        <v>47.13</v>
      </c>
      <c r="D29" s="18" t="n">
        <v>0</v>
      </c>
      <c r="E29" s="18" t="inlineStr">
        <is>
          <t>중립</t>
        </is>
      </c>
      <c r="F29" t="inlineStr"/>
    </row>
    <row r="30" ht="22" customHeight="1">
      <c r="A30" s="18" t="inlineStr">
        <is>
          <t>덕산테코피아</t>
        </is>
      </c>
      <c r="B30" s="18" t="inlineStr">
        <is>
          <t>소재</t>
        </is>
      </c>
      <c r="C30" s="18" t="n">
        <v>25.1</v>
      </c>
      <c r="D30" s="18" t="n">
        <v>71.43000000000001</v>
      </c>
      <c r="E30" s="18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8" t="inlineStr">
        <is>
          <t>엔투텍</t>
        </is>
      </c>
      <c r="B59" t="inlineStr"/>
      <c r="C59" s="18" t="inlineStr">
        <is>
          <t>227950</t>
        </is>
      </c>
      <c r="D59" s="18" t="inlineStr">
        <is>
          <t>KOSDAQ</t>
        </is>
      </c>
      <c r="E59" s="18" t="inlineStr">
        <is>
          <t>장비</t>
        </is>
      </c>
      <c r="F59" s="18" t="n">
        <v>81.29000000000001</v>
      </c>
      <c r="G59" s="18" t="n">
        <v>21.43</v>
      </c>
      <c r="H59" s="18" t="inlineStr">
        <is>
          <t>가치 매력</t>
        </is>
      </c>
      <c r="I59" s="18" t="inlineStr">
        <is>
          <t>0.8347222629406851</t>
        </is>
      </c>
      <c r="J59" t="inlineStr"/>
      <c r="K59" t="inlineStr"/>
      <c r="L59" t="inlineStr"/>
    </row>
    <row r="60" ht="22" customHeight="1">
      <c r="A60" s="18" t="inlineStr">
        <is>
          <t>에스에이엠티</t>
        </is>
      </c>
      <c r="B60" t="inlineStr"/>
      <c r="C60" s="18" t="inlineStr">
        <is>
          <t>031330</t>
        </is>
      </c>
      <c r="D60" s="18" t="inlineStr">
        <is>
          <t>KOSDAQ</t>
        </is>
      </c>
      <c r="E60" s="18" t="inlineStr">
        <is>
          <t>팹리스/설계</t>
        </is>
      </c>
      <c r="F60" s="18" t="n">
        <v>78.38</v>
      </c>
      <c r="G60" s="18" t="n">
        <v>50</v>
      </c>
      <c r="H60" s="18" t="inlineStr">
        <is>
          <t>중립</t>
        </is>
      </c>
      <c r="I60" s="18" t="inlineStr">
        <is>
          <t>0.8575928985222669</t>
        </is>
      </c>
      <c r="J60" t="inlineStr"/>
      <c r="K60" t="inlineStr"/>
      <c r="L60" t="inlineStr"/>
    </row>
    <row r="61" ht="22" customHeight="1">
      <c r="A61" s="18" t="inlineStr">
        <is>
          <t>성우테크론</t>
        </is>
      </c>
      <c r="B61" t="inlineStr"/>
      <c r="C61" s="18" t="inlineStr">
        <is>
          <t>045300</t>
        </is>
      </c>
      <c r="D61" s="18" t="inlineStr">
        <is>
          <t>KOSDAQ</t>
        </is>
      </c>
      <c r="E61" s="18" t="inlineStr">
        <is>
          <t>후공정/패키징/테스트</t>
        </is>
      </c>
      <c r="F61" s="18" t="n">
        <v>77.64</v>
      </c>
      <c r="G61" s="18" t="n">
        <v>7.14</v>
      </c>
      <c r="H61" s="18" t="inlineStr">
        <is>
          <t>가치 매력</t>
        </is>
      </c>
      <c r="I61" s="18" t="inlineStr">
        <is>
          <t>0.9526864248076319</t>
        </is>
      </c>
      <c r="J61" t="inlineStr"/>
      <c r="K61" t="inlineStr"/>
      <c r="L61" t="inlineStr"/>
    </row>
    <row r="62" ht="22" customHeight="1">
      <c r="A62" s="18" t="inlineStr">
        <is>
          <t>미래산업</t>
        </is>
      </c>
      <c r="B62" t="inlineStr"/>
      <c r="C62" s="18" t="inlineStr">
        <is>
          <t>025560</t>
        </is>
      </c>
      <c r="D62" s="18" t="inlineStr">
        <is>
          <t>KOSPI</t>
        </is>
      </c>
      <c r="E62" s="18" t="inlineStr">
        <is>
          <t>후공정/패키징/테스트</t>
        </is>
      </c>
      <c r="F62" s="18" t="n">
        <v>77.48</v>
      </c>
      <c r="G62" s="18" t="n">
        <v>28.57</v>
      </c>
      <c r="H62" s="18" t="inlineStr">
        <is>
          <t>중립</t>
        </is>
      </c>
      <c r="I62" s="18" t="inlineStr">
        <is>
          <t>0.883291104654336</t>
        </is>
      </c>
      <c r="J62" t="inlineStr"/>
      <c r="K62" t="inlineStr"/>
      <c r="L62" t="inlineStr"/>
    </row>
    <row r="63" ht="22" customHeight="1">
      <c r="A63" s="18" t="inlineStr">
        <is>
          <t>미코</t>
        </is>
      </c>
      <c r="B63" t="inlineStr"/>
      <c r="C63" s="18" t="inlineStr">
        <is>
          <t>059090</t>
        </is>
      </c>
      <c r="D63" s="18" t="inlineStr">
        <is>
          <t>KOSDAQ</t>
        </is>
      </c>
      <c r="E63" s="18" t="inlineStr">
        <is>
          <t>IDM/제조/메모리</t>
        </is>
      </c>
      <c r="F63" s="18" t="n">
        <v>77.33</v>
      </c>
      <c r="G63" s="18" t="n">
        <v>21.43</v>
      </c>
      <c r="H63" s="18" t="inlineStr">
        <is>
          <t>중립</t>
        </is>
      </c>
      <c r="I63" s="18" t="inlineStr">
        <is>
          <t>0.9066669659525092</t>
        </is>
      </c>
      <c r="J63" t="inlineStr"/>
      <c r="K63" t="inlineStr"/>
      <c r="L63" t="inlineStr"/>
    </row>
    <row r="64" ht="22" customHeight="1">
      <c r="A64" s="18" t="inlineStr">
        <is>
          <t>링크제니시스</t>
        </is>
      </c>
      <c r="B64" t="inlineStr"/>
      <c r="C64" s="18" t="inlineStr">
        <is>
          <t>219420</t>
        </is>
      </c>
      <c r="D64" s="18" t="inlineStr">
        <is>
          <t>KOSDAQ</t>
        </is>
      </c>
      <c r="E64" s="18" t="inlineStr">
        <is>
          <t>후공정/패키징/테스트</t>
        </is>
      </c>
      <c r="F64" s="18" t="n">
        <v>75.23</v>
      </c>
      <c r="G64" s="18" t="n">
        <v>7.14</v>
      </c>
      <c r="H64" s="18" t="inlineStr">
        <is>
          <t>가치 매력</t>
        </is>
      </c>
      <c r="I64" s="18" t="inlineStr">
        <is>
          <t>0.8724992666433111</t>
        </is>
      </c>
      <c r="J64" t="inlineStr"/>
      <c r="K64" t="inlineStr"/>
      <c r="L64" t="inlineStr"/>
    </row>
    <row r="65" ht="22" customHeight="1">
      <c r="A65" s="18" t="inlineStr">
        <is>
          <t>엘디티</t>
        </is>
      </c>
      <c r="B65" t="inlineStr"/>
      <c r="C65" s="18" t="inlineStr">
        <is>
          <t>096870</t>
        </is>
      </c>
      <c r="D65" s="18" t="inlineStr">
        <is>
          <t>KOSDAQ</t>
        </is>
      </c>
      <c r="E65" s="18" t="inlineStr">
        <is>
          <t>IDM/제조/메모리</t>
        </is>
      </c>
      <c r="F65" s="18" t="n">
        <v>75.18000000000001</v>
      </c>
      <c r="G65" s="18" t="n">
        <v>7.14</v>
      </c>
      <c r="H65" s="18" t="inlineStr">
        <is>
          <t>가치 매력</t>
        </is>
      </c>
      <c r="I65" s="18" t="inlineStr">
        <is>
          <t>0.8817908899004964</t>
        </is>
      </c>
      <c r="J65" t="inlineStr"/>
      <c r="K65" t="inlineStr"/>
      <c r="L65" t="inlineStr"/>
    </row>
    <row r="66" ht="22" customHeight="1">
      <c r="A66" s="18" t="inlineStr">
        <is>
          <t>유니트론텍</t>
        </is>
      </c>
      <c r="B66" t="inlineStr"/>
      <c r="C66" s="18" t="inlineStr">
        <is>
          <t>142210</t>
        </is>
      </c>
      <c r="D66" s="18" t="inlineStr">
        <is>
          <t>KOSDAQ</t>
        </is>
      </c>
      <c r="E66" s="18" t="inlineStr">
        <is>
          <t>팹리스/설계</t>
        </is>
      </c>
      <c r="F66" s="18" t="n">
        <v>74.79000000000001</v>
      </c>
      <c r="G66" s="18" t="n">
        <v>35.71</v>
      </c>
      <c r="H66" s="18" t="inlineStr">
        <is>
          <t>중립</t>
        </is>
      </c>
      <c r="I66" s="18" t="inlineStr">
        <is>
          <t>0.8593164302034415</t>
        </is>
      </c>
      <c r="J66" t="inlineStr"/>
      <c r="K66" t="inlineStr"/>
      <c r="L66" t="inlineStr"/>
    </row>
    <row r="67" ht="22" customHeight="1">
      <c r="A67" s="18" t="inlineStr">
        <is>
          <t>메카로</t>
        </is>
      </c>
      <c r="B67" t="inlineStr"/>
      <c r="C67" s="18" t="inlineStr">
        <is>
          <t>241770</t>
        </is>
      </c>
      <c r="D67" s="18" t="inlineStr">
        <is>
          <t>KOSDAQ</t>
        </is>
      </c>
      <c r="E67" s="18" t="inlineStr">
        <is>
          <t>IDM/제조/메모리</t>
        </is>
      </c>
      <c r="F67" s="18" t="n">
        <v>74.77</v>
      </c>
      <c r="G67" s="18" t="n">
        <v>0</v>
      </c>
      <c r="H67" s="18" t="inlineStr">
        <is>
          <t>가치 매력</t>
        </is>
      </c>
      <c r="I67" s="18" t="inlineStr">
        <is>
          <t>0.9154158498128573</t>
        </is>
      </c>
      <c r="J67" t="inlineStr"/>
      <c r="K67" t="inlineStr"/>
      <c r="L67" t="inlineStr"/>
    </row>
    <row r="68" ht="22" customHeight="1">
      <c r="A68" s="18" t="inlineStr">
        <is>
          <t>월덱스</t>
        </is>
      </c>
      <c r="B68" t="inlineStr"/>
      <c r="C68" s="18" t="inlineStr">
        <is>
          <t>101160</t>
        </is>
      </c>
      <c r="D68" s="18" t="inlineStr">
        <is>
          <t>KOSDAQ</t>
        </is>
      </c>
      <c r="E68" s="18" t="inlineStr">
        <is>
          <t>소재</t>
        </is>
      </c>
      <c r="F68" s="18" t="n">
        <v>74.59</v>
      </c>
      <c r="G68" s="18" t="n">
        <v>0</v>
      </c>
      <c r="H68" s="18" t="inlineStr">
        <is>
          <t>가치 매력</t>
        </is>
      </c>
      <c r="I68" s="18" t="inlineStr">
        <is>
          <t>0.9476922450763601</t>
        </is>
      </c>
      <c r="J68" t="inlineStr"/>
      <c r="K68" t="inlineStr"/>
      <c r="L68" t="inlineStr"/>
    </row>
    <row r="69" ht="22" customHeight="1">
      <c r="A69" s="18" t="inlineStr">
        <is>
          <t>앤씨앤</t>
        </is>
      </c>
      <c r="B69" t="inlineStr"/>
      <c r="C69" s="18" t="inlineStr">
        <is>
          <t>092600</t>
        </is>
      </c>
      <c r="D69" s="18" t="inlineStr">
        <is>
          <t>KOSDAQ</t>
        </is>
      </c>
      <c r="E69" s="18" t="inlineStr">
        <is>
          <t>팹리스/설계</t>
        </is>
      </c>
      <c r="F69" s="18" t="n">
        <v>74.51000000000001</v>
      </c>
      <c r="G69" s="18" t="n">
        <v>50</v>
      </c>
      <c r="H69" s="18" t="inlineStr">
        <is>
          <t>중립</t>
        </is>
      </c>
      <c r="I69" s="18" t="inlineStr">
        <is>
          <t>0.8450252323777523</t>
        </is>
      </c>
      <c r="J69" t="inlineStr"/>
      <c r="K69" t="inlineStr"/>
      <c r="L69" t="inlineStr"/>
    </row>
    <row r="70" ht="22" customHeight="1">
      <c r="A70" s="18" t="inlineStr">
        <is>
          <t>퓨릿</t>
        </is>
      </c>
      <c r="B70" t="inlineStr"/>
      <c r="C70" s="18" t="inlineStr">
        <is>
          <t>445180</t>
        </is>
      </c>
      <c r="D70" s="18" t="inlineStr">
        <is>
          <t>KOSDAQ</t>
        </is>
      </c>
      <c r="E70" s="18" t="inlineStr">
        <is>
          <t>소재</t>
        </is>
      </c>
      <c r="F70" s="18" t="n">
        <v>74.48999999999999</v>
      </c>
      <c r="G70" s="18" t="n">
        <v>7.14</v>
      </c>
      <c r="H70" s="18" t="inlineStr">
        <is>
          <t>가치 매력</t>
        </is>
      </c>
      <c r="I70" s="18" t="inlineStr">
        <is>
          <t>0.8817607106455689</t>
        </is>
      </c>
      <c r="J70" t="inlineStr"/>
      <c r="K70" t="inlineStr"/>
      <c r="L70" t="inlineStr"/>
    </row>
    <row r="71" ht="22" customHeight="1">
      <c r="A71" s="18" t="inlineStr">
        <is>
          <t>마이크로컨텍솔</t>
        </is>
      </c>
      <c r="B71" t="inlineStr"/>
      <c r="C71" s="18" t="inlineStr">
        <is>
          <t>098120</t>
        </is>
      </c>
      <c r="D71" s="18" t="inlineStr">
        <is>
          <t>KOSDAQ</t>
        </is>
      </c>
      <c r="E71" s="18" t="inlineStr">
        <is>
          <t>팹리스/설계</t>
        </is>
      </c>
      <c r="F71" s="18" t="n">
        <v>73.84</v>
      </c>
      <c r="G71" s="18" t="n">
        <v>14.29</v>
      </c>
      <c r="H71" s="18" t="inlineStr">
        <is>
          <t>가치 매력</t>
        </is>
      </c>
      <c r="I71" s="18" t="inlineStr">
        <is>
          <t>0.8262966149459129</t>
        </is>
      </c>
      <c r="J71" t="inlineStr"/>
      <c r="K71" t="inlineStr"/>
      <c r="L71" t="inlineStr"/>
    </row>
    <row r="72" ht="22" customHeight="1">
      <c r="A72" s="18" t="inlineStr">
        <is>
          <t>프로텍</t>
        </is>
      </c>
      <c r="B72" t="inlineStr"/>
      <c r="C72" s="18" t="inlineStr">
        <is>
          <t>053610</t>
        </is>
      </c>
      <c r="D72" s="18" t="inlineStr">
        <is>
          <t>KOSDAQ</t>
        </is>
      </c>
      <c r="E72" s="18" t="inlineStr">
        <is>
          <t>후공정/패키징/테스트</t>
        </is>
      </c>
      <c r="F72" s="18" t="n">
        <v>73.42</v>
      </c>
      <c r="G72" s="18" t="n">
        <v>7.14</v>
      </c>
      <c r="H72" s="18" t="inlineStr">
        <is>
          <t>중립</t>
        </is>
      </c>
      <c r="I72" s="18" t="inlineStr">
        <is>
          <t>0.8971257561900263</t>
        </is>
      </c>
      <c r="J72" t="inlineStr"/>
      <c r="K72" t="inlineStr"/>
      <c r="L72" t="inlineStr"/>
    </row>
    <row r="73" ht="22" customHeight="1">
      <c r="A73" s="18" t="inlineStr">
        <is>
          <t>아이앤씨</t>
        </is>
      </c>
      <c r="B73" t="inlineStr"/>
      <c r="C73" s="18" t="inlineStr">
        <is>
          <t>052860</t>
        </is>
      </c>
      <c r="D73" s="18" t="inlineStr">
        <is>
          <t>KOSDAQ</t>
        </is>
      </c>
      <c r="E73" s="18" t="inlineStr">
        <is>
          <t>팹리스/설계</t>
        </is>
      </c>
      <c r="F73" s="18" t="n">
        <v>73.25</v>
      </c>
      <c r="G73" s="18" t="n">
        <v>0</v>
      </c>
      <c r="H73" s="18" t="inlineStr">
        <is>
          <t>가치 매력</t>
        </is>
      </c>
      <c r="I73" s="18" t="inlineStr">
        <is>
          <t>0.9267130449922303</t>
        </is>
      </c>
      <c r="J73" t="inlineStr"/>
      <c r="K73" t="inlineStr"/>
      <c r="L73" t="inlineStr"/>
    </row>
    <row r="74" ht="22" customHeight="1">
      <c r="A74" s="18" t="inlineStr">
        <is>
          <t>비아트론</t>
        </is>
      </c>
      <c r="B74" t="inlineStr"/>
      <c r="C74" s="18" t="inlineStr">
        <is>
          <t>141000</t>
        </is>
      </c>
      <c r="D74" s="18" t="inlineStr">
        <is>
          <t>KOSDAQ</t>
        </is>
      </c>
      <c r="E74" s="18" t="inlineStr">
        <is>
          <t>장비</t>
        </is>
      </c>
      <c r="F74" s="18" t="n">
        <v>71.05</v>
      </c>
      <c r="G74" s="18" t="n">
        <v>0</v>
      </c>
      <c r="H74" s="18" t="inlineStr">
        <is>
          <t>가치 매력</t>
        </is>
      </c>
      <c r="I74" s="18" t="inlineStr">
        <is>
          <t>0.934708213344448</t>
        </is>
      </c>
      <c r="J74" t="inlineStr"/>
      <c r="K74" t="inlineStr"/>
      <c r="L74" t="inlineStr"/>
    </row>
    <row r="75" ht="22" customHeight="1">
      <c r="A75" s="18" t="inlineStr">
        <is>
          <t>인터플렉스</t>
        </is>
      </c>
      <c r="B75" t="inlineStr"/>
      <c r="C75" s="18" t="inlineStr">
        <is>
          <t>051370</t>
        </is>
      </c>
      <c r="D75" s="18" t="inlineStr">
        <is>
          <t>KOSDAQ</t>
        </is>
      </c>
      <c r="E75" s="18" t="inlineStr">
        <is>
          <t>부품/기판</t>
        </is>
      </c>
      <c r="F75" s="18" t="n">
        <v>70.90000000000001</v>
      </c>
      <c r="G75" s="18" t="n">
        <v>7.14</v>
      </c>
      <c r="H75" s="18" t="inlineStr">
        <is>
          <t>중립</t>
        </is>
      </c>
      <c r="I75" s="18" t="inlineStr">
        <is>
          <t>0.904555257888918</t>
        </is>
      </c>
      <c r="J75" t="inlineStr"/>
      <c r="K75" t="inlineStr"/>
      <c r="L75" t="inlineStr"/>
    </row>
    <row r="76" ht="22" customHeight="1">
      <c r="A76" s="18" t="inlineStr">
        <is>
          <t>삼성전자</t>
        </is>
      </c>
      <c r="B76" t="inlineStr"/>
      <c r="C76" s="18" t="inlineStr">
        <is>
          <t>005930</t>
        </is>
      </c>
      <c r="D76" s="18" t="inlineStr">
        <is>
          <t>KOSPI</t>
        </is>
      </c>
      <c r="E76" s="18" t="inlineStr">
        <is>
          <t>IDM/제조/메모리</t>
        </is>
      </c>
      <c r="F76" s="18" t="n">
        <v>70.78</v>
      </c>
      <c r="G76" s="18" t="n">
        <v>0</v>
      </c>
      <c r="H76" s="18" t="inlineStr">
        <is>
          <t>가치 매력</t>
        </is>
      </c>
      <c r="I76" s="18" t="inlineStr">
        <is>
          <t>0.9371541027950523</t>
        </is>
      </c>
      <c r="J76" t="inlineStr"/>
      <c r="K76" t="inlineStr"/>
      <c r="L76" t="inlineStr"/>
    </row>
    <row r="77" ht="22" customHeight="1">
      <c r="A77" s="18" t="inlineStr">
        <is>
          <t>케이씨</t>
        </is>
      </c>
      <c r="B77" t="inlineStr"/>
      <c r="C77" s="18" t="inlineStr">
        <is>
          <t>029460</t>
        </is>
      </c>
      <c r="D77" s="18" t="inlineStr">
        <is>
          <t>KOSPI</t>
        </is>
      </c>
      <c r="E77" s="18" t="inlineStr">
        <is>
          <t>장비</t>
        </is>
      </c>
      <c r="F77" s="18" t="n">
        <v>70.65000000000001</v>
      </c>
      <c r="G77" s="18" t="n">
        <v>0</v>
      </c>
      <c r="H77" s="18" t="inlineStr">
        <is>
          <t>가치 매력</t>
        </is>
      </c>
      <c r="I77" s="18" t="inlineStr">
        <is>
          <t>0.9151708177015135</t>
        </is>
      </c>
      <c r="J77" t="inlineStr"/>
      <c r="K77" t="inlineStr"/>
      <c r="L77" t="inlineStr"/>
    </row>
    <row r="78" ht="22" customHeight="1">
      <c r="A78" s="18" t="inlineStr">
        <is>
          <t>이엔에프테크놀로지</t>
        </is>
      </c>
      <c r="B78" t="inlineStr"/>
      <c r="C78" s="18" t="inlineStr">
        <is>
          <t>102710</t>
        </is>
      </c>
      <c r="D78" s="18" t="inlineStr">
        <is>
          <t>KOSDAQ</t>
        </is>
      </c>
      <c r="E78" s="18" t="inlineStr">
        <is>
          <t>소재</t>
        </is>
      </c>
      <c r="F78" s="18" t="n">
        <v>70.62</v>
      </c>
      <c r="G78" s="18" t="n">
        <v>0</v>
      </c>
      <c r="H78" s="18" t="inlineStr">
        <is>
          <t>가치 매력</t>
        </is>
      </c>
      <c r="I78" s="18" t="inlineStr">
        <is>
          <t>0.9371627732042065</t>
        </is>
      </c>
      <c r="J78" t="inlineStr"/>
      <c r="K78" t="inlineStr"/>
      <c r="L78" t="inlineStr"/>
    </row>
    <row r="79" ht="22" customHeight="1">
      <c r="A79" s="18" t="inlineStr">
        <is>
          <t>매커스</t>
        </is>
      </c>
      <c r="B79" t="inlineStr"/>
      <c r="C79" s="18" t="inlineStr">
        <is>
          <t>093520</t>
        </is>
      </c>
      <c r="D79" s="18" t="inlineStr">
        <is>
          <t>KOSDAQ</t>
        </is>
      </c>
      <c r="E79" s="18" t="inlineStr">
        <is>
          <t>팹리스/설계</t>
        </is>
      </c>
      <c r="F79" s="18" t="n">
        <v>70.56999999999999</v>
      </c>
      <c r="G79" s="18" t="n">
        <v>0</v>
      </c>
      <c r="H79" s="18" t="inlineStr">
        <is>
          <t>가치 매력</t>
        </is>
      </c>
      <c r="I79" s="18" t="inlineStr">
        <is>
          <t>0.9375173489226767</t>
        </is>
      </c>
      <c r="J79" t="inlineStr"/>
      <c r="K79" t="inlineStr"/>
      <c r="L79" t="inlineStr"/>
    </row>
    <row r="80" ht="22" customHeight="1">
      <c r="A80" s="18" t="inlineStr">
        <is>
          <t>LX세미콘</t>
        </is>
      </c>
      <c r="B80" t="inlineStr"/>
      <c r="C80" s="18" t="inlineStr">
        <is>
          <t>108320</t>
        </is>
      </c>
      <c r="D80" s="18" t="inlineStr">
        <is>
          <t>KOSPI</t>
        </is>
      </c>
      <c r="E80" s="18" t="inlineStr">
        <is>
          <t>팹리스/설계</t>
        </is>
      </c>
      <c r="F80" s="18" t="n">
        <v>69.54000000000001</v>
      </c>
      <c r="G80" s="18" t="n">
        <v>0</v>
      </c>
      <c r="H80" s="18" t="inlineStr">
        <is>
          <t>가치 매력</t>
        </is>
      </c>
      <c r="I80" s="18" t="inlineStr">
        <is>
          <t>0.951012131492064</t>
        </is>
      </c>
      <c r="J80" t="inlineStr"/>
      <c r="K80" t="inlineStr"/>
      <c r="L80" t="inlineStr"/>
    </row>
    <row r="81" ht="22" customHeight="1">
      <c r="A81" s="18" t="inlineStr">
        <is>
          <t>SK하이닉스</t>
        </is>
      </c>
      <c r="B81" t="inlineStr"/>
      <c r="C81" s="18" t="inlineStr">
        <is>
          <t>000660</t>
        </is>
      </c>
      <c r="D81" s="18" t="inlineStr">
        <is>
          <t>KOSPI</t>
        </is>
      </c>
      <c r="E81" s="18" t="inlineStr">
        <is>
          <t>IDM/제조/메모리</t>
        </is>
      </c>
      <c r="F81" s="18" t="n">
        <v>69.33</v>
      </c>
      <c r="G81" s="18" t="n">
        <v>0</v>
      </c>
      <c r="H81" s="18" t="inlineStr">
        <is>
          <t>가치 매력</t>
        </is>
      </c>
      <c r="I81" s="18" t="inlineStr">
        <is>
          <t>0.8582250965188642</t>
        </is>
      </c>
      <c r="J81" t="inlineStr"/>
      <c r="K81" t="inlineStr"/>
      <c r="L81" t="inlineStr"/>
    </row>
    <row r="82" ht="22" customHeight="1">
      <c r="A82" s="18" t="inlineStr">
        <is>
          <t>어보브반도체</t>
        </is>
      </c>
      <c r="B82" t="inlineStr"/>
      <c r="C82" s="18" t="inlineStr">
        <is>
          <t>102120</t>
        </is>
      </c>
      <c r="D82" s="18" t="inlineStr">
        <is>
          <t>KOSDAQ</t>
        </is>
      </c>
      <c r="E82" s="18" t="inlineStr">
        <is>
          <t>팹리스/설계</t>
        </is>
      </c>
      <c r="F82" s="18" t="n">
        <v>69.33</v>
      </c>
      <c r="G82" s="18" t="n">
        <v>7.14</v>
      </c>
      <c r="H82" s="18" t="inlineStr">
        <is>
          <t>중립</t>
        </is>
      </c>
      <c r="I82" s="18" t="inlineStr">
        <is>
          <t>0.9028406871788379</t>
        </is>
      </c>
      <c r="J82" t="inlineStr"/>
      <c r="K82" t="inlineStr"/>
      <c r="L82" t="inlineStr"/>
    </row>
    <row r="83" ht="22" customHeight="1">
      <c r="A83" s="18" t="inlineStr">
        <is>
          <t>더코디</t>
        </is>
      </c>
      <c r="B83" t="inlineStr"/>
      <c r="C83" s="18" t="inlineStr">
        <is>
          <t>224060</t>
        </is>
      </c>
      <c r="D83" s="18" t="inlineStr">
        <is>
          <t>KOSDAQ</t>
        </is>
      </c>
      <c r="E83" s="18" t="inlineStr">
        <is>
          <t>장비</t>
        </is>
      </c>
      <c r="F83" s="18" t="n">
        <v>69.09</v>
      </c>
      <c r="G83" s="18" t="n">
        <v>85.70999999999999</v>
      </c>
      <c r="H83" s="18" t="inlineStr">
        <is>
          <t>중립</t>
        </is>
      </c>
      <c r="I83" s="18" t="inlineStr">
        <is>
          <t>0.6613330626239345</t>
        </is>
      </c>
      <c r="J83" t="inlineStr"/>
      <c r="K83" t="inlineStr"/>
      <c r="L83" t="inlineStr"/>
    </row>
    <row r="84" ht="22" customHeight="1">
      <c r="A84" s="18" t="inlineStr">
        <is>
          <t>프로이천</t>
        </is>
      </c>
      <c r="B84" t="inlineStr"/>
      <c r="C84" s="18" t="inlineStr">
        <is>
          <t>321260</t>
        </is>
      </c>
      <c r="D84" s="18" t="inlineStr">
        <is>
          <t>KOSDAQ</t>
        </is>
      </c>
      <c r="E84" s="18" t="inlineStr">
        <is>
          <t>후공정/패키징/테스트</t>
        </is>
      </c>
      <c r="F84" s="18" t="n">
        <v>69.05</v>
      </c>
      <c r="G84" s="18" t="n">
        <v>14.29</v>
      </c>
      <c r="H84" s="18" t="inlineStr">
        <is>
          <t>가치 매력</t>
        </is>
      </c>
      <c r="I84" s="18" t="inlineStr">
        <is>
          <t>0.9481469936627798</t>
        </is>
      </c>
      <c r="J84" t="inlineStr"/>
      <c r="K84" t="inlineStr"/>
      <c r="L84" t="inlineStr"/>
    </row>
    <row r="85" ht="22" customHeight="1">
      <c r="A85" s="18" t="inlineStr">
        <is>
          <t>케이엔제이</t>
        </is>
      </c>
      <c r="B85" t="inlineStr"/>
      <c r="C85" s="18" t="inlineStr">
        <is>
          <t>272110</t>
        </is>
      </c>
      <c r="D85" s="18" t="inlineStr">
        <is>
          <t>KOSDAQ</t>
        </is>
      </c>
      <c r="E85" s="18" t="inlineStr">
        <is>
          <t>IDM/제조/메모리</t>
        </is>
      </c>
      <c r="F85" s="18" t="n">
        <v>69</v>
      </c>
      <c r="G85" s="18" t="n">
        <v>35.71</v>
      </c>
      <c r="H85" s="18" t="inlineStr">
        <is>
          <t>중립</t>
        </is>
      </c>
      <c r="I85" s="18" t="inlineStr">
        <is>
          <t>0.8941431334693103</t>
        </is>
      </c>
      <c r="J85" t="inlineStr"/>
      <c r="K85" t="inlineStr"/>
      <c r="L85" t="inlineStr"/>
    </row>
    <row r="86" ht="22" customHeight="1">
      <c r="A86" s="18" t="inlineStr">
        <is>
          <t>KPX케미칼</t>
        </is>
      </c>
      <c r="B86" t="inlineStr"/>
      <c r="C86" s="18" t="inlineStr">
        <is>
          <t>025000</t>
        </is>
      </c>
      <c r="D86" s="18" t="inlineStr">
        <is>
          <t>KOSPI</t>
        </is>
      </c>
      <c r="E86" s="18" t="inlineStr">
        <is>
          <t>장비</t>
        </is>
      </c>
      <c r="F86" s="18" t="n">
        <v>68.76000000000001</v>
      </c>
      <c r="G86" s="18" t="n">
        <v>0</v>
      </c>
      <c r="H86" s="18" t="inlineStr">
        <is>
          <t>가치 매력</t>
        </is>
      </c>
      <c r="I86" s="18" t="inlineStr">
        <is>
          <t>0.9091955435785402</t>
        </is>
      </c>
      <c r="J86" t="inlineStr"/>
      <c r="K86" t="inlineStr"/>
      <c r="L86" t="inlineStr"/>
    </row>
    <row r="87" ht="22" customHeight="1">
      <c r="A87" s="18" t="inlineStr">
        <is>
          <t>성도이엔지</t>
        </is>
      </c>
      <c r="B87" t="inlineStr"/>
      <c r="C87" s="18" t="inlineStr">
        <is>
          <t>037350</t>
        </is>
      </c>
      <c r="D87" s="18" t="inlineStr">
        <is>
          <t>KOSDAQ</t>
        </is>
      </c>
      <c r="E87" s="18" t="inlineStr">
        <is>
          <t>장비</t>
        </is>
      </c>
      <c r="F87" s="18" t="n">
        <v>68.75</v>
      </c>
      <c r="G87" s="18" t="n">
        <v>0</v>
      </c>
      <c r="H87" s="18" t="inlineStr">
        <is>
          <t>가치 매력</t>
        </is>
      </c>
      <c r="I87" s="18" t="inlineStr">
        <is>
          <t>0.9250659167833418</t>
        </is>
      </c>
      <c r="J87" t="inlineStr"/>
      <c r="K87" t="inlineStr"/>
      <c r="L87" t="inlineStr"/>
    </row>
    <row r="88" ht="22" customHeight="1">
      <c r="A88" s="18" t="inlineStr">
        <is>
          <t>한양디지텍</t>
        </is>
      </c>
      <c r="B88" t="inlineStr"/>
      <c r="C88" s="18" t="inlineStr">
        <is>
          <t>078350</t>
        </is>
      </c>
      <c r="D88" s="18" t="inlineStr">
        <is>
          <t>KOSDAQ</t>
        </is>
      </c>
      <c r="E88" s="18" t="inlineStr">
        <is>
          <t>IDM/제조/메모리</t>
        </is>
      </c>
      <c r="F88" s="18" t="n">
        <v>68.05</v>
      </c>
      <c r="G88" s="18" t="n">
        <v>7.14</v>
      </c>
      <c r="H88" s="18" t="inlineStr">
        <is>
          <t>가치 매력</t>
        </is>
      </c>
      <c r="I88" s="18" t="inlineStr">
        <is>
          <t>0.8705426081647281</t>
        </is>
      </c>
      <c r="J88" t="inlineStr"/>
      <c r="K88" t="inlineStr"/>
      <c r="L88" t="inlineStr"/>
    </row>
    <row r="89" ht="22" customHeight="1">
      <c r="A89" s="18" t="inlineStr">
        <is>
          <t>유니퀘스트</t>
        </is>
      </c>
      <c r="B89" t="inlineStr"/>
      <c r="C89" s="18" t="inlineStr">
        <is>
          <t>077500</t>
        </is>
      </c>
      <c r="D89" s="18" t="inlineStr">
        <is>
          <t>KOSPI</t>
        </is>
      </c>
      <c r="E89" s="18" t="inlineStr">
        <is>
          <t>장비</t>
        </is>
      </c>
      <c r="F89" s="18" t="n">
        <v>67.84</v>
      </c>
      <c r="G89" s="18" t="n">
        <v>0</v>
      </c>
      <c r="H89" s="18" t="inlineStr">
        <is>
          <t>가치 매력</t>
        </is>
      </c>
      <c r="I89" s="18" t="inlineStr">
        <is>
          <t>0.8881603628406226</t>
        </is>
      </c>
      <c r="J89" t="inlineStr"/>
      <c r="K89" t="inlineStr"/>
      <c r="L89" t="inlineStr"/>
    </row>
    <row r="90" ht="22" customHeight="1">
      <c r="A90" s="18" t="inlineStr">
        <is>
          <t>원익머트리얼즈</t>
        </is>
      </c>
      <c r="B90" t="inlineStr"/>
      <c r="C90" s="18" t="inlineStr">
        <is>
          <t>104830</t>
        </is>
      </c>
      <c r="D90" s="18" t="inlineStr">
        <is>
          <t>KOSDAQ</t>
        </is>
      </c>
      <c r="E90" s="18" t="inlineStr">
        <is>
          <t>소재</t>
        </is>
      </c>
      <c r="F90" s="18" t="n">
        <v>66.81999999999999</v>
      </c>
      <c r="G90" s="18" t="n">
        <v>7.14</v>
      </c>
      <c r="H90" s="18" t="inlineStr">
        <is>
          <t>중립</t>
        </is>
      </c>
      <c r="I90" s="18" t="inlineStr">
        <is>
          <t>0.9160049727267536</t>
        </is>
      </c>
      <c r="J90" t="inlineStr"/>
      <c r="K90" t="inlineStr"/>
      <c r="L90" t="inlineStr"/>
    </row>
    <row r="91" ht="22" customHeight="1">
      <c r="A91" s="18" t="inlineStr">
        <is>
          <t>솔브레인홀딩스</t>
        </is>
      </c>
      <c r="B91" t="inlineStr"/>
      <c r="C91" s="18" t="inlineStr">
        <is>
          <t>036830</t>
        </is>
      </c>
      <c r="D91" s="18" t="inlineStr">
        <is>
          <t>KOSDAQ GLOBAL</t>
        </is>
      </c>
      <c r="E91" s="18" t="inlineStr">
        <is>
          <t>소재</t>
        </is>
      </c>
      <c r="F91" s="18" t="n">
        <v>66.67</v>
      </c>
      <c r="G91" s="18" t="n">
        <v>0</v>
      </c>
      <c r="H91" s="18" t="inlineStr">
        <is>
          <t>가치 매력</t>
        </is>
      </c>
      <c r="I91" s="18" t="inlineStr">
        <is>
          <t>0.5229115612060397</t>
        </is>
      </c>
      <c r="J91" t="inlineStr"/>
      <c r="K91" t="inlineStr"/>
      <c r="L91" t="inlineStr"/>
    </row>
    <row r="92" ht="22" customHeight="1">
      <c r="A92" s="18" t="inlineStr">
        <is>
          <t>DB하이텍</t>
        </is>
      </c>
      <c r="B92" t="inlineStr"/>
      <c r="C92" s="18" t="inlineStr">
        <is>
          <t>000990</t>
        </is>
      </c>
      <c r="D92" s="18" t="inlineStr">
        <is>
          <t>KOSPI</t>
        </is>
      </c>
      <c r="E92" s="18" t="inlineStr">
        <is>
          <t>IDM/제조/메모리</t>
        </is>
      </c>
      <c r="F92" s="18" t="n">
        <v>66.53</v>
      </c>
      <c r="G92" s="18" t="n">
        <v>0</v>
      </c>
      <c r="H92" s="18" t="inlineStr">
        <is>
          <t>가치 매력</t>
        </is>
      </c>
      <c r="I92" s="18" t="inlineStr">
        <is>
          <t>0.9104444876024207</t>
        </is>
      </c>
      <c r="J92" t="inlineStr"/>
      <c r="K92" t="inlineStr"/>
      <c r="L92" t="inlineStr"/>
    </row>
    <row r="93" ht="22" customHeight="1">
      <c r="A93" s="18" t="inlineStr">
        <is>
          <t>자화전자</t>
        </is>
      </c>
      <c r="B93" t="inlineStr"/>
      <c r="C93" s="18" t="inlineStr">
        <is>
          <t>033240</t>
        </is>
      </c>
      <c r="D93" s="18" t="inlineStr">
        <is>
          <t>KOSPI</t>
        </is>
      </c>
      <c r="E93" s="18" t="inlineStr">
        <is>
          <t>부품/기판</t>
        </is>
      </c>
      <c r="F93" s="18" t="n">
        <v>66.48</v>
      </c>
      <c r="G93" s="18" t="n">
        <v>7.14</v>
      </c>
      <c r="H93" s="18" t="inlineStr">
        <is>
          <t>중립</t>
        </is>
      </c>
      <c r="I93" s="18" t="inlineStr">
        <is>
          <t>0.9380223994723259</t>
        </is>
      </c>
      <c r="J93" t="inlineStr"/>
      <c r="K93" t="inlineStr"/>
      <c r="L93" t="inlineStr"/>
    </row>
    <row r="94" ht="22" customHeight="1">
      <c r="A94" s="18" t="inlineStr">
        <is>
          <t>한솔아이원스</t>
        </is>
      </c>
      <c r="B94" t="inlineStr"/>
      <c r="C94" s="18" t="inlineStr">
        <is>
          <t>114810</t>
        </is>
      </c>
      <c r="D94" s="18" t="inlineStr">
        <is>
          <t>KOSDAQ</t>
        </is>
      </c>
      <c r="E94" s="18" t="inlineStr">
        <is>
          <t>장비</t>
        </is>
      </c>
      <c r="F94" s="18" t="n">
        <v>66.48</v>
      </c>
      <c r="G94" s="18" t="n">
        <v>14.29</v>
      </c>
      <c r="H94" s="18" t="inlineStr">
        <is>
          <t>가치 매력</t>
        </is>
      </c>
      <c r="I94" s="18" t="inlineStr">
        <is>
          <t>0.9031428820161691</t>
        </is>
      </c>
      <c r="J94" t="inlineStr"/>
      <c r="K94" t="inlineStr"/>
      <c r="L94" t="inlineStr"/>
    </row>
    <row r="95" ht="22" customHeight="1">
      <c r="A95" s="18" t="inlineStr">
        <is>
          <t>샘씨엔에스</t>
        </is>
      </c>
      <c r="B95" t="inlineStr"/>
      <c r="C95" s="18" t="inlineStr">
        <is>
          <t>252990</t>
        </is>
      </c>
      <c r="D95" s="18" t="inlineStr">
        <is>
          <t>KOSDAQ</t>
        </is>
      </c>
      <c r="E95" s="18" t="inlineStr">
        <is>
          <t>후공정/패키징/테스트</t>
        </is>
      </c>
      <c r="F95" s="18" t="n">
        <v>64.92</v>
      </c>
      <c r="G95" s="18" t="n">
        <v>14.29</v>
      </c>
      <c r="H95" s="18" t="inlineStr">
        <is>
          <t>가치 매력</t>
        </is>
      </c>
      <c r="I95" s="18" t="inlineStr">
        <is>
          <t>0.5521991152548656</t>
        </is>
      </c>
      <c r="J95" t="inlineStr"/>
      <c r="K95" t="inlineStr"/>
      <c r="L95" t="inlineStr"/>
    </row>
    <row r="96" ht="22" customHeight="1">
      <c r="A96" s="18" t="inlineStr">
        <is>
          <t>GST</t>
        </is>
      </c>
      <c r="B96" t="inlineStr"/>
      <c r="C96" s="18" t="inlineStr">
        <is>
          <t>083450</t>
        </is>
      </c>
      <c r="D96" s="18" t="inlineStr">
        <is>
          <t>KOSDAQ</t>
        </is>
      </c>
      <c r="E96" s="18" t="inlineStr">
        <is>
          <t>장비</t>
        </is>
      </c>
      <c r="F96" s="18" t="n">
        <v>64.75</v>
      </c>
      <c r="G96" s="18" t="n">
        <v>0</v>
      </c>
      <c r="H96" s="18" t="inlineStr">
        <is>
          <t>가치 매력</t>
        </is>
      </c>
      <c r="I96" s="18" t="inlineStr">
        <is>
          <t>0.900491542853433</t>
        </is>
      </c>
      <c r="J96" t="inlineStr"/>
      <c r="K96" t="inlineStr"/>
      <c r="L96" t="inlineStr"/>
    </row>
    <row r="97" ht="22" customHeight="1">
      <c r="A97" s="18" t="inlineStr">
        <is>
          <t>하나마이크론</t>
        </is>
      </c>
      <c r="B97" t="inlineStr"/>
      <c r="C97" s="18" t="inlineStr">
        <is>
          <t>067310</t>
        </is>
      </c>
      <c r="D97" s="18" t="inlineStr">
        <is>
          <t>KOSDAQ</t>
        </is>
      </c>
      <c r="E97" s="18" t="inlineStr">
        <is>
          <t>후공정/패키징/테스트</t>
        </is>
      </c>
      <c r="F97" s="18" t="n">
        <v>64.06</v>
      </c>
      <c r="G97" s="18" t="n">
        <v>28.57</v>
      </c>
      <c r="H97" s="18" t="inlineStr">
        <is>
          <t>가치 매력</t>
        </is>
      </c>
      <c r="I97" s="18" t="inlineStr">
        <is>
          <t>0.8727001075083287</t>
        </is>
      </c>
      <c r="J97" t="inlineStr"/>
      <c r="K97" t="inlineStr"/>
      <c r="L97" t="inlineStr"/>
    </row>
    <row r="98" ht="22" customHeight="1">
      <c r="A98" s="18" t="inlineStr">
        <is>
          <t>티이엠씨씨엔에스</t>
        </is>
      </c>
      <c r="B98" t="inlineStr"/>
      <c r="C98" s="18" t="inlineStr">
        <is>
          <t>241790</t>
        </is>
      </c>
      <c r="D98" s="18" t="inlineStr">
        <is>
          <t>KOSDAQ</t>
        </is>
      </c>
      <c r="E98" s="18" t="inlineStr">
        <is>
          <t>장비</t>
        </is>
      </c>
      <c r="F98" s="18" t="n">
        <v>63.93</v>
      </c>
      <c r="G98" s="18" t="n">
        <v>7.14</v>
      </c>
      <c r="H98" s="18" t="inlineStr">
        <is>
          <t>가치 매력</t>
        </is>
      </c>
      <c r="I98" s="18" t="inlineStr">
        <is>
          <t>0.8915695356337118</t>
        </is>
      </c>
      <c r="J98" t="inlineStr"/>
      <c r="K98" t="inlineStr"/>
      <c r="L98" t="inlineStr"/>
    </row>
    <row r="99" ht="22" customHeight="1">
      <c r="A99" s="18" t="inlineStr">
        <is>
          <t>네패스</t>
        </is>
      </c>
      <c r="B99" s="18" t="inlineStr">
        <is>
          <t>nepes</t>
        </is>
      </c>
      <c r="C99" s="18" t="inlineStr">
        <is>
          <t>033640</t>
        </is>
      </c>
      <c r="D99" s="18" t="inlineStr">
        <is>
          <t>KOSDAQ</t>
        </is>
      </c>
      <c r="E99" s="18" t="inlineStr">
        <is>
          <t>후공정/패키징/테스트</t>
        </is>
      </c>
      <c r="F99" s="18" t="n">
        <v>63.85</v>
      </c>
      <c r="G99" s="18" t="n">
        <v>28.57</v>
      </c>
      <c r="H99" s="18" t="inlineStr">
        <is>
          <t>가치 매력</t>
        </is>
      </c>
      <c r="I99" s="18" t="inlineStr">
        <is>
          <t>0.8763685947958789</t>
        </is>
      </c>
      <c r="J99" s="18" t="inlineStr">
        <is>
          <t>예</t>
        </is>
      </c>
      <c r="K99" t="inlineStr"/>
      <c r="L99" t="inlineStr"/>
    </row>
    <row r="100" ht="22" customHeight="1">
      <c r="A100" s="18" t="inlineStr">
        <is>
          <t>KX하이텍</t>
        </is>
      </c>
      <c r="B100" t="inlineStr"/>
      <c r="C100" s="18" t="inlineStr">
        <is>
          <t>052900</t>
        </is>
      </c>
      <c r="D100" s="18" t="inlineStr">
        <is>
          <t>KOSDAQ</t>
        </is>
      </c>
      <c r="E100" s="18" t="inlineStr">
        <is>
          <t>후공정/패키징/테스트</t>
        </is>
      </c>
      <c r="F100" s="18" t="n">
        <v>63.61</v>
      </c>
      <c r="G100" s="18" t="n">
        <v>7.14</v>
      </c>
      <c r="H100" s="18" t="inlineStr">
        <is>
          <t>가치 매력</t>
        </is>
      </c>
      <c r="I100" s="18" t="inlineStr">
        <is>
          <t>0.7896879678479897</t>
        </is>
      </c>
      <c r="J100" t="inlineStr"/>
      <c r="K100" t="inlineStr"/>
      <c r="L100" t="inlineStr"/>
    </row>
    <row r="101" ht="22" customHeight="1">
      <c r="A101" s="18" t="inlineStr">
        <is>
          <t>코미코</t>
        </is>
      </c>
      <c r="B101" t="inlineStr"/>
      <c r="C101" s="18" t="inlineStr">
        <is>
          <t>183300</t>
        </is>
      </c>
      <c r="D101" s="18" t="inlineStr">
        <is>
          <t>KOSDAQ GLOBAL</t>
        </is>
      </c>
      <c r="E101" s="18" t="inlineStr">
        <is>
          <t>부품/기판</t>
        </is>
      </c>
      <c r="F101" s="18" t="n">
        <v>63.43</v>
      </c>
      <c r="G101" s="18" t="n">
        <v>35.71</v>
      </c>
      <c r="H101" s="18" t="inlineStr">
        <is>
          <t>중립</t>
        </is>
      </c>
      <c r="I101" s="18" t="inlineStr">
        <is>
          <t>0.8305894153326006</t>
        </is>
      </c>
      <c r="J101" t="inlineStr"/>
      <c r="K101" t="inlineStr"/>
      <c r="L101" t="inlineStr"/>
    </row>
    <row r="102" ht="22" customHeight="1">
      <c r="A102" s="18" t="inlineStr">
        <is>
          <t>디아이티</t>
        </is>
      </c>
      <c r="B102" t="inlineStr"/>
      <c r="C102" s="18" t="inlineStr">
        <is>
          <t>110990</t>
        </is>
      </c>
      <c r="D102" s="18" t="inlineStr">
        <is>
          <t>KOSDAQ</t>
        </is>
      </c>
      <c r="E102" s="18" t="inlineStr">
        <is>
          <t>장비</t>
        </is>
      </c>
      <c r="F102" s="18" t="n">
        <v>63.41</v>
      </c>
      <c r="G102" s="18" t="n">
        <v>0</v>
      </c>
      <c r="H102" s="18" t="inlineStr">
        <is>
          <t>가치 매력</t>
        </is>
      </c>
      <c r="I102" s="18" t="inlineStr">
        <is>
          <t>0.8847780199048246</t>
        </is>
      </c>
      <c r="J102" t="inlineStr"/>
      <c r="K102" t="inlineStr"/>
      <c r="L102" t="inlineStr"/>
    </row>
    <row r="103" ht="22" customHeight="1">
      <c r="A103" s="18" t="inlineStr">
        <is>
          <t>한솔케미칼</t>
        </is>
      </c>
      <c r="B103" s="18" t="inlineStr">
        <is>
          <t>hansol</t>
        </is>
      </c>
      <c r="C103" s="18" t="inlineStr">
        <is>
          <t>014680</t>
        </is>
      </c>
      <c r="D103" s="18" t="inlineStr">
        <is>
          <t>KOSPI</t>
        </is>
      </c>
      <c r="E103" s="18" t="inlineStr">
        <is>
          <t>소재</t>
        </is>
      </c>
      <c r="F103" s="18" t="n">
        <v>63.31</v>
      </c>
      <c r="G103" s="18" t="n">
        <v>0</v>
      </c>
      <c r="H103" s="18" t="inlineStr">
        <is>
          <t>가치 매력</t>
        </is>
      </c>
      <c r="I103" s="18" t="inlineStr">
        <is>
          <t>0.8364696976606926</t>
        </is>
      </c>
      <c r="J103" s="18" t="inlineStr">
        <is>
          <t>예</t>
        </is>
      </c>
      <c r="K103" t="inlineStr"/>
      <c r="L103" t="inlineStr"/>
    </row>
    <row r="104" ht="22" customHeight="1">
      <c r="A104" s="18" t="inlineStr">
        <is>
          <t>케이씨텍</t>
        </is>
      </c>
      <c r="B104" t="inlineStr"/>
      <c r="C104" s="18" t="inlineStr">
        <is>
          <t>281820</t>
        </is>
      </c>
      <c r="D104" s="18" t="inlineStr">
        <is>
          <t>KOSPI</t>
        </is>
      </c>
      <c r="E104" s="18" t="inlineStr">
        <is>
          <t>장비</t>
        </is>
      </c>
      <c r="F104" s="18" t="n">
        <v>63.15</v>
      </c>
      <c r="G104" s="18" t="n">
        <v>0</v>
      </c>
      <c r="H104" s="18" t="inlineStr">
        <is>
          <t>가치 매력</t>
        </is>
      </c>
      <c r="I104" s="18" t="inlineStr">
        <is>
          <t>0.8895261430914092</t>
        </is>
      </c>
      <c r="J104" t="inlineStr"/>
      <c r="K104" t="inlineStr"/>
      <c r="L104" t="inlineStr"/>
    </row>
    <row r="105" ht="22" customHeight="1">
      <c r="A105" s="18" t="inlineStr">
        <is>
          <t>이녹스첨단소재</t>
        </is>
      </c>
      <c r="B105" t="inlineStr"/>
      <c r="C105" s="18" t="inlineStr">
        <is>
          <t>272290</t>
        </is>
      </c>
      <c r="D105" s="18" t="inlineStr">
        <is>
          <t>KOSDAQ GLOBAL</t>
        </is>
      </c>
      <c r="E105" s="18" t="inlineStr">
        <is>
          <t>소재</t>
        </is>
      </c>
      <c r="F105" s="18" t="n">
        <v>63.13</v>
      </c>
      <c r="G105" s="18" t="n">
        <v>7.14</v>
      </c>
      <c r="H105" s="18" t="inlineStr">
        <is>
          <t>중립</t>
        </is>
      </c>
      <c r="I105" s="18" t="inlineStr">
        <is>
          <t>0.900184891106931</t>
        </is>
      </c>
      <c r="J105" t="inlineStr"/>
      <c r="K105" t="inlineStr"/>
      <c r="L105" t="inlineStr"/>
    </row>
    <row r="106" ht="22" customHeight="1">
      <c r="A106" s="18" t="inlineStr">
        <is>
          <t>로체시스템즈</t>
        </is>
      </c>
      <c r="B106" t="inlineStr"/>
      <c r="C106" s="18" t="inlineStr">
        <is>
          <t>071280</t>
        </is>
      </c>
      <c r="D106" s="18" t="inlineStr">
        <is>
          <t>KOSDAQ</t>
        </is>
      </c>
      <c r="E106" s="18" t="inlineStr">
        <is>
          <t>장비</t>
        </is>
      </c>
      <c r="F106" s="18" t="n">
        <v>62.59</v>
      </c>
      <c r="G106" s="18" t="n">
        <v>7.14</v>
      </c>
      <c r="H106" s="18" t="inlineStr">
        <is>
          <t>가치 매력</t>
        </is>
      </c>
      <c r="I106" s="18" t="inlineStr">
        <is>
          <t>0.9642438845844894</t>
        </is>
      </c>
      <c r="J106" t="inlineStr"/>
      <c r="K106" t="inlineStr"/>
      <c r="L106" t="inlineStr"/>
    </row>
    <row r="107" ht="22" customHeight="1">
      <c r="A107" s="18" t="inlineStr">
        <is>
          <t>에이치엠넥스</t>
        </is>
      </c>
      <c r="B107" t="inlineStr"/>
      <c r="C107" s="18" t="inlineStr">
        <is>
          <t>036170</t>
        </is>
      </c>
      <c r="D107" s="18" t="inlineStr">
        <is>
          <t>KOSDAQ</t>
        </is>
      </c>
      <c r="E107" s="18" t="inlineStr">
        <is>
          <t>후공정/패키징/테스트</t>
        </is>
      </c>
      <c r="F107" s="18" t="n">
        <v>62.1</v>
      </c>
      <c r="G107" s="18" t="n">
        <v>35.71</v>
      </c>
      <c r="H107" s="18" t="inlineStr">
        <is>
          <t>중립</t>
        </is>
      </c>
      <c r="I107" s="18" t="inlineStr">
        <is>
          <t>0.7433115072206052</t>
        </is>
      </c>
      <c r="J107" t="inlineStr"/>
      <c r="K107" t="inlineStr"/>
      <c r="L107" t="inlineStr"/>
    </row>
    <row r="108" ht="22" customHeight="1">
      <c r="A108" s="18" t="inlineStr">
        <is>
          <t>리노공업</t>
        </is>
      </c>
      <c r="B108" t="inlineStr"/>
      <c r="C108" s="18" t="inlineStr">
        <is>
          <t>058470</t>
        </is>
      </c>
      <c r="D108" s="18" t="inlineStr">
        <is>
          <t>KOSDAQ GLOBAL</t>
        </is>
      </c>
      <c r="E108" s="18" t="inlineStr">
        <is>
          <t>후공정/패키징/테스트</t>
        </is>
      </c>
      <c r="F108" s="18" t="n">
        <v>61.91</v>
      </c>
      <c r="G108" s="18" t="n">
        <v>0</v>
      </c>
      <c r="H108" s="18" t="inlineStr">
        <is>
          <t>가치 매력</t>
        </is>
      </c>
      <c r="I108" s="18" t="inlineStr">
        <is>
          <t>0.6825301704423244</t>
        </is>
      </c>
      <c r="J108" t="inlineStr"/>
      <c r="K108" t="inlineStr"/>
      <c r="L108" t="inlineStr"/>
    </row>
    <row r="109" ht="22" customHeight="1">
      <c r="A109" s="18" t="inlineStr">
        <is>
          <t>아이씨디</t>
        </is>
      </c>
      <c r="B109" t="inlineStr"/>
      <c r="C109" s="18" t="inlineStr">
        <is>
          <t>040910</t>
        </is>
      </c>
      <c r="D109" s="18" t="inlineStr">
        <is>
          <t>KOSDAQ</t>
        </is>
      </c>
      <c r="E109" s="18" t="inlineStr">
        <is>
          <t>장비</t>
        </is>
      </c>
      <c r="F109" s="18" t="n">
        <v>61.59</v>
      </c>
      <c r="G109" s="18" t="n">
        <v>7.14</v>
      </c>
      <c r="H109" s="18" t="inlineStr">
        <is>
          <t>중립</t>
        </is>
      </c>
      <c r="I109" s="18" t="inlineStr">
        <is>
          <t>0.692546582663732</t>
        </is>
      </c>
      <c r="J109" t="inlineStr"/>
      <c r="K109" t="inlineStr"/>
      <c r="L109" t="inlineStr"/>
    </row>
    <row r="110" ht="22" customHeight="1">
      <c r="A110" s="18" t="inlineStr">
        <is>
          <t>에스에프에이</t>
        </is>
      </c>
      <c r="B110" t="inlineStr"/>
      <c r="C110" s="18" t="inlineStr">
        <is>
          <t>056190</t>
        </is>
      </c>
      <c r="D110" s="18" t="inlineStr">
        <is>
          <t>KOSDAQ GLOBAL</t>
        </is>
      </c>
      <c r="E110" s="18" t="inlineStr">
        <is>
          <t>장비</t>
        </is>
      </c>
      <c r="F110" s="18" t="n">
        <v>60.99</v>
      </c>
      <c r="G110" s="18" t="n">
        <v>0</v>
      </c>
      <c r="H110" s="18" t="inlineStr">
        <is>
          <t>가치 매력</t>
        </is>
      </c>
      <c r="I110" s="18" t="inlineStr">
        <is>
          <t>0.8690882589557657</t>
        </is>
      </c>
      <c r="J110" t="inlineStr"/>
      <c r="K110" t="inlineStr"/>
      <c r="L110" t="inlineStr"/>
    </row>
    <row r="111" ht="22" customHeight="1">
      <c r="A111" s="18" t="inlineStr">
        <is>
          <t>오디텍</t>
        </is>
      </c>
      <c r="B111" t="inlineStr"/>
      <c r="C111" s="18" t="inlineStr">
        <is>
          <t>080520</t>
        </is>
      </c>
      <c r="D111" s="18" t="inlineStr">
        <is>
          <t>KOSDAQ</t>
        </is>
      </c>
      <c r="E111" s="18" t="inlineStr">
        <is>
          <t>IDM/제조/메모리</t>
        </is>
      </c>
      <c r="F111" s="18" t="n">
        <v>60.83</v>
      </c>
      <c r="G111" s="18" t="n">
        <v>42.86</v>
      </c>
      <c r="H111" s="18" t="inlineStr">
        <is>
          <t>중립</t>
        </is>
      </c>
      <c r="I111" s="18" t="inlineStr">
        <is>
          <t>0.8328575689014174</t>
        </is>
      </c>
      <c r="J111" t="inlineStr"/>
      <c r="K111" t="inlineStr"/>
      <c r="L111" t="inlineStr"/>
    </row>
    <row r="112" ht="22" customHeight="1">
      <c r="A112" s="18" t="inlineStr">
        <is>
          <t>오킨스전자</t>
        </is>
      </c>
      <c r="B112" t="inlineStr"/>
      <c r="C112" s="18" t="inlineStr">
        <is>
          <t>080580</t>
        </is>
      </c>
      <c r="D112" s="18" t="inlineStr">
        <is>
          <t>KOSDAQ</t>
        </is>
      </c>
      <c r="E112" s="18" t="inlineStr">
        <is>
          <t>후공정/패키징/테스트</t>
        </is>
      </c>
      <c r="F112" s="18" t="n">
        <v>60.62</v>
      </c>
      <c r="G112" s="18" t="n">
        <v>21.43</v>
      </c>
      <c r="H112" s="18" t="inlineStr">
        <is>
          <t>가치 매력</t>
        </is>
      </c>
      <c r="I112" s="18" t="inlineStr">
        <is>
          <t>0.8105235691914331</t>
        </is>
      </c>
      <c r="J112" t="inlineStr"/>
      <c r="K112" t="inlineStr"/>
      <c r="L112" t="inlineStr"/>
    </row>
    <row r="113" ht="22" customHeight="1">
      <c r="A113" s="18" t="inlineStr">
        <is>
          <t>알에프세미</t>
        </is>
      </c>
      <c r="B113" t="inlineStr"/>
      <c r="C113" s="18" t="inlineStr">
        <is>
          <t>096610</t>
        </is>
      </c>
      <c r="D113" s="18" t="inlineStr">
        <is>
          <t>KOSDAQ</t>
        </is>
      </c>
      <c r="E113" s="18" t="inlineStr">
        <is>
          <t>팹리스/설계</t>
        </is>
      </c>
      <c r="F113" s="18" t="n">
        <v>60.3</v>
      </c>
      <c r="G113" s="18" t="n">
        <v>7.14</v>
      </c>
      <c r="H113" s="18" t="inlineStr">
        <is>
          <t>가치 매력</t>
        </is>
      </c>
      <c r="I113" s="18" t="inlineStr">
        <is>
          <t>0.8083150256499313</t>
        </is>
      </c>
      <c r="J113" t="inlineStr"/>
      <c r="K113" t="inlineStr"/>
      <c r="L113" t="inlineStr"/>
    </row>
    <row r="114" ht="22" customHeight="1">
      <c r="A114" s="18" t="inlineStr">
        <is>
          <t>그린리소스</t>
        </is>
      </c>
      <c r="B114" t="inlineStr"/>
      <c r="C114" s="18" t="inlineStr">
        <is>
          <t>402490</t>
        </is>
      </c>
      <c r="D114" s="18" t="inlineStr">
        <is>
          <t>KOSDAQ</t>
        </is>
      </c>
      <c r="E114" s="18" t="inlineStr">
        <is>
          <t>IDM/제조/메모리</t>
        </is>
      </c>
      <c r="F114" s="18" t="n">
        <v>60.22</v>
      </c>
      <c r="G114" s="18" t="n">
        <v>42.86</v>
      </c>
      <c r="H114" s="18" t="inlineStr">
        <is>
          <t>중립</t>
        </is>
      </c>
      <c r="I114" s="18" t="inlineStr">
        <is>
          <t>0.7869051998623771</t>
        </is>
      </c>
      <c r="J114" t="inlineStr"/>
      <c r="K114" t="inlineStr"/>
      <c r="L114" t="inlineStr"/>
    </row>
    <row r="115" ht="22" customHeight="1">
      <c r="A115" s="18" t="inlineStr">
        <is>
          <t>삼양엔씨켐</t>
        </is>
      </c>
      <c r="B115" t="inlineStr"/>
      <c r="C115" s="18" t="inlineStr">
        <is>
          <t>482630</t>
        </is>
      </c>
      <c r="D115" s="18" t="inlineStr">
        <is>
          <t>KOSDAQ</t>
        </is>
      </c>
      <c r="E115" s="18" t="inlineStr">
        <is>
          <t>장비</t>
        </is>
      </c>
      <c r="F115" s="18" t="n">
        <v>59.93</v>
      </c>
      <c r="G115" s="18" t="n">
        <v>7.14</v>
      </c>
      <c r="H115" s="18" t="inlineStr">
        <is>
          <t>가치 매력</t>
        </is>
      </c>
      <c r="I115" s="18" t="inlineStr">
        <is>
          <t>0.6408467710997098</t>
        </is>
      </c>
      <c r="J115" t="inlineStr"/>
      <c r="K115" t="inlineStr"/>
      <c r="L115" t="inlineStr"/>
    </row>
    <row r="116" ht="22" customHeight="1">
      <c r="A116" s="18" t="inlineStr">
        <is>
          <t>루멘스</t>
        </is>
      </c>
      <c r="B116" t="inlineStr"/>
      <c r="C116" s="18" t="inlineStr">
        <is>
          <t>038060</t>
        </is>
      </c>
      <c r="D116" s="18" t="inlineStr">
        <is>
          <t>KOSDAQ</t>
        </is>
      </c>
      <c r="E116" s="18" t="inlineStr">
        <is>
          <t>IDM/제조/메모리</t>
        </is>
      </c>
      <c r="F116" s="18" t="n">
        <v>59.7</v>
      </c>
      <c r="G116" s="18" t="n">
        <v>35.71</v>
      </c>
      <c r="H116" s="18" t="inlineStr">
        <is>
          <t>중립</t>
        </is>
      </c>
      <c r="I116" s="18" t="inlineStr">
        <is>
          <t>0.8437683700786414</t>
        </is>
      </c>
      <c r="J116" t="inlineStr"/>
      <c r="K116" t="inlineStr"/>
      <c r="L116" t="inlineStr"/>
    </row>
    <row r="117" ht="22" customHeight="1">
      <c r="A117" s="18" t="inlineStr">
        <is>
          <t>싸이맥스</t>
        </is>
      </c>
      <c r="B117" t="inlineStr"/>
      <c r="C117" s="18" t="inlineStr">
        <is>
          <t>160980</t>
        </is>
      </c>
      <c r="D117" s="18" t="inlineStr">
        <is>
          <t>KOSDAQ</t>
        </is>
      </c>
      <c r="E117" s="18" t="inlineStr">
        <is>
          <t>장비</t>
        </is>
      </c>
      <c r="F117" s="18" t="n">
        <v>59.61</v>
      </c>
      <c r="G117" s="18" t="n">
        <v>0</v>
      </c>
      <c r="H117" s="18" t="inlineStr">
        <is>
          <t>가치 매력</t>
        </is>
      </c>
      <c r="I117" s="18" t="inlineStr">
        <is>
          <t>0.8128181122496774</t>
        </is>
      </c>
      <c r="J117" t="inlineStr"/>
      <c r="K117" t="inlineStr"/>
      <c r="L117" t="inlineStr"/>
    </row>
    <row r="118" ht="22" customHeight="1">
      <c r="A118" s="18" t="inlineStr">
        <is>
          <t>제주반도체</t>
        </is>
      </c>
      <c r="B118" t="inlineStr"/>
      <c r="C118" s="18" t="inlineStr">
        <is>
          <t>080220</t>
        </is>
      </c>
      <c r="D118" s="18" t="inlineStr">
        <is>
          <t>KOSDAQ</t>
        </is>
      </c>
      <c r="E118" s="18" t="inlineStr">
        <is>
          <t>팹리스/설계</t>
        </is>
      </c>
      <c r="F118" s="18" t="n">
        <v>59.17</v>
      </c>
      <c r="G118" s="18" t="n">
        <v>0</v>
      </c>
      <c r="H118" s="18" t="inlineStr">
        <is>
          <t>가치 매력</t>
        </is>
      </c>
      <c r="I118" s="18" t="inlineStr">
        <is>
          <t>0.6955424557105586</t>
        </is>
      </c>
      <c r="J118" t="inlineStr"/>
      <c r="K118" t="inlineStr"/>
      <c r="L118" t="inlineStr"/>
    </row>
    <row r="119" ht="22" customHeight="1">
      <c r="A119" s="18" t="inlineStr">
        <is>
          <t>티에스이</t>
        </is>
      </c>
      <c r="B119" t="inlineStr"/>
      <c r="C119" s="18" t="inlineStr">
        <is>
          <t>131290</t>
        </is>
      </c>
      <c r="D119" s="18" t="inlineStr">
        <is>
          <t>KOSDAQ</t>
        </is>
      </c>
      <c r="E119" s="18" t="inlineStr">
        <is>
          <t>팹리스/설계</t>
        </is>
      </c>
      <c r="F119" s="18" t="n">
        <v>58.81</v>
      </c>
      <c r="G119" s="18" t="n">
        <v>0</v>
      </c>
      <c r="H119" s="18" t="inlineStr">
        <is>
          <t>가치 매력</t>
        </is>
      </c>
      <c r="I119" s="18" t="inlineStr">
        <is>
          <t>0.7390287615028212</t>
        </is>
      </c>
      <c r="J119" t="inlineStr"/>
      <c r="K119" t="inlineStr"/>
      <c r="L119" t="inlineStr"/>
    </row>
    <row r="120" ht="22" customHeight="1">
      <c r="A120" s="18" t="inlineStr">
        <is>
          <t>디아이</t>
        </is>
      </c>
      <c r="B120" t="inlineStr"/>
      <c r="C120" s="18" t="inlineStr">
        <is>
          <t>003160</t>
        </is>
      </c>
      <c r="D120" s="18" t="inlineStr">
        <is>
          <t>KOSPI</t>
        </is>
      </c>
      <c r="E120" s="18" t="inlineStr">
        <is>
          <t>후공정/패키징/테스트</t>
        </is>
      </c>
      <c r="F120" s="18" t="n">
        <v>58.76</v>
      </c>
      <c r="G120" s="18" t="n">
        <v>7.14</v>
      </c>
      <c r="H120" s="18" t="inlineStr">
        <is>
          <t>가치 매력</t>
        </is>
      </c>
      <c r="I120" s="18" t="inlineStr">
        <is>
          <t>0.6560906263736197</t>
        </is>
      </c>
      <c r="J120" t="inlineStr"/>
      <c r="K120" t="inlineStr"/>
      <c r="L120" t="inlineStr"/>
    </row>
    <row r="121" ht="22" customHeight="1">
      <c r="A121" s="18" t="inlineStr">
        <is>
          <t>피델릭스</t>
        </is>
      </c>
      <c r="B121" t="inlineStr"/>
      <c r="C121" s="18" t="inlineStr">
        <is>
          <t>032580</t>
        </is>
      </c>
      <c r="D121" s="18" t="inlineStr">
        <is>
          <t>KOSDAQ</t>
        </is>
      </c>
      <c r="E121" s="18" t="inlineStr">
        <is>
          <t>IDM/제조/메모리</t>
        </is>
      </c>
      <c r="F121" s="18" t="n">
        <v>58.73</v>
      </c>
      <c r="G121" s="18" t="n">
        <v>50</v>
      </c>
      <c r="H121" s="18" t="inlineStr">
        <is>
          <t>중립</t>
        </is>
      </c>
      <c r="I121" s="18" t="inlineStr">
        <is>
          <t>0.8604826019551013</t>
        </is>
      </c>
      <c r="J121" t="inlineStr"/>
      <c r="K121" t="inlineStr"/>
      <c r="L121" t="inlineStr"/>
    </row>
    <row r="122" ht="22" customHeight="1">
      <c r="A122" s="18" t="inlineStr">
        <is>
          <t>엘티씨</t>
        </is>
      </c>
      <c r="B122" s="18" t="inlineStr">
        <is>
          <t>ltc</t>
        </is>
      </c>
      <c r="C122" s="18" t="inlineStr">
        <is>
          <t>170920</t>
        </is>
      </c>
      <c r="D122" s="18" t="inlineStr">
        <is>
          <t>KOSDAQ</t>
        </is>
      </c>
      <c r="E122" s="18" t="inlineStr">
        <is>
          <t>소재</t>
        </is>
      </c>
      <c r="F122" s="18" t="n">
        <v>58.38</v>
      </c>
      <c r="G122" s="18" t="n">
        <v>0</v>
      </c>
      <c r="H122" s="18" t="inlineStr">
        <is>
          <t>중립</t>
        </is>
      </c>
      <c r="I122" s="18" t="inlineStr">
        <is>
          <t>0.6353016273848794</t>
        </is>
      </c>
      <c r="J122" s="18" t="inlineStr">
        <is>
          <t>예</t>
        </is>
      </c>
      <c r="K122" t="inlineStr"/>
      <c r="L122" t="inlineStr"/>
    </row>
    <row r="123" ht="22" customHeight="1">
      <c r="A123" s="18" t="inlineStr">
        <is>
          <t>엔시트론</t>
        </is>
      </c>
      <c r="B123" t="inlineStr"/>
      <c r="C123" s="18" t="inlineStr">
        <is>
          <t>101400</t>
        </is>
      </c>
      <c r="D123" s="18" t="inlineStr">
        <is>
          <t>KOSDAQ</t>
        </is>
      </c>
      <c r="E123" s="18" t="inlineStr">
        <is>
          <t>IDM/제조/메모리</t>
        </is>
      </c>
      <c r="F123" s="18" t="n">
        <v>57.73</v>
      </c>
      <c r="G123" s="18" t="n">
        <v>35.71</v>
      </c>
      <c r="H123" s="18" t="inlineStr">
        <is>
          <t>중립</t>
        </is>
      </c>
      <c r="I123" s="18" t="inlineStr">
        <is>
          <t>0.8173941540342667</t>
        </is>
      </c>
      <c r="J123" t="inlineStr"/>
      <c r="K123" t="inlineStr"/>
      <c r="L123" t="inlineStr"/>
    </row>
    <row r="124" ht="22" customHeight="1">
      <c r="A124" s="18" t="inlineStr">
        <is>
          <t>아나패스</t>
        </is>
      </c>
      <c r="B124" t="inlineStr"/>
      <c r="C124" s="18" t="inlineStr">
        <is>
          <t>123860</t>
        </is>
      </c>
      <c r="D124" s="18" t="inlineStr">
        <is>
          <t>KOSDAQ</t>
        </is>
      </c>
      <c r="E124" s="18" t="inlineStr">
        <is>
          <t>팹리스/설계</t>
        </is>
      </c>
      <c r="F124" s="18" t="n">
        <v>57.62</v>
      </c>
      <c r="G124" s="18" t="n">
        <v>0</v>
      </c>
      <c r="H124" s="18" t="inlineStr">
        <is>
          <t>중립</t>
        </is>
      </c>
      <c r="I124" s="18" t="inlineStr">
        <is>
          <t>0.510332377942325</t>
        </is>
      </c>
      <c r="J124" t="inlineStr"/>
      <c r="K124" t="inlineStr"/>
      <c r="L124" t="inlineStr"/>
    </row>
    <row r="125" ht="22" customHeight="1">
      <c r="A125" s="18" t="inlineStr">
        <is>
          <t>비에이치</t>
        </is>
      </c>
      <c r="B125" t="inlineStr"/>
      <c r="C125" s="18" t="inlineStr">
        <is>
          <t>090460</t>
        </is>
      </c>
      <c r="D125" s="18" t="inlineStr">
        <is>
          <t>KOSPI</t>
        </is>
      </c>
      <c r="E125" s="18" t="inlineStr">
        <is>
          <t>부품/기판</t>
        </is>
      </c>
      <c r="F125" s="18" t="n">
        <v>57.52</v>
      </c>
      <c r="G125" s="18" t="n">
        <v>0</v>
      </c>
      <c r="H125" s="18" t="inlineStr">
        <is>
          <t>중립</t>
        </is>
      </c>
      <c r="I125" s="18" t="inlineStr">
        <is>
          <t>0.5078538652826</t>
        </is>
      </c>
      <c r="J125" t="inlineStr"/>
      <c r="K125" t="inlineStr"/>
      <c r="L125" t="inlineStr"/>
    </row>
    <row r="126" ht="22" customHeight="1">
      <c r="A126" s="18" t="inlineStr">
        <is>
          <t>뉴파워프라즈마</t>
        </is>
      </c>
      <c r="B126" t="inlineStr"/>
      <c r="C126" s="18" t="inlineStr">
        <is>
          <t>144960</t>
        </is>
      </c>
      <c r="D126" s="18" t="inlineStr">
        <is>
          <t>KOSDAQ</t>
        </is>
      </c>
      <c r="E126" s="18" t="inlineStr">
        <is>
          <t>장비</t>
        </is>
      </c>
      <c r="F126" s="18" t="n">
        <v>57.49</v>
      </c>
      <c r="G126" s="18" t="n">
        <v>21.43</v>
      </c>
      <c r="H126" s="18" t="inlineStr">
        <is>
          <t>중립</t>
        </is>
      </c>
      <c r="I126" s="18" t="inlineStr">
        <is>
          <t>0.868464354966477</t>
        </is>
      </c>
      <c r="J126" t="inlineStr"/>
      <c r="K126" t="inlineStr"/>
      <c r="L126" t="inlineStr"/>
    </row>
    <row r="127" ht="22" customHeight="1">
      <c r="A127" s="18" t="inlineStr">
        <is>
          <t>이엘씨</t>
        </is>
      </c>
      <c r="B127" t="inlineStr"/>
      <c r="C127" s="18" t="inlineStr">
        <is>
          <t>041520</t>
        </is>
      </c>
      <c r="D127" s="18" t="inlineStr">
        <is>
          <t>KOSDAQ</t>
        </is>
      </c>
      <c r="E127" s="18" t="inlineStr">
        <is>
          <t>장비</t>
        </is>
      </c>
      <c r="F127" s="18" t="n">
        <v>57.22</v>
      </c>
      <c r="G127" s="18" t="n">
        <v>35.71</v>
      </c>
      <c r="H127" s="18" t="inlineStr">
        <is>
          <t>중립</t>
        </is>
      </c>
      <c r="I127" s="18" t="inlineStr">
        <is>
          <t>0.7059172837936919</t>
        </is>
      </c>
      <c r="J127" t="inlineStr"/>
      <c r="K127" t="inlineStr"/>
      <c r="L127" t="inlineStr"/>
    </row>
    <row r="128" ht="22" customHeight="1">
      <c r="A128" s="18" t="inlineStr">
        <is>
          <t>엑시콘</t>
        </is>
      </c>
      <c r="B128" t="inlineStr"/>
      <c r="C128" s="18" t="inlineStr">
        <is>
          <t>092870</t>
        </is>
      </c>
      <c r="D128" s="18" t="inlineStr">
        <is>
          <t>KOSDAQ</t>
        </is>
      </c>
      <c r="E128" s="18" t="inlineStr">
        <is>
          <t>후공정/패키징/테스트</t>
        </is>
      </c>
      <c r="F128" s="18" t="n">
        <v>57.11</v>
      </c>
      <c r="G128" s="18" t="n">
        <v>21.43</v>
      </c>
      <c r="H128" s="18" t="inlineStr">
        <is>
          <t>중립</t>
        </is>
      </c>
      <c r="I128" s="18" t="inlineStr">
        <is>
          <t>0.7870958268046786</t>
        </is>
      </c>
      <c r="J128" t="inlineStr"/>
      <c r="K128" t="inlineStr"/>
      <c r="L128" t="inlineStr"/>
    </row>
    <row r="129" ht="22" customHeight="1">
      <c r="A129" s="18" t="inlineStr">
        <is>
          <t>티이엠씨</t>
        </is>
      </c>
      <c r="B129" t="inlineStr"/>
      <c r="C129" s="18" t="inlineStr">
        <is>
          <t>425040</t>
        </is>
      </c>
      <c r="D129" s="18" t="inlineStr">
        <is>
          <t>KOSDAQ</t>
        </is>
      </c>
      <c r="E129" s="18" t="inlineStr">
        <is>
          <t>소재</t>
        </is>
      </c>
      <c r="F129" s="18" t="n">
        <v>56.67</v>
      </c>
      <c r="G129" s="18" t="n">
        <v>7.14</v>
      </c>
      <c r="H129" s="18" t="inlineStr">
        <is>
          <t>중립</t>
        </is>
      </c>
      <c r="I129" s="18" t="inlineStr">
        <is>
          <t>0.8720430887980049</t>
        </is>
      </c>
      <c r="J129" t="inlineStr"/>
      <c r="K129" t="inlineStr"/>
      <c r="L129" t="inlineStr"/>
    </row>
    <row r="130" ht="22" customHeight="1">
      <c r="A130" s="18" t="inlineStr">
        <is>
          <t>서울바이오시스</t>
        </is>
      </c>
      <c r="B130" t="inlineStr"/>
      <c r="C130" s="18" t="inlineStr">
        <is>
          <t>092190</t>
        </is>
      </c>
      <c r="D130" s="18" t="inlineStr">
        <is>
          <t>KOSDAQ</t>
        </is>
      </c>
      <c r="E130" s="18" t="inlineStr">
        <is>
          <t>IDM/제조/메모리</t>
        </is>
      </c>
      <c r="F130" s="18" t="n">
        <v>56.55</v>
      </c>
      <c r="G130" s="18" t="n">
        <v>42.86</v>
      </c>
      <c r="H130" s="18" t="inlineStr">
        <is>
          <t>중립</t>
        </is>
      </c>
      <c r="I130" s="18" t="inlineStr">
        <is>
          <t>0.7336783523450653</t>
        </is>
      </c>
      <c r="J130" t="inlineStr"/>
      <c r="K130" t="inlineStr"/>
      <c r="L130" t="inlineStr"/>
    </row>
    <row r="131" ht="22" customHeight="1">
      <c r="A131" s="18" t="inlineStr">
        <is>
          <t>에스앤에스텍</t>
        </is>
      </c>
      <c r="B131" t="inlineStr"/>
      <c r="C131" s="18" t="inlineStr">
        <is>
          <t>101490</t>
        </is>
      </c>
      <c r="D131" s="18" t="inlineStr">
        <is>
          <t>KOSDAQ</t>
        </is>
      </c>
      <c r="E131" s="18" t="inlineStr">
        <is>
          <t>소재</t>
        </is>
      </c>
      <c r="F131" s="18" t="n">
        <v>56.54</v>
      </c>
      <c r="G131" s="18" t="n">
        <v>7.14</v>
      </c>
      <c r="H131" s="18" t="inlineStr">
        <is>
          <t>중립</t>
        </is>
      </c>
      <c r="I131" s="18" t="inlineStr">
        <is>
          <t>0.7907123507381016</t>
        </is>
      </c>
      <c r="J131" t="inlineStr"/>
      <c r="K131" t="inlineStr"/>
      <c r="L131" t="inlineStr"/>
    </row>
    <row r="132" ht="22" customHeight="1">
      <c r="A132" s="18" t="inlineStr">
        <is>
          <t>포인트엔지니어링</t>
        </is>
      </c>
      <c r="B132" t="inlineStr"/>
      <c r="C132" s="18" t="inlineStr">
        <is>
          <t>256630</t>
        </is>
      </c>
      <c r="D132" s="18" t="inlineStr">
        <is>
          <t>KOSDAQ</t>
        </is>
      </c>
      <c r="E132" s="18" t="inlineStr">
        <is>
          <t>장비</t>
        </is>
      </c>
      <c r="F132" s="18" t="n">
        <v>56.49</v>
      </c>
      <c r="G132" s="18" t="n">
        <v>14.29</v>
      </c>
      <c r="H132" s="18" t="inlineStr">
        <is>
          <t>중립</t>
        </is>
      </c>
      <c r="I132" s="18" t="inlineStr">
        <is>
          <t>0.735270480034121</t>
        </is>
      </c>
      <c r="J132" t="inlineStr"/>
      <c r="K132" t="inlineStr"/>
      <c r="L132" t="inlineStr"/>
    </row>
    <row r="133" ht="22" customHeight="1">
      <c r="A133" s="18" t="inlineStr">
        <is>
          <t>테스</t>
        </is>
      </c>
      <c r="B133" t="inlineStr"/>
      <c r="C133" s="18" t="inlineStr">
        <is>
          <t>095610</t>
        </is>
      </c>
      <c r="D133" s="18" t="inlineStr">
        <is>
          <t>KOSDAQ</t>
        </is>
      </c>
      <c r="E133" s="18" t="inlineStr">
        <is>
          <t>장비</t>
        </is>
      </c>
      <c r="F133" s="18" t="n">
        <v>56.4</v>
      </c>
      <c r="G133" s="18" t="n">
        <v>14.29</v>
      </c>
      <c r="H133" s="18" t="inlineStr">
        <is>
          <t>중립</t>
        </is>
      </c>
      <c r="I133" s="18" t="inlineStr">
        <is>
          <t>0.5083695341145091</t>
        </is>
      </c>
      <c r="J133" t="inlineStr"/>
      <c r="K133" t="inlineStr"/>
      <c r="L133" t="inlineStr"/>
    </row>
    <row r="134" ht="22" customHeight="1">
      <c r="A134" s="18" t="inlineStr">
        <is>
          <t>코아시아</t>
        </is>
      </c>
      <c r="B134" t="inlineStr"/>
      <c r="C134" s="18" t="inlineStr">
        <is>
          <t>045970</t>
        </is>
      </c>
      <c r="D134" s="18" t="inlineStr">
        <is>
          <t>KOSDAQ</t>
        </is>
      </c>
      <c r="E134" s="18" t="inlineStr">
        <is>
          <t>팹리스/설계</t>
        </is>
      </c>
      <c r="F134" s="18" t="n">
        <v>56.12</v>
      </c>
      <c r="G134" s="18" t="n">
        <v>50</v>
      </c>
      <c r="H134" s="18" t="inlineStr">
        <is>
          <t>중립</t>
        </is>
      </c>
      <c r="I134" s="18" t="inlineStr">
        <is>
          <t>0.811266524244761</t>
        </is>
      </c>
      <c r="J134" t="inlineStr"/>
      <c r="K134" t="inlineStr"/>
      <c r="L134" t="inlineStr"/>
    </row>
    <row r="135" ht="22" customHeight="1">
      <c r="A135" s="18" t="inlineStr">
        <is>
          <t>우리이앤엘하루틴</t>
        </is>
      </c>
      <c r="B135" t="inlineStr"/>
      <c r="C135" s="18" t="inlineStr">
        <is>
          <t>153490</t>
        </is>
      </c>
      <c r="D135" s="18" t="inlineStr">
        <is>
          <t>KOSDAQ</t>
        </is>
      </c>
      <c r="E135" s="18" t="inlineStr">
        <is>
          <t>후공정/패키징/테스트</t>
        </is>
      </c>
      <c r="F135" s="18" t="n">
        <v>55.99</v>
      </c>
      <c r="G135" s="18" t="n">
        <v>14.29</v>
      </c>
      <c r="H135" s="18" t="inlineStr">
        <is>
          <t>중립</t>
        </is>
      </c>
      <c r="I135" s="18" t="inlineStr">
        <is>
          <t>0.803860880134826</t>
        </is>
      </c>
      <c r="J135" t="inlineStr"/>
      <c r="K135" t="inlineStr"/>
      <c r="L135" t="inlineStr"/>
    </row>
    <row r="136" ht="22" customHeight="1">
      <c r="A136" s="18" t="inlineStr">
        <is>
          <t>와이씨</t>
        </is>
      </c>
      <c r="B136" t="inlineStr"/>
      <c r="C136" s="18" t="inlineStr">
        <is>
          <t>232140</t>
        </is>
      </c>
      <c r="D136" s="18" t="inlineStr">
        <is>
          <t>KOSDAQ</t>
        </is>
      </c>
      <c r="E136" s="18" t="inlineStr">
        <is>
          <t>후공정/패키징/테스트</t>
        </is>
      </c>
      <c r="F136" s="18" t="n">
        <v>55.73</v>
      </c>
      <c r="G136" s="18" t="n">
        <v>0</v>
      </c>
      <c r="H136" s="18" t="inlineStr">
        <is>
          <t>중립</t>
        </is>
      </c>
      <c r="I136" s="18" t="inlineStr">
        <is>
          <t>0.5813875575219858</t>
        </is>
      </c>
      <c r="J136" t="inlineStr"/>
      <c r="K136" t="inlineStr"/>
      <c r="L136" t="inlineStr"/>
    </row>
    <row r="137" ht="22" customHeight="1">
      <c r="A137" s="18" t="inlineStr">
        <is>
          <t>기가비스</t>
        </is>
      </c>
      <c r="B137" t="inlineStr"/>
      <c r="C137" s="18" t="inlineStr">
        <is>
          <t>420770</t>
        </is>
      </c>
      <c r="D137" s="18" t="inlineStr">
        <is>
          <t>KOSDAQ</t>
        </is>
      </c>
      <c r="E137" s="18" t="inlineStr">
        <is>
          <t>후공정/패키징/테스트</t>
        </is>
      </c>
      <c r="F137" s="18" t="n">
        <v>55.44</v>
      </c>
      <c r="G137" s="18" t="n">
        <v>7.14</v>
      </c>
      <c r="H137" s="18" t="inlineStr">
        <is>
          <t>중립</t>
        </is>
      </c>
      <c r="I137" s="18" t="inlineStr">
        <is>
          <t>0.604283449323821</t>
        </is>
      </c>
      <c r="J137" t="inlineStr"/>
      <c r="K137" t="inlineStr"/>
      <c r="L137" t="inlineStr"/>
    </row>
    <row r="138" ht="22" customHeight="1">
      <c r="A138" s="18" t="inlineStr">
        <is>
          <t>픽셀플러스</t>
        </is>
      </c>
      <c r="B138" t="inlineStr"/>
      <c r="C138" s="18" t="inlineStr">
        <is>
          <t>087600</t>
        </is>
      </c>
      <c r="D138" s="18" t="inlineStr">
        <is>
          <t>KOSDAQ</t>
        </is>
      </c>
      <c r="E138" s="18" t="inlineStr">
        <is>
          <t>팹리스/설계</t>
        </is>
      </c>
      <c r="F138" s="18" t="n">
        <v>54.3</v>
      </c>
      <c r="G138" s="18" t="n">
        <v>28.57</v>
      </c>
      <c r="H138" s="18" t="inlineStr">
        <is>
          <t>중립</t>
        </is>
      </c>
      <c r="I138" s="18" t="inlineStr">
        <is>
          <t>0.8353732583827468</t>
        </is>
      </c>
      <c r="J138" t="inlineStr"/>
      <c r="K138" t="inlineStr"/>
      <c r="L138" t="inlineStr"/>
    </row>
    <row r="139" ht="22" customHeight="1">
      <c r="A139" s="18" t="inlineStr">
        <is>
          <t>칩스앤미디어</t>
        </is>
      </c>
      <c r="B139" t="inlineStr"/>
      <c r="C139" s="18" t="inlineStr">
        <is>
          <t>094360</t>
        </is>
      </c>
      <c r="D139" s="18" t="inlineStr">
        <is>
          <t>KOSDAQ</t>
        </is>
      </c>
      <c r="E139" s="18" t="inlineStr">
        <is>
          <t>팹리스/설계</t>
        </is>
      </c>
      <c r="F139" s="18" t="n">
        <v>54.24</v>
      </c>
      <c r="G139" s="18" t="n">
        <v>0</v>
      </c>
      <c r="H139" s="18" t="inlineStr">
        <is>
          <t>중립</t>
        </is>
      </c>
      <c r="I139" s="18" t="inlineStr">
        <is>
          <t>0.44740744488593415</t>
        </is>
      </c>
      <c r="J139" t="inlineStr"/>
      <c r="K139" t="inlineStr"/>
      <c r="L139" t="inlineStr"/>
    </row>
    <row r="140" ht="22" customHeight="1">
      <c r="A140" s="18" t="inlineStr">
        <is>
          <t>큐에스아이</t>
        </is>
      </c>
      <c r="B140" t="inlineStr"/>
      <c r="C140" s="18" t="inlineStr">
        <is>
          <t>066310</t>
        </is>
      </c>
      <c r="D140" s="18" t="inlineStr">
        <is>
          <t>KOSDAQ</t>
        </is>
      </c>
      <c r="E140" s="18" t="inlineStr">
        <is>
          <t>IDM/제조/메모리</t>
        </is>
      </c>
      <c r="F140" s="18" t="n">
        <v>54.23</v>
      </c>
      <c r="G140" s="18" t="n">
        <v>7.14</v>
      </c>
      <c r="H140" s="18" t="inlineStr">
        <is>
          <t>중립</t>
        </is>
      </c>
      <c r="I140" s="18" t="inlineStr">
        <is>
          <t>0.5496283015517583</t>
        </is>
      </c>
      <c r="J140" t="inlineStr"/>
      <c r="K140" t="inlineStr"/>
      <c r="L140" t="inlineStr"/>
    </row>
    <row r="141" ht="22" customHeight="1">
      <c r="A141" s="18" t="inlineStr">
        <is>
          <t>유니셈</t>
        </is>
      </c>
      <c r="B141" t="inlineStr"/>
      <c r="C141" s="18" t="inlineStr">
        <is>
          <t>036200</t>
        </is>
      </c>
      <c r="D141" s="18" t="inlineStr">
        <is>
          <t>KOSDAQ</t>
        </is>
      </c>
      <c r="E141" s="18" t="inlineStr">
        <is>
          <t>장비</t>
        </is>
      </c>
      <c r="F141" s="18" t="n">
        <v>54.09</v>
      </c>
      <c r="G141" s="18" t="n">
        <v>21.43</v>
      </c>
      <c r="H141" s="18" t="inlineStr">
        <is>
          <t>중립</t>
        </is>
      </c>
      <c r="I141" s="18" t="inlineStr">
        <is>
          <t>0.751305499027411</t>
        </is>
      </c>
      <c r="J141" t="inlineStr"/>
      <c r="K141" t="inlineStr"/>
      <c r="L141" t="inlineStr"/>
    </row>
    <row r="142" ht="22" customHeight="1">
      <c r="A142" s="18" t="inlineStr">
        <is>
          <t>피에스케이홀딩스</t>
        </is>
      </c>
      <c r="B142" t="inlineStr"/>
      <c r="C142" s="18" t="inlineStr">
        <is>
          <t>031980</t>
        </is>
      </c>
      <c r="D142" s="18" t="inlineStr">
        <is>
          <t>KOSDAQ</t>
        </is>
      </c>
      <c r="E142" s="18" t="inlineStr">
        <is>
          <t>장비</t>
        </is>
      </c>
      <c r="F142" s="18" t="n">
        <v>53.85</v>
      </c>
      <c r="G142" s="18" t="n">
        <v>0</v>
      </c>
      <c r="H142" s="18" t="inlineStr">
        <is>
          <t>중립</t>
        </is>
      </c>
      <c r="I142" s="18" t="inlineStr">
        <is>
          <t>0.7521125976897308</t>
        </is>
      </c>
      <c r="J142" t="inlineStr"/>
      <c r="K142" t="inlineStr"/>
      <c r="L142" t="inlineStr"/>
    </row>
    <row r="143" ht="22" customHeight="1">
      <c r="A143" s="18" t="inlineStr">
        <is>
          <t>워트</t>
        </is>
      </c>
      <c r="B143" t="inlineStr"/>
      <c r="C143" s="18" t="inlineStr">
        <is>
          <t>396470</t>
        </is>
      </c>
      <c r="D143" s="18" t="inlineStr">
        <is>
          <t>KOSDAQ</t>
        </is>
      </c>
      <c r="E143" s="18" t="inlineStr">
        <is>
          <t>장비</t>
        </is>
      </c>
      <c r="F143" s="18" t="n">
        <v>53.84</v>
      </c>
      <c r="G143" s="18" t="n">
        <v>7.14</v>
      </c>
      <c r="H143" s="18" t="inlineStr">
        <is>
          <t>중립</t>
        </is>
      </c>
      <c r="I143" s="18" t="inlineStr">
        <is>
          <t>0.6073344328439819</t>
        </is>
      </c>
      <c r="J143" t="inlineStr"/>
      <c r="K143" t="inlineStr"/>
      <c r="L143" t="inlineStr"/>
    </row>
    <row r="144" ht="22" customHeight="1">
      <c r="A144" s="18" t="inlineStr">
        <is>
          <t>엘오티베큠</t>
        </is>
      </c>
      <c r="B144" t="inlineStr"/>
      <c r="C144" s="18" t="inlineStr">
        <is>
          <t>083310</t>
        </is>
      </c>
      <c r="D144" s="18" t="inlineStr">
        <is>
          <t>KOSDAQ</t>
        </is>
      </c>
      <c r="E144" s="18" t="inlineStr">
        <is>
          <t>IDM/제조/메모리</t>
        </is>
      </c>
      <c r="F144" s="18" t="n">
        <v>53.8</v>
      </c>
      <c r="G144" s="18" t="n">
        <v>21.43</v>
      </c>
      <c r="H144" s="18" t="inlineStr">
        <is>
          <t>중립</t>
        </is>
      </c>
      <c r="I144" s="18" t="inlineStr">
        <is>
          <t>0.860578291373445</t>
        </is>
      </c>
      <c r="J144" t="inlineStr"/>
      <c r="K144" t="inlineStr"/>
      <c r="L144" t="inlineStr"/>
    </row>
    <row r="145" ht="22" customHeight="1">
      <c r="A145" s="18" t="inlineStr">
        <is>
          <t>비씨엔씨</t>
        </is>
      </c>
      <c r="B145" t="inlineStr"/>
      <c r="C145" s="18" t="inlineStr">
        <is>
          <t>146320</t>
        </is>
      </c>
      <c r="D145" s="18" t="inlineStr">
        <is>
          <t>KOSDAQ</t>
        </is>
      </c>
      <c r="E145" s="18" t="inlineStr">
        <is>
          <t>IDM/제조/메모리</t>
        </is>
      </c>
      <c r="F145" s="18" t="n">
        <v>53.66</v>
      </c>
      <c r="G145" s="18" t="n">
        <v>28.57</v>
      </c>
      <c r="H145" s="18" t="inlineStr">
        <is>
          <t>중립</t>
        </is>
      </c>
      <c r="I145" s="18" t="inlineStr">
        <is>
          <t>0.7033805368548921</t>
        </is>
      </c>
      <c r="J145" t="inlineStr"/>
      <c r="K145" t="inlineStr"/>
      <c r="L145" t="inlineStr"/>
    </row>
    <row r="146" ht="22" customHeight="1">
      <c r="A146" s="18" t="inlineStr">
        <is>
          <t>티엘비</t>
        </is>
      </c>
      <c r="B146" t="inlineStr"/>
      <c r="C146" s="18" t="inlineStr">
        <is>
          <t>356860</t>
        </is>
      </c>
      <c r="D146" s="18" t="inlineStr">
        <is>
          <t>KOSDAQ</t>
        </is>
      </c>
      <c r="E146" s="18" t="inlineStr">
        <is>
          <t>IDM/제조/메모리</t>
        </is>
      </c>
      <c r="F146" s="18" t="n">
        <v>53.62</v>
      </c>
      <c r="G146" s="18" t="n">
        <v>7.14</v>
      </c>
      <c r="H146" s="18" t="inlineStr">
        <is>
          <t>중립</t>
        </is>
      </c>
      <c r="I146" s="18" t="inlineStr">
        <is>
          <t>0.8509295904965918</t>
        </is>
      </c>
      <c r="J146" t="inlineStr"/>
      <c r="K146" t="inlineStr"/>
      <c r="L146" t="inlineStr"/>
    </row>
    <row r="147" ht="22" customHeight="1">
      <c r="A147" s="18" t="inlineStr">
        <is>
          <t>피에스케이</t>
        </is>
      </c>
      <c r="B147" t="inlineStr"/>
      <c r="C147" s="18" t="inlineStr">
        <is>
          <t>319660</t>
        </is>
      </c>
      <c r="D147" s="18" t="inlineStr">
        <is>
          <t>KOSDAQ GLOBAL</t>
        </is>
      </c>
      <c r="E147" s="18" t="inlineStr">
        <is>
          <t>장비</t>
        </is>
      </c>
      <c r="F147" s="18" t="n">
        <v>53.57</v>
      </c>
      <c r="G147" s="18" t="n">
        <v>0</v>
      </c>
      <c r="H147" s="18" t="inlineStr">
        <is>
          <t>중립</t>
        </is>
      </c>
      <c r="I147" s="18" t="inlineStr">
        <is>
          <t>0.7072072873445469</t>
        </is>
      </c>
      <c r="J147" t="inlineStr"/>
      <c r="K147" t="inlineStr"/>
      <c r="L147" t="inlineStr"/>
    </row>
    <row r="148" ht="22" customHeight="1">
      <c r="A148" s="18" t="inlineStr">
        <is>
          <t>해성디에스</t>
        </is>
      </c>
      <c r="B148" t="inlineStr"/>
      <c r="C148" s="18" t="inlineStr">
        <is>
          <t>195870</t>
        </is>
      </c>
      <c r="D148" s="18" t="inlineStr">
        <is>
          <t>KOSPI</t>
        </is>
      </c>
      <c r="E148" s="18" t="inlineStr">
        <is>
          <t>후공정/패키징/테스트</t>
        </is>
      </c>
      <c r="F148" s="18" t="n">
        <v>53.33</v>
      </c>
      <c r="G148" s="18" t="n">
        <v>7.14</v>
      </c>
      <c r="H148" s="18" t="inlineStr">
        <is>
          <t>중립</t>
        </is>
      </c>
      <c r="I148" s="18" t="inlineStr">
        <is>
          <t>0.8942165906576592</t>
        </is>
      </c>
      <c r="J148" t="inlineStr"/>
      <c r="K148" t="inlineStr"/>
      <c r="L148" t="inlineStr"/>
    </row>
    <row r="149" ht="22" customHeight="1">
      <c r="A149" s="18" t="inlineStr">
        <is>
          <t>심텍홀딩스</t>
        </is>
      </c>
      <c r="B149" t="inlineStr"/>
      <c r="C149" s="18" t="inlineStr">
        <is>
          <t>036710</t>
        </is>
      </c>
      <c r="D149" s="18" t="inlineStr">
        <is>
          <t>KOSDAQ</t>
        </is>
      </c>
      <c r="E149" s="18" t="inlineStr">
        <is>
          <t>부품/기판</t>
        </is>
      </c>
      <c r="F149" s="18" t="n">
        <v>53.24</v>
      </c>
      <c r="G149" s="18" t="n">
        <v>78.56999999999999</v>
      </c>
      <c r="H149" s="18" t="inlineStr">
        <is>
          <t>중립</t>
        </is>
      </c>
      <c r="I149" s="18" t="inlineStr">
        <is>
          <t>0.726519318190825</t>
        </is>
      </c>
      <c r="J149" t="inlineStr"/>
      <c r="K149" t="inlineStr"/>
      <c r="L149" t="inlineStr"/>
    </row>
    <row r="150" ht="22" customHeight="1">
      <c r="A150" s="18" t="inlineStr">
        <is>
          <t>하나머티리얼즈</t>
        </is>
      </c>
      <c r="B150" t="inlineStr"/>
      <c r="C150" s="18" t="inlineStr">
        <is>
          <t>166090</t>
        </is>
      </c>
      <c r="D150" s="18" t="inlineStr">
        <is>
          <t>KOSDAQ GLOBAL</t>
        </is>
      </c>
      <c r="E150" s="18" t="inlineStr">
        <is>
          <t>IDM/제조/메모리</t>
        </is>
      </c>
      <c r="F150" s="18" t="n">
        <v>53.22</v>
      </c>
      <c r="G150" s="18" t="n">
        <v>0</v>
      </c>
      <c r="H150" s="18" t="inlineStr">
        <is>
          <t>중립</t>
        </is>
      </c>
      <c r="I150" s="18" t="inlineStr">
        <is>
          <t>0.6425667923365267</t>
        </is>
      </c>
      <c r="J150" t="inlineStr"/>
      <c r="K150" t="inlineStr"/>
      <c r="L150" t="inlineStr"/>
    </row>
    <row r="151" ht="22" customHeight="1">
      <c r="A151" s="18" t="inlineStr">
        <is>
          <t>엠디바이스</t>
        </is>
      </c>
      <c r="B151" t="inlineStr"/>
      <c r="C151" s="18" t="inlineStr">
        <is>
          <t>226590</t>
        </is>
      </c>
      <c r="D151" s="18" t="inlineStr">
        <is>
          <t>KOSDAQ</t>
        </is>
      </c>
      <c r="E151" s="18" t="inlineStr">
        <is>
          <t>부품/기판</t>
        </is>
      </c>
      <c r="F151" s="18" t="n">
        <v>53.19</v>
      </c>
      <c r="G151" s="18" t="n">
        <v>42.86</v>
      </c>
      <c r="H151" s="18" t="inlineStr">
        <is>
          <t>중립</t>
        </is>
      </c>
      <c r="I151" s="18" t="inlineStr">
        <is>
          <t>0.7655361666958056</t>
        </is>
      </c>
      <c r="J151" t="inlineStr"/>
      <c r="K151" t="inlineStr"/>
      <c r="L151" t="inlineStr"/>
    </row>
    <row r="152" ht="22" customHeight="1">
      <c r="A152" s="18" t="inlineStr">
        <is>
          <t>제이아이테크</t>
        </is>
      </c>
      <c r="B152" t="inlineStr"/>
      <c r="C152" s="18" t="inlineStr">
        <is>
          <t>417500</t>
        </is>
      </c>
      <c r="D152" s="18" t="inlineStr">
        <is>
          <t>KOSDAQ</t>
        </is>
      </c>
      <c r="E152" s="18" t="inlineStr">
        <is>
          <t>소재</t>
        </is>
      </c>
      <c r="F152" s="18" t="n">
        <v>52.64</v>
      </c>
      <c r="G152" s="18" t="n">
        <v>7.14</v>
      </c>
      <c r="H152" s="18" t="inlineStr">
        <is>
          <t>중립</t>
        </is>
      </c>
      <c r="I152" s="18" t="inlineStr">
        <is>
          <t>0.8525733569966568</t>
        </is>
      </c>
      <c r="J152" t="inlineStr"/>
      <c r="K152" t="inlineStr"/>
      <c r="L152" t="inlineStr"/>
    </row>
    <row r="153" ht="22" customHeight="1">
      <c r="A153" s="18" t="inlineStr">
        <is>
          <t>브이엠</t>
        </is>
      </c>
      <c r="B153" t="inlineStr"/>
      <c r="C153" s="18" t="inlineStr">
        <is>
          <t>089970</t>
        </is>
      </c>
      <c r="D153" s="18" t="inlineStr">
        <is>
          <t>KOSDAQ</t>
        </is>
      </c>
      <c r="E153" s="18" t="inlineStr">
        <is>
          <t>장비</t>
        </is>
      </c>
      <c r="F153" s="18" t="n">
        <v>52.04</v>
      </c>
      <c r="G153" s="18" t="n">
        <v>0</v>
      </c>
      <c r="H153" s="18" t="inlineStr">
        <is>
          <t>중립</t>
        </is>
      </c>
      <c r="I153" s="18" t="inlineStr">
        <is>
          <t>0.737579554357605</t>
        </is>
      </c>
      <c r="J153" t="inlineStr"/>
      <c r="K153" t="inlineStr"/>
      <c r="L153" t="inlineStr"/>
    </row>
    <row r="154" ht="22" customHeight="1">
      <c r="A154" s="18" t="inlineStr">
        <is>
          <t>ISC</t>
        </is>
      </c>
      <c r="B154" t="inlineStr"/>
      <c r="C154" s="18" t="inlineStr">
        <is>
          <t>095340</t>
        </is>
      </c>
      <c r="D154" s="18" t="inlineStr">
        <is>
          <t>KOSDAQ GLOBAL</t>
        </is>
      </c>
      <c r="E154" s="18" t="inlineStr">
        <is>
          <t>후공정/패키징/테스트</t>
        </is>
      </c>
      <c r="F154" s="18" t="n">
        <v>51.76</v>
      </c>
      <c r="G154" s="18" t="n">
        <v>0</v>
      </c>
      <c r="H154" s="18" t="inlineStr">
        <is>
          <t>중립</t>
        </is>
      </c>
      <c r="I154" s="18" t="inlineStr">
        <is>
          <t>0.5753148434947495</t>
        </is>
      </c>
      <c r="J154" t="inlineStr"/>
      <c r="K154" t="inlineStr"/>
      <c r="L154" t="inlineStr"/>
    </row>
    <row r="155" ht="22" customHeight="1">
      <c r="A155" s="18" t="inlineStr">
        <is>
          <t>원익QnC</t>
        </is>
      </c>
      <c r="B155" t="inlineStr"/>
      <c r="C155" s="18" t="inlineStr">
        <is>
          <t>074600</t>
        </is>
      </c>
      <c r="D155" s="18" t="inlineStr">
        <is>
          <t>KOSDAQ GLOBAL</t>
        </is>
      </c>
      <c r="E155" s="18" t="inlineStr">
        <is>
          <t>소재</t>
        </is>
      </c>
      <c r="F155" s="18" t="n">
        <v>51.56</v>
      </c>
      <c r="G155" s="18" t="n">
        <v>28.57</v>
      </c>
      <c r="H155" s="18" t="inlineStr">
        <is>
          <t>중립</t>
        </is>
      </c>
      <c r="I155" s="18" t="inlineStr">
        <is>
          <t>0.4211836082778998</t>
        </is>
      </c>
      <c r="J155" t="inlineStr"/>
      <c r="K155" t="inlineStr"/>
      <c r="L155" t="inlineStr"/>
    </row>
    <row r="156" ht="22" customHeight="1">
      <c r="A156" s="18" t="inlineStr">
        <is>
          <t>엠케이전자</t>
        </is>
      </c>
      <c r="B156" t="inlineStr"/>
      <c r="C156" s="18" t="inlineStr">
        <is>
          <t>033160</t>
        </is>
      </c>
      <c r="D156" s="18" t="inlineStr">
        <is>
          <t>KOSDAQ</t>
        </is>
      </c>
      <c r="E156" s="18" t="inlineStr">
        <is>
          <t>소재</t>
        </is>
      </c>
      <c r="F156" s="18" t="n">
        <v>51.05</v>
      </c>
      <c r="G156" s="18" t="n">
        <v>57.14</v>
      </c>
      <c r="H156" s="18" t="inlineStr">
        <is>
          <t>중립</t>
        </is>
      </c>
      <c r="I156" s="18" t="inlineStr">
        <is>
          <t>0.801168459079624</t>
        </is>
      </c>
      <c r="J156" t="inlineStr"/>
      <c r="K156" t="inlineStr"/>
      <c r="L156" t="inlineStr"/>
    </row>
    <row r="157" ht="22" customHeight="1">
      <c r="A157" s="18" t="inlineStr">
        <is>
          <t>웰킵스하이텍</t>
        </is>
      </c>
      <c r="B157" t="inlineStr"/>
      <c r="C157" s="18" t="inlineStr">
        <is>
          <t>043590</t>
        </is>
      </c>
      <c r="D157" s="18" t="inlineStr">
        <is>
          <t>KOSDAQ</t>
        </is>
      </c>
      <c r="E157" s="18" t="inlineStr">
        <is>
          <t>IDM/제조/메모리</t>
        </is>
      </c>
      <c r="F157" s="18" t="n">
        <v>50.87</v>
      </c>
      <c r="G157" s="18" t="n">
        <v>71.43000000000001</v>
      </c>
      <c r="H157" s="18" t="inlineStr">
        <is>
          <t>중립</t>
        </is>
      </c>
      <c r="I157" s="18" t="inlineStr">
        <is>
          <t>0.7753200487478359</t>
        </is>
      </c>
      <c r="J157" t="inlineStr"/>
      <c r="K157" t="inlineStr"/>
      <c r="L157" t="inlineStr"/>
    </row>
    <row r="158" ht="22" customHeight="1">
      <c r="A158" s="18" t="inlineStr">
        <is>
          <t>타이거일렉</t>
        </is>
      </c>
      <c r="B158" t="inlineStr"/>
      <c r="C158" s="18" t="inlineStr">
        <is>
          <t>219130</t>
        </is>
      </c>
      <c r="D158" s="18" t="inlineStr">
        <is>
          <t>KOSDAQ</t>
        </is>
      </c>
      <c r="E158" s="18" t="inlineStr">
        <is>
          <t>부품/기판</t>
        </is>
      </c>
      <c r="F158" s="18" t="n">
        <v>50.67</v>
      </c>
      <c r="G158" s="18" t="n">
        <v>14.29</v>
      </c>
      <c r="H158" s="18" t="inlineStr">
        <is>
          <t>중립</t>
        </is>
      </c>
      <c r="I158" s="18" t="inlineStr">
        <is>
          <t>0.6463040733623892</t>
        </is>
      </c>
      <c r="J158" t="inlineStr"/>
      <c r="K158" t="inlineStr"/>
      <c r="L158" t="inlineStr"/>
    </row>
    <row r="159" ht="22" customHeight="1">
      <c r="A159" s="18" t="inlineStr">
        <is>
          <t>이수페타시스</t>
        </is>
      </c>
      <c r="B159" t="inlineStr"/>
      <c r="C159" s="18" t="inlineStr">
        <is>
          <t>007660</t>
        </is>
      </c>
      <c r="D159" s="18" t="inlineStr">
        <is>
          <t>KOSPI</t>
        </is>
      </c>
      <c r="E159" s="18" t="inlineStr">
        <is>
          <t>부품/기판</t>
        </is>
      </c>
      <c r="F159" s="18" t="n">
        <v>50.62</v>
      </c>
      <c r="G159" s="18" t="n">
        <v>0</v>
      </c>
      <c r="H159" s="18" t="inlineStr">
        <is>
          <t>중립</t>
        </is>
      </c>
      <c r="I159" s="18" t="inlineStr">
        <is>
          <t>0.599589540069591</t>
        </is>
      </c>
      <c r="J159" t="inlineStr"/>
      <c r="K159" t="inlineStr"/>
      <c r="L159" t="inlineStr"/>
    </row>
    <row r="160" ht="22" customHeight="1">
      <c r="A160" s="18" t="inlineStr">
        <is>
          <t>에이팩트</t>
        </is>
      </c>
      <c r="B160" t="inlineStr"/>
      <c r="C160" s="18" t="inlineStr">
        <is>
          <t>200470</t>
        </is>
      </c>
      <c r="D160" s="18" t="inlineStr">
        <is>
          <t>KOSDAQ</t>
        </is>
      </c>
      <c r="E160" s="18" t="inlineStr">
        <is>
          <t>후공정/패키징/테스트</t>
        </is>
      </c>
      <c r="F160" s="18" t="n">
        <v>50.27</v>
      </c>
      <c r="G160" s="18" t="n">
        <v>42.86</v>
      </c>
      <c r="H160" s="18" t="inlineStr">
        <is>
          <t>중립</t>
        </is>
      </c>
      <c r="I160" s="18" t="inlineStr">
        <is>
          <t>0.8010795762920226</t>
        </is>
      </c>
      <c r="J160" t="inlineStr"/>
      <c r="K160" t="inlineStr"/>
      <c r="L160" t="inlineStr"/>
    </row>
    <row r="161" ht="22" customHeight="1">
      <c r="A161" s="18" t="inlineStr">
        <is>
          <t>와이엠티</t>
        </is>
      </c>
      <c r="B161" t="inlineStr"/>
      <c r="C161" s="18" t="inlineStr">
        <is>
          <t>251370</t>
        </is>
      </c>
      <c r="D161" s="18" t="inlineStr">
        <is>
          <t>KOSDAQ</t>
        </is>
      </c>
      <c r="E161" s="18" t="inlineStr">
        <is>
          <t>소재</t>
        </is>
      </c>
      <c r="F161" s="18" t="n">
        <v>49.9</v>
      </c>
      <c r="G161" s="18" t="n">
        <v>21.43</v>
      </c>
      <c r="H161" s="18" t="inlineStr">
        <is>
          <t>중립</t>
        </is>
      </c>
      <c r="I161" s="18" t="inlineStr">
        <is>
          <t>0.730943868859095</t>
        </is>
      </c>
      <c r="J161" t="inlineStr"/>
      <c r="K161" t="inlineStr"/>
      <c r="L161" t="inlineStr"/>
    </row>
    <row r="162" ht="22" customHeight="1">
      <c r="A162" s="18" t="inlineStr">
        <is>
          <t>아이케이세미콘</t>
        </is>
      </c>
      <c r="B162" t="inlineStr"/>
      <c r="C162" s="18" t="inlineStr">
        <is>
          <t>149010</t>
        </is>
      </c>
      <c r="D162" s="18" t="inlineStr">
        <is>
          <t>KONEX</t>
        </is>
      </c>
      <c r="E162" s="18" t="inlineStr">
        <is>
          <t>팹리스/설계</t>
        </is>
      </c>
      <c r="F162" s="18" t="n">
        <v>49.8</v>
      </c>
      <c r="G162" s="18" t="n">
        <v>64.29000000000001</v>
      </c>
      <c r="H162" s="18" t="inlineStr">
        <is>
          <t>중립</t>
        </is>
      </c>
      <c r="I162" s="18" t="inlineStr">
        <is>
          <t>0.9626560040296214</t>
        </is>
      </c>
      <c r="J162" t="inlineStr"/>
      <c r="K162" t="inlineStr"/>
      <c r="L162" t="inlineStr"/>
    </row>
    <row r="163" ht="22" customHeight="1">
      <c r="A163" s="18" t="inlineStr">
        <is>
          <t>코세스</t>
        </is>
      </c>
      <c r="B163" t="inlineStr"/>
      <c r="C163" s="18" t="inlineStr">
        <is>
          <t>089890</t>
        </is>
      </c>
      <c r="D163" s="18" t="inlineStr">
        <is>
          <t>KOSDAQ</t>
        </is>
      </c>
      <c r="E163" s="18" t="inlineStr">
        <is>
          <t>장비</t>
        </is>
      </c>
      <c r="F163" s="18" t="n">
        <v>49.79</v>
      </c>
      <c r="G163" s="18" t="n">
        <v>7.14</v>
      </c>
      <c r="H163" s="18" t="inlineStr">
        <is>
          <t>중립</t>
        </is>
      </c>
      <c r="I163" s="18" t="inlineStr">
        <is>
          <t>0.7228094449358575</t>
        </is>
      </c>
      <c r="J163" t="inlineStr"/>
      <c r="K163" t="inlineStr"/>
      <c r="L163" t="inlineStr"/>
    </row>
    <row r="164" ht="22" customHeight="1">
      <c r="A164" s="18" t="inlineStr">
        <is>
          <t>코스텍시스템</t>
        </is>
      </c>
      <c r="B164" t="inlineStr"/>
      <c r="C164" s="18" t="inlineStr">
        <is>
          <t>169670</t>
        </is>
      </c>
      <c r="D164" s="18" t="inlineStr">
        <is>
          <t>KONEX</t>
        </is>
      </c>
      <c r="E164" s="18" t="inlineStr">
        <is>
          <t>장비</t>
        </is>
      </c>
      <c r="F164" s="18" t="n">
        <v>49.6</v>
      </c>
      <c r="G164" s="18" t="n">
        <v>21.43</v>
      </c>
      <c r="H164" s="18" t="inlineStr">
        <is>
          <t>중립</t>
        </is>
      </c>
      <c r="I164" s="18" t="inlineStr">
        <is>
          <t>0.9640840061970892</t>
        </is>
      </c>
      <c r="J164" t="inlineStr"/>
      <c r="K164" t="inlineStr"/>
      <c r="L164" t="inlineStr"/>
    </row>
    <row r="165" ht="22" customHeight="1">
      <c r="A165" s="18" t="inlineStr">
        <is>
          <t>삼성전기</t>
        </is>
      </c>
      <c r="B165" t="inlineStr"/>
      <c r="C165" s="18" t="inlineStr">
        <is>
          <t>009150</t>
        </is>
      </c>
      <c r="D165" s="18" t="inlineStr">
        <is>
          <t>KOSPI</t>
        </is>
      </c>
      <c r="E165" s="18" t="inlineStr">
        <is>
          <t>후공정/패키징/테스트</t>
        </is>
      </c>
      <c r="F165" s="18" t="n">
        <v>49.57</v>
      </c>
      <c r="G165" s="18" t="n">
        <v>0</v>
      </c>
      <c r="H165" s="18" t="inlineStr">
        <is>
          <t>중립</t>
        </is>
      </c>
      <c r="I165" s="18" t="inlineStr">
        <is>
          <t>0.5297655139045552</t>
        </is>
      </c>
      <c r="J165" t="inlineStr"/>
      <c r="K165" t="inlineStr"/>
      <c r="L165" t="inlineStr"/>
    </row>
    <row r="166" ht="22" customHeight="1">
      <c r="A166" s="18" t="inlineStr">
        <is>
          <t>티씨케이</t>
        </is>
      </c>
      <c r="B166" t="inlineStr"/>
      <c r="C166" s="18" t="inlineStr">
        <is>
          <t>064760</t>
        </is>
      </c>
      <c r="D166" s="18" t="inlineStr">
        <is>
          <t>KOSDAQ GLOBAL</t>
        </is>
      </c>
      <c r="E166" s="18" t="inlineStr">
        <is>
          <t>소재</t>
        </is>
      </c>
      <c r="F166" s="18" t="n">
        <v>49.56</v>
      </c>
      <c r="G166" s="18" t="n">
        <v>0</v>
      </c>
      <c r="H166" s="18" t="inlineStr">
        <is>
          <t>중립</t>
        </is>
      </c>
      <c r="I166" s="18" t="inlineStr">
        <is>
          <t>0.6535546916238612</t>
        </is>
      </c>
      <c r="J166" t="inlineStr"/>
      <c r="K166" t="inlineStr"/>
      <c r="L166" t="inlineStr"/>
    </row>
    <row r="167" ht="22" customHeight="1">
      <c r="A167" s="18" t="inlineStr">
        <is>
          <t>텔레칩스</t>
        </is>
      </c>
      <c r="B167" t="inlineStr"/>
      <c r="C167" s="18" t="inlineStr">
        <is>
          <t>054450</t>
        </is>
      </c>
      <c r="D167" s="18" t="inlineStr">
        <is>
          <t>KOSDAQ</t>
        </is>
      </c>
      <c r="E167" s="18" t="inlineStr">
        <is>
          <t>팹리스/설계</t>
        </is>
      </c>
      <c r="F167" s="18" t="n">
        <v>49.43</v>
      </c>
      <c r="G167" s="18" t="n">
        <v>71.43000000000001</v>
      </c>
      <c r="H167" s="18" t="inlineStr">
        <is>
          <t>중립</t>
        </is>
      </c>
      <c r="I167" s="18" t="inlineStr">
        <is>
          <t>0.5716537225721987</t>
        </is>
      </c>
      <c r="J167" t="inlineStr"/>
      <c r="K167" t="inlineStr"/>
      <c r="L167" t="inlineStr"/>
    </row>
    <row r="168" ht="22" customHeight="1">
      <c r="A168" s="18" t="inlineStr">
        <is>
          <t>에이엘티</t>
        </is>
      </c>
      <c r="B168" t="inlineStr"/>
      <c r="C168" s="18" t="inlineStr">
        <is>
          <t>172670</t>
        </is>
      </c>
      <c r="D168" s="18" t="inlineStr">
        <is>
          <t>KOSDAQ</t>
        </is>
      </c>
      <c r="E168" s="18" t="inlineStr">
        <is>
          <t>후공정/패키징/테스트</t>
        </is>
      </c>
      <c r="F168" s="18" t="n">
        <v>48.77</v>
      </c>
      <c r="G168" s="18" t="n">
        <v>35.71</v>
      </c>
      <c r="H168" s="18" t="inlineStr">
        <is>
          <t>중립</t>
        </is>
      </c>
      <c r="I168" s="18" t="inlineStr">
        <is>
          <t>0.5308622758067901</t>
        </is>
      </c>
      <c r="J168" t="inlineStr"/>
      <c r="K168" t="inlineStr"/>
      <c r="L168" t="inlineStr"/>
    </row>
    <row r="169" ht="22" customHeight="1">
      <c r="A169" s="18" t="inlineStr">
        <is>
          <t>알파칩스</t>
        </is>
      </c>
      <c r="B169" t="inlineStr"/>
      <c r="C169" s="18" t="inlineStr">
        <is>
          <t>117670</t>
        </is>
      </c>
      <c r="D169" s="18" t="inlineStr">
        <is>
          <t>KOSDAQ</t>
        </is>
      </c>
      <c r="E169" s="18" t="inlineStr">
        <is>
          <t>팹리스/설계</t>
        </is>
      </c>
      <c r="F169" s="18" t="n">
        <v>48.26</v>
      </c>
      <c r="G169" s="18" t="n">
        <v>28.57</v>
      </c>
      <c r="H169" s="18" t="inlineStr">
        <is>
          <t>중립</t>
        </is>
      </c>
      <c r="I169" s="18" t="inlineStr">
        <is>
          <t>0.7398835550872951</t>
        </is>
      </c>
      <c r="J169" t="inlineStr"/>
      <c r="K169" t="inlineStr"/>
      <c r="L169" t="inlineStr"/>
    </row>
    <row r="170" ht="22" customHeight="1">
      <c r="A170" s="18" t="inlineStr">
        <is>
          <t>큐알티</t>
        </is>
      </c>
      <c r="B170" t="inlineStr"/>
      <c r="C170" s="18" t="inlineStr">
        <is>
          <t>405100</t>
        </is>
      </c>
      <c r="D170" s="18" t="inlineStr">
        <is>
          <t>KOSDAQ</t>
        </is>
      </c>
      <c r="E170" s="18" t="inlineStr">
        <is>
          <t>후공정/패키징/테스트</t>
        </is>
      </c>
      <c r="F170" s="18" t="n">
        <v>47.82</v>
      </c>
      <c r="G170" s="18" t="n">
        <v>0</v>
      </c>
      <c r="H170" s="18" t="inlineStr">
        <is>
          <t>중립</t>
        </is>
      </c>
      <c r="I170" s="18" t="inlineStr">
        <is>
          <t>0.4463498311096922</t>
        </is>
      </c>
      <c r="J170" t="inlineStr"/>
      <c r="K170" t="inlineStr"/>
      <c r="L170" t="inlineStr"/>
    </row>
    <row r="171" ht="22" customHeight="1">
      <c r="A171" s="18" t="inlineStr">
        <is>
          <t>테크엘</t>
        </is>
      </c>
      <c r="B171" t="inlineStr"/>
      <c r="C171" s="18" t="inlineStr">
        <is>
          <t>064520</t>
        </is>
      </c>
      <c r="D171" s="18" t="inlineStr">
        <is>
          <t>KOSDAQ</t>
        </is>
      </c>
      <c r="E171" s="18" t="inlineStr">
        <is>
          <t>IDM/제조/메모리</t>
        </is>
      </c>
      <c r="F171" s="18" t="n">
        <v>47.57</v>
      </c>
      <c r="G171" s="18" t="n">
        <v>50</v>
      </c>
      <c r="H171" s="18" t="inlineStr">
        <is>
          <t>중립</t>
        </is>
      </c>
      <c r="I171" s="18" t="inlineStr">
        <is>
          <t>0.7806095936743286</t>
        </is>
      </c>
      <c r="J171" t="inlineStr"/>
      <c r="K171" t="inlineStr"/>
      <c r="L171" t="inlineStr"/>
    </row>
    <row r="172" ht="22" customHeight="1">
      <c r="A172" s="18" t="inlineStr">
        <is>
          <t>HPSP</t>
        </is>
      </c>
      <c r="B172" t="inlineStr"/>
      <c r="C172" s="18" t="inlineStr">
        <is>
          <t>403870</t>
        </is>
      </c>
      <c r="D172" s="18" t="inlineStr">
        <is>
          <t>KOSDAQ GLOBAL</t>
        </is>
      </c>
      <c r="E172" s="18" t="inlineStr">
        <is>
          <t>장비</t>
        </is>
      </c>
      <c r="F172" s="18" t="n">
        <v>47.52</v>
      </c>
      <c r="G172" s="18" t="n">
        <v>0</v>
      </c>
      <c r="H172" s="18" t="inlineStr">
        <is>
          <t>중립</t>
        </is>
      </c>
      <c r="I172" s="18" t="inlineStr">
        <is>
          <t>0.7108284021978194</t>
        </is>
      </c>
      <c r="J172" t="inlineStr"/>
      <c r="K172" t="inlineStr"/>
      <c r="L172" t="inlineStr"/>
    </row>
    <row r="173" ht="22" customHeight="1">
      <c r="A173" s="18" t="inlineStr">
        <is>
          <t>라온로보틱스</t>
        </is>
      </c>
      <c r="B173" t="inlineStr"/>
      <c r="C173" s="18" t="inlineStr">
        <is>
          <t>232680</t>
        </is>
      </c>
      <c r="D173" s="18" t="inlineStr">
        <is>
          <t>KOSDAQ</t>
        </is>
      </c>
      <c r="E173" s="18" t="inlineStr">
        <is>
          <t>팹리스/설계</t>
        </is>
      </c>
      <c r="F173" s="18" t="n">
        <v>47.45</v>
      </c>
      <c r="G173" s="18" t="n">
        <v>14.29</v>
      </c>
      <c r="H173" s="18" t="inlineStr">
        <is>
          <t>중립</t>
        </is>
      </c>
      <c r="I173" s="18" t="inlineStr">
        <is>
          <t>0.7863374675167921</t>
        </is>
      </c>
      <c r="J173" t="inlineStr"/>
      <c r="K173" t="inlineStr"/>
      <c r="L173" t="inlineStr"/>
    </row>
    <row r="174" ht="22" customHeight="1">
      <c r="A174" s="18" t="inlineStr">
        <is>
          <t>서울반도체</t>
        </is>
      </c>
      <c r="B174" t="inlineStr"/>
      <c r="C174" s="18" t="inlineStr">
        <is>
          <t>046890</t>
        </is>
      </c>
      <c r="D174" s="18" t="inlineStr">
        <is>
          <t>KOSDAQ GLOBAL</t>
        </is>
      </c>
      <c r="E174" s="18" t="inlineStr">
        <is>
          <t>IDM/제조/메모리</t>
        </is>
      </c>
      <c r="F174" s="18" t="n">
        <v>47.13</v>
      </c>
      <c r="G174" s="18" t="n">
        <v>42.86</v>
      </c>
      <c r="H174" s="18" t="inlineStr">
        <is>
          <t>중립</t>
        </is>
      </c>
      <c r="I174" s="18" t="inlineStr">
        <is>
          <t>0.8223266790603506</t>
        </is>
      </c>
      <c r="J174" t="inlineStr"/>
      <c r="K174" t="inlineStr"/>
      <c r="L174" t="inlineStr"/>
    </row>
    <row r="175" ht="22" customHeight="1">
      <c r="A175" s="18" t="inlineStr">
        <is>
          <t>한미반도체</t>
        </is>
      </c>
      <c r="B175" s="18" t="inlineStr">
        <is>
          <t>hanmi</t>
        </is>
      </c>
      <c r="C175" s="18" t="inlineStr">
        <is>
          <t>042700</t>
        </is>
      </c>
      <c r="D175" s="18" t="inlineStr">
        <is>
          <t>KOSPI</t>
        </is>
      </c>
      <c r="E175" s="18" t="inlineStr">
        <is>
          <t>후공정/패키징/테스트</t>
        </is>
      </c>
      <c r="F175" s="18" t="n">
        <v>47.13</v>
      </c>
      <c r="G175" s="18" t="n">
        <v>0</v>
      </c>
      <c r="H175" s="18" t="inlineStr">
        <is>
          <t>중립</t>
        </is>
      </c>
      <c r="I175" s="18" t="inlineStr">
        <is>
          <t>0.618072727307107</t>
        </is>
      </c>
      <c r="J175" s="18" t="inlineStr">
        <is>
          <t>예</t>
        </is>
      </c>
      <c r="K175" t="inlineStr"/>
      <c r="L175" t="inlineStr"/>
    </row>
    <row r="176" ht="22" customHeight="1">
      <c r="A176" s="18" t="inlineStr">
        <is>
          <t>큐엠씨</t>
        </is>
      </c>
      <c r="B176" t="inlineStr"/>
      <c r="C176" s="18" t="inlineStr">
        <is>
          <t>136660</t>
        </is>
      </c>
      <c r="D176" s="18" t="inlineStr">
        <is>
          <t>KONEX</t>
        </is>
      </c>
      <c r="E176" s="18" t="inlineStr">
        <is>
          <t>후공정/패키징/테스트</t>
        </is>
      </c>
      <c r="F176" s="18" t="n">
        <v>47.11</v>
      </c>
      <c r="G176" s="18" t="n">
        <v>28.57</v>
      </c>
      <c r="H176" s="18" t="inlineStr">
        <is>
          <t>중립</t>
        </is>
      </c>
      <c r="I176" s="18" t="inlineStr">
        <is>
          <t>0.9731046168075388</t>
        </is>
      </c>
      <c r="J176" t="inlineStr"/>
      <c r="K176" t="inlineStr"/>
      <c r="L176" t="inlineStr"/>
    </row>
    <row r="177" ht="22" customHeight="1">
      <c r="A177" s="18" t="inlineStr">
        <is>
          <t>동진쎄미켐</t>
        </is>
      </c>
      <c r="B177" t="inlineStr"/>
      <c r="C177" s="18" t="inlineStr">
        <is>
          <t>005290</t>
        </is>
      </c>
      <c r="D177" s="18" t="inlineStr">
        <is>
          <t>KOSDAQ</t>
        </is>
      </c>
      <c r="E177" s="18" t="inlineStr">
        <is>
          <t>소재</t>
        </is>
      </c>
      <c r="F177" s="18" t="n">
        <v>47.03</v>
      </c>
      <c r="G177" s="18" t="n">
        <v>0</v>
      </c>
      <c r="H177" s="18" t="inlineStr">
        <is>
          <t>중립</t>
        </is>
      </c>
      <c r="I177" s="18" t="inlineStr">
        <is>
          <t>0.48929755601795294</t>
        </is>
      </c>
      <c r="J177" t="inlineStr"/>
      <c r="K177" t="inlineStr"/>
      <c r="L177" t="inlineStr"/>
    </row>
    <row r="178" ht="22" customHeight="1">
      <c r="A178" s="18" t="inlineStr">
        <is>
          <t>럭스피아</t>
        </is>
      </c>
      <c r="B178" t="inlineStr"/>
      <c r="C178" s="18" t="inlineStr">
        <is>
          <t>092590</t>
        </is>
      </c>
      <c r="D178" s="18" t="inlineStr">
        <is>
          <t>KONEX</t>
        </is>
      </c>
      <c r="E178" s="18" t="inlineStr">
        <is>
          <t>후공정/패키징/테스트</t>
        </is>
      </c>
      <c r="F178" s="18" t="n">
        <v>46.81</v>
      </c>
      <c r="G178" s="18" t="n">
        <v>28.57</v>
      </c>
      <c r="H178" s="18" t="inlineStr">
        <is>
          <t>중립</t>
        </is>
      </c>
      <c r="I178" s="18" t="inlineStr">
        <is>
          <t>0.969533908094729</t>
        </is>
      </c>
      <c r="J178" t="inlineStr"/>
      <c r="K178" t="inlineStr"/>
      <c r="L178" t="inlineStr"/>
    </row>
    <row r="179" ht="22" customHeight="1">
      <c r="A179" s="18" t="inlineStr">
        <is>
          <t>코리아써키트</t>
        </is>
      </c>
      <c r="B179" t="inlineStr"/>
      <c r="C179" s="18" t="inlineStr">
        <is>
          <t>007810</t>
        </is>
      </c>
      <c r="D179" s="18" t="inlineStr">
        <is>
          <t>KOSPI</t>
        </is>
      </c>
      <c r="E179" s="18" t="inlineStr">
        <is>
          <t>부품/기판</t>
        </is>
      </c>
      <c r="F179" s="18" t="n">
        <v>46.76</v>
      </c>
      <c r="G179" s="18" t="n">
        <v>28.57</v>
      </c>
      <c r="H179" s="18" t="inlineStr">
        <is>
          <t>중립</t>
        </is>
      </c>
      <c r="I179" s="18" t="inlineStr">
        <is>
          <t>0.8409076697911426</t>
        </is>
      </c>
      <c r="J179" t="inlineStr"/>
      <c r="K179" t="inlineStr"/>
      <c r="L179" t="inlineStr"/>
    </row>
    <row r="180" ht="22" customHeight="1">
      <c r="A180" s="18" t="inlineStr">
        <is>
          <t>싸이닉솔루션</t>
        </is>
      </c>
      <c r="B180" t="inlineStr"/>
      <c r="C180" s="18" t="inlineStr">
        <is>
          <t>234030</t>
        </is>
      </c>
      <c r="D180" s="18" t="inlineStr">
        <is>
          <t>KOSDAQ</t>
        </is>
      </c>
      <c r="E180" s="18" t="inlineStr">
        <is>
          <t>팹리스/설계</t>
        </is>
      </c>
      <c r="F180" s="18" t="n">
        <v>46.71</v>
      </c>
      <c r="G180" s="18" t="n">
        <v>35.71</v>
      </c>
      <c r="H180" s="18" t="inlineStr">
        <is>
          <t>중립</t>
        </is>
      </c>
      <c r="I180" s="18" t="inlineStr">
        <is>
          <t>0.7962034217650586</t>
        </is>
      </c>
      <c r="J180" t="inlineStr"/>
      <c r="K180" t="inlineStr"/>
      <c r="L180" t="inlineStr"/>
    </row>
    <row r="181" ht="22" customHeight="1">
      <c r="A181" s="18" t="inlineStr">
        <is>
          <t>HD현대에너지솔루션</t>
        </is>
      </c>
      <c r="B181" t="inlineStr"/>
      <c r="C181" s="18" t="inlineStr">
        <is>
          <t>322000</t>
        </is>
      </c>
      <c r="D181" s="18" t="inlineStr">
        <is>
          <t>KOSPI</t>
        </is>
      </c>
      <c r="E181" s="18" t="inlineStr">
        <is>
          <t>IDM/제조/메모리</t>
        </is>
      </c>
      <c r="F181" s="18" t="n">
        <v>46.5</v>
      </c>
      <c r="G181" s="18" t="n">
        <v>14.29</v>
      </c>
      <c r="H181" s="18" t="inlineStr">
        <is>
          <t>중립</t>
        </is>
      </c>
      <c r="I181" s="18" t="inlineStr">
        <is>
          <t>0.6226975287022534</t>
        </is>
      </c>
      <c r="J181" t="inlineStr"/>
      <c r="K181" t="inlineStr"/>
      <c r="L181" t="inlineStr"/>
    </row>
    <row r="182" ht="22" customHeight="1">
      <c r="A182" s="18" t="inlineStr">
        <is>
          <t>원익IPS</t>
        </is>
      </c>
      <c r="B182" t="inlineStr"/>
      <c r="C182" s="18" t="inlineStr">
        <is>
          <t>240810</t>
        </is>
      </c>
      <c r="D182" s="18" t="inlineStr">
        <is>
          <t>KOSDAQ GLOBAL</t>
        </is>
      </c>
      <c r="E182" s="18" t="inlineStr">
        <is>
          <t>장비</t>
        </is>
      </c>
      <c r="F182" s="18" t="n">
        <v>46.35</v>
      </c>
      <c r="G182" s="18" t="n">
        <v>7.14</v>
      </c>
      <c r="H182" s="18" t="inlineStr">
        <is>
          <t>중립</t>
        </is>
      </c>
      <c r="I182" s="18" t="inlineStr">
        <is>
          <t>0.5727476694226805</t>
        </is>
      </c>
      <c r="J182" t="inlineStr"/>
      <c r="K182" t="inlineStr"/>
      <c r="L182" t="inlineStr"/>
    </row>
    <row r="183" ht="22" customHeight="1">
      <c r="A183" s="18" t="inlineStr">
        <is>
          <t>파크시스템스</t>
        </is>
      </c>
      <c r="B183" t="inlineStr"/>
      <c r="C183" s="18" t="inlineStr">
        <is>
          <t>140860</t>
        </is>
      </c>
      <c r="D183" s="18" t="inlineStr">
        <is>
          <t>KOSDAQ GLOBAL</t>
        </is>
      </c>
      <c r="E183" s="18" t="inlineStr">
        <is>
          <t>장비</t>
        </is>
      </c>
      <c r="F183" s="18" t="n">
        <v>46.12</v>
      </c>
      <c r="G183" s="18" t="n">
        <v>7.14</v>
      </c>
      <c r="H183" s="18" t="inlineStr">
        <is>
          <t>중립</t>
        </is>
      </c>
      <c r="I183" s="18" t="inlineStr">
        <is>
          <t>0.7158734205313764</t>
        </is>
      </c>
      <c r="J183" t="inlineStr"/>
      <c r="K183" t="inlineStr"/>
      <c r="L183" t="inlineStr"/>
    </row>
    <row r="184" ht="22" customHeight="1">
      <c r="A184" s="18" t="inlineStr">
        <is>
          <t>와이투솔루션</t>
        </is>
      </c>
      <c r="B184" t="inlineStr"/>
      <c r="C184" s="18" t="inlineStr">
        <is>
          <t>011690</t>
        </is>
      </c>
      <c r="D184" s="18" t="inlineStr">
        <is>
          <t>KOSPI</t>
        </is>
      </c>
      <c r="E184" s="18" t="inlineStr">
        <is>
          <t>IDM/제조/메모리</t>
        </is>
      </c>
      <c r="F184" s="18" t="n">
        <v>46.02</v>
      </c>
      <c r="G184" s="18" t="n">
        <v>57.14</v>
      </c>
      <c r="H184" s="18" t="inlineStr">
        <is>
          <t>중립</t>
        </is>
      </c>
      <c r="I184" s="18" t="inlineStr">
        <is>
          <t>0.7379153959384467</t>
        </is>
      </c>
      <c r="J184" t="inlineStr"/>
      <c r="K184" t="inlineStr"/>
      <c r="L184" t="inlineStr"/>
    </row>
    <row r="185" ht="22" customHeight="1">
      <c r="A185" s="18" t="inlineStr">
        <is>
          <t>서플러스글로벌</t>
        </is>
      </c>
      <c r="B185" t="inlineStr"/>
      <c r="C185" s="18" t="inlineStr">
        <is>
          <t>140070</t>
        </is>
      </c>
      <c r="D185" s="18" t="inlineStr">
        <is>
          <t>KOSDAQ</t>
        </is>
      </c>
      <c r="E185" s="18" t="inlineStr">
        <is>
          <t>장비</t>
        </is>
      </c>
      <c r="F185" s="18" t="n">
        <v>45.95</v>
      </c>
      <c r="G185" s="18" t="n">
        <v>71.43000000000001</v>
      </c>
      <c r="H185" s="18" t="inlineStr">
        <is>
          <t>중립</t>
        </is>
      </c>
      <c r="I185" s="18" t="inlineStr">
        <is>
          <t>0.6515364241286621</t>
        </is>
      </c>
      <c r="J185" t="inlineStr"/>
      <c r="K185" t="inlineStr"/>
      <c r="L185" t="inlineStr"/>
    </row>
    <row r="186" ht="22" customHeight="1">
      <c r="A186" s="18" t="inlineStr">
        <is>
          <t>아이텍</t>
        </is>
      </c>
      <c r="B186" t="inlineStr"/>
      <c r="C186" s="18" t="inlineStr">
        <is>
          <t>119830</t>
        </is>
      </c>
      <c r="D186" s="18" t="inlineStr">
        <is>
          <t>KOSDAQ</t>
        </is>
      </c>
      <c r="E186" s="18" t="inlineStr">
        <is>
          <t>후공정/패키징/테스트</t>
        </is>
      </c>
      <c r="F186" s="18" t="n">
        <v>45.73</v>
      </c>
      <c r="G186" s="18" t="n">
        <v>21.43</v>
      </c>
      <c r="H186" s="18" t="inlineStr">
        <is>
          <t>중립</t>
        </is>
      </c>
      <c r="I186" s="18" t="inlineStr">
        <is>
          <t>0.6018206034002739</t>
        </is>
      </c>
      <c r="J186" t="inlineStr"/>
      <c r="K186" t="inlineStr"/>
      <c r="L186" t="inlineStr"/>
    </row>
    <row r="187" ht="22" customHeight="1">
      <c r="A187" s="18" t="inlineStr">
        <is>
          <t>신성이엔지</t>
        </is>
      </c>
      <c r="B187" t="inlineStr"/>
      <c r="C187" s="18" t="inlineStr">
        <is>
          <t>011930</t>
        </is>
      </c>
      <c r="D187" s="18" t="inlineStr">
        <is>
          <t>KOSPI</t>
        </is>
      </c>
      <c r="E187" s="18" t="inlineStr">
        <is>
          <t>IDM/제조/메모리</t>
        </is>
      </c>
      <c r="F187" s="18" t="n">
        <v>45.52</v>
      </c>
      <c r="G187" s="18" t="n">
        <v>57.14</v>
      </c>
      <c r="H187" s="18" t="inlineStr">
        <is>
          <t>중립</t>
        </is>
      </c>
      <c r="I187" s="18" t="inlineStr">
        <is>
          <t>0.7610157176994289</t>
        </is>
      </c>
      <c r="J187" t="inlineStr"/>
      <c r="K187" t="inlineStr"/>
      <c r="L187" t="inlineStr"/>
    </row>
    <row r="188" ht="22" customHeight="1">
      <c r="A188" s="18" t="inlineStr">
        <is>
          <t>KEC</t>
        </is>
      </c>
      <c r="B188" t="inlineStr"/>
      <c r="C188" s="18" t="inlineStr">
        <is>
          <t>092220</t>
        </is>
      </c>
      <c r="D188" s="18" t="inlineStr">
        <is>
          <t>KOSPI</t>
        </is>
      </c>
      <c r="E188" s="18" t="inlineStr">
        <is>
          <t>IDM/제조/메모리</t>
        </is>
      </c>
      <c r="F188" s="18" t="n">
        <v>45.5</v>
      </c>
      <c r="G188" s="18" t="n">
        <v>50</v>
      </c>
      <c r="H188" s="18" t="inlineStr">
        <is>
          <t>중립</t>
        </is>
      </c>
      <c r="I188" s="18" t="inlineStr">
        <is>
          <t>0.7937660338126779</t>
        </is>
      </c>
      <c r="J188" t="inlineStr"/>
      <c r="K188" t="inlineStr"/>
      <c r="L188" t="inlineStr"/>
    </row>
    <row r="189" ht="22" customHeight="1">
      <c r="A189" s="18" t="inlineStr">
        <is>
          <t>에스티아이</t>
        </is>
      </c>
      <c r="B189" t="inlineStr"/>
      <c r="C189" s="18" t="inlineStr">
        <is>
          <t>039440</t>
        </is>
      </c>
      <c r="D189" s="18" t="inlineStr">
        <is>
          <t>KOSDAQ</t>
        </is>
      </c>
      <c r="E189" s="18" t="inlineStr">
        <is>
          <t>장비</t>
        </is>
      </c>
      <c r="F189" s="18" t="n">
        <v>45.5</v>
      </c>
      <c r="G189" s="18" t="n">
        <v>0</v>
      </c>
      <c r="H189" s="18" t="inlineStr">
        <is>
          <t>중립</t>
        </is>
      </c>
      <c r="I189" s="18" t="inlineStr">
        <is>
          <t>0.53270990340385</t>
        </is>
      </c>
      <c r="J189" t="inlineStr"/>
      <c r="K189" t="inlineStr"/>
      <c r="L189" t="inlineStr"/>
    </row>
    <row r="190" ht="22" customHeight="1">
      <c r="A190" s="18" t="inlineStr">
        <is>
          <t>윈팩</t>
        </is>
      </c>
      <c r="B190" t="inlineStr"/>
      <c r="C190" s="18" t="inlineStr">
        <is>
          <t>097800</t>
        </is>
      </c>
      <c r="D190" s="18" t="inlineStr">
        <is>
          <t>KOSDAQ</t>
        </is>
      </c>
      <c r="E190" s="18" t="inlineStr">
        <is>
          <t>후공정/패키징/테스트</t>
        </is>
      </c>
      <c r="F190" s="18" t="n">
        <v>44.18</v>
      </c>
      <c r="G190" s="18" t="n">
        <v>71.43000000000001</v>
      </c>
      <c r="H190" s="18" t="inlineStr">
        <is>
          <t>중립</t>
        </is>
      </c>
      <c r="I190" s="18" t="inlineStr">
        <is>
          <t>0.5735742758518154</t>
        </is>
      </c>
      <c r="J190" t="inlineStr"/>
      <c r="K190" t="inlineStr"/>
      <c r="L190" t="inlineStr"/>
    </row>
    <row r="191" ht="22" customHeight="1">
      <c r="A191" s="18" t="inlineStr">
        <is>
          <t>켐트로닉스</t>
        </is>
      </c>
      <c r="B191" t="inlineStr"/>
      <c r="C191" s="18" t="inlineStr">
        <is>
          <t>089010</t>
        </is>
      </c>
      <c r="D191" s="18" t="inlineStr">
        <is>
          <t>KOSDAQ</t>
        </is>
      </c>
      <c r="E191" s="18" t="inlineStr">
        <is>
          <t>소재</t>
        </is>
      </c>
      <c r="F191" s="18" t="n">
        <v>44.13</v>
      </c>
      <c r="G191" s="18" t="n">
        <v>35.71</v>
      </c>
      <c r="H191" s="18" t="inlineStr">
        <is>
          <t>중립</t>
        </is>
      </c>
      <c r="I191" s="18" t="inlineStr">
        <is>
          <t>0.7697961799623572</t>
        </is>
      </c>
      <c r="J191" t="inlineStr"/>
      <c r="K191" t="inlineStr"/>
      <c r="L191" t="inlineStr"/>
    </row>
    <row r="192" ht="22" customHeight="1">
      <c r="A192" s="18" t="inlineStr">
        <is>
          <t>팸텍</t>
        </is>
      </c>
      <c r="B192" t="inlineStr"/>
      <c r="C192" s="18" t="inlineStr">
        <is>
          <t>271830</t>
        </is>
      </c>
      <c r="D192" s="18" t="inlineStr">
        <is>
          <t>KOSDAQ</t>
        </is>
      </c>
      <c r="E192" s="18" t="inlineStr">
        <is>
          <t>후공정/패키징/테스트</t>
        </is>
      </c>
      <c r="F192" s="18" t="n">
        <v>44.03</v>
      </c>
      <c r="G192" s="18" t="n">
        <v>57.14</v>
      </c>
      <c r="H192" s="18" t="inlineStr">
        <is>
          <t>중립</t>
        </is>
      </c>
      <c r="I192" s="18" t="inlineStr">
        <is>
          <t>0.6809009837226325</t>
        </is>
      </c>
      <c r="J192" t="inlineStr"/>
      <c r="K192" t="inlineStr"/>
      <c r="L192" t="inlineStr"/>
    </row>
    <row r="193" ht="22" customHeight="1">
      <c r="A193" s="18" t="inlineStr">
        <is>
          <t>LB세미콘</t>
        </is>
      </c>
      <c r="B193" t="inlineStr"/>
      <c r="C193" s="18" t="inlineStr">
        <is>
          <t>061970</t>
        </is>
      </c>
      <c r="D193" s="18" t="inlineStr">
        <is>
          <t>KOSDAQ</t>
        </is>
      </c>
      <c r="E193" s="18" t="inlineStr">
        <is>
          <t>후공정/패키징/테스트</t>
        </is>
      </c>
      <c r="F193" s="18" t="n">
        <v>43.94</v>
      </c>
      <c r="G193" s="18" t="n">
        <v>57.14</v>
      </c>
      <c r="H193" s="18" t="inlineStr">
        <is>
          <t>중립</t>
        </is>
      </c>
      <c r="I193" s="18" t="inlineStr">
        <is>
          <t>0.519835518569549</t>
        </is>
      </c>
      <c r="J193" t="inlineStr"/>
      <c r="K193" t="inlineStr"/>
      <c r="L193" t="inlineStr"/>
    </row>
    <row r="194" ht="22" customHeight="1">
      <c r="A194" s="18" t="inlineStr">
        <is>
          <t>유진테크</t>
        </is>
      </c>
      <c r="B194" t="inlineStr"/>
      <c r="C194" s="18" t="inlineStr">
        <is>
          <t>084370</t>
        </is>
      </c>
      <c r="D194" s="18" t="inlineStr">
        <is>
          <t>KOSDAQ</t>
        </is>
      </c>
      <c r="E194" s="18" t="inlineStr">
        <is>
          <t>장비</t>
        </is>
      </c>
      <c r="F194" s="18" t="n">
        <v>43.36</v>
      </c>
      <c r="G194" s="18" t="n">
        <v>0</v>
      </c>
      <c r="H194" s="18" t="inlineStr">
        <is>
          <t>중립</t>
        </is>
      </c>
      <c r="I194" s="18" t="inlineStr">
        <is>
          <t>0.7415227894291446</t>
        </is>
      </c>
      <c r="J194" t="inlineStr"/>
      <c r="K194" t="inlineStr"/>
      <c r="L194" t="inlineStr"/>
    </row>
    <row r="195" ht="22" customHeight="1">
      <c r="A195" s="18" t="inlineStr">
        <is>
          <t>일진디스플</t>
        </is>
      </c>
      <c r="B195" t="inlineStr"/>
      <c r="C195" s="18" t="inlineStr">
        <is>
          <t>020760</t>
        </is>
      </c>
      <c r="D195" s="18" t="inlineStr">
        <is>
          <t>KOSPI</t>
        </is>
      </c>
      <c r="E195" s="18" t="inlineStr">
        <is>
          <t>IDM/제조/메모리</t>
        </is>
      </c>
      <c r="F195" s="18" t="n">
        <v>43.35</v>
      </c>
      <c r="G195" s="18" t="n">
        <v>64.29000000000001</v>
      </c>
      <c r="H195" s="18" t="inlineStr">
        <is>
          <t>중립</t>
        </is>
      </c>
      <c r="I195" s="18" t="inlineStr">
        <is>
          <t>0.7887205359697603</t>
        </is>
      </c>
      <c r="J195" t="inlineStr"/>
      <c r="K195" t="inlineStr"/>
      <c r="L195" t="inlineStr"/>
    </row>
    <row r="196" ht="22" customHeight="1">
      <c r="A196" s="18" t="inlineStr">
        <is>
          <t>덕산하이메탈</t>
        </is>
      </c>
      <c r="B196" t="inlineStr"/>
      <c r="C196" s="18" t="inlineStr">
        <is>
          <t>077360</t>
        </is>
      </c>
      <c r="D196" s="18" t="inlineStr">
        <is>
          <t>KOSDAQ</t>
        </is>
      </c>
      <c r="E196" s="18" t="inlineStr">
        <is>
          <t>IDM/제조/메모리</t>
        </is>
      </c>
      <c r="F196" s="18" t="n">
        <v>43.33</v>
      </c>
      <c r="G196" s="18" t="n">
        <v>28.57</v>
      </c>
      <c r="H196" s="18" t="inlineStr">
        <is>
          <t>중립</t>
        </is>
      </c>
      <c r="I196" s="18" t="inlineStr">
        <is>
          <t>0.6698541971057747</t>
        </is>
      </c>
      <c r="J196" t="inlineStr"/>
      <c r="K196" t="inlineStr"/>
      <c r="L196" t="inlineStr"/>
    </row>
    <row r="197" ht="22" customHeight="1">
      <c r="A197" s="18" t="inlineStr">
        <is>
          <t>솔브레인</t>
        </is>
      </c>
      <c r="B197" t="inlineStr"/>
      <c r="C197" s="18" t="inlineStr">
        <is>
          <t>357780</t>
        </is>
      </c>
      <c r="D197" s="18" t="inlineStr">
        <is>
          <t>KOSDAQ GLOBAL</t>
        </is>
      </c>
      <c r="E197" s="18" t="inlineStr">
        <is>
          <t>소재</t>
        </is>
      </c>
      <c r="F197" s="18" t="n">
        <v>43.31</v>
      </c>
      <c r="G197" s="18" t="n">
        <v>0</v>
      </c>
      <c r="H197" s="18" t="inlineStr">
        <is>
          <t>중립</t>
        </is>
      </c>
      <c r="I197" s="18" t="inlineStr">
        <is>
          <t>0.6367158518654258</t>
        </is>
      </c>
      <c r="J197" t="inlineStr"/>
      <c r="K197" t="inlineStr"/>
      <c r="L197" t="inlineStr"/>
    </row>
    <row r="198" ht="22" customHeight="1">
      <c r="A198" s="18" t="inlineStr">
        <is>
          <t>제이티</t>
        </is>
      </c>
      <c r="B198" t="inlineStr"/>
      <c r="C198" s="18" t="inlineStr">
        <is>
          <t>089790</t>
        </is>
      </c>
      <c r="D198" s="18" t="inlineStr">
        <is>
          <t>KOSDAQ</t>
        </is>
      </c>
      <c r="E198" s="18" t="inlineStr">
        <is>
          <t>후공정/패키징/테스트</t>
        </is>
      </c>
      <c r="F198" s="18" t="n">
        <v>42.93</v>
      </c>
      <c r="G198" s="18" t="n">
        <v>28.57</v>
      </c>
      <c r="H198" s="18" t="inlineStr">
        <is>
          <t>중립</t>
        </is>
      </c>
      <c r="I198" s="18" t="inlineStr">
        <is>
          <t>0.7953438622461361</t>
        </is>
      </c>
      <c r="J198" t="inlineStr"/>
      <c r="K198" t="inlineStr"/>
      <c r="L198" t="inlineStr"/>
    </row>
    <row r="199" ht="22" customHeight="1">
      <c r="A199" s="18" t="inlineStr">
        <is>
          <t>아이언디바이스</t>
        </is>
      </c>
      <c r="B199" t="inlineStr"/>
      <c r="C199" s="18" t="inlineStr">
        <is>
          <t>464500</t>
        </is>
      </c>
      <c r="D199" s="18" t="inlineStr">
        <is>
          <t>KOSDAQ</t>
        </is>
      </c>
      <c r="E199" s="18" t="inlineStr">
        <is>
          <t>팹리스/설계</t>
        </is>
      </c>
      <c r="F199" s="18" t="n">
        <v>42.79</v>
      </c>
      <c r="G199" s="18" t="n">
        <v>57.14</v>
      </c>
      <c r="H199" s="18" t="inlineStr">
        <is>
          <t>중립</t>
        </is>
      </c>
      <c r="I199" s="18" t="inlineStr">
        <is>
          <t>0.767854918982104</t>
        </is>
      </c>
      <c r="J199" t="inlineStr"/>
      <c r="K199" t="inlineStr"/>
      <c r="L199" t="inlineStr"/>
    </row>
    <row r="200" ht="22" customHeight="1">
      <c r="A200" s="18" t="inlineStr">
        <is>
          <t>제너셈</t>
        </is>
      </c>
      <c r="B200" t="inlineStr"/>
      <c r="C200" s="18" t="inlineStr">
        <is>
          <t>217190</t>
        </is>
      </c>
      <c r="D200" s="18" t="inlineStr">
        <is>
          <t>KOSDAQ</t>
        </is>
      </c>
      <c r="E200" s="18" t="inlineStr">
        <is>
          <t>후공정/패키징/테스트</t>
        </is>
      </c>
      <c r="F200" s="18" t="n">
        <v>42.79</v>
      </c>
      <c r="G200" s="18" t="n">
        <v>28.57</v>
      </c>
      <c r="H200" s="18" t="inlineStr">
        <is>
          <t>중립</t>
        </is>
      </c>
      <c r="I200" s="18" t="inlineStr">
        <is>
          <t>0.7410125545144256</t>
        </is>
      </c>
      <c r="J200" t="inlineStr"/>
      <c r="K200" t="inlineStr"/>
      <c r="L200" t="inlineStr"/>
    </row>
    <row r="201" ht="22" customHeight="1">
      <c r="A201" s="18" t="inlineStr">
        <is>
          <t>에이디테크놀로지</t>
        </is>
      </c>
      <c r="B201" t="inlineStr"/>
      <c r="C201" s="18" t="inlineStr">
        <is>
          <t>200710</t>
        </is>
      </c>
      <c r="D201" s="18" t="inlineStr">
        <is>
          <t>KOSDAQ</t>
        </is>
      </c>
      <c r="E201" s="18" t="inlineStr">
        <is>
          <t>IDM/제조/메모리</t>
        </is>
      </c>
      <c r="F201" s="18" t="n">
        <v>42.72</v>
      </c>
      <c r="G201" s="18" t="n">
        <v>28.57</v>
      </c>
      <c r="H201" s="18" t="inlineStr">
        <is>
          <t>중립</t>
        </is>
      </c>
      <c r="I201" s="18" t="inlineStr">
        <is>
          <t>0.6637416757093363</t>
        </is>
      </c>
      <c r="J201" t="inlineStr"/>
      <c r="K201" t="inlineStr"/>
      <c r="L201" t="inlineStr"/>
    </row>
    <row r="202" ht="22" customHeight="1">
      <c r="A202" s="18" t="inlineStr">
        <is>
          <t>쓰리에이로직스</t>
        </is>
      </c>
      <c r="B202" t="inlineStr"/>
      <c r="C202" s="18" t="inlineStr">
        <is>
          <t>177900</t>
        </is>
      </c>
      <c r="D202" s="18" t="inlineStr">
        <is>
          <t>KOSDAQ</t>
        </is>
      </c>
      <c r="E202" s="18" t="inlineStr">
        <is>
          <t>팹리스/설계</t>
        </is>
      </c>
      <c r="F202" s="18" t="n">
        <v>42.67</v>
      </c>
      <c r="G202" s="18" t="n">
        <v>57.14</v>
      </c>
      <c r="H202" s="18" t="inlineStr">
        <is>
          <t>중립</t>
        </is>
      </c>
      <c r="I202" s="18" t="inlineStr">
        <is>
          <t>0.5793703556022938</t>
        </is>
      </c>
      <c r="J202" t="inlineStr"/>
      <c r="K202" t="inlineStr"/>
      <c r="L202" t="inlineStr"/>
    </row>
    <row r="203" ht="22" customHeight="1">
      <c r="A203" s="18" t="inlineStr">
        <is>
          <t>제우스</t>
        </is>
      </c>
      <c r="B203" t="inlineStr"/>
      <c r="C203" s="18" t="inlineStr">
        <is>
          <t>079370</t>
        </is>
      </c>
      <c r="D203" s="18" t="inlineStr">
        <is>
          <t>KOSDAQ</t>
        </is>
      </c>
      <c r="E203" s="18" t="inlineStr">
        <is>
          <t>장비</t>
        </is>
      </c>
      <c r="F203" s="18" t="n">
        <v>42.59</v>
      </c>
      <c r="G203" s="18" t="n">
        <v>21.43</v>
      </c>
      <c r="H203" s="18" t="inlineStr">
        <is>
          <t>중립</t>
        </is>
      </c>
      <c r="I203" s="18" t="inlineStr">
        <is>
          <t>0.7744454918412472</t>
        </is>
      </c>
      <c r="J203" t="inlineStr"/>
      <c r="K203" t="inlineStr"/>
      <c r="L203" t="inlineStr"/>
    </row>
    <row r="204" ht="22" customHeight="1">
      <c r="A204" s="18" t="inlineStr">
        <is>
          <t>네패스아크</t>
        </is>
      </c>
      <c r="B204" t="inlineStr"/>
      <c r="C204" s="18" t="inlineStr">
        <is>
          <t>330860</t>
        </is>
      </c>
      <c r="D204" s="18" t="inlineStr">
        <is>
          <t>KOSDAQ</t>
        </is>
      </c>
      <c r="E204" s="18" t="inlineStr">
        <is>
          <t>후공정/패키징/테스트</t>
        </is>
      </c>
      <c r="F204" s="18" t="n">
        <v>42.07</v>
      </c>
      <c r="G204" s="18" t="n">
        <v>0</v>
      </c>
      <c r="H204" s="18" t="inlineStr">
        <is>
          <t>고평가 부담</t>
        </is>
      </c>
      <c r="I204" s="18" t="inlineStr">
        <is>
          <t>0.5804758808286147</t>
        </is>
      </c>
      <c r="J204" t="inlineStr"/>
      <c r="K204" t="inlineStr"/>
      <c r="L204" t="inlineStr"/>
    </row>
    <row r="205" ht="22" customHeight="1">
      <c r="A205" s="18" t="inlineStr">
        <is>
          <t>마이크로투나노</t>
        </is>
      </c>
      <c r="B205" t="inlineStr"/>
      <c r="C205" s="18" t="inlineStr">
        <is>
          <t>424980</t>
        </is>
      </c>
      <c r="D205" s="18" t="inlineStr">
        <is>
          <t>KOSDAQ</t>
        </is>
      </c>
      <c r="E205" s="18" t="inlineStr">
        <is>
          <t>후공정/패키징/테스트</t>
        </is>
      </c>
      <c r="F205" s="18" t="n">
        <v>41.88</v>
      </c>
      <c r="G205" s="18" t="n">
        <v>57.14</v>
      </c>
      <c r="H205" s="18" t="inlineStr">
        <is>
          <t>고평가 부담</t>
        </is>
      </c>
      <c r="I205" s="18" t="inlineStr">
        <is>
          <t>0.8919952418828875</t>
        </is>
      </c>
      <c r="J205" t="inlineStr"/>
      <c r="K205" t="inlineStr"/>
      <c r="L205" t="inlineStr"/>
    </row>
    <row r="206" ht="22" customHeight="1">
      <c r="A206" s="18" t="inlineStr">
        <is>
          <t>광전자</t>
        </is>
      </c>
      <c r="B206" t="inlineStr"/>
      <c r="C206" s="18" t="inlineStr">
        <is>
          <t>017900</t>
        </is>
      </c>
      <c r="D206" s="18" t="inlineStr">
        <is>
          <t>KOSPI</t>
        </is>
      </c>
      <c r="E206" s="18" t="inlineStr">
        <is>
          <t>IDM/제조/메모리</t>
        </is>
      </c>
      <c r="F206" s="18" t="n">
        <v>41.84</v>
      </c>
      <c r="G206" s="18" t="n">
        <v>21.43</v>
      </c>
      <c r="H206" s="18" t="inlineStr">
        <is>
          <t>고평가 부담</t>
        </is>
      </c>
      <c r="I206" s="18" t="inlineStr">
        <is>
          <t>0.6817751829328556</t>
        </is>
      </c>
      <c r="J206" t="inlineStr"/>
      <c r="K206" t="inlineStr"/>
      <c r="L206" t="inlineStr"/>
    </row>
    <row r="207" ht="22" customHeight="1">
      <c r="A207" s="18" t="inlineStr">
        <is>
          <t>아진엑스텍</t>
        </is>
      </c>
      <c r="B207" t="inlineStr"/>
      <c r="C207" s="18" t="inlineStr">
        <is>
          <t>059120</t>
        </is>
      </c>
      <c r="D207" s="18" t="inlineStr">
        <is>
          <t>KOSDAQ</t>
        </is>
      </c>
      <c r="E207" s="18" t="inlineStr">
        <is>
          <t>IDM/제조/메모리</t>
        </is>
      </c>
      <c r="F207" s="18" t="n">
        <v>41.28</v>
      </c>
      <c r="G207" s="18" t="n">
        <v>7.14</v>
      </c>
      <c r="H207" s="18" t="inlineStr">
        <is>
          <t>고평가 부담</t>
        </is>
      </c>
      <c r="I207" s="18" t="inlineStr">
        <is>
          <t>0.6635799672057409</t>
        </is>
      </c>
      <c r="J207" t="inlineStr"/>
      <c r="K207" t="inlineStr"/>
      <c r="L207" t="inlineStr"/>
    </row>
    <row r="208" ht="22" customHeight="1">
      <c r="A208" s="18" t="inlineStr">
        <is>
          <t>아이티엠반도체</t>
        </is>
      </c>
      <c r="B208" t="inlineStr"/>
      <c r="C208" s="18" t="inlineStr">
        <is>
          <t>084850</t>
        </is>
      </c>
      <c r="D208" s="18" t="inlineStr">
        <is>
          <t>KOSDAQ GLOBAL</t>
        </is>
      </c>
      <c r="E208" s="18" t="inlineStr">
        <is>
          <t>부품/기판</t>
        </is>
      </c>
      <c r="F208" s="18" t="n">
        <v>41.24</v>
      </c>
      <c r="G208" s="18" t="n">
        <v>50</v>
      </c>
      <c r="H208" s="18" t="inlineStr">
        <is>
          <t>고평가 부담</t>
        </is>
      </c>
      <c r="I208" s="18" t="inlineStr">
        <is>
          <t>0.599341656390115</t>
        </is>
      </c>
      <c r="J208" t="inlineStr"/>
      <c r="K208" t="inlineStr"/>
      <c r="L208" t="inlineStr"/>
    </row>
    <row r="209" ht="22" customHeight="1">
      <c r="A209" s="18" t="inlineStr">
        <is>
          <t>램테크놀러지</t>
        </is>
      </c>
      <c r="B209" t="inlineStr"/>
      <c r="C209" s="18" t="inlineStr">
        <is>
          <t>171010</t>
        </is>
      </c>
      <c r="D209" s="18" t="inlineStr">
        <is>
          <t>KOSDAQ</t>
        </is>
      </c>
      <c r="E209" s="18" t="inlineStr">
        <is>
          <t>장비</t>
        </is>
      </c>
      <c r="F209" s="18" t="n">
        <v>40.97</v>
      </c>
      <c r="G209" s="18" t="n">
        <v>64.29000000000001</v>
      </c>
      <c r="H209" s="18" t="inlineStr">
        <is>
          <t>고평가 부담</t>
        </is>
      </c>
      <c r="I209" s="18" t="inlineStr">
        <is>
          <t>0.500591784236833</t>
        </is>
      </c>
      <c r="J209" t="inlineStr"/>
      <c r="K209" t="inlineStr"/>
      <c r="L209" t="inlineStr"/>
    </row>
    <row r="210" ht="22" customHeight="1">
      <c r="A210" s="18" t="inlineStr">
        <is>
          <t>코스텍시스</t>
        </is>
      </c>
      <c r="B210" t="inlineStr"/>
      <c r="C210" s="18" t="inlineStr">
        <is>
          <t>355150</t>
        </is>
      </c>
      <c r="D210" s="18" t="inlineStr">
        <is>
          <t>KOSDAQ</t>
        </is>
      </c>
      <c r="E210" s="18" t="inlineStr">
        <is>
          <t>IDM/제조/메모리</t>
        </is>
      </c>
      <c r="F210" s="18" t="n">
        <v>40.97</v>
      </c>
      <c r="G210" s="18" t="n">
        <v>50</v>
      </c>
      <c r="H210" s="18" t="inlineStr">
        <is>
          <t>고평가 부담</t>
        </is>
      </c>
      <c r="I210" s="18" t="inlineStr">
        <is>
          <t>0.7518748972741711</t>
        </is>
      </c>
      <c r="J210" t="inlineStr"/>
      <c r="K210" t="inlineStr"/>
      <c r="L210" t="inlineStr"/>
    </row>
    <row r="211" ht="22" customHeight="1">
      <c r="A211" s="18" t="inlineStr">
        <is>
          <t>시그네틱스</t>
        </is>
      </c>
      <c r="B211" t="inlineStr"/>
      <c r="C211" s="18" t="inlineStr">
        <is>
          <t>033170</t>
        </is>
      </c>
      <c r="D211" s="18" t="inlineStr">
        <is>
          <t>KOSDAQ</t>
        </is>
      </c>
      <c r="E211" s="18" t="inlineStr">
        <is>
          <t>후공정/패키징/테스트</t>
        </is>
      </c>
      <c r="F211" s="18" t="n">
        <v>40.68</v>
      </c>
      <c r="G211" s="18" t="n">
        <v>64.29000000000001</v>
      </c>
      <c r="H211" s="18" t="inlineStr">
        <is>
          <t>고평가 부담</t>
        </is>
      </c>
      <c r="I211" s="18" t="inlineStr">
        <is>
          <t>0.6660306558324866</t>
        </is>
      </c>
      <c r="J211" t="inlineStr"/>
      <c r="K211" t="inlineStr"/>
      <c r="L211" t="inlineStr"/>
    </row>
    <row r="212" ht="22" customHeight="1">
      <c r="A212" s="18" t="inlineStr">
        <is>
          <t>디엔에프</t>
        </is>
      </c>
      <c r="B212" t="inlineStr"/>
      <c r="C212" s="18" t="inlineStr">
        <is>
          <t>092070</t>
        </is>
      </c>
      <c r="D212" s="18" t="inlineStr">
        <is>
          <t>KOSDAQ</t>
        </is>
      </c>
      <c r="E212" s="18" t="inlineStr">
        <is>
          <t>소재</t>
        </is>
      </c>
      <c r="F212" s="18" t="n">
        <v>40.41</v>
      </c>
      <c r="G212" s="18" t="n">
        <v>14.29</v>
      </c>
      <c r="H212" s="18" t="inlineStr">
        <is>
          <t>고평가 부담</t>
        </is>
      </c>
      <c r="I212" s="18" t="inlineStr">
        <is>
          <t>0.6833535693717029</t>
        </is>
      </c>
      <c r="J212" t="inlineStr"/>
      <c r="K212" t="inlineStr"/>
      <c r="L212" t="inlineStr"/>
    </row>
    <row r="213" ht="22" customHeight="1">
      <c r="A213" s="18" t="inlineStr">
        <is>
          <t>저스템</t>
        </is>
      </c>
      <c r="B213" t="inlineStr"/>
      <c r="C213" s="18" t="inlineStr">
        <is>
          <t>417840</t>
        </is>
      </c>
      <c r="D213" s="18" t="inlineStr">
        <is>
          <t>KOSDAQ</t>
        </is>
      </c>
      <c r="E213" s="18" t="inlineStr">
        <is>
          <t>장비</t>
        </is>
      </c>
      <c r="F213" s="18" t="n">
        <v>40.36</v>
      </c>
      <c r="G213" s="18" t="n">
        <v>28.57</v>
      </c>
      <c r="H213" s="18" t="inlineStr">
        <is>
          <t>고평가 부담</t>
        </is>
      </c>
      <c r="I213" s="18" t="inlineStr">
        <is>
          <t>0.7213257522774291</t>
        </is>
      </c>
      <c r="J213" t="inlineStr"/>
      <c r="K213" t="inlineStr"/>
      <c r="L213" t="inlineStr"/>
    </row>
    <row r="214" ht="22" customHeight="1">
      <c r="A214" s="18" t="inlineStr">
        <is>
          <t>지아이에스</t>
        </is>
      </c>
      <c r="B214" t="inlineStr"/>
      <c r="C214" s="18" t="inlineStr">
        <is>
          <t>306620</t>
        </is>
      </c>
      <c r="D214" s="18" t="inlineStr">
        <is>
          <t>KOSDAQ</t>
        </is>
      </c>
      <c r="E214" s="18" t="inlineStr">
        <is>
          <t>장비</t>
        </is>
      </c>
      <c r="F214" s="18" t="n">
        <v>40.15</v>
      </c>
      <c r="G214" s="18" t="n">
        <v>57.14</v>
      </c>
      <c r="H214" s="18" t="inlineStr">
        <is>
          <t>고평가 부담</t>
        </is>
      </c>
      <c r="I214" s="18" t="inlineStr">
        <is>
          <t>0.745903271306321</t>
        </is>
      </c>
      <c r="J214" t="inlineStr"/>
      <c r="K214" t="inlineStr"/>
      <c r="L214" t="inlineStr"/>
    </row>
    <row r="215" ht="22" customHeight="1">
      <c r="A215" s="18" t="inlineStr">
        <is>
          <t>대덕전자</t>
        </is>
      </c>
      <c r="B215" t="inlineStr"/>
      <c r="C215" s="18" t="inlineStr">
        <is>
          <t>353200</t>
        </is>
      </c>
      <c r="D215" s="18" t="inlineStr">
        <is>
          <t>KOSPI</t>
        </is>
      </c>
      <c r="E215" s="18" t="inlineStr">
        <is>
          <t>부품/기판</t>
        </is>
      </c>
      <c r="F215" s="18" t="n">
        <v>39.67</v>
      </c>
      <c r="G215" s="18" t="n">
        <v>14.29</v>
      </c>
      <c r="H215" s="18" t="inlineStr">
        <is>
          <t>고평가 부담</t>
        </is>
      </c>
      <c r="I215" s="18" t="inlineStr">
        <is>
          <t>0.6645756407915718</t>
        </is>
      </c>
      <c r="J215" t="inlineStr"/>
      <c r="K215" t="inlineStr"/>
      <c r="L215" t="inlineStr"/>
    </row>
    <row r="216" ht="22" customHeight="1">
      <c r="A216" s="18" t="inlineStr">
        <is>
          <t>고영</t>
        </is>
      </c>
      <c r="B216" t="inlineStr"/>
      <c r="C216" s="18" t="inlineStr">
        <is>
          <t>098460</t>
        </is>
      </c>
      <c r="D216" s="18" t="inlineStr">
        <is>
          <t>KOSDAQ</t>
        </is>
      </c>
      <c r="E216" s="18" t="inlineStr">
        <is>
          <t>후공정/패키징/테스트</t>
        </is>
      </c>
      <c r="F216" s="18" t="n">
        <v>39.33</v>
      </c>
      <c r="G216" s="18" t="n">
        <v>7.14</v>
      </c>
      <c r="H216" s="18" t="inlineStr">
        <is>
          <t>고평가 부담</t>
        </is>
      </c>
      <c r="I216" s="18" t="inlineStr">
        <is>
          <t>0.4306692416005982</t>
        </is>
      </c>
      <c r="J216" t="inlineStr"/>
      <c r="K216" t="inlineStr"/>
      <c r="L216" t="inlineStr"/>
    </row>
    <row r="217" ht="22" customHeight="1">
      <c r="A217" s="18" t="inlineStr">
        <is>
          <t>와이씨켐</t>
        </is>
      </c>
      <c r="B217" t="inlineStr"/>
      <c r="C217" s="18" t="inlineStr">
        <is>
          <t>112290</t>
        </is>
      </c>
      <c r="D217" s="18" t="inlineStr">
        <is>
          <t>KOSDAQ</t>
        </is>
      </c>
      <c r="E217" s="18" t="inlineStr">
        <is>
          <t>소재</t>
        </is>
      </c>
      <c r="F217" s="18" t="n">
        <v>38.36</v>
      </c>
      <c r="G217" s="18" t="n">
        <v>50</v>
      </c>
      <c r="H217" s="18" t="inlineStr">
        <is>
          <t>고평가 부담</t>
        </is>
      </c>
      <c r="I217" s="18" t="inlineStr">
        <is>
          <t>0.7576999610053956</t>
        </is>
      </c>
      <c r="J217" t="inlineStr"/>
      <c r="K217" t="inlineStr"/>
      <c r="L217" t="inlineStr"/>
    </row>
    <row r="218" ht="22" customHeight="1">
      <c r="A218" s="18" t="inlineStr">
        <is>
          <t>에프에스티</t>
        </is>
      </c>
      <c r="B218" t="inlineStr"/>
      <c r="C218" s="18" t="inlineStr">
        <is>
          <t>036810</t>
        </is>
      </c>
      <c r="D218" s="18" t="inlineStr">
        <is>
          <t>KOSDAQ</t>
        </is>
      </c>
      <c r="E218" s="18" t="inlineStr">
        <is>
          <t>장비</t>
        </is>
      </c>
      <c r="F218" s="18" t="n">
        <v>38.27</v>
      </c>
      <c r="G218" s="18" t="n">
        <v>50</v>
      </c>
      <c r="H218" s="18" t="inlineStr">
        <is>
          <t>고평가 부담</t>
        </is>
      </c>
      <c r="I218" s="18" t="inlineStr">
        <is>
          <t>0.8925631629286743</t>
        </is>
      </c>
      <c r="J218" t="inlineStr"/>
      <c r="K218" t="inlineStr"/>
      <c r="L218" t="inlineStr"/>
    </row>
    <row r="219" ht="22" customHeight="1">
      <c r="A219" s="18" t="inlineStr">
        <is>
          <t>나노신소재</t>
        </is>
      </c>
      <c r="B219" t="inlineStr"/>
      <c r="C219" s="18" t="inlineStr">
        <is>
          <t>121600</t>
        </is>
      </c>
      <c r="D219" s="18" t="inlineStr">
        <is>
          <t>KOSDAQ</t>
        </is>
      </c>
      <c r="E219" s="18" t="inlineStr">
        <is>
          <t>장비</t>
        </is>
      </c>
      <c r="F219" s="18" t="n">
        <v>38.23</v>
      </c>
      <c r="G219" s="18" t="n">
        <v>0</v>
      </c>
      <c r="H219" s="18" t="inlineStr">
        <is>
          <t>고평가 부담</t>
        </is>
      </c>
      <c r="I219" s="18" t="inlineStr">
        <is>
          <t>0.7555342246021253</t>
        </is>
      </c>
      <c r="J219" t="inlineStr"/>
      <c r="K219" t="inlineStr"/>
      <c r="L219" t="inlineStr"/>
    </row>
    <row r="220" ht="22" customHeight="1">
      <c r="A220" s="18" t="inlineStr">
        <is>
          <t>심텍</t>
        </is>
      </c>
      <c r="B220" t="inlineStr"/>
      <c r="C220" s="18" t="inlineStr">
        <is>
          <t>222800</t>
        </is>
      </c>
      <c r="D220" s="18" t="inlineStr">
        <is>
          <t>KOSDAQ GLOBAL</t>
        </is>
      </c>
      <c r="E220" s="18" t="inlineStr">
        <is>
          <t>부품/기판</t>
        </is>
      </c>
      <c r="F220" s="18" t="n">
        <v>37.76</v>
      </c>
      <c r="G220" s="18" t="n">
        <v>57.14</v>
      </c>
      <c r="H220" s="18" t="inlineStr">
        <is>
          <t>고평가 부담</t>
        </is>
      </c>
      <c r="I220" s="18" t="inlineStr">
        <is>
          <t>0.5170784842162837</t>
        </is>
      </c>
      <c r="J220" t="inlineStr"/>
      <c r="K220" t="inlineStr"/>
      <c r="L220" t="inlineStr"/>
    </row>
    <row r="221" ht="22" customHeight="1">
      <c r="A221" s="18" t="inlineStr">
        <is>
          <t>아이에이</t>
        </is>
      </c>
      <c r="B221" t="inlineStr"/>
      <c r="C221" s="18" t="inlineStr">
        <is>
          <t>038880</t>
        </is>
      </c>
      <c r="D221" s="18" t="inlineStr">
        <is>
          <t>KOSDAQ</t>
        </is>
      </c>
      <c r="E221" s="18" t="inlineStr">
        <is>
          <t>부품/기판</t>
        </is>
      </c>
      <c r="F221" s="18" t="n">
        <v>37.76</v>
      </c>
      <c r="G221" s="18" t="n">
        <v>71.43000000000001</v>
      </c>
      <c r="H221" s="18" t="inlineStr">
        <is>
          <t>고평가 부담</t>
        </is>
      </c>
      <c r="I221" s="18" t="inlineStr">
        <is>
          <t>0.7739089828714508</t>
        </is>
      </c>
      <c r="J221" t="inlineStr"/>
      <c r="K221" t="inlineStr"/>
      <c r="L221" t="inlineStr"/>
    </row>
    <row r="222" ht="22" customHeight="1">
      <c r="A222" s="18" t="inlineStr">
        <is>
          <t>웨이비스</t>
        </is>
      </c>
      <c r="B222" t="inlineStr"/>
      <c r="C222" s="18" t="inlineStr">
        <is>
          <t>289930</t>
        </is>
      </c>
      <c r="D222" s="18" t="inlineStr">
        <is>
          <t>KOSDAQ</t>
        </is>
      </c>
      <c r="E222" s="18" t="inlineStr">
        <is>
          <t>후공정/패키징/테스트</t>
        </is>
      </c>
      <c r="F222" s="18" t="n">
        <v>37.66</v>
      </c>
      <c r="G222" s="18" t="n">
        <v>14.29</v>
      </c>
      <c r="H222" s="18" t="inlineStr">
        <is>
          <t>고평가 부담</t>
        </is>
      </c>
      <c r="I222" s="18" t="inlineStr">
        <is>
          <t>0.5209890944205295</t>
        </is>
      </c>
      <c r="J222" t="inlineStr"/>
      <c r="K222" t="inlineStr"/>
      <c r="L222" t="inlineStr"/>
    </row>
    <row r="223" ht="22" customHeight="1">
      <c r="A223" s="18" t="inlineStr">
        <is>
          <t>넥스트칩</t>
        </is>
      </c>
      <c r="B223" t="inlineStr"/>
      <c r="C223" s="18" t="inlineStr">
        <is>
          <t>396270</t>
        </is>
      </c>
      <c r="D223" s="18" t="inlineStr">
        <is>
          <t>KOSDAQ</t>
        </is>
      </c>
      <c r="E223" s="18" t="inlineStr">
        <is>
          <t>팹리스/설계</t>
        </is>
      </c>
      <c r="F223" s="18" t="n">
        <v>37.43</v>
      </c>
      <c r="G223" s="18" t="n">
        <v>71.43000000000001</v>
      </c>
      <c r="H223" s="18" t="inlineStr">
        <is>
          <t>고평가 부담</t>
        </is>
      </c>
      <c r="I223" s="18" t="inlineStr">
        <is>
          <t>0.9380466040149497</t>
        </is>
      </c>
      <c r="J223" t="inlineStr"/>
      <c r="K223" t="inlineStr"/>
      <c r="L223" t="inlineStr"/>
    </row>
    <row r="224" ht="22" customHeight="1">
      <c r="A224" s="18" t="inlineStr">
        <is>
          <t>SFA반도체</t>
        </is>
      </c>
      <c r="B224" t="inlineStr"/>
      <c r="C224" s="18" t="inlineStr">
        <is>
          <t>036540</t>
        </is>
      </c>
      <c r="D224" s="18" t="inlineStr">
        <is>
          <t>KOSDAQ</t>
        </is>
      </c>
      <c r="E224" s="18" t="inlineStr">
        <is>
          <t>후공정/패키징/테스트</t>
        </is>
      </c>
      <c r="F224" s="18" t="n">
        <v>37.26</v>
      </c>
      <c r="G224" s="18" t="n">
        <v>28.57</v>
      </c>
      <c r="H224" s="18" t="inlineStr">
        <is>
          <t>고평가 부담</t>
        </is>
      </c>
      <c r="I224" s="18" t="inlineStr">
        <is>
          <t>0.7912156659089058</t>
        </is>
      </c>
      <c r="J224" t="inlineStr"/>
      <c r="K224" t="inlineStr"/>
      <c r="L224" t="inlineStr"/>
    </row>
    <row r="225" ht="22" customHeight="1">
      <c r="A225" s="18" t="inlineStr">
        <is>
          <t>사피엔반도체</t>
        </is>
      </c>
      <c r="B225" t="inlineStr"/>
      <c r="C225" s="18" t="inlineStr">
        <is>
          <t>452430</t>
        </is>
      </c>
      <c r="D225" s="18" t="inlineStr">
        <is>
          <t>KOSDAQ</t>
        </is>
      </c>
      <c r="E225" s="18" t="inlineStr">
        <is>
          <t>팹리스/설계</t>
        </is>
      </c>
      <c r="F225" s="18" t="n">
        <v>37.21</v>
      </c>
      <c r="G225" s="18" t="n">
        <v>57.14</v>
      </c>
      <c r="H225" s="18" t="inlineStr">
        <is>
          <t>고평가 부담</t>
        </is>
      </c>
      <c r="I225" s="18" t="inlineStr">
        <is>
          <t>0.8482781866315999</t>
        </is>
      </c>
      <c r="J225" t="inlineStr"/>
      <c r="K225" t="inlineStr"/>
      <c r="L225" t="inlineStr"/>
    </row>
    <row r="226" ht="22" customHeight="1">
      <c r="A226" s="18" t="inlineStr">
        <is>
          <t>동운아나텍</t>
        </is>
      </c>
      <c r="B226" t="inlineStr"/>
      <c r="C226" s="18" t="inlineStr">
        <is>
          <t>094170</t>
        </is>
      </c>
      <c r="D226" s="18" t="inlineStr">
        <is>
          <t>KOSDAQ</t>
        </is>
      </c>
      <c r="E226" s="18" t="inlineStr">
        <is>
          <t>팹리스/설계</t>
        </is>
      </c>
      <c r="F226" s="18" t="n">
        <v>36.71</v>
      </c>
      <c r="G226" s="18" t="n">
        <v>21.43</v>
      </c>
      <c r="H226" s="18" t="inlineStr">
        <is>
          <t>고평가 부담</t>
        </is>
      </c>
      <c r="I226" s="18" t="inlineStr">
        <is>
          <t>0.4894423516429773</t>
        </is>
      </c>
      <c r="J226" t="inlineStr"/>
      <c r="K226" t="inlineStr"/>
      <c r="L226" t="inlineStr"/>
    </row>
    <row r="227" ht="22" customHeight="1">
      <c r="A227" s="18" t="inlineStr">
        <is>
          <t>씨엠티엑스</t>
        </is>
      </c>
      <c r="B227" t="inlineStr"/>
      <c r="C227" s="18" t="inlineStr">
        <is>
          <t>388210</t>
        </is>
      </c>
      <c r="D227" s="18" t="inlineStr">
        <is>
          <t>KOSDAQ</t>
        </is>
      </c>
      <c r="E227" s="18" t="inlineStr">
        <is>
          <t>장비</t>
        </is>
      </c>
      <c r="F227" s="18" t="n">
        <v>36.53</v>
      </c>
      <c r="G227" s="18" t="n">
        <v>21.43</v>
      </c>
      <c r="H227" s="18" t="inlineStr">
        <is>
          <t>고평가 부담</t>
        </is>
      </c>
      <c r="I227" s="18" t="inlineStr">
        <is>
          <t>0.7157707609420977</t>
        </is>
      </c>
      <c r="J227" t="inlineStr"/>
      <c r="K227" t="inlineStr"/>
      <c r="L227" t="inlineStr"/>
    </row>
    <row r="228" ht="22" customHeight="1">
      <c r="A228" s="18" t="inlineStr">
        <is>
          <t>세미파이브</t>
        </is>
      </c>
      <c r="B228" t="inlineStr"/>
      <c r="C228" s="18" t="inlineStr">
        <is>
          <t>490470</t>
        </is>
      </c>
      <c r="D228" s="18" t="inlineStr">
        <is>
          <t>KOSDAQ</t>
        </is>
      </c>
      <c r="E228" s="18" t="inlineStr">
        <is>
          <t>팹리스/설계</t>
        </is>
      </c>
      <c r="F228" s="18" t="n">
        <v>36.46</v>
      </c>
      <c r="G228" s="18" t="n">
        <v>50</v>
      </c>
      <c r="H228" s="18" t="inlineStr">
        <is>
          <t>고평가 부담</t>
        </is>
      </c>
      <c r="I228" s="18" t="inlineStr">
        <is>
          <t>0.9277538303818181</t>
        </is>
      </c>
      <c r="J228" t="inlineStr"/>
      <c r="K228" t="inlineStr"/>
      <c r="L228" t="inlineStr"/>
    </row>
    <row r="229" ht="22" customHeight="1">
      <c r="A229" s="18" t="inlineStr">
        <is>
          <t>이미지스</t>
        </is>
      </c>
      <c r="B229" t="inlineStr"/>
      <c r="C229" s="18" t="inlineStr">
        <is>
          <t>115610</t>
        </is>
      </c>
      <c r="D229" s="18" t="inlineStr">
        <is>
          <t>KOSDAQ</t>
        </is>
      </c>
      <c r="E229" s="18" t="inlineStr">
        <is>
          <t>IDM/제조/메모리</t>
        </is>
      </c>
      <c r="F229" s="18" t="n">
        <v>36.33</v>
      </c>
      <c r="G229" s="18" t="n">
        <v>64.29000000000001</v>
      </c>
      <c r="H229" s="18" t="inlineStr">
        <is>
          <t>고평가 부담</t>
        </is>
      </c>
      <c r="I229" s="18" t="inlineStr">
        <is>
          <t>0.7470098487547145</t>
        </is>
      </c>
      <c r="J229" t="inlineStr"/>
      <c r="K229" t="inlineStr"/>
      <c r="L229" t="inlineStr"/>
    </row>
    <row r="230" ht="22" customHeight="1">
      <c r="A230" s="18" t="inlineStr">
        <is>
          <t>시지트로닉스</t>
        </is>
      </c>
      <c r="B230" t="inlineStr"/>
      <c r="C230" s="18" t="inlineStr">
        <is>
          <t>429270</t>
        </is>
      </c>
      <c r="D230" s="18" t="inlineStr">
        <is>
          <t>KOSDAQ</t>
        </is>
      </c>
      <c r="E230" s="18" t="inlineStr">
        <is>
          <t>IDM/제조/메모리</t>
        </is>
      </c>
      <c r="F230" s="18" t="n">
        <v>35.13</v>
      </c>
      <c r="G230" s="18" t="n">
        <v>71.43000000000001</v>
      </c>
      <c r="H230" s="18" t="inlineStr">
        <is>
          <t>고평가 부담</t>
        </is>
      </c>
      <c r="I230" s="18" t="inlineStr">
        <is>
          <t>0.8423539115807104</t>
        </is>
      </c>
      <c r="J230" t="inlineStr"/>
      <c r="K230" t="inlineStr"/>
      <c r="L230" t="inlineStr"/>
    </row>
    <row r="231" ht="22" customHeight="1">
      <c r="A231" s="18" t="inlineStr">
        <is>
          <t>인텍플러스</t>
        </is>
      </c>
      <c r="B231" t="inlineStr"/>
      <c r="C231" s="18" t="inlineStr">
        <is>
          <t>064290</t>
        </is>
      </c>
      <c r="D231" s="18" t="inlineStr">
        <is>
          <t>KOSDAQ</t>
        </is>
      </c>
      <c r="E231" s="18" t="inlineStr">
        <is>
          <t>후공정/패키징/테스트</t>
        </is>
      </c>
      <c r="F231" s="18" t="n">
        <v>34.31</v>
      </c>
      <c r="G231" s="18" t="n">
        <v>42.86</v>
      </c>
      <c r="H231" s="18" t="inlineStr">
        <is>
          <t>고평가 부담</t>
        </is>
      </c>
      <c r="I231" s="18" t="inlineStr">
        <is>
          <t>0.7612288958400996</t>
        </is>
      </c>
      <c r="J231" t="inlineStr"/>
      <c r="K231" t="inlineStr"/>
      <c r="L231" t="inlineStr"/>
    </row>
    <row r="232" ht="22" customHeight="1">
      <c r="A232" s="18" t="inlineStr">
        <is>
          <t>3S</t>
        </is>
      </c>
      <c r="B232" t="inlineStr"/>
      <c r="C232" s="18" t="inlineStr">
        <is>
          <t>060310</t>
        </is>
      </c>
      <c r="D232" s="18" t="inlineStr">
        <is>
          <t>KOSDAQ</t>
        </is>
      </c>
      <c r="E232" s="18" t="inlineStr">
        <is>
          <t>부품/기판</t>
        </is>
      </c>
      <c r="F232" s="18" t="n">
        <v>34.1</v>
      </c>
      <c r="G232" s="18" t="n">
        <v>57.14</v>
      </c>
      <c r="H232" s="18" t="inlineStr">
        <is>
          <t>고평가 부담</t>
        </is>
      </c>
      <c r="I232" s="18" t="inlineStr">
        <is>
          <t>0.8755971854841007</t>
        </is>
      </c>
      <c r="J232" t="inlineStr"/>
      <c r="K232" t="inlineStr"/>
      <c r="L232" t="inlineStr"/>
    </row>
    <row r="233" ht="22" customHeight="1">
      <c r="A233" s="18" t="inlineStr">
        <is>
          <t>천보</t>
        </is>
      </c>
      <c r="B233" t="inlineStr"/>
      <c r="C233" s="18" t="inlineStr">
        <is>
          <t>278280</t>
        </is>
      </c>
      <c r="D233" s="18" t="inlineStr">
        <is>
          <t>KOSDAQ</t>
        </is>
      </c>
      <c r="E233" s="18" t="inlineStr">
        <is>
          <t>소재</t>
        </is>
      </c>
      <c r="F233" s="18" t="n">
        <v>33.87</v>
      </c>
      <c r="G233" s="18" t="n">
        <v>35.71</v>
      </c>
      <c r="H233" s="18" t="inlineStr">
        <is>
          <t>고평가 부담</t>
        </is>
      </c>
      <c r="I233" s="18" t="inlineStr">
        <is>
          <t>0.5721835844163214</t>
        </is>
      </c>
      <c r="J233" t="inlineStr"/>
      <c r="K233" t="inlineStr"/>
      <c r="L233" t="inlineStr"/>
    </row>
    <row r="234" ht="22" customHeight="1">
      <c r="A234" s="18" t="inlineStr">
        <is>
          <t>후성</t>
        </is>
      </c>
      <c r="B234" t="inlineStr"/>
      <c r="C234" s="18" t="inlineStr">
        <is>
          <t>093370</t>
        </is>
      </c>
      <c r="D234" s="18" t="inlineStr">
        <is>
          <t>KOSPI</t>
        </is>
      </c>
      <c r="E234" s="18" t="inlineStr">
        <is>
          <t>소재</t>
        </is>
      </c>
      <c r="F234" s="18" t="n">
        <v>33.87</v>
      </c>
      <c r="G234" s="18" t="n">
        <v>14.29</v>
      </c>
      <c r="H234" s="18" t="inlineStr">
        <is>
          <t>고평가 부담</t>
        </is>
      </c>
      <c r="I234" s="18" t="inlineStr">
        <is>
          <t>0.7388215177779633</t>
        </is>
      </c>
      <c r="J234" t="inlineStr"/>
      <c r="K234" t="inlineStr"/>
      <c r="L234" t="inlineStr"/>
    </row>
    <row r="235" ht="22" customHeight="1">
      <c r="A235" s="18" t="inlineStr">
        <is>
          <t>한울반도체</t>
        </is>
      </c>
      <c r="B235" t="inlineStr"/>
      <c r="C235" s="18" t="inlineStr">
        <is>
          <t>320000</t>
        </is>
      </c>
      <c r="D235" s="18" t="inlineStr">
        <is>
          <t>KOSDAQ</t>
        </is>
      </c>
      <c r="E235" s="18" t="inlineStr">
        <is>
          <t>후공정/패키징/테스트</t>
        </is>
      </c>
      <c r="F235" s="18" t="n">
        <v>33.76</v>
      </c>
      <c r="G235" s="18" t="n">
        <v>71.43000000000001</v>
      </c>
      <c r="H235" s="18" t="inlineStr">
        <is>
          <t>고평가 부담</t>
        </is>
      </c>
      <c r="I235" s="18" t="inlineStr">
        <is>
          <t>0.7769228627558715</t>
        </is>
      </c>
      <c r="J235" t="inlineStr"/>
      <c r="K235" t="inlineStr"/>
      <c r="L235" t="inlineStr"/>
    </row>
    <row r="236" ht="22" customHeight="1">
      <c r="A236" s="18" t="inlineStr">
        <is>
          <t>유니테스트</t>
        </is>
      </c>
      <c r="B236" t="inlineStr"/>
      <c r="C236" s="18" t="inlineStr">
        <is>
          <t>086390</t>
        </is>
      </c>
      <c r="D236" s="18" t="inlineStr">
        <is>
          <t>KOSDAQ</t>
        </is>
      </c>
      <c r="E236" s="18" t="inlineStr">
        <is>
          <t>후공정/패키징/테스트</t>
        </is>
      </c>
      <c r="F236" s="18" t="n">
        <v>33.72</v>
      </c>
      <c r="G236" s="18" t="n">
        <v>57.14</v>
      </c>
      <c r="H236" s="18" t="inlineStr">
        <is>
          <t>고평가 부담</t>
        </is>
      </c>
      <c r="I236" s="18" t="inlineStr">
        <is>
          <t>0.9109345080202441</t>
        </is>
      </c>
      <c r="J236" t="inlineStr"/>
      <c r="K236" t="inlineStr"/>
      <c r="L236" t="inlineStr"/>
    </row>
    <row r="237" ht="22" customHeight="1">
      <c r="A237" s="18" t="inlineStr">
        <is>
          <t>에이직랜드</t>
        </is>
      </c>
      <c r="B237" t="inlineStr"/>
      <c r="C237" s="18" t="inlineStr">
        <is>
          <t>445090</t>
        </is>
      </c>
      <c r="D237" s="18" t="inlineStr">
        <is>
          <t>KOSDAQ</t>
        </is>
      </c>
      <c r="E237" s="18" t="inlineStr">
        <is>
          <t>팹리스/설계</t>
        </is>
      </c>
      <c r="F237" s="18" t="n">
        <v>32.95</v>
      </c>
      <c r="G237" s="18" t="n">
        <v>78.56999999999999</v>
      </c>
      <c r="H237" s="18" t="inlineStr">
        <is>
          <t>고평가 부담</t>
        </is>
      </c>
      <c r="I237" s="18" t="inlineStr">
        <is>
          <t>0.9058303131641584</t>
        </is>
      </c>
      <c r="J237" t="inlineStr"/>
      <c r="K237" t="inlineStr"/>
      <c r="L237" t="inlineStr"/>
    </row>
    <row r="238" ht="22" customHeight="1">
      <c r="A238" s="18" t="inlineStr">
        <is>
          <t>지니틱스</t>
        </is>
      </c>
      <c r="B238" t="inlineStr"/>
      <c r="C238" s="18" t="inlineStr">
        <is>
          <t>303030</t>
        </is>
      </c>
      <c r="D238" s="18" t="inlineStr">
        <is>
          <t>KOSDAQ</t>
        </is>
      </c>
      <c r="E238" s="18" t="inlineStr">
        <is>
          <t>IDM/제조/메모리</t>
        </is>
      </c>
      <c r="F238" s="18" t="n">
        <v>32.93</v>
      </c>
      <c r="G238" s="18" t="n">
        <v>71.43000000000001</v>
      </c>
      <c r="H238" s="18" t="inlineStr">
        <is>
          <t>고평가 부담</t>
        </is>
      </c>
      <c r="I238" s="18" t="inlineStr">
        <is>
          <t>0.6029464801919612</t>
        </is>
      </c>
      <c r="J238" t="inlineStr"/>
      <c r="K238" t="inlineStr"/>
      <c r="L238" t="inlineStr"/>
    </row>
    <row r="239" ht="22" customHeight="1">
      <c r="A239" s="18" t="inlineStr">
        <is>
          <t>엘케이켐</t>
        </is>
      </c>
      <c r="B239" t="inlineStr"/>
      <c r="C239" s="18" t="inlineStr">
        <is>
          <t>489500</t>
        </is>
      </c>
      <c r="D239" s="18" t="inlineStr">
        <is>
          <t>KOSDAQ</t>
        </is>
      </c>
      <c r="E239" s="18" t="inlineStr">
        <is>
          <t>소재</t>
        </is>
      </c>
      <c r="F239" s="18" t="n">
        <v>32.38</v>
      </c>
      <c r="G239" s="18" t="n">
        <v>28.57</v>
      </c>
      <c r="H239" s="18" t="inlineStr">
        <is>
          <t>고평가 부담</t>
        </is>
      </c>
      <c r="I239" s="18" t="inlineStr">
        <is>
          <t>0.702794478496214</t>
        </is>
      </c>
      <c r="J239" t="inlineStr"/>
      <c r="K239" t="inlineStr"/>
      <c r="L239" t="inlineStr"/>
    </row>
    <row r="240" ht="22" customHeight="1">
      <c r="A240" s="18" t="inlineStr">
        <is>
          <t>SKC</t>
        </is>
      </c>
      <c r="B240" t="inlineStr"/>
      <c r="C240" s="18" t="inlineStr">
        <is>
          <t>011790</t>
        </is>
      </c>
      <c r="D240" s="18" t="inlineStr">
        <is>
          <t>KOSPI</t>
        </is>
      </c>
      <c r="E240" s="18" t="inlineStr">
        <is>
          <t>소재</t>
        </is>
      </c>
      <c r="F240" s="18" t="n">
        <v>32.18</v>
      </c>
      <c r="G240" s="18" t="n">
        <v>71.43000000000001</v>
      </c>
      <c r="H240" s="18" t="inlineStr">
        <is>
          <t>고평가 부담</t>
        </is>
      </c>
      <c r="I240" s="18" t="inlineStr">
        <is>
          <t>0.865330691240198</t>
        </is>
      </c>
      <c r="J240" t="inlineStr"/>
      <c r="K240" t="inlineStr"/>
      <c r="L240" t="inlineStr"/>
    </row>
    <row r="241" ht="22" customHeight="1">
      <c r="A241" s="18" t="inlineStr">
        <is>
          <t>두산테스나</t>
        </is>
      </c>
      <c r="B241" t="inlineStr"/>
      <c r="C241" s="18" t="inlineStr">
        <is>
          <t>131970</t>
        </is>
      </c>
      <c r="D241" s="18" t="inlineStr">
        <is>
          <t>KOSDAQ GLOBAL</t>
        </is>
      </c>
      <c r="E241" s="18" t="inlineStr">
        <is>
          <t>후공정/패키징/테스트</t>
        </is>
      </c>
      <c r="F241" s="18" t="n">
        <v>32.17</v>
      </c>
      <c r="G241" s="18" t="n">
        <v>14.29</v>
      </c>
      <c r="H241" s="18" t="inlineStr">
        <is>
          <t>고평가 부담</t>
        </is>
      </c>
      <c r="I241" s="18" t="inlineStr">
        <is>
          <t>0.5774876642912814</t>
        </is>
      </c>
      <c r="J241" t="inlineStr"/>
      <c r="K241" t="inlineStr"/>
      <c r="L241" t="inlineStr"/>
    </row>
    <row r="242" ht="22" customHeight="1">
      <c r="A242" s="18" t="inlineStr">
        <is>
          <t>라닉스</t>
        </is>
      </c>
      <c r="B242" t="inlineStr"/>
      <c r="C242" s="18" t="inlineStr">
        <is>
          <t>317120</t>
        </is>
      </c>
      <c r="D242" s="18" t="inlineStr">
        <is>
          <t>KOSDAQ</t>
        </is>
      </c>
      <c r="E242" s="18" t="inlineStr">
        <is>
          <t>팹리스/설계</t>
        </is>
      </c>
      <c r="F242" s="18" t="n">
        <v>32.08</v>
      </c>
      <c r="G242" s="18" t="n">
        <v>71.43000000000001</v>
      </c>
      <c r="H242" s="18" t="inlineStr">
        <is>
          <t>고평가 부담</t>
        </is>
      </c>
      <c r="I242" s="18" t="inlineStr">
        <is>
          <t>0.9281808400807596</t>
        </is>
      </c>
      <c r="J242" t="inlineStr"/>
      <c r="K242" t="inlineStr"/>
      <c r="L242" t="inlineStr"/>
    </row>
    <row r="243" ht="22" customHeight="1">
      <c r="A243" s="18" t="inlineStr">
        <is>
          <t>아이에스티이</t>
        </is>
      </c>
      <c r="B243" t="inlineStr"/>
      <c r="C243" s="18" t="inlineStr">
        <is>
          <t>212710</t>
        </is>
      </c>
      <c r="D243" s="18" t="inlineStr">
        <is>
          <t>KOSDAQ</t>
        </is>
      </c>
      <c r="E243" s="18" t="inlineStr">
        <is>
          <t>IDM/제조/메모리</t>
        </is>
      </c>
      <c r="F243" s="18" t="n">
        <v>31.27</v>
      </c>
      <c r="G243" s="18" t="n">
        <v>71.43000000000001</v>
      </c>
      <c r="H243" s="18" t="inlineStr">
        <is>
          <t>고평가 부담</t>
        </is>
      </c>
      <c r="I243" s="18" t="inlineStr">
        <is>
          <t>0.6642993493743579</t>
        </is>
      </c>
      <c r="J243" t="inlineStr"/>
      <c r="K243" t="inlineStr"/>
      <c r="L243" t="inlineStr"/>
    </row>
    <row r="244" ht="22" customHeight="1">
      <c r="A244" s="18" t="inlineStr">
        <is>
          <t>가온칩스</t>
        </is>
      </c>
      <c r="B244" t="inlineStr"/>
      <c r="C244" s="18" t="inlineStr">
        <is>
          <t>399720</t>
        </is>
      </c>
      <c r="D244" s="18" t="inlineStr">
        <is>
          <t>KOSDAQ</t>
        </is>
      </c>
      <c r="E244" s="18" t="inlineStr">
        <is>
          <t>팹리스/설계</t>
        </is>
      </c>
      <c r="F244" s="18" t="n">
        <v>31.19</v>
      </c>
      <c r="G244" s="18" t="n">
        <v>57.14</v>
      </c>
      <c r="H244" s="18" t="inlineStr">
        <is>
          <t>고평가 부담</t>
        </is>
      </c>
      <c r="I244" s="18" t="inlineStr">
        <is>
          <t>0.9202856043409283</t>
        </is>
      </c>
      <c r="J244" t="inlineStr"/>
      <c r="K244" t="inlineStr"/>
      <c r="L244" t="inlineStr"/>
    </row>
    <row r="245" ht="22" customHeight="1">
      <c r="A245" s="18" t="inlineStr">
        <is>
          <t>네오셈</t>
        </is>
      </c>
      <c r="B245" t="inlineStr"/>
      <c r="C245" s="18" t="inlineStr">
        <is>
          <t>253590</t>
        </is>
      </c>
      <c r="D245" s="18" t="inlineStr">
        <is>
          <t>KOSDAQ</t>
        </is>
      </c>
      <c r="E245" s="18" t="inlineStr">
        <is>
          <t>후공정/패키징/테스트</t>
        </is>
      </c>
      <c r="F245" s="18" t="n">
        <v>30.59</v>
      </c>
      <c r="G245" s="18" t="n">
        <v>7.14</v>
      </c>
      <c r="H245" s="18" t="inlineStr">
        <is>
          <t>고평가 부담</t>
        </is>
      </c>
      <c r="I245" s="18" t="inlineStr">
        <is>
          <t>0.7695353673338539</t>
        </is>
      </c>
      <c r="J245" t="inlineStr"/>
      <c r="K245" t="inlineStr"/>
      <c r="L245" t="inlineStr"/>
    </row>
    <row r="246" ht="22" customHeight="1">
      <c r="A246" s="18" t="inlineStr">
        <is>
          <t>아스플로</t>
        </is>
      </c>
      <c r="B246" t="inlineStr"/>
      <c r="C246" s="18" t="inlineStr">
        <is>
          <t>159010</t>
        </is>
      </c>
      <c r="D246" s="18" t="inlineStr">
        <is>
          <t>KOSDAQ</t>
        </is>
      </c>
      <c r="E246" s="18" t="inlineStr">
        <is>
          <t>장비</t>
        </is>
      </c>
      <c r="F246" s="18" t="n">
        <v>30.25</v>
      </c>
      <c r="G246" s="18" t="n">
        <v>57.14</v>
      </c>
      <c r="H246" s="18" t="inlineStr">
        <is>
          <t>고평가 부담</t>
        </is>
      </c>
      <c r="I246" s="18" t="inlineStr">
        <is>
          <t>0.8970141905473263</t>
        </is>
      </c>
      <c r="J246" t="inlineStr"/>
      <c r="K246" t="inlineStr"/>
      <c r="L246" t="inlineStr"/>
    </row>
    <row r="247" ht="22" customHeight="1">
      <c r="A247" s="18" t="inlineStr">
        <is>
          <t>케이알엠</t>
        </is>
      </c>
      <c r="B247" t="inlineStr"/>
      <c r="C247" s="18" t="inlineStr">
        <is>
          <t>093640</t>
        </is>
      </c>
      <c r="D247" s="18" t="inlineStr">
        <is>
          <t>KOSDAQ</t>
        </is>
      </c>
      <c r="E247" s="18" t="inlineStr">
        <is>
          <t>IDM/제조/메모리</t>
        </is>
      </c>
      <c r="F247" s="18" t="n">
        <v>30.1</v>
      </c>
      <c r="G247" s="18" t="n">
        <v>42.86</v>
      </c>
      <c r="H247" s="18" t="inlineStr">
        <is>
          <t>고평가 부담</t>
        </is>
      </c>
      <c r="I247" s="18" t="inlineStr">
        <is>
          <t>0.7957205872008264</t>
        </is>
      </c>
      <c r="J247" t="inlineStr"/>
      <c r="K247" t="inlineStr"/>
      <c r="L247" t="inlineStr"/>
    </row>
    <row r="248" ht="22" customHeight="1">
      <c r="A248" s="18" t="inlineStr">
        <is>
          <t>오로스테크놀로지</t>
        </is>
      </c>
      <c r="B248" t="inlineStr"/>
      <c r="C248" s="18" t="inlineStr">
        <is>
          <t>322310</t>
        </is>
      </c>
      <c r="D248" s="18" t="inlineStr">
        <is>
          <t>KOSDAQ</t>
        </is>
      </c>
      <c r="E248" s="18" t="inlineStr">
        <is>
          <t>장비</t>
        </is>
      </c>
      <c r="F248" s="18" t="n">
        <v>29.69</v>
      </c>
      <c r="G248" s="18" t="n">
        <v>28.57</v>
      </c>
      <c r="H248" s="18" t="inlineStr">
        <is>
          <t>고평가 부담</t>
        </is>
      </c>
      <c r="I248" s="18" t="inlineStr">
        <is>
          <t>0.9263479879516093</t>
        </is>
      </c>
      <c r="J248" t="inlineStr"/>
      <c r="K248" t="inlineStr"/>
      <c r="L248" t="inlineStr"/>
    </row>
    <row r="249" ht="22" customHeight="1">
      <c r="A249" s="18" t="inlineStr">
        <is>
          <t>쏘닉스</t>
        </is>
      </c>
      <c r="B249" t="inlineStr"/>
      <c r="C249" s="18" t="inlineStr">
        <is>
          <t>088280</t>
        </is>
      </c>
      <c r="D249" s="18" t="inlineStr">
        <is>
          <t>KOSDAQ</t>
        </is>
      </c>
      <c r="E249" s="18" t="inlineStr">
        <is>
          <t>IDM/제조/메모리</t>
        </is>
      </c>
      <c r="F249" s="18" t="n">
        <v>29.25</v>
      </c>
      <c r="G249" s="18" t="n">
        <v>57.14</v>
      </c>
      <c r="H249" s="18" t="inlineStr">
        <is>
          <t>고평가 부담</t>
        </is>
      </c>
      <c r="I249" s="18" t="inlineStr">
        <is>
          <t>0.9167677788852596</t>
        </is>
      </c>
      <c r="J249" t="inlineStr"/>
      <c r="K249" t="inlineStr"/>
      <c r="L249" t="inlineStr"/>
    </row>
    <row r="250" ht="22" customHeight="1">
      <c r="A250" s="18" t="inlineStr">
        <is>
          <t>러셀</t>
        </is>
      </c>
      <c r="B250" t="inlineStr"/>
      <c r="C250" s="18" t="inlineStr">
        <is>
          <t>217500</t>
        </is>
      </c>
      <c r="D250" s="18" t="inlineStr">
        <is>
          <t>KOSDAQ</t>
        </is>
      </c>
      <c r="E250" s="18" t="inlineStr">
        <is>
          <t>장비</t>
        </is>
      </c>
      <c r="F250" s="18" t="n">
        <v>28.89</v>
      </c>
      <c r="G250" s="18" t="n">
        <v>57.14</v>
      </c>
      <c r="H250" s="18" t="inlineStr">
        <is>
          <t>고평가 부담</t>
        </is>
      </c>
      <c r="I250" s="18" t="inlineStr">
        <is>
          <t>0.873177337125051</t>
        </is>
      </c>
      <c r="J250" t="inlineStr"/>
      <c r="K250" t="inlineStr"/>
      <c r="L250" t="inlineStr"/>
    </row>
    <row r="251" ht="22" customHeight="1">
      <c r="A251" s="18" t="inlineStr">
        <is>
          <t>미래컴퍼니</t>
        </is>
      </c>
      <c r="B251" t="inlineStr"/>
      <c r="C251" s="18" t="inlineStr">
        <is>
          <t>049950</t>
        </is>
      </c>
      <c r="D251" s="18" t="inlineStr">
        <is>
          <t>KOSDAQ</t>
        </is>
      </c>
      <c r="E251" s="18" t="inlineStr">
        <is>
          <t>장비</t>
        </is>
      </c>
      <c r="F251" s="18" t="n">
        <v>28.75</v>
      </c>
      <c r="G251" s="18" t="n">
        <v>42.86</v>
      </c>
      <c r="H251" s="18" t="inlineStr">
        <is>
          <t>고평가 부담</t>
        </is>
      </c>
      <c r="I251" s="18" t="inlineStr">
        <is>
          <t>0.8354805452058427</t>
        </is>
      </c>
      <c r="J251" t="inlineStr"/>
      <c r="K251" t="inlineStr"/>
      <c r="L251" t="inlineStr"/>
    </row>
    <row r="252" ht="22" customHeight="1">
      <c r="A252" s="18" t="inlineStr">
        <is>
          <t>파두</t>
        </is>
      </c>
      <c r="B252" t="inlineStr"/>
      <c r="C252" s="18" t="inlineStr">
        <is>
          <t>440110</t>
        </is>
      </c>
      <c r="D252" s="18" t="inlineStr">
        <is>
          <t>KOSDAQ</t>
        </is>
      </c>
      <c r="E252" s="18" t="inlineStr">
        <is>
          <t>팹리스/설계</t>
        </is>
      </c>
      <c r="F252" s="18" t="n">
        <v>28.17</v>
      </c>
      <c r="G252" s="18" t="n">
        <v>71.43000000000001</v>
      </c>
      <c r="H252" s="18" t="inlineStr">
        <is>
          <t>고평가 부담</t>
        </is>
      </c>
      <c r="I252" s="18" t="inlineStr">
        <is>
          <t>0.9722302520284296</t>
        </is>
      </c>
      <c r="J252" t="inlineStr"/>
      <c r="K252" t="inlineStr"/>
      <c r="L252" t="inlineStr"/>
    </row>
    <row r="253" ht="22" customHeight="1">
      <c r="A253" s="18" t="inlineStr">
        <is>
          <t>예스티</t>
        </is>
      </c>
      <c r="B253" t="inlineStr"/>
      <c r="C253" s="18" t="inlineStr">
        <is>
          <t>122640</t>
        </is>
      </c>
      <c r="D253" s="18" t="inlineStr">
        <is>
          <t>KOSDAQ</t>
        </is>
      </c>
      <c r="E253" s="18" t="inlineStr">
        <is>
          <t>장비</t>
        </is>
      </c>
      <c r="F253" s="18" t="n">
        <v>27.79</v>
      </c>
      <c r="G253" s="18" t="n">
        <v>21.43</v>
      </c>
      <c r="H253" s="18" t="inlineStr">
        <is>
          <t>고평가 부담</t>
        </is>
      </c>
      <c r="I253" s="18" t="inlineStr">
        <is>
          <t>0.8070752756860592</t>
        </is>
      </c>
      <c r="J253" t="inlineStr"/>
      <c r="K253" t="inlineStr"/>
      <c r="L253" t="inlineStr"/>
    </row>
    <row r="254" ht="22" customHeight="1">
      <c r="A254" s="18" t="inlineStr">
        <is>
          <t>레이크머티리얼즈</t>
        </is>
      </c>
      <c r="B254" t="inlineStr"/>
      <c r="C254" s="18" t="inlineStr">
        <is>
          <t>281740</t>
        </is>
      </c>
      <c r="D254" s="18" t="inlineStr">
        <is>
          <t>KOSDAQ</t>
        </is>
      </c>
      <c r="E254" s="18" t="inlineStr">
        <is>
          <t>소재</t>
        </is>
      </c>
      <c r="F254" s="18" t="n">
        <v>26.77</v>
      </c>
      <c r="G254" s="18" t="n">
        <v>28.57</v>
      </c>
      <c r="H254" s="18" t="inlineStr">
        <is>
          <t>고평가 부담</t>
        </is>
      </c>
      <c r="I254" s="18" t="inlineStr">
        <is>
          <t>0.7822727417954645</t>
        </is>
      </c>
      <c r="J254" t="inlineStr"/>
      <c r="K254" t="inlineStr"/>
      <c r="L254" t="inlineStr"/>
    </row>
    <row r="255" ht="22" customHeight="1">
      <c r="A255" s="18" t="inlineStr">
        <is>
          <t>덕산테코피아</t>
        </is>
      </c>
      <c r="B255" s="18" t="inlineStr">
        <is>
          <t>duksan</t>
        </is>
      </c>
      <c r="C255" s="18" t="inlineStr">
        <is>
          <t>317330</t>
        </is>
      </c>
      <c r="D255" s="18" t="inlineStr">
        <is>
          <t>KOSDAQ</t>
        </is>
      </c>
      <c r="E255" s="18" t="inlineStr">
        <is>
          <t>소재</t>
        </is>
      </c>
      <c r="F255" s="18" t="n">
        <v>25.1</v>
      </c>
      <c r="G255" s="18" t="n">
        <v>71.43000000000001</v>
      </c>
      <c r="H255" s="18" t="inlineStr">
        <is>
          <t>고평가 부담</t>
        </is>
      </c>
      <c r="I255" s="18" t="inlineStr">
        <is>
          <t>0.9683283970250778</t>
        </is>
      </c>
      <c r="J255" s="18" t="inlineStr">
        <is>
          <t>예</t>
        </is>
      </c>
      <c r="K255" t="inlineStr"/>
      <c r="L255" t="inlineStr"/>
    </row>
    <row r="256" ht="22" customHeight="1">
      <c r="A256" s="18" t="inlineStr">
        <is>
          <t>피엠티</t>
        </is>
      </c>
      <c r="B256" t="inlineStr"/>
      <c r="C256" s="18" t="inlineStr">
        <is>
          <t>147760</t>
        </is>
      </c>
      <c r="D256" s="18" t="inlineStr">
        <is>
          <t>KOSDAQ</t>
        </is>
      </c>
      <c r="E256" s="18" t="inlineStr">
        <is>
          <t>후공정/패키징/테스트</t>
        </is>
      </c>
      <c r="F256" s="18" t="n">
        <v>24.71</v>
      </c>
      <c r="G256" s="18" t="n">
        <v>78.56999999999999</v>
      </c>
      <c r="H256" s="18" t="inlineStr">
        <is>
          <t>고평가 부담</t>
        </is>
      </c>
      <c r="I256" s="18" t="inlineStr">
        <is>
          <t>0.952821790032095</t>
        </is>
      </c>
      <c r="J256" t="inlineStr"/>
      <c r="K256" t="inlineStr"/>
      <c r="L256" t="inlineStr"/>
    </row>
    <row r="257" ht="22" customHeight="1">
      <c r="A257" s="18" t="inlineStr">
        <is>
          <t>아이씨티케이</t>
        </is>
      </c>
      <c r="B257" t="inlineStr"/>
      <c r="C257" s="18" t="inlineStr">
        <is>
          <t>456010</t>
        </is>
      </c>
      <c r="D257" s="18" t="inlineStr">
        <is>
          <t>KOSDAQ</t>
        </is>
      </c>
      <c r="E257" s="18" t="inlineStr">
        <is>
          <t>팹리스/설계</t>
        </is>
      </c>
      <c r="F257" s="18" t="n">
        <v>24.21</v>
      </c>
      <c r="G257" s="18" t="n">
        <v>57.14</v>
      </c>
      <c r="H257" s="18" t="inlineStr">
        <is>
          <t>고평가 부담</t>
        </is>
      </c>
      <c r="I257" s="18" t="inlineStr">
        <is>
          <t>0.9318776222941163</t>
        </is>
      </c>
      <c r="J257" t="inlineStr"/>
      <c r="K257" t="inlineStr"/>
      <c r="L257" t="inlineStr"/>
    </row>
    <row r="258" ht="22" customHeight="1">
      <c r="A258" s="18" t="inlineStr">
        <is>
          <t>오픈엣지테크놀로지</t>
        </is>
      </c>
      <c r="B258" t="inlineStr"/>
      <c r="C258" s="18" t="inlineStr">
        <is>
          <t>394280</t>
        </is>
      </c>
      <c r="D258" s="18" t="inlineStr">
        <is>
          <t>KOSDAQ</t>
        </is>
      </c>
      <c r="E258" s="18" t="inlineStr">
        <is>
          <t>팹리스/설계</t>
        </is>
      </c>
      <c r="F258" s="18" t="n">
        <v>23.84</v>
      </c>
      <c r="G258" s="18" t="n">
        <v>57.14</v>
      </c>
      <c r="H258" s="18" t="inlineStr">
        <is>
          <t>고평가 부담</t>
        </is>
      </c>
      <c r="I258" s="18" t="inlineStr">
        <is>
          <t>0.9776205348568181</t>
        </is>
      </c>
      <c r="J258" t="inlineStr"/>
      <c r="K258" t="inlineStr"/>
      <c r="L258" t="inlineStr"/>
    </row>
    <row r="259" ht="22" customHeight="1">
      <c r="A259" s="18" t="inlineStr">
        <is>
          <t>기가레인</t>
        </is>
      </c>
      <c r="B259" t="inlineStr"/>
      <c r="C259" s="18" t="inlineStr">
        <is>
          <t>049080</t>
        </is>
      </c>
      <c r="D259" s="18" t="inlineStr">
        <is>
          <t>KOSDAQ</t>
        </is>
      </c>
      <c r="E259" s="18" t="inlineStr">
        <is>
          <t>장비</t>
        </is>
      </c>
      <c r="F259" s="18" t="n">
        <v>23.53</v>
      </c>
      <c r="G259" s="18" t="n">
        <v>50</v>
      </c>
      <c r="H259" s="18" t="inlineStr">
        <is>
          <t>고평가 부담</t>
        </is>
      </c>
      <c r="I259" s="18" t="inlineStr">
        <is>
          <t>0.9628494209555842</t>
        </is>
      </c>
      <c r="J259" t="inlineStr"/>
      <c r="K259" t="inlineStr"/>
      <c r="L259" t="inlineStr"/>
    </row>
    <row r="260" ht="22" customHeight="1">
      <c r="A260" s="18" t="inlineStr">
        <is>
          <t>넥스틴</t>
        </is>
      </c>
      <c r="B260" t="inlineStr"/>
      <c r="C260" s="18" t="inlineStr">
        <is>
          <t>348210</t>
        </is>
      </c>
      <c r="D260" s="18" t="inlineStr">
        <is>
          <t>KOSDAQ GLOBAL</t>
        </is>
      </c>
      <c r="E260" s="18" t="inlineStr">
        <is>
          <t>장비</t>
        </is>
      </c>
      <c r="F260" s="18" t="n">
        <v>23.53</v>
      </c>
      <c r="G260" s="18" t="n">
        <v>42.86</v>
      </c>
      <c r="H260" s="18" t="inlineStr">
        <is>
          <t>고평가 부담</t>
        </is>
      </c>
      <c r="I260" s="18" t="inlineStr">
        <is>
          <t>0.7906546201121369</t>
        </is>
      </c>
      <c r="J260" t="inlineStr"/>
      <c r="K260" t="inlineStr"/>
      <c r="L260" t="inlineStr"/>
    </row>
    <row r="261" ht="22" customHeight="1">
      <c r="A261" s="18" t="inlineStr">
        <is>
          <t>주성엔지니어링</t>
        </is>
      </c>
      <c r="B261" t="inlineStr"/>
      <c r="C261" s="18" t="inlineStr">
        <is>
          <t>036930</t>
        </is>
      </c>
      <c r="D261" s="18" t="inlineStr">
        <is>
          <t>KOSDAQ GLOBAL</t>
        </is>
      </c>
      <c r="E261" s="18" t="inlineStr">
        <is>
          <t>장비</t>
        </is>
      </c>
      <c r="F261" s="18" t="n">
        <v>23.36</v>
      </c>
      <c r="G261" s="18" t="n">
        <v>28.57</v>
      </c>
      <c r="H261" s="18" t="inlineStr">
        <is>
          <t>고평가 부담</t>
        </is>
      </c>
      <c r="I261" s="18" t="inlineStr">
        <is>
          <t>0.7918979957613304</t>
        </is>
      </c>
      <c r="J261" t="inlineStr"/>
      <c r="K261" t="inlineStr"/>
      <c r="L261" t="inlineStr"/>
    </row>
    <row r="262" ht="22" customHeight="1">
      <c r="A262" s="18" t="inlineStr">
        <is>
          <t>테크윙</t>
        </is>
      </c>
      <c r="B262" t="inlineStr"/>
      <c r="C262" s="18" t="inlineStr">
        <is>
          <t>089030</t>
        </is>
      </c>
      <c r="D262" s="18" t="inlineStr">
        <is>
          <t>KOSDAQ</t>
        </is>
      </c>
      <c r="E262" s="18" t="inlineStr">
        <is>
          <t>후공정/패키징/테스트</t>
        </is>
      </c>
      <c r="F262" s="18" t="n">
        <v>22.06</v>
      </c>
      <c r="G262" s="18" t="n">
        <v>57.14</v>
      </c>
      <c r="H262" s="18" t="inlineStr">
        <is>
          <t>고평가 부담</t>
        </is>
      </c>
      <c r="I262" s="18" t="inlineStr">
        <is>
          <t>0.7946423848576873</t>
        </is>
      </c>
      <c r="J262" t="inlineStr"/>
      <c r="K262" t="inlineStr"/>
      <c r="L262" t="inlineStr"/>
    </row>
    <row r="263" ht="22" customHeight="1">
      <c r="A263" s="18" t="inlineStr">
        <is>
          <t>퀄리타스반도체</t>
        </is>
      </c>
      <c r="B263" t="inlineStr"/>
      <c r="C263" s="18" t="inlineStr">
        <is>
          <t>432720</t>
        </is>
      </c>
      <c r="D263" s="18" t="inlineStr">
        <is>
          <t>KOSDAQ</t>
        </is>
      </c>
      <c r="E263" s="18" t="inlineStr">
        <is>
          <t>팹리스/설계</t>
        </is>
      </c>
      <c r="F263" s="18" t="n">
        <v>21.19</v>
      </c>
      <c r="G263" s="18" t="n">
        <v>57.14</v>
      </c>
      <c r="H263" s="18" t="inlineStr">
        <is>
          <t>고평가 부담</t>
        </is>
      </c>
      <c r="I263" s="18" t="inlineStr">
        <is>
          <t>0.9844433173148716</t>
        </is>
      </c>
      <c r="J263" t="inlineStr"/>
      <c r="K263" t="inlineStr"/>
      <c r="L263" t="inlineStr"/>
    </row>
    <row r="264" ht="22" customHeight="1">
      <c r="A264" s="18" t="inlineStr">
        <is>
          <t>자람테크놀로지</t>
        </is>
      </c>
      <c r="B264" t="inlineStr"/>
      <c r="C264" s="18" t="inlineStr">
        <is>
          <t>389020</t>
        </is>
      </c>
      <c r="D264" s="18" t="inlineStr">
        <is>
          <t>KOSDAQ</t>
        </is>
      </c>
      <c r="E264" s="18" t="inlineStr">
        <is>
          <t>IDM/제조/메모리</t>
        </is>
      </c>
      <c r="F264" s="18" t="n">
        <v>19.95</v>
      </c>
      <c r="G264" s="18" t="n">
        <v>21.43</v>
      </c>
      <c r="H264" s="18" t="inlineStr">
        <is>
          <t>고평가 부담</t>
        </is>
      </c>
      <c r="I264" s="18" t="inlineStr">
        <is>
          <t>0.6873284389381621</t>
        </is>
      </c>
      <c r="J264" t="inlineStr"/>
      <c r="K264" t="inlineStr"/>
      <c r="L264" t="inlineStr"/>
    </row>
    <row r="265" ht="22" customHeight="1">
      <c r="A265" s="18" t="inlineStr">
        <is>
          <t>필옵틱스</t>
        </is>
      </c>
      <c r="B265" t="inlineStr"/>
      <c r="C265" s="18" t="inlineStr">
        <is>
          <t>161580</t>
        </is>
      </c>
      <c r="D265" s="18" t="inlineStr">
        <is>
          <t>KOSDAQ</t>
        </is>
      </c>
      <c r="E265" s="18" t="inlineStr">
        <is>
          <t>장비</t>
        </is>
      </c>
      <c r="F265" s="18" t="n">
        <v>17.41</v>
      </c>
      <c r="G265" s="18" t="n">
        <v>28.57</v>
      </c>
      <c r="H265" s="18" t="inlineStr">
        <is>
          <t>고평가 부담</t>
        </is>
      </c>
      <c r="I265" s="18" t="inlineStr">
        <is>
          <t>0.9632435860929522</t>
        </is>
      </c>
      <c r="J265" t="inlineStr"/>
      <c r="K265" t="inlineStr"/>
      <c r="L265" t="inlineStr"/>
    </row>
    <row r="266" ht="22" customHeight="1">
      <c r="A266" s="18" t="inlineStr">
        <is>
          <t>하이딥</t>
        </is>
      </c>
      <c r="B266" t="inlineStr"/>
      <c r="C266" s="18" t="inlineStr">
        <is>
          <t>365590</t>
        </is>
      </c>
      <c r="D266" s="18" t="inlineStr">
        <is>
          <t>KOSDAQ</t>
        </is>
      </c>
      <c r="E266" s="18" t="inlineStr">
        <is>
          <t>IDM/제조/메모리</t>
        </is>
      </c>
      <c r="F266" s="18" t="n">
        <v>12.5</v>
      </c>
      <c r="G266" s="18" t="n">
        <v>85.70999999999999</v>
      </c>
      <c r="H266" s="18" t="inlineStr">
        <is>
          <t>고평가 부담</t>
        </is>
      </c>
      <c r="I266" s="18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2026-05-20T04:12:32Z</dcterms:created>
  <dcterms:modified xmlns:dcterms="http://purl.org/dc/terms/" xmlns:xsi="http://www.w3.org/2001/XMLSchema-instance" xsi:type="dcterms:W3CDTF">2026-05-20T04:12:40Z</dcterms:modified>
</cp:coreProperties>
</file>