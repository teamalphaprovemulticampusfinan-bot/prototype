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4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5.xml" ContentType="application/vnd.openxmlformats-officedocument.drawing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발표용_원페이지" sheetId="1" state="visible" r:id="rId1"/>
    <sheet xmlns:r="http://schemas.openxmlformats.org/officeDocument/2006/relationships" name="00_대시보드" sheetId="2" state="visible" r:id="rId2"/>
    <sheet xmlns:r="http://schemas.openxmlformats.org/officeDocument/2006/relationships" name="01_사용안내" sheetId="3" state="visible" r:id="rId3"/>
    <sheet xmlns:r="http://schemas.openxmlformats.org/officeDocument/2006/relationships" name="02_출처맵" sheetId="4" state="visible" r:id="rId4"/>
    <sheet xmlns:r="http://schemas.openxmlformats.org/officeDocument/2006/relationships" name="03_원천_DART" sheetId="5" state="visible" r:id="rId5"/>
    <sheet xmlns:r="http://schemas.openxmlformats.org/officeDocument/2006/relationships" name="04_주가_데이터" sheetId="6" state="visible" r:id="rId6"/>
    <sheet xmlns:r="http://schemas.openxmlformats.org/officeDocument/2006/relationships" name="05_정규재무제표" sheetId="7" state="visible" r:id="rId7"/>
    <sheet xmlns:r="http://schemas.openxmlformats.org/officeDocument/2006/relationships" name="06_핵심비율" sheetId="8" state="visible" r:id="rId8"/>
    <sheet xmlns:r="http://schemas.openxmlformats.org/officeDocument/2006/relationships" name="07_WACC" sheetId="9" state="visible" r:id="rId9"/>
    <sheet xmlns:r="http://schemas.openxmlformats.org/officeDocument/2006/relationships" name="08_FCF_추정" sheetId="10" state="visible" r:id="rId10"/>
    <sheet xmlns:r="http://schemas.openxmlformats.org/officeDocument/2006/relationships" name="09_DCF_가치평가" sheetId="11" state="visible" r:id="rId11"/>
    <sheet xmlns:r="http://schemas.openxmlformats.org/officeDocument/2006/relationships" name="10_피어비교" sheetId="12" state="visible" r:id="rId12"/>
    <sheet xmlns:r="http://schemas.openxmlformats.org/officeDocument/2006/relationships" name="11_ML_보조판단" sheetId="13" state="visible" r:id="rId13"/>
    <sheet xmlns:r="http://schemas.openxmlformats.org/officeDocument/2006/relationships" name="12_민감도" sheetId="14" state="visible" r:id="rId14"/>
    <sheet xmlns:r="http://schemas.openxmlformats.org/officeDocument/2006/relationships" name="13_검증체크" sheetId="15" state="visible" r:id="rId15"/>
    <sheet xmlns:r="http://schemas.openxmlformats.org/officeDocument/2006/relationships" name="14_대시보드_JSON" sheetId="16" state="visible" r:id="rId16"/>
    <sheet xmlns:r="http://schemas.openxmlformats.org/officeDocument/2006/relationships" name="15_감사추적" sheetId="17" state="visible" r:id="rId17"/>
    <sheet xmlns:r="http://schemas.openxmlformats.org/officeDocument/2006/relationships" name="16_모델링_설계" sheetId="18" state="visible" r:id="rId18"/>
    <sheet xmlns:r="http://schemas.openxmlformats.org/officeDocument/2006/relationships" name="17_투자자요약" sheetId="19" state="visible" r:id="rId19"/>
    <sheet xmlns:r="http://schemas.openxmlformats.org/officeDocument/2006/relationships" name="18_밸류에이션_유니버스" sheetId="20" state="visible" r:id="rId20"/>
    <sheet xmlns:r="http://schemas.openxmlformats.org/officeDocument/2006/relationships" name="19_가치평가_브릿지" sheetId="21" state="visible" r:id="rId21"/>
    <sheet xmlns:r="http://schemas.openxmlformats.org/officeDocument/2006/relationships" name="20_시나리오_요약" sheetId="22" state="visible" r:id="rId22"/>
    <sheet xmlns:r="http://schemas.openxmlformats.org/officeDocument/2006/relationships" name="21_품질_커버리지" sheetId="23" state="visible" r:id="rId23"/>
    <sheet xmlns:r="http://schemas.openxmlformats.org/officeDocument/2006/relationships" name="22_종합가치평가" sheetId="24" state="visible" r:id="rId24"/>
    <sheet xmlns:r="http://schemas.openxmlformats.org/officeDocument/2006/relationships" name="23_가치범위표" sheetId="25" state="visible" r:id="rId25"/>
    <sheet xmlns:r="http://schemas.openxmlformats.org/officeDocument/2006/relationships" name="24_역산DCF" sheetId="26" state="visible" r:id="rId26"/>
    <sheet xmlns:r="http://schemas.openxmlformats.org/officeDocument/2006/relationships" name="25_데이터수집현황" sheetId="27" state="visible" r:id="rId27"/>
    <sheet xmlns:r="http://schemas.openxmlformats.org/officeDocument/2006/relationships" name="26_투자판단_요약" sheetId="28" state="visible" r:id="rId28"/>
    <sheet xmlns:r="http://schemas.openxmlformats.org/officeDocument/2006/relationships" name="27_데이터보강_내역" sheetId="29" state="visible" r:id="rId29"/>
    <sheet xmlns:r="http://schemas.openxmlformats.org/officeDocument/2006/relationships" name="28_대시보드_연동키" sheetId="30" state="visible" r:id="rId30"/>
    <sheet xmlns:r="http://schemas.openxmlformats.org/officeDocument/2006/relationships" name="29_시장위치_맵" sheetId="31" state="visible" r:id="rId31"/>
    <sheet xmlns:r="http://schemas.openxmlformats.org/officeDocument/2006/relationships" name="99_표시개선_점검" sheetId="32" state="visible" r:id="rId32"/>
  </sheets>
  <definedNames>
    <definedName name="_xlnm._FilterDatabase" localSheetId="2" hidden="1">'01_사용안내'!$A$5:$B$11</definedName>
    <definedName name="_xlnm._FilterDatabase" localSheetId="3" hidden="1">'02_출처맵'!$A$7:$I$27</definedName>
    <definedName name="_xlnm._FilterDatabase" localSheetId="4" hidden="1">'03_원천_DART'!$A$2:$Q$916</definedName>
    <definedName name="_xlnm._FilterDatabase" localSheetId="5" hidden="1">'04_주가_데이터'!$A$18:$AE$718</definedName>
    <definedName name="_xlnm._FilterDatabase" localSheetId="6" hidden="1">'05_정규재무제표'!$A$2:$AK$7</definedName>
    <definedName name="_xlnm._FilterDatabase" localSheetId="7" hidden="1">'06_핵심비율'!$A$2:$L$7</definedName>
    <definedName name="_xlnm._FilterDatabase" localSheetId="9" hidden="1">'08_FCF_추정'!$A$2:$J$7</definedName>
    <definedName name="_xlnm._FilterDatabase" localSheetId="10" hidden="1">'09_DCF_가치평가'!$A$5:$C$21</definedName>
    <definedName name="_xlnm._FilterDatabase" localSheetId="11" hidden="1">'10_피어비교'!$A$2:$AI$7</definedName>
    <definedName name="_xlnm._FilterDatabase" localSheetId="12" hidden="1">'11_ML_보조판단'!$A$16:$B$21</definedName>
    <definedName name="_xlnm._FilterDatabase" localSheetId="13" hidden="1">'12_민감도'!$A$2:$C$27</definedName>
    <definedName name="_xlnm._FilterDatabase" localSheetId="14" hidden="1">'13_검증체크'!$A$2:$C$3</definedName>
    <definedName name="_xlnm._FilterDatabase" localSheetId="15" hidden="1">'14_대시보드_JSON'!$A$2:$D$205</definedName>
    <definedName name="_xlnm._FilterDatabase" localSheetId="16" hidden="1">'15_감사추적'!$A$2:$F$8</definedName>
    <definedName name="_xlnm._FilterDatabase" localSheetId="17" hidden="1">'16_모델링_설계'!$A$2:$G$11</definedName>
    <definedName name="_xlnm._FilterDatabase" localSheetId="18" hidden="1">'17_투자자요약'!$A$23:$B$28</definedName>
    <definedName name="_xlnm._FilterDatabase" localSheetId="19" hidden="1">'18_밸류에이션_유니버스'!$A$66:$AF$274</definedName>
    <definedName name="_xlnm._FilterDatabase" localSheetId="20" hidden="1">'19_가치평가_브릿지'!$A$29:$C$34</definedName>
    <definedName name="_xlnm._FilterDatabase" localSheetId="21" hidden="1">'20_시나리오_요약'!$A$12:$B$14</definedName>
    <definedName name="_xlnm._FilterDatabase" localSheetId="22" hidden="1">'21_품질_커버리지'!$A$15:$C$16</definedName>
    <definedName name="_xlnm._FilterDatabase" localSheetId="23" hidden="1">'22_종합가치평가'!$A$34:$D$42</definedName>
    <definedName name="_xlnm._FilterDatabase" localSheetId="24" hidden="1">'23_가치범위표'!$A$21:$B$23</definedName>
    <definedName name="_xlnm._FilterDatabase" localSheetId="25" hidden="1">'24_역산DCF'!$A$20:$B$23</definedName>
    <definedName name="_xlnm._FilterDatabase" localSheetId="26" hidden="1">'25_데이터수집현황'!$A$15:$C$29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;-"/>
    <numFmt numFmtId="165" formatCode="0.0x;[Red](0.0x);-"/>
    <numFmt numFmtId="166" formatCode="0.0%;[Red](0.0%);-"/>
    <numFmt numFmtId="167" formatCode="0.0%"/>
    <numFmt numFmtId="168" formatCode="0.0"/>
  </numFmts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color rgb="000B1F33"/>
      <sz val="10"/>
    </font>
    <font>
      <b val="1"/>
      <color rgb="00FFFFFF"/>
      <sz val="10"/>
    </font>
    <font>
      <b val="1"/>
      <color rgb="000B1F33"/>
      <sz val="13"/>
    </font>
    <font>
      <color rgb="00475569"/>
      <sz val="9"/>
    </font>
    <font>
      <b val="1"/>
      <color rgb="00FFFFFF"/>
    </font>
    <font>
      <b val="1"/>
      <color rgb="000B1F33"/>
    </font>
    <font>
      <color rgb="000000FF"/>
    </font>
    <font>
      <color rgb="00000000"/>
    </font>
    <font>
      <b val="1"/>
      <color rgb="00FFFFFF"/>
      <sz val="18"/>
    </font>
    <font>
      <color rgb="00243B53"/>
      <sz val="10"/>
    </font>
    <font>
      <b val="1"/>
      <color rgb="00102A43"/>
      <sz val="11"/>
    </font>
    <font>
      <b val="1"/>
      <color rgb="00FFFFFF"/>
      <sz val="12"/>
    </font>
    <font>
      <color rgb="00102A43"/>
      <sz val="11"/>
    </font>
    <font>
      <b val="1"/>
      <color rgb="00FFFFFF"/>
      <sz val="15"/>
    </font>
    <font>
      <b val="1"/>
      <color rgb="00102A43"/>
    </font>
  </fonts>
  <fills count="20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6EEF8"/>
      </patternFill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24476B"/>
      </patternFill>
    </fill>
    <fill>
      <patternFill patternType="solid">
        <fgColor rgb="00F8FAFC"/>
      </patternFill>
    </fill>
    <fill>
      <patternFill patternType="solid">
        <fgColor rgb="00FFF2CC"/>
      </patternFill>
    </fill>
    <fill>
      <patternFill patternType="solid">
        <fgColor rgb="00EEF6FF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DDF7EC"/>
      </patternFill>
    </fill>
    <fill>
      <patternFill patternType="solid">
        <fgColor rgb="00F2EEFF"/>
      </patternFill>
    </fill>
    <fill>
      <patternFill patternType="solid">
        <fgColor rgb="00243B53"/>
      </patternFill>
    </fill>
    <fill>
      <patternFill patternType="solid">
        <fgColor rgb="00102A43"/>
      </patternFill>
    </fill>
    <fill>
      <patternFill patternType="solid">
        <fgColor rgb="00FFF7E6"/>
      </patternFill>
    </fill>
  </fills>
  <borders count="8">
    <border>
      <left/>
      <right/>
      <top/>
      <bottom/>
      <diagonal/>
    </border>
    <border>
      <left style="medium">
        <color rgb="009FB3C8"/>
      </left>
      <right style="medium">
        <color rgb="009FB3C8"/>
      </right>
      <top style="medium">
        <color rgb="009FB3C8"/>
      </top>
      <bottom style="medium">
        <color rgb="009FB3C8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0" fillId="2" borderId="7" applyAlignment="1" pivotButton="0" quotePrefix="0" xfId="0">
      <alignment horizontal="left" vertical="center" wrapText="1"/>
    </xf>
    <xf numFmtId="0" fontId="11" fillId="10" borderId="7" applyAlignment="1" pivotButton="0" quotePrefix="0" xfId="0">
      <alignment horizontal="left" vertical="center" wrapText="1"/>
    </xf>
    <xf numFmtId="0" fontId="6" fillId="11" borderId="7" applyAlignment="1" pivotButton="0" quotePrefix="0" xfId="0">
      <alignment horizontal="left" vertical="center" wrapText="1"/>
    </xf>
    <xf numFmtId="0" fontId="12" fillId="15" borderId="7" applyAlignment="1" pivotButton="0" quotePrefix="0" xfId="0">
      <alignment horizontal="left" vertical="center" wrapText="1"/>
    </xf>
    <xf numFmtId="0" fontId="6" fillId="12" borderId="7" applyAlignment="1" pivotButton="0" quotePrefix="0" xfId="0">
      <alignment horizontal="left" vertical="center" wrapText="1"/>
    </xf>
    <xf numFmtId="0" fontId="6" fillId="13" borderId="7" applyAlignment="1" pivotButton="0" quotePrefix="0" xfId="0">
      <alignment horizontal="left" vertical="center" wrapText="1"/>
    </xf>
    <xf numFmtId="0" fontId="6" fillId="14" borderId="7" applyAlignment="1" pivotButton="0" quotePrefix="0" xfId="0">
      <alignment horizontal="left" vertical="center" wrapText="1"/>
    </xf>
    <xf numFmtId="0" fontId="12" fillId="10" borderId="7" applyAlignment="1" pivotButton="0" quotePrefix="0" xfId="0">
      <alignment horizontal="left" vertical="center" wrapText="1"/>
    </xf>
    <xf numFmtId="0" fontId="12" fillId="16" borderId="7" applyAlignment="1" pivotButton="0" quotePrefix="0" xfId="0">
      <alignment horizontal="left" vertical="center" wrapText="1"/>
    </xf>
    <xf numFmtId="0" fontId="13" fillId="2" borderId="7" applyAlignment="1" pivotButton="0" quotePrefix="0" xfId="0">
      <alignment horizontal="left" vertical="center" wrapText="1"/>
    </xf>
    <xf numFmtId="0" fontId="14" fillId="6" borderId="7" applyAlignment="1" pivotButton="0" quotePrefix="0" xfId="0">
      <alignment horizontal="left" vertical="center" wrapText="1"/>
    </xf>
    <xf numFmtId="0" fontId="6" fillId="17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left" vertical="center" wrapText="1"/>
    </xf>
    <xf numFmtId="0" fontId="0" fillId="6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left" vertical="center" wrapText="1"/>
    </xf>
    <xf numFmtId="164" fontId="0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4" fontId="6" fillId="7" borderId="2" applyAlignment="1" pivotButton="0" quotePrefix="0" xfId="0">
      <alignment horizontal="left" vertical="center" wrapText="1"/>
    </xf>
    <xf numFmtId="166" fontId="0" fillId="6" borderId="2" applyAlignment="1" pivotButton="0" quotePrefix="0" xfId="0">
      <alignment horizontal="left" vertical="center" wrapText="1"/>
    </xf>
    <xf numFmtId="166" fontId="0" fillId="8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6" fontId="8" fillId="9" borderId="2" applyAlignment="1" pivotButton="0" quotePrefix="0" xfId="0">
      <alignment horizontal="left" vertical="center" wrapText="1"/>
    </xf>
    <xf numFmtId="164" fontId="8" fillId="9" borderId="2" applyAlignment="1" pivotButton="0" quotePrefix="0" xfId="0">
      <alignment horizontal="left" vertical="center" wrapText="1"/>
    </xf>
    <xf numFmtId="164" fontId="9" fillId="0" borderId="2" applyAlignment="1" pivotButton="0" quotePrefix="0" xfId="0">
      <alignment horizontal="left" vertical="center" wrapText="1"/>
    </xf>
    <xf numFmtId="166" fontId="9" fillId="0" borderId="2" applyAlignment="1" pivotButton="0" quotePrefix="0" xfId="0">
      <alignment horizontal="left" vertical="center" wrapText="1"/>
    </xf>
    <xf numFmtId="165" fontId="0" fillId="6" borderId="2" applyAlignment="1" pivotButton="0" quotePrefix="0" xfId="0">
      <alignment horizontal="left" vertical="center" wrapText="1"/>
    </xf>
    <xf numFmtId="165" fontId="0" fillId="8" borderId="2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16" fillId="15" borderId="7" applyAlignment="1" pivotButton="0" quotePrefix="0" xfId="0">
      <alignment horizontal="left" vertical="center" wrapText="1"/>
    </xf>
    <xf numFmtId="168" fontId="16" fillId="15" borderId="7" applyAlignment="1" pivotButton="0" quotePrefix="0" xfId="0">
      <alignment horizontal="left" vertical="center" wrapText="1"/>
    </xf>
    <xf numFmtId="167" fontId="16" fillId="15" borderId="7" applyAlignment="1" pivotButton="0" quotePrefix="0" xfId="0">
      <alignment horizontal="left" vertical="center" wrapText="1"/>
    </xf>
    <xf numFmtId="0" fontId="0" fillId="15" borderId="7" applyAlignment="1" pivotButton="0" quotePrefix="0" xfId="0">
      <alignment horizontal="left" vertical="center" wrapText="1"/>
    </xf>
    <xf numFmtId="0" fontId="0" fillId="10" borderId="7" applyAlignment="1" pivotButton="0" quotePrefix="0" xfId="0">
      <alignment horizontal="left" vertical="center" wrapText="1"/>
    </xf>
    <xf numFmtId="0" fontId="0" fillId="16" borderId="7" applyAlignment="1" pivotButton="0" quotePrefix="0" xfId="0">
      <alignment horizontal="left" vertical="center" wrapText="1"/>
    </xf>
    <xf numFmtId="0" fontId="0" fillId="19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투자자 관점 핵심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'30_발표용_원페이지'!B30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'30_발표용_원페이지'!$A$31:$A$34</f>
            </numRef>
          </cat>
          <val>
            <numRef>
              <f>'30_발표용_원페이지'!$B$31:$B$34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TAM/SAM/SOM 범위</a:t>
            </a:r>
          </a:p>
        </rich>
      </tx>
    </title>
    <plotArea>
      <doughnutChart>
        <varyColors val="1"/>
        <ser>
          <idx val="0"/>
          <order val="0"/>
          <tx>
            <strRef>
              <f>'30_발표용_원페이지'!F30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'30_발표용_원페이지'!$E$31:$E$33</f>
            </numRef>
          </cat>
          <val>
            <numRef>
              <f>'30_발표용_원페이지'!$F$31:$F$33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매출·영업이익·FCF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'00_대시보드'!$B$32:$B$36</f>
            </numRef>
          </val>
        </ser>
        <ser>
          <idx val="1"/>
          <order val="1"/>
          <tx>
            <strRef>
              <f>'00_대시보드'!C31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'00_대시보드'!$C$32:$C$36</f>
            </numRef>
          </val>
        </ser>
        <ser>
          <idx val="2"/>
          <order val="2"/>
          <tx>
            <strRef>
              <f>'00_대시보드'!D31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'00_대시보드'!$D$32:$D$36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추정</a:t>
            </a:r>
          </a:p>
        </rich>
      </tx>
    </title>
    <plotArea>
      <lineChart>
        <grouping val="standard"/>
        <ser>
          <idx val="0"/>
          <order val="0"/>
          <tx>
            <strRef>
              <f>'00_대시보드'!F31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'00_대시보드'!$F$32:$F$36</f>
            </numRef>
          </val>
        </ser>
        <ser>
          <idx val="1"/>
          <order val="1"/>
          <tx>
            <strRef>
              <f>'00_대시보드'!G31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'00_대시보드'!$G$32:$G$36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Peer P/S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'00_대시보드'!J31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'00_대시보드'!$I$32:$I$36</f>
            </numRef>
          </cat>
          <val>
            <numRef>
              <f>'00_대시보드'!$J$32:$J$36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배수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종가·이동평균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'04_주가_데이터'!E18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'04_주가_데이터'!$A$19:$A$718</f>
            </numRef>
          </cat>
          <val>
            <numRef>
              <f>'04_주가_데이터'!$E$19:$E$718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일자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가치평가 방법별 중앙 주당가치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'23_가치범위표'!G10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'23_가치범위표'!$B$11:$B$17</f>
            </numRef>
          </cat>
          <val>
            <numRef>
              <f>'23_가치범위표'!$G$11:$G$17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가치평가 방법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원/주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선택기업 vs 동일 세부군 vs 208개 평균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'29_시장위치_맵'!$B$9:$B$11</f>
            </numRef>
          </val>
        </ser>
        <ser>
          <idx val="1"/>
          <order val="1"/>
          <tx>
            <strRef>
              <f>'29_시장위치_맵'!C8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비교 기준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 / SAM / SOM 범위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'29_시장위치_맵'!$A$17:$A$19</f>
            </numRef>
          </cat>
          <val>
            <numRef>
              <f>'29_시장위치_맵'!$B$17:$B$19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기업 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범위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5개 핵심기업 밸류에이션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'29_시장위치_맵'!$A$26:$A$30</f>
            </numRef>
          </cat>
          <val>
            <numRef>
              <f>'29_시장위치_맵'!$C$26:$C$30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AlphaProve</author>
  </authors>
  <commentList>
    <comment ref="B4" authorId="0" shapeId="0">
      <text>
        <t>출처: valuation/intake/valuation_assumptions.json</t>
      </text>
    </comment>
  </commentList>
</comments>
</file>

<file path=xl/comments/comment2.xml><?xml version="1.0" encoding="utf-8"?>
<comments xmlns="http://schemas.openxmlformats.org/spreadsheetml/2006/main">
  <authors>
    <author>AlphaProve</author>
  </authors>
  <commentList>
    <comment ref="B18" authorId="0" shapeId="0">
      <text>
        <t>출처: DART 발행주식 수 intake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33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8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41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  <col width="16" customWidth="1" min="5" max="5"/>
    <col width="16" customWidth="1" min="6" max="6"/>
    <col width="15" customWidth="1" min="7" max="7"/>
    <col width="16" customWidth="1" min="8" max="8"/>
    <col width="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8" customHeight="1">
      <c r="A1" s="1" t="inlineStr">
        <is>
          <t>어보브반도체 가치평가 원페이지</t>
        </is>
      </c>
    </row>
    <row r="2" ht="25" customHeight="1">
      <c r="A2" s="2" t="inlineStr">
        <is>
          <t>DCF·상대가치·시장내재 배수·주가 리스크·208개 비교군 위치를 한 장에서 검토하는 투자자용 요약입니다.</t>
        </is>
      </c>
    </row>
    <row r="3" ht="24" customHeight="1"/>
    <row r="4" ht="24" customHeight="1">
      <c r="A4" s="3" t="inlineStr">
        <is>
          <t>현재가</t>
        </is>
      </c>
      <c r="B4" s="4" t="inlineStr">
        <is>
          <t>11,890원</t>
        </is>
      </c>
      <c r="C4" s="5" t="inlineStr">
        <is>
          <t>DCF 내재주가</t>
        </is>
      </c>
      <c r="D4" s="4" t="inlineStr">
        <is>
          <t>5,786원</t>
        </is>
      </c>
      <c r="E4" s="6" t="inlineStr">
        <is>
          <t>괴리율</t>
        </is>
      </c>
      <c r="F4" s="4" t="inlineStr">
        <is>
          <t>-51.3%</t>
        </is>
      </c>
      <c r="G4" s="7" t="inlineStr">
        <is>
          <t>WACC</t>
        </is>
      </c>
      <c r="H4" s="4" t="inlineStr">
        <is>
          <t>10.4%</t>
        </is>
      </c>
    </row>
    <row r="5" ht="24" customHeight="1">
      <c r="A5" s="3" t="inlineStr">
        <is>
          <t>P/S</t>
        </is>
      </c>
      <c r="B5" s="8" t="inlineStr">
        <is>
          <t>1.28배</t>
        </is>
      </c>
      <c r="C5" s="5" t="inlineStr">
        <is>
          <t>비교기업 P/S 중앙값</t>
        </is>
      </c>
      <c r="D5" s="8" t="inlineStr">
        <is>
          <t>3.50배</t>
        </is>
      </c>
      <c r="E5" s="6" t="inlineStr">
        <is>
          <t>가치범위 중앙값</t>
        </is>
      </c>
      <c r="F5" s="8" t="inlineStr">
        <is>
          <t>6,476원</t>
        </is>
      </c>
      <c r="G5" s="7" t="inlineStr">
        <is>
          <t>검증 상태</t>
        </is>
      </c>
      <c r="H5" s="8" t="inlineStr">
        <is>
          <t>통과</t>
        </is>
      </c>
    </row>
    <row r="6" ht="24" customHeight="1">
      <c r="A6" s="3" t="inlineStr">
        <is>
          <t>종합 가치평가 점수</t>
        </is>
      </c>
      <c r="B6" s="9" t="inlineStr">
        <is>
          <t>44.0/100</t>
        </is>
      </c>
      <c r="C6" s="5" t="inlineStr">
        <is>
          <t>보조 가치평가 점수</t>
        </is>
      </c>
      <c r="D6" s="9" t="inlineStr">
        <is>
          <t>46.7/100</t>
        </is>
      </c>
      <c r="E6" s="6" t="inlineStr">
        <is>
          <t>역산 영구성장률</t>
        </is>
      </c>
      <c r="F6" s="9" t="inlineStr">
        <is>
          <t>5.2%</t>
        </is>
      </c>
      <c r="G6" s="7" t="inlineStr">
        <is>
          <t>오너이익 주당가치</t>
        </is>
      </c>
      <c r="H6" s="9" t="inlineStr">
        <is>
          <t>3,644원</t>
        </is>
      </c>
    </row>
    <row r="7" ht="24" customHeight="1"/>
    <row r="8" ht="24" customHeight="1">
      <c r="A8" s="10" t="inlineStr">
        <is>
          <t>핵심 판단</t>
        </is>
      </c>
    </row>
    <row r="9" ht="62" customHeight="1">
      <c r="A9" s="11" t="inlineStr">
        <is>
          <t>가치평가 관점 보수 — DCF 기준 현재가 부담이 큽니다. 종합 가치평가 점수가 45점 미만으로 보수적 해석이 필요합니다.</t>
        </is>
      </c>
    </row>
    <row r="10" ht="24" customHeight="1"/>
    <row r="11" ht="24" customHeight="1"/>
    <row r="12" ht="24" customHeight="1"/>
    <row r="13" ht="24" customHeight="1">
      <c r="A13" s="12" t="inlineStr">
        <is>
          <t>분석 축</t>
        </is>
      </c>
      <c r="B13" s="12" t="inlineStr">
        <is>
          <t>현재 결론</t>
        </is>
      </c>
      <c r="C13" s="12" t="inlineStr">
        <is>
          <t>대시보드에서 볼 것</t>
        </is>
      </c>
      <c r="D13" s="12" t="inlineStr">
        <is>
          <t>실무 체크포인트</t>
        </is>
      </c>
    </row>
    <row r="14" ht="24" customHeight="1">
      <c r="A14" s="13" t="inlineStr">
        <is>
          <t>절대가치</t>
        </is>
      </c>
      <c r="B14" s="14" t="inlineStr">
        <is>
          <t>5,786원</t>
        </is>
      </c>
      <c r="C14" s="13" t="inlineStr">
        <is>
          <t>DCF 내재주가·민감도</t>
        </is>
      </c>
      <c r="D14" s="14" t="inlineStr">
        <is>
          <t>WACC와 영구성장률 가정이 바뀌면 결론이 크게 달라질 수 있습니다.</t>
        </is>
      </c>
    </row>
    <row r="15" ht="24" customHeight="1">
      <c r="A15" s="14" t="inlineStr">
        <is>
          <t>상대가치</t>
        </is>
      </c>
      <c r="B15" s="13" t="inlineStr">
        <is>
          <t>1.28배</t>
        </is>
      </c>
      <c r="C15" s="14" t="inlineStr">
        <is>
          <t>P/S·P/B·PER·EV/Sales</t>
        </is>
      </c>
      <c r="D15" s="13" t="inlineStr">
        <is>
          <t>동일 세부군 기준으로 비교기업 품질을 재확인합니다.</t>
        </is>
      </c>
    </row>
    <row r="16" ht="24" customHeight="1">
      <c r="A16" s="13" t="inlineStr">
        <is>
          <t>시장내재</t>
        </is>
      </c>
      <c r="B16" s="14" t="inlineStr">
        <is>
          <t>0.87배</t>
        </is>
      </c>
      <c r="C16" s="13" t="inlineStr">
        <is>
          <t>현재가가 반영한 배수</t>
        </is>
      </c>
      <c r="D16" s="14" t="inlineStr">
        <is>
          <t>현재 시장이 이미 반영한 성장 기대를 역산합니다.</t>
        </is>
      </c>
    </row>
    <row r="17" ht="24" customHeight="1">
      <c r="A17" s="14" t="inlineStr">
        <is>
          <t>유동성/리스크</t>
        </is>
      </c>
      <c r="B17" s="13" t="inlineStr">
        <is>
          <t>183.3억원</t>
        </is>
      </c>
      <c r="C17" s="14" t="inlineStr">
        <is>
          <t>거래대금·MDD·변동성</t>
        </is>
      </c>
      <c r="D17" s="13" t="inlineStr">
        <is>
          <t>거래대금이 낮은 기업은 실전 매매비용을 보수적으로 봅니다.</t>
        </is>
      </c>
    </row>
    <row r="18" ht="24" customHeight="1">
      <c r="A18" s="13" t="inlineStr">
        <is>
          <t>208개 비교군</t>
        </is>
      </c>
      <c r="B18" s="14" t="inlineStr">
        <is>
          <t>208</t>
        </is>
      </c>
      <c r="C18" s="13" t="inlineStr">
        <is>
          <t>시장위치 맵·백분위</t>
        </is>
      </c>
      <c r="D18" s="14" t="inlineStr">
        <is>
          <t>동일 섹터 안에서 상대적 위치를 먼저 확인합니다.</t>
        </is>
      </c>
    </row>
    <row r="19" ht="24" customHeight="1"/>
    <row r="20" ht="24" customHeight="1"/>
    <row r="21" ht="24" customHeight="1">
      <c r="A21" s="3" t="inlineStr">
        <is>
          <t>완성도 점검</t>
        </is>
      </c>
      <c r="B21" s="3" t="inlineStr">
        <is>
          <t>결과</t>
        </is>
      </c>
      <c r="C21" s="3" t="inlineStr">
        <is>
          <t>의미</t>
        </is>
      </c>
    </row>
    <row r="22" ht="24" customHeight="1">
      <c r="A22" s="15" t="inlineStr">
        <is>
          <t>품질 점검</t>
        </is>
      </c>
      <c r="B22" t="inlineStr"/>
      <c r="C22" s="15" t="inlineStr">
        <is>
          <t>검토 완료</t>
        </is>
      </c>
    </row>
    <row r="23" ht="24" customHeight="1">
      <c r="A23" s="15" t="inlineStr">
        <is>
          <t>품질 점검</t>
        </is>
      </c>
      <c r="B23" t="inlineStr"/>
      <c r="C23" s="15" t="inlineStr">
        <is>
          <t>검토 완료</t>
        </is>
      </c>
    </row>
    <row r="24" ht="24" customHeight="1">
      <c r="A24" s="15" t="inlineStr">
        <is>
          <t>품질 점검</t>
        </is>
      </c>
      <c r="B24" t="inlineStr"/>
      <c r="C24" s="15" t="inlineStr">
        <is>
          <t>검토 완료</t>
        </is>
      </c>
    </row>
    <row r="25" ht="24" customHeight="1">
      <c r="A25" s="15" t="inlineStr">
        <is>
          <t>품질 점검</t>
        </is>
      </c>
      <c r="B25" t="inlineStr"/>
      <c r="C25" s="15" t="inlineStr">
        <is>
          <t>검토 완료</t>
        </is>
      </c>
    </row>
    <row r="26" ht="24" customHeight="1">
      <c r="A26" s="15" t="inlineStr">
        <is>
          <t>품질 점검</t>
        </is>
      </c>
      <c r="B26" t="inlineStr"/>
      <c r="C26" s="15" t="inlineStr">
        <is>
          <t>검토 완료</t>
        </is>
      </c>
    </row>
    <row r="27" ht="24" customHeight="1">
      <c r="A27" s="15" t="inlineStr">
        <is>
          <t>품질 점검</t>
        </is>
      </c>
      <c r="B27" t="inlineStr"/>
      <c r="C27" s="15" t="inlineStr">
        <is>
          <t>검토 완료</t>
        </is>
      </c>
    </row>
    <row r="28" ht="24" customHeight="1">
      <c r="A28" s="15" t="inlineStr">
        <is>
          <t>품질 점검</t>
        </is>
      </c>
      <c r="B28" t="inlineStr"/>
      <c r="C28" s="15" t="inlineStr">
        <is>
          <t>검토 완료</t>
        </is>
      </c>
    </row>
    <row r="29" ht="24" customHeight="1"/>
    <row r="30" ht="24" customHeight="1">
      <c r="A30" s="12" t="inlineStr">
        <is>
          <t>항목</t>
        </is>
      </c>
      <c r="B30" s="12" t="inlineStr">
        <is>
          <t>점수</t>
        </is>
      </c>
      <c r="E30" s="15" t="inlineStr">
        <is>
          <t>범위</t>
        </is>
      </c>
      <c r="F30" s="15" t="inlineStr">
        <is>
          <t>기업 수</t>
        </is>
      </c>
    </row>
    <row r="31" ht="24" customHeight="1">
      <c r="A31" s="15" t="inlineStr">
        <is>
          <t>DCF 안전마진</t>
        </is>
      </c>
      <c r="B31" s="15" t="n">
        <v>-0.01</v>
      </c>
      <c r="E31" s="15" t="inlineStr">
        <is>
          <t>전체 반도체 비교군</t>
        </is>
      </c>
      <c r="F31" s="15" t="n">
        <v>208</v>
      </c>
    </row>
    <row r="32" ht="24" customHeight="1">
      <c r="A32" s="15" t="inlineStr">
        <is>
          <t>종합 가치평가</t>
        </is>
      </c>
      <c r="B32" s="15" t="n">
        <v>44</v>
      </c>
      <c r="E32" s="15" t="inlineStr">
        <is>
          <t>동일 세부군</t>
        </is>
      </c>
      <c r="F32" s="15" t="n">
        <v>40</v>
      </c>
    </row>
    <row r="33" ht="24" customHeight="1">
      <c r="A33" s="15" t="inlineStr">
        <is>
          <t>보조 점수</t>
        </is>
      </c>
      <c r="B33" s="15" t="n">
        <v>46.74</v>
      </c>
      <c r="E33" s="15" t="inlineStr">
        <is>
          <t>선택기업</t>
        </is>
      </c>
      <c r="F33" s="15" t="n">
        <v>1</v>
      </c>
    </row>
    <row r="34" ht="24" customHeight="1">
      <c r="A34" s="15" t="inlineStr">
        <is>
          <t>데이터 검증</t>
        </is>
      </c>
      <c r="B34" s="15" t="n">
        <v>100</v>
      </c>
    </row>
    <row r="35" ht="24" customHeight="1"/>
    <row r="36" ht="24" customHeight="1"/>
    <row r="37" ht="24" customHeight="1"/>
    <row r="38" ht="24" customHeight="1"/>
  </sheetData>
  <mergeCells count="4">
    <mergeCell ref="A9:H11"/>
    <mergeCell ref="A8:H8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5" customWidth="1" min="1" max="1"/>
    <col width="18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어보브반도체 독립 가치평가 대시보드</t>
        </is>
      </c>
    </row>
    <row r="2" ht="28" customHeight="1">
      <c r="A2" s="17" t="inlineStr">
        <is>
          <t>DCF · WACC · 피어 비교 · 주가/민감도 · ML 보조판단 · 검증체크 자동 생성</t>
        </is>
      </c>
    </row>
    <row r="3" ht="24" customHeight="1"/>
    <row r="4" ht="24" customHeight="1">
      <c r="A4" s="18" t="inlineStr">
        <is>
          <t>WACC</t>
        </is>
      </c>
      <c r="B4" s="19" t="n"/>
      <c r="C4" s="18" t="inlineStr">
        <is>
          <t>DCF 기업가치</t>
        </is>
      </c>
      <c r="D4" s="19" t="n"/>
      <c r="E4" s="18" t="inlineStr">
        <is>
          <t>DCF 지분가치</t>
        </is>
      </c>
      <c r="F4" s="19" t="n"/>
      <c r="G4" s="18" t="inlineStr">
        <is>
          <t>내재주가</t>
        </is>
      </c>
      <c r="H4" s="19" t="n"/>
      <c r="I4" s="18" t="inlineStr">
        <is>
          <t>괴리율</t>
        </is>
      </c>
      <c r="J4" s="19" t="n"/>
      <c r="K4" s="18" t="inlineStr">
        <is>
          <t>검증 상태</t>
        </is>
      </c>
      <c r="L4" s="19" t="n"/>
    </row>
    <row r="5" ht="24" customHeight="1">
      <c r="A5" s="20" t="inlineStr">
        <is>
          <t>10.4%</t>
        </is>
      </c>
      <c r="B5" s="19" t="n"/>
      <c r="C5" s="20" t="inlineStr">
        <is>
          <t>2,162.3억원</t>
        </is>
      </c>
      <c r="D5" s="19" t="n"/>
      <c r="E5" s="20" t="inlineStr">
        <is>
          <t>1,028.8억원</t>
        </is>
      </c>
      <c r="F5" s="19" t="n"/>
      <c r="G5" s="20" t="inlineStr">
        <is>
          <t>5,786원</t>
        </is>
      </c>
      <c r="H5" s="19" t="n"/>
      <c r="I5" s="20" t="inlineStr">
        <is>
          <t>-51.3%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시장가중/장부가중 혼합</t>
        </is>
      </c>
      <c r="B6" s="19" t="n"/>
      <c r="C6" s="21" t="inlineStr">
        <is>
          <t>EV 기준</t>
        </is>
      </c>
      <c r="D6" s="19" t="n"/>
      <c r="E6" s="21" t="inlineStr">
        <is>
          <t>EV + 현금 - 부채 proxy</t>
        </is>
      </c>
      <c r="F6" s="19" t="n"/>
      <c r="G6" s="21" t="inlineStr">
        <is>
          <t>발행주식 수 기준</t>
        </is>
      </c>
      <c r="H6" s="19" t="n"/>
      <c r="I6" s="21" t="inlineStr">
        <is>
          <t>현재가 대비</t>
        </is>
      </c>
      <c r="J6" s="19" t="n"/>
      <c r="K6" s="21" t="inlineStr">
        <is>
          <t>가치평가 보조근거 주의</t>
        </is>
      </c>
      <c r="L6" s="19" t="n"/>
    </row>
    <row r="7" ht="24" customHeight="1">
      <c r="A7" s="18" t="inlineStr">
        <is>
          <t>현재가</t>
        </is>
      </c>
      <c r="B7" s="19" t="n"/>
      <c r="C7" s="18" t="inlineStr">
        <is>
          <t>1년 수익률</t>
        </is>
      </c>
      <c r="D7" s="19" t="n"/>
      <c r="E7" s="18" t="inlineStr">
        <is>
          <t>MDD</t>
        </is>
      </c>
      <c r="F7" s="19" t="n"/>
      <c r="G7" s="18" t="inlineStr">
        <is>
          <t>변동성</t>
        </is>
      </c>
      <c r="H7" s="19" t="n"/>
      <c r="I7" s="18" t="inlineStr">
        <is>
          <t>주가 행 수</t>
        </is>
      </c>
      <c r="J7" s="19" t="n"/>
      <c r="K7" s="18" t="inlineStr">
        <is>
          <t>52주 범위</t>
        </is>
      </c>
      <c r="L7" s="19" t="n"/>
    </row>
    <row r="8" ht="24" customHeight="1">
      <c r="A8" s="20" t="inlineStr">
        <is>
          <t>11,890원</t>
        </is>
      </c>
      <c r="B8" s="19" t="n"/>
      <c r="C8" s="20" t="inlineStr">
        <is>
          <t>11.7%</t>
        </is>
      </c>
      <c r="D8" s="19" t="n"/>
      <c r="E8" s="20" t="inlineStr">
        <is>
          <t>-71.3%</t>
        </is>
      </c>
      <c r="F8" s="19" t="n"/>
      <c r="G8" s="20" t="inlineStr">
        <is>
          <t>59.0%</t>
        </is>
      </c>
      <c r="H8" s="19" t="n"/>
      <c r="I8" s="20" t="inlineStr">
        <is>
          <t>1,221행</t>
        </is>
      </c>
      <c r="J8" s="19" t="n"/>
      <c r="K8" s="20" t="inlineStr">
        <is>
          <t>9,900원~15,250원</t>
        </is>
      </c>
      <c r="L8" s="19" t="n"/>
    </row>
    <row r="9" ht="24" customHeight="1">
      <c r="A9" s="21" t="inlineStr">
        <is>
          <t>주가 intake</t>
        </is>
      </c>
      <c r="B9" s="19" t="n"/>
      <c r="C9" s="21" t="inlineStr">
        <is>
          <t>최근 약 1년</t>
        </is>
      </c>
      <c r="D9" s="19" t="n"/>
      <c r="E9" s="21" t="inlineStr">
        <is>
          <t>최대 낙폭</t>
        </is>
      </c>
      <c r="F9" s="19" t="n"/>
      <c r="G9" s="21" t="inlineStr">
        <is>
          <t>연환산</t>
        </is>
      </c>
      <c r="H9" s="19" t="n"/>
      <c r="I9" s="21" t="inlineStr">
        <is>
          <t>차트/대시보드 원천</t>
        </is>
      </c>
      <c r="J9" s="19" t="n"/>
      <c r="K9" s="21" t="inlineStr">
        <is>
          <t>저가~고가</t>
        </is>
      </c>
      <c r="L9" s="19" t="n"/>
    </row>
    <row r="10" ht="24" customHeight="1">
      <c r="A10" s="18" t="inlineStr">
        <is>
          <t>시가총액</t>
        </is>
      </c>
      <c r="B10" s="19" t="n"/>
      <c r="C10" s="18" t="inlineStr">
        <is>
          <t>발행주식 수</t>
        </is>
      </c>
      <c r="D10" s="19" t="n"/>
      <c r="E10" s="18" t="inlineStr">
        <is>
          <t>20일 평균 거래대금</t>
        </is>
      </c>
      <c r="F10" s="19" t="n"/>
      <c r="G10" s="18" t="inlineStr">
        <is>
          <t>최근 거래회전율</t>
        </is>
      </c>
      <c r="H10" s="19" t="n"/>
      <c r="I10" s="18" t="inlineStr">
        <is>
          <t>ML 보조점수</t>
        </is>
      </c>
      <c r="J10" s="19" t="n"/>
      <c r="K10" s="18" t="inlineStr">
        <is>
          <t>Peer 수</t>
        </is>
      </c>
      <c r="L10" s="19" t="n"/>
    </row>
    <row r="11" ht="24" customHeight="1">
      <c r="A11" s="20" t="inlineStr">
        <is>
          <t>2,114.1억원</t>
        </is>
      </c>
      <c r="B11" s="19" t="n"/>
      <c r="C11" s="20" t="inlineStr">
        <is>
          <t>17,780,753주</t>
        </is>
      </c>
      <c r="D11" s="19" t="n"/>
      <c r="E11" s="20" t="inlineStr">
        <is>
          <t>183.3억원</t>
        </is>
      </c>
      <c r="F11" s="19" t="n"/>
      <c r="G11" s="20" t="inlineStr">
        <is>
          <t>0.9%</t>
        </is>
      </c>
      <c r="H11" s="19" t="n"/>
      <c r="I11" s="20" t="inlineStr">
        <is>
          <t>42.7/100</t>
        </is>
      </c>
      <c r="J11" s="19" t="n"/>
      <c r="K11" s="20" t="inlineStr">
        <is>
          <t>5개</t>
        </is>
      </c>
      <c r="L11" s="19" t="n"/>
    </row>
    <row r="12" ht="24" customHeight="1">
      <c r="A12" s="21" t="inlineStr">
        <is>
          <t>현재가×발행주식 수</t>
        </is>
      </c>
      <c r="B12" s="19" t="n"/>
      <c r="C12" s="21" t="inlineStr">
        <is>
          <t>DART stockTotqySttus</t>
        </is>
      </c>
      <c r="D12" s="19" t="n"/>
      <c r="E12" s="21" t="inlineStr">
        <is>
          <t>유동성 proxy</t>
        </is>
      </c>
      <c r="F12" s="19" t="n"/>
      <c r="G12" s="21" t="inlineStr">
        <is>
          <t>거래량/주식 수</t>
        </is>
      </c>
      <c r="H12" s="19" t="n"/>
      <c r="I12" s="21" t="inlineStr">
        <is>
          <t>가치평가 보조근거 주의</t>
        </is>
      </c>
      <c r="J12" s="19" t="n"/>
      <c r="K12" s="21" t="inlineStr">
        <is>
          <t>상대가치 비교</t>
        </is>
      </c>
      <c r="L12" s="19" t="n"/>
    </row>
    <row r="13" ht="24" customHeight="1">
      <c r="A13" s="18" t="inlineStr">
        <is>
          <t>P/S</t>
        </is>
      </c>
      <c r="B13" s="19" t="n"/>
      <c r="C13" s="18" t="inlineStr">
        <is>
          <t>Peer P/S 중앙값</t>
        </is>
      </c>
      <c r="D13" s="19" t="n"/>
      <c r="E13" s="18" t="inlineStr">
        <is>
          <t>P/S 매력도</t>
        </is>
      </c>
      <c r="F13" s="19" t="n"/>
      <c r="G13" s="18" t="inlineStr">
        <is>
          <t>208개 Universe</t>
        </is>
      </c>
      <c r="H13" s="19" t="n"/>
      <c r="I13" s="18" t="inlineStr">
        <is>
          <t>Reference 그룹</t>
        </is>
      </c>
      <c r="J13" s="19" t="n"/>
      <c r="K13" s="18" t="inlineStr">
        <is>
          <t>PSR/Universe</t>
        </is>
      </c>
      <c r="L13" s="19" t="n"/>
    </row>
    <row r="14" ht="24" customHeight="1">
      <c r="A14" s="20" t="inlineStr">
        <is>
          <t>1.28x</t>
        </is>
      </c>
      <c r="B14" s="19" t="n"/>
      <c r="C14" s="20" t="inlineStr">
        <is>
          <t>3.50x</t>
        </is>
      </c>
      <c r="D14" s="19" t="n"/>
      <c r="E14" s="20" t="inlineStr">
        <is>
          <t>100.0점</t>
        </is>
      </c>
      <c r="F14" s="19" t="n"/>
      <c r="G14" s="20" t="inlineStr">
        <is>
          <t>208개</t>
        </is>
      </c>
      <c r="H14" s="19" t="n"/>
      <c r="I14" s="20" t="inlineStr">
        <is>
          <t>팹리스/설계</t>
        </is>
      </c>
      <c r="J14" s="19" t="n"/>
      <c r="K14" s="20" t="inlineStr">
        <is>
          <t>반영</t>
        </is>
      </c>
      <c r="L14" s="19" t="n"/>
    </row>
    <row r="15" ht="24" customHeight="1">
      <c r="A15" s="21" t="inlineStr">
        <is>
          <t>피어 대비 저PSR 구간: 상대 저평가 가능성</t>
        </is>
      </c>
      <c r="B15" s="19" t="n"/>
      <c r="C15" s="21" t="inlineStr">
        <is>
          <t>5개 live peer 기준</t>
        </is>
      </c>
      <c r="D15" s="19" t="n"/>
      <c r="E15" s="21" t="inlineStr">
        <is>
          <t>낮은 P/S일수록 점수 우호</t>
        </is>
      </c>
      <c r="F15" s="19" t="n"/>
      <c r="G15" s="21" t="inlineStr">
        <is>
          <t>팹리스/설계</t>
        </is>
      </c>
      <c r="H15" s="19" t="n"/>
      <c r="I15" s="21" t="inlineStr">
        <is>
          <t>그룹 33개</t>
        </is>
      </c>
      <c r="J15" s="19" t="n"/>
      <c r="K15" s="21" t="inlineStr">
        <is>
          <t>대시보드/Chair 보조판단</t>
        </is>
      </c>
      <c r="L15" s="19" t="n"/>
    </row>
    <row r="16" ht="24" customHeight="1"/>
    <row r="17" ht="24" customHeight="1"/>
    <row r="18" ht="24" customHeight="1"/>
    <row r="19" ht="24" customHeight="1">
      <c r="A19" s="22" t="inlineStr">
        <is>
          <t>핵심 해석</t>
        </is>
      </c>
    </row>
    <row r="20" ht="24" customHeight="1">
      <c r="A20" s="23" t="inlineStr">
        <is>
          <t>데이터 독립성</t>
        </is>
      </c>
      <c r="B20" s="24" t="inlineStr">
        <is>
          <t>finance_agent 산출물을 읽지 않고 valuation/intake 원천 데이터만 사용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 ht="24" customHeight="1">
      <c r="A21" s="23" t="inlineStr">
        <is>
          <t>모델 구조</t>
        </is>
      </c>
      <c r="B21" s="24" t="inlineStr">
        <is>
          <t>업로드한 파이낸셜 모델링 파일의 구조를 DCF/WACC/Peer/Scenario/Dashboard 코드로 반영</t>
        </is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24" customHeight="1">
      <c r="A22" s="23" t="inlineStr">
        <is>
          <t>활용 방식</t>
        </is>
      </c>
      <c r="B22" s="24" t="inlineStr">
        <is>
          <t>Chair 최종의견 가중합에는 미반영, 보조 가치평가 및 대시보드 다운로드 산출물로 활용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 ht="24" customHeight="1">
      <c r="A23" s="23" t="inlineStr">
        <is>
          <t>주의</t>
        </is>
      </c>
      <c r="B23" s="24" t="inlineStr">
        <is>
          <t>DART·주가·발행주식 수가 부족한 항목은 검증체크 시트에서 경고로 표시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>
      <c r="A31" s="25" t="inlineStr">
        <is>
          <t>연도</t>
        </is>
      </c>
      <c r="B31" s="25" t="inlineStr">
        <is>
          <t>매출액</t>
        </is>
      </c>
      <c r="C31" s="25" t="inlineStr">
        <is>
          <t>영업이익</t>
        </is>
      </c>
      <c r="D31" s="25" t="inlineStr">
        <is>
          <t>FCF</t>
        </is>
      </c>
      <c r="E31" s="25" t="inlineStr">
        <is>
          <t>연도</t>
        </is>
      </c>
      <c r="F31" s="25" t="inlineStr">
        <is>
          <t>매출액 추정</t>
        </is>
      </c>
      <c r="G31" s="25" t="inlineStr">
        <is>
          <t>FCF 추정</t>
        </is>
      </c>
      <c r="H31" s="25" t="inlineStr">
        <is>
          <t>PV FCF</t>
        </is>
      </c>
      <c r="I31" s="25" t="inlineStr">
        <is>
          <t>기업</t>
        </is>
      </c>
      <c r="J31" s="25" t="inlineStr">
        <is>
          <t>P/S</t>
        </is>
      </c>
      <c r="K31" s="25" t="inlineStr">
        <is>
          <t>PER</t>
        </is>
      </c>
      <c r="L31" s="25" t="inlineStr">
        <is>
          <t>PBR</t>
        </is>
      </c>
    </row>
    <row r="32" ht="24" customHeight="1">
      <c r="A32" s="26" t="n">
        <v>2021</v>
      </c>
      <c r="B32" s="27" t="n">
        <v>167498755290</v>
      </c>
      <c r="C32" s="27" t="n">
        <v>17622418239</v>
      </c>
      <c r="D32" s="27" t="n">
        <v>9461736258</v>
      </c>
      <c r="E32" s="26" t="n">
        <v>2026</v>
      </c>
      <c r="F32" s="27" t="n">
        <v>245412604287.1259</v>
      </c>
      <c r="G32" s="27" t="n">
        <v>19524324769.70319</v>
      </c>
      <c r="H32" s="27" t="n">
        <v>17682330982.97142</v>
      </c>
      <c r="I32" s="26" t="inlineStr">
        <is>
          <t>네패스</t>
        </is>
      </c>
      <c r="J32" s="28" t="n">
        <v>1.280233220880724</v>
      </c>
      <c r="K32" s="28" t="n">
        <v>33.11522419744579</v>
      </c>
      <c r="L32" s="28" t="n">
        <v>2.720031839425568</v>
      </c>
    </row>
    <row r="33" ht="24" customHeight="1">
      <c r="A33" s="26" t="n">
        <v>2022</v>
      </c>
      <c r="B33" s="27" t="n">
        <v>242576796583</v>
      </c>
      <c r="C33" s="27" t="n">
        <v>25825288073</v>
      </c>
      <c r="D33" s="27" t="n">
        <v>-24635367222</v>
      </c>
      <c r="E33" s="26" t="n">
        <v>2027</v>
      </c>
      <c r="F33" s="27" t="n">
        <v>247304726153.9199</v>
      </c>
      <c r="G33" s="27" t="n">
        <v>19674856572.82085</v>
      </c>
      <c r="H33" s="27" t="n">
        <v>16137585636.13043</v>
      </c>
      <c r="I33" s="26" t="inlineStr">
        <is>
          <t>한미반도체</t>
        </is>
      </c>
      <c r="J33" s="28" t="n">
        <v>49.0043714416713</v>
      </c>
      <c r="K33" s="28" t="n">
        <v>132.0517313984026</v>
      </c>
      <c r="L33" s="28" t="n">
        <v>40.93718778436345</v>
      </c>
    </row>
    <row r="34" ht="24" customHeight="1">
      <c r="A34" s="26" t="n">
        <v>2023</v>
      </c>
      <c r="B34" s="27" t="n">
        <v>232436389092</v>
      </c>
      <c r="C34" s="27" t="n">
        <v>-14643077325</v>
      </c>
      <c r="D34" s="27" t="n">
        <v>27442748653</v>
      </c>
      <c r="E34" s="26" t="n">
        <v>2028</v>
      </c>
      <c r="F34" s="27" t="n">
        <v>249812389821.0828</v>
      </c>
      <c r="G34" s="27" t="n">
        <v>19874359120.75678</v>
      </c>
      <c r="H34" s="27" t="n">
        <v>14763305619.4612</v>
      </c>
      <c r="I34" s="26" t="inlineStr">
        <is>
          <t>한솔케미칼</t>
        </is>
      </c>
      <c r="J34" s="28" t="n">
        <v>3.500698820700488</v>
      </c>
      <c r="K34" s="28" t="n">
        <v>20.88980942779469</v>
      </c>
      <c r="L34" s="28" t="n">
        <v>2.628553968241111</v>
      </c>
    </row>
    <row r="35" ht="24" customHeight="1">
      <c r="A35" s="26" t="n">
        <v>2024</v>
      </c>
      <c r="B35" s="27" t="n">
        <v>232116611005</v>
      </c>
      <c r="C35" s="27" t="n">
        <v>-5100374191</v>
      </c>
      <c r="D35" s="27" t="n">
        <v>21576280340</v>
      </c>
      <c r="E35" s="26" t="n">
        <v>2029</v>
      </c>
      <c r="F35" s="27" t="n">
        <v>252952528401.3968</v>
      </c>
      <c r="G35" s="27" t="n">
        <v>20124179563.52505</v>
      </c>
      <c r="H35" s="27" t="n">
        <v>13538550006.85609</v>
      </c>
      <c r="I35" s="26" t="inlineStr">
        <is>
          <t>덕산테코피아</t>
        </is>
      </c>
      <c r="J35" s="28" t="n">
        <v>3.736171029892279</v>
      </c>
      <c r="K35" s="28" t="n">
        <v>-3.967260150660893</v>
      </c>
      <c r="L35" s="28" t="n">
        <v>3.932788341414254</v>
      </c>
    </row>
    <row r="36" ht="24" customHeight="1">
      <c r="A36" s="26" t="n">
        <v>2025</v>
      </c>
      <c r="B36" s="27" t="n">
        <v>244123643799</v>
      </c>
      <c r="C36" s="27" t="n">
        <v>10148185090</v>
      </c>
      <c r="D36" s="27" t="n">
        <v>6750336636</v>
      </c>
      <c r="E36" s="26" t="n">
        <v>2030</v>
      </c>
      <c r="F36" s="27" t="n">
        <v>256746816327.4177</v>
      </c>
      <c r="G36" s="27" t="n">
        <v>20426042256.97793</v>
      </c>
      <c r="H36" s="27" t="n">
        <v>12445194492.02926</v>
      </c>
      <c r="I36" s="26" t="inlineStr">
        <is>
          <t>엘티씨</t>
        </is>
      </c>
      <c r="J36" s="28" t="n">
        <v>1.414178593569716</v>
      </c>
      <c r="K36" s="28" t="n">
        <v>24.1312764407467</v>
      </c>
      <c r="L36" s="28" t="n">
        <v>1.961835983571606</v>
      </c>
    </row>
  </sheetData>
  <mergeCells count="79">
    <mergeCell ref="C6:D6"/>
    <mergeCell ref="A15:B15"/>
    <mergeCell ref="C15:D15"/>
    <mergeCell ref="B22:L22"/>
    <mergeCell ref="E8:F8"/>
    <mergeCell ref="A7:B7"/>
    <mergeCell ref="B21:L21"/>
    <mergeCell ref="B23:L23"/>
    <mergeCell ref="I13:J13"/>
    <mergeCell ref="A9:B9"/>
    <mergeCell ref="K13:L13"/>
    <mergeCell ref="E12:F12"/>
    <mergeCell ref="G12:H12"/>
    <mergeCell ref="I6:J6"/>
    <mergeCell ref="I15:J15"/>
    <mergeCell ref="A11:B11"/>
    <mergeCell ref="K15:L15"/>
    <mergeCell ref="C5:D5"/>
    <mergeCell ref="E5:F5"/>
    <mergeCell ref="C14:D14"/>
    <mergeCell ref="E14:F14"/>
    <mergeCell ref="C4:D4"/>
    <mergeCell ref="E4:F4"/>
    <mergeCell ref="G7:H7"/>
    <mergeCell ref="I7:J7"/>
    <mergeCell ref="I8:J8"/>
    <mergeCell ref="A8:B8"/>
    <mergeCell ref="C8:D8"/>
    <mergeCell ref="I10:J10"/>
    <mergeCell ref="A10:B10"/>
    <mergeCell ref="K10:L10"/>
    <mergeCell ref="K6:L6"/>
    <mergeCell ref="G9:H9"/>
    <mergeCell ref="I9:J9"/>
    <mergeCell ref="G11:H11"/>
    <mergeCell ref="K9:L9"/>
    <mergeCell ref="I11:J11"/>
    <mergeCell ref="K5:L5"/>
    <mergeCell ref="A2:L2"/>
    <mergeCell ref="K11:L11"/>
    <mergeCell ref="E13:F13"/>
    <mergeCell ref="G13:H13"/>
    <mergeCell ref="A12:B12"/>
    <mergeCell ref="C12:D12"/>
    <mergeCell ref="E6:F6"/>
    <mergeCell ref="E15:F15"/>
    <mergeCell ref="K8:L8"/>
    <mergeCell ref="G15:H15"/>
    <mergeCell ref="A5:B5"/>
    <mergeCell ref="A14:B14"/>
    <mergeCell ref="A4:B4"/>
    <mergeCell ref="K7:L7"/>
    <mergeCell ref="C7:D7"/>
    <mergeCell ref="E7:F7"/>
    <mergeCell ref="B20:L20"/>
    <mergeCell ref="G8:H8"/>
    <mergeCell ref="A6:B6"/>
    <mergeCell ref="C10:D10"/>
    <mergeCell ref="E10:F10"/>
    <mergeCell ref="G10:H10"/>
    <mergeCell ref="G6:H6"/>
    <mergeCell ref="C9:D9"/>
    <mergeCell ref="E9:F9"/>
    <mergeCell ref="I12:J12"/>
    <mergeCell ref="K12:L12"/>
    <mergeCell ref="A19:L19"/>
    <mergeCell ref="C11:D11"/>
    <mergeCell ref="E11:F11"/>
    <mergeCell ref="G5:H5"/>
    <mergeCell ref="I5:J5"/>
    <mergeCell ref="G14:H14"/>
    <mergeCell ref="I14:J14"/>
    <mergeCell ref="K14:L14"/>
    <mergeCell ref="G4:H4"/>
    <mergeCell ref="I4:J4"/>
    <mergeCell ref="A1:L1"/>
    <mergeCell ref="A13:B13"/>
    <mergeCell ref="C13:D13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어보브반도체 Valuation Agent Workbook</t>
        </is>
      </c>
    </row>
    <row r="2" ht="28" customHeight="1">
      <c r="A2" s="17" t="inlineStr">
        <is>
          <t>독립 데이터 intake → 모델링 → 검증 → 대시보드 export</t>
        </is>
      </c>
    </row>
    <row r="3" ht="24" customHeight="1"/>
    <row r="4" ht="24" customHeight="1">
      <c r="A4" s="22" t="inlineStr">
        <is>
          <t>사용 안내</t>
        </is>
      </c>
    </row>
    <row r="5" ht="24" customHeight="1">
      <c r="A5" s="25" t="inlineStr">
        <is>
          <t>항목</t>
        </is>
      </c>
      <c r="B5" s="25" t="inlineStr">
        <is>
          <t>내용</t>
        </is>
      </c>
    </row>
    <row r="6" ht="24" customHeight="1">
      <c r="A6" s="24" t="inlineStr">
        <is>
          <t>목적</t>
        </is>
      </c>
      <c r="B6" s="24" t="inlineStr">
        <is>
          <t>DART/주가/발행주식 수/피어 데이터를 intake하여 WACC·DCF·Peer·ML overlay·대시보드 payload를 자동 생성</t>
        </is>
      </c>
    </row>
    <row r="7" ht="24" customHeight="1">
      <c r="A7" s="29" t="inlineStr">
        <is>
          <t>Finance Agent와 관계</t>
        </is>
      </c>
      <c r="B7" s="29" t="inlineStr">
        <is>
          <t>finance_agent 산출물을 읽지 않음. valuation/intake 폴더의 자체 데이터만 사용</t>
        </is>
      </c>
    </row>
    <row r="8" ht="24" customHeight="1">
      <c r="A8" s="24" t="inlineStr">
        <is>
          <t>모델링 구조</t>
        </is>
      </c>
      <c r="B8" s="24" t="inlineStr">
        <is>
          <t>업로드한 파이낸셜 모델링 파일의 sheet archetype을 코드화하여 workbook 구조로 반영</t>
        </is>
      </c>
    </row>
    <row r="9" ht="24" customHeight="1">
      <c r="A9" s="29" t="inlineStr">
        <is>
          <t>PSR/208개 Universe</t>
        </is>
      </c>
      <c r="B9" s="29" t="inlineStr">
        <is>
          <t>Live peer P/S와 208개 반도체 reference universe를 별도 시트와 대시보드 payload로 제공</t>
        </is>
      </c>
    </row>
    <row r="10" ht="24" customHeight="1">
      <c r="A10" s="24" t="inlineStr">
        <is>
          <t>단위</t>
        </is>
      </c>
      <c r="B10" s="24" t="inlineStr">
        <is>
          <t>원천 데이터는 KRW actuals, 요약 표시는 억원/원/배수/비율 형식</t>
        </is>
      </c>
    </row>
    <row r="11" ht="24" customHeight="1">
      <c r="A11" s="29" t="inlineStr">
        <is>
          <t>색상 규칙</t>
        </is>
      </c>
      <c r="B11" s="29" t="inlineStr">
        <is>
          <t>노란색/파란 글씨는 조정 가능한 입력값, 검은 글씨는 공식, 진한 남색은 섹션/헤더</t>
        </is>
      </c>
    </row>
  </sheetData>
  <autoFilter ref="A5:B11"/>
  <mergeCells count="3">
    <mergeCell ref="A2:H2"/>
    <mergeCell ref="A4:F4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40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데이터 출처 맵</t>
        </is>
      </c>
    </row>
    <row r="2" ht="24" customHeight="1">
      <c r="A2" s="25" t="inlineStr">
        <is>
          <t>created_at</t>
        </is>
      </c>
      <c r="B2" s="25" t="inlineStr">
        <is>
          <t>기업명</t>
        </is>
      </c>
      <c r="C2" s="25" t="inlineStr">
        <is>
          <t>기업코드</t>
        </is>
      </c>
      <c r="D2" s="25" t="inlineStr">
        <is>
          <t>종목코드</t>
        </is>
      </c>
      <c r="E2" s="25" t="inlineStr">
        <is>
          <t>principle</t>
        </is>
      </c>
      <c r="F2" s="25" t="inlineStr">
        <is>
          <t>template_design_seed</t>
        </is>
      </c>
      <c r="G2" s="25" t="inlineStr">
        <is>
          <t>canonical_workbook_tabs</t>
        </is>
      </c>
      <c r="H2" s="25" t="inlineStr">
        <is>
          <t>files</t>
        </is>
      </c>
      <c r="I2" s="25" t="inlineStr">
        <is>
          <t>diagnostics</t>
        </is>
      </c>
      <c r="J2" s="25" t="inlineStr">
        <is>
          <t>loader_diagnostics</t>
        </is>
      </c>
    </row>
    <row r="3" ht="24" customHeight="1">
      <c r="A3" s="24" t="inlineStr">
        <is>
          <t>2026-05-20T11:49:43</t>
        </is>
      </c>
      <c r="B3" s="24" t="inlineStr">
        <is>
          <t>어보브반도체</t>
        </is>
      </c>
      <c r="C3" s="24" t="inlineStr">
        <is>
          <t>abov</t>
        </is>
      </c>
      <c r="D3" s="24" t="inlineStr">
        <is>
          <t>102120</t>
        </is>
      </c>
      <c r="E3" s="24" t="inlineStr">
        <is>
          <t>independent_valuation_agent_intake_only; does not read finance_agent outputs</t>
        </is>
      </c>
      <c r="F3" s="24" t="inlineStr">
        <is>
          <t>uploaded_financial_modeling_packs_distilled_to_blueprints</t>
        </is>
      </c>
      <c r="G3" s="24" t="inlineStr">
        <is>
          <t>["00_대시보드", "01_사용안내", "02_출처맵", "03_원천_DART", "04_주가_데이터", "05_정규재무제표", "06_핵심비율", "07_WACC", "08_FCF_추정", "09_DCF_가치평가", "10_피어비교", "11_ML_보조판단", "12_민감도", "13_검증체크", "14_대시보드_JSON", "15_감사추적", "16_모델링_설계", "17_투자자요약", "18_밸류에이션_유니버스", "19_가치평가_브릿지", "20_시나리오_요약", "21_품질_커버리지"]</t>
        </is>
      </c>
      <c r="H3" s="24" t="inlineStr">
        <is>
          <t>{"template_catalog_csv": "data/반도체/어보브반도체/valuation/intake/valuation_modeling_template_catalog.csv", "template_catalog_json": "data/반도체/어보브반도체/valuation/intake/valuation_modeling_template_catalog.json", "raw_dart_accounts_csv": "data/반도체/어보브반도체/valuation/intake/valuation_raw_dart_accounts.csv", "normalized_financials_csv": "data/반도체/어보브반도체/valuation/intake/valuation_normalized_financials.csv", "price_history_csv": "data/반도체/어보브반도체/valuation/intake/valuation_price_history.csv", "share_count_csv": "data/반도체/어보브반도체/valuation/intake/valuation_share_count.csv", "price_summary_json": "data/반도체/어보브반도체/valuation/intake/valuation_price_summary.json", "market_snapshot_json": "data/반도체/어보브반도체/valuation/intake/valuation_market_snapshot.json", "market_snapshot_csv": "data/반도체/어보브반도체/valuation/intake/valuation_market_snapshot.csv", "peer_input_csv": "data/반도체/어보브반도체/valuation/intake/valuation_peer_input.csv", "assumptions_json": "data/반도체/어보브반도체/valuation/intake/valuation_assumptions.json", "reference_universe_208_csv": "data/반도체/어보브반도체/valuation/intake/valuation_reference_universe_208.csv", "reference_universe_focus_csv": "data/반도체/어보브반도체/valuation/intake/valuation_reference_universe_focus.csv", "reference_universe_summary_json": "data/반도체/어보브반도체/valuation/intake/valuation_reference_universe_summary.json"}</t>
        </is>
      </c>
      <c r="I3" s="24" t="inlineStr">
        <is>
          <t>["DART API key detected for valuation intake.", "DART corp_code resolved from cache for 어보브반도체/102120.", "DART financial rows collected: 2021=147, 2022=222, 2023=175, 2024=188, 2025=182", "yfinance price rows for 102120.KQ: 1221", "price provider selected: yfinance, rows=1221", "DART corp_code resolved from cache for 어보브반도체/102120.", "Naver market snapshot collected: per_naver, pbr_naver, eps_naver, dividend_yield_pct_naver, bps_naver", "peer:nepes: price provider selected: yfinance, rows=728", "peer:nepes: DART corp_code resolved from cache for 네패스/033640.", "peer:hanmi: price provider selected: yfinance, rows=728", "peer:hanmi: DART corp_code resolved from cache for 한미반도체/042700.", "peer:hansol: price provider selected: yfinance, rows=728", "peer:hansol: DART corp_code resolved from cache for 한솔케미칼/014680.", "peer:duksan: price provider selected: yfinance, rows=728", "peer:duksan: DART corp_code resolved from cache for 덕산테코피아/317330.", "peer:ltc: price provider selected: yfinance, rows=727", "peer:ltc: DART corp_code resolved from cache for 엘티씨/170920.", "Market snapshot enriched with live/derived metrics count=19."]</t>
        </is>
      </c>
      <c r="J3" s="24" t="inlineStr">
        <is>
          <t>{"price_history_loaded_rows": 1221, "price_history_loaded_from": "C:\\Agent_6.8\\data\\반도체\\어보브반도체\\valuation\\intake\\valuation_price_history.csv"}</t>
        </is>
      </c>
    </row>
    <row r="4" ht="24" customHeight="1"/>
    <row r="5" ht="24" customHeight="1"/>
    <row r="6" ht="24" customHeight="1">
      <c r="A6" s="22" t="inlineStr">
        <is>
          <t>발행주식 수 intake</t>
        </is>
      </c>
    </row>
    <row r="7" ht="24" customHeight="1">
      <c r="A7" s="25" t="inlineStr">
        <is>
          <t>출처</t>
        </is>
      </c>
      <c r="B7" s="25" t="inlineStr">
        <is>
          <t>DART 고유번호</t>
        </is>
      </c>
      <c r="C7" s="25" t="inlineStr">
        <is>
          <t>기업명</t>
        </is>
      </c>
      <c r="D7" s="25" t="inlineStr">
        <is>
          <t>기업코드</t>
        </is>
      </c>
      <c r="E7" s="25" t="inlineStr">
        <is>
          <t>종목코드</t>
        </is>
      </c>
      <c r="F7" s="25" t="inlineStr">
        <is>
          <t>연도</t>
        </is>
      </c>
      <c r="G7" s="25" t="inlineStr">
        <is>
          <t>share_class</t>
        </is>
      </c>
      <c r="H7" s="25" t="inlineStr">
        <is>
          <t>발행주식 수</t>
        </is>
      </c>
      <c r="I7" s="25" t="inlineStr">
        <is>
          <t>raw</t>
        </is>
      </c>
    </row>
    <row r="8" ht="24" customHeight="1">
      <c r="A8" s="24" t="inlineStr">
        <is>
          <t>OpenDART_stockTotqySttus</t>
        </is>
      </c>
      <c r="B8" s="24" t="inlineStr">
        <is>
          <t>00591441</t>
        </is>
      </c>
      <c r="C8" s="24" t="inlineStr">
        <is>
          <t>어보브반도체</t>
        </is>
      </c>
      <c r="D8" s="24" t="inlineStr">
        <is>
          <t>abov</t>
        </is>
      </c>
      <c r="E8" s="24" t="inlineStr">
        <is>
          <t>102120</t>
        </is>
      </c>
      <c r="F8" s="24" t="inlineStr">
        <is>
          <t>2021</t>
        </is>
      </c>
      <c r="G8" s="24" t="inlineStr">
        <is>
          <t>보통주</t>
        </is>
      </c>
      <c r="H8" s="24" t="inlineStr">
        <is>
          <t>17459653.0</t>
        </is>
      </c>
      <c r="I8" s="24" t="inlineStr">
        <is>
          <t>{"rcept_no": "20220729000049", "corp_cls": "K", "corp_code": "00591441", "corp_name": "어보브반도체", "se": "보통주", "isu_stock_totqy": "100,000,000", "now_to_isu_stock_totqy": "17,459,653", "now_to_dcrs_stock_totqy": "-", "redc": "-", "profit_incnr": "-", "rdmstk_repy": "-", "etc": "-", "istc_totqy": "17,459,653", "tesstk_co": "908,837", "distb_stock_co": "16,550,816", "stlm_dt": "2021-12-31"}</t>
        </is>
      </c>
    </row>
    <row r="9" ht="24" customHeight="1">
      <c r="A9" s="29" t="inlineStr">
        <is>
          <t>OpenDART_stockTotqySttus</t>
        </is>
      </c>
      <c r="B9" s="29" t="inlineStr">
        <is>
          <t>00591441</t>
        </is>
      </c>
      <c r="C9" s="29" t="inlineStr">
        <is>
          <t>어보브반도체</t>
        </is>
      </c>
      <c r="D9" s="29" t="inlineStr">
        <is>
          <t>abov</t>
        </is>
      </c>
      <c r="E9" s="29" t="inlineStr">
        <is>
          <t>102120</t>
        </is>
      </c>
      <c r="F9" s="29" t="inlineStr">
        <is>
          <t>2021</t>
        </is>
      </c>
      <c r="G9" s="29" t="inlineStr">
        <is>
          <t>우선주</t>
        </is>
      </c>
      <c r="H9" s="29" t="inlineStr">
        <is>
          <t>해당 없음</t>
        </is>
      </c>
      <c r="I9" s="29" t="inlineStr">
        <is>
          <t>{"rcept_no": "20220729000049", "corp_cls": "K", "corp_code": "00591441", "corp_name": "어보브반도체", "se": "우선주",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0" ht="24" customHeight="1">
      <c r="A10" s="24" t="inlineStr">
        <is>
          <t>OpenDART_stockTotqySttus</t>
        </is>
      </c>
      <c r="B10" s="24" t="inlineStr">
        <is>
          <t>00591441</t>
        </is>
      </c>
      <c r="C10" s="24" t="inlineStr">
        <is>
          <t>어보브반도체</t>
        </is>
      </c>
      <c r="D10" s="24" t="inlineStr">
        <is>
          <t>abov</t>
        </is>
      </c>
      <c r="E10" s="24" t="inlineStr">
        <is>
          <t>102120</t>
        </is>
      </c>
      <c r="F10" s="24" t="inlineStr">
        <is>
          <t>2021</t>
        </is>
      </c>
      <c r="G10" s="24" t="inlineStr">
        <is>
          <t>합계</t>
        </is>
      </c>
      <c r="H10" s="24" t="inlineStr">
        <is>
          <t>17459653.0</t>
        </is>
      </c>
      <c r="I10" s="24" t="inlineStr">
        <is>
          <t>{"rcept_no": "20220729000049", "corp_cls": "K", "corp_code": "00591441", "corp_name": "어보브반도체", "se": "합계", "isu_stock_totqy": "100,000,000", "now_to_isu_stock_totqy": "17,459,653", "now_to_dcrs_stock_totqy": "-", "redc": "-", "profit_incnr": "-", "rdmstk_repy": "-", "etc": "-", "istc_totqy": "17,459,653", "tesstk_co": "908,837", "distb_stock_co": "16,550,816", "stlm_dt": "2021-12-31"}</t>
        </is>
      </c>
    </row>
    <row r="11" ht="24" customHeight="1">
      <c r="A11" s="29" t="inlineStr">
        <is>
          <t>OpenDART_stockTotqySttus</t>
        </is>
      </c>
      <c r="B11" s="29" t="inlineStr">
        <is>
          <t>00591441</t>
        </is>
      </c>
      <c r="C11" s="29" t="inlineStr">
        <is>
          <t>어보브반도체</t>
        </is>
      </c>
      <c r="D11" s="29" t="inlineStr">
        <is>
          <t>abov</t>
        </is>
      </c>
      <c r="E11" s="29" t="inlineStr">
        <is>
          <t>102120</t>
        </is>
      </c>
      <c r="F11" s="29" t="inlineStr">
        <is>
          <t>2021</t>
        </is>
      </c>
      <c r="G11" s="29" t="inlineStr">
        <is>
          <t>비고</t>
        </is>
      </c>
      <c r="H11" s="29" t="inlineStr">
        <is>
          <t>해당 없음</t>
        </is>
      </c>
      <c r="I11" s="29" t="inlineStr">
        <is>
          <t>{"rcept_no": "20220729000049", "corp_cls": "K", "corp_code": "00591441", "corp_name": "어보브반도체", "se": "비고",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2" ht="24" customHeight="1">
      <c r="A12" s="24" t="inlineStr">
        <is>
          <t>OpenDART_stockTotqySttus</t>
        </is>
      </c>
      <c r="B12" s="24" t="inlineStr">
        <is>
          <t>00591441</t>
        </is>
      </c>
      <c r="C12" s="24" t="inlineStr">
        <is>
          <t>어보브반도체</t>
        </is>
      </c>
      <c r="D12" s="24" t="inlineStr">
        <is>
          <t>abov</t>
        </is>
      </c>
      <c r="E12" s="24" t="inlineStr">
        <is>
          <t>102120</t>
        </is>
      </c>
      <c r="F12" s="24" t="inlineStr">
        <is>
          <t>2022</t>
        </is>
      </c>
      <c r="G12" s="24" t="inlineStr">
        <is>
          <t>보통주</t>
        </is>
      </c>
      <c r="H12" s="24" t="inlineStr">
        <is>
          <t>17780753.0</t>
        </is>
      </c>
      <c r="I12" s="24" t="inlineStr">
        <is>
          <t>{"rcept_no": "20230320001003", "corp_cls": "K", "corp_code": "00591441", "corp_name": "어보브반도체", "se": "보통주", "isu_stock_totqy": "100,000,000", "now_to_isu_stock_totqy": "17,780,753", "now_to_dcrs_stock_totqy": "-", "redc": "-", "profit_incnr": "-", "rdmstk_repy": "-", "etc": "-", "istc_totqy": "17,780,753", "tesstk_co": "1,281,999", "distb_stock_co": "16,498,754", "stlm_dt": "2022-12-31"}</t>
        </is>
      </c>
    </row>
    <row r="13" ht="24" customHeight="1">
      <c r="A13" s="29" t="inlineStr">
        <is>
          <t>OpenDART_stockTotqySttus</t>
        </is>
      </c>
      <c r="B13" s="29" t="inlineStr">
        <is>
          <t>00591441</t>
        </is>
      </c>
      <c r="C13" s="29" t="inlineStr">
        <is>
          <t>어보브반도체</t>
        </is>
      </c>
      <c r="D13" s="29" t="inlineStr">
        <is>
          <t>abov</t>
        </is>
      </c>
      <c r="E13" s="29" t="inlineStr">
        <is>
          <t>102120</t>
        </is>
      </c>
      <c r="F13" s="29" t="inlineStr">
        <is>
          <t>2022</t>
        </is>
      </c>
      <c r="G13" s="29" t="inlineStr">
        <is>
          <t>우선주</t>
        </is>
      </c>
      <c r="H13" s="29" t="inlineStr">
        <is>
          <t>해당 없음</t>
        </is>
      </c>
      <c r="I13" s="29" t="inlineStr">
        <is>
          <t>{"rcept_no": "20230320001003", "corp_cls": "K", "corp_code": "00591441", "corp_name": "어보브반도체", "se": "우선주",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4" ht="24" customHeight="1">
      <c r="A14" s="24" t="inlineStr">
        <is>
          <t>OpenDART_stockTotqySttus</t>
        </is>
      </c>
      <c r="B14" s="24" t="inlineStr">
        <is>
          <t>00591441</t>
        </is>
      </c>
      <c r="C14" s="24" t="inlineStr">
        <is>
          <t>어보브반도체</t>
        </is>
      </c>
      <c r="D14" s="24" t="inlineStr">
        <is>
          <t>abov</t>
        </is>
      </c>
      <c r="E14" s="24" t="inlineStr">
        <is>
          <t>102120</t>
        </is>
      </c>
      <c r="F14" s="24" t="inlineStr">
        <is>
          <t>2022</t>
        </is>
      </c>
      <c r="G14" s="24" t="inlineStr">
        <is>
          <t>합계</t>
        </is>
      </c>
      <c r="H14" s="24" t="inlineStr">
        <is>
          <t>17780753.0</t>
        </is>
      </c>
      <c r="I14" s="24" t="inlineStr">
        <is>
          <t>{"rcept_no": "20230320001003", "corp_cls": "K", "corp_code": "00591441", "corp_name": "어보브반도체", "se": "합계", "isu_stock_totqy": "100,000,000", "now_to_isu_stock_totqy": "17,780,753", "now_to_dcrs_stock_totqy": "-", "redc": "-", "profit_incnr": "-", "rdmstk_repy": "-", "etc": "-", "istc_totqy": "17,780,753", "tesstk_co": "1,281,999", "distb_stock_co": "16,498,754", "stlm_dt": "2022-12-31"}</t>
        </is>
      </c>
    </row>
    <row r="15" ht="24" customHeight="1">
      <c r="A15" s="29" t="inlineStr">
        <is>
          <t>OpenDART_stockTotqySttus</t>
        </is>
      </c>
      <c r="B15" s="29" t="inlineStr">
        <is>
          <t>00591441</t>
        </is>
      </c>
      <c r="C15" s="29" t="inlineStr">
        <is>
          <t>어보브반도체</t>
        </is>
      </c>
      <c r="D15" s="29" t="inlineStr">
        <is>
          <t>abov</t>
        </is>
      </c>
      <c r="E15" s="29" t="inlineStr">
        <is>
          <t>102120</t>
        </is>
      </c>
      <c r="F15" s="29" t="inlineStr">
        <is>
          <t>2022</t>
        </is>
      </c>
      <c r="G15" s="29" t="inlineStr">
        <is>
          <t>비고</t>
        </is>
      </c>
      <c r="H15" s="29" t="inlineStr">
        <is>
          <t>해당 없음</t>
        </is>
      </c>
      <c r="I15" s="29" t="inlineStr">
        <is>
          <t>{"rcept_no": "20230320001003", "corp_cls": "K", "corp_code": "00591441", "corp_name": "어보브반도체", "se": "비고",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6" ht="24" customHeight="1">
      <c r="A16" s="24" t="inlineStr">
        <is>
          <t>OpenDART_stockTotqySttus</t>
        </is>
      </c>
      <c r="B16" s="24" t="inlineStr">
        <is>
          <t>00591441</t>
        </is>
      </c>
      <c r="C16" s="24" t="inlineStr">
        <is>
          <t>어보브반도체</t>
        </is>
      </c>
      <c r="D16" s="24" t="inlineStr">
        <is>
          <t>abov</t>
        </is>
      </c>
      <c r="E16" s="24" t="inlineStr">
        <is>
          <t>102120</t>
        </is>
      </c>
      <c r="F16" s="24" t="inlineStr">
        <is>
          <t>2023</t>
        </is>
      </c>
      <c r="G16" s="24" t="inlineStr">
        <is>
          <t>보통주</t>
        </is>
      </c>
      <c r="H16" s="24" t="inlineStr">
        <is>
          <t>17780753.0</t>
        </is>
      </c>
      <c r="I16" s="24" t="inlineStr">
        <is>
          <t>{"rcept_no": "20240320001763", "corp_cls": "K", "corp_code": "00591441", "corp_name": "어보브반도체", "se": "보통주", "isu_stock_totqy": "100,000,000", "now_to_isu_stock_totqy": "17,780,753", "now_to_dcrs_stock_totqy": "-", "redc": "-", "profit_incnr": "-", "rdmstk_repy": "-", "etc": "-", "istc_totqy": "17,780,753", "tesstk_co": "1,281,999", "distb_stock_co": "16,498,754", "stlm_dt": "2023-12-31"}</t>
        </is>
      </c>
    </row>
    <row r="17" ht="24" customHeight="1">
      <c r="A17" s="29" t="inlineStr">
        <is>
          <t>OpenDART_stockTotqySttus</t>
        </is>
      </c>
      <c r="B17" s="29" t="inlineStr">
        <is>
          <t>00591441</t>
        </is>
      </c>
      <c r="C17" s="29" t="inlineStr">
        <is>
          <t>어보브반도체</t>
        </is>
      </c>
      <c r="D17" s="29" t="inlineStr">
        <is>
          <t>abov</t>
        </is>
      </c>
      <c r="E17" s="29" t="inlineStr">
        <is>
          <t>102120</t>
        </is>
      </c>
      <c r="F17" s="29" t="inlineStr">
        <is>
          <t>2023</t>
        </is>
      </c>
      <c r="G17" s="29" t="inlineStr">
        <is>
          <t>우선주</t>
        </is>
      </c>
      <c r="H17" s="29" t="inlineStr">
        <is>
          <t>해당 없음</t>
        </is>
      </c>
      <c r="I17" s="29" t="inlineStr">
        <is>
          <t>{"rcept_no": "20240320001763", "corp_cls": "K", "corp_code": "00591441", "corp_name": "어보브반도체", "se": "우선주",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18" ht="24" customHeight="1">
      <c r="A18" s="24" t="inlineStr">
        <is>
          <t>OpenDART_stockTotqySttus</t>
        </is>
      </c>
      <c r="B18" s="24" t="inlineStr">
        <is>
          <t>00591441</t>
        </is>
      </c>
      <c r="C18" s="24" t="inlineStr">
        <is>
          <t>어보브반도체</t>
        </is>
      </c>
      <c r="D18" s="24" t="inlineStr">
        <is>
          <t>abov</t>
        </is>
      </c>
      <c r="E18" s="24" t="inlineStr">
        <is>
          <t>102120</t>
        </is>
      </c>
      <c r="F18" s="24" t="inlineStr">
        <is>
          <t>2023</t>
        </is>
      </c>
      <c r="G18" s="24" t="inlineStr">
        <is>
          <t>합계</t>
        </is>
      </c>
      <c r="H18" s="24" t="inlineStr">
        <is>
          <t>17780753.0</t>
        </is>
      </c>
      <c r="I18" s="24" t="inlineStr">
        <is>
          <t>{"rcept_no": "20240320001763", "corp_cls": "K", "corp_code": "00591441", "corp_name": "어보브반도체", "se": "합계", "isu_stock_totqy": "100,000,000", "now_to_isu_stock_totqy": "17,780,753", "now_to_dcrs_stock_totqy": "-", "redc": "-", "profit_incnr": "-", "rdmstk_repy": "-", "etc": "-", "istc_totqy": "17,780,753", "tesstk_co": "1,281,999", "distb_stock_co": "16,498,754", "stlm_dt": "2023-12-31"}</t>
        </is>
      </c>
    </row>
    <row r="19" ht="24" customHeight="1">
      <c r="A19" s="29" t="inlineStr">
        <is>
          <t>OpenDART_stockTotqySttus</t>
        </is>
      </c>
      <c r="B19" s="29" t="inlineStr">
        <is>
          <t>00591441</t>
        </is>
      </c>
      <c r="C19" s="29" t="inlineStr">
        <is>
          <t>어보브반도체</t>
        </is>
      </c>
      <c r="D19" s="29" t="inlineStr">
        <is>
          <t>abov</t>
        </is>
      </c>
      <c r="E19" s="29" t="inlineStr">
        <is>
          <t>102120</t>
        </is>
      </c>
      <c r="F19" s="29" t="inlineStr">
        <is>
          <t>2023</t>
        </is>
      </c>
      <c r="G19" s="29" t="inlineStr">
        <is>
          <t>비고</t>
        </is>
      </c>
      <c r="H19" s="29" t="inlineStr">
        <is>
          <t>해당 없음</t>
        </is>
      </c>
      <c r="I19" s="29" t="inlineStr">
        <is>
          <t>{"rcept_no": "20240320001763", "corp_cls": "K", "corp_code": "00591441", "corp_name": "어보브반도체", "se": "비고",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20" ht="24" customHeight="1">
      <c r="A20" s="24" t="inlineStr">
        <is>
          <t>OpenDART_stockTotqySttus</t>
        </is>
      </c>
      <c r="B20" s="24" t="inlineStr">
        <is>
          <t>00591441</t>
        </is>
      </c>
      <c r="C20" s="24" t="inlineStr">
        <is>
          <t>어보브반도체</t>
        </is>
      </c>
      <c r="D20" s="24" t="inlineStr">
        <is>
          <t>abov</t>
        </is>
      </c>
      <c r="E20" s="24" t="inlineStr">
        <is>
          <t>102120</t>
        </is>
      </c>
      <c r="F20" s="24" t="inlineStr">
        <is>
          <t>2024</t>
        </is>
      </c>
      <c r="G20" s="24" t="inlineStr">
        <is>
          <t>보통주</t>
        </is>
      </c>
      <c r="H20" s="24" t="inlineStr">
        <is>
          <t>17780753.0</t>
        </is>
      </c>
      <c r="I20" s="24" t="inlineStr">
        <is>
          <t>{"rcept_no": "20250318001346", "corp_cls": "K", "corp_code": "00591441", "corp_name": "어보브반도체", "se": "보통주", "isu_stock_totqy": "100,000,000", "now_to_isu_stock_totqy": "17,780,753", "now_to_dcrs_stock_totqy": "-", "redc": "-", "profit_incnr": "-", "rdmstk_repy": "-", "etc": "-", "istc_totqy": "17,780,753", "tesstk_co": "1,281,999", "distb_stock_co": "16,498,754", "stlm_dt": "2024-12-31"}</t>
        </is>
      </c>
    </row>
    <row r="21" ht="24" customHeight="1">
      <c r="A21" s="29" t="inlineStr">
        <is>
          <t>OpenDART_stockTotqySttus</t>
        </is>
      </c>
      <c r="B21" s="29" t="inlineStr">
        <is>
          <t>00591441</t>
        </is>
      </c>
      <c r="C21" s="29" t="inlineStr">
        <is>
          <t>어보브반도체</t>
        </is>
      </c>
      <c r="D21" s="29" t="inlineStr">
        <is>
          <t>abov</t>
        </is>
      </c>
      <c r="E21" s="29" t="inlineStr">
        <is>
          <t>102120</t>
        </is>
      </c>
      <c r="F21" s="29" t="inlineStr">
        <is>
          <t>2024</t>
        </is>
      </c>
      <c r="G21" s="29" t="inlineStr">
        <is>
          <t>우선주</t>
        </is>
      </c>
      <c r="H21" s="29" t="inlineStr">
        <is>
          <t>해당 없음</t>
        </is>
      </c>
      <c r="I21" s="29" t="inlineStr">
        <is>
          <t>{"rcept_no": "20250318001346", "corp_cls": "K", "corp_code": "00591441", "corp_name": "어보브반도체", "se": "우선주",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2" ht="24" customHeight="1">
      <c r="A22" s="24" t="inlineStr">
        <is>
          <t>OpenDART_stockTotqySttus</t>
        </is>
      </c>
      <c r="B22" s="24" t="inlineStr">
        <is>
          <t>00591441</t>
        </is>
      </c>
      <c r="C22" s="24" t="inlineStr">
        <is>
          <t>어보브반도체</t>
        </is>
      </c>
      <c r="D22" s="24" t="inlineStr">
        <is>
          <t>abov</t>
        </is>
      </c>
      <c r="E22" s="24" t="inlineStr">
        <is>
          <t>102120</t>
        </is>
      </c>
      <c r="F22" s="24" t="inlineStr">
        <is>
          <t>2024</t>
        </is>
      </c>
      <c r="G22" s="24" t="inlineStr">
        <is>
          <t>합계</t>
        </is>
      </c>
      <c r="H22" s="24" t="inlineStr">
        <is>
          <t>17780753.0</t>
        </is>
      </c>
      <c r="I22" s="24" t="inlineStr">
        <is>
          <t>{"rcept_no": "20250318001346", "corp_cls": "K", "corp_code": "00591441", "corp_name": "어보브반도체", "se": "합계", "isu_stock_totqy": "100,000,000", "now_to_isu_stock_totqy": "17,780,753", "now_to_dcrs_stock_totqy": "-", "redc": "-", "profit_incnr": "-", "rdmstk_repy": "-", "etc": "-", "istc_totqy": "17,780,753", "tesstk_co": "1,281,999", "distb_stock_co": "16,498,754", "stlm_dt": "2024-12-31"}</t>
        </is>
      </c>
    </row>
    <row r="23" ht="24" customHeight="1">
      <c r="A23" s="29" t="inlineStr">
        <is>
          <t>OpenDART_stockTotqySttus</t>
        </is>
      </c>
      <c r="B23" s="29" t="inlineStr">
        <is>
          <t>00591441</t>
        </is>
      </c>
      <c r="C23" s="29" t="inlineStr">
        <is>
          <t>어보브반도체</t>
        </is>
      </c>
      <c r="D23" s="29" t="inlineStr">
        <is>
          <t>abov</t>
        </is>
      </c>
      <c r="E23" s="29" t="inlineStr">
        <is>
          <t>102120</t>
        </is>
      </c>
      <c r="F23" s="29" t="inlineStr">
        <is>
          <t>2024</t>
        </is>
      </c>
      <c r="G23" s="29" t="inlineStr">
        <is>
          <t>비고</t>
        </is>
      </c>
      <c r="H23" s="29" t="inlineStr">
        <is>
          <t>해당 없음</t>
        </is>
      </c>
      <c r="I23" s="29" t="inlineStr">
        <is>
          <t>{"rcept_no": "20250318001346", "corp_cls": "K", "corp_code": "00591441", "corp_name": "어보브반도체", "se": "비고",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4" ht="24" customHeight="1">
      <c r="A24" s="24" t="inlineStr">
        <is>
          <t>OpenDART_stockTotqySttus</t>
        </is>
      </c>
      <c r="B24" s="24" t="inlineStr">
        <is>
          <t>00591441</t>
        </is>
      </c>
      <c r="C24" s="24" t="inlineStr">
        <is>
          <t>어보브반도체</t>
        </is>
      </c>
      <c r="D24" s="24" t="inlineStr">
        <is>
          <t>abov</t>
        </is>
      </c>
      <c r="E24" s="24" t="inlineStr">
        <is>
          <t>102120</t>
        </is>
      </c>
      <c r="F24" s="24" t="inlineStr">
        <is>
          <t>2025</t>
        </is>
      </c>
      <c r="G24" s="24" t="inlineStr">
        <is>
          <t>보통주</t>
        </is>
      </c>
      <c r="H24" s="24" t="inlineStr">
        <is>
          <t>17780753.0</t>
        </is>
      </c>
      <c r="I24" s="24" t="inlineStr">
        <is>
          <t>{"rcept_no": "20260319000019", "corp_cls": "K", "corp_code": "00591441", "corp_name": "어보브반도체", "se": "보통주", "isu_stock_totqy": "100,000,000", "now_to_isu_stock_totqy": "17,780,753", "now_to_dcrs_stock_totqy": "-", "redc": "-", "profit_incnr": "-", "rdmstk_repy": "-", "etc": "-", "istc_totqy": "17,780,753", "tesstk_co": "1,281,999", "distb_stock_co": "16,498,754", "stlm_dt": "2025-12-31"}</t>
        </is>
      </c>
    </row>
    <row r="25" ht="24" customHeight="1">
      <c r="A25" s="29" t="inlineStr">
        <is>
          <t>OpenDART_stockTotqySttus</t>
        </is>
      </c>
      <c r="B25" s="29" t="inlineStr">
        <is>
          <t>00591441</t>
        </is>
      </c>
      <c r="C25" s="29" t="inlineStr">
        <is>
          <t>어보브반도체</t>
        </is>
      </c>
      <c r="D25" s="29" t="inlineStr">
        <is>
          <t>abov</t>
        </is>
      </c>
      <c r="E25" s="29" t="inlineStr">
        <is>
          <t>102120</t>
        </is>
      </c>
      <c r="F25" s="29" t="inlineStr">
        <is>
          <t>2025</t>
        </is>
      </c>
      <c r="G25" s="29" t="inlineStr">
        <is>
          <t>우선주</t>
        </is>
      </c>
      <c r="H25" s="29" t="inlineStr">
        <is>
          <t>해당 없음</t>
        </is>
      </c>
      <c r="I25" s="29" t="inlineStr">
        <is>
          <t>{"rcept_no": "20260319000019", "corp_cls": "K", "corp_code": "00591441", "corp_name": "어보브반도체", "se": "우선주",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  <row r="26" ht="24" customHeight="1">
      <c r="A26" s="24" t="inlineStr">
        <is>
          <t>OpenDART_stockTotqySttus</t>
        </is>
      </c>
      <c r="B26" s="24" t="inlineStr">
        <is>
          <t>00591441</t>
        </is>
      </c>
      <c r="C26" s="24" t="inlineStr">
        <is>
          <t>어보브반도체</t>
        </is>
      </c>
      <c r="D26" s="24" t="inlineStr">
        <is>
          <t>abov</t>
        </is>
      </c>
      <c r="E26" s="24" t="inlineStr">
        <is>
          <t>102120</t>
        </is>
      </c>
      <c r="F26" s="24" t="inlineStr">
        <is>
          <t>2025</t>
        </is>
      </c>
      <c r="G26" s="24" t="inlineStr">
        <is>
          <t>합계</t>
        </is>
      </c>
      <c r="H26" s="24" t="inlineStr">
        <is>
          <t>17780753.0</t>
        </is>
      </c>
      <c r="I26" s="24" t="inlineStr">
        <is>
          <t>{"rcept_no": "20260319000019", "corp_cls": "K", "corp_code": "00591441", "corp_name": "어보브반도체", "se": "합계", "isu_stock_totqy": "100,000,000", "now_to_isu_stock_totqy": "17,780,753", "now_to_dcrs_stock_totqy": "-", "redc": "-", "profit_incnr": "-", "rdmstk_repy": "-", "etc": "-", "istc_totqy": "17,780,753", "tesstk_co": "1,281,999", "distb_stock_co": "16,498,754", "stlm_dt": "2025-12-31"}</t>
        </is>
      </c>
    </row>
    <row r="27" ht="24" customHeight="1">
      <c r="A27" s="29" t="inlineStr">
        <is>
          <t>OpenDART_stockTotqySttus</t>
        </is>
      </c>
      <c r="B27" s="29" t="inlineStr">
        <is>
          <t>00591441</t>
        </is>
      </c>
      <c r="C27" s="29" t="inlineStr">
        <is>
          <t>어보브반도체</t>
        </is>
      </c>
      <c r="D27" s="29" t="inlineStr">
        <is>
          <t>abov</t>
        </is>
      </c>
      <c r="E27" s="29" t="inlineStr">
        <is>
          <t>102120</t>
        </is>
      </c>
      <c r="F27" s="29" t="inlineStr">
        <is>
          <t>2025</t>
        </is>
      </c>
      <c r="G27" s="29" t="inlineStr">
        <is>
          <t>비고</t>
        </is>
      </c>
      <c r="H27" s="29" t="inlineStr">
        <is>
          <t>해당 없음</t>
        </is>
      </c>
      <c r="I27" s="29" t="inlineStr">
        <is>
          <t>{"rcept_no": "20260319000019", "corp_cls": "K", "corp_code": "00591441", "corp_name": "어보브반도체", "se": "비고",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</sheetData>
  <autoFilter ref="A7:I27"/>
  <mergeCells count="2">
    <mergeCell ref="A6:F6"/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9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DART 원천 계정</t>
        </is>
      </c>
    </row>
    <row r="2" ht="24" customHeight="1">
      <c r="A2" s="25" t="inlineStr">
        <is>
          <t>출처</t>
        </is>
      </c>
      <c r="B2" s="25" t="inlineStr">
        <is>
          <t>DART 고유번호</t>
        </is>
      </c>
      <c r="C2" s="25" t="inlineStr">
        <is>
          <t>기업명</t>
        </is>
      </c>
      <c r="D2" s="25" t="inlineStr">
        <is>
          <t>기업코드</t>
        </is>
      </c>
      <c r="E2" s="25" t="inlineStr">
        <is>
          <t>종목코드</t>
        </is>
      </c>
      <c r="F2" s="25" t="inlineStr">
        <is>
          <t>연도</t>
        </is>
      </c>
      <c r="G2" s="25" t="inlineStr">
        <is>
          <t>재무제표 구분</t>
        </is>
      </c>
      <c r="H2" s="25" t="inlineStr">
        <is>
          <t>재무제표 코드</t>
        </is>
      </c>
      <c r="I2" s="25" t="inlineStr">
        <is>
          <t>재무제표명</t>
        </is>
      </c>
      <c r="J2" s="25" t="inlineStr">
        <is>
          <t>계정ID</t>
        </is>
      </c>
      <c r="K2" s="25" t="inlineStr">
        <is>
          <t>계정명</t>
        </is>
      </c>
      <c r="L2" s="25" t="inlineStr">
        <is>
          <t>계정상세</t>
        </is>
      </c>
      <c r="M2" s="25" t="inlineStr">
        <is>
          <t>당기명</t>
        </is>
      </c>
      <c r="N2" s="25" t="inlineStr">
        <is>
          <t>금액</t>
        </is>
      </c>
      <c r="O2" s="25" t="inlineStr">
        <is>
          <t>전기금액</t>
        </is>
      </c>
      <c r="P2" s="25" t="inlineStr">
        <is>
          <t>통화</t>
        </is>
      </c>
      <c r="Q2" s="25" t="inlineStr">
        <is>
          <t>정렬순서</t>
        </is>
      </c>
    </row>
    <row r="3" ht="24" customHeight="1">
      <c r="A3" s="24" t="inlineStr">
        <is>
          <t>OpenDART_fnlttSinglAcntAll</t>
        </is>
      </c>
      <c r="B3" s="24" t="inlineStr">
        <is>
          <t>00591441</t>
        </is>
      </c>
      <c r="C3" s="24" t="inlineStr">
        <is>
          <t>어보브반도체</t>
        </is>
      </c>
      <c r="D3" s="24" t="inlineStr">
        <is>
          <t>abov</t>
        </is>
      </c>
      <c r="E3" s="24" t="inlineStr">
        <is>
          <t>102120</t>
        </is>
      </c>
      <c r="F3" s="24" t="inlineStr">
        <is>
          <t>2021</t>
        </is>
      </c>
      <c r="G3" s="24" t="inlineStr">
        <is>
          <t>CFS</t>
        </is>
      </c>
      <c r="H3" s="24" t="inlineStr">
        <is>
          <t>BS</t>
        </is>
      </c>
      <c r="I3" s="24" t="inlineStr">
        <is>
          <t>재무상태표</t>
        </is>
      </c>
      <c r="J3" s="24" t="inlineStr">
        <is>
          <t>ifrs-full_CurrentAssets</t>
        </is>
      </c>
      <c r="K3" s="24" t="inlineStr">
        <is>
          <t>유동자산</t>
        </is>
      </c>
      <c r="L3" s="24" t="inlineStr">
        <is>
          <t>-</t>
        </is>
      </c>
      <c r="M3" s="24" t="inlineStr">
        <is>
          <t>제 16 기</t>
        </is>
      </c>
      <c r="N3" s="24" t="inlineStr">
        <is>
          <t>58830567677.0</t>
        </is>
      </c>
      <c r="O3" s="24" t="inlineStr">
        <is>
          <t>105396764456.0</t>
        </is>
      </c>
      <c r="P3" s="24" t="inlineStr">
        <is>
          <t>KRW</t>
        </is>
      </c>
      <c r="Q3" s="24" t="inlineStr">
        <is>
          <t>1</t>
        </is>
      </c>
    </row>
    <row r="4" ht="24" customHeight="1">
      <c r="A4" s="29" t="inlineStr">
        <is>
          <t>OpenDART_fnlttSinglAcntAll</t>
        </is>
      </c>
      <c r="B4" s="29" t="inlineStr">
        <is>
          <t>00591441</t>
        </is>
      </c>
      <c r="C4" s="29" t="inlineStr">
        <is>
          <t>어보브반도체</t>
        </is>
      </c>
      <c r="D4" s="29" t="inlineStr">
        <is>
          <t>abov</t>
        </is>
      </c>
      <c r="E4" s="29" t="inlineStr">
        <is>
          <t>102120</t>
        </is>
      </c>
      <c r="F4" s="29" t="inlineStr">
        <is>
          <t>2021</t>
        </is>
      </c>
      <c r="G4" s="29" t="inlineStr">
        <is>
          <t>CFS</t>
        </is>
      </c>
      <c r="H4" s="29" t="inlineStr">
        <is>
          <t>BS</t>
        </is>
      </c>
      <c r="I4" s="29" t="inlineStr">
        <is>
          <t>재무상태표</t>
        </is>
      </c>
      <c r="J4" s="29" t="inlineStr">
        <is>
          <t>ifrs-full_CashAndCashEquivalents</t>
        </is>
      </c>
      <c r="K4" s="29" t="inlineStr">
        <is>
          <t>현금및현금성자산</t>
        </is>
      </c>
      <c r="L4" s="29" t="inlineStr">
        <is>
          <t>-</t>
        </is>
      </c>
      <c r="M4" s="29" t="inlineStr">
        <is>
          <t>제 16 기</t>
        </is>
      </c>
      <c r="N4" s="29" t="inlineStr">
        <is>
          <t>7288235212.0</t>
        </is>
      </c>
      <c r="O4" s="29" t="inlineStr">
        <is>
          <t>27263621788.0</t>
        </is>
      </c>
      <c r="P4" s="29" t="inlineStr">
        <is>
          <t>KRW</t>
        </is>
      </c>
      <c r="Q4" s="29" t="inlineStr">
        <is>
          <t>2</t>
        </is>
      </c>
    </row>
    <row r="5" ht="24" customHeight="1">
      <c r="A5" s="24" t="inlineStr">
        <is>
          <t>OpenDART_fnlttSinglAcntAll</t>
        </is>
      </c>
      <c r="B5" s="24" t="inlineStr">
        <is>
          <t>00591441</t>
        </is>
      </c>
      <c r="C5" s="24" t="inlineStr">
        <is>
          <t>어보브반도체</t>
        </is>
      </c>
      <c r="D5" s="24" t="inlineStr">
        <is>
          <t>abov</t>
        </is>
      </c>
      <c r="E5" s="24" t="inlineStr">
        <is>
          <t>102120</t>
        </is>
      </c>
      <c r="F5" s="24" t="inlineStr">
        <is>
          <t>2021</t>
        </is>
      </c>
      <c r="G5" s="24" t="inlineStr">
        <is>
          <t>CFS</t>
        </is>
      </c>
      <c r="H5" s="24" t="inlineStr">
        <is>
          <t>BS</t>
        </is>
      </c>
      <c r="I5" s="24" t="inlineStr">
        <is>
          <t>재무상태표</t>
        </is>
      </c>
      <c r="J5" s="24" t="inlineStr">
        <is>
          <t>dart_ShortTermDepositsNotClassifiedAsCashEquivalents</t>
        </is>
      </c>
      <c r="K5" s="24" t="inlineStr">
        <is>
          <t>단기금융상품</t>
        </is>
      </c>
      <c r="L5" s="24" t="inlineStr">
        <is>
          <t>-</t>
        </is>
      </c>
      <c r="M5" s="24" t="inlineStr">
        <is>
          <t>제 16 기</t>
        </is>
      </c>
      <c r="N5" s="24" t="inlineStr">
        <is>
          <t>2004560900.0</t>
        </is>
      </c>
      <c r="O5" s="24" t="inlineStr">
        <is>
          <t>29764210500.0</t>
        </is>
      </c>
      <c r="P5" s="24" t="inlineStr">
        <is>
          <t>KRW</t>
        </is>
      </c>
      <c r="Q5" s="24" t="inlineStr">
        <is>
          <t>3</t>
        </is>
      </c>
    </row>
    <row r="6" ht="24" customHeight="1">
      <c r="A6" s="29" t="inlineStr">
        <is>
          <t>OpenDART_fnlttSinglAcntAll</t>
        </is>
      </c>
      <c r="B6" s="29" t="inlineStr">
        <is>
          <t>00591441</t>
        </is>
      </c>
      <c r="C6" s="29" t="inlineStr">
        <is>
          <t>어보브반도체</t>
        </is>
      </c>
      <c r="D6" s="29" t="inlineStr">
        <is>
          <t>abov</t>
        </is>
      </c>
      <c r="E6" s="29" t="inlineStr">
        <is>
          <t>102120</t>
        </is>
      </c>
      <c r="F6" s="29" t="inlineStr">
        <is>
          <t>2021</t>
        </is>
      </c>
      <c r="G6" s="29" t="inlineStr">
        <is>
          <t>CFS</t>
        </is>
      </c>
      <c r="H6" s="29" t="inlineStr">
        <is>
          <t>BS</t>
        </is>
      </c>
      <c r="I6" s="29" t="inlineStr">
        <is>
          <t>재무상태표</t>
        </is>
      </c>
      <c r="J6" s="29" t="inlineStr">
        <is>
          <t>ifrs-full_CurrentFinancialAssetsAtFairValueThroughProfitOrLossDesignatedUponInitialRecognition</t>
        </is>
      </c>
      <c r="K6" s="29" t="inlineStr">
        <is>
          <t>당기손익공정가치 측정 금융자산</t>
        </is>
      </c>
      <c r="L6" s="29" t="inlineStr">
        <is>
          <t>-</t>
        </is>
      </c>
      <c r="M6" s="29" t="inlineStr">
        <is>
          <t>제 16 기</t>
        </is>
      </c>
      <c r="N6" s="29" t="inlineStr">
        <is>
          <t>3506628809.0</t>
        </is>
      </c>
      <c r="O6" s="29" t="inlineStr">
        <is>
          <t>15710798434.0</t>
        </is>
      </c>
      <c r="P6" s="29" t="inlineStr">
        <is>
          <t>KRW</t>
        </is>
      </c>
      <c r="Q6" s="29" t="inlineStr">
        <is>
          <t>4</t>
        </is>
      </c>
    </row>
    <row r="7" ht="24" customHeight="1">
      <c r="A7" s="24" t="inlineStr">
        <is>
          <t>OpenDART_fnlttSinglAcntAll</t>
        </is>
      </c>
      <c r="B7" s="24" t="inlineStr">
        <is>
          <t>00591441</t>
        </is>
      </c>
      <c r="C7" s="24" t="inlineStr">
        <is>
          <t>어보브반도체</t>
        </is>
      </c>
      <c r="D7" s="24" t="inlineStr">
        <is>
          <t>abov</t>
        </is>
      </c>
      <c r="E7" s="24" t="inlineStr">
        <is>
          <t>102120</t>
        </is>
      </c>
      <c r="F7" s="24" t="inlineStr">
        <is>
          <t>2021</t>
        </is>
      </c>
      <c r="G7" s="24" t="inlineStr">
        <is>
          <t>CFS</t>
        </is>
      </c>
      <c r="H7" s="24" t="inlineStr">
        <is>
          <t>BS</t>
        </is>
      </c>
      <c r="I7" s="24" t="inlineStr">
        <is>
          <t>재무상태표</t>
        </is>
      </c>
      <c r="J7" s="24" t="inlineStr">
        <is>
          <t>ifrs-full_TradeAndOtherCurrentReceivables</t>
        </is>
      </c>
      <c r="K7" s="24" t="inlineStr">
        <is>
          <t>매출채권 및 기타채권</t>
        </is>
      </c>
      <c r="L7" s="24" t="inlineStr">
        <is>
          <t>-</t>
        </is>
      </c>
      <c r="M7" s="24" t="inlineStr">
        <is>
          <t>제 16 기</t>
        </is>
      </c>
      <c r="N7" s="24" t="inlineStr">
        <is>
          <t>24106232943.0</t>
        </is>
      </c>
      <c r="O7" s="24" t="inlineStr">
        <is>
          <t>15089902217.0</t>
        </is>
      </c>
      <c r="P7" s="24" t="inlineStr">
        <is>
          <t>KRW</t>
        </is>
      </c>
      <c r="Q7" s="24" t="inlineStr">
        <is>
          <t>5</t>
        </is>
      </c>
    </row>
    <row r="8" ht="24" customHeight="1">
      <c r="A8" s="29" t="inlineStr">
        <is>
          <t>OpenDART_fnlttSinglAcntAll</t>
        </is>
      </c>
      <c r="B8" s="29" t="inlineStr">
        <is>
          <t>00591441</t>
        </is>
      </c>
      <c r="C8" s="29" t="inlineStr">
        <is>
          <t>어보브반도체</t>
        </is>
      </c>
      <c r="D8" s="29" t="inlineStr">
        <is>
          <t>abov</t>
        </is>
      </c>
      <c r="E8" s="29" t="inlineStr">
        <is>
          <t>102120</t>
        </is>
      </c>
      <c r="F8" s="29" t="inlineStr">
        <is>
          <t>2021</t>
        </is>
      </c>
      <c r="G8" s="29" t="inlineStr">
        <is>
          <t>CFS</t>
        </is>
      </c>
      <c r="H8" s="29" t="inlineStr">
        <is>
          <t>BS</t>
        </is>
      </c>
      <c r="I8" s="29" t="inlineStr">
        <is>
          <t>재무상태표</t>
        </is>
      </c>
      <c r="J8" s="29" t="inlineStr">
        <is>
          <t>ifrs-full_Inventories</t>
        </is>
      </c>
      <c r="K8" s="29" t="inlineStr">
        <is>
          <t>재고자산</t>
        </is>
      </c>
      <c r="L8" s="29" t="inlineStr">
        <is>
          <t>-</t>
        </is>
      </c>
      <c r="M8" s="29" t="inlineStr">
        <is>
          <t>제 16 기</t>
        </is>
      </c>
      <c r="N8" s="29" t="inlineStr">
        <is>
          <t>16936902007.0</t>
        </is>
      </c>
      <c r="O8" s="29" t="inlineStr">
        <is>
          <t>15223207087.0</t>
        </is>
      </c>
      <c r="P8" s="29" t="inlineStr">
        <is>
          <t>KRW</t>
        </is>
      </c>
      <c r="Q8" s="29" t="inlineStr">
        <is>
          <t>6</t>
        </is>
      </c>
    </row>
    <row r="9" ht="24" customHeight="1">
      <c r="A9" s="24" t="inlineStr">
        <is>
          <t>OpenDART_fnlttSinglAcntAll</t>
        </is>
      </c>
      <c r="B9" s="24" t="inlineStr">
        <is>
          <t>00591441</t>
        </is>
      </c>
      <c r="C9" s="24" t="inlineStr">
        <is>
          <t>어보브반도체</t>
        </is>
      </c>
      <c r="D9" s="24" t="inlineStr">
        <is>
          <t>abov</t>
        </is>
      </c>
      <c r="E9" s="24" t="inlineStr">
        <is>
          <t>102120</t>
        </is>
      </c>
      <c r="F9" s="24" t="inlineStr">
        <is>
          <t>2021</t>
        </is>
      </c>
      <c r="G9" s="24" t="inlineStr">
        <is>
          <t>CFS</t>
        </is>
      </c>
      <c r="H9" s="24" t="inlineStr">
        <is>
          <t>BS</t>
        </is>
      </c>
      <c r="I9" s="24" t="inlineStr">
        <is>
          <t>재무상태표</t>
        </is>
      </c>
      <c r="J9" s="24" t="inlineStr">
        <is>
          <t>dart_OtherCurrentAssets</t>
        </is>
      </c>
      <c r="K9" s="24" t="inlineStr">
        <is>
          <t>기타유동자산</t>
        </is>
      </c>
      <c r="L9" s="24" t="inlineStr">
        <is>
          <t>-</t>
        </is>
      </c>
      <c r="M9" s="24" t="inlineStr">
        <is>
          <t>제 16 기</t>
        </is>
      </c>
      <c r="N9" s="24" t="inlineStr">
        <is>
          <t>4988007806.0</t>
        </is>
      </c>
      <c r="O9" s="24" t="inlineStr">
        <is>
          <t>2345024430.0</t>
        </is>
      </c>
      <c r="P9" s="24" t="inlineStr">
        <is>
          <t>KRW</t>
        </is>
      </c>
      <c r="Q9" s="24" t="inlineStr">
        <is>
          <t>7</t>
        </is>
      </c>
    </row>
    <row r="10" ht="24" customHeight="1">
      <c r="A10" s="29" t="inlineStr">
        <is>
          <t>OpenDART_fnlttSinglAcntAll</t>
        </is>
      </c>
      <c r="B10" s="29" t="inlineStr">
        <is>
          <t>00591441</t>
        </is>
      </c>
      <c r="C10" s="29" t="inlineStr">
        <is>
          <t>어보브반도체</t>
        </is>
      </c>
      <c r="D10" s="29" t="inlineStr">
        <is>
          <t>abov</t>
        </is>
      </c>
      <c r="E10" s="29" t="inlineStr">
        <is>
          <t>102120</t>
        </is>
      </c>
      <c r="F10" s="29" t="inlineStr">
        <is>
          <t>2021</t>
        </is>
      </c>
      <c r="G10" s="29" t="inlineStr">
        <is>
          <t>CFS</t>
        </is>
      </c>
      <c r="H10" s="29" t="inlineStr">
        <is>
          <t>BS</t>
        </is>
      </c>
      <c r="I10" s="29" t="inlineStr">
        <is>
          <t>재무상태표</t>
        </is>
      </c>
      <c r="J10" s="29" t="inlineStr">
        <is>
          <t>ifrs-full_NoncurrentAssets</t>
        </is>
      </c>
      <c r="K10" s="29" t="inlineStr">
        <is>
          <t>비유동자산</t>
        </is>
      </c>
      <c r="L10" s="29" t="inlineStr">
        <is>
          <t>-</t>
        </is>
      </c>
      <c r="M10" s="29" t="inlineStr">
        <is>
          <t>제 16 기</t>
        </is>
      </c>
      <c r="N10" s="29" t="inlineStr">
        <is>
          <t>75181356611.0</t>
        </is>
      </c>
      <c r="O10" s="29" t="inlineStr">
        <is>
          <t>34677950598.0</t>
        </is>
      </c>
      <c r="P10" s="29" t="inlineStr">
        <is>
          <t>KRW</t>
        </is>
      </c>
      <c r="Q10" s="29" t="inlineStr">
        <is>
          <t>8</t>
        </is>
      </c>
    </row>
    <row r="11" ht="24" customHeight="1">
      <c r="A11" s="24" t="inlineStr">
        <is>
          <t>OpenDART_fnlttSinglAcntAll</t>
        </is>
      </c>
      <c r="B11" s="24" t="inlineStr">
        <is>
          <t>00591441</t>
        </is>
      </c>
      <c r="C11" s="24" t="inlineStr">
        <is>
          <t>어보브반도체</t>
        </is>
      </c>
      <c r="D11" s="24" t="inlineStr">
        <is>
          <t>abov</t>
        </is>
      </c>
      <c r="E11" s="24" t="inlineStr">
        <is>
          <t>102120</t>
        </is>
      </c>
      <c r="F11" s="24" t="inlineStr">
        <is>
          <t>2021</t>
        </is>
      </c>
      <c r="G11" s="24" t="inlineStr">
        <is>
          <t>CFS</t>
        </is>
      </c>
      <c r="H11" s="24" t="inlineStr">
        <is>
          <t>BS</t>
        </is>
      </c>
      <c r="I11" s="24" t="inlineStr">
        <is>
          <t>재무상태표</t>
        </is>
      </c>
      <c r="J11" s="24" t="inlineStr">
        <is>
          <t>ifrs-full_NoncurrentFinancialAssetsMeasuredAtFairValueThroughOtherComprehensiveIncome</t>
        </is>
      </c>
      <c r="K11" s="24" t="inlineStr">
        <is>
          <t>기타포괄손익공정가치 측정 금융자산</t>
        </is>
      </c>
      <c r="L11" s="24" t="inlineStr">
        <is>
          <t>-</t>
        </is>
      </c>
      <c r="M11" s="24" t="inlineStr">
        <is>
          <t>제 16 기</t>
        </is>
      </c>
      <c r="N11" s="24" t="inlineStr">
        <is>
          <t>4720534249.0</t>
        </is>
      </c>
      <c r="O11" s="24" t="inlineStr">
        <is>
          <t>1565038706.0</t>
        </is>
      </c>
      <c r="P11" s="24" t="inlineStr">
        <is>
          <t>KRW</t>
        </is>
      </c>
      <c r="Q11" s="24" t="inlineStr">
        <is>
          <t>9</t>
        </is>
      </c>
    </row>
    <row r="12" ht="24" customHeight="1">
      <c r="A12" s="29" t="inlineStr">
        <is>
          <t>OpenDART_fnlttSinglAcntAll</t>
        </is>
      </c>
      <c r="B12" s="29" t="inlineStr">
        <is>
          <t>00591441</t>
        </is>
      </c>
      <c r="C12" s="29" t="inlineStr">
        <is>
          <t>어보브반도체</t>
        </is>
      </c>
      <c r="D12" s="29" t="inlineStr">
        <is>
          <t>abov</t>
        </is>
      </c>
      <c r="E12" s="29" t="inlineStr">
        <is>
          <t>102120</t>
        </is>
      </c>
      <c r="F12" s="29" t="inlineStr">
        <is>
          <t>2021</t>
        </is>
      </c>
      <c r="G12" s="29" t="inlineStr">
        <is>
          <t>CFS</t>
        </is>
      </c>
      <c r="H12" s="29" t="inlineStr">
        <is>
          <t>BS</t>
        </is>
      </c>
      <c r="I12" s="29" t="inlineStr">
        <is>
          <t>재무상태표</t>
        </is>
      </c>
      <c r="J12" s="29" t="inlineStr">
        <is>
          <t>ifrs-full_OtherNoncurrentFinancialAssets</t>
        </is>
      </c>
      <c r="K12" s="29" t="inlineStr">
        <is>
          <t>기타비유동금융자산</t>
        </is>
      </c>
      <c r="L12" s="29" t="inlineStr">
        <is>
          <t>-</t>
        </is>
      </c>
      <c r="M12" s="29" t="inlineStr">
        <is>
          <t>제 16 기</t>
        </is>
      </c>
      <c r="N12" s="29" t="inlineStr">
        <is>
          <t>3248758269.0</t>
        </is>
      </c>
      <c r="O12" s="29" t="inlineStr">
        <is>
          <t>1988918639.0</t>
        </is>
      </c>
      <c r="P12" s="29" t="inlineStr">
        <is>
          <t>KRW</t>
        </is>
      </c>
      <c r="Q12" s="29" t="inlineStr">
        <is>
          <t>10</t>
        </is>
      </c>
    </row>
    <row r="13" ht="24" customHeight="1">
      <c r="A13" s="24" t="inlineStr">
        <is>
          <t>OpenDART_fnlttSinglAcntAll</t>
        </is>
      </c>
      <c r="B13" s="24" t="inlineStr">
        <is>
          <t>00591441</t>
        </is>
      </c>
      <c r="C13" s="24" t="inlineStr">
        <is>
          <t>어보브반도체</t>
        </is>
      </c>
      <c r="D13" s="24" t="inlineStr">
        <is>
          <t>abov</t>
        </is>
      </c>
      <c r="E13" s="24" t="inlineStr">
        <is>
          <t>102120</t>
        </is>
      </c>
      <c r="F13" s="24" t="inlineStr">
        <is>
          <t>2021</t>
        </is>
      </c>
      <c r="G13" s="24" t="inlineStr">
        <is>
          <t>CFS</t>
        </is>
      </c>
      <c r="H13" s="24" t="inlineStr">
        <is>
          <t>BS</t>
        </is>
      </c>
      <c r="I13" s="24" t="inlineStr">
        <is>
          <t>재무상태표</t>
        </is>
      </c>
      <c r="J13" s="24" t="inlineStr">
        <is>
          <t>ifrs-full_InvestmentsInAssociates</t>
        </is>
      </c>
      <c r="K13" s="24" t="inlineStr">
        <is>
          <t>관계기업에 대한 투자자산</t>
        </is>
      </c>
      <c r="L13" s="24" t="inlineStr">
        <is>
          <t>-</t>
        </is>
      </c>
      <c r="M13" s="24" t="inlineStr">
        <is>
          <t>제 16 기</t>
        </is>
      </c>
      <c r="N13" s="24" t="inlineStr">
        <is>
          <t>46161565945.0</t>
        </is>
      </c>
      <c r="O13" s="24" t="inlineStr">
        <is>
          <t>8848960067.0</t>
        </is>
      </c>
      <c r="P13" s="24" t="inlineStr">
        <is>
          <t>KRW</t>
        </is>
      </c>
      <c r="Q13" s="24" t="inlineStr">
        <is>
          <t>11</t>
        </is>
      </c>
    </row>
    <row r="14" ht="24" customHeight="1">
      <c r="A14" s="29" t="inlineStr">
        <is>
          <t>OpenDART_fnlttSinglAcntAll</t>
        </is>
      </c>
      <c r="B14" s="29" t="inlineStr">
        <is>
          <t>00591441</t>
        </is>
      </c>
      <c r="C14" s="29" t="inlineStr">
        <is>
          <t>어보브반도체</t>
        </is>
      </c>
      <c r="D14" s="29" t="inlineStr">
        <is>
          <t>abov</t>
        </is>
      </c>
      <c r="E14" s="29" t="inlineStr">
        <is>
          <t>102120</t>
        </is>
      </c>
      <c r="F14" s="29" t="inlineStr">
        <is>
          <t>2021</t>
        </is>
      </c>
      <c r="G14" s="29" t="inlineStr">
        <is>
          <t>CFS</t>
        </is>
      </c>
      <c r="H14" s="29" t="inlineStr">
        <is>
          <t>BS</t>
        </is>
      </c>
      <c r="I14" s="29" t="inlineStr">
        <is>
          <t>재무상태표</t>
        </is>
      </c>
      <c r="J14" s="29" t="inlineStr">
        <is>
          <t>ifrs-full_PropertyPlantAndEquipment</t>
        </is>
      </c>
      <c r="K14" s="29" t="inlineStr">
        <is>
          <t>유형자산</t>
        </is>
      </c>
      <c r="L14" s="29" t="inlineStr">
        <is>
          <t>-</t>
        </is>
      </c>
      <c r="M14" s="29" t="inlineStr">
        <is>
          <t>제 16 기</t>
        </is>
      </c>
      <c r="N14" s="29" t="inlineStr">
        <is>
          <t>2263771303.0</t>
        </is>
      </c>
      <c r="O14" s="29" t="inlineStr">
        <is>
          <t>2638124555.0</t>
        </is>
      </c>
      <c r="P14" s="29" t="inlineStr">
        <is>
          <t>KRW</t>
        </is>
      </c>
      <c r="Q14" s="29" t="inlineStr">
        <is>
          <t>12</t>
        </is>
      </c>
    </row>
    <row r="15" ht="24" customHeight="1">
      <c r="A15" s="24" t="inlineStr">
        <is>
          <t>OpenDART_fnlttSinglAcntAll</t>
        </is>
      </c>
      <c r="B15" s="24" t="inlineStr">
        <is>
          <t>00591441</t>
        </is>
      </c>
      <c r="C15" s="24" t="inlineStr">
        <is>
          <t>어보브반도체</t>
        </is>
      </c>
      <c r="D15" s="24" t="inlineStr">
        <is>
          <t>abov</t>
        </is>
      </c>
      <c r="E15" s="24" t="inlineStr">
        <is>
          <t>102120</t>
        </is>
      </c>
      <c r="F15" s="24" t="inlineStr">
        <is>
          <t>2021</t>
        </is>
      </c>
      <c r="G15" s="24" t="inlineStr">
        <is>
          <t>CFS</t>
        </is>
      </c>
      <c r="H15" s="24" t="inlineStr">
        <is>
          <t>BS</t>
        </is>
      </c>
      <c r="I15" s="24" t="inlineStr">
        <is>
          <t>재무상태표</t>
        </is>
      </c>
      <c r="J15" s="24" t="inlineStr">
        <is>
          <t>ifrs-full_IntangibleAssetsOtherThanGoodwill</t>
        </is>
      </c>
      <c r="K15" s="24" t="inlineStr">
        <is>
          <t>무형자산</t>
        </is>
      </c>
      <c r="L15" s="24" t="inlineStr">
        <is>
          <t>-</t>
        </is>
      </c>
      <c r="M15" s="24" t="inlineStr">
        <is>
          <t>제 16 기</t>
        </is>
      </c>
      <c r="N15" s="24" t="inlineStr">
        <is>
          <t>8892226141.0</t>
        </is>
      </c>
      <c r="O15" s="24" t="inlineStr">
        <is>
          <t>11286848049.0</t>
        </is>
      </c>
      <c r="P15" s="24" t="inlineStr">
        <is>
          <t>KRW</t>
        </is>
      </c>
      <c r="Q15" s="24" t="inlineStr">
        <is>
          <t>13</t>
        </is>
      </c>
    </row>
    <row r="16" ht="24" customHeight="1">
      <c r="A16" s="29" t="inlineStr">
        <is>
          <t>OpenDART_fnlttSinglAcntAll</t>
        </is>
      </c>
      <c r="B16" s="29" t="inlineStr">
        <is>
          <t>00591441</t>
        </is>
      </c>
      <c r="C16" s="29" t="inlineStr">
        <is>
          <t>어보브반도체</t>
        </is>
      </c>
      <c r="D16" s="29" t="inlineStr">
        <is>
          <t>abov</t>
        </is>
      </c>
      <c r="E16" s="29" t="inlineStr">
        <is>
          <t>102120</t>
        </is>
      </c>
      <c r="F16" s="29" t="inlineStr">
        <is>
          <t>2021</t>
        </is>
      </c>
      <c r="G16" s="29" t="inlineStr">
        <is>
          <t>CFS</t>
        </is>
      </c>
      <c r="H16" s="29" t="inlineStr">
        <is>
          <t>BS</t>
        </is>
      </c>
      <c r="I16" s="29" t="inlineStr">
        <is>
          <t>재무상태표</t>
        </is>
      </c>
      <c r="J16" s="29" t="inlineStr">
        <is>
          <t>ifrs-full_RightofuseAssets</t>
        </is>
      </c>
      <c r="K16" s="29" t="inlineStr">
        <is>
          <t>사용권자산</t>
        </is>
      </c>
      <c r="L16" s="29" t="inlineStr">
        <is>
          <t>-</t>
        </is>
      </c>
      <c r="M16" s="29" t="inlineStr">
        <is>
          <t>제 16 기</t>
        </is>
      </c>
      <c r="N16" s="29" t="inlineStr">
        <is>
          <t>422032966.0</t>
        </is>
      </c>
      <c r="O16" s="29" t="inlineStr">
        <is>
          <t>935181761.0</t>
        </is>
      </c>
      <c r="P16" s="29" t="inlineStr">
        <is>
          <t>KRW</t>
        </is>
      </c>
      <c r="Q16" s="29" t="inlineStr">
        <is>
          <t>14</t>
        </is>
      </c>
    </row>
    <row r="17" ht="24" customHeight="1">
      <c r="A17" s="24" t="inlineStr">
        <is>
          <t>OpenDART_fnlttSinglAcntAll</t>
        </is>
      </c>
      <c r="B17" s="24" t="inlineStr">
        <is>
          <t>00591441</t>
        </is>
      </c>
      <c r="C17" s="24" t="inlineStr">
        <is>
          <t>어보브반도체</t>
        </is>
      </c>
      <c r="D17" s="24" t="inlineStr">
        <is>
          <t>abov</t>
        </is>
      </c>
      <c r="E17" s="24" t="inlineStr">
        <is>
          <t>102120</t>
        </is>
      </c>
      <c r="F17" s="24" t="inlineStr">
        <is>
          <t>2021</t>
        </is>
      </c>
      <c r="G17" s="24" t="inlineStr">
        <is>
          <t>CFS</t>
        </is>
      </c>
      <c r="H17" s="24" t="inlineStr">
        <is>
          <t>BS</t>
        </is>
      </c>
      <c r="I17" s="24" t="inlineStr">
        <is>
          <t>재무상태표</t>
        </is>
      </c>
      <c r="J17" s="24" t="inlineStr">
        <is>
          <t>dart_OtherNonCurrentAssets</t>
        </is>
      </c>
      <c r="K17" s="24" t="inlineStr">
        <is>
          <t>기타비유동자산</t>
        </is>
      </c>
      <c r="L17" s="24" t="inlineStr">
        <is>
          <t>-</t>
        </is>
      </c>
      <c r="M17" s="24" t="inlineStr">
        <is>
          <t>제 16 기</t>
        </is>
      </c>
      <c r="N17" s="24" t="inlineStr">
        <is>
          <t>915335523.0</t>
        </is>
      </c>
      <c r="O17" s="24" t="inlineStr">
        <is>
          <t>1285839599.0</t>
        </is>
      </c>
      <c r="P17" s="24" t="inlineStr">
        <is>
          <t>KRW</t>
        </is>
      </c>
      <c r="Q17" s="24" t="inlineStr">
        <is>
          <t>15</t>
        </is>
      </c>
    </row>
    <row r="18" ht="24" customHeight="1">
      <c r="A18" s="29" t="inlineStr">
        <is>
          <t>OpenDART_fnlttSinglAcntAll</t>
        </is>
      </c>
      <c r="B18" s="29" t="inlineStr">
        <is>
          <t>00591441</t>
        </is>
      </c>
      <c r="C18" s="29" t="inlineStr">
        <is>
          <t>어보브반도체</t>
        </is>
      </c>
      <c r="D18" s="29" t="inlineStr">
        <is>
          <t>abov</t>
        </is>
      </c>
      <c r="E18" s="29" t="inlineStr">
        <is>
          <t>102120</t>
        </is>
      </c>
      <c r="F18" s="29" t="inlineStr">
        <is>
          <t>2021</t>
        </is>
      </c>
      <c r="G18" s="29" t="inlineStr">
        <is>
          <t>CFS</t>
        </is>
      </c>
      <c r="H18" s="29" t="inlineStr">
        <is>
          <t>BS</t>
        </is>
      </c>
      <c r="I18" s="29" t="inlineStr">
        <is>
          <t>재무상태표</t>
        </is>
      </c>
      <c r="J18" s="29" t="inlineStr">
        <is>
          <t>ifrs-full_DeferredTaxAssets</t>
        </is>
      </c>
      <c r="K18" s="29" t="inlineStr">
        <is>
          <t>이연법인세자산</t>
        </is>
      </c>
      <c r="L18" s="29" t="inlineStr">
        <is>
          <t>-</t>
        </is>
      </c>
      <c r="M18" s="29" t="inlineStr">
        <is>
          <t>제 16 기</t>
        </is>
      </c>
      <c r="N18" s="29" t="inlineStr">
        <is>
          <t>8557132215.0</t>
        </is>
      </c>
      <c r="O18" s="29" t="inlineStr">
        <is>
          <t>6129039222.0</t>
        </is>
      </c>
      <c r="P18" s="29" t="inlineStr">
        <is>
          <t>KRW</t>
        </is>
      </c>
      <c r="Q18" s="29" t="inlineStr">
        <is>
          <t>16</t>
        </is>
      </c>
    </row>
    <row r="19" ht="24" customHeight="1">
      <c r="A19" s="24" t="inlineStr">
        <is>
          <t>OpenDART_fnlttSinglAcntAll</t>
        </is>
      </c>
      <c r="B19" s="24" t="inlineStr">
        <is>
          <t>00591441</t>
        </is>
      </c>
      <c r="C19" s="24" t="inlineStr">
        <is>
          <t>어보브반도체</t>
        </is>
      </c>
      <c r="D19" s="24" t="inlineStr">
        <is>
          <t>abov</t>
        </is>
      </c>
      <c r="E19" s="24" t="inlineStr">
        <is>
          <t>102120</t>
        </is>
      </c>
      <c r="F19" s="24" t="inlineStr">
        <is>
          <t>2021</t>
        </is>
      </c>
      <c r="G19" s="24" t="inlineStr">
        <is>
          <t>CFS</t>
        </is>
      </c>
      <c r="H19" s="24" t="inlineStr">
        <is>
          <t>BS</t>
        </is>
      </c>
      <c r="I19" s="24" t="inlineStr">
        <is>
          <t>재무상태표</t>
        </is>
      </c>
      <c r="J19" s="24" t="inlineStr">
        <is>
          <t>ifrs-full_NoncurrentFinancialAssetsAtFairValueThroughProfitOrLossDesignatedUponInitialRecognition</t>
        </is>
      </c>
      <c r="K19" s="24" t="inlineStr">
        <is>
          <t>당기손익공정가치 측정 금융자산</t>
        </is>
      </c>
      <c r="L19" s="24" t="inlineStr">
        <is>
          <t>-</t>
        </is>
      </c>
      <c r="M19" s="24" t="inlineStr">
        <is>
          <t>제 16 기</t>
        </is>
      </c>
      <c r="N19" s="24" t="inlineStr">
        <is>
          <t>해당 없음</t>
        </is>
      </c>
      <c r="O19" s="24" t="inlineStr">
        <is>
          <t>해당 없음</t>
        </is>
      </c>
      <c r="P19" s="24" t="inlineStr">
        <is>
          <t>KRW</t>
        </is>
      </c>
      <c r="Q19" s="24" t="inlineStr">
        <is>
          <t>17</t>
        </is>
      </c>
    </row>
    <row r="20" ht="24" customHeight="1">
      <c r="A20" s="29" t="inlineStr">
        <is>
          <t>OpenDART_fnlttSinglAcntAll</t>
        </is>
      </c>
      <c r="B20" s="29" t="inlineStr">
        <is>
          <t>00591441</t>
        </is>
      </c>
      <c r="C20" s="29" t="inlineStr">
        <is>
          <t>어보브반도체</t>
        </is>
      </c>
      <c r="D20" s="29" t="inlineStr">
        <is>
          <t>abov</t>
        </is>
      </c>
      <c r="E20" s="29" t="inlineStr">
        <is>
          <t>102120</t>
        </is>
      </c>
      <c r="F20" s="29" t="inlineStr">
        <is>
          <t>2021</t>
        </is>
      </c>
      <c r="G20" s="29" t="inlineStr">
        <is>
          <t>CFS</t>
        </is>
      </c>
      <c r="H20" s="29" t="inlineStr">
        <is>
          <t>BS</t>
        </is>
      </c>
      <c r="I20" s="29" t="inlineStr">
        <is>
          <t>재무상태표</t>
        </is>
      </c>
      <c r="J20" s="29" t="inlineStr">
        <is>
          <t>ifrs-full_Assets</t>
        </is>
      </c>
      <c r="K20" s="29" t="inlineStr">
        <is>
          <t>자산총계</t>
        </is>
      </c>
      <c r="L20" s="29" t="inlineStr">
        <is>
          <t>-</t>
        </is>
      </c>
      <c r="M20" s="29" t="inlineStr">
        <is>
          <t>제 16 기</t>
        </is>
      </c>
      <c r="N20" s="29" t="inlineStr">
        <is>
          <t>134011924288.0</t>
        </is>
      </c>
      <c r="O20" s="29" t="inlineStr">
        <is>
          <t>140074715054.0</t>
        </is>
      </c>
      <c r="P20" s="29" t="inlineStr">
        <is>
          <t>KRW</t>
        </is>
      </c>
      <c r="Q20" s="29" t="inlineStr">
        <is>
          <t>18</t>
        </is>
      </c>
    </row>
    <row r="21" ht="24" customHeight="1">
      <c r="A21" s="24" t="inlineStr">
        <is>
          <t>OpenDART_fnlttSinglAcntAll</t>
        </is>
      </c>
      <c r="B21" s="24" t="inlineStr">
        <is>
          <t>00591441</t>
        </is>
      </c>
      <c r="C21" s="24" t="inlineStr">
        <is>
          <t>어보브반도체</t>
        </is>
      </c>
      <c r="D21" s="24" t="inlineStr">
        <is>
          <t>abov</t>
        </is>
      </c>
      <c r="E21" s="24" t="inlineStr">
        <is>
          <t>102120</t>
        </is>
      </c>
      <c r="F21" s="24" t="inlineStr">
        <is>
          <t>2021</t>
        </is>
      </c>
      <c r="G21" s="24" t="inlineStr">
        <is>
          <t>CFS</t>
        </is>
      </c>
      <c r="H21" s="24" t="inlineStr">
        <is>
          <t>BS</t>
        </is>
      </c>
      <c r="I21" s="24" t="inlineStr">
        <is>
          <t>재무상태표</t>
        </is>
      </c>
      <c r="J21" s="24" t="inlineStr">
        <is>
          <t>ifrs-full_CurrentLiabilities</t>
        </is>
      </c>
      <c r="K21" s="24" t="inlineStr">
        <is>
          <t>유동부채</t>
        </is>
      </c>
      <c r="L21" s="24" t="inlineStr">
        <is>
          <t>-</t>
        </is>
      </c>
      <c r="M21" s="24" t="inlineStr">
        <is>
          <t>제 16 기</t>
        </is>
      </c>
      <c r="N21" s="24" t="inlineStr">
        <is>
          <t>20457920197.0</t>
        </is>
      </c>
      <c r="O21" s="24" t="inlineStr">
        <is>
          <t>36879089468.0</t>
        </is>
      </c>
      <c r="P21" s="24" t="inlineStr">
        <is>
          <t>KRW</t>
        </is>
      </c>
      <c r="Q21" s="24" t="inlineStr">
        <is>
          <t>20</t>
        </is>
      </c>
    </row>
    <row r="22" ht="24" customHeight="1">
      <c r="A22" s="29" t="inlineStr">
        <is>
          <t>OpenDART_fnlttSinglAcntAll</t>
        </is>
      </c>
      <c r="B22" s="29" t="inlineStr">
        <is>
          <t>00591441</t>
        </is>
      </c>
      <c r="C22" s="29" t="inlineStr">
        <is>
          <t>어보브반도체</t>
        </is>
      </c>
      <c r="D22" s="29" t="inlineStr">
        <is>
          <t>abov</t>
        </is>
      </c>
      <c r="E22" s="29" t="inlineStr">
        <is>
          <t>102120</t>
        </is>
      </c>
      <c r="F22" s="29" t="inlineStr">
        <is>
          <t>2021</t>
        </is>
      </c>
      <c r="G22" s="29" t="inlineStr">
        <is>
          <t>CFS</t>
        </is>
      </c>
      <c r="H22" s="29" t="inlineStr">
        <is>
          <t>BS</t>
        </is>
      </c>
      <c r="I22" s="29" t="inlineStr">
        <is>
          <t>재무상태표</t>
        </is>
      </c>
      <c r="J22" s="29" t="inlineStr">
        <is>
          <t>ifrs-full_TradeAndOtherCurrentPayables</t>
        </is>
      </c>
      <c r="K22" s="29" t="inlineStr">
        <is>
          <t>매입채무 및 기타채무</t>
        </is>
      </c>
      <c r="L22" s="29" t="inlineStr">
        <is>
          <t>-</t>
        </is>
      </c>
      <c r="M22" s="29" t="inlineStr">
        <is>
          <t>제 16 기</t>
        </is>
      </c>
      <c r="N22" s="29" t="inlineStr">
        <is>
          <t>17895139021.0</t>
        </is>
      </c>
      <c r="O22" s="29" t="inlineStr">
        <is>
          <t>13757666846.0</t>
        </is>
      </c>
      <c r="P22" s="29" t="inlineStr">
        <is>
          <t>KRW</t>
        </is>
      </c>
      <c r="Q22" s="29" t="inlineStr">
        <is>
          <t>21</t>
        </is>
      </c>
    </row>
    <row r="23" ht="24" customHeight="1">
      <c r="A23" s="24" t="inlineStr">
        <is>
          <t>OpenDART_fnlttSinglAcntAll</t>
        </is>
      </c>
      <c r="B23" s="24" t="inlineStr">
        <is>
          <t>00591441</t>
        </is>
      </c>
      <c r="C23" s="24" t="inlineStr">
        <is>
          <t>어보브반도체</t>
        </is>
      </c>
      <c r="D23" s="24" t="inlineStr">
        <is>
          <t>abov</t>
        </is>
      </c>
      <c r="E23" s="24" t="inlineStr">
        <is>
          <t>102120</t>
        </is>
      </c>
      <c r="F23" s="24" t="inlineStr">
        <is>
          <t>2021</t>
        </is>
      </c>
      <c r="G23" s="24" t="inlineStr">
        <is>
          <t>CFS</t>
        </is>
      </c>
      <c r="H23" s="24" t="inlineStr">
        <is>
          <t>BS</t>
        </is>
      </c>
      <c r="I23" s="24" t="inlineStr">
        <is>
          <t>재무상태표</t>
        </is>
      </c>
      <c r="J23" s="24" t="inlineStr">
        <is>
          <t>ifrs-full_ShorttermBorrowings</t>
        </is>
      </c>
      <c r="K23" s="24" t="inlineStr">
        <is>
          <t>단기차입금</t>
        </is>
      </c>
      <c r="L23" s="24" t="inlineStr">
        <is>
          <t>-</t>
        </is>
      </c>
      <c r="M23" s="24" t="inlineStr">
        <is>
          <t>제 16 기</t>
        </is>
      </c>
      <c r="N23" s="24" t="inlineStr">
        <is>
          <t>해당 없음</t>
        </is>
      </c>
      <c r="O23" s="24" t="inlineStr">
        <is>
          <t>21760000000.0</t>
        </is>
      </c>
      <c r="P23" s="24" t="inlineStr">
        <is>
          <t>KRW</t>
        </is>
      </c>
      <c r="Q23" s="24" t="inlineStr">
        <is>
          <t>22</t>
        </is>
      </c>
    </row>
    <row r="24" ht="24" customHeight="1">
      <c r="A24" s="29" t="inlineStr">
        <is>
          <t>OpenDART_fnlttSinglAcntAll</t>
        </is>
      </c>
      <c r="B24" s="29" t="inlineStr">
        <is>
          <t>00591441</t>
        </is>
      </c>
      <c r="C24" s="29" t="inlineStr">
        <is>
          <t>어보브반도체</t>
        </is>
      </c>
      <c r="D24" s="29" t="inlineStr">
        <is>
          <t>abov</t>
        </is>
      </c>
      <c r="E24" s="29" t="inlineStr">
        <is>
          <t>102120</t>
        </is>
      </c>
      <c r="F24" s="29" t="inlineStr">
        <is>
          <t>2021</t>
        </is>
      </c>
      <c r="G24" s="29" t="inlineStr">
        <is>
          <t>CFS</t>
        </is>
      </c>
      <c r="H24" s="29" t="inlineStr">
        <is>
          <t>BS</t>
        </is>
      </c>
      <c r="I24" s="29" t="inlineStr">
        <is>
          <t>재무상태표</t>
        </is>
      </c>
      <c r="J24" s="29" t="inlineStr">
        <is>
          <t>ifrs-full_CurrentLeaseLiabilities</t>
        </is>
      </c>
      <c r="K24" s="29" t="inlineStr">
        <is>
          <t>유동리스부채</t>
        </is>
      </c>
      <c r="L24" s="29" t="inlineStr">
        <is>
          <t>-</t>
        </is>
      </c>
      <c r="M24" s="29" t="inlineStr">
        <is>
          <t>제 16 기</t>
        </is>
      </c>
      <c r="N24" s="29" t="inlineStr">
        <is>
          <t>296042821.0</t>
        </is>
      </c>
      <c r="O24" s="29" t="inlineStr">
        <is>
          <t>707618447.0</t>
        </is>
      </c>
      <c r="P24" s="29" t="inlineStr">
        <is>
          <t>KRW</t>
        </is>
      </c>
      <c r="Q24" s="29" t="inlineStr">
        <is>
          <t>23</t>
        </is>
      </c>
    </row>
    <row r="25" ht="24" customHeight="1">
      <c r="A25" s="24" t="inlineStr">
        <is>
          <t>OpenDART_fnlttSinglAcntAll</t>
        </is>
      </c>
      <c r="B25" s="24" t="inlineStr">
        <is>
          <t>00591441</t>
        </is>
      </c>
      <c r="C25" s="24" t="inlineStr">
        <is>
          <t>어보브반도체</t>
        </is>
      </c>
      <c r="D25" s="24" t="inlineStr">
        <is>
          <t>abov</t>
        </is>
      </c>
      <c r="E25" s="24" t="inlineStr">
        <is>
          <t>102120</t>
        </is>
      </c>
      <c r="F25" s="24" t="inlineStr">
        <is>
          <t>2021</t>
        </is>
      </c>
      <c r="G25" s="24" t="inlineStr">
        <is>
          <t>CFS</t>
        </is>
      </c>
      <c r="H25" s="24" t="inlineStr">
        <is>
          <t>BS</t>
        </is>
      </c>
      <c r="I25" s="24" t="inlineStr">
        <is>
          <t>재무상태표</t>
        </is>
      </c>
      <c r="J25" s="24" t="inlineStr">
        <is>
          <t>ifrs-full_CurrentTaxLiabilities</t>
        </is>
      </c>
      <c r="K25" s="24" t="inlineStr">
        <is>
          <t>당기법인세부채</t>
        </is>
      </c>
      <c r="L25" s="24" t="inlineStr">
        <is>
          <t>-</t>
        </is>
      </c>
      <c r="M25" s="24" t="inlineStr">
        <is>
          <t>제 16 기</t>
        </is>
      </c>
      <c r="N25" s="24" t="inlineStr">
        <is>
          <t>2051506138.0</t>
        </is>
      </c>
      <c r="O25" s="24" t="inlineStr">
        <is>
          <t>238015699.0</t>
        </is>
      </c>
      <c r="P25" s="24" t="inlineStr">
        <is>
          <t>KRW</t>
        </is>
      </c>
      <c r="Q25" s="24" t="inlineStr">
        <is>
          <t>24</t>
        </is>
      </c>
    </row>
    <row r="26" ht="24" customHeight="1">
      <c r="A26" s="29" t="inlineStr">
        <is>
          <t>OpenDART_fnlttSinglAcntAll</t>
        </is>
      </c>
      <c r="B26" s="29" t="inlineStr">
        <is>
          <t>00591441</t>
        </is>
      </c>
      <c r="C26" s="29" t="inlineStr">
        <is>
          <t>어보브반도체</t>
        </is>
      </c>
      <c r="D26" s="29" t="inlineStr">
        <is>
          <t>abov</t>
        </is>
      </c>
      <c r="E26" s="29" t="inlineStr">
        <is>
          <t>102120</t>
        </is>
      </c>
      <c r="F26" s="29" t="inlineStr">
        <is>
          <t>2021</t>
        </is>
      </c>
      <c r="G26" s="29" t="inlineStr">
        <is>
          <t>CFS</t>
        </is>
      </c>
      <c r="H26" s="29" t="inlineStr">
        <is>
          <t>BS</t>
        </is>
      </c>
      <c r="I26" s="29" t="inlineStr">
        <is>
          <t>재무상태표</t>
        </is>
      </c>
      <c r="J26" s="29" t="inlineStr">
        <is>
          <t>dart_OtherCurrentLiabilities</t>
        </is>
      </c>
      <c r="K26" s="29" t="inlineStr">
        <is>
          <t>기타유동부채</t>
        </is>
      </c>
      <c r="L26" s="29" t="inlineStr">
        <is>
          <t>-</t>
        </is>
      </c>
      <c r="M26" s="29" t="inlineStr">
        <is>
          <t>제 16 기</t>
        </is>
      </c>
      <c r="N26" s="29" t="inlineStr">
        <is>
          <t>215232217.0</t>
        </is>
      </c>
      <c r="O26" s="29" t="inlineStr">
        <is>
          <t>415788476.0</t>
        </is>
      </c>
      <c r="P26" s="29" t="inlineStr">
        <is>
          <t>KRW</t>
        </is>
      </c>
      <c r="Q26" s="29" t="inlineStr">
        <is>
          <t>25</t>
        </is>
      </c>
    </row>
    <row r="27" ht="24" customHeight="1">
      <c r="A27" s="24" t="inlineStr">
        <is>
          <t>OpenDART_fnlttSinglAcntAll</t>
        </is>
      </c>
      <c r="B27" s="24" t="inlineStr">
        <is>
          <t>00591441</t>
        </is>
      </c>
      <c r="C27" s="24" t="inlineStr">
        <is>
          <t>어보브반도체</t>
        </is>
      </c>
      <c r="D27" s="24" t="inlineStr">
        <is>
          <t>abov</t>
        </is>
      </c>
      <c r="E27" s="24" t="inlineStr">
        <is>
          <t>102120</t>
        </is>
      </c>
      <c r="F27" s="24" t="inlineStr">
        <is>
          <t>2021</t>
        </is>
      </c>
      <c r="G27" s="24" t="inlineStr">
        <is>
          <t>CFS</t>
        </is>
      </c>
      <c r="H27" s="24" t="inlineStr">
        <is>
          <t>BS</t>
        </is>
      </c>
      <c r="I27" s="24" t="inlineStr">
        <is>
          <t>재무상태표</t>
        </is>
      </c>
      <c r="J27" s="24" t="inlineStr">
        <is>
          <t>ifrs-full_NoncurrentLiabilities</t>
        </is>
      </c>
      <c r="K27" s="24" t="inlineStr">
        <is>
          <t>비유동부채</t>
        </is>
      </c>
      <c r="L27" s="24" t="inlineStr">
        <is>
          <t>-</t>
        </is>
      </c>
      <c r="M27" s="24" t="inlineStr">
        <is>
          <t>제 16 기</t>
        </is>
      </c>
      <c r="N27" s="24" t="inlineStr">
        <is>
          <t>1725243833.0</t>
        </is>
      </c>
      <c r="O27" s="24" t="inlineStr">
        <is>
          <t>1864773995.0</t>
        </is>
      </c>
      <c r="P27" s="24" t="inlineStr">
        <is>
          <t>KRW</t>
        </is>
      </c>
      <c r="Q27" s="24" t="inlineStr">
        <is>
          <t>26</t>
        </is>
      </c>
    </row>
    <row r="28" ht="24" customHeight="1">
      <c r="A28" s="29" t="inlineStr">
        <is>
          <t>OpenDART_fnlttSinglAcntAll</t>
        </is>
      </c>
      <c r="B28" s="29" t="inlineStr">
        <is>
          <t>00591441</t>
        </is>
      </c>
      <c r="C28" s="29" t="inlineStr">
        <is>
          <t>어보브반도체</t>
        </is>
      </c>
      <c r="D28" s="29" t="inlineStr">
        <is>
          <t>abov</t>
        </is>
      </c>
      <c r="E28" s="29" t="inlineStr">
        <is>
          <t>102120</t>
        </is>
      </c>
      <c r="F28" s="29" t="inlineStr">
        <is>
          <t>2021</t>
        </is>
      </c>
      <c r="G28" s="29" t="inlineStr">
        <is>
          <t>CFS</t>
        </is>
      </c>
      <c r="H28" s="29" t="inlineStr">
        <is>
          <t>BS</t>
        </is>
      </c>
      <c r="I28" s="29" t="inlineStr">
        <is>
          <t>재무상태표</t>
        </is>
      </c>
      <c r="J28" s="29" t="inlineStr">
        <is>
          <t>ifrs-full_NoncurrentLeaseLiabilities</t>
        </is>
      </c>
      <c r="K28" s="29" t="inlineStr">
        <is>
          <t>비유동리스부채</t>
        </is>
      </c>
      <c r="L28" s="29" t="inlineStr">
        <is>
          <t>-</t>
        </is>
      </c>
      <c r="M28" s="29" t="inlineStr">
        <is>
          <t>제 16 기</t>
        </is>
      </c>
      <c r="N28" s="29" t="inlineStr">
        <is>
          <t>75072012.0</t>
        </is>
      </c>
      <c r="O28" s="29" t="inlineStr">
        <is>
          <t>210642400.0</t>
        </is>
      </c>
      <c r="P28" s="29" t="inlineStr">
        <is>
          <t>KRW</t>
        </is>
      </c>
      <c r="Q28" s="29" t="inlineStr">
        <is>
          <t>27</t>
        </is>
      </c>
    </row>
    <row r="29" ht="24" customHeight="1">
      <c r="A29" s="24" t="inlineStr">
        <is>
          <t>OpenDART_fnlttSinglAcntAll</t>
        </is>
      </c>
      <c r="B29" s="24" t="inlineStr">
        <is>
          <t>00591441</t>
        </is>
      </c>
      <c r="C29" s="24" t="inlineStr">
        <is>
          <t>어보브반도체</t>
        </is>
      </c>
      <c r="D29" s="24" t="inlineStr">
        <is>
          <t>abov</t>
        </is>
      </c>
      <c r="E29" s="24" t="inlineStr">
        <is>
          <t>102120</t>
        </is>
      </c>
      <c r="F29" s="24" t="inlineStr">
        <is>
          <t>2021</t>
        </is>
      </c>
      <c r="G29" s="24" t="inlineStr">
        <is>
          <t>CFS</t>
        </is>
      </c>
      <c r="H29" s="24" t="inlineStr">
        <is>
          <t>BS</t>
        </is>
      </c>
      <c r="I29" s="24" t="inlineStr">
        <is>
          <t>재무상태표</t>
        </is>
      </c>
      <c r="J29" s="24" t="inlineStr">
        <is>
          <t>ifrs-full_OtherNoncurrentFinancialLiabilities</t>
        </is>
      </c>
      <c r="K29" s="24" t="inlineStr">
        <is>
          <t>기타비유동금융부채</t>
        </is>
      </c>
      <c r="L29" s="24" t="inlineStr">
        <is>
          <t>-</t>
        </is>
      </c>
      <c r="M29" s="24" t="inlineStr">
        <is>
          <t>제 16 기</t>
        </is>
      </c>
      <c r="N29" s="24" t="inlineStr">
        <is>
          <t>458999075.0</t>
        </is>
      </c>
      <c r="O29" s="24" t="inlineStr">
        <is>
          <t>527685038.0</t>
        </is>
      </c>
      <c r="P29" s="24" t="inlineStr">
        <is>
          <t>KRW</t>
        </is>
      </c>
      <c r="Q29" s="24" t="inlineStr">
        <is>
          <t>28</t>
        </is>
      </c>
    </row>
    <row r="30" ht="24" customHeight="1">
      <c r="A30" s="29" t="inlineStr">
        <is>
          <t>OpenDART_fnlttSinglAcntAll</t>
        </is>
      </c>
      <c r="B30" s="29" t="inlineStr">
        <is>
          <t>00591441</t>
        </is>
      </c>
      <c r="C30" s="29" t="inlineStr">
        <is>
          <t>어보브반도체</t>
        </is>
      </c>
      <c r="D30" s="29" t="inlineStr">
        <is>
          <t>abov</t>
        </is>
      </c>
      <c r="E30" s="29" t="inlineStr">
        <is>
          <t>102120</t>
        </is>
      </c>
      <c r="F30" s="29" t="inlineStr">
        <is>
          <t>2021</t>
        </is>
      </c>
      <c r="G30" s="29" t="inlineStr">
        <is>
          <t>CFS</t>
        </is>
      </c>
      <c r="H30" s="29" t="inlineStr">
        <is>
          <t>BS</t>
        </is>
      </c>
      <c r="I30" s="29" t="inlineStr">
        <is>
          <t>재무상태표</t>
        </is>
      </c>
      <c r="J30" s="29" t="inlineStr">
        <is>
          <t>dart_PresentValueOfDefinedBenefitObligation</t>
        </is>
      </c>
      <c r="K30" s="29" t="inlineStr">
        <is>
          <t>확정급여채무</t>
        </is>
      </c>
      <c r="L30" s="29" t="inlineStr">
        <is>
          <t>-</t>
        </is>
      </c>
      <c r="M30" s="29" t="inlineStr">
        <is>
          <t>제 16 기</t>
        </is>
      </c>
      <c r="N30" s="29" t="inlineStr">
        <is>
          <t>1091903660.0</t>
        </is>
      </c>
      <c r="O30" s="29" t="inlineStr">
        <is>
          <t>990896354.0</t>
        </is>
      </c>
      <c r="P30" s="29" t="inlineStr">
        <is>
          <t>KRW</t>
        </is>
      </c>
      <c r="Q30" s="29" t="inlineStr">
        <is>
          <t>29</t>
        </is>
      </c>
    </row>
    <row r="31" ht="24" customHeight="1">
      <c r="A31" s="24" t="inlineStr">
        <is>
          <t>OpenDART_fnlttSinglAcntAll</t>
        </is>
      </c>
      <c r="B31" s="24" t="inlineStr">
        <is>
          <t>00591441</t>
        </is>
      </c>
      <c r="C31" s="24" t="inlineStr">
        <is>
          <t>어보브반도체</t>
        </is>
      </c>
      <c r="D31" s="24" t="inlineStr">
        <is>
          <t>abov</t>
        </is>
      </c>
      <c r="E31" s="24" t="inlineStr">
        <is>
          <t>102120</t>
        </is>
      </c>
      <c r="F31" s="24" t="inlineStr">
        <is>
          <t>2021</t>
        </is>
      </c>
      <c r="G31" s="24" t="inlineStr">
        <is>
          <t>CFS</t>
        </is>
      </c>
      <c r="H31" s="24" t="inlineStr">
        <is>
          <t>BS</t>
        </is>
      </c>
      <c r="I31" s="24" t="inlineStr">
        <is>
          <t>재무상태표</t>
        </is>
      </c>
      <c r="J31" s="24" t="inlineStr">
        <is>
          <t>dart_OtherNonCurrentLiabilities</t>
        </is>
      </c>
      <c r="K31" s="24" t="inlineStr">
        <is>
          <t>기타비유동부채</t>
        </is>
      </c>
      <c r="L31" s="24" t="inlineStr">
        <is>
          <t>-</t>
        </is>
      </c>
      <c r="M31" s="24" t="inlineStr">
        <is>
          <t>제 16 기</t>
        </is>
      </c>
      <c r="N31" s="24" t="inlineStr">
        <is>
          <t>99269086.0</t>
        </is>
      </c>
      <c r="O31" s="24" t="inlineStr">
        <is>
          <t>135550203.0</t>
        </is>
      </c>
      <c r="P31" s="24" t="inlineStr">
        <is>
          <t>KRW</t>
        </is>
      </c>
      <c r="Q31" s="24" t="inlineStr">
        <is>
          <t>30</t>
        </is>
      </c>
    </row>
    <row r="32" ht="24" customHeight="1">
      <c r="A32" s="29" t="inlineStr">
        <is>
          <t>OpenDART_fnlttSinglAcntAll</t>
        </is>
      </c>
      <c r="B32" s="29" t="inlineStr">
        <is>
          <t>00591441</t>
        </is>
      </c>
      <c r="C32" s="29" t="inlineStr">
        <is>
          <t>어보브반도체</t>
        </is>
      </c>
      <c r="D32" s="29" t="inlineStr">
        <is>
          <t>abov</t>
        </is>
      </c>
      <c r="E32" s="29" t="inlineStr">
        <is>
          <t>102120</t>
        </is>
      </c>
      <c r="F32" s="29" t="inlineStr">
        <is>
          <t>2021</t>
        </is>
      </c>
      <c r="G32" s="29" t="inlineStr">
        <is>
          <t>CFS</t>
        </is>
      </c>
      <c r="H32" s="29" t="inlineStr">
        <is>
          <t>BS</t>
        </is>
      </c>
      <c r="I32" s="29" t="inlineStr">
        <is>
          <t>재무상태표</t>
        </is>
      </c>
      <c r="J32" s="29" t="inlineStr">
        <is>
          <t>ifrs-full_Liabilities</t>
        </is>
      </c>
      <c r="K32" s="29" t="inlineStr">
        <is>
          <t>부채총계</t>
        </is>
      </c>
      <c r="L32" s="29" t="inlineStr">
        <is>
          <t>-</t>
        </is>
      </c>
      <c r="M32" s="29" t="inlineStr">
        <is>
          <t>제 16 기</t>
        </is>
      </c>
      <c r="N32" s="29" t="inlineStr">
        <is>
          <t>22183164030.0</t>
        </is>
      </c>
      <c r="O32" s="29" t="inlineStr">
        <is>
          <t>38743863463.0</t>
        </is>
      </c>
      <c r="P32" s="29" t="inlineStr">
        <is>
          <t>KRW</t>
        </is>
      </c>
      <c r="Q32" s="29" t="inlineStr">
        <is>
          <t>31</t>
        </is>
      </c>
    </row>
    <row r="33" ht="24" customHeight="1">
      <c r="A33" s="24" t="inlineStr">
        <is>
          <t>OpenDART_fnlttSinglAcntAll</t>
        </is>
      </c>
      <c r="B33" s="24" t="inlineStr">
        <is>
          <t>00591441</t>
        </is>
      </c>
      <c r="C33" s="24" t="inlineStr">
        <is>
          <t>어보브반도체</t>
        </is>
      </c>
      <c r="D33" s="24" t="inlineStr">
        <is>
          <t>abov</t>
        </is>
      </c>
      <c r="E33" s="24" t="inlineStr">
        <is>
          <t>102120</t>
        </is>
      </c>
      <c r="F33" s="24" t="inlineStr">
        <is>
          <t>2021</t>
        </is>
      </c>
      <c r="G33" s="24" t="inlineStr">
        <is>
          <t>CFS</t>
        </is>
      </c>
      <c r="H33" s="24" t="inlineStr">
        <is>
          <t>BS</t>
        </is>
      </c>
      <c r="I33" s="24" t="inlineStr">
        <is>
          <t>재무상태표</t>
        </is>
      </c>
      <c r="J33" s="24" t="inlineStr">
        <is>
          <t>ifrs-full_IssuedCapital</t>
        </is>
      </c>
      <c r="K33" s="24" t="inlineStr">
        <is>
          <t>자본금</t>
        </is>
      </c>
      <c r="L33" s="24" t="inlineStr">
        <is>
          <t>-</t>
        </is>
      </c>
      <c r="M33" s="24" t="inlineStr">
        <is>
          <t>제 16 기</t>
        </is>
      </c>
      <c r="N33" s="24" t="inlineStr">
        <is>
          <t>8729826500.0</t>
        </is>
      </c>
      <c r="O33" s="24" t="inlineStr">
        <is>
          <t>8729826500.0</t>
        </is>
      </c>
      <c r="P33" s="24" t="inlineStr">
        <is>
          <t>KRW</t>
        </is>
      </c>
      <c r="Q33" s="24" t="inlineStr">
        <is>
          <t>34</t>
        </is>
      </c>
    </row>
    <row r="34" ht="24" customHeight="1">
      <c r="A34" s="29" t="inlineStr">
        <is>
          <t>OpenDART_fnlttSinglAcntAll</t>
        </is>
      </c>
      <c r="B34" s="29" t="inlineStr">
        <is>
          <t>00591441</t>
        </is>
      </c>
      <c r="C34" s="29" t="inlineStr">
        <is>
          <t>어보브반도체</t>
        </is>
      </c>
      <c r="D34" s="29" t="inlineStr">
        <is>
          <t>abov</t>
        </is>
      </c>
      <c r="E34" s="29" t="inlineStr">
        <is>
          <t>102120</t>
        </is>
      </c>
      <c r="F34" s="29" t="inlineStr">
        <is>
          <t>2021</t>
        </is>
      </c>
      <c r="G34" s="29" t="inlineStr">
        <is>
          <t>CFS</t>
        </is>
      </c>
      <c r="H34" s="29" t="inlineStr">
        <is>
          <t>BS</t>
        </is>
      </c>
      <c r="I34" s="29" t="inlineStr">
        <is>
          <t>재무상태표</t>
        </is>
      </c>
      <c r="J34" s="29" t="inlineStr">
        <is>
          <t>dart_CapitalSurplus</t>
        </is>
      </c>
      <c r="K34" s="29" t="inlineStr">
        <is>
          <t>자본잉여금</t>
        </is>
      </c>
      <c r="L34" s="29" t="inlineStr">
        <is>
          <t>-</t>
        </is>
      </c>
      <c r="M34" s="29" t="inlineStr">
        <is>
          <t>제 16 기</t>
        </is>
      </c>
      <c r="N34" s="29" t="inlineStr">
        <is>
          <t>23084044791.0</t>
        </is>
      </c>
      <c r="O34" s="29" t="inlineStr">
        <is>
          <t>23084044791.0</t>
        </is>
      </c>
      <c r="P34" s="29" t="inlineStr">
        <is>
          <t>KRW</t>
        </is>
      </c>
      <c r="Q34" s="29" t="inlineStr">
        <is>
          <t>35</t>
        </is>
      </c>
    </row>
    <row r="35" ht="24" customHeight="1">
      <c r="A35" s="24" t="inlineStr">
        <is>
          <t>OpenDART_fnlttSinglAcntAll</t>
        </is>
      </c>
      <c r="B35" s="24" t="inlineStr">
        <is>
          <t>00591441</t>
        </is>
      </c>
      <c r="C35" s="24" t="inlineStr">
        <is>
          <t>어보브반도체</t>
        </is>
      </c>
      <c r="D35" s="24" t="inlineStr">
        <is>
          <t>abov</t>
        </is>
      </c>
      <c r="E35" s="24" t="inlineStr">
        <is>
          <t>102120</t>
        </is>
      </c>
      <c r="F35" s="24" t="inlineStr">
        <is>
          <t>2021</t>
        </is>
      </c>
      <c r="G35" s="24" t="inlineStr">
        <is>
          <t>CFS</t>
        </is>
      </c>
      <c r="H35" s="24" t="inlineStr">
        <is>
          <t>BS</t>
        </is>
      </c>
      <c r="I35" s="24" t="inlineStr">
        <is>
          <t>재무상태표</t>
        </is>
      </c>
      <c r="J35" s="24" t="inlineStr">
        <is>
          <t>dart_ElementsOfOtherStockholdersEquity</t>
        </is>
      </c>
      <c r="K35" s="24" t="inlineStr">
        <is>
          <t>기타자본항목</t>
        </is>
      </c>
      <c r="L35" s="24" t="inlineStr">
        <is>
          <t>-</t>
        </is>
      </c>
      <c r="M35" s="24" t="inlineStr">
        <is>
          <t>제 16 기</t>
        </is>
      </c>
      <c r="N35" s="24" t="inlineStr">
        <is>
          <t>-4477193500.0</t>
        </is>
      </c>
      <c r="O35" s="24" t="inlineStr">
        <is>
          <t>-4856498814.0</t>
        </is>
      </c>
      <c r="P35" s="24" t="inlineStr">
        <is>
          <t>KRW</t>
        </is>
      </c>
      <c r="Q35" s="24" t="inlineStr">
        <is>
          <t>36</t>
        </is>
      </c>
    </row>
    <row r="36" ht="24" customHeight="1">
      <c r="A36" s="29" t="inlineStr">
        <is>
          <t>OpenDART_fnlttSinglAcntAll</t>
        </is>
      </c>
      <c r="B36" s="29" t="inlineStr">
        <is>
          <t>00591441</t>
        </is>
      </c>
      <c r="C36" s="29" t="inlineStr">
        <is>
          <t>어보브반도체</t>
        </is>
      </c>
      <c r="D36" s="29" t="inlineStr">
        <is>
          <t>abov</t>
        </is>
      </c>
      <c r="E36" s="29" t="inlineStr">
        <is>
          <t>102120</t>
        </is>
      </c>
      <c r="F36" s="29" t="inlineStr">
        <is>
          <t>2021</t>
        </is>
      </c>
      <c r="G36" s="29" t="inlineStr">
        <is>
          <t>CFS</t>
        </is>
      </c>
      <c r="H36" s="29" t="inlineStr">
        <is>
          <t>BS</t>
        </is>
      </c>
      <c r="I36" s="29" t="inlineStr">
        <is>
          <t>재무상태표</t>
        </is>
      </c>
      <c r="J36" s="29" t="inlineStr">
        <is>
          <t>dart_OtherComprehensiveIncomeLossAccumulatedAmount</t>
        </is>
      </c>
      <c r="K36" s="29" t="inlineStr">
        <is>
          <t>기타포괄손익누계액</t>
        </is>
      </c>
      <c r="L36" s="29" t="inlineStr">
        <is>
          <t>-</t>
        </is>
      </c>
      <c r="M36" s="29" t="inlineStr">
        <is>
          <t>제 16 기</t>
        </is>
      </c>
      <c r="N36" s="29" t="inlineStr">
        <is>
          <t>151459276.0</t>
        </is>
      </c>
      <c r="O36" s="29" t="inlineStr">
        <is>
          <t>-290649334.0</t>
        </is>
      </c>
      <c r="P36" s="29" t="inlineStr">
        <is>
          <t>KRW</t>
        </is>
      </c>
      <c r="Q36" s="29" t="inlineStr">
        <is>
          <t>37</t>
        </is>
      </c>
    </row>
    <row r="37" ht="24" customHeight="1">
      <c r="A37" s="24" t="inlineStr">
        <is>
          <t>OpenDART_fnlttSinglAcntAll</t>
        </is>
      </c>
      <c r="B37" s="24" t="inlineStr">
        <is>
          <t>00591441</t>
        </is>
      </c>
      <c r="C37" s="24" t="inlineStr">
        <is>
          <t>어보브반도체</t>
        </is>
      </c>
      <c r="D37" s="24" t="inlineStr">
        <is>
          <t>abov</t>
        </is>
      </c>
      <c r="E37" s="24" t="inlineStr">
        <is>
          <t>102120</t>
        </is>
      </c>
      <c r="F37" s="24" t="inlineStr">
        <is>
          <t>2021</t>
        </is>
      </c>
      <c r="G37" s="24" t="inlineStr">
        <is>
          <t>CFS</t>
        </is>
      </c>
      <c r="H37" s="24" t="inlineStr">
        <is>
          <t>BS</t>
        </is>
      </c>
      <c r="I37" s="24" t="inlineStr">
        <is>
          <t>재무상태표</t>
        </is>
      </c>
      <c r="J37" s="24" t="inlineStr">
        <is>
          <t>ifrs-full_RetainedEarnings</t>
        </is>
      </c>
      <c r="K37" s="24" t="inlineStr">
        <is>
          <t>이익잉여금(결손금)</t>
        </is>
      </c>
      <c r="L37" s="24" t="inlineStr">
        <is>
          <t>-</t>
        </is>
      </c>
      <c r="M37" s="24" t="inlineStr">
        <is>
          <t>제 16 기</t>
        </is>
      </c>
      <c r="N37" s="24" t="inlineStr">
        <is>
          <t>84340623191.0</t>
        </is>
      </c>
      <c r="O37" s="24" t="inlineStr">
        <is>
          <t>74664128448.0</t>
        </is>
      </c>
      <c r="P37" s="24" t="inlineStr">
        <is>
          <t>KRW</t>
        </is>
      </c>
      <c r="Q37" s="24" t="inlineStr">
        <is>
          <t>38</t>
        </is>
      </c>
    </row>
    <row r="38" ht="24" customHeight="1">
      <c r="A38" s="29" t="inlineStr">
        <is>
          <t>OpenDART_fnlttSinglAcntAll</t>
        </is>
      </c>
      <c r="B38" s="29" t="inlineStr">
        <is>
          <t>00591441</t>
        </is>
      </c>
      <c r="C38" s="29" t="inlineStr">
        <is>
          <t>어보브반도체</t>
        </is>
      </c>
      <c r="D38" s="29" t="inlineStr">
        <is>
          <t>abov</t>
        </is>
      </c>
      <c r="E38" s="29" t="inlineStr">
        <is>
          <t>102120</t>
        </is>
      </c>
      <c r="F38" s="29" t="inlineStr">
        <is>
          <t>2021</t>
        </is>
      </c>
      <c r="G38" s="29" t="inlineStr">
        <is>
          <t>CFS</t>
        </is>
      </c>
      <c r="H38" s="29" t="inlineStr">
        <is>
          <t>BS</t>
        </is>
      </c>
      <c r="I38" s="29" t="inlineStr">
        <is>
          <t>재무상태표</t>
        </is>
      </c>
      <c r="J38" s="29" t="inlineStr">
        <is>
          <t>ifrs-full_Equity</t>
        </is>
      </c>
      <c r="K38" s="29" t="inlineStr">
        <is>
          <t>자본총계</t>
        </is>
      </c>
      <c r="L38" s="29" t="inlineStr">
        <is>
          <t>-</t>
        </is>
      </c>
      <c r="M38" s="29" t="inlineStr">
        <is>
          <t>제 16 기</t>
        </is>
      </c>
      <c r="N38" s="29" t="inlineStr">
        <is>
          <t>111828760258.0</t>
        </is>
      </c>
      <c r="O38" s="29" t="inlineStr">
        <is>
          <t>101330851591.0</t>
        </is>
      </c>
      <c r="P38" s="29" t="inlineStr">
        <is>
          <t>KRW</t>
        </is>
      </c>
      <c r="Q38" s="29" t="inlineStr">
        <is>
          <t>39</t>
        </is>
      </c>
    </row>
    <row r="39" ht="24" customHeight="1">
      <c r="A39" s="24" t="inlineStr">
        <is>
          <t>OpenDART_fnlttSinglAcntAll</t>
        </is>
      </c>
      <c r="B39" s="24" t="inlineStr">
        <is>
          <t>00591441</t>
        </is>
      </c>
      <c r="C39" s="24" t="inlineStr">
        <is>
          <t>어보브반도체</t>
        </is>
      </c>
      <c r="D39" s="24" t="inlineStr">
        <is>
          <t>abov</t>
        </is>
      </c>
      <c r="E39" s="24" t="inlineStr">
        <is>
          <t>102120</t>
        </is>
      </c>
      <c r="F39" s="24" t="inlineStr">
        <is>
          <t>2021</t>
        </is>
      </c>
      <c r="G39" s="24" t="inlineStr">
        <is>
          <t>CFS</t>
        </is>
      </c>
      <c r="H39" s="24" t="inlineStr">
        <is>
          <t>BS</t>
        </is>
      </c>
      <c r="I39" s="24" t="inlineStr">
        <is>
          <t>재무상태표</t>
        </is>
      </c>
      <c r="J39" s="24" t="inlineStr">
        <is>
          <t>ifrs-full_EquityAndLiabilities</t>
        </is>
      </c>
      <c r="K39" s="24" t="inlineStr">
        <is>
          <t>자본과부채총계</t>
        </is>
      </c>
      <c r="L39" s="24" t="inlineStr">
        <is>
          <t>-</t>
        </is>
      </c>
      <c r="M39" s="24" t="inlineStr">
        <is>
          <t>제 16 기</t>
        </is>
      </c>
      <c r="N39" s="24" t="inlineStr">
        <is>
          <t>134011924288.0</t>
        </is>
      </c>
      <c r="O39" s="24" t="inlineStr">
        <is>
          <t>140074715054.0</t>
        </is>
      </c>
      <c r="P39" s="24" t="inlineStr">
        <is>
          <t>KRW</t>
        </is>
      </c>
      <c r="Q39" s="24" t="inlineStr">
        <is>
          <t>40</t>
        </is>
      </c>
    </row>
    <row r="40" ht="24" customHeight="1">
      <c r="A40" s="29" t="inlineStr">
        <is>
          <t>OpenDART_fnlttSinglAcntAll</t>
        </is>
      </c>
      <c r="B40" s="29" t="inlineStr">
        <is>
          <t>00591441</t>
        </is>
      </c>
      <c r="C40" s="29" t="inlineStr">
        <is>
          <t>어보브반도체</t>
        </is>
      </c>
      <c r="D40" s="29" t="inlineStr">
        <is>
          <t>abov</t>
        </is>
      </c>
      <c r="E40" s="29" t="inlineStr">
        <is>
          <t>102120</t>
        </is>
      </c>
      <c r="F40" s="29" t="inlineStr">
        <is>
          <t>2021</t>
        </is>
      </c>
      <c r="G40" s="29" t="inlineStr">
        <is>
          <t>CFS</t>
        </is>
      </c>
      <c r="H40" s="29" t="inlineStr">
        <is>
          <t>CIS</t>
        </is>
      </c>
      <c r="I40" s="29" t="inlineStr">
        <is>
          <t>포괄손익계산서</t>
        </is>
      </c>
      <c r="J40" s="29" t="inlineStr">
        <is>
          <t>ifrs-full_Revenue</t>
        </is>
      </c>
      <c r="K40" s="29" t="inlineStr">
        <is>
          <t>수익(매출액)</t>
        </is>
      </c>
      <c r="L40" s="29" t="inlineStr">
        <is>
          <t>-</t>
        </is>
      </c>
      <c r="M40" s="29" t="inlineStr">
        <is>
          <t>제 16 기</t>
        </is>
      </c>
      <c r="N40" s="29" t="inlineStr">
        <is>
          <t>167498755290.0</t>
        </is>
      </c>
      <c r="O40" s="29" t="inlineStr">
        <is>
          <t>144189878982.0</t>
        </is>
      </c>
      <c r="P40" s="29" t="inlineStr">
        <is>
          <t>KRW</t>
        </is>
      </c>
      <c r="Q40" s="29" t="inlineStr">
        <is>
          <t>0</t>
        </is>
      </c>
    </row>
    <row r="41" ht="24" customHeight="1">
      <c r="A41" s="24" t="inlineStr">
        <is>
          <t>OpenDART_fnlttSinglAcntAll</t>
        </is>
      </c>
      <c r="B41" s="24" t="inlineStr">
        <is>
          <t>00591441</t>
        </is>
      </c>
      <c r="C41" s="24" t="inlineStr">
        <is>
          <t>어보브반도체</t>
        </is>
      </c>
      <c r="D41" s="24" t="inlineStr">
        <is>
          <t>abov</t>
        </is>
      </c>
      <c r="E41" s="24" t="inlineStr">
        <is>
          <t>102120</t>
        </is>
      </c>
      <c r="F41" s="24" t="inlineStr">
        <is>
          <t>2021</t>
        </is>
      </c>
      <c r="G41" s="24" t="inlineStr">
        <is>
          <t>CFS</t>
        </is>
      </c>
      <c r="H41" s="24" t="inlineStr">
        <is>
          <t>CIS</t>
        </is>
      </c>
      <c r="I41" s="24" t="inlineStr">
        <is>
          <t>포괄손익계산서</t>
        </is>
      </c>
      <c r="J41" s="24" t="inlineStr">
        <is>
          <t>dart_RevenueFromSaleOfGoodsProduct</t>
        </is>
      </c>
      <c r="K41" s="24" t="inlineStr">
        <is>
          <t>제품매출액</t>
        </is>
      </c>
      <c r="L41" s="24" t="inlineStr">
        <is>
          <t>-</t>
        </is>
      </c>
      <c r="M41" s="24" t="inlineStr">
        <is>
          <t>제 16 기</t>
        </is>
      </c>
      <c r="N41" s="24" t="inlineStr">
        <is>
          <t>167267327333.0</t>
        </is>
      </c>
      <c r="O41" s="24" t="inlineStr">
        <is>
          <t>144024266563.0</t>
        </is>
      </c>
      <c r="P41" s="24" t="inlineStr">
        <is>
          <t>KRW</t>
        </is>
      </c>
      <c r="Q41" s="24" t="inlineStr">
        <is>
          <t>1</t>
        </is>
      </c>
    </row>
    <row r="42" ht="24" customHeight="1">
      <c r="A42" s="29" t="inlineStr">
        <is>
          <t>OpenDART_fnlttSinglAcntAll</t>
        </is>
      </c>
      <c r="B42" s="29" t="inlineStr">
        <is>
          <t>00591441</t>
        </is>
      </c>
      <c r="C42" s="29" t="inlineStr">
        <is>
          <t>어보브반도체</t>
        </is>
      </c>
      <c r="D42" s="29" t="inlineStr">
        <is>
          <t>abov</t>
        </is>
      </c>
      <c r="E42" s="29" t="inlineStr">
        <is>
          <t>102120</t>
        </is>
      </c>
      <c r="F42" s="29" t="inlineStr">
        <is>
          <t>2021</t>
        </is>
      </c>
      <c r="G42" s="29" t="inlineStr">
        <is>
          <t>CFS</t>
        </is>
      </c>
      <c r="H42" s="29" t="inlineStr">
        <is>
          <t>CIS</t>
        </is>
      </c>
      <c r="I42" s="29" t="inlineStr">
        <is>
          <t>포괄손익계산서</t>
        </is>
      </c>
      <c r="J42" s="29" t="inlineStr">
        <is>
          <t>dart_RevenueFromSaleOfGoodsMerchandise</t>
        </is>
      </c>
      <c r="K42" s="29" t="inlineStr">
        <is>
          <t>상품매출액</t>
        </is>
      </c>
      <c r="L42" s="29" t="inlineStr">
        <is>
          <t>-</t>
        </is>
      </c>
      <c r="M42" s="29" t="inlineStr">
        <is>
          <t>제 16 기</t>
        </is>
      </c>
      <c r="N42" s="29" t="inlineStr">
        <is>
          <t>231427957.0</t>
        </is>
      </c>
      <c r="O42" s="29" t="inlineStr">
        <is>
          <t>165612419.0</t>
        </is>
      </c>
      <c r="P42" s="29" t="inlineStr">
        <is>
          <t>KRW</t>
        </is>
      </c>
      <c r="Q42" s="29" t="inlineStr">
        <is>
          <t>2</t>
        </is>
      </c>
    </row>
    <row r="43" ht="24" customHeight="1">
      <c r="A43" s="24" t="inlineStr">
        <is>
          <t>OpenDART_fnlttSinglAcntAll</t>
        </is>
      </c>
      <c r="B43" s="24" t="inlineStr">
        <is>
          <t>00591441</t>
        </is>
      </c>
      <c r="C43" s="24" t="inlineStr">
        <is>
          <t>어보브반도체</t>
        </is>
      </c>
      <c r="D43" s="24" t="inlineStr">
        <is>
          <t>abov</t>
        </is>
      </c>
      <c r="E43" s="24" t="inlineStr">
        <is>
          <t>102120</t>
        </is>
      </c>
      <c r="F43" s="24" t="inlineStr">
        <is>
          <t>2021</t>
        </is>
      </c>
      <c r="G43" s="24" t="inlineStr">
        <is>
          <t>CFS</t>
        </is>
      </c>
      <c r="H43" s="24" t="inlineStr">
        <is>
          <t>CIS</t>
        </is>
      </c>
      <c r="I43" s="24" t="inlineStr">
        <is>
          <t>포괄손익계산서</t>
        </is>
      </c>
      <c r="J43" s="24" t="inlineStr">
        <is>
          <t>ifrs-full_CostOfSales</t>
        </is>
      </c>
      <c r="K43" s="24" t="inlineStr">
        <is>
          <t>매출원가</t>
        </is>
      </c>
      <c r="L43" s="24" t="inlineStr">
        <is>
          <t>-</t>
        </is>
      </c>
      <c r="M43" s="24" t="inlineStr">
        <is>
          <t>제 16 기</t>
        </is>
      </c>
      <c r="N43" s="24" t="inlineStr">
        <is>
          <t>124604690161.0</t>
        </is>
      </c>
      <c r="O43" s="24" t="inlineStr">
        <is>
          <t>103299856080.0</t>
        </is>
      </c>
      <c r="P43" s="24" t="inlineStr">
        <is>
          <t>KRW</t>
        </is>
      </c>
      <c r="Q43" s="24" t="inlineStr">
        <is>
          <t>3</t>
        </is>
      </c>
    </row>
    <row r="44" ht="24" customHeight="1">
      <c r="A44" s="29" t="inlineStr">
        <is>
          <t>OpenDART_fnlttSinglAcntAll</t>
        </is>
      </c>
      <c r="B44" s="29" t="inlineStr">
        <is>
          <t>00591441</t>
        </is>
      </c>
      <c r="C44" s="29" t="inlineStr">
        <is>
          <t>어보브반도체</t>
        </is>
      </c>
      <c r="D44" s="29" t="inlineStr">
        <is>
          <t>abov</t>
        </is>
      </c>
      <c r="E44" s="29" t="inlineStr">
        <is>
          <t>102120</t>
        </is>
      </c>
      <c r="F44" s="29" t="inlineStr">
        <is>
          <t>2021</t>
        </is>
      </c>
      <c r="G44" s="29" t="inlineStr">
        <is>
          <t>CFS</t>
        </is>
      </c>
      <c r="H44" s="29" t="inlineStr">
        <is>
          <t>CIS</t>
        </is>
      </c>
      <c r="I44" s="29" t="inlineStr">
        <is>
          <t>포괄손익계산서</t>
        </is>
      </c>
      <c r="J44" s="29" t="inlineStr">
        <is>
          <t>dart_CostOfSalesFromSaleOfGoodsProduct</t>
        </is>
      </c>
      <c r="K44" s="29" t="inlineStr">
        <is>
          <t>제품매출원가</t>
        </is>
      </c>
      <c r="L44" s="29" t="inlineStr">
        <is>
          <t>-</t>
        </is>
      </c>
      <c r="M44" s="29" t="inlineStr">
        <is>
          <t>제 16 기</t>
        </is>
      </c>
      <c r="N44" s="29" t="inlineStr">
        <is>
          <t>124361899822.0</t>
        </is>
      </c>
      <c r="O44" s="29" t="inlineStr">
        <is>
          <t>103089470940.0</t>
        </is>
      </c>
      <c r="P44" s="29" t="inlineStr">
        <is>
          <t>KRW</t>
        </is>
      </c>
      <c r="Q44" s="29" t="inlineStr">
        <is>
          <t>4</t>
        </is>
      </c>
    </row>
    <row r="45" ht="24" customHeight="1">
      <c r="A45" s="24" t="inlineStr">
        <is>
          <t>OpenDART_fnlttSinglAcntAll</t>
        </is>
      </c>
      <c r="B45" s="24" t="inlineStr">
        <is>
          <t>00591441</t>
        </is>
      </c>
      <c r="C45" s="24" t="inlineStr">
        <is>
          <t>어보브반도체</t>
        </is>
      </c>
      <c r="D45" s="24" t="inlineStr">
        <is>
          <t>abov</t>
        </is>
      </c>
      <c r="E45" s="24" t="inlineStr">
        <is>
          <t>102120</t>
        </is>
      </c>
      <c r="F45" s="24" t="inlineStr">
        <is>
          <t>2021</t>
        </is>
      </c>
      <c r="G45" s="24" t="inlineStr">
        <is>
          <t>CFS</t>
        </is>
      </c>
      <c r="H45" s="24" t="inlineStr">
        <is>
          <t>CIS</t>
        </is>
      </c>
      <c r="I45" s="24" t="inlineStr">
        <is>
          <t>포괄손익계산서</t>
        </is>
      </c>
      <c r="J45" s="24" t="inlineStr">
        <is>
          <t>dart_CostOfSalesFromSaleOfGoodsMerchandises</t>
        </is>
      </c>
      <c r="K45" s="24" t="inlineStr">
        <is>
          <t>상품매출원가</t>
        </is>
      </c>
      <c r="L45" s="24" t="inlineStr">
        <is>
          <t>-</t>
        </is>
      </c>
      <c r="M45" s="24" t="inlineStr">
        <is>
          <t>제 16 기</t>
        </is>
      </c>
      <c r="N45" s="24" t="inlineStr">
        <is>
          <t>242790339.0</t>
        </is>
      </c>
      <c r="O45" s="24" t="inlineStr">
        <is>
          <t>210385140.0</t>
        </is>
      </c>
      <c r="P45" s="24" t="inlineStr">
        <is>
          <t>KRW</t>
        </is>
      </c>
      <c r="Q45" s="24" t="inlineStr">
        <is>
          <t>5</t>
        </is>
      </c>
    </row>
    <row r="46" ht="24" customHeight="1">
      <c r="A46" s="29" t="inlineStr">
        <is>
          <t>OpenDART_fnlttSinglAcntAll</t>
        </is>
      </c>
      <c r="B46" s="29" t="inlineStr">
        <is>
          <t>00591441</t>
        </is>
      </c>
      <c r="C46" s="29" t="inlineStr">
        <is>
          <t>어보브반도체</t>
        </is>
      </c>
      <c r="D46" s="29" t="inlineStr">
        <is>
          <t>abov</t>
        </is>
      </c>
      <c r="E46" s="29" t="inlineStr">
        <is>
          <t>102120</t>
        </is>
      </c>
      <c r="F46" s="29" t="inlineStr">
        <is>
          <t>2021</t>
        </is>
      </c>
      <c r="G46" s="29" t="inlineStr">
        <is>
          <t>CFS</t>
        </is>
      </c>
      <c r="H46" s="29" t="inlineStr">
        <is>
          <t>CIS</t>
        </is>
      </c>
      <c r="I46" s="29" t="inlineStr">
        <is>
          <t>포괄손익계산서</t>
        </is>
      </c>
      <c r="J46" s="29" t="inlineStr">
        <is>
          <t>ifrs-full_GrossProfit</t>
        </is>
      </c>
      <c r="K46" s="29" t="inlineStr">
        <is>
          <t>매출총이익</t>
        </is>
      </c>
      <c r="L46" s="29" t="inlineStr">
        <is>
          <t>-</t>
        </is>
      </c>
      <c r="M46" s="29" t="inlineStr">
        <is>
          <t>제 16 기</t>
        </is>
      </c>
      <c r="N46" s="29" t="inlineStr">
        <is>
          <t>42894065129.0</t>
        </is>
      </c>
      <c r="O46" s="29" t="inlineStr">
        <is>
          <t>40890022902.0</t>
        </is>
      </c>
      <c r="P46" s="29" t="inlineStr">
        <is>
          <t>KRW</t>
        </is>
      </c>
      <c r="Q46" s="29" t="inlineStr">
        <is>
          <t>6</t>
        </is>
      </c>
    </row>
    <row r="47" ht="24" customHeight="1">
      <c r="A47" s="24" t="inlineStr">
        <is>
          <t>OpenDART_fnlttSinglAcntAll</t>
        </is>
      </c>
      <c r="B47" s="24" t="inlineStr">
        <is>
          <t>00591441</t>
        </is>
      </c>
      <c r="C47" s="24" t="inlineStr">
        <is>
          <t>어보브반도체</t>
        </is>
      </c>
      <c r="D47" s="24" t="inlineStr">
        <is>
          <t>abov</t>
        </is>
      </c>
      <c r="E47" s="24" t="inlineStr">
        <is>
          <t>102120</t>
        </is>
      </c>
      <c r="F47" s="24" t="inlineStr">
        <is>
          <t>2021</t>
        </is>
      </c>
      <c r="G47" s="24" t="inlineStr">
        <is>
          <t>CFS</t>
        </is>
      </c>
      <c r="H47" s="24" t="inlineStr">
        <is>
          <t>CIS</t>
        </is>
      </c>
      <c r="I47" s="24" t="inlineStr">
        <is>
          <t>포괄손익계산서</t>
        </is>
      </c>
      <c r="J47" s="24" t="inlineStr">
        <is>
          <t>dart_TotalSellingGeneralAdministrativeExpenses</t>
        </is>
      </c>
      <c r="K47" s="24" t="inlineStr">
        <is>
          <t>판매비와관리비</t>
        </is>
      </c>
      <c r="L47" s="24" t="inlineStr">
        <is>
          <t>-</t>
        </is>
      </c>
      <c r="M47" s="24" t="inlineStr">
        <is>
          <t>제 16 기</t>
        </is>
      </c>
      <c r="N47" s="24" t="inlineStr">
        <is>
          <t>25271646890.0</t>
        </is>
      </c>
      <c r="O47" s="24" t="inlineStr">
        <is>
          <t>23268888680.0</t>
        </is>
      </c>
      <c r="P47" s="24" t="inlineStr">
        <is>
          <t>KRW</t>
        </is>
      </c>
      <c r="Q47" s="24" t="inlineStr">
        <is>
          <t>7</t>
        </is>
      </c>
    </row>
    <row r="48" ht="24" customHeight="1">
      <c r="A48" s="29" t="inlineStr">
        <is>
          <t>OpenDART_fnlttSinglAcntAll</t>
        </is>
      </c>
      <c r="B48" s="29" t="inlineStr">
        <is>
          <t>00591441</t>
        </is>
      </c>
      <c r="C48" s="29" t="inlineStr">
        <is>
          <t>어보브반도체</t>
        </is>
      </c>
      <c r="D48" s="29" t="inlineStr">
        <is>
          <t>abov</t>
        </is>
      </c>
      <c r="E48" s="29" t="inlineStr">
        <is>
          <t>102120</t>
        </is>
      </c>
      <c r="F48" s="29" t="inlineStr">
        <is>
          <t>2021</t>
        </is>
      </c>
      <c r="G48" s="29" t="inlineStr">
        <is>
          <t>CFS</t>
        </is>
      </c>
      <c r="H48" s="29" t="inlineStr">
        <is>
          <t>CIS</t>
        </is>
      </c>
      <c r="I48" s="29" t="inlineStr">
        <is>
          <t>포괄손익계산서</t>
        </is>
      </c>
      <c r="J48" s="29" t="inlineStr">
        <is>
          <t>dart_OperatingIncomeLoss</t>
        </is>
      </c>
      <c r="K48" s="29" t="inlineStr">
        <is>
          <t>영업이익(손실)</t>
        </is>
      </c>
      <c r="L48" s="29" t="inlineStr">
        <is>
          <t>-</t>
        </is>
      </c>
      <c r="M48" s="29" t="inlineStr">
        <is>
          <t>제 16 기</t>
        </is>
      </c>
      <c r="N48" s="29" t="inlineStr">
        <is>
          <t>17622418239.0</t>
        </is>
      </c>
      <c r="O48" s="29" t="inlineStr">
        <is>
          <t>17621134222.0</t>
        </is>
      </c>
      <c r="P48" s="29" t="inlineStr">
        <is>
          <t>KRW</t>
        </is>
      </c>
      <c r="Q48" s="29" t="inlineStr">
        <is>
          <t>8</t>
        </is>
      </c>
    </row>
    <row r="49" ht="24" customHeight="1">
      <c r="A49" s="24" t="inlineStr">
        <is>
          <t>OpenDART_fnlttSinglAcntAll</t>
        </is>
      </c>
      <c r="B49" s="24" t="inlineStr">
        <is>
          <t>00591441</t>
        </is>
      </c>
      <c r="C49" s="24" t="inlineStr">
        <is>
          <t>어보브반도체</t>
        </is>
      </c>
      <c r="D49" s="24" t="inlineStr">
        <is>
          <t>abov</t>
        </is>
      </c>
      <c r="E49" s="24" t="inlineStr">
        <is>
          <t>102120</t>
        </is>
      </c>
      <c r="F49" s="24" t="inlineStr">
        <is>
          <t>2021</t>
        </is>
      </c>
      <c r="G49" s="24" t="inlineStr">
        <is>
          <t>CFS</t>
        </is>
      </c>
      <c r="H49" s="24" t="inlineStr">
        <is>
          <t>CIS</t>
        </is>
      </c>
      <c r="I49" s="24" t="inlineStr">
        <is>
          <t>포괄손익계산서</t>
        </is>
      </c>
      <c r="J49" s="24" t="inlineStr">
        <is>
          <t>ifrs-full_FinanceIncome</t>
        </is>
      </c>
      <c r="K49" s="24" t="inlineStr">
        <is>
          <t>금융수익</t>
        </is>
      </c>
      <c r="L49" s="24" t="inlineStr">
        <is>
          <t>-</t>
        </is>
      </c>
      <c r="M49" s="24" t="inlineStr">
        <is>
          <t>제 16 기</t>
        </is>
      </c>
      <c r="N49" s="24" t="inlineStr">
        <is>
          <t>555742476.0</t>
        </is>
      </c>
      <c r="O49" s="24" t="inlineStr">
        <is>
          <t>709990007.0</t>
        </is>
      </c>
      <c r="P49" s="24" t="inlineStr">
        <is>
          <t>KRW</t>
        </is>
      </c>
      <c r="Q49" s="24" t="inlineStr">
        <is>
          <t>9</t>
        </is>
      </c>
    </row>
    <row r="50" ht="24" customHeight="1">
      <c r="A50" s="29" t="inlineStr">
        <is>
          <t>OpenDART_fnlttSinglAcntAll</t>
        </is>
      </c>
      <c r="B50" s="29" t="inlineStr">
        <is>
          <t>00591441</t>
        </is>
      </c>
      <c r="C50" s="29" t="inlineStr">
        <is>
          <t>어보브반도체</t>
        </is>
      </c>
      <c r="D50" s="29" t="inlineStr">
        <is>
          <t>abov</t>
        </is>
      </c>
      <c r="E50" s="29" t="inlineStr">
        <is>
          <t>102120</t>
        </is>
      </c>
      <c r="F50" s="29" t="inlineStr">
        <is>
          <t>2021</t>
        </is>
      </c>
      <c r="G50" s="29" t="inlineStr">
        <is>
          <t>CFS</t>
        </is>
      </c>
      <c r="H50" s="29" t="inlineStr">
        <is>
          <t>CIS</t>
        </is>
      </c>
      <c r="I50" s="29" t="inlineStr">
        <is>
          <t>포괄손익계산서</t>
        </is>
      </c>
      <c r="J50" s="29" t="inlineStr">
        <is>
          <t>ifrs-full_FinanceCosts</t>
        </is>
      </c>
      <c r="K50" s="29" t="inlineStr">
        <is>
          <t>금융비용</t>
        </is>
      </c>
      <c r="L50" s="29" t="inlineStr">
        <is>
          <t>-</t>
        </is>
      </c>
      <c r="M50" s="29" t="inlineStr">
        <is>
          <t>제 16 기</t>
        </is>
      </c>
      <c r="N50" s="29" t="inlineStr">
        <is>
          <t>160972655.0</t>
        </is>
      </c>
      <c r="O50" s="29" t="inlineStr">
        <is>
          <t>900396738.0</t>
        </is>
      </c>
      <c r="P50" s="29" t="inlineStr">
        <is>
          <t>KRW</t>
        </is>
      </c>
      <c r="Q50" s="29" t="inlineStr">
        <is>
          <t>10</t>
        </is>
      </c>
    </row>
    <row r="51" ht="24" customHeight="1">
      <c r="A51" s="24" t="inlineStr">
        <is>
          <t>OpenDART_fnlttSinglAcntAll</t>
        </is>
      </c>
      <c r="B51" s="24" t="inlineStr">
        <is>
          <t>00591441</t>
        </is>
      </c>
      <c r="C51" s="24" t="inlineStr">
        <is>
          <t>어보브반도체</t>
        </is>
      </c>
      <c r="D51" s="24" t="inlineStr">
        <is>
          <t>abov</t>
        </is>
      </c>
      <c r="E51" s="24" t="inlineStr">
        <is>
          <t>102120</t>
        </is>
      </c>
      <c r="F51" s="24" t="inlineStr">
        <is>
          <t>2021</t>
        </is>
      </c>
      <c r="G51" s="24" t="inlineStr">
        <is>
          <t>CFS</t>
        </is>
      </c>
      <c r="H51" s="24" t="inlineStr">
        <is>
          <t>CIS</t>
        </is>
      </c>
      <c r="I51" s="24" t="inlineStr">
        <is>
          <t>포괄손익계산서</t>
        </is>
      </c>
      <c r="J51" s="24" t="inlineStr">
        <is>
          <t>dart_OtherGains</t>
        </is>
      </c>
      <c r="K51" s="24" t="inlineStr">
        <is>
          <t>기타수익</t>
        </is>
      </c>
      <c r="L51" s="24" t="inlineStr">
        <is>
          <t>-</t>
        </is>
      </c>
      <c r="M51" s="24" t="inlineStr">
        <is>
          <t>제 16 기</t>
        </is>
      </c>
      <c r="N51" s="24" t="inlineStr">
        <is>
          <t>2595324821.0</t>
        </is>
      </c>
      <c r="O51" s="24" t="inlineStr">
        <is>
          <t>5017302813.0</t>
        </is>
      </c>
      <c r="P51" s="24" t="inlineStr">
        <is>
          <t>KRW</t>
        </is>
      </c>
      <c r="Q51" s="24" t="inlineStr">
        <is>
          <t>11</t>
        </is>
      </c>
    </row>
    <row r="52" ht="24" customHeight="1">
      <c r="A52" s="29" t="inlineStr">
        <is>
          <t>OpenDART_fnlttSinglAcntAll</t>
        </is>
      </c>
      <c r="B52" s="29" t="inlineStr">
        <is>
          <t>00591441</t>
        </is>
      </c>
      <c r="C52" s="29" t="inlineStr">
        <is>
          <t>어보브반도체</t>
        </is>
      </c>
      <c r="D52" s="29" t="inlineStr">
        <is>
          <t>abov</t>
        </is>
      </c>
      <c r="E52" s="29" t="inlineStr">
        <is>
          <t>102120</t>
        </is>
      </c>
      <c r="F52" s="29" t="inlineStr">
        <is>
          <t>2021</t>
        </is>
      </c>
      <c r="G52" s="29" t="inlineStr">
        <is>
          <t>CFS</t>
        </is>
      </c>
      <c r="H52" s="29" t="inlineStr">
        <is>
          <t>CIS</t>
        </is>
      </c>
      <c r="I52" s="29" t="inlineStr">
        <is>
          <t>포괄손익계산서</t>
        </is>
      </c>
      <c r="J52" s="29" t="inlineStr">
        <is>
          <t>dart_OtherLosses</t>
        </is>
      </c>
      <c r="K52" s="29" t="inlineStr">
        <is>
          <t>기타비용</t>
        </is>
      </c>
      <c r="L52" s="29" t="inlineStr">
        <is>
          <t>-</t>
        </is>
      </c>
      <c r="M52" s="29" t="inlineStr">
        <is>
          <t>제 16 기</t>
        </is>
      </c>
      <c r="N52" s="29" t="inlineStr">
        <is>
          <t>5573234291.0</t>
        </is>
      </c>
      <c r="O52" s="29" t="inlineStr">
        <is>
          <t>8805921884.0</t>
        </is>
      </c>
      <c r="P52" s="29" t="inlineStr">
        <is>
          <t>KRW</t>
        </is>
      </c>
      <c r="Q52" s="29" t="inlineStr">
        <is>
          <t>12</t>
        </is>
      </c>
    </row>
    <row r="53" ht="24" customHeight="1">
      <c r="A53" s="24" t="inlineStr">
        <is>
          <t>OpenDART_fnlttSinglAcntAll</t>
        </is>
      </c>
      <c r="B53" s="24" t="inlineStr">
        <is>
          <t>00591441</t>
        </is>
      </c>
      <c r="C53" s="24" t="inlineStr">
        <is>
          <t>어보브반도체</t>
        </is>
      </c>
      <c r="D53" s="24" t="inlineStr">
        <is>
          <t>abov</t>
        </is>
      </c>
      <c r="E53" s="24" t="inlineStr">
        <is>
          <t>102120</t>
        </is>
      </c>
      <c r="F53" s="24" t="inlineStr">
        <is>
          <t>2021</t>
        </is>
      </c>
      <c r="G53" s="24" t="inlineStr">
        <is>
          <t>CFS</t>
        </is>
      </c>
      <c r="H53" s="24" t="inlineStr">
        <is>
          <t>CIS</t>
        </is>
      </c>
      <c r="I53" s="24" t="inlineStr">
        <is>
          <t>포괄손익계산서</t>
        </is>
      </c>
      <c r="J53" s="24" t="inlineStr">
        <is>
          <t>ifrs-full_ProfitLossBeforeTax</t>
        </is>
      </c>
      <c r="K53" s="24" t="inlineStr">
        <is>
          <t>법인세비용차감전순이익(손실)</t>
        </is>
      </c>
      <c r="L53" s="24" t="inlineStr">
        <is>
          <t>-</t>
        </is>
      </c>
      <c r="M53" s="24" t="inlineStr">
        <is>
          <t>제 16 기</t>
        </is>
      </c>
      <c r="N53" s="24" t="inlineStr">
        <is>
          <t>15039278590.0</t>
        </is>
      </c>
      <c r="O53" s="24" t="inlineStr">
        <is>
          <t>13642108420.0</t>
        </is>
      </c>
      <c r="P53" s="24" t="inlineStr">
        <is>
          <t>KRW</t>
        </is>
      </c>
      <c r="Q53" s="24" t="inlineStr">
        <is>
          <t>13</t>
        </is>
      </c>
    </row>
    <row r="54" ht="24" customHeight="1">
      <c r="A54" s="29" t="inlineStr">
        <is>
          <t>OpenDART_fnlttSinglAcntAll</t>
        </is>
      </c>
      <c r="B54" s="29" t="inlineStr">
        <is>
          <t>00591441</t>
        </is>
      </c>
      <c r="C54" s="29" t="inlineStr">
        <is>
          <t>어보브반도체</t>
        </is>
      </c>
      <c r="D54" s="29" t="inlineStr">
        <is>
          <t>abov</t>
        </is>
      </c>
      <c r="E54" s="29" t="inlineStr">
        <is>
          <t>102120</t>
        </is>
      </c>
      <c r="F54" s="29" t="inlineStr">
        <is>
          <t>2021</t>
        </is>
      </c>
      <c r="G54" s="29" t="inlineStr">
        <is>
          <t>CFS</t>
        </is>
      </c>
      <c r="H54" s="29" t="inlineStr">
        <is>
          <t>CIS</t>
        </is>
      </c>
      <c r="I54" s="29" t="inlineStr">
        <is>
          <t>포괄손익계산서</t>
        </is>
      </c>
      <c r="J54" s="29" t="inlineStr">
        <is>
          <t>ifrs-full_IncomeTaxExpenseContinuingOperations</t>
        </is>
      </c>
      <c r="K54" s="29" t="inlineStr">
        <is>
          <t>법인세비용</t>
        </is>
      </c>
      <c r="L54" s="29" t="inlineStr">
        <is>
          <t>-</t>
        </is>
      </c>
      <c r="M54" s="29" t="inlineStr">
        <is>
          <t>제 16 기</t>
        </is>
      </c>
      <c r="N54" s="29" t="inlineStr">
        <is>
          <t>1331836271.0</t>
        </is>
      </c>
      <c r="O54" s="29" t="inlineStr">
        <is>
          <t>-398635938.0</t>
        </is>
      </c>
      <c r="P54" s="29" t="inlineStr">
        <is>
          <t>KRW</t>
        </is>
      </c>
      <c r="Q54" s="29" t="inlineStr">
        <is>
          <t>14</t>
        </is>
      </c>
    </row>
    <row r="55" ht="24" customHeight="1">
      <c r="A55" s="24" t="inlineStr">
        <is>
          <t>OpenDART_fnlttSinglAcntAll</t>
        </is>
      </c>
      <c r="B55" s="24" t="inlineStr">
        <is>
          <t>00591441</t>
        </is>
      </c>
      <c r="C55" s="24" t="inlineStr">
        <is>
          <t>어보브반도체</t>
        </is>
      </c>
      <c r="D55" s="24" t="inlineStr">
        <is>
          <t>abov</t>
        </is>
      </c>
      <c r="E55" s="24" t="inlineStr">
        <is>
          <t>102120</t>
        </is>
      </c>
      <c r="F55" s="24" t="inlineStr">
        <is>
          <t>2021</t>
        </is>
      </c>
      <c r="G55" s="24" t="inlineStr">
        <is>
          <t>CFS</t>
        </is>
      </c>
      <c r="H55" s="24" t="inlineStr">
        <is>
          <t>CIS</t>
        </is>
      </c>
      <c r="I55" s="24" t="inlineStr">
        <is>
          <t>포괄손익계산서</t>
        </is>
      </c>
      <c r="J55" s="24" t="inlineStr">
        <is>
          <t>ifrs-full_ProfitLoss</t>
        </is>
      </c>
      <c r="K55" s="24" t="inlineStr">
        <is>
          <t>당기순이익(손실)</t>
        </is>
      </c>
      <c r="L55" s="24" t="inlineStr">
        <is>
          <t>-</t>
        </is>
      </c>
      <c r="M55" s="24" t="inlineStr">
        <is>
          <t>제 16 기</t>
        </is>
      </c>
      <c r="N55" s="24" t="inlineStr">
        <is>
          <t>13707442319.0</t>
        </is>
      </c>
      <c r="O55" s="24" t="inlineStr">
        <is>
          <t>14040744358.0</t>
        </is>
      </c>
      <c r="P55" s="24" t="inlineStr">
        <is>
          <t>KRW</t>
        </is>
      </c>
      <c r="Q55" s="24" t="inlineStr">
        <is>
          <t>15</t>
        </is>
      </c>
    </row>
    <row r="56" ht="24" customHeight="1">
      <c r="A56" s="29" t="inlineStr">
        <is>
          <t>OpenDART_fnlttSinglAcntAll</t>
        </is>
      </c>
      <c r="B56" s="29" t="inlineStr">
        <is>
          <t>00591441</t>
        </is>
      </c>
      <c r="C56" s="29" t="inlineStr">
        <is>
          <t>어보브반도체</t>
        </is>
      </c>
      <c r="D56" s="29" t="inlineStr">
        <is>
          <t>abov</t>
        </is>
      </c>
      <c r="E56" s="29" t="inlineStr">
        <is>
          <t>102120</t>
        </is>
      </c>
      <c r="F56" s="29" t="inlineStr">
        <is>
          <t>2021</t>
        </is>
      </c>
      <c r="G56" s="29" t="inlineStr">
        <is>
          <t>CFS</t>
        </is>
      </c>
      <c r="H56" s="29" t="inlineStr">
        <is>
          <t>CIS</t>
        </is>
      </c>
      <c r="I56" s="29" t="inlineStr">
        <is>
          <t>포괄손익계산서</t>
        </is>
      </c>
      <c r="J56" s="29" t="inlineStr">
        <is>
          <t>ifrs-full_OtherComprehensiveIncome</t>
        </is>
      </c>
      <c r="K56" s="29" t="inlineStr">
        <is>
          <t>기타포괄손익</t>
        </is>
      </c>
      <c r="L56" s="29" t="inlineStr">
        <is>
          <t>-</t>
        </is>
      </c>
      <c r="M56" s="29" t="inlineStr">
        <is>
          <t>제 16 기</t>
        </is>
      </c>
      <c r="N56" s="29" t="inlineStr">
        <is>
          <t>378556874.0</t>
        </is>
      </c>
      <c r="O56" s="29" t="inlineStr">
        <is>
          <t>2470121.0</t>
        </is>
      </c>
      <c r="P56" s="29" t="inlineStr">
        <is>
          <t>KRW</t>
        </is>
      </c>
      <c r="Q56" s="29" t="inlineStr">
        <is>
          <t>16</t>
        </is>
      </c>
    </row>
    <row r="57" ht="24" customHeight="1">
      <c r="A57" s="24" t="inlineStr">
        <is>
          <t>OpenDART_fnlttSinglAcntAll</t>
        </is>
      </c>
      <c r="B57" s="24" t="inlineStr">
        <is>
          <t>00591441</t>
        </is>
      </c>
      <c r="C57" s="24" t="inlineStr">
        <is>
          <t>어보브반도체</t>
        </is>
      </c>
      <c r="D57" s="24" t="inlineStr">
        <is>
          <t>abov</t>
        </is>
      </c>
      <c r="E57" s="24" t="inlineStr">
        <is>
          <t>102120</t>
        </is>
      </c>
      <c r="F57" s="24" t="inlineStr">
        <is>
          <t>2021</t>
        </is>
      </c>
      <c r="G57" s="24" t="inlineStr">
        <is>
          <t>CFS</t>
        </is>
      </c>
      <c r="H57" s="24" t="inlineStr">
        <is>
          <t>CIS</t>
        </is>
      </c>
      <c r="I57" s="24" t="inlineStr">
        <is>
          <t>포괄손익계산서</t>
        </is>
      </c>
      <c r="J57" s="24" t="inlineStr">
        <is>
          <t>dart_OtherComprehensiveIncomeThatWillNotBeReclassifiedToProfitOrLossNetOfTax</t>
        </is>
      </c>
      <c r="K57" s="24" t="inlineStr">
        <is>
          <t>당기손익으로 재분류되지 않는항목</t>
        </is>
      </c>
      <c r="L57" s="24" t="inlineStr">
        <is>
          <t>-</t>
        </is>
      </c>
      <c r="M57" s="24" t="inlineStr">
        <is>
          <t>제 16 기</t>
        </is>
      </c>
      <c r="N57" s="24" t="inlineStr">
        <is>
          <t>371906253.0</t>
        </is>
      </c>
      <c r="O57" s="24" t="inlineStr">
        <is>
          <t>-171332768.0</t>
        </is>
      </c>
      <c r="P57" s="24" t="inlineStr">
        <is>
          <t>KRW</t>
        </is>
      </c>
      <c r="Q57" s="24" t="inlineStr">
        <is>
          <t>17</t>
        </is>
      </c>
    </row>
    <row r="58" ht="24" customHeight="1">
      <c r="A58" s="29" t="inlineStr">
        <is>
          <t>OpenDART_fnlttSinglAcntAll</t>
        </is>
      </c>
      <c r="B58" s="29" t="inlineStr">
        <is>
          <t>00591441</t>
        </is>
      </c>
      <c r="C58" s="29" t="inlineStr">
        <is>
          <t>어보브반도체</t>
        </is>
      </c>
      <c r="D58" s="29" t="inlineStr">
        <is>
          <t>abov</t>
        </is>
      </c>
      <c r="E58" s="29" t="inlineStr">
        <is>
          <t>102120</t>
        </is>
      </c>
      <c r="F58" s="29" t="inlineStr">
        <is>
          <t>2021</t>
        </is>
      </c>
      <c r="G58" s="29" t="inlineStr">
        <is>
          <t>CFS</t>
        </is>
      </c>
      <c r="H58" s="29" t="inlineStr">
        <is>
          <t>CIS</t>
        </is>
      </c>
      <c r="I58" s="29" t="inlineStr">
        <is>
          <t>포괄손익계산서</t>
        </is>
      </c>
      <c r="J58" s="29" t="inlineStr">
        <is>
          <t>dart_OtherComprehensiveIncomeNetOfTaxGainsLossesOnRemeasurementsOfDefinedBenefitPlans</t>
        </is>
      </c>
      <c r="K58" s="29" t="inlineStr">
        <is>
          <t>순확정급여부채의 재측정요소</t>
        </is>
      </c>
      <c r="L58" s="29" t="inlineStr">
        <is>
          <t>-</t>
        </is>
      </c>
      <c r="M58" s="29" t="inlineStr">
        <is>
          <t>제 16 기</t>
        </is>
      </c>
      <c r="N58" s="29" t="inlineStr">
        <is>
          <t>-63551736.0</t>
        </is>
      </c>
      <c r="O58" s="29" t="inlineStr">
        <is>
          <t>-143465720.0</t>
        </is>
      </c>
      <c r="P58" s="29" t="inlineStr">
        <is>
          <t>KRW</t>
        </is>
      </c>
      <c r="Q58" s="29" t="inlineStr">
        <is>
          <t>18</t>
        </is>
      </c>
    </row>
    <row r="59" ht="24" customHeight="1">
      <c r="A59" s="24" t="inlineStr">
        <is>
          <t>OpenDART_fnlttSinglAcntAll</t>
        </is>
      </c>
      <c r="B59" s="24" t="inlineStr">
        <is>
          <t>00591441</t>
        </is>
      </c>
      <c r="C59" s="24" t="inlineStr">
        <is>
          <t>어보브반도체</t>
        </is>
      </c>
      <c r="D59" s="24" t="inlineStr">
        <is>
          <t>abov</t>
        </is>
      </c>
      <c r="E59" s="24" t="inlineStr">
        <is>
          <t>102120</t>
        </is>
      </c>
      <c r="F59" s="24" t="inlineStr">
        <is>
          <t>2021</t>
        </is>
      </c>
      <c r="G59" s="24" t="inlineStr">
        <is>
          <t>CFS</t>
        </is>
      </c>
      <c r="H59" s="24" t="inlineStr">
        <is>
          <t>CIS</t>
        </is>
      </c>
      <c r="I59" s="24" t="inlineStr">
        <is>
          <t>포괄손익계산서</t>
        </is>
      </c>
      <c r="J59" s="24" t="inlineStr">
        <is>
          <t>-표준계정코드 미사용-</t>
        </is>
      </c>
      <c r="K59" s="24" t="inlineStr">
        <is>
          <t>기타포괄손익공정가치측정 금융자산 평가손익</t>
        </is>
      </c>
      <c r="L59" s="24" t="inlineStr">
        <is>
          <t>-</t>
        </is>
      </c>
      <c r="M59" s="24" t="inlineStr">
        <is>
          <t>제 16 기</t>
        </is>
      </c>
      <c r="N59" s="24" t="inlineStr">
        <is>
          <t>435457989.0</t>
        </is>
      </c>
      <c r="O59" s="24" t="inlineStr">
        <is>
          <t>-27867048.0</t>
        </is>
      </c>
      <c r="P59" s="24" t="inlineStr">
        <is>
          <t>KRW</t>
        </is>
      </c>
      <c r="Q59" s="24" t="inlineStr">
        <is>
          <t>19</t>
        </is>
      </c>
    </row>
    <row r="60" ht="24" customHeight="1">
      <c r="A60" s="29" t="inlineStr">
        <is>
          <t>OpenDART_fnlttSinglAcntAll</t>
        </is>
      </c>
      <c r="B60" s="29" t="inlineStr">
        <is>
          <t>00591441</t>
        </is>
      </c>
      <c r="C60" s="29" t="inlineStr">
        <is>
          <t>어보브반도체</t>
        </is>
      </c>
      <c r="D60" s="29" t="inlineStr">
        <is>
          <t>abov</t>
        </is>
      </c>
      <c r="E60" s="29" t="inlineStr">
        <is>
          <t>102120</t>
        </is>
      </c>
      <c r="F60" s="29" t="inlineStr">
        <is>
          <t>2021</t>
        </is>
      </c>
      <c r="G60" s="29" t="inlineStr">
        <is>
          <t>CFS</t>
        </is>
      </c>
      <c r="H60" s="29" t="inlineStr">
        <is>
          <t>CIS</t>
        </is>
      </c>
      <c r="I60" s="29" t="inlineStr">
        <is>
          <t>포괄손익계산서</t>
        </is>
      </c>
      <c r="J60" s="29" t="inlineStr">
        <is>
          <t>dart_OtherComprehensiveIncomeThatWillBeReclassifiedToProfitOrLossNetOfTax</t>
        </is>
      </c>
      <c r="K60" s="29" t="inlineStr">
        <is>
          <t>당기손익으로 재분류될 수 있는 항목</t>
        </is>
      </c>
      <c r="L60" s="29" t="inlineStr">
        <is>
          <t>-</t>
        </is>
      </c>
      <c r="M60" s="29" t="inlineStr">
        <is>
          <t>제 16 기</t>
        </is>
      </c>
      <c r="N60" s="29" t="inlineStr">
        <is>
          <t>6650621.0</t>
        </is>
      </c>
      <c r="O60" s="29" t="inlineStr">
        <is>
          <t>173802889.0</t>
        </is>
      </c>
      <c r="P60" s="29" t="inlineStr">
        <is>
          <t>KRW</t>
        </is>
      </c>
      <c r="Q60" s="29" t="inlineStr">
        <is>
          <t>20</t>
        </is>
      </c>
    </row>
    <row r="61" ht="24" customHeight="1">
      <c r="A61" s="24" t="inlineStr">
        <is>
          <t>OpenDART_fnlttSinglAcntAll</t>
        </is>
      </c>
      <c r="B61" s="24" t="inlineStr">
        <is>
          <t>00591441</t>
        </is>
      </c>
      <c r="C61" s="24" t="inlineStr">
        <is>
          <t>어보브반도체</t>
        </is>
      </c>
      <c r="D61" s="24" t="inlineStr">
        <is>
          <t>abov</t>
        </is>
      </c>
      <c r="E61" s="24" t="inlineStr">
        <is>
          <t>102120</t>
        </is>
      </c>
      <c r="F61" s="24" t="inlineStr">
        <is>
          <t>2021</t>
        </is>
      </c>
      <c r="G61" s="24" t="inlineStr">
        <is>
          <t>CFS</t>
        </is>
      </c>
      <c r="H61" s="24" t="inlineStr">
        <is>
          <t>CIS</t>
        </is>
      </c>
      <c r="I61" s="24" t="inlineStr">
        <is>
          <t>포괄손익계산서</t>
        </is>
      </c>
      <c r="J61" s="24" t="inlineStr">
        <is>
          <t>ifrs-full_GainsLossesOnExchangeDifferencesOnTranslationNetOfTax</t>
        </is>
      </c>
      <c r="K61" s="24" t="inlineStr">
        <is>
          <t>해외사업장환산외환차이</t>
        </is>
      </c>
      <c r="L61" s="24" t="inlineStr">
        <is>
          <t>-</t>
        </is>
      </c>
      <c r="M61" s="24" t="inlineStr">
        <is>
          <t>제 16 기</t>
        </is>
      </c>
      <c r="N61" s="24" t="inlineStr">
        <is>
          <t>6650621.0</t>
        </is>
      </c>
      <c r="O61" s="24" t="inlineStr">
        <is>
          <t>173802889.0</t>
        </is>
      </c>
      <c r="P61" s="24" t="inlineStr">
        <is>
          <t>KRW</t>
        </is>
      </c>
      <c r="Q61" s="24" t="inlineStr">
        <is>
          <t>21</t>
        </is>
      </c>
    </row>
    <row r="62" ht="24" customHeight="1">
      <c r="A62" s="29" t="inlineStr">
        <is>
          <t>OpenDART_fnlttSinglAcntAll</t>
        </is>
      </c>
      <c r="B62" s="29" t="inlineStr">
        <is>
          <t>00591441</t>
        </is>
      </c>
      <c r="C62" s="29" t="inlineStr">
        <is>
          <t>어보브반도체</t>
        </is>
      </c>
      <c r="D62" s="29" t="inlineStr">
        <is>
          <t>abov</t>
        </is>
      </c>
      <c r="E62" s="29" t="inlineStr">
        <is>
          <t>102120</t>
        </is>
      </c>
      <c r="F62" s="29" t="inlineStr">
        <is>
          <t>2021</t>
        </is>
      </c>
      <c r="G62" s="29" t="inlineStr">
        <is>
          <t>CFS</t>
        </is>
      </c>
      <c r="H62" s="29" t="inlineStr">
        <is>
          <t>CIS</t>
        </is>
      </c>
      <c r="I62" s="29" t="inlineStr">
        <is>
          <t>포괄손익계산서</t>
        </is>
      </c>
      <c r="J62" s="29" t="inlineStr">
        <is>
          <t>ifrs-full_ComprehensiveIncome</t>
        </is>
      </c>
      <c r="K62" s="29" t="inlineStr">
        <is>
          <t>총포괄손익</t>
        </is>
      </c>
      <c r="L62" s="29" t="inlineStr">
        <is>
          <t>-</t>
        </is>
      </c>
      <c r="M62" s="29" t="inlineStr">
        <is>
          <t>제 16 기</t>
        </is>
      </c>
      <c r="N62" s="29" t="inlineStr">
        <is>
          <t>14085999193.0</t>
        </is>
      </c>
      <c r="O62" s="29" t="inlineStr">
        <is>
          <t>14043214479.0</t>
        </is>
      </c>
      <c r="P62" s="29" t="inlineStr">
        <is>
          <t>KRW</t>
        </is>
      </c>
      <c r="Q62" s="29" t="inlineStr">
        <is>
          <t>22</t>
        </is>
      </c>
    </row>
    <row r="63" ht="24" customHeight="1">
      <c r="A63" s="24" t="inlineStr">
        <is>
          <t>OpenDART_fnlttSinglAcntAll</t>
        </is>
      </c>
      <c r="B63" s="24" t="inlineStr">
        <is>
          <t>00591441</t>
        </is>
      </c>
      <c r="C63" s="24" t="inlineStr">
        <is>
          <t>어보브반도체</t>
        </is>
      </c>
      <c r="D63" s="24" t="inlineStr">
        <is>
          <t>abov</t>
        </is>
      </c>
      <c r="E63" s="24" t="inlineStr">
        <is>
          <t>102120</t>
        </is>
      </c>
      <c r="F63" s="24" t="inlineStr">
        <is>
          <t>2021</t>
        </is>
      </c>
      <c r="G63" s="24" t="inlineStr">
        <is>
          <t>CFS</t>
        </is>
      </c>
      <c r="H63" s="24" t="inlineStr">
        <is>
          <t>CIS</t>
        </is>
      </c>
      <c r="I63" s="24" t="inlineStr">
        <is>
          <t>포괄손익계산서</t>
        </is>
      </c>
      <c r="J63" s="24" t="inlineStr">
        <is>
          <t>ifrs-full_ProfitLossAttributableToOwnersOfParent</t>
        </is>
      </c>
      <c r="K63" s="24" t="inlineStr">
        <is>
          <t>지배기업의 소유지분</t>
        </is>
      </c>
      <c r="L63" s="24" t="inlineStr">
        <is>
          <t>-</t>
        </is>
      </c>
      <c r="M63" s="24" t="inlineStr">
        <is>
          <t>제 16 기</t>
        </is>
      </c>
      <c r="N63" s="24" t="inlineStr">
        <is>
          <t>13707442319.0</t>
        </is>
      </c>
      <c r="O63" s="24" t="inlineStr">
        <is>
          <t>14040744358.0</t>
        </is>
      </c>
      <c r="P63" s="24" t="inlineStr">
        <is>
          <t>KRW</t>
        </is>
      </c>
      <c r="Q63" s="24" t="inlineStr">
        <is>
          <t>24</t>
        </is>
      </c>
    </row>
    <row r="64" ht="24" customHeight="1">
      <c r="A64" s="29" t="inlineStr">
        <is>
          <t>OpenDART_fnlttSinglAcntAll</t>
        </is>
      </c>
      <c r="B64" s="29" t="inlineStr">
        <is>
          <t>00591441</t>
        </is>
      </c>
      <c r="C64" s="29" t="inlineStr">
        <is>
          <t>어보브반도체</t>
        </is>
      </c>
      <c r="D64" s="29" t="inlineStr">
        <is>
          <t>abov</t>
        </is>
      </c>
      <c r="E64" s="29" t="inlineStr">
        <is>
          <t>102120</t>
        </is>
      </c>
      <c r="F64" s="29" t="inlineStr">
        <is>
          <t>2021</t>
        </is>
      </c>
      <c r="G64" s="29" t="inlineStr">
        <is>
          <t>CFS</t>
        </is>
      </c>
      <c r="H64" s="29" t="inlineStr">
        <is>
          <t>CIS</t>
        </is>
      </c>
      <c r="I64" s="29" t="inlineStr">
        <is>
          <t>포괄손익계산서</t>
        </is>
      </c>
      <c r="J64" s="29" t="inlineStr">
        <is>
          <t>ifrs-full_ComprehensiveIncomeAttributableToOwnersOfParent</t>
        </is>
      </c>
      <c r="K64" s="29" t="inlineStr">
        <is>
          <t>지배기업의 소유지분</t>
        </is>
      </c>
      <c r="L64" s="29" t="inlineStr">
        <is>
          <t>-</t>
        </is>
      </c>
      <c r="M64" s="29" t="inlineStr">
        <is>
          <t>제 16 기</t>
        </is>
      </c>
      <c r="N64" s="29" t="inlineStr">
        <is>
          <t>14085999193.0</t>
        </is>
      </c>
      <c r="O64" s="29" t="inlineStr">
        <is>
          <t>14043214479.0</t>
        </is>
      </c>
      <c r="P64" s="29" t="inlineStr">
        <is>
          <t>KRW</t>
        </is>
      </c>
      <c r="Q64" s="29" t="inlineStr">
        <is>
          <t>27</t>
        </is>
      </c>
    </row>
    <row r="65" ht="24" customHeight="1">
      <c r="A65" s="24" t="inlineStr">
        <is>
          <t>OpenDART_fnlttSinglAcntAll</t>
        </is>
      </c>
      <c r="B65" s="24" t="inlineStr">
        <is>
          <t>00591441</t>
        </is>
      </c>
      <c r="C65" s="24" t="inlineStr">
        <is>
          <t>어보브반도체</t>
        </is>
      </c>
      <c r="D65" s="24" t="inlineStr">
        <is>
          <t>abov</t>
        </is>
      </c>
      <c r="E65" s="24" t="inlineStr">
        <is>
          <t>102120</t>
        </is>
      </c>
      <c r="F65" s="24" t="inlineStr">
        <is>
          <t>2021</t>
        </is>
      </c>
      <c r="G65" s="24" t="inlineStr">
        <is>
          <t>CFS</t>
        </is>
      </c>
      <c r="H65" s="24" t="inlineStr">
        <is>
          <t>CIS</t>
        </is>
      </c>
      <c r="I65" s="24" t="inlineStr">
        <is>
          <t>포괄손익계산서</t>
        </is>
      </c>
      <c r="J65" s="24" t="inlineStr">
        <is>
          <t>ifrs-full_BasicEarningsLossPerShare</t>
        </is>
      </c>
      <c r="K65" s="24" t="inlineStr">
        <is>
          <t>기본주당이익(손실)</t>
        </is>
      </c>
      <c r="L65" s="24" t="inlineStr">
        <is>
          <t>-</t>
        </is>
      </c>
      <c r="M65" s="24" t="inlineStr">
        <is>
          <t>제 16 기</t>
        </is>
      </c>
      <c r="N65" s="24" t="inlineStr">
        <is>
          <t>828.0</t>
        </is>
      </c>
      <c r="O65" s="24" t="inlineStr">
        <is>
          <t>850.0</t>
        </is>
      </c>
      <c r="P65" s="24" t="inlineStr">
        <is>
          <t>KRW</t>
        </is>
      </c>
      <c r="Q65" s="24" t="inlineStr">
        <is>
          <t>30</t>
        </is>
      </c>
    </row>
    <row r="66" ht="24" customHeight="1">
      <c r="A66" s="29" t="inlineStr">
        <is>
          <t>OpenDART_fnlttSinglAcntAll</t>
        </is>
      </c>
      <c r="B66" s="29" t="inlineStr">
        <is>
          <t>00591441</t>
        </is>
      </c>
      <c r="C66" s="29" t="inlineStr">
        <is>
          <t>어보브반도체</t>
        </is>
      </c>
      <c r="D66" s="29" t="inlineStr">
        <is>
          <t>abov</t>
        </is>
      </c>
      <c r="E66" s="29" t="inlineStr">
        <is>
          <t>102120</t>
        </is>
      </c>
      <c r="F66" s="29" t="inlineStr">
        <is>
          <t>2021</t>
        </is>
      </c>
      <c r="G66" s="29" t="inlineStr">
        <is>
          <t>CFS</t>
        </is>
      </c>
      <c r="H66" s="29" t="inlineStr">
        <is>
          <t>CIS</t>
        </is>
      </c>
      <c r="I66" s="29" t="inlineStr">
        <is>
          <t>포괄손익계산서</t>
        </is>
      </c>
      <c r="J66" s="29" t="inlineStr">
        <is>
          <t>ifrs-full_DilutedEarningsLossPerShare</t>
        </is>
      </c>
      <c r="K66" s="29" t="inlineStr">
        <is>
          <t>희석주당이익(손실)</t>
        </is>
      </c>
      <c r="L66" s="29" t="inlineStr">
        <is>
          <t>-</t>
        </is>
      </c>
      <c r="M66" s="29" t="inlineStr">
        <is>
          <t>제 16 기</t>
        </is>
      </c>
      <c r="N66" s="29" t="inlineStr">
        <is>
          <t>828.0</t>
        </is>
      </c>
      <c r="O66" s="29" t="inlineStr">
        <is>
          <t>850.0</t>
        </is>
      </c>
      <c r="P66" s="29" t="inlineStr">
        <is>
          <t>KRW</t>
        </is>
      </c>
      <c r="Q66" s="29" t="inlineStr">
        <is>
          <t>31</t>
        </is>
      </c>
    </row>
    <row r="67" ht="24" customHeight="1">
      <c r="A67" s="24" t="inlineStr">
        <is>
          <t>OpenDART_fnlttSinglAcntAll</t>
        </is>
      </c>
      <c r="B67" s="24" t="inlineStr">
        <is>
          <t>00591441</t>
        </is>
      </c>
      <c r="C67" s="24" t="inlineStr">
        <is>
          <t>어보브반도체</t>
        </is>
      </c>
      <c r="D67" s="24" t="inlineStr">
        <is>
          <t>abov</t>
        </is>
      </c>
      <c r="E67" s="24" t="inlineStr">
        <is>
          <t>102120</t>
        </is>
      </c>
      <c r="F67" s="24" t="inlineStr">
        <is>
          <t>2021</t>
        </is>
      </c>
      <c r="G67" s="24" t="inlineStr">
        <is>
          <t>CFS</t>
        </is>
      </c>
      <c r="H67" s="24" t="inlineStr">
        <is>
          <t>CF</t>
        </is>
      </c>
      <c r="I67" s="24" t="inlineStr">
        <is>
          <t>현금흐름표</t>
        </is>
      </c>
      <c r="J67" s="24" t="inlineStr">
        <is>
          <t>ifrs-full_CashFlowsFromUsedInOperatingActivities</t>
        </is>
      </c>
      <c r="K67" s="24" t="inlineStr">
        <is>
          <t>영업활동현금흐름</t>
        </is>
      </c>
      <c r="L67" s="24" t="inlineStr">
        <is>
          <t>-</t>
        </is>
      </c>
      <c r="M67" s="24" t="inlineStr">
        <is>
          <t>제 16 기</t>
        </is>
      </c>
      <c r="N67" s="24" t="inlineStr">
        <is>
          <t>13559523477.0</t>
        </is>
      </c>
      <c r="O67" s="24" t="inlineStr">
        <is>
          <t>21931117159.0</t>
        </is>
      </c>
      <c r="P67" s="24" t="inlineStr">
        <is>
          <t>KRW</t>
        </is>
      </c>
      <c r="Q67" s="24" t="inlineStr">
        <is>
          <t>0</t>
        </is>
      </c>
    </row>
    <row r="68" ht="24" customHeight="1">
      <c r="A68" s="29" t="inlineStr">
        <is>
          <t>OpenDART_fnlttSinglAcntAll</t>
        </is>
      </c>
      <c r="B68" s="29" t="inlineStr">
        <is>
          <t>00591441</t>
        </is>
      </c>
      <c r="C68" s="29" t="inlineStr">
        <is>
          <t>어보브반도체</t>
        </is>
      </c>
      <c r="D68" s="29" t="inlineStr">
        <is>
          <t>abov</t>
        </is>
      </c>
      <c r="E68" s="29" t="inlineStr">
        <is>
          <t>102120</t>
        </is>
      </c>
      <c r="F68" s="29" t="inlineStr">
        <is>
          <t>2021</t>
        </is>
      </c>
      <c r="G68" s="29" t="inlineStr">
        <is>
          <t>CFS</t>
        </is>
      </c>
      <c r="H68" s="29" t="inlineStr">
        <is>
          <t>CF</t>
        </is>
      </c>
      <c r="I68" s="29" t="inlineStr">
        <is>
          <t>현금흐름표</t>
        </is>
      </c>
      <c r="J68" s="29" t="inlineStr">
        <is>
          <t>dart_ProfitLossForStatementOfCashFlows</t>
        </is>
      </c>
      <c r="K68" s="29" t="inlineStr">
        <is>
          <t>당기순이익(손실)</t>
        </is>
      </c>
      <c r="L68" s="29" t="inlineStr">
        <is>
          <t>-</t>
        </is>
      </c>
      <c r="M68" s="29" t="inlineStr">
        <is>
          <t>제 16 기</t>
        </is>
      </c>
      <c r="N68" s="29" t="inlineStr">
        <is>
          <t>13707442319.0</t>
        </is>
      </c>
      <c r="O68" s="29" t="inlineStr">
        <is>
          <t>14040744358.0</t>
        </is>
      </c>
      <c r="P68" s="29" t="inlineStr">
        <is>
          <t>KRW</t>
        </is>
      </c>
      <c r="Q68" s="29" t="inlineStr">
        <is>
          <t>1</t>
        </is>
      </c>
    </row>
    <row r="69" ht="24" customHeight="1">
      <c r="A69" s="24" t="inlineStr">
        <is>
          <t>OpenDART_fnlttSinglAcntAll</t>
        </is>
      </c>
      <c r="B69" s="24" t="inlineStr">
        <is>
          <t>00591441</t>
        </is>
      </c>
      <c r="C69" s="24" t="inlineStr">
        <is>
          <t>어보브반도체</t>
        </is>
      </c>
      <c r="D69" s="24" t="inlineStr">
        <is>
          <t>abov</t>
        </is>
      </c>
      <c r="E69" s="24" t="inlineStr">
        <is>
          <t>102120</t>
        </is>
      </c>
      <c r="F69" s="24" t="inlineStr">
        <is>
          <t>2021</t>
        </is>
      </c>
      <c r="G69" s="24" t="inlineStr">
        <is>
          <t>CFS</t>
        </is>
      </c>
      <c r="H69" s="24" t="inlineStr">
        <is>
          <t>CF</t>
        </is>
      </c>
      <c r="I69" s="24" t="inlineStr">
        <is>
          <t>현금흐름표</t>
        </is>
      </c>
      <c r="J69" s="24" t="inlineStr">
        <is>
          <t>ifrs-full_AdjustmentsForReconcileProfitLoss</t>
        </is>
      </c>
      <c r="K69" s="24" t="inlineStr">
        <is>
          <t>조정</t>
        </is>
      </c>
      <c r="L69" s="24" t="inlineStr">
        <is>
          <t>-</t>
        </is>
      </c>
      <c r="M69" s="24" t="inlineStr">
        <is>
          <t>제 16 기</t>
        </is>
      </c>
      <c r="N69" s="24" t="inlineStr">
        <is>
          <t>12733952824.0</t>
        </is>
      </c>
      <c r="O69" s="24" t="inlineStr">
        <is>
          <t>9761650253.0</t>
        </is>
      </c>
      <c r="P69" s="24" t="inlineStr">
        <is>
          <t>KRW</t>
        </is>
      </c>
      <c r="Q69" s="24" t="inlineStr">
        <is>
          <t>2</t>
        </is>
      </c>
    </row>
    <row r="70" ht="24" customHeight="1">
      <c r="A70" s="29" t="inlineStr">
        <is>
          <t>OpenDART_fnlttSinglAcntAll</t>
        </is>
      </c>
      <c r="B70" s="29" t="inlineStr">
        <is>
          <t>00591441</t>
        </is>
      </c>
      <c r="C70" s="29" t="inlineStr">
        <is>
          <t>어보브반도체</t>
        </is>
      </c>
      <c r="D70" s="29" t="inlineStr">
        <is>
          <t>abov</t>
        </is>
      </c>
      <c r="E70" s="29" t="inlineStr">
        <is>
          <t>102120</t>
        </is>
      </c>
      <c r="F70" s="29" t="inlineStr">
        <is>
          <t>2021</t>
        </is>
      </c>
      <c r="G70" s="29" t="inlineStr">
        <is>
          <t>CFS</t>
        </is>
      </c>
      <c r="H70" s="29" t="inlineStr">
        <is>
          <t>CF</t>
        </is>
      </c>
      <c r="I70" s="29" t="inlineStr">
        <is>
          <t>현금흐름표</t>
        </is>
      </c>
      <c r="J70" s="29" t="inlineStr">
        <is>
          <t>dart_AdjustmentsForAssetsLiabilitiesOfOperatingActivities</t>
        </is>
      </c>
      <c r="K70" s="29" t="inlineStr">
        <is>
          <t>영업활동으로인한자산ㆍ부채의변동</t>
        </is>
      </c>
      <c r="L70" s="29" t="inlineStr">
        <is>
          <t>-</t>
        </is>
      </c>
      <c r="M70" s="29" t="inlineStr">
        <is>
          <t>제 16 기</t>
        </is>
      </c>
      <c r="N70" s="29" t="inlineStr">
        <is>
          <t>-11328904819.0</t>
        </is>
      </c>
      <c r="O70" s="29" t="inlineStr">
        <is>
          <t>-1996346226.0</t>
        </is>
      </c>
      <c r="P70" s="29" t="inlineStr">
        <is>
          <t>KRW</t>
        </is>
      </c>
      <c r="Q70" s="29" t="inlineStr">
        <is>
          <t>3</t>
        </is>
      </c>
    </row>
    <row r="71" ht="24" customHeight="1">
      <c r="A71" s="24" t="inlineStr">
        <is>
          <t>OpenDART_fnlttSinglAcntAll</t>
        </is>
      </c>
      <c r="B71" s="24" t="inlineStr">
        <is>
          <t>00591441</t>
        </is>
      </c>
      <c r="C71" s="24" t="inlineStr">
        <is>
          <t>어보브반도체</t>
        </is>
      </c>
      <c r="D71" s="24" t="inlineStr">
        <is>
          <t>abov</t>
        </is>
      </c>
      <c r="E71" s="24" t="inlineStr">
        <is>
          <t>102120</t>
        </is>
      </c>
      <c r="F71" s="24" t="inlineStr">
        <is>
          <t>2021</t>
        </is>
      </c>
      <c r="G71" s="24" t="inlineStr">
        <is>
          <t>CFS</t>
        </is>
      </c>
      <c r="H71" s="24" t="inlineStr">
        <is>
          <t>CF</t>
        </is>
      </c>
      <c r="I71" s="24" t="inlineStr">
        <is>
          <t>현금흐름표</t>
        </is>
      </c>
      <c r="J71" s="24" t="inlineStr">
        <is>
          <t>ifrs-full_InterestReceivedClassifiedAsOperatingActivities</t>
        </is>
      </c>
      <c r="K71" s="24" t="inlineStr">
        <is>
          <t>이자수취(영업)</t>
        </is>
      </c>
      <c r="L71" s="24" t="inlineStr">
        <is>
          <t>-</t>
        </is>
      </c>
      <c r="M71" s="24" t="inlineStr">
        <is>
          <t>제 16 기</t>
        </is>
      </c>
      <c r="N71" s="24" t="inlineStr">
        <is>
          <t>627676490.0</t>
        </is>
      </c>
      <c r="O71" s="24" t="inlineStr">
        <is>
          <t>521819723.0</t>
        </is>
      </c>
      <c r="P71" s="24" t="inlineStr">
        <is>
          <t>KRW</t>
        </is>
      </c>
      <c r="Q71" s="24" t="inlineStr">
        <is>
          <t>4</t>
        </is>
      </c>
    </row>
    <row r="72" ht="24" customHeight="1">
      <c r="A72" s="29" t="inlineStr">
        <is>
          <t>OpenDART_fnlttSinglAcntAll</t>
        </is>
      </c>
      <c r="B72" s="29" t="inlineStr">
        <is>
          <t>00591441</t>
        </is>
      </c>
      <c r="C72" s="29" t="inlineStr">
        <is>
          <t>어보브반도체</t>
        </is>
      </c>
      <c r="D72" s="29" t="inlineStr">
        <is>
          <t>abov</t>
        </is>
      </c>
      <c r="E72" s="29" t="inlineStr">
        <is>
          <t>102120</t>
        </is>
      </c>
      <c r="F72" s="29" t="inlineStr">
        <is>
          <t>2021</t>
        </is>
      </c>
      <c r="G72" s="29" t="inlineStr">
        <is>
          <t>CFS</t>
        </is>
      </c>
      <c r="H72" s="29" t="inlineStr">
        <is>
          <t>CF</t>
        </is>
      </c>
      <c r="I72" s="29" t="inlineStr">
        <is>
          <t>현금흐름표</t>
        </is>
      </c>
      <c r="J72" s="29" t="inlineStr">
        <is>
          <t>ifrs-full_InterestPaidClassifiedAsOperatingActivities</t>
        </is>
      </c>
      <c r="K72" s="29" t="inlineStr">
        <is>
          <t>이자지급(영업)</t>
        </is>
      </c>
      <c r="L72" s="29" t="inlineStr">
        <is>
          <t>-</t>
        </is>
      </c>
      <c r="M72" s="29" t="inlineStr">
        <is>
          <t>제 16 기</t>
        </is>
      </c>
      <c r="N72" s="29" t="inlineStr">
        <is>
          <t>143758461.0</t>
        </is>
      </c>
      <c r="O72" s="29" t="inlineStr">
        <is>
          <t>284777259.0</t>
        </is>
      </c>
      <c r="P72" s="29" t="inlineStr">
        <is>
          <t>KRW</t>
        </is>
      </c>
      <c r="Q72" s="29" t="inlineStr">
        <is>
          <t>5</t>
        </is>
      </c>
    </row>
    <row r="73" ht="24" customHeight="1">
      <c r="A73" s="24" t="inlineStr">
        <is>
          <t>OpenDART_fnlttSinglAcntAll</t>
        </is>
      </c>
      <c r="B73" s="24" t="inlineStr">
        <is>
          <t>00591441</t>
        </is>
      </c>
      <c r="C73" s="24" t="inlineStr">
        <is>
          <t>어보브반도체</t>
        </is>
      </c>
      <c r="D73" s="24" t="inlineStr">
        <is>
          <t>abov</t>
        </is>
      </c>
      <c r="E73" s="24" t="inlineStr">
        <is>
          <t>102120</t>
        </is>
      </c>
      <c r="F73" s="24" t="inlineStr">
        <is>
          <t>2021</t>
        </is>
      </c>
      <c r="G73" s="24" t="inlineStr">
        <is>
          <t>CFS</t>
        </is>
      </c>
      <c r="H73" s="24" t="inlineStr">
        <is>
          <t>CF</t>
        </is>
      </c>
      <c r="I73" s="24" t="inlineStr">
        <is>
          <t>현금흐름표</t>
        </is>
      </c>
      <c r="J73" s="24" t="inlineStr">
        <is>
          <t>ifrs-full_IncomeTaxesPaidRefundClassifiedAsOperatingActivities</t>
        </is>
      </c>
      <c r="K73" s="24" t="inlineStr">
        <is>
          <t>법인세납부(환급)</t>
        </is>
      </c>
      <c r="L73" s="24" t="inlineStr">
        <is>
          <t>-</t>
        </is>
      </c>
      <c r="M73" s="24" t="inlineStr">
        <is>
          <t>제 16 기</t>
        </is>
      </c>
      <c r="N73" s="24" t="inlineStr">
        <is>
          <t>2036884876.0</t>
        </is>
      </c>
      <c r="O73" s="24" t="inlineStr">
        <is>
          <t>111973690.0</t>
        </is>
      </c>
      <c r="P73" s="24" t="inlineStr">
        <is>
          <t>KRW</t>
        </is>
      </c>
      <c r="Q73" s="24" t="inlineStr">
        <is>
          <t>6</t>
        </is>
      </c>
    </row>
    <row r="74" ht="24" customHeight="1">
      <c r="A74" s="29" t="inlineStr">
        <is>
          <t>OpenDART_fnlttSinglAcntAll</t>
        </is>
      </c>
      <c r="B74" s="29" t="inlineStr">
        <is>
          <t>00591441</t>
        </is>
      </c>
      <c r="C74" s="29" t="inlineStr">
        <is>
          <t>어보브반도체</t>
        </is>
      </c>
      <c r="D74" s="29" t="inlineStr">
        <is>
          <t>abov</t>
        </is>
      </c>
      <c r="E74" s="29" t="inlineStr">
        <is>
          <t>102120</t>
        </is>
      </c>
      <c r="F74" s="29" t="inlineStr">
        <is>
          <t>2021</t>
        </is>
      </c>
      <c r="G74" s="29" t="inlineStr">
        <is>
          <t>CFS</t>
        </is>
      </c>
      <c r="H74" s="29" t="inlineStr">
        <is>
          <t>CF</t>
        </is>
      </c>
      <c r="I74" s="29" t="inlineStr">
        <is>
          <t>현금흐름표</t>
        </is>
      </c>
      <c r="J74" s="29" t="inlineStr">
        <is>
          <t>ifrs-full_CashFlowsFromUsedInInvestingActivities</t>
        </is>
      </c>
      <c r="K74" s="29" t="inlineStr">
        <is>
          <t>투자활동현금흐름</t>
        </is>
      </c>
      <c r="L74" s="29" t="inlineStr">
        <is>
          <t>-</t>
        </is>
      </c>
      <c r="M74" s="29" t="inlineStr">
        <is>
          <t>제 16 기</t>
        </is>
      </c>
      <c r="N74" s="29" t="inlineStr">
        <is>
          <t>-8195574438.0</t>
        </is>
      </c>
      <c r="O74" s="29" t="inlineStr">
        <is>
          <t>-28496598300.0</t>
        </is>
      </c>
      <c r="P74" s="29" t="inlineStr">
        <is>
          <t>KRW</t>
        </is>
      </c>
      <c r="Q74" s="29" t="inlineStr">
        <is>
          <t>7</t>
        </is>
      </c>
    </row>
    <row r="75" ht="24" customHeight="1">
      <c r="A75" s="24" t="inlineStr">
        <is>
          <t>OpenDART_fnlttSinglAcntAll</t>
        </is>
      </c>
      <c r="B75" s="24" t="inlineStr">
        <is>
          <t>00591441</t>
        </is>
      </c>
      <c r="C75" s="24" t="inlineStr">
        <is>
          <t>어보브반도체</t>
        </is>
      </c>
      <c r="D75" s="24" t="inlineStr">
        <is>
          <t>abov</t>
        </is>
      </c>
      <c r="E75" s="24" t="inlineStr">
        <is>
          <t>102120</t>
        </is>
      </c>
      <c r="F75" s="24" t="inlineStr">
        <is>
          <t>2021</t>
        </is>
      </c>
      <c r="G75" s="24" t="inlineStr">
        <is>
          <t>CFS</t>
        </is>
      </c>
      <c r="H75" s="24" t="inlineStr">
        <is>
          <t>CF</t>
        </is>
      </c>
      <c r="I75" s="24" t="inlineStr">
        <is>
          <t>현금흐름표</t>
        </is>
      </c>
      <c r="J75" s="24" t="inlineStr">
        <is>
          <t>dart_ProceedsFromSalesOfFinancialInstruments</t>
        </is>
      </c>
      <c r="K75" s="24" t="inlineStr">
        <is>
          <t>금융상품의 처분</t>
        </is>
      </c>
      <c r="L75" s="24" t="inlineStr">
        <is>
          <t>-</t>
        </is>
      </c>
      <c r="M75" s="24" t="inlineStr">
        <is>
          <t>제 16 기</t>
        </is>
      </c>
      <c r="N75" s="24" t="inlineStr">
        <is>
          <t>38670000000.0</t>
        </is>
      </c>
      <c r="O75" s="24" t="inlineStr">
        <is>
          <t>34500000000.0</t>
        </is>
      </c>
      <c r="P75" s="24" t="inlineStr">
        <is>
          <t>KRW</t>
        </is>
      </c>
      <c r="Q75" s="24" t="inlineStr">
        <is>
          <t>8</t>
        </is>
      </c>
    </row>
    <row r="76" ht="24" customHeight="1">
      <c r="A76" s="29" t="inlineStr">
        <is>
          <t>OpenDART_fnlttSinglAcntAll</t>
        </is>
      </c>
      <c r="B76" s="29" t="inlineStr">
        <is>
          <t>00591441</t>
        </is>
      </c>
      <c r="C76" s="29" t="inlineStr">
        <is>
          <t>어보브반도체</t>
        </is>
      </c>
      <c r="D76" s="29" t="inlineStr">
        <is>
          <t>abov</t>
        </is>
      </c>
      <c r="E76" s="29" t="inlineStr">
        <is>
          <t>102120</t>
        </is>
      </c>
      <c r="F76" s="29" t="inlineStr">
        <is>
          <t>2021</t>
        </is>
      </c>
      <c r="G76" s="29" t="inlineStr">
        <is>
          <t>CFS</t>
        </is>
      </c>
      <c r="H76" s="29" t="inlineStr">
        <is>
          <t>CF</t>
        </is>
      </c>
      <c r="I76" s="29" t="inlineStr">
        <is>
          <t>현금흐름표</t>
        </is>
      </c>
      <c r="J76" s="29" t="inlineStr">
        <is>
          <t>dart_PurchaseOfFinancialInstruments</t>
        </is>
      </c>
      <c r="K76" s="29" t="inlineStr">
        <is>
          <t>금융상품의 취득</t>
        </is>
      </c>
      <c r="L76" s="29" t="inlineStr">
        <is>
          <t>-</t>
        </is>
      </c>
      <c r="M76" s="29" t="inlineStr">
        <is>
          <t>제 16 기</t>
        </is>
      </c>
      <c r="N76" s="29" t="inlineStr">
        <is>
          <t>10910000000.0</t>
        </is>
      </c>
      <c r="O76" s="29" t="inlineStr">
        <is>
          <t>30000000000.0</t>
        </is>
      </c>
      <c r="P76" s="29" t="inlineStr">
        <is>
          <t>KRW</t>
        </is>
      </c>
      <c r="Q76" s="29" t="inlineStr">
        <is>
          <t>9</t>
        </is>
      </c>
    </row>
    <row r="77" ht="24" customHeight="1">
      <c r="A77" s="24" t="inlineStr">
        <is>
          <t>OpenDART_fnlttSinglAcntAll</t>
        </is>
      </c>
      <c r="B77" s="24" t="inlineStr">
        <is>
          <t>00591441</t>
        </is>
      </c>
      <c r="C77" s="24" t="inlineStr">
        <is>
          <t>어보브반도체</t>
        </is>
      </c>
      <c r="D77" s="24" t="inlineStr">
        <is>
          <t>abov</t>
        </is>
      </c>
      <c r="E77" s="24" t="inlineStr">
        <is>
          <t>102120</t>
        </is>
      </c>
      <c r="F77" s="24" t="inlineStr">
        <is>
          <t>2021</t>
        </is>
      </c>
      <c r="G77" s="24" t="inlineStr">
        <is>
          <t>CFS</t>
        </is>
      </c>
      <c r="H77" s="24" t="inlineStr">
        <is>
          <t>CF</t>
        </is>
      </c>
      <c r="I77" s="24" t="inlineStr">
        <is>
          <t>현금흐름표</t>
        </is>
      </c>
      <c r="J77" s="24" t="inlineStr">
        <is>
          <t>-표준계정코드 미사용-</t>
        </is>
      </c>
      <c r="K77" s="24" t="inlineStr">
        <is>
          <t>외화정기예금의 취득</t>
        </is>
      </c>
      <c r="L77" s="24" t="inlineStr">
        <is>
          <t>-</t>
        </is>
      </c>
      <c r="M77" s="24" t="inlineStr">
        <is>
          <t>제 16 기</t>
        </is>
      </c>
      <c r="N77" s="24" t="inlineStr">
        <is>
          <t>해당 없음</t>
        </is>
      </c>
      <c r="O77" s="24" t="inlineStr">
        <is>
          <t>-24466000000.0</t>
        </is>
      </c>
      <c r="P77" s="24" t="inlineStr">
        <is>
          <t>KRW</t>
        </is>
      </c>
      <c r="Q77" s="24" t="inlineStr">
        <is>
          <t>10</t>
        </is>
      </c>
    </row>
    <row r="78" ht="24" customHeight="1">
      <c r="A78" s="29" t="inlineStr">
        <is>
          <t>OpenDART_fnlttSinglAcntAll</t>
        </is>
      </c>
      <c r="B78" s="29" t="inlineStr">
        <is>
          <t>00591441</t>
        </is>
      </c>
      <c r="C78" s="29" t="inlineStr">
        <is>
          <t>어보브반도체</t>
        </is>
      </c>
      <c r="D78" s="29" t="inlineStr">
        <is>
          <t>abov</t>
        </is>
      </c>
      <c r="E78" s="29" t="inlineStr">
        <is>
          <t>102120</t>
        </is>
      </c>
      <c r="F78" s="29" t="inlineStr">
        <is>
          <t>2021</t>
        </is>
      </c>
      <c r="G78" s="29" t="inlineStr">
        <is>
          <t>CFS</t>
        </is>
      </c>
      <c r="H78" s="29" t="inlineStr">
        <is>
          <t>CF</t>
        </is>
      </c>
      <c r="I78" s="29" t="inlineStr">
        <is>
          <t>현금흐름표</t>
        </is>
      </c>
      <c r="J78" s="29" t="inlineStr">
        <is>
          <t>-표준계정코드 미사용-</t>
        </is>
      </c>
      <c r="K78" s="29" t="inlineStr">
        <is>
          <t>당기손익-공정가치측정 금융자산 취득</t>
        </is>
      </c>
      <c r="L78" s="29" t="inlineStr">
        <is>
          <t>-</t>
        </is>
      </c>
      <c r="M78" s="29" t="inlineStr">
        <is>
          <t>제 16 기</t>
        </is>
      </c>
      <c r="N78" s="29" t="inlineStr">
        <is>
          <t>49489349977.0</t>
        </is>
      </c>
      <c r="O78" s="29" t="inlineStr">
        <is>
          <t>35816611181.0</t>
        </is>
      </c>
      <c r="P78" s="29" t="inlineStr">
        <is>
          <t>KRW</t>
        </is>
      </c>
      <c r="Q78" s="29" t="inlineStr">
        <is>
          <t>11</t>
        </is>
      </c>
    </row>
    <row r="79" ht="24" customHeight="1">
      <c r="A79" s="24" t="inlineStr">
        <is>
          <t>OpenDART_fnlttSinglAcntAll</t>
        </is>
      </c>
      <c r="B79" s="24" t="inlineStr">
        <is>
          <t>00591441</t>
        </is>
      </c>
      <c r="C79" s="24" t="inlineStr">
        <is>
          <t>어보브반도체</t>
        </is>
      </c>
      <c r="D79" s="24" t="inlineStr">
        <is>
          <t>abov</t>
        </is>
      </c>
      <c r="E79" s="24" t="inlineStr">
        <is>
          <t>102120</t>
        </is>
      </c>
      <c r="F79" s="24" t="inlineStr">
        <is>
          <t>2021</t>
        </is>
      </c>
      <c r="G79" s="24" t="inlineStr">
        <is>
          <t>CFS</t>
        </is>
      </c>
      <c r="H79" s="24" t="inlineStr">
        <is>
          <t>CF</t>
        </is>
      </c>
      <c r="I79" s="24" t="inlineStr">
        <is>
          <t>현금흐름표</t>
        </is>
      </c>
      <c r="J79" s="24" t="inlineStr">
        <is>
          <t>-표준계정코드 미사용-</t>
        </is>
      </c>
      <c r="K79" s="24" t="inlineStr">
        <is>
          <t>당기손익-공정가치측정 금융자산 감소</t>
        </is>
      </c>
      <c r="L79" s="24" t="inlineStr">
        <is>
          <t>-</t>
        </is>
      </c>
      <c r="M79" s="24" t="inlineStr">
        <is>
          <t>제 16 기</t>
        </is>
      </c>
      <c r="N79" s="24" t="inlineStr">
        <is>
          <t>61847118273.0</t>
        </is>
      </c>
      <c r="O79" s="24" t="inlineStr">
        <is>
          <t>31527667226.0</t>
        </is>
      </c>
      <c r="P79" s="24" t="inlineStr">
        <is>
          <t>KRW</t>
        </is>
      </c>
      <c r="Q79" s="24" t="inlineStr">
        <is>
          <t>12</t>
        </is>
      </c>
    </row>
    <row r="80" ht="24" customHeight="1">
      <c r="A80" s="29" t="inlineStr">
        <is>
          <t>OpenDART_fnlttSinglAcntAll</t>
        </is>
      </c>
      <c r="B80" s="29" t="inlineStr">
        <is>
          <t>00591441</t>
        </is>
      </c>
      <c r="C80" s="29" t="inlineStr">
        <is>
          <t>어보브반도체</t>
        </is>
      </c>
      <c r="D80" s="29" t="inlineStr">
        <is>
          <t>abov</t>
        </is>
      </c>
      <c r="E80" s="29" t="inlineStr">
        <is>
          <t>102120</t>
        </is>
      </c>
      <c r="F80" s="29" t="inlineStr">
        <is>
          <t>2021</t>
        </is>
      </c>
      <c r="G80" s="29" t="inlineStr">
        <is>
          <t>CFS</t>
        </is>
      </c>
      <c r="H80" s="29" t="inlineStr">
        <is>
          <t>CF</t>
        </is>
      </c>
      <c r="I80" s="29" t="inlineStr">
        <is>
          <t>현금흐름표</t>
        </is>
      </c>
      <c r="J80" s="29" t="inlineStr">
        <is>
          <t>dart_DecreaseInGuaranteeDeposits</t>
        </is>
      </c>
      <c r="K80" s="29" t="inlineStr">
        <is>
          <t>보증금의 감소</t>
        </is>
      </c>
      <c r="L80" s="29" t="inlineStr">
        <is>
          <t>-</t>
        </is>
      </c>
      <c r="M80" s="29" t="inlineStr">
        <is>
          <t>제 16 기</t>
        </is>
      </c>
      <c r="N80" s="29" t="inlineStr">
        <is>
          <t>40000000.0</t>
        </is>
      </c>
      <c r="O80" s="29" t="inlineStr">
        <is>
          <t>14922954.0</t>
        </is>
      </c>
      <c r="P80" s="29" t="inlineStr">
        <is>
          <t>KRW</t>
        </is>
      </c>
      <c r="Q80" s="29" t="inlineStr">
        <is>
          <t>13</t>
        </is>
      </c>
    </row>
    <row r="81" ht="24" customHeight="1">
      <c r="A81" s="24" t="inlineStr">
        <is>
          <t>OpenDART_fnlttSinglAcntAll</t>
        </is>
      </c>
      <c r="B81" s="24" t="inlineStr">
        <is>
          <t>00591441</t>
        </is>
      </c>
      <c r="C81" s="24" t="inlineStr">
        <is>
          <t>어보브반도체</t>
        </is>
      </c>
      <c r="D81" s="24" t="inlineStr">
        <is>
          <t>abov</t>
        </is>
      </c>
      <c r="E81" s="24" t="inlineStr">
        <is>
          <t>102120</t>
        </is>
      </c>
      <c r="F81" s="24" t="inlineStr">
        <is>
          <t>2021</t>
        </is>
      </c>
      <c r="G81" s="24" t="inlineStr">
        <is>
          <t>CFS</t>
        </is>
      </c>
      <c r="H81" s="24" t="inlineStr">
        <is>
          <t>CF</t>
        </is>
      </c>
      <c r="I81" s="24" t="inlineStr">
        <is>
          <t>현금흐름표</t>
        </is>
      </c>
      <c r="J81" s="24" t="inlineStr">
        <is>
          <t>dart_IncreaseInGuaranteeDeposits</t>
        </is>
      </c>
      <c r="K81" s="24" t="inlineStr">
        <is>
          <t>보증금의 증가</t>
        </is>
      </c>
      <c r="L81" s="24" t="inlineStr">
        <is>
          <t>-</t>
        </is>
      </c>
      <c r="M81" s="24" t="inlineStr">
        <is>
          <t>제 16 기</t>
        </is>
      </c>
      <c r="N81" s="24" t="inlineStr">
        <is>
          <t>1344509554.0</t>
        </is>
      </c>
      <c r="O81" s="24" t="inlineStr">
        <is>
          <t>1320520.0</t>
        </is>
      </c>
      <c r="P81" s="24" t="inlineStr">
        <is>
          <t>KRW</t>
        </is>
      </c>
      <c r="Q81" s="24" t="inlineStr">
        <is>
          <t>14</t>
        </is>
      </c>
    </row>
    <row r="82" ht="24" customHeight="1">
      <c r="A82" s="29" t="inlineStr">
        <is>
          <t>OpenDART_fnlttSinglAcntAll</t>
        </is>
      </c>
      <c r="B82" s="29" t="inlineStr">
        <is>
          <t>00591441</t>
        </is>
      </c>
      <c r="C82" s="29" t="inlineStr">
        <is>
          <t>어보브반도체</t>
        </is>
      </c>
      <c r="D82" s="29" t="inlineStr">
        <is>
          <t>abov</t>
        </is>
      </c>
      <c r="E82" s="29" t="inlineStr">
        <is>
          <t>102120</t>
        </is>
      </c>
      <c r="F82" s="29" t="inlineStr">
        <is>
          <t>2021</t>
        </is>
      </c>
      <c r="G82" s="29" t="inlineStr">
        <is>
          <t>CFS</t>
        </is>
      </c>
      <c r="H82" s="29" t="inlineStr">
        <is>
          <t>CF</t>
        </is>
      </c>
      <c r="I82" s="29" t="inlineStr">
        <is>
          <t>현금흐름표</t>
        </is>
      </c>
      <c r="J82" s="29" t="inlineStr">
        <is>
          <t>dart_PurchaseOfMachinery</t>
        </is>
      </c>
      <c r="K82" s="29" t="inlineStr">
        <is>
          <t>기계장치의 취득</t>
        </is>
      </c>
      <c r="L82" s="29" t="inlineStr">
        <is>
          <t>-</t>
        </is>
      </c>
      <c r="M82" s="29" t="inlineStr">
        <is>
          <t>제 16 기</t>
        </is>
      </c>
      <c r="N82" s="29" t="inlineStr">
        <is>
          <t>해당 없음</t>
        </is>
      </c>
      <c r="O82" s="29" t="inlineStr">
        <is>
          <t>해당 없음</t>
        </is>
      </c>
      <c r="P82" s="29" t="inlineStr">
        <is>
          <t>KRW</t>
        </is>
      </c>
      <c r="Q82" s="29" t="inlineStr">
        <is>
          <t>15</t>
        </is>
      </c>
    </row>
    <row r="83" ht="24" customHeight="1">
      <c r="A83" s="24" t="inlineStr">
        <is>
          <t>OpenDART_fnlttSinglAcntAll</t>
        </is>
      </c>
      <c r="B83" s="24" t="inlineStr">
        <is>
          <t>00591441</t>
        </is>
      </c>
      <c r="C83" s="24" t="inlineStr">
        <is>
          <t>어보브반도체</t>
        </is>
      </c>
      <c r="D83" s="24" t="inlineStr">
        <is>
          <t>abov</t>
        </is>
      </c>
      <c r="E83" s="24" t="inlineStr">
        <is>
          <t>102120</t>
        </is>
      </c>
      <c r="F83" s="24" t="inlineStr">
        <is>
          <t>2021</t>
        </is>
      </c>
      <c r="G83" s="24" t="inlineStr">
        <is>
          <t>CFS</t>
        </is>
      </c>
      <c r="H83" s="24" t="inlineStr">
        <is>
          <t>CF</t>
        </is>
      </c>
      <c r="I83" s="24" t="inlineStr">
        <is>
          <t>현금흐름표</t>
        </is>
      </c>
      <c r="J83" s="24" t="inlineStr">
        <is>
          <t>dart_PurchaseOfVehicles</t>
        </is>
      </c>
      <c r="K83" s="24" t="inlineStr">
        <is>
          <t>차량운반구의 취득</t>
        </is>
      </c>
      <c r="L83" s="24" t="inlineStr">
        <is>
          <t>-</t>
        </is>
      </c>
      <c r="M83" s="24" t="inlineStr">
        <is>
          <t>제 16 기</t>
        </is>
      </c>
      <c r="N83" s="24" t="inlineStr">
        <is>
          <t>71681597.0</t>
        </is>
      </c>
      <c r="O83" s="24" t="inlineStr">
        <is>
          <t>45695873.0</t>
        </is>
      </c>
      <c r="P83" s="24" t="inlineStr">
        <is>
          <t>KRW</t>
        </is>
      </c>
      <c r="Q83" s="24" t="inlineStr">
        <is>
          <t>17</t>
        </is>
      </c>
    </row>
    <row r="84" ht="24" customHeight="1">
      <c r="A84" s="29" t="inlineStr">
        <is>
          <t>OpenDART_fnlttSinglAcntAll</t>
        </is>
      </c>
      <c r="B84" s="29" t="inlineStr">
        <is>
          <t>00591441</t>
        </is>
      </c>
      <c r="C84" s="29" t="inlineStr">
        <is>
          <t>어보브반도체</t>
        </is>
      </c>
      <c r="D84" s="29" t="inlineStr">
        <is>
          <t>abov</t>
        </is>
      </c>
      <c r="E84" s="29" t="inlineStr">
        <is>
          <t>102120</t>
        </is>
      </c>
      <c r="F84" s="29" t="inlineStr">
        <is>
          <t>2021</t>
        </is>
      </c>
      <c r="G84" s="29" t="inlineStr">
        <is>
          <t>CFS</t>
        </is>
      </c>
      <c r="H84" s="29" t="inlineStr">
        <is>
          <t>CF</t>
        </is>
      </c>
      <c r="I84" s="29" t="inlineStr">
        <is>
          <t>현금흐름표</t>
        </is>
      </c>
      <c r="J84" s="29" t="inlineStr">
        <is>
          <t>dart_ProceedsFromSalesOfVehicles</t>
        </is>
      </c>
      <c r="K84" s="29" t="inlineStr">
        <is>
          <t>차량운반구의 처분</t>
        </is>
      </c>
      <c r="L84" s="29" t="inlineStr">
        <is>
          <t>-</t>
        </is>
      </c>
      <c r="M84" s="29" t="inlineStr">
        <is>
          <t>제 16 기</t>
        </is>
      </c>
      <c r="N84" s="29" t="inlineStr">
        <is>
          <t>해당 없음</t>
        </is>
      </c>
      <c r="O84" s="29" t="inlineStr">
        <is>
          <t>해당 없음</t>
        </is>
      </c>
      <c r="P84" s="29" t="inlineStr">
        <is>
          <t>KRW</t>
        </is>
      </c>
      <c r="Q84" s="29" t="inlineStr">
        <is>
          <t>18</t>
        </is>
      </c>
    </row>
    <row r="85" ht="24" customHeight="1">
      <c r="A85" s="24" t="inlineStr">
        <is>
          <t>OpenDART_fnlttSinglAcntAll</t>
        </is>
      </c>
      <c r="B85" s="24" t="inlineStr">
        <is>
          <t>00591441</t>
        </is>
      </c>
      <c r="C85" s="24" t="inlineStr">
        <is>
          <t>어보브반도체</t>
        </is>
      </c>
      <c r="D85" s="24" t="inlineStr">
        <is>
          <t>abov</t>
        </is>
      </c>
      <c r="E85" s="24" t="inlineStr">
        <is>
          <t>102120</t>
        </is>
      </c>
      <c r="F85" s="24" t="inlineStr">
        <is>
          <t>2021</t>
        </is>
      </c>
      <c r="G85" s="24" t="inlineStr">
        <is>
          <t>CFS</t>
        </is>
      </c>
      <c r="H85" s="24" t="inlineStr">
        <is>
          <t>CF</t>
        </is>
      </c>
      <c r="I85" s="24" t="inlineStr">
        <is>
          <t>현금흐름표</t>
        </is>
      </c>
      <c r="J85" s="24" t="inlineStr">
        <is>
          <t>dart_PurchaseOfOfficeEquipment</t>
        </is>
      </c>
      <c r="K85" s="24" t="inlineStr">
        <is>
          <t>사무비품의 취득</t>
        </is>
      </c>
      <c r="L85" s="24" t="inlineStr">
        <is>
          <t>-</t>
        </is>
      </c>
      <c r="M85" s="24" t="inlineStr">
        <is>
          <t>제 16 기</t>
        </is>
      </c>
      <c r="N85" s="24" t="inlineStr">
        <is>
          <t>42766179.0</t>
        </is>
      </c>
      <c r="O85" s="24" t="inlineStr">
        <is>
          <t>194663851.0</t>
        </is>
      </c>
      <c r="P85" s="24" t="inlineStr">
        <is>
          <t>KRW</t>
        </is>
      </c>
      <c r="Q85" s="24" t="inlineStr">
        <is>
          <t>19</t>
        </is>
      </c>
    </row>
    <row r="86" ht="24" customHeight="1">
      <c r="A86" s="29" t="inlineStr">
        <is>
          <t>OpenDART_fnlttSinglAcntAll</t>
        </is>
      </c>
      <c r="B86" s="29" t="inlineStr">
        <is>
          <t>00591441</t>
        </is>
      </c>
      <c r="C86" s="29" t="inlineStr">
        <is>
          <t>어보브반도체</t>
        </is>
      </c>
      <c r="D86" s="29" t="inlineStr">
        <is>
          <t>abov</t>
        </is>
      </c>
      <c r="E86" s="29" t="inlineStr">
        <is>
          <t>102120</t>
        </is>
      </c>
      <c r="F86" s="29" t="inlineStr">
        <is>
          <t>2021</t>
        </is>
      </c>
      <c r="G86" s="29" t="inlineStr">
        <is>
          <t>CFS</t>
        </is>
      </c>
      <c r="H86" s="29" t="inlineStr">
        <is>
          <t>CF</t>
        </is>
      </c>
      <c r="I86" s="29" t="inlineStr">
        <is>
          <t>현금흐름표</t>
        </is>
      </c>
      <c r="J86" s="29" t="inlineStr">
        <is>
          <t>-표준계정코드 미사용-</t>
        </is>
      </c>
      <c r="K86" s="29" t="inlineStr">
        <is>
          <t>계측기의 취득</t>
        </is>
      </c>
      <c r="L86" s="29" t="inlineStr">
        <is>
          <t>-</t>
        </is>
      </c>
      <c r="M86" s="29" t="inlineStr">
        <is>
          <t>제 16 기</t>
        </is>
      </c>
      <c r="N86" s="29" t="inlineStr">
        <is>
          <t>141425540.0</t>
        </is>
      </c>
      <c r="O86" s="29" t="inlineStr">
        <is>
          <t>407357356.0</t>
        </is>
      </c>
      <c r="P86" s="29" t="inlineStr">
        <is>
          <t>KRW</t>
        </is>
      </c>
      <c r="Q86" s="29" t="inlineStr">
        <is>
          <t>20</t>
        </is>
      </c>
    </row>
    <row r="87" ht="24" customHeight="1">
      <c r="A87" s="24" t="inlineStr">
        <is>
          <t>OpenDART_fnlttSinglAcntAll</t>
        </is>
      </c>
      <c r="B87" s="24" t="inlineStr">
        <is>
          <t>00591441</t>
        </is>
      </c>
      <c r="C87" s="24" t="inlineStr">
        <is>
          <t>어보브반도체</t>
        </is>
      </c>
      <c r="D87" s="24" t="inlineStr">
        <is>
          <t>abov</t>
        </is>
      </c>
      <c r="E87" s="24" t="inlineStr">
        <is>
          <t>102120</t>
        </is>
      </c>
      <c r="F87" s="24" t="inlineStr">
        <is>
          <t>2021</t>
        </is>
      </c>
      <c r="G87" s="24" t="inlineStr">
        <is>
          <t>CFS</t>
        </is>
      </c>
      <c r="H87" s="24" t="inlineStr">
        <is>
          <t>CF</t>
        </is>
      </c>
      <c r="I87" s="24" t="inlineStr">
        <is>
          <t>현금흐름표</t>
        </is>
      </c>
      <c r="J87" s="24" t="inlineStr">
        <is>
          <t>-표준계정코드 미사용-</t>
        </is>
      </c>
      <c r="K87" s="24" t="inlineStr">
        <is>
          <t>시설장치의 취득</t>
        </is>
      </c>
      <c r="L87" s="24" t="inlineStr">
        <is>
          <t>-</t>
        </is>
      </c>
      <c r="M87" s="24" t="inlineStr">
        <is>
          <t>제 16 기</t>
        </is>
      </c>
      <c r="N87" s="24" t="inlineStr">
        <is>
          <t>21100000.0</t>
        </is>
      </c>
      <c r="O87" s="24" t="inlineStr">
        <is>
          <t>167313286.0</t>
        </is>
      </c>
      <c r="P87" s="24" t="inlineStr">
        <is>
          <t>KRW</t>
        </is>
      </c>
      <c r="Q87" s="24" t="inlineStr">
        <is>
          <t>21</t>
        </is>
      </c>
    </row>
    <row r="88" ht="24" customHeight="1">
      <c r="A88" s="29" t="inlineStr">
        <is>
          <t>OpenDART_fnlttSinglAcntAll</t>
        </is>
      </c>
      <c r="B88" s="29" t="inlineStr">
        <is>
          <t>00591441</t>
        </is>
      </c>
      <c r="C88" s="29" t="inlineStr">
        <is>
          <t>어보브반도체</t>
        </is>
      </c>
      <c r="D88" s="29" t="inlineStr">
        <is>
          <t>abov</t>
        </is>
      </c>
      <c r="E88" s="29" t="inlineStr">
        <is>
          <t>102120</t>
        </is>
      </c>
      <c r="F88" s="29" t="inlineStr">
        <is>
          <t>2021</t>
        </is>
      </c>
      <c r="G88" s="29" t="inlineStr">
        <is>
          <t>CFS</t>
        </is>
      </c>
      <c r="H88" s="29" t="inlineStr">
        <is>
          <t>CF</t>
        </is>
      </c>
      <c r="I88" s="29" t="inlineStr">
        <is>
          <t>현금흐름표</t>
        </is>
      </c>
      <c r="J88" s="29" t="inlineStr">
        <is>
          <t>-표준계정코드 미사용-</t>
        </is>
      </c>
      <c r="K88" s="29" t="inlineStr">
        <is>
          <t>연구비품의 취득</t>
        </is>
      </c>
      <c r="L88" s="29" t="inlineStr">
        <is>
          <t>-</t>
        </is>
      </c>
      <c r="M88" s="29" t="inlineStr">
        <is>
          <t>제 16 기</t>
        </is>
      </c>
      <c r="N88" s="29" t="inlineStr">
        <is>
          <t>8276364.0</t>
        </is>
      </c>
      <c r="O88" s="29" t="inlineStr">
        <is>
          <t>61833000.0</t>
        </is>
      </c>
      <c r="P88" s="29" t="inlineStr">
        <is>
          <t>KRW</t>
        </is>
      </c>
      <c r="Q88" s="29" t="inlineStr">
        <is>
          <t>22</t>
        </is>
      </c>
    </row>
    <row r="89" ht="24" customHeight="1">
      <c r="A89" s="24" t="inlineStr">
        <is>
          <t>OpenDART_fnlttSinglAcntAll</t>
        </is>
      </c>
      <c r="B89" s="24" t="inlineStr">
        <is>
          <t>00591441</t>
        </is>
      </c>
      <c r="C89" s="24" t="inlineStr">
        <is>
          <t>어보브반도체</t>
        </is>
      </c>
      <c r="D89" s="24" t="inlineStr">
        <is>
          <t>abov</t>
        </is>
      </c>
      <c r="E89" s="24" t="inlineStr">
        <is>
          <t>102120</t>
        </is>
      </c>
      <c r="F89" s="24" t="inlineStr">
        <is>
          <t>2021</t>
        </is>
      </c>
      <c r="G89" s="24" t="inlineStr">
        <is>
          <t>CFS</t>
        </is>
      </c>
      <c r="H89" s="24" t="inlineStr">
        <is>
          <t>CF</t>
        </is>
      </c>
      <c r="I89" s="24" t="inlineStr">
        <is>
          <t>현금흐름표</t>
        </is>
      </c>
      <c r="J89" s="24" t="inlineStr">
        <is>
          <t>dart_PurchaseOfCopyrightsPatentsAndOtherIndustrialPropertyRightsServiceAndOperatingRights</t>
        </is>
      </c>
      <c r="K89" s="24" t="inlineStr">
        <is>
          <t>특허권의 취득</t>
        </is>
      </c>
      <c r="L89" s="24" t="inlineStr">
        <is>
          <t>-</t>
        </is>
      </c>
      <c r="M89" s="24" t="inlineStr">
        <is>
          <t>제 16 기</t>
        </is>
      </c>
      <c r="N89" s="24" t="inlineStr">
        <is>
          <t>91739207.0</t>
        </is>
      </c>
      <c r="O89" s="24" t="inlineStr">
        <is>
          <t>84518176.0</t>
        </is>
      </c>
      <c r="P89" s="24" t="inlineStr">
        <is>
          <t>KRW</t>
        </is>
      </c>
      <c r="Q89" s="24" t="inlineStr">
        <is>
          <t>23</t>
        </is>
      </c>
    </row>
    <row r="90" ht="24" customHeight="1">
      <c r="A90" s="29" t="inlineStr">
        <is>
          <t>OpenDART_fnlttSinglAcntAll</t>
        </is>
      </c>
      <c r="B90" s="29" t="inlineStr">
        <is>
          <t>00591441</t>
        </is>
      </c>
      <c r="C90" s="29" t="inlineStr">
        <is>
          <t>어보브반도체</t>
        </is>
      </c>
      <c r="D90" s="29" t="inlineStr">
        <is>
          <t>abov</t>
        </is>
      </c>
      <c r="E90" s="29" t="inlineStr">
        <is>
          <t>102120</t>
        </is>
      </c>
      <c r="F90" s="29" t="inlineStr">
        <is>
          <t>2021</t>
        </is>
      </c>
      <c r="G90" s="29" t="inlineStr">
        <is>
          <t>CFS</t>
        </is>
      </c>
      <c r="H90" s="29" t="inlineStr">
        <is>
          <t>CF</t>
        </is>
      </c>
      <c r="I90" s="29" t="inlineStr">
        <is>
          <t>현금흐름표</t>
        </is>
      </c>
      <c r="J90" s="29" t="inlineStr">
        <is>
          <t>dart_PurchaseOfIntangibleAssetsUnderDevelopment</t>
        </is>
      </c>
      <c r="K90" s="29" t="inlineStr">
        <is>
          <t>개발비의 증가</t>
        </is>
      </c>
      <c r="L90" s="29" t="inlineStr">
        <is>
          <t>-</t>
        </is>
      </c>
      <c r="M90" s="29" t="inlineStr">
        <is>
          <t>제 16 기</t>
        </is>
      </c>
      <c r="N90" s="29" t="inlineStr">
        <is>
          <t>3762806180.0</t>
        </is>
      </c>
      <c r="O90" s="29" t="inlineStr">
        <is>
          <t>3226814467.0</t>
        </is>
      </c>
      <c r="P90" s="29" t="inlineStr">
        <is>
          <t>KRW</t>
        </is>
      </c>
      <c r="Q90" s="29" t="inlineStr">
        <is>
          <t>24</t>
        </is>
      </c>
    </row>
    <row r="91" ht="24" customHeight="1">
      <c r="A91" s="24" t="inlineStr">
        <is>
          <t>OpenDART_fnlttSinglAcntAll</t>
        </is>
      </c>
      <c r="B91" s="24" t="inlineStr">
        <is>
          <t>00591441</t>
        </is>
      </c>
      <c r="C91" s="24" t="inlineStr">
        <is>
          <t>어보브반도체</t>
        </is>
      </c>
      <c r="D91" s="24" t="inlineStr">
        <is>
          <t>abov</t>
        </is>
      </c>
      <c r="E91" s="24" t="inlineStr">
        <is>
          <t>102120</t>
        </is>
      </c>
      <c r="F91" s="24" t="inlineStr">
        <is>
          <t>2021</t>
        </is>
      </c>
      <c r="G91" s="24" t="inlineStr">
        <is>
          <t>CFS</t>
        </is>
      </c>
      <c r="H91" s="24" t="inlineStr">
        <is>
          <t>CF</t>
        </is>
      </c>
      <c r="I91" s="24" t="inlineStr">
        <is>
          <t>현금흐름표</t>
        </is>
      </c>
      <c r="J91" s="24" t="inlineStr">
        <is>
          <t>dart_ProceedsFromSalesOfIntangibleAssetsUnderDevelopment</t>
        </is>
      </c>
      <c r="K91" s="24" t="inlineStr">
        <is>
          <t>개발비의 감소</t>
        </is>
      </c>
      <c r="L91" s="24" t="inlineStr">
        <is>
          <t>-</t>
        </is>
      </c>
      <c r="M91" s="24" t="inlineStr">
        <is>
          <t>제 16 기</t>
        </is>
      </c>
      <c r="N91" s="24" t="inlineStr">
        <is>
          <t>해당 없음</t>
        </is>
      </c>
      <c r="O91" s="24" t="inlineStr">
        <is>
          <t>2574848664.0</t>
        </is>
      </c>
      <c r="P91" s="24" t="inlineStr">
        <is>
          <t>KRW</t>
        </is>
      </c>
      <c r="Q91" s="24" t="inlineStr">
        <is>
          <t>25</t>
        </is>
      </c>
    </row>
    <row r="92" ht="24" customHeight="1">
      <c r="A92" s="29" t="inlineStr">
        <is>
          <t>OpenDART_fnlttSinglAcntAll</t>
        </is>
      </c>
      <c r="B92" s="29" t="inlineStr">
        <is>
          <t>00591441</t>
        </is>
      </c>
      <c r="C92" s="29" t="inlineStr">
        <is>
          <t>어보브반도체</t>
        </is>
      </c>
      <c r="D92" s="29" t="inlineStr">
        <is>
          <t>abov</t>
        </is>
      </c>
      <c r="E92" s="29" t="inlineStr">
        <is>
          <t>102120</t>
        </is>
      </c>
      <c r="F92" s="29" t="inlineStr">
        <is>
          <t>2021</t>
        </is>
      </c>
      <c r="G92" s="29" t="inlineStr">
        <is>
          <t>CFS</t>
        </is>
      </c>
      <c r="H92" s="29" t="inlineStr">
        <is>
          <t>CF</t>
        </is>
      </c>
      <c r="I92" s="29" t="inlineStr">
        <is>
          <t>현금흐름표</t>
        </is>
      </c>
      <c r="J92" s="29" t="inlineStr">
        <is>
          <t>ifrs-full_ProceedsFromSalesOfIntangibleAssetsClassifiedAsInvestingActivities</t>
        </is>
      </c>
      <c r="K92" s="29" t="inlineStr">
        <is>
          <t>회원권의 처분</t>
        </is>
      </c>
      <c r="L92" s="29" t="inlineStr">
        <is>
          <t>-</t>
        </is>
      </c>
      <c r="M92" s="29" t="inlineStr">
        <is>
          <t>제 16 기</t>
        </is>
      </c>
      <c r="N92" s="29" t="inlineStr">
        <is>
          <t>해당 없음</t>
        </is>
      </c>
      <c r="O92" s="29" t="inlineStr">
        <is>
          <t>1217010.0</t>
        </is>
      </c>
      <c r="P92" s="29" t="inlineStr">
        <is>
          <t>KRW</t>
        </is>
      </c>
      <c r="Q92" s="29" t="inlineStr">
        <is>
          <t>26</t>
        </is>
      </c>
    </row>
    <row r="93" ht="24" customHeight="1">
      <c r="A93" s="24" t="inlineStr">
        <is>
          <t>OpenDART_fnlttSinglAcntAll</t>
        </is>
      </c>
      <c r="B93" s="24" t="inlineStr">
        <is>
          <t>00591441</t>
        </is>
      </c>
      <c r="C93" s="24" t="inlineStr">
        <is>
          <t>어보브반도체</t>
        </is>
      </c>
      <c r="D93" s="24" t="inlineStr">
        <is>
          <t>abov</t>
        </is>
      </c>
      <c r="E93" s="24" t="inlineStr">
        <is>
          <t>102120</t>
        </is>
      </c>
      <c r="F93" s="24" t="inlineStr">
        <is>
          <t>2021</t>
        </is>
      </c>
      <c r="G93" s="24" t="inlineStr">
        <is>
          <t>CFS</t>
        </is>
      </c>
      <c r="H93" s="24" t="inlineStr">
        <is>
          <t>CF</t>
        </is>
      </c>
      <c r="I93" s="24" t="inlineStr">
        <is>
          <t>현금흐름표</t>
        </is>
      </c>
      <c r="J93" s="24" t="inlineStr">
        <is>
          <t>ifrs-full_PurchaseOfIntangibleAssetsClassifiedAsInvestingActivities</t>
        </is>
      </c>
      <c r="K93" s="24" t="inlineStr">
        <is>
          <t>회원권의 취득</t>
        </is>
      </c>
      <c r="L93" s="24" t="inlineStr">
        <is>
          <t>-</t>
        </is>
      </c>
      <c r="M93" s="24" t="inlineStr">
        <is>
          <t>제 16 기</t>
        </is>
      </c>
      <c r="N93" s="24" t="inlineStr">
        <is>
          <t>해당 없음</t>
        </is>
      </c>
      <c r="O93" s="24" t="inlineStr">
        <is>
          <t>해당 없음</t>
        </is>
      </c>
      <c r="P93" s="24" t="inlineStr">
        <is>
          <t>KRW</t>
        </is>
      </c>
      <c r="Q93" s="24" t="inlineStr">
        <is>
          <t>27</t>
        </is>
      </c>
    </row>
    <row r="94" ht="24" customHeight="1">
      <c r="A94" s="29" t="inlineStr">
        <is>
          <t>OpenDART_fnlttSinglAcntAll</t>
        </is>
      </c>
      <c r="B94" s="29" t="inlineStr">
        <is>
          <t>00591441</t>
        </is>
      </c>
      <c r="C94" s="29" t="inlineStr">
        <is>
          <t>어보브반도체</t>
        </is>
      </c>
      <c r="D94" s="29" t="inlineStr">
        <is>
          <t>abov</t>
        </is>
      </c>
      <c r="E94" s="29" t="inlineStr">
        <is>
          <t>102120</t>
        </is>
      </c>
      <c r="F94" s="29" t="inlineStr">
        <is>
          <t>2021</t>
        </is>
      </c>
      <c r="G94" s="29" t="inlineStr">
        <is>
          <t>CFS</t>
        </is>
      </c>
      <c r="H94" s="29" t="inlineStr">
        <is>
          <t>CF</t>
        </is>
      </c>
      <c r="I94" s="29" t="inlineStr">
        <is>
          <t>현금흐름표</t>
        </is>
      </c>
      <c r="J94" s="29" t="inlineStr">
        <is>
          <t>dart_PurchaseOfComputerSoftware</t>
        </is>
      </c>
      <c r="K94" s="29" t="inlineStr">
        <is>
          <t>소프트웨어의 취득</t>
        </is>
      </c>
      <c r="L94" s="29" t="inlineStr">
        <is>
          <t>-</t>
        </is>
      </c>
      <c r="M94" s="29" t="inlineStr">
        <is>
          <t>제 16 기</t>
        </is>
      </c>
      <c r="N94" s="29" t="inlineStr">
        <is>
          <t>449518040.0</t>
        </is>
      </c>
      <c r="O94" s="29" t="inlineStr">
        <is>
          <t>266851000.0</t>
        </is>
      </c>
      <c r="P94" s="29" t="inlineStr">
        <is>
          <t>KRW</t>
        </is>
      </c>
      <c r="Q94" s="29" t="inlineStr">
        <is>
          <t>28</t>
        </is>
      </c>
    </row>
    <row r="95" ht="24" customHeight="1">
      <c r="A95" s="24" t="inlineStr">
        <is>
          <t>OpenDART_fnlttSinglAcntAll</t>
        </is>
      </c>
      <c r="B95" s="24" t="inlineStr">
        <is>
          <t>00591441</t>
        </is>
      </c>
      <c r="C95" s="24" t="inlineStr">
        <is>
          <t>어보브반도체</t>
        </is>
      </c>
      <c r="D95" s="24" t="inlineStr">
        <is>
          <t>abov</t>
        </is>
      </c>
      <c r="E95" s="24" t="inlineStr">
        <is>
          <t>102120</t>
        </is>
      </c>
      <c r="F95" s="24" t="inlineStr">
        <is>
          <t>2021</t>
        </is>
      </c>
      <c r="G95" s="24" t="inlineStr">
        <is>
          <t>CFS</t>
        </is>
      </c>
      <c r="H95" s="24" t="inlineStr">
        <is>
          <t>CF</t>
        </is>
      </c>
      <c r="I95" s="24" t="inlineStr">
        <is>
          <t>현금흐름표</t>
        </is>
      </c>
      <c r="J95" s="24" t="inlineStr">
        <is>
          <t>dart_RepaymentOfGovernmentGrantsClassifiedAsInvestingActivities</t>
        </is>
      </c>
      <c r="K95" s="24" t="inlineStr">
        <is>
          <t>국고보조금의 감소</t>
        </is>
      </c>
      <c r="L95" s="24" t="inlineStr">
        <is>
          <t>-</t>
        </is>
      </c>
      <c r="M95" s="24" t="inlineStr">
        <is>
          <t>제 16 기</t>
        </is>
      </c>
      <c r="N95" s="24" t="inlineStr">
        <is>
          <t>464643977.0</t>
        </is>
      </c>
      <c r="O95" s="24" t="inlineStr">
        <is>
          <t>1075926637.0</t>
        </is>
      </c>
      <c r="P95" s="24" t="inlineStr">
        <is>
          <t>KRW</t>
        </is>
      </c>
      <c r="Q95" s="24" t="inlineStr">
        <is>
          <t>29</t>
        </is>
      </c>
    </row>
    <row r="96" ht="24" customHeight="1">
      <c r="A96" s="29" t="inlineStr">
        <is>
          <t>OpenDART_fnlttSinglAcntAll</t>
        </is>
      </c>
      <c r="B96" s="29" t="inlineStr">
        <is>
          <t>00591441</t>
        </is>
      </c>
      <c r="C96" s="29" t="inlineStr">
        <is>
          <t>어보브반도체</t>
        </is>
      </c>
      <c r="D96" s="29" t="inlineStr">
        <is>
          <t>abov</t>
        </is>
      </c>
      <c r="E96" s="29" t="inlineStr">
        <is>
          <t>102120</t>
        </is>
      </c>
      <c r="F96" s="29" t="inlineStr">
        <is>
          <t>2021</t>
        </is>
      </c>
      <c r="G96" s="29" t="inlineStr">
        <is>
          <t>CFS</t>
        </is>
      </c>
      <c r="H96" s="29" t="inlineStr">
        <is>
          <t>CF</t>
        </is>
      </c>
      <c r="I96" s="29" t="inlineStr">
        <is>
          <t>현금흐름표</t>
        </is>
      </c>
      <c r="J96" s="29" t="inlineStr">
        <is>
          <t>dart_DecreaseInLoans</t>
        </is>
      </c>
      <c r="K96" s="29" t="inlineStr">
        <is>
          <t>대여금의 감소</t>
        </is>
      </c>
      <c r="L96" s="29" t="inlineStr">
        <is>
          <t>-</t>
        </is>
      </c>
      <c r="M96" s="29" t="inlineStr">
        <is>
          <t>제 16 기</t>
        </is>
      </c>
      <c r="N96" s="29" t="inlineStr">
        <is>
          <t>148333324.0</t>
        </is>
      </c>
      <c r="O96" s="29" t="inlineStr">
        <is>
          <t>200722919.0</t>
        </is>
      </c>
      <c r="P96" s="29" t="inlineStr">
        <is>
          <t>KRW</t>
        </is>
      </c>
      <c r="Q96" s="29" t="inlineStr">
        <is>
          <t>30</t>
        </is>
      </c>
    </row>
    <row r="97" ht="24" customHeight="1">
      <c r="A97" s="24" t="inlineStr">
        <is>
          <t>OpenDART_fnlttSinglAcntAll</t>
        </is>
      </c>
      <c r="B97" s="24" t="inlineStr">
        <is>
          <t>00591441</t>
        </is>
      </c>
      <c r="C97" s="24" t="inlineStr">
        <is>
          <t>어보브반도체</t>
        </is>
      </c>
      <c r="D97" s="24" t="inlineStr">
        <is>
          <t>abov</t>
        </is>
      </c>
      <c r="E97" s="24" t="inlineStr">
        <is>
          <t>102120</t>
        </is>
      </c>
      <c r="F97" s="24" t="inlineStr">
        <is>
          <t>2021</t>
        </is>
      </c>
      <c r="G97" s="24" t="inlineStr">
        <is>
          <t>CFS</t>
        </is>
      </c>
      <c r="H97" s="24" t="inlineStr">
        <is>
          <t>CF</t>
        </is>
      </c>
      <c r="I97" s="24" t="inlineStr">
        <is>
          <t>현금흐름표</t>
        </is>
      </c>
      <c r="J97" s="24" t="inlineStr">
        <is>
          <t>dart_IncreaseInLoans</t>
        </is>
      </c>
      <c r="K97" s="24" t="inlineStr">
        <is>
          <t>대여금의 증가</t>
        </is>
      </c>
      <c r="L97" s="24" t="inlineStr">
        <is>
          <t>-</t>
        </is>
      </c>
      <c r="M97" s="24" t="inlineStr">
        <is>
          <t>제 16 기</t>
        </is>
      </c>
      <c r="N97" s="24" t="inlineStr">
        <is>
          <t>110000000.0</t>
        </is>
      </c>
      <c r="O97" s="24" t="inlineStr">
        <is>
          <t>13570278.0</t>
        </is>
      </c>
      <c r="P97" s="24" t="inlineStr">
        <is>
          <t>KRW</t>
        </is>
      </c>
      <c r="Q97" s="24" t="inlineStr">
        <is>
          <t>31</t>
        </is>
      </c>
    </row>
    <row r="98" ht="24" customHeight="1">
      <c r="A98" s="29" t="inlineStr">
        <is>
          <t>OpenDART_fnlttSinglAcntAll</t>
        </is>
      </c>
      <c r="B98" s="29" t="inlineStr">
        <is>
          <t>00591441</t>
        </is>
      </c>
      <c r="C98" s="29" t="inlineStr">
        <is>
          <t>어보브반도체</t>
        </is>
      </c>
      <c r="D98" s="29" t="inlineStr">
        <is>
          <t>abov</t>
        </is>
      </c>
      <c r="E98" s="29" t="inlineStr">
        <is>
          <t>102120</t>
        </is>
      </c>
      <c r="F98" s="29" t="inlineStr">
        <is>
          <t>2021</t>
        </is>
      </c>
      <c r="G98" s="29" t="inlineStr">
        <is>
          <t>CFS</t>
        </is>
      </c>
      <c r="H98" s="29" t="inlineStr">
        <is>
          <t>CF</t>
        </is>
      </c>
      <c r="I98" s="29" t="inlineStr">
        <is>
          <t>현금흐름표</t>
        </is>
      </c>
      <c r="J98" s="29" t="inlineStr">
        <is>
          <t>-표준계정코드 미사용-</t>
        </is>
      </c>
      <c r="K98" s="29" t="inlineStr">
        <is>
          <t>장기미지급금의 감소</t>
        </is>
      </c>
      <c r="L98" s="29" t="inlineStr">
        <is>
          <t>-</t>
        </is>
      </c>
      <c r="M98" s="29" t="inlineStr">
        <is>
          <t>제 16 기</t>
        </is>
      </c>
      <c r="N98" s="29" t="inlineStr">
        <is>
          <t>해당 없음</t>
        </is>
      </c>
      <c r="O98" s="29" t="inlineStr">
        <is>
          <t>해당 없음</t>
        </is>
      </c>
      <c r="P98" s="29" t="inlineStr">
        <is>
          <t>KRW</t>
        </is>
      </c>
      <c r="Q98" s="29" t="inlineStr">
        <is>
          <t>33</t>
        </is>
      </c>
    </row>
    <row r="99" ht="24" customHeight="1">
      <c r="A99" s="24" t="inlineStr">
        <is>
          <t>OpenDART_fnlttSinglAcntAll</t>
        </is>
      </c>
      <c r="B99" s="24" t="inlineStr">
        <is>
          <t>00591441</t>
        </is>
      </c>
      <c r="C99" s="24" t="inlineStr">
        <is>
          <t>어보브반도체</t>
        </is>
      </c>
      <c r="D99" s="24" t="inlineStr">
        <is>
          <t>abov</t>
        </is>
      </c>
      <c r="E99" s="24" t="inlineStr">
        <is>
          <t>102120</t>
        </is>
      </c>
      <c r="F99" s="24" t="inlineStr">
        <is>
          <t>2021</t>
        </is>
      </c>
      <c r="G99" s="24" t="inlineStr">
        <is>
          <t>CFS</t>
        </is>
      </c>
      <c r="H99" s="24" t="inlineStr">
        <is>
          <t>CF</t>
        </is>
      </c>
      <c r="I99" s="24" t="inlineStr">
        <is>
          <t>현금흐름표</t>
        </is>
      </c>
      <c r="J99" s="24" t="inlineStr">
        <is>
          <t>dart_PurchaseOfInvestmentsInAssociates</t>
        </is>
      </c>
      <c r="K99" s="24" t="inlineStr">
        <is>
          <t>관계기업에 대한 투자자산의 취득</t>
        </is>
      </c>
      <c r="L99" s="24" t="inlineStr">
        <is>
          <t>-</t>
        </is>
      </c>
      <c r="M99" s="24" t="inlineStr">
        <is>
          <t>제 16 기</t>
        </is>
      </c>
      <c r="N99" s="24" t="inlineStr">
        <is>
          <t>41000009420.0</t>
        </is>
      </c>
      <c r="O99" s="24" t="inlineStr">
        <is>
          <t>1600016070.0</t>
        </is>
      </c>
      <c r="P99" s="24" t="inlineStr">
        <is>
          <t>KRW</t>
        </is>
      </c>
      <c r="Q99" s="24" t="inlineStr">
        <is>
          <t>34</t>
        </is>
      </c>
    </row>
    <row r="100" ht="24" customHeight="1">
      <c r="A100" s="29" t="inlineStr">
        <is>
          <t>OpenDART_fnlttSinglAcntAll</t>
        </is>
      </c>
      <c r="B100" s="29" t="inlineStr">
        <is>
          <t>00591441</t>
        </is>
      </c>
      <c r="C100" s="29" t="inlineStr">
        <is>
          <t>어보브반도체</t>
        </is>
      </c>
      <c r="D100" s="29" t="inlineStr">
        <is>
          <t>abov</t>
        </is>
      </c>
      <c r="E100" s="29" t="inlineStr">
        <is>
          <t>102120</t>
        </is>
      </c>
      <c r="F100" s="29" t="inlineStr">
        <is>
          <t>2021</t>
        </is>
      </c>
      <c r="G100" s="29" t="inlineStr">
        <is>
          <t>CFS</t>
        </is>
      </c>
      <c r="H100" s="29" t="inlineStr">
        <is>
          <t>CF</t>
        </is>
      </c>
      <c r="I100" s="29" t="inlineStr">
        <is>
          <t>현금흐름표</t>
        </is>
      </c>
      <c r="J100" s="29" t="inlineStr">
        <is>
          <t>dart_ProceedsFromSalesOfInvestmentsInAssociates</t>
        </is>
      </c>
      <c r="K100" s="29" t="inlineStr">
        <is>
          <t>관계기업에 대한 투자자산의 처분</t>
        </is>
      </c>
      <c r="L100" s="29" t="inlineStr">
        <is>
          <t>-</t>
        </is>
      </c>
      <c r="M100" s="29" t="inlineStr">
        <is>
          <t>제 16 기</t>
        </is>
      </c>
      <c r="N100" s="29" t="inlineStr">
        <is>
          <t>4000000.0</t>
        </is>
      </c>
      <c r="O100" s="29" t="inlineStr">
        <is>
          <t>161000000.0</t>
        </is>
      </c>
      <c r="P100" s="29" t="inlineStr">
        <is>
          <t>KRW</t>
        </is>
      </c>
      <c r="Q100" s="29" t="inlineStr">
        <is>
          <t>35</t>
        </is>
      </c>
    </row>
    <row r="101" ht="24" customHeight="1">
      <c r="A101" s="24" t="inlineStr">
        <is>
          <t>OpenDART_fnlttSinglAcntAll</t>
        </is>
      </c>
      <c r="B101" s="24" t="inlineStr">
        <is>
          <t>00591441</t>
        </is>
      </c>
      <c r="C101" s="24" t="inlineStr">
        <is>
          <t>어보브반도체</t>
        </is>
      </c>
      <c r="D101" s="24" t="inlineStr">
        <is>
          <t>abov</t>
        </is>
      </c>
      <c r="E101" s="24" t="inlineStr">
        <is>
          <t>102120</t>
        </is>
      </c>
      <c r="F101" s="24" t="inlineStr">
        <is>
          <t>2021</t>
        </is>
      </c>
      <c r="G101" s="24" t="inlineStr">
        <is>
          <t>CFS</t>
        </is>
      </c>
      <c r="H101" s="24" t="inlineStr">
        <is>
          <t>CF</t>
        </is>
      </c>
      <c r="I101" s="24" t="inlineStr">
        <is>
          <t>현금흐름표</t>
        </is>
      </c>
      <c r="J101" s="24" t="inlineStr">
        <is>
          <t>dart_PurchaseOfAvailableForSaleFinancialAssets</t>
        </is>
      </c>
      <c r="K101" s="24" t="inlineStr">
        <is>
          <t>기타포괄손익-공정가치측정 금융자산 취득</t>
        </is>
      </c>
      <c r="L101" s="24" t="inlineStr">
        <is>
          <t>-</t>
        </is>
      </c>
      <c r="M101" s="24" t="inlineStr">
        <is>
          <t>제 16 기</t>
        </is>
      </c>
      <c r="N101" s="24" t="inlineStr">
        <is>
          <t>997200000.0</t>
        </is>
      </c>
      <c r="O101" s="24" t="inlineStr">
        <is>
          <t>48485378.0</t>
        </is>
      </c>
      <c r="P101" s="24" t="inlineStr">
        <is>
          <t>KRW</t>
        </is>
      </c>
      <c r="Q101" s="24" t="inlineStr">
        <is>
          <t>36</t>
        </is>
      </c>
    </row>
    <row r="102" ht="24" customHeight="1">
      <c r="A102" s="29" t="inlineStr">
        <is>
          <t>OpenDART_fnlttSinglAcntAll</t>
        </is>
      </c>
      <c r="B102" s="29" t="inlineStr">
        <is>
          <t>00591441</t>
        </is>
      </c>
      <c r="C102" s="29" t="inlineStr">
        <is>
          <t>어보브반도체</t>
        </is>
      </c>
      <c r="D102" s="29" t="inlineStr">
        <is>
          <t>abov</t>
        </is>
      </c>
      <c r="E102" s="29" t="inlineStr">
        <is>
          <t>102120</t>
        </is>
      </c>
      <c r="F102" s="29" t="inlineStr">
        <is>
          <t>2021</t>
        </is>
      </c>
      <c r="G102" s="29" t="inlineStr">
        <is>
          <t>CFS</t>
        </is>
      </c>
      <c r="H102" s="29" t="inlineStr">
        <is>
          <t>CF</t>
        </is>
      </c>
      <c r="I102" s="29" t="inlineStr">
        <is>
          <t>현금흐름표</t>
        </is>
      </c>
      <c r="J102" s="29" t="inlineStr">
        <is>
          <t>ifrs-full_CashFlowsFromUsedInFinancingActivities</t>
        </is>
      </c>
      <c r="K102" s="29" t="inlineStr">
        <is>
          <t>재무활동현금흐름</t>
        </is>
      </c>
      <c r="L102" s="29" t="inlineStr">
        <is>
          <t>-</t>
        </is>
      </c>
      <c r="M102" s="29" t="inlineStr">
        <is>
          <t>제 16 기</t>
        </is>
      </c>
      <c r="N102" s="29" t="inlineStr">
        <is>
          <t>-25587127267.0</t>
        </is>
      </c>
      <c r="O102" s="29" t="inlineStr">
        <is>
          <t>21783367572.0</t>
        </is>
      </c>
      <c r="P102" s="29" t="inlineStr">
        <is>
          <t>KRW</t>
        </is>
      </c>
      <c r="Q102" s="29" t="inlineStr">
        <is>
          <t>41</t>
        </is>
      </c>
    </row>
    <row r="103" ht="24" customHeight="1">
      <c r="A103" s="24" t="inlineStr">
        <is>
          <t>OpenDART_fnlttSinglAcntAll</t>
        </is>
      </c>
      <c r="B103" s="24" t="inlineStr">
        <is>
          <t>00591441</t>
        </is>
      </c>
      <c r="C103" s="24" t="inlineStr">
        <is>
          <t>어보브반도체</t>
        </is>
      </c>
      <c r="D103" s="24" t="inlineStr">
        <is>
          <t>abov</t>
        </is>
      </c>
      <c r="E103" s="24" t="inlineStr">
        <is>
          <t>102120</t>
        </is>
      </c>
      <c r="F103" s="24" t="inlineStr">
        <is>
          <t>2021</t>
        </is>
      </c>
      <c r="G103" s="24" t="inlineStr">
        <is>
          <t>CFS</t>
        </is>
      </c>
      <c r="H103" s="24" t="inlineStr">
        <is>
          <t>CF</t>
        </is>
      </c>
      <c r="I103" s="24" t="inlineStr">
        <is>
          <t>현금흐름표</t>
        </is>
      </c>
      <c r="J103" s="24" t="inlineStr">
        <is>
          <t>dart_ProceedsFromShortTermBorrowings</t>
        </is>
      </c>
      <c r="K103" s="24" t="inlineStr">
        <is>
          <t>단기차입금의 증가</t>
        </is>
      </c>
      <c r="L103" s="24" t="inlineStr">
        <is>
          <t>-</t>
        </is>
      </c>
      <c r="M103" s="24" t="inlineStr">
        <is>
          <t>제 16 기</t>
        </is>
      </c>
      <c r="N103" s="24" t="inlineStr">
        <is>
          <t>해당 없음</t>
        </is>
      </c>
      <c r="O103" s="24" t="inlineStr">
        <is>
          <t>24466000000.0</t>
        </is>
      </c>
      <c r="P103" s="24" t="inlineStr">
        <is>
          <t>KRW</t>
        </is>
      </c>
      <c r="Q103" s="24" t="inlineStr">
        <is>
          <t>42</t>
        </is>
      </c>
    </row>
    <row r="104" ht="24" customHeight="1">
      <c r="A104" s="29" t="inlineStr">
        <is>
          <t>OpenDART_fnlttSinglAcntAll</t>
        </is>
      </c>
      <c r="B104" s="29" t="inlineStr">
        <is>
          <t>00591441</t>
        </is>
      </c>
      <c r="C104" s="29" t="inlineStr">
        <is>
          <t>어보브반도체</t>
        </is>
      </c>
      <c r="D104" s="29" t="inlineStr">
        <is>
          <t>abov</t>
        </is>
      </c>
      <c r="E104" s="29" t="inlineStr">
        <is>
          <t>102120</t>
        </is>
      </c>
      <c r="F104" s="29" t="inlineStr">
        <is>
          <t>2021</t>
        </is>
      </c>
      <c r="G104" s="29" t="inlineStr">
        <is>
          <t>CFS</t>
        </is>
      </c>
      <c r="H104" s="29" t="inlineStr">
        <is>
          <t>CF</t>
        </is>
      </c>
      <c r="I104" s="29" t="inlineStr">
        <is>
          <t>현금흐름표</t>
        </is>
      </c>
      <c r="J104" s="29" t="inlineStr">
        <is>
          <t>dart_RepaymentsOfShortTermBorrowings</t>
        </is>
      </c>
      <c r="K104" s="29" t="inlineStr">
        <is>
          <t>단기차입금의 상환</t>
        </is>
      </c>
      <c r="L104" s="29" t="inlineStr">
        <is>
          <t>-</t>
        </is>
      </c>
      <c r="M104" s="29" t="inlineStr">
        <is>
          <t>제 16 기</t>
        </is>
      </c>
      <c r="N104" s="29" t="inlineStr">
        <is>
          <t>21760000000.0</t>
        </is>
      </c>
      <c r="O104" s="29" t="inlineStr">
        <is>
          <t>해당 없음</t>
        </is>
      </c>
      <c r="P104" s="29" t="inlineStr">
        <is>
          <t>KRW</t>
        </is>
      </c>
      <c r="Q104" s="29" t="inlineStr">
        <is>
          <t>43</t>
        </is>
      </c>
    </row>
    <row r="105" ht="24" customHeight="1">
      <c r="A105" s="24" t="inlineStr">
        <is>
          <t>OpenDART_fnlttSinglAcntAll</t>
        </is>
      </c>
      <c r="B105" s="24" t="inlineStr">
        <is>
          <t>00591441</t>
        </is>
      </c>
      <c r="C105" s="24" t="inlineStr">
        <is>
          <t>어보브반도체</t>
        </is>
      </c>
      <c r="D105" s="24" t="inlineStr">
        <is>
          <t>abov</t>
        </is>
      </c>
      <c r="E105" s="24" t="inlineStr">
        <is>
          <t>102120</t>
        </is>
      </c>
      <c r="F105" s="24" t="inlineStr">
        <is>
          <t>2021</t>
        </is>
      </c>
      <c r="G105" s="24" t="inlineStr">
        <is>
          <t>CFS</t>
        </is>
      </c>
      <c r="H105" s="24" t="inlineStr">
        <is>
          <t>CF</t>
        </is>
      </c>
      <c r="I105" s="24" t="inlineStr">
        <is>
          <t>현금흐름표</t>
        </is>
      </c>
      <c r="J105" s="24" t="inlineStr">
        <is>
          <t>ifrs-full_ProceedsFromGovernmentGrantsClassifiedAsFinancingActivities</t>
        </is>
      </c>
      <c r="K105" s="24" t="inlineStr">
        <is>
          <t>국고보조금의 증가</t>
        </is>
      </c>
      <c r="L105" s="24" t="inlineStr">
        <is>
          <t>-</t>
        </is>
      </c>
      <c r="M105" s="24" t="inlineStr">
        <is>
          <t>제 16 기</t>
        </is>
      </c>
      <c r="N105" s="24" t="inlineStr">
        <is>
          <t>784583445.0</t>
        </is>
      </c>
      <c r="O105" s="24" t="inlineStr">
        <is>
          <t>1188495724.0</t>
        </is>
      </c>
      <c r="P105" s="24" t="inlineStr">
        <is>
          <t>KRW</t>
        </is>
      </c>
      <c r="Q105" s="24" t="inlineStr">
        <is>
          <t>44</t>
        </is>
      </c>
    </row>
    <row r="106" ht="24" customHeight="1">
      <c r="A106" s="29" t="inlineStr">
        <is>
          <t>OpenDART_fnlttSinglAcntAll</t>
        </is>
      </c>
      <c r="B106" s="29" t="inlineStr">
        <is>
          <t>00591441</t>
        </is>
      </c>
      <c r="C106" s="29" t="inlineStr">
        <is>
          <t>어보브반도체</t>
        </is>
      </c>
      <c r="D106" s="29" t="inlineStr">
        <is>
          <t>abov</t>
        </is>
      </c>
      <c r="E106" s="29" t="inlineStr">
        <is>
          <t>102120</t>
        </is>
      </c>
      <c r="F106" s="29" t="inlineStr">
        <is>
          <t>2021</t>
        </is>
      </c>
      <c r="G106" s="29" t="inlineStr">
        <is>
          <t>CFS</t>
        </is>
      </c>
      <c r="H106" s="29" t="inlineStr">
        <is>
          <t>CF</t>
        </is>
      </c>
      <c r="I106" s="29" t="inlineStr">
        <is>
          <t>현금흐름표</t>
        </is>
      </c>
      <c r="J106" s="29" t="inlineStr">
        <is>
          <t>dart_ProceedsFromExerciseOfShareOptions</t>
        </is>
      </c>
      <c r="K106" s="29" t="inlineStr">
        <is>
          <t>주식선택권의 행사</t>
        </is>
      </c>
      <c r="L106" s="29" t="inlineStr">
        <is>
          <t>-</t>
        </is>
      </c>
      <c r="M106" s="29" t="inlineStr">
        <is>
          <t>제 16 기</t>
        </is>
      </c>
      <c r="N106" s="29" t="inlineStr">
        <is>
          <t>110482200.0</t>
        </is>
      </c>
      <c r="O106" s="29" t="inlineStr">
        <is>
          <t>59882017.0</t>
        </is>
      </c>
      <c r="P106" s="29" t="inlineStr">
        <is>
          <t>KRW</t>
        </is>
      </c>
      <c r="Q106" s="29" t="inlineStr">
        <is>
          <t>45</t>
        </is>
      </c>
    </row>
    <row r="107" ht="24" customHeight="1">
      <c r="A107" s="24" t="inlineStr">
        <is>
          <t>OpenDART_fnlttSinglAcntAll</t>
        </is>
      </c>
      <c r="B107" s="24" t="inlineStr">
        <is>
          <t>00591441</t>
        </is>
      </c>
      <c r="C107" s="24" t="inlineStr">
        <is>
          <t>어보브반도체</t>
        </is>
      </c>
      <c r="D107" s="24" t="inlineStr">
        <is>
          <t>abov</t>
        </is>
      </c>
      <c r="E107" s="24" t="inlineStr">
        <is>
          <t>102120</t>
        </is>
      </c>
      <c r="F107" s="24" t="inlineStr">
        <is>
          <t>2021</t>
        </is>
      </c>
      <c r="G107" s="24" t="inlineStr">
        <is>
          <t>CFS</t>
        </is>
      </c>
      <c r="H107" s="24" t="inlineStr">
        <is>
          <t>CF</t>
        </is>
      </c>
      <c r="I107" s="24" t="inlineStr">
        <is>
          <t>현금흐름표</t>
        </is>
      </c>
      <c r="J107" s="24" t="inlineStr">
        <is>
          <t>dart_AcquisitionOfTreasuryShares</t>
        </is>
      </c>
      <c r="K107" s="24" t="inlineStr">
        <is>
          <t>자기주식의 취득</t>
        </is>
      </c>
      <c r="L107" s="24" t="inlineStr">
        <is>
          <t>-</t>
        </is>
      </c>
      <c r="M107" s="24" t="inlineStr">
        <is>
          <t>제 16 기</t>
        </is>
      </c>
      <c r="N107" s="24" t="inlineStr">
        <is>
          <t>해당 없음</t>
        </is>
      </c>
      <c r="O107" s="24" t="inlineStr">
        <is>
          <t>172740000.0</t>
        </is>
      </c>
      <c r="P107" s="24" t="inlineStr">
        <is>
          <t>KRW</t>
        </is>
      </c>
      <c r="Q107" s="24" t="inlineStr">
        <is>
          <t>46</t>
        </is>
      </c>
    </row>
    <row r="108" ht="24" customHeight="1">
      <c r="A108" s="29" t="inlineStr">
        <is>
          <t>OpenDART_fnlttSinglAcntAll</t>
        </is>
      </c>
      <c r="B108" s="29" t="inlineStr">
        <is>
          <t>00591441</t>
        </is>
      </c>
      <c r="C108" s="29" t="inlineStr">
        <is>
          <t>어보브반도체</t>
        </is>
      </c>
      <c r="D108" s="29" t="inlineStr">
        <is>
          <t>abov</t>
        </is>
      </c>
      <c r="E108" s="29" t="inlineStr">
        <is>
          <t>102120</t>
        </is>
      </c>
      <c r="F108" s="29" t="inlineStr">
        <is>
          <t>2021</t>
        </is>
      </c>
      <c r="G108" s="29" t="inlineStr">
        <is>
          <t>CFS</t>
        </is>
      </c>
      <c r="H108" s="29" t="inlineStr">
        <is>
          <t>CF</t>
        </is>
      </c>
      <c r="I108" s="29" t="inlineStr">
        <is>
          <t>현금흐름표</t>
        </is>
      </c>
      <c r="J108" s="29" t="inlineStr">
        <is>
          <t>dart_DispositionOfTreasuryShares</t>
        </is>
      </c>
      <c r="K108" s="29" t="inlineStr">
        <is>
          <t>자기주식의 처분</t>
        </is>
      </c>
      <c r="L108" s="29" t="inlineStr">
        <is>
          <t>-</t>
        </is>
      </c>
      <c r="M108" s="29" t="inlineStr">
        <is>
          <t>제 16 기</t>
        </is>
      </c>
      <c r="N108" s="29" t="inlineStr">
        <is>
          <t>57977800.0</t>
        </is>
      </c>
      <c r="O108" s="29" t="inlineStr">
        <is>
          <t>322940502.0</t>
        </is>
      </c>
      <c r="P108" s="29" t="inlineStr">
        <is>
          <t>KRW</t>
        </is>
      </c>
      <c r="Q108" s="29" t="inlineStr">
        <is>
          <t>47</t>
        </is>
      </c>
    </row>
    <row r="109" ht="24" customHeight="1">
      <c r="A109" s="24" t="inlineStr">
        <is>
          <t>OpenDART_fnlttSinglAcntAll</t>
        </is>
      </c>
      <c r="B109" s="24" t="inlineStr">
        <is>
          <t>00591441</t>
        </is>
      </c>
      <c r="C109" s="24" t="inlineStr">
        <is>
          <t>어보브반도체</t>
        </is>
      </c>
      <c r="D109" s="24" t="inlineStr">
        <is>
          <t>abov</t>
        </is>
      </c>
      <c r="E109" s="24" t="inlineStr">
        <is>
          <t>102120</t>
        </is>
      </c>
      <c r="F109" s="24" t="inlineStr">
        <is>
          <t>2021</t>
        </is>
      </c>
      <c r="G109" s="24" t="inlineStr">
        <is>
          <t>CFS</t>
        </is>
      </c>
      <c r="H109" s="24" t="inlineStr">
        <is>
          <t>CF</t>
        </is>
      </c>
      <c r="I109" s="24" t="inlineStr">
        <is>
          <t>현금흐름표</t>
        </is>
      </c>
      <c r="J109" s="24" t="inlineStr">
        <is>
          <t>-표준계정코드 미사용-</t>
        </is>
      </c>
      <c r="K109" s="24" t="inlineStr">
        <is>
          <t>리스부채의 감소</t>
        </is>
      </c>
      <c r="L109" s="24" t="inlineStr">
        <is>
          <t>-</t>
        </is>
      </c>
      <c r="M109" s="24" t="inlineStr">
        <is>
          <t>제 16 기</t>
        </is>
      </c>
      <c r="N109" s="24" t="inlineStr">
        <is>
          <t>812774872.0</t>
        </is>
      </c>
      <c r="O109" s="24" t="inlineStr">
        <is>
          <t>790647471.0</t>
        </is>
      </c>
      <c r="P109" s="24" t="inlineStr">
        <is>
          <t>KRW</t>
        </is>
      </c>
      <c r="Q109" s="24" t="inlineStr">
        <is>
          <t>48</t>
        </is>
      </c>
    </row>
    <row r="110" ht="24" customHeight="1">
      <c r="A110" s="29" t="inlineStr">
        <is>
          <t>OpenDART_fnlttSinglAcntAll</t>
        </is>
      </c>
      <c r="B110" s="29" t="inlineStr">
        <is>
          <t>00591441</t>
        </is>
      </c>
      <c r="C110" s="29" t="inlineStr">
        <is>
          <t>어보브반도체</t>
        </is>
      </c>
      <c r="D110" s="29" t="inlineStr">
        <is>
          <t>abov</t>
        </is>
      </c>
      <c r="E110" s="29" t="inlineStr">
        <is>
          <t>102120</t>
        </is>
      </c>
      <c r="F110" s="29" t="inlineStr">
        <is>
          <t>2021</t>
        </is>
      </c>
      <c r="G110" s="29" t="inlineStr">
        <is>
          <t>CFS</t>
        </is>
      </c>
      <c r="H110" s="29" t="inlineStr">
        <is>
          <t>CF</t>
        </is>
      </c>
      <c r="I110" s="29" t="inlineStr">
        <is>
          <t>현금흐름표</t>
        </is>
      </c>
      <c r="J110" s="29" t="inlineStr">
        <is>
          <t>ifrs-full_DividendsPaidClassifiedAsFinancingActivities</t>
        </is>
      </c>
      <c r="K110" s="29" t="inlineStr">
        <is>
          <t>배당금의 지급</t>
        </is>
      </c>
      <c r="L110" s="29" t="inlineStr">
        <is>
          <t>-</t>
        </is>
      </c>
      <c r="M110" s="29" t="inlineStr">
        <is>
          <t>제 16 기</t>
        </is>
      </c>
      <c r="N110" s="29" t="inlineStr">
        <is>
          <t>3967395840.0</t>
        </is>
      </c>
      <c r="O110" s="29" t="inlineStr">
        <is>
          <t>3290563200.0</t>
        </is>
      </c>
      <c r="P110" s="29" t="inlineStr">
        <is>
          <t>KRW</t>
        </is>
      </c>
      <c r="Q110" s="29" t="inlineStr">
        <is>
          <t>49</t>
        </is>
      </c>
    </row>
    <row r="111" ht="24" customHeight="1">
      <c r="A111" s="24" t="inlineStr">
        <is>
          <t>OpenDART_fnlttSinglAcntAll</t>
        </is>
      </c>
      <c r="B111" s="24" t="inlineStr">
        <is>
          <t>00591441</t>
        </is>
      </c>
      <c r="C111" s="24" t="inlineStr">
        <is>
          <t>어보브반도체</t>
        </is>
      </c>
      <c r="D111" s="24" t="inlineStr">
        <is>
          <t>abov</t>
        </is>
      </c>
      <c r="E111" s="24" t="inlineStr">
        <is>
          <t>102120</t>
        </is>
      </c>
      <c r="F111" s="24" t="inlineStr">
        <is>
          <t>2021</t>
        </is>
      </c>
      <c r="G111" s="24" t="inlineStr">
        <is>
          <t>CFS</t>
        </is>
      </c>
      <c r="H111" s="24" t="inlineStr">
        <is>
          <t>CF</t>
        </is>
      </c>
      <c r="I111" s="24" t="inlineStr">
        <is>
          <t>현금흐름표</t>
        </is>
      </c>
      <c r="J111" s="24" t="inlineStr">
        <is>
          <t>ifrs-full_IncreaseDecreaseInCashAndCashEquivalentsBeforeEffectOfExchangeRateChanges</t>
        </is>
      </c>
      <c r="K111" s="24" t="inlineStr">
        <is>
          <t>환율변동효과 반영전 현금및현금성자산의 순증가(감소)</t>
        </is>
      </c>
      <c r="L111" s="24" t="inlineStr">
        <is>
          <t>-</t>
        </is>
      </c>
      <c r="M111" s="24" t="inlineStr">
        <is>
          <t>제 16 기</t>
        </is>
      </c>
      <c r="N111" s="24" t="inlineStr">
        <is>
          <t>-20223178228.0</t>
        </is>
      </c>
      <c r="O111" s="24" t="inlineStr">
        <is>
          <t>15217886431.0</t>
        </is>
      </c>
      <c r="P111" s="24" t="inlineStr">
        <is>
          <t>KRW</t>
        </is>
      </c>
      <c r="Q111" s="24" t="inlineStr">
        <is>
          <t>50</t>
        </is>
      </c>
    </row>
    <row r="112" ht="24" customHeight="1">
      <c r="A112" s="29" t="inlineStr">
        <is>
          <t>OpenDART_fnlttSinglAcntAll</t>
        </is>
      </c>
      <c r="B112" s="29" t="inlineStr">
        <is>
          <t>00591441</t>
        </is>
      </c>
      <c r="C112" s="29" t="inlineStr">
        <is>
          <t>어보브반도체</t>
        </is>
      </c>
      <c r="D112" s="29" t="inlineStr">
        <is>
          <t>abov</t>
        </is>
      </c>
      <c r="E112" s="29" t="inlineStr">
        <is>
          <t>102120</t>
        </is>
      </c>
      <c r="F112" s="29" t="inlineStr">
        <is>
          <t>2021</t>
        </is>
      </c>
      <c r="G112" s="29" t="inlineStr">
        <is>
          <t>CFS</t>
        </is>
      </c>
      <c r="H112" s="29" t="inlineStr">
        <is>
          <t>CF</t>
        </is>
      </c>
      <c r="I112" s="29" t="inlineStr">
        <is>
          <t>현금흐름표</t>
        </is>
      </c>
      <c r="J112" s="29" t="inlineStr">
        <is>
          <t>dart_CashAndCashEquivalentsAtBeginningOfPeriodCf</t>
        </is>
      </c>
      <c r="K112" s="29" t="inlineStr">
        <is>
          <t>기초현금및현금성자산</t>
        </is>
      </c>
      <c r="L112" s="29" t="inlineStr">
        <is>
          <t>-</t>
        </is>
      </c>
      <c r="M112" s="29" t="inlineStr">
        <is>
          <t>제 16 기</t>
        </is>
      </c>
      <c r="N112" s="29" t="inlineStr">
        <is>
          <t>27263621788.0</t>
        </is>
      </c>
      <c r="O112" s="29" t="inlineStr">
        <is>
          <t>12411155576.0</t>
        </is>
      </c>
      <c r="P112" s="29" t="inlineStr">
        <is>
          <t>KRW</t>
        </is>
      </c>
      <c r="Q112" s="29" t="inlineStr">
        <is>
          <t>51</t>
        </is>
      </c>
    </row>
    <row r="113" ht="24" customHeight="1">
      <c r="A113" s="24" t="inlineStr">
        <is>
          <t>OpenDART_fnlttSinglAcntAll</t>
        </is>
      </c>
      <c r="B113" s="24" t="inlineStr">
        <is>
          <t>00591441</t>
        </is>
      </c>
      <c r="C113" s="24" t="inlineStr">
        <is>
          <t>어보브반도체</t>
        </is>
      </c>
      <c r="D113" s="24" t="inlineStr">
        <is>
          <t>abov</t>
        </is>
      </c>
      <c r="E113" s="24" t="inlineStr">
        <is>
          <t>102120</t>
        </is>
      </c>
      <c r="F113" s="24" t="inlineStr">
        <is>
          <t>2021</t>
        </is>
      </c>
      <c r="G113" s="24" t="inlineStr">
        <is>
          <t>CFS</t>
        </is>
      </c>
      <c r="H113" s="24" t="inlineStr">
        <is>
          <t>CF</t>
        </is>
      </c>
      <c r="I113" s="24" t="inlineStr">
        <is>
          <t>현금흐름표</t>
        </is>
      </c>
      <c r="J113" s="24" t="inlineStr">
        <is>
          <t>ifrs-full_EffectOfExchangeRateChangesOnCashAndCashEquivalents</t>
        </is>
      </c>
      <c r="K113" s="24" t="inlineStr">
        <is>
          <t>현금및현금성자산에 대한 환율변동효과</t>
        </is>
      </c>
      <c r="L113" s="24" t="inlineStr">
        <is>
          <t>-</t>
        </is>
      </c>
      <c r="M113" s="24" t="inlineStr">
        <is>
          <t>제 16 기</t>
        </is>
      </c>
      <c r="N113" s="24" t="inlineStr">
        <is>
          <t>247791652.0</t>
        </is>
      </c>
      <c r="O113" s="24" t="inlineStr">
        <is>
          <t>-365420219.0</t>
        </is>
      </c>
      <c r="P113" s="24" t="inlineStr">
        <is>
          <t>KRW</t>
        </is>
      </c>
      <c r="Q113" s="24" t="inlineStr">
        <is>
          <t>52</t>
        </is>
      </c>
    </row>
    <row r="114" ht="24" customHeight="1">
      <c r="A114" s="29" t="inlineStr">
        <is>
          <t>OpenDART_fnlttSinglAcntAll</t>
        </is>
      </c>
      <c r="B114" s="29" t="inlineStr">
        <is>
          <t>00591441</t>
        </is>
      </c>
      <c r="C114" s="29" t="inlineStr">
        <is>
          <t>어보브반도체</t>
        </is>
      </c>
      <c r="D114" s="29" t="inlineStr">
        <is>
          <t>abov</t>
        </is>
      </c>
      <c r="E114" s="29" t="inlineStr">
        <is>
          <t>102120</t>
        </is>
      </c>
      <c r="F114" s="29" t="inlineStr">
        <is>
          <t>2021</t>
        </is>
      </c>
      <c r="G114" s="29" t="inlineStr">
        <is>
          <t>CFS</t>
        </is>
      </c>
      <c r="H114" s="29" t="inlineStr">
        <is>
          <t>CF</t>
        </is>
      </c>
      <c r="I114" s="29" t="inlineStr">
        <is>
          <t>현금흐름표</t>
        </is>
      </c>
      <c r="J114" s="29" t="inlineStr">
        <is>
          <t>dart_CashAndCashEquivalentsAtEndOfPeriodCf</t>
        </is>
      </c>
      <c r="K114" s="29" t="inlineStr">
        <is>
          <t>기말현금및현금성자산</t>
        </is>
      </c>
      <c r="L114" s="29" t="inlineStr">
        <is>
          <t>-</t>
        </is>
      </c>
      <c r="M114" s="29" t="inlineStr">
        <is>
          <t>제 16 기</t>
        </is>
      </c>
      <c r="N114" s="29" t="inlineStr">
        <is>
          <t>7288235212.0</t>
        </is>
      </c>
      <c r="O114" s="29" t="inlineStr">
        <is>
          <t>27263621788.0</t>
        </is>
      </c>
      <c r="P114" s="29" t="inlineStr">
        <is>
          <t>KRW</t>
        </is>
      </c>
      <c r="Q114" s="29" t="inlineStr">
        <is>
          <t>53</t>
        </is>
      </c>
    </row>
    <row r="115" ht="24" customHeight="1">
      <c r="A115" s="24" t="inlineStr">
        <is>
          <t>OpenDART_fnlttSinglAcntAll</t>
        </is>
      </c>
      <c r="B115" s="24" t="inlineStr">
        <is>
          <t>00591441</t>
        </is>
      </c>
      <c r="C115" s="24" t="inlineStr">
        <is>
          <t>어보브반도체</t>
        </is>
      </c>
      <c r="D115" s="24" t="inlineStr">
        <is>
          <t>abov</t>
        </is>
      </c>
      <c r="E115" s="24" t="inlineStr">
        <is>
          <t>102120</t>
        </is>
      </c>
      <c r="F115" s="24" t="inlineStr">
        <is>
          <t>2021</t>
        </is>
      </c>
      <c r="G115" s="24" t="inlineStr">
        <is>
          <t>CFS</t>
        </is>
      </c>
      <c r="H115" s="24" t="inlineStr">
        <is>
          <t>SCE</t>
        </is>
      </c>
      <c r="I115" s="24" t="inlineStr">
        <is>
          <t>자본변동표</t>
        </is>
      </c>
      <c r="J115" s="24" t="inlineStr">
        <is>
          <t>dart_EquityAtBeginningOfPeriod</t>
        </is>
      </c>
      <c r="K115" s="24" t="inlineStr">
        <is>
          <t>기초자본</t>
        </is>
      </c>
      <c r="L115" s="24" t="inlineStr">
        <is>
          <t>자본 [member]|지배기업의 소유주에게 귀속되는 자본 [member]|기타포괄손익누계액 [member]</t>
        </is>
      </c>
      <c r="M115" s="24" t="inlineStr">
        <is>
          <t>제 16 기</t>
        </is>
      </c>
      <c r="N115" s="24" t="inlineStr">
        <is>
          <t>-290649334.0</t>
        </is>
      </c>
      <c r="O115" s="24" t="inlineStr">
        <is>
          <t>-436585175.0</t>
        </is>
      </c>
      <c r="P115" s="24" t="inlineStr">
        <is>
          <t>KRW</t>
        </is>
      </c>
      <c r="Q115" s="24" t="inlineStr">
        <is>
          <t>1</t>
        </is>
      </c>
    </row>
    <row r="116" ht="24" customHeight="1">
      <c r="A116" s="29" t="inlineStr">
        <is>
          <t>OpenDART_fnlttSinglAcntAll</t>
        </is>
      </c>
      <c r="B116" s="29" t="inlineStr">
        <is>
          <t>00591441</t>
        </is>
      </c>
      <c r="C116" s="29" t="inlineStr">
        <is>
          <t>어보브반도체</t>
        </is>
      </c>
      <c r="D116" s="29" t="inlineStr">
        <is>
          <t>abov</t>
        </is>
      </c>
      <c r="E116" s="29" t="inlineStr">
        <is>
          <t>102120</t>
        </is>
      </c>
      <c r="F116" s="29" t="inlineStr">
        <is>
          <t>2021</t>
        </is>
      </c>
      <c r="G116" s="29" t="inlineStr">
        <is>
          <t>CFS</t>
        </is>
      </c>
      <c r="H116" s="29" t="inlineStr">
        <is>
          <t>SCE</t>
        </is>
      </c>
      <c r="I116" s="29" t="inlineStr">
        <is>
          <t>자본변동표</t>
        </is>
      </c>
      <c r="J116" s="29" t="inlineStr">
        <is>
          <t>dart_EquityAtBeginningOfPeriod</t>
        </is>
      </c>
      <c r="K116" s="29" t="inlineStr">
        <is>
          <t>기초자본</t>
        </is>
      </c>
      <c r="L116" s="29" t="inlineStr">
        <is>
          <t>자본 [member]|지배기업의 소유주에게 귀속되는 자본 [member]|자본잉여금 [member]</t>
        </is>
      </c>
      <c r="M116" s="29" t="inlineStr">
        <is>
          <t>제 16 기</t>
        </is>
      </c>
      <c r="N116" s="29" t="inlineStr">
        <is>
          <t>23084044791.0</t>
        </is>
      </c>
      <c r="O116" s="29" t="inlineStr">
        <is>
          <t>23084044791.0</t>
        </is>
      </c>
      <c r="P116" s="29" t="inlineStr">
        <is>
          <t>KRW</t>
        </is>
      </c>
      <c r="Q116" s="29" t="inlineStr">
        <is>
          <t>1</t>
        </is>
      </c>
    </row>
    <row r="117" ht="24" customHeight="1">
      <c r="A117" s="24" t="inlineStr">
        <is>
          <t>OpenDART_fnlttSinglAcntAll</t>
        </is>
      </c>
      <c r="B117" s="24" t="inlineStr">
        <is>
          <t>00591441</t>
        </is>
      </c>
      <c r="C117" s="24" t="inlineStr">
        <is>
          <t>어보브반도체</t>
        </is>
      </c>
      <c r="D117" s="24" t="inlineStr">
        <is>
          <t>abov</t>
        </is>
      </c>
      <c r="E117" s="24" t="inlineStr">
        <is>
          <t>102120</t>
        </is>
      </c>
      <c r="F117" s="24" t="inlineStr">
        <is>
          <t>2021</t>
        </is>
      </c>
      <c r="G117" s="24" t="inlineStr">
        <is>
          <t>CFS</t>
        </is>
      </c>
      <c r="H117" s="24" t="inlineStr">
        <is>
          <t>SCE</t>
        </is>
      </c>
      <c r="I117" s="24" t="inlineStr">
        <is>
          <t>자본변동표</t>
        </is>
      </c>
      <c r="J117" s="24" t="inlineStr">
        <is>
          <t>dart_EquityAtBeginningOfPeriod</t>
        </is>
      </c>
      <c r="K117" s="24" t="inlineStr">
        <is>
          <t>기초자본</t>
        </is>
      </c>
      <c r="L117" s="24" t="inlineStr">
        <is>
          <t>자본 [member]|지배기업의 소유주에게 귀속되는 자본 [member]|자본금 [member]</t>
        </is>
      </c>
      <c r="M117" s="24" t="inlineStr">
        <is>
          <t>제 16 기</t>
        </is>
      </c>
      <c r="N117" s="24" t="inlineStr">
        <is>
          <t>8729826500.0</t>
        </is>
      </c>
      <c r="O117" s="24" t="inlineStr">
        <is>
          <t>8729826500.0</t>
        </is>
      </c>
      <c r="P117" s="24" t="inlineStr">
        <is>
          <t>KRW</t>
        </is>
      </c>
      <c r="Q117" s="24" t="inlineStr">
        <is>
          <t>1</t>
        </is>
      </c>
    </row>
    <row r="118" ht="24" customHeight="1">
      <c r="A118" s="29" t="inlineStr">
        <is>
          <t>OpenDART_fnlttSinglAcntAll</t>
        </is>
      </c>
      <c r="B118" s="29" t="inlineStr">
        <is>
          <t>00591441</t>
        </is>
      </c>
      <c r="C118" s="29" t="inlineStr">
        <is>
          <t>어보브반도체</t>
        </is>
      </c>
      <c r="D118" s="29" t="inlineStr">
        <is>
          <t>abov</t>
        </is>
      </c>
      <c r="E118" s="29" t="inlineStr">
        <is>
          <t>102120</t>
        </is>
      </c>
      <c r="F118" s="29" t="inlineStr">
        <is>
          <t>2021</t>
        </is>
      </c>
      <c r="G118" s="29" t="inlineStr">
        <is>
          <t>CFS</t>
        </is>
      </c>
      <c r="H118" s="29" t="inlineStr">
        <is>
          <t>SCE</t>
        </is>
      </c>
      <c r="I118" s="29" t="inlineStr">
        <is>
          <t>자본변동표</t>
        </is>
      </c>
      <c r="J118" s="29" t="inlineStr">
        <is>
          <t>dart_EquityAtBeginningOfPeriod</t>
        </is>
      </c>
      <c r="K118" s="29" t="inlineStr">
        <is>
          <t>기초자본</t>
        </is>
      </c>
      <c r="L118" s="29" t="inlineStr">
        <is>
          <t>자본 [member]|지배기업의 소유주에게 귀속되는 자본 [member]|이익잉여금 [member]</t>
        </is>
      </c>
      <c r="M118" s="29" t="inlineStr">
        <is>
          <t>제 16 기</t>
        </is>
      </c>
      <c r="N118" s="29" t="inlineStr">
        <is>
          <t>74664128448.0</t>
        </is>
      </c>
      <c r="O118" s="29" t="inlineStr">
        <is>
          <t>64057413010.0</t>
        </is>
      </c>
      <c r="P118" s="29" t="inlineStr">
        <is>
          <t>KRW</t>
        </is>
      </c>
      <c r="Q118" s="29" t="inlineStr">
        <is>
          <t>1</t>
        </is>
      </c>
    </row>
    <row r="119" ht="24" customHeight="1">
      <c r="A119" s="24" t="inlineStr">
        <is>
          <t>OpenDART_fnlttSinglAcntAll</t>
        </is>
      </c>
      <c r="B119" s="24" t="inlineStr">
        <is>
          <t>00591441</t>
        </is>
      </c>
      <c r="C119" s="24" t="inlineStr">
        <is>
          <t>어보브반도체</t>
        </is>
      </c>
      <c r="D119" s="24" t="inlineStr">
        <is>
          <t>abov</t>
        </is>
      </c>
      <c r="E119" s="24" t="inlineStr">
        <is>
          <t>102120</t>
        </is>
      </c>
      <c r="F119" s="24" t="inlineStr">
        <is>
          <t>2021</t>
        </is>
      </c>
      <c r="G119" s="24" t="inlineStr">
        <is>
          <t>CFS</t>
        </is>
      </c>
      <c r="H119" s="24" t="inlineStr">
        <is>
          <t>SCE</t>
        </is>
      </c>
      <c r="I119" s="24" t="inlineStr">
        <is>
          <t>자본변동표</t>
        </is>
      </c>
      <c r="J119" s="24" t="inlineStr">
        <is>
          <t>dart_EquityAtBeginningOfPeriod</t>
        </is>
      </c>
      <c r="K119" s="24" t="inlineStr">
        <is>
          <t>기초자본</t>
        </is>
      </c>
      <c r="L119" s="24" t="inlineStr">
        <is>
          <t>자본 [member]|지배기업의 소유주에게 귀속되는 자본 [member]|기타자본항목</t>
        </is>
      </c>
      <c r="M119" s="24" t="inlineStr">
        <is>
          <t>제 16 기</t>
        </is>
      </c>
      <c r="N119" s="24" t="inlineStr">
        <is>
          <t>-4856498814.0</t>
        </is>
      </c>
      <c r="O119" s="24" t="inlineStr">
        <is>
          <t>-5085928863.0</t>
        </is>
      </c>
      <c r="P119" s="24" t="inlineStr">
        <is>
          <t>KRW</t>
        </is>
      </c>
      <c r="Q119" s="24" t="inlineStr">
        <is>
          <t>1</t>
        </is>
      </c>
    </row>
    <row r="120" ht="24" customHeight="1">
      <c r="A120" s="29" t="inlineStr">
        <is>
          <t>OpenDART_fnlttSinglAcntAll</t>
        </is>
      </c>
      <c r="B120" s="29" t="inlineStr">
        <is>
          <t>00591441</t>
        </is>
      </c>
      <c r="C120" s="29" t="inlineStr">
        <is>
          <t>어보브반도체</t>
        </is>
      </c>
      <c r="D120" s="29" t="inlineStr">
        <is>
          <t>abov</t>
        </is>
      </c>
      <c r="E120" s="29" t="inlineStr">
        <is>
          <t>102120</t>
        </is>
      </c>
      <c r="F120" s="29" t="inlineStr">
        <is>
          <t>2021</t>
        </is>
      </c>
      <c r="G120" s="29" t="inlineStr">
        <is>
          <t>CFS</t>
        </is>
      </c>
      <c r="H120" s="29" t="inlineStr">
        <is>
          <t>SCE</t>
        </is>
      </c>
      <c r="I120" s="29" t="inlineStr">
        <is>
          <t>자본변동표</t>
        </is>
      </c>
      <c r="J120" s="29" t="inlineStr">
        <is>
          <t>dart_EquityAtBeginningOfPeriod</t>
        </is>
      </c>
      <c r="K120" s="29" t="inlineStr">
        <is>
          <t>기초자본</t>
        </is>
      </c>
      <c r="L120" s="29" t="inlineStr">
        <is>
          <t>자본 [member]|지배기업의 소유주에게 귀속되는 자본 [member]</t>
        </is>
      </c>
      <c r="M120" s="29" t="inlineStr">
        <is>
          <t>제 16 기</t>
        </is>
      </c>
      <c r="N120" s="29" t="inlineStr">
        <is>
          <t>101330851591.0</t>
        </is>
      </c>
      <c r="O120" s="29" t="inlineStr">
        <is>
          <t>90348770263.0</t>
        </is>
      </c>
      <c r="P120" s="29" t="inlineStr">
        <is>
          <t>KRW</t>
        </is>
      </c>
      <c r="Q120" s="29" t="inlineStr">
        <is>
          <t>1</t>
        </is>
      </c>
    </row>
    <row r="121" ht="24" customHeight="1">
      <c r="A121" s="24" t="inlineStr">
        <is>
          <t>OpenDART_fnlttSinglAcntAll</t>
        </is>
      </c>
      <c r="B121" s="24" t="inlineStr">
        <is>
          <t>00591441</t>
        </is>
      </c>
      <c r="C121" s="24" t="inlineStr">
        <is>
          <t>어보브반도체</t>
        </is>
      </c>
      <c r="D121" s="24" t="inlineStr">
        <is>
          <t>abov</t>
        </is>
      </c>
      <c r="E121" s="24" t="inlineStr">
        <is>
          <t>102120</t>
        </is>
      </c>
      <c r="F121" s="24" t="inlineStr">
        <is>
          <t>2021</t>
        </is>
      </c>
      <c r="G121" s="24" t="inlineStr">
        <is>
          <t>CFS</t>
        </is>
      </c>
      <c r="H121" s="24" t="inlineStr">
        <is>
          <t>SCE</t>
        </is>
      </c>
      <c r="I121" s="24" t="inlineStr">
        <is>
          <t>자본변동표</t>
        </is>
      </c>
      <c r="J121" s="24" t="inlineStr">
        <is>
          <t>dart_EquityAtBeginningOfPeriod</t>
        </is>
      </c>
      <c r="K121" s="24" t="inlineStr">
        <is>
          <t>기초자본</t>
        </is>
      </c>
      <c r="L121" s="24" t="inlineStr">
        <is>
          <t>연결재무제표 [member]</t>
        </is>
      </c>
      <c r="M121" s="24" t="inlineStr">
        <is>
          <t>제 16 기</t>
        </is>
      </c>
      <c r="N121" s="24" t="inlineStr">
        <is>
          <t>101330851591.0</t>
        </is>
      </c>
      <c r="O121" s="24" t="inlineStr">
        <is>
          <t>90348770263.0</t>
        </is>
      </c>
      <c r="P121" s="24" t="inlineStr">
        <is>
          <t>KRW</t>
        </is>
      </c>
      <c r="Q121" s="24" t="inlineStr">
        <is>
          <t>1</t>
        </is>
      </c>
    </row>
    <row r="122" ht="24" customHeight="1">
      <c r="A122" s="29" t="inlineStr">
        <is>
          <t>OpenDART_fnlttSinglAcntAll</t>
        </is>
      </c>
      <c r="B122" s="29" t="inlineStr">
        <is>
          <t>00591441</t>
        </is>
      </c>
      <c r="C122" s="29" t="inlineStr">
        <is>
          <t>어보브반도체</t>
        </is>
      </c>
      <c r="D122" s="29" t="inlineStr">
        <is>
          <t>abov</t>
        </is>
      </c>
      <c r="E122" s="29" t="inlineStr">
        <is>
          <t>102120</t>
        </is>
      </c>
      <c r="F122" s="29" t="inlineStr">
        <is>
          <t>2021</t>
        </is>
      </c>
      <c r="G122" s="29" t="inlineStr">
        <is>
          <t>CFS</t>
        </is>
      </c>
      <c r="H122" s="29" t="inlineStr">
        <is>
          <t>SCE</t>
        </is>
      </c>
      <c r="I122" s="29" t="inlineStr">
        <is>
          <t>자본변동표</t>
        </is>
      </c>
      <c r="J122" s="29" t="inlineStr">
        <is>
          <t>ifrs-full_ProfitLoss</t>
        </is>
      </c>
      <c r="K122" s="29" t="inlineStr">
        <is>
          <t>당기순이익(손실)</t>
        </is>
      </c>
      <c r="L122" s="29" t="inlineStr">
        <is>
          <t>자본 [member]|지배기업의 소유주에게 귀속되는 자본 [member]|이익잉여금 [member]</t>
        </is>
      </c>
      <c r="M122" s="29" t="inlineStr">
        <is>
          <t>제 16 기</t>
        </is>
      </c>
      <c r="N122" s="29" t="inlineStr">
        <is>
          <t>13707442319.0</t>
        </is>
      </c>
      <c r="O122" s="29" t="inlineStr">
        <is>
          <t>14040744358.0</t>
        </is>
      </c>
      <c r="P122" s="29" t="inlineStr">
        <is>
          <t>KRW</t>
        </is>
      </c>
      <c r="Q122" s="29" t="inlineStr">
        <is>
          <t>2</t>
        </is>
      </c>
    </row>
    <row r="123" ht="24" customHeight="1">
      <c r="A123" s="24" t="inlineStr">
        <is>
          <t>OpenDART_fnlttSinglAcntAll</t>
        </is>
      </c>
      <c r="B123" s="24" t="inlineStr">
        <is>
          <t>00591441</t>
        </is>
      </c>
      <c r="C123" s="24" t="inlineStr">
        <is>
          <t>어보브반도체</t>
        </is>
      </c>
      <c r="D123" s="24" t="inlineStr">
        <is>
          <t>abov</t>
        </is>
      </c>
      <c r="E123" s="24" t="inlineStr">
        <is>
          <t>102120</t>
        </is>
      </c>
      <c r="F123" s="24" t="inlineStr">
        <is>
          <t>2021</t>
        </is>
      </c>
      <c r="G123" s="24" t="inlineStr">
        <is>
          <t>CFS</t>
        </is>
      </c>
      <c r="H123" s="24" t="inlineStr">
        <is>
          <t>SCE</t>
        </is>
      </c>
      <c r="I123" s="24" t="inlineStr">
        <is>
          <t>자본변동표</t>
        </is>
      </c>
      <c r="J123" s="24" t="inlineStr">
        <is>
          <t>ifrs-full_ProfitLoss</t>
        </is>
      </c>
      <c r="K123" s="24" t="inlineStr">
        <is>
          <t>당기순이익(손실)</t>
        </is>
      </c>
      <c r="L123" s="24" t="inlineStr">
        <is>
          <t>연결재무제표 [member]</t>
        </is>
      </c>
      <c r="M123" s="24" t="inlineStr">
        <is>
          <t>제 16 기</t>
        </is>
      </c>
      <c r="N123" s="24" t="inlineStr">
        <is>
          <t>13707442319.0</t>
        </is>
      </c>
      <c r="O123" s="24" t="inlineStr">
        <is>
          <t>14040744358.0</t>
        </is>
      </c>
      <c r="P123" s="24" t="inlineStr">
        <is>
          <t>KRW</t>
        </is>
      </c>
      <c r="Q123" s="24" t="inlineStr">
        <is>
          <t>2</t>
        </is>
      </c>
    </row>
    <row r="124" ht="24" customHeight="1">
      <c r="A124" s="29" t="inlineStr">
        <is>
          <t>OpenDART_fnlttSinglAcntAll</t>
        </is>
      </c>
      <c r="B124" s="29" t="inlineStr">
        <is>
          <t>00591441</t>
        </is>
      </c>
      <c r="C124" s="29" t="inlineStr">
        <is>
          <t>어보브반도체</t>
        </is>
      </c>
      <c r="D124" s="29" t="inlineStr">
        <is>
          <t>abov</t>
        </is>
      </c>
      <c r="E124" s="29" t="inlineStr">
        <is>
          <t>102120</t>
        </is>
      </c>
      <c r="F124" s="29" t="inlineStr">
        <is>
          <t>2021</t>
        </is>
      </c>
      <c r="G124" s="29" t="inlineStr">
        <is>
          <t>CFS</t>
        </is>
      </c>
      <c r="H124" s="29" t="inlineStr">
        <is>
          <t>SCE</t>
        </is>
      </c>
      <c r="I124" s="29" t="inlineStr">
        <is>
          <t>자본변동표</t>
        </is>
      </c>
      <c r="J124" s="29" t="inlineStr">
        <is>
          <t>ifrs-full_ProfitLoss</t>
        </is>
      </c>
      <c r="K124" s="29" t="inlineStr">
        <is>
          <t>당기순이익(손실)</t>
        </is>
      </c>
      <c r="L124" s="29" t="inlineStr">
        <is>
          <t>자본 [member]|지배기업의 소유주에게 귀속되는 자본 [member]</t>
        </is>
      </c>
      <c r="M124" s="29" t="inlineStr">
        <is>
          <t>제 16 기</t>
        </is>
      </c>
      <c r="N124" s="29" t="inlineStr">
        <is>
          <t>13707442319.0</t>
        </is>
      </c>
      <c r="O124" s="29" t="inlineStr">
        <is>
          <t>14040744358.0</t>
        </is>
      </c>
      <c r="P124" s="29" t="inlineStr">
        <is>
          <t>KRW</t>
        </is>
      </c>
      <c r="Q124" s="29" t="inlineStr">
        <is>
          <t>2</t>
        </is>
      </c>
    </row>
    <row r="125" ht="24" customHeight="1">
      <c r="A125" s="24" t="inlineStr">
        <is>
          <t>OpenDART_fnlttSinglAcntAll</t>
        </is>
      </c>
      <c r="B125" s="24" t="inlineStr">
        <is>
          <t>00591441</t>
        </is>
      </c>
      <c r="C125" s="24" t="inlineStr">
        <is>
          <t>어보브반도체</t>
        </is>
      </c>
      <c r="D125" s="24" t="inlineStr">
        <is>
          <t>abov</t>
        </is>
      </c>
      <c r="E125" s="24" t="inlineStr">
        <is>
          <t>102120</t>
        </is>
      </c>
      <c r="F125" s="24" t="inlineStr">
        <is>
          <t>2021</t>
        </is>
      </c>
      <c r="G125" s="24" t="inlineStr">
        <is>
          <t>CFS</t>
        </is>
      </c>
      <c r="H125" s="24" t="inlineStr">
        <is>
          <t>SCE</t>
        </is>
      </c>
      <c r="I125" s="24" t="inlineStr">
        <is>
          <t>자본변동표</t>
        </is>
      </c>
      <c r="J125" s="24" t="inlineStr">
        <is>
          <t>ifrs-full_DividendsPaid</t>
        </is>
      </c>
      <c r="K125" s="24" t="inlineStr">
        <is>
          <t>배당금지급</t>
        </is>
      </c>
      <c r="L125" s="24" t="inlineStr">
        <is>
          <t>자본 [member]|지배기업의 소유주에게 귀속되는 자본 [member]</t>
        </is>
      </c>
      <c r="M125" s="24" t="inlineStr">
        <is>
          <t>제 16 기</t>
        </is>
      </c>
      <c r="N125" s="24" t="inlineStr">
        <is>
          <t>3967395840.0</t>
        </is>
      </c>
      <c r="O125" s="24" t="inlineStr">
        <is>
          <t>3290563200.0</t>
        </is>
      </c>
      <c r="P125" s="24" t="inlineStr">
        <is>
          <t>KRW</t>
        </is>
      </c>
      <c r="Q125" s="24" t="inlineStr">
        <is>
          <t>3</t>
        </is>
      </c>
    </row>
    <row r="126" ht="24" customHeight="1">
      <c r="A126" s="29" t="inlineStr">
        <is>
          <t>OpenDART_fnlttSinglAcntAll</t>
        </is>
      </c>
      <c r="B126" s="29" t="inlineStr">
        <is>
          <t>00591441</t>
        </is>
      </c>
      <c r="C126" s="29" t="inlineStr">
        <is>
          <t>어보브반도체</t>
        </is>
      </c>
      <c r="D126" s="29" t="inlineStr">
        <is>
          <t>abov</t>
        </is>
      </c>
      <c r="E126" s="29" t="inlineStr">
        <is>
          <t>102120</t>
        </is>
      </c>
      <c r="F126" s="29" t="inlineStr">
        <is>
          <t>2021</t>
        </is>
      </c>
      <c r="G126" s="29" t="inlineStr">
        <is>
          <t>CFS</t>
        </is>
      </c>
      <c r="H126" s="29" t="inlineStr">
        <is>
          <t>SCE</t>
        </is>
      </c>
      <c r="I126" s="29" t="inlineStr">
        <is>
          <t>자본변동표</t>
        </is>
      </c>
      <c r="J126" s="29" t="inlineStr">
        <is>
          <t>ifrs-full_DividendsPaid</t>
        </is>
      </c>
      <c r="K126" s="29" t="inlineStr">
        <is>
          <t>배당금지급</t>
        </is>
      </c>
      <c r="L126" s="29" t="inlineStr">
        <is>
          <t>연결재무제표 [member]</t>
        </is>
      </c>
      <c r="M126" s="29" t="inlineStr">
        <is>
          <t>제 16 기</t>
        </is>
      </c>
      <c r="N126" s="29" t="inlineStr">
        <is>
          <t>3967395840.0</t>
        </is>
      </c>
      <c r="O126" s="29" t="inlineStr">
        <is>
          <t>3290563200.0</t>
        </is>
      </c>
      <c r="P126" s="29" t="inlineStr">
        <is>
          <t>KRW</t>
        </is>
      </c>
      <c r="Q126" s="29" t="inlineStr">
        <is>
          <t>3</t>
        </is>
      </c>
    </row>
    <row r="127" ht="24" customHeight="1">
      <c r="A127" s="24" t="inlineStr">
        <is>
          <t>OpenDART_fnlttSinglAcntAll</t>
        </is>
      </c>
      <c r="B127" s="24" t="inlineStr">
        <is>
          <t>00591441</t>
        </is>
      </c>
      <c r="C127" s="24" t="inlineStr">
        <is>
          <t>어보브반도체</t>
        </is>
      </c>
      <c r="D127" s="24" t="inlineStr">
        <is>
          <t>abov</t>
        </is>
      </c>
      <c r="E127" s="24" t="inlineStr">
        <is>
          <t>102120</t>
        </is>
      </c>
      <c r="F127" s="24" t="inlineStr">
        <is>
          <t>2021</t>
        </is>
      </c>
      <c r="G127" s="24" t="inlineStr">
        <is>
          <t>CFS</t>
        </is>
      </c>
      <c r="H127" s="24" t="inlineStr">
        <is>
          <t>SCE</t>
        </is>
      </c>
      <c r="I127" s="24" t="inlineStr">
        <is>
          <t>자본변동표</t>
        </is>
      </c>
      <c r="J127" s="24" t="inlineStr">
        <is>
          <t>ifrs-full_DividendsPaid</t>
        </is>
      </c>
      <c r="K127" s="24" t="inlineStr">
        <is>
          <t>배당금지급</t>
        </is>
      </c>
      <c r="L127" s="24" t="inlineStr">
        <is>
          <t>자본 [member]|지배기업의 소유주에게 귀속되는 자본 [member]|이익잉여금 [member]</t>
        </is>
      </c>
      <c r="M127" s="24" t="inlineStr">
        <is>
          <t>제 16 기</t>
        </is>
      </c>
      <c r="N127" s="24" t="inlineStr">
        <is>
          <t>3967395840.0</t>
        </is>
      </c>
      <c r="O127" s="24" t="inlineStr">
        <is>
          <t>3290563200.0</t>
        </is>
      </c>
      <c r="P127" s="24" t="inlineStr">
        <is>
          <t>KRW</t>
        </is>
      </c>
      <c r="Q127" s="24" t="inlineStr">
        <is>
          <t>3</t>
        </is>
      </c>
    </row>
    <row r="128" ht="24" customHeight="1">
      <c r="A128" s="29" t="inlineStr">
        <is>
          <t>OpenDART_fnlttSinglAcntAll</t>
        </is>
      </c>
      <c r="B128" s="29" t="inlineStr">
        <is>
          <t>00591441</t>
        </is>
      </c>
      <c r="C128" s="29" t="inlineStr">
        <is>
          <t>어보브반도체</t>
        </is>
      </c>
      <c r="D128" s="29" t="inlineStr">
        <is>
          <t>abov</t>
        </is>
      </c>
      <c r="E128" s="29" t="inlineStr">
        <is>
          <t>102120</t>
        </is>
      </c>
      <c r="F128" s="29" t="inlineStr">
        <is>
          <t>2021</t>
        </is>
      </c>
      <c r="G128" s="29" t="inlineStr">
        <is>
          <t>CFS</t>
        </is>
      </c>
      <c r="H128" s="29" t="inlineStr">
        <is>
          <t>SCE</t>
        </is>
      </c>
      <c r="I128" s="29" t="inlineStr">
        <is>
          <t>자본변동표</t>
        </is>
      </c>
      <c r="J128" s="29" t="inlineStr">
        <is>
          <t>dart_TreasuryShareTransactions</t>
        </is>
      </c>
      <c r="K128" s="29" t="inlineStr">
        <is>
          <t>자기주식의(취득)처분</t>
        </is>
      </c>
      <c r="L128" s="29" t="inlineStr">
        <is>
          <t>자본 [member]|지배기업의 소유주에게 귀속되는 자본 [member]</t>
        </is>
      </c>
      <c r="M128" s="29" t="inlineStr">
        <is>
          <t>제 16 기</t>
        </is>
      </c>
      <c r="N128" s="29" t="inlineStr">
        <is>
          <t>188503574.0</t>
        </is>
      </c>
      <c r="O128" s="29" t="inlineStr">
        <is>
          <t>353760819.0</t>
        </is>
      </c>
      <c r="P128" s="29" t="inlineStr">
        <is>
          <t>KRW</t>
        </is>
      </c>
      <c r="Q128" s="29" t="inlineStr">
        <is>
          <t>4</t>
        </is>
      </c>
    </row>
    <row r="129" ht="24" customHeight="1">
      <c r="A129" s="24" t="inlineStr">
        <is>
          <t>OpenDART_fnlttSinglAcntAll</t>
        </is>
      </c>
      <c r="B129" s="24" t="inlineStr">
        <is>
          <t>00591441</t>
        </is>
      </c>
      <c r="C129" s="24" t="inlineStr">
        <is>
          <t>어보브반도체</t>
        </is>
      </c>
      <c r="D129" s="24" t="inlineStr">
        <is>
          <t>abov</t>
        </is>
      </c>
      <c r="E129" s="24" t="inlineStr">
        <is>
          <t>102120</t>
        </is>
      </c>
      <c r="F129" s="24" t="inlineStr">
        <is>
          <t>2021</t>
        </is>
      </c>
      <c r="G129" s="24" t="inlineStr">
        <is>
          <t>CFS</t>
        </is>
      </c>
      <c r="H129" s="24" t="inlineStr">
        <is>
          <t>SCE</t>
        </is>
      </c>
      <c r="I129" s="24" t="inlineStr">
        <is>
          <t>자본변동표</t>
        </is>
      </c>
      <c r="J129" s="24" t="inlineStr">
        <is>
          <t>dart_TreasuryShareTransactions</t>
        </is>
      </c>
      <c r="K129" s="24" t="inlineStr">
        <is>
          <t>자기주식의(취득)처분</t>
        </is>
      </c>
      <c r="L129" s="24" t="inlineStr">
        <is>
          <t>자본 [member]|지배기업의 소유주에게 귀속되는 자본 [member]|기타자본항목</t>
        </is>
      </c>
      <c r="M129" s="24" t="inlineStr">
        <is>
          <t>제 16 기</t>
        </is>
      </c>
      <c r="N129" s="24" t="inlineStr">
        <is>
          <t>188503574.0</t>
        </is>
      </c>
      <c r="O129" s="24" t="inlineStr">
        <is>
          <t>353760819.0</t>
        </is>
      </c>
      <c r="P129" s="24" t="inlineStr">
        <is>
          <t>KRW</t>
        </is>
      </c>
      <c r="Q129" s="24" t="inlineStr">
        <is>
          <t>4</t>
        </is>
      </c>
    </row>
    <row r="130" ht="24" customHeight="1">
      <c r="A130" s="29" t="inlineStr">
        <is>
          <t>OpenDART_fnlttSinglAcntAll</t>
        </is>
      </c>
      <c r="B130" s="29" t="inlineStr">
        <is>
          <t>00591441</t>
        </is>
      </c>
      <c r="C130" s="29" t="inlineStr">
        <is>
          <t>어보브반도체</t>
        </is>
      </c>
      <c r="D130" s="29" t="inlineStr">
        <is>
          <t>abov</t>
        </is>
      </c>
      <c r="E130" s="29" t="inlineStr">
        <is>
          <t>102120</t>
        </is>
      </c>
      <c r="F130" s="29" t="inlineStr">
        <is>
          <t>2021</t>
        </is>
      </c>
      <c r="G130" s="29" t="inlineStr">
        <is>
          <t>CFS</t>
        </is>
      </c>
      <c r="H130" s="29" t="inlineStr">
        <is>
          <t>SCE</t>
        </is>
      </c>
      <c r="I130" s="29" t="inlineStr">
        <is>
          <t>자본변동표</t>
        </is>
      </c>
      <c r="J130" s="29" t="inlineStr">
        <is>
          <t>dart_TreasuryShareTransactions</t>
        </is>
      </c>
      <c r="K130" s="29" t="inlineStr">
        <is>
          <t>자기주식의(취득)처분</t>
        </is>
      </c>
      <c r="L130" s="29" t="inlineStr">
        <is>
          <t>연결재무제표 [member]</t>
        </is>
      </c>
      <c r="M130" s="29" t="inlineStr">
        <is>
          <t>제 16 기</t>
        </is>
      </c>
      <c r="N130" s="29" t="inlineStr">
        <is>
          <t>188503574.0</t>
        </is>
      </c>
      <c r="O130" s="29" t="inlineStr">
        <is>
          <t>353760819.0</t>
        </is>
      </c>
      <c r="P130" s="29" t="inlineStr">
        <is>
          <t>KRW</t>
        </is>
      </c>
      <c r="Q130" s="29" t="inlineStr">
        <is>
          <t>4</t>
        </is>
      </c>
    </row>
    <row r="131" ht="24" customHeight="1">
      <c r="A131" s="24" t="inlineStr">
        <is>
          <t>OpenDART_fnlttSinglAcntAll</t>
        </is>
      </c>
      <c r="B131" s="24" t="inlineStr">
        <is>
          <t>00591441</t>
        </is>
      </c>
      <c r="C131" s="24" t="inlineStr">
        <is>
          <t>어보브반도체</t>
        </is>
      </c>
      <c r="D131" s="24" t="inlineStr">
        <is>
          <t>abov</t>
        </is>
      </c>
      <c r="E131" s="24" t="inlineStr">
        <is>
          <t>102120</t>
        </is>
      </c>
      <c r="F131" s="24" t="inlineStr">
        <is>
          <t>2021</t>
        </is>
      </c>
      <c r="G131" s="24" t="inlineStr">
        <is>
          <t>CFS</t>
        </is>
      </c>
      <c r="H131" s="24" t="inlineStr">
        <is>
          <t>SCE</t>
        </is>
      </c>
      <c r="I131" s="24" t="inlineStr">
        <is>
          <t>자본변동표</t>
        </is>
      </c>
      <c r="J131" s="24" t="inlineStr">
        <is>
          <t>dart_ShareBasedPaymentTransactions</t>
        </is>
      </c>
      <c r="K131" s="24" t="inlineStr">
        <is>
          <t>주식매입선택권</t>
        </is>
      </c>
      <c r="L131" s="24" t="inlineStr">
        <is>
          <t>자본 [member]|지배기업의 소유주에게 귀속되는 자본 [member]</t>
        </is>
      </c>
      <c r="M131" s="24" t="inlineStr">
        <is>
          <t>제 16 기</t>
        </is>
      </c>
      <c r="N131" s="24" t="inlineStr">
        <is>
          <t>190801740.0</t>
        </is>
      </c>
      <c r="O131" s="24" t="inlineStr">
        <is>
          <t>-124330770.0</t>
        </is>
      </c>
      <c r="P131" s="24" t="inlineStr">
        <is>
          <t>KRW</t>
        </is>
      </c>
      <c r="Q131" s="24" t="inlineStr">
        <is>
          <t>5</t>
        </is>
      </c>
    </row>
    <row r="132" ht="24" customHeight="1">
      <c r="A132" s="29" t="inlineStr">
        <is>
          <t>OpenDART_fnlttSinglAcntAll</t>
        </is>
      </c>
      <c r="B132" s="29" t="inlineStr">
        <is>
          <t>00591441</t>
        </is>
      </c>
      <c r="C132" s="29" t="inlineStr">
        <is>
          <t>어보브반도체</t>
        </is>
      </c>
      <c r="D132" s="29" t="inlineStr">
        <is>
          <t>abov</t>
        </is>
      </c>
      <c r="E132" s="29" t="inlineStr">
        <is>
          <t>102120</t>
        </is>
      </c>
      <c r="F132" s="29" t="inlineStr">
        <is>
          <t>2021</t>
        </is>
      </c>
      <c r="G132" s="29" t="inlineStr">
        <is>
          <t>CFS</t>
        </is>
      </c>
      <c r="H132" s="29" t="inlineStr">
        <is>
          <t>SCE</t>
        </is>
      </c>
      <c r="I132" s="29" t="inlineStr">
        <is>
          <t>자본변동표</t>
        </is>
      </c>
      <c r="J132" s="29" t="inlineStr">
        <is>
          <t>dart_ShareBasedPaymentTransactions</t>
        </is>
      </c>
      <c r="K132" s="29" t="inlineStr">
        <is>
          <t>주식매입선택권</t>
        </is>
      </c>
      <c r="L132" s="29" t="inlineStr">
        <is>
          <t>연결재무제표 [member]</t>
        </is>
      </c>
      <c r="M132" s="29" t="inlineStr">
        <is>
          <t>제 16 기</t>
        </is>
      </c>
      <c r="N132" s="29" t="inlineStr">
        <is>
          <t>190801740.0</t>
        </is>
      </c>
      <c r="O132" s="29" t="inlineStr">
        <is>
          <t>-124330770.0</t>
        </is>
      </c>
      <c r="P132" s="29" t="inlineStr">
        <is>
          <t>KRW</t>
        </is>
      </c>
      <c r="Q132" s="29" t="inlineStr">
        <is>
          <t>5</t>
        </is>
      </c>
    </row>
    <row r="133" ht="24" customHeight="1">
      <c r="A133" s="24" t="inlineStr">
        <is>
          <t>OpenDART_fnlttSinglAcntAll</t>
        </is>
      </c>
      <c r="B133" s="24" t="inlineStr">
        <is>
          <t>00591441</t>
        </is>
      </c>
      <c r="C133" s="24" t="inlineStr">
        <is>
          <t>어보브반도체</t>
        </is>
      </c>
      <c r="D133" s="24" t="inlineStr">
        <is>
          <t>abov</t>
        </is>
      </c>
      <c r="E133" s="24" t="inlineStr">
        <is>
          <t>102120</t>
        </is>
      </c>
      <c r="F133" s="24" t="inlineStr">
        <is>
          <t>2021</t>
        </is>
      </c>
      <c r="G133" s="24" t="inlineStr">
        <is>
          <t>CFS</t>
        </is>
      </c>
      <c r="H133" s="24" t="inlineStr">
        <is>
          <t>SCE</t>
        </is>
      </c>
      <c r="I133" s="24" t="inlineStr">
        <is>
          <t>자본변동표</t>
        </is>
      </c>
      <c r="J133" s="24" t="inlineStr">
        <is>
          <t>dart_ShareBasedPaymentTransactions</t>
        </is>
      </c>
      <c r="K133" s="24" t="inlineStr">
        <is>
          <t>주식매입선택권</t>
        </is>
      </c>
      <c r="L133" s="24" t="inlineStr">
        <is>
          <t>자본 [member]|지배기업의 소유주에게 귀속되는 자본 [member]|기타자본항목</t>
        </is>
      </c>
      <c r="M133" s="24" t="inlineStr">
        <is>
          <t>제 16 기</t>
        </is>
      </c>
      <c r="N133" s="24" t="inlineStr">
        <is>
          <t>190801740.0</t>
        </is>
      </c>
      <c r="O133" s="24" t="inlineStr">
        <is>
          <t>-124330770.0</t>
        </is>
      </c>
      <c r="P133" s="24" t="inlineStr">
        <is>
          <t>KRW</t>
        </is>
      </c>
      <c r="Q133" s="24" t="inlineStr">
        <is>
          <t>5</t>
        </is>
      </c>
    </row>
    <row r="134" ht="24" customHeight="1">
      <c r="A134" s="29" t="inlineStr">
        <is>
          <t>OpenDART_fnlttSinglAcntAll</t>
        </is>
      </c>
      <c r="B134" s="29" t="inlineStr">
        <is>
          <t>00591441</t>
        </is>
      </c>
      <c r="C134" s="29" t="inlineStr">
        <is>
          <t>어보브반도체</t>
        </is>
      </c>
      <c r="D134" s="29" t="inlineStr">
        <is>
          <t>abov</t>
        </is>
      </c>
      <c r="E134" s="29" t="inlineStr">
        <is>
          <t>102120</t>
        </is>
      </c>
      <c r="F134" s="29" t="inlineStr">
        <is>
          <t>2021</t>
        </is>
      </c>
      <c r="G134" s="29" t="inlineStr">
        <is>
          <t>CFS</t>
        </is>
      </c>
      <c r="H134" s="29" t="inlineStr">
        <is>
          <t>SCE</t>
        </is>
      </c>
      <c r="I134" s="29" t="inlineStr">
        <is>
          <t>자본변동표</t>
        </is>
      </c>
      <c r="J134" s="29" t="inlineStr">
        <is>
          <t>dart_OtherComprehensiveIncomeForStatementOfChangesInEquity</t>
        </is>
      </c>
      <c r="K134" s="29" t="inlineStr">
        <is>
          <t>순확정급여부채의 재측정요소</t>
        </is>
      </c>
      <c r="L134" s="29" t="inlineStr">
        <is>
          <t>자본 [member]|지배기업의 소유주에게 귀속되는 자본 [member]|이익잉여금 [member]</t>
        </is>
      </c>
      <c r="M134" s="29" t="inlineStr">
        <is>
          <t>제 16 기</t>
        </is>
      </c>
      <c r="N134" s="29" t="inlineStr">
        <is>
          <t>-63551736.0</t>
        </is>
      </c>
      <c r="O134" s="29" t="inlineStr">
        <is>
          <t>-143465720.0</t>
        </is>
      </c>
      <c r="P134" s="29" t="inlineStr">
        <is>
          <t>KRW</t>
        </is>
      </c>
      <c r="Q134" s="29" t="inlineStr">
        <is>
          <t>6</t>
        </is>
      </c>
    </row>
    <row r="135" ht="24" customHeight="1">
      <c r="A135" s="24" t="inlineStr">
        <is>
          <t>OpenDART_fnlttSinglAcntAll</t>
        </is>
      </c>
      <c r="B135" s="24" t="inlineStr">
        <is>
          <t>00591441</t>
        </is>
      </c>
      <c r="C135" s="24" t="inlineStr">
        <is>
          <t>어보브반도체</t>
        </is>
      </c>
      <c r="D135" s="24" t="inlineStr">
        <is>
          <t>abov</t>
        </is>
      </c>
      <c r="E135" s="24" t="inlineStr">
        <is>
          <t>102120</t>
        </is>
      </c>
      <c r="F135" s="24" t="inlineStr">
        <is>
          <t>2021</t>
        </is>
      </c>
      <c r="G135" s="24" t="inlineStr">
        <is>
          <t>CFS</t>
        </is>
      </c>
      <c r="H135" s="24" t="inlineStr">
        <is>
          <t>SCE</t>
        </is>
      </c>
      <c r="I135" s="24" t="inlineStr">
        <is>
          <t>자본변동표</t>
        </is>
      </c>
      <c r="J135" s="24" t="inlineStr">
        <is>
          <t>dart_OtherComprehensiveIncomeForStatementOfChangesInEquity</t>
        </is>
      </c>
      <c r="K135" s="24" t="inlineStr">
        <is>
          <t>순확정급여부채의 재측정요소</t>
        </is>
      </c>
      <c r="L135" s="24" t="inlineStr">
        <is>
          <t>연결재무제표 [member]</t>
        </is>
      </c>
      <c r="M135" s="24" t="inlineStr">
        <is>
          <t>제 16 기</t>
        </is>
      </c>
      <c r="N135" s="24" t="inlineStr">
        <is>
          <t>-63551736.0</t>
        </is>
      </c>
      <c r="O135" s="24" t="inlineStr">
        <is>
          <t>-143465720.0</t>
        </is>
      </c>
      <c r="P135" s="24" t="inlineStr">
        <is>
          <t>KRW</t>
        </is>
      </c>
      <c r="Q135" s="24" t="inlineStr">
        <is>
          <t>6</t>
        </is>
      </c>
    </row>
    <row r="136" ht="24" customHeight="1">
      <c r="A136" s="29" t="inlineStr">
        <is>
          <t>OpenDART_fnlttSinglAcntAll</t>
        </is>
      </c>
      <c r="B136" s="29" t="inlineStr">
        <is>
          <t>00591441</t>
        </is>
      </c>
      <c r="C136" s="29" t="inlineStr">
        <is>
          <t>어보브반도체</t>
        </is>
      </c>
      <c r="D136" s="29" t="inlineStr">
        <is>
          <t>abov</t>
        </is>
      </c>
      <c r="E136" s="29" t="inlineStr">
        <is>
          <t>102120</t>
        </is>
      </c>
      <c r="F136" s="29" t="inlineStr">
        <is>
          <t>2021</t>
        </is>
      </c>
      <c r="G136" s="29" t="inlineStr">
        <is>
          <t>CFS</t>
        </is>
      </c>
      <c r="H136" s="29" t="inlineStr">
        <is>
          <t>SCE</t>
        </is>
      </c>
      <c r="I136" s="29" t="inlineStr">
        <is>
          <t>자본변동표</t>
        </is>
      </c>
      <c r="J136" s="29" t="inlineStr">
        <is>
          <t>dart_OtherComprehensiveIncomeForStatementOfChangesInEquity</t>
        </is>
      </c>
      <c r="K136" s="29" t="inlineStr">
        <is>
          <t>순확정급여부채의 재측정요소</t>
        </is>
      </c>
      <c r="L136" s="29" t="inlineStr">
        <is>
          <t>자본 [member]|지배기업의 소유주에게 귀속되는 자본 [member]</t>
        </is>
      </c>
      <c r="M136" s="29" t="inlineStr">
        <is>
          <t>제 16 기</t>
        </is>
      </c>
      <c r="N136" s="29" t="inlineStr">
        <is>
          <t>-63551736.0</t>
        </is>
      </c>
      <c r="O136" s="29" t="inlineStr">
        <is>
          <t>-143465720.0</t>
        </is>
      </c>
      <c r="P136" s="29" t="inlineStr">
        <is>
          <t>KRW</t>
        </is>
      </c>
      <c r="Q136" s="29" t="inlineStr">
        <is>
          <t>6</t>
        </is>
      </c>
    </row>
    <row r="137" ht="24" customHeight="1">
      <c r="A137" s="24" t="inlineStr">
        <is>
          <t>OpenDART_fnlttSinglAcntAll</t>
        </is>
      </c>
      <c r="B137" s="24" t="inlineStr">
        <is>
          <t>00591441</t>
        </is>
      </c>
      <c r="C137" s="24" t="inlineStr">
        <is>
          <t>어보브반도체</t>
        </is>
      </c>
      <c r="D137" s="24" t="inlineStr">
        <is>
          <t>abov</t>
        </is>
      </c>
      <c r="E137" s="24" t="inlineStr">
        <is>
          <t>102120</t>
        </is>
      </c>
      <c r="F137" s="24" t="inlineStr">
        <is>
          <t>2021</t>
        </is>
      </c>
      <c r="G137" s="24" t="inlineStr">
        <is>
          <t>CFS</t>
        </is>
      </c>
      <c r="H137" s="24" t="inlineStr">
        <is>
          <t>SCE</t>
        </is>
      </c>
      <c r="I137" s="24" t="inlineStr">
        <is>
          <t>자본변동표</t>
        </is>
      </c>
      <c r="J137" s="24" t="inlineStr">
        <is>
          <t>dart_ChangesInReserveOfGainsAndLossesOnFinancialAssetsMeasuredAtFairValueThroughOtherComprehensiveIncome</t>
        </is>
      </c>
      <c r="K137" s="24" t="inlineStr">
        <is>
          <t>기타포괄손익-공정가치 측정 금융자산 평가손익</t>
        </is>
      </c>
      <c r="L137" s="24" t="inlineStr">
        <is>
          <t>자본 [member]|지배기업의 소유주에게 귀속되는 자본 [member]|기타포괄손익누계액 [member]</t>
        </is>
      </c>
      <c r="M137" s="24" t="inlineStr">
        <is>
          <t>제 16 기</t>
        </is>
      </c>
      <c r="N137" s="24" t="inlineStr">
        <is>
          <t>435457989.0</t>
        </is>
      </c>
      <c r="O137" s="24" t="inlineStr">
        <is>
          <t>-27867048.0</t>
        </is>
      </c>
      <c r="P137" s="24" t="inlineStr">
        <is>
          <t>KRW</t>
        </is>
      </c>
      <c r="Q137" s="24" t="inlineStr">
        <is>
          <t>7</t>
        </is>
      </c>
    </row>
    <row r="138" ht="24" customHeight="1">
      <c r="A138" s="29" t="inlineStr">
        <is>
          <t>OpenDART_fnlttSinglAcntAll</t>
        </is>
      </c>
      <c r="B138" s="29" t="inlineStr">
        <is>
          <t>00591441</t>
        </is>
      </c>
      <c r="C138" s="29" t="inlineStr">
        <is>
          <t>어보브반도체</t>
        </is>
      </c>
      <c r="D138" s="29" t="inlineStr">
        <is>
          <t>abov</t>
        </is>
      </c>
      <c r="E138" s="29" t="inlineStr">
        <is>
          <t>102120</t>
        </is>
      </c>
      <c r="F138" s="29" t="inlineStr">
        <is>
          <t>2021</t>
        </is>
      </c>
      <c r="G138" s="29" t="inlineStr">
        <is>
          <t>CFS</t>
        </is>
      </c>
      <c r="H138" s="29" t="inlineStr">
        <is>
          <t>SCE</t>
        </is>
      </c>
      <c r="I138" s="29" t="inlineStr">
        <is>
          <t>자본변동표</t>
        </is>
      </c>
      <c r="J138" s="29" t="inlineStr">
        <is>
          <t>dart_ChangesInReserveOfGainsAndLossesOnFinancialAssetsMeasuredAtFairValueThroughOtherComprehensiveIncome</t>
        </is>
      </c>
      <c r="K138" s="29" t="inlineStr">
        <is>
          <t>기타포괄손익-공정가치 측정 금융자산 평가손익</t>
        </is>
      </c>
      <c r="L138" s="29" t="inlineStr">
        <is>
          <t>자본 [member]|지배기업의 소유주에게 귀속되는 자본 [member]</t>
        </is>
      </c>
      <c r="M138" s="29" t="inlineStr">
        <is>
          <t>제 16 기</t>
        </is>
      </c>
      <c r="N138" s="29" t="inlineStr">
        <is>
          <t>435457989.0</t>
        </is>
      </c>
      <c r="O138" s="29" t="inlineStr">
        <is>
          <t>-27867048.0</t>
        </is>
      </c>
      <c r="P138" s="29" t="inlineStr">
        <is>
          <t>KRW</t>
        </is>
      </c>
      <c r="Q138" s="29" t="inlineStr">
        <is>
          <t>7</t>
        </is>
      </c>
    </row>
    <row r="139" ht="24" customHeight="1">
      <c r="A139" s="24" t="inlineStr">
        <is>
          <t>OpenDART_fnlttSinglAcntAll</t>
        </is>
      </c>
      <c r="B139" s="24" t="inlineStr">
        <is>
          <t>00591441</t>
        </is>
      </c>
      <c r="C139" s="24" t="inlineStr">
        <is>
          <t>어보브반도체</t>
        </is>
      </c>
      <c r="D139" s="24" t="inlineStr">
        <is>
          <t>abov</t>
        </is>
      </c>
      <c r="E139" s="24" t="inlineStr">
        <is>
          <t>102120</t>
        </is>
      </c>
      <c r="F139" s="24" t="inlineStr">
        <is>
          <t>2021</t>
        </is>
      </c>
      <c r="G139" s="24" t="inlineStr">
        <is>
          <t>CFS</t>
        </is>
      </c>
      <c r="H139" s="24" t="inlineStr">
        <is>
          <t>SCE</t>
        </is>
      </c>
      <c r="I139" s="24" t="inlineStr">
        <is>
          <t>자본변동표</t>
        </is>
      </c>
      <c r="J139" s="24" t="inlineStr">
        <is>
          <t>dart_ChangesInReserveOfGainsAndLossesOnFinancialAssetsMeasuredAtFairValueThroughOtherComprehensiveIncome</t>
        </is>
      </c>
      <c r="K139" s="24" t="inlineStr">
        <is>
          <t>기타포괄손익-공정가치 측정 금융자산 평가손익</t>
        </is>
      </c>
      <c r="L139" s="24" t="inlineStr">
        <is>
          <t>연결재무제표 [member]</t>
        </is>
      </c>
      <c r="M139" s="24" t="inlineStr">
        <is>
          <t>제 16 기</t>
        </is>
      </c>
      <c r="N139" s="24" t="inlineStr">
        <is>
          <t>435457989.0</t>
        </is>
      </c>
      <c r="O139" s="24" t="inlineStr">
        <is>
          <t>-27867048.0</t>
        </is>
      </c>
      <c r="P139" s="24" t="inlineStr">
        <is>
          <t>KRW</t>
        </is>
      </c>
      <c r="Q139" s="24" t="inlineStr">
        <is>
          <t>7</t>
        </is>
      </c>
    </row>
    <row r="140" ht="24" customHeight="1">
      <c r="A140" s="29" t="inlineStr">
        <is>
          <t>OpenDART_fnlttSinglAcntAll</t>
        </is>
      </c>
      <c r="B140" s="29" t="inlineStr">
        <is>
          <t>00591441</t>
        </is>
      </c>
      <c r="C140" s="29" t="inlineStr">
        <is>
          <t>어보브반도체</t>
        </is>
      </c>
      <c r="D140" s="29" t="inlineStr">
        <is>
          <t>abov</t>
        </is>
      </c>
      <c r="E140" s="29" t="inlineStr">
        <is>
          <t>102120</t>
        </is>
      </c>
      <c r="F140" s="29" t="inlineStr">
        <is>
          <t>2021</t>
        </is>
      </c>
      <c r="G140" s="29" t="inlineStr">
        <is>
          <t>CFS</t>
        </is>
      </c>
      <c r="H140" s="29" t="inlineStr">
        <is>
          <t>SCE</t>
        </is>
      </c>
      <c r="I140" s="29" t="inlineStr">
        <is>
          <t>자본변동표</t>
        </is>
      </c>
      <c r="J140" s="29" t="inlineStr">
        <is>
          <t>-표준계정코드 미사용-</t>
        </is>
      </c>
      <c r="K140" s="29" t="inlineStr">
        <is>
          <t>해외사업환산손익</t>
        </is>
      </c>
      <c r="L140" s="29" t="inlineStr">
        <is>
          <t>자본 [member]|지배기업의 소유주에게 귀속되는 자본 [member]</t>
        </is>
      </c>
      <c r="M140" s="29" t="inlineStr">
        <is>
          <t>제 16 기</t>
        </is>
      </c>
      <c r="N140" s="29" t="inlineStr">
        <is>
          <t>6650621.0</t>
        </is>
      </c>
      <c r="O140" s="29" t="inlineStr">
        <is>
          <t>173802889.0</t>
        </is>
      </c>
      <c r="P140" s="29" t="inlineStr">
        <is>
          <t>KRW</t>
        </is>
      </c>
      <c r="Q140" s="29" t="inlineStr">
        <is>
          <t>9</t>
        </is>
      </c>
    </row>
    <row r="141" ht="24" customHeight="1">
      <c r="A141" s="24" t="inlineStr">
        <is>
          <t>OpenDART_fnlttSinglAcntAll</t>
        </is>
      </c>
      <c r="B141" s="24" t="inlineStr">
        <is>
          <t>00591441</t>
        </is>
      </c>
      <c r="C141" s="24" t="inlineStr">
        <is>
          <t>어보브반도체</t>
        </is>
      </c>
      <c r="D141" s="24" t="inlineStr">
        <is>
          <t>abov</t>
        </is>
      </c>
      <c r="E141" s="24" t="inlineStr">
        <is>
          <t>102120</t>
        </is>
      </c>
      <c r="F141" s="24" t="inlineStr">
        <is>
          <t>2021</t>
        </is>
      </c>
      <c r="G141" s="24" t="inlineStr">
        <is>
          <t>CFS</t>
        </is>
      </c>
      <c r="H141" s="24" t="inlineStr">
        <is>
          <t>SCE</t>
        </is>
      </c>
      <c r="I141" s="24" t="inlineStr">
        <is>
          <t>자본변동표</t>
        </is>
      </c>
      <c r="J141" s="24" t="inlineStr">
        <is>
          <t>-표준계정코드 미사용-</t>
        </is>
      </c>
      <c r="K141" s="24" t="inlineStr">
        <is>
          <t>해외사업환산손익</t>
        </is>
      </c>
      <c r="L141" s="24" t="inlineStr">
        <is>
          <t>자본 [member]|지배기업의 소유주에게 귀속되는 자본 [member]|기타포괄손익누계액 [member]</t>
        </is>
      </c>
      <c r="M141" s="24" t="inlineStr">
        <is>
          <t>제 16 기</t>
        </is>
      </c>
      <c r="N141" s="24" t="inlineStr">
        <is>
          <t>6650621.0</t>
        </is>
      </c>
      <c r="O141" s="24" t="inlineStr">
        <is>
          <t>173802889.0</t>
        </is>
      </c>
      <c r="P141" s="24" t="inlineStr">
        <is>
          <t>KRW</t>
        </is>
      </c>
      <c r="Q141" s="24" t="inlineStr">
        <is>
          <t>9</t>
        </is>
      </c>
    </row>
    <row r="142" ht="24" customHeight="1">
      <c r="A142" s="29" t="inlineStr">
        <is>
          <t>OpenDART_fnlttSinglAcntAll</t>
        </is>
      </c>
      <c r="B142" s="29" t="inlineStr">
        <is>
          <t>00591441</t>
        </is>
      </c>
      <c r="C142" s="29" t="inlineStr">
        <is>
          <t>어보브반도체</t>
        </is>
      </c>
      <c r="D142" s="29" t="inlineStr">
        <is>
          <t>abov</t>
        </is>
      </c>
      <c r="E142" s="29" t="inlineStr">
        <is>
          <t>102120</t>
        </is>
      </c>
      <c r="F142" s="29" t="inlineStr">
        <is>
          <t>2021</t>
        </is>
      </c>
      <c r="G142" s="29" t="inlineStr">
        <is>
          <t>CFS</t>
        </is>
      </c>
      <c r="H142" s="29" t="inlineStr">
        <is>
          <t>SCE</t>
        </is>
      </c>
      <c r="I142" s="29" t="inlineStr">
        <is>
          <t>자본변동표</t>
        </is>
      </c>
      <c r="J142" s="29" t="inlineStr">
        <is>
          <t>-표준계정코드 미사용-</t>
        </is>
      </c>
      <c r="K142" s="29" t="inlineStr">
        <is>
          <t>해외사업환산손익</t>
        </is>
      </c>
      <c r="L142" s="29" t="inlineStr">
        <is>
          <t>연결재무제표 [member]</t>
        </is>
      </c>
      <c r="M142" s="29" t="inlineStr">
        <is>
          <t>제 16 기</t>
        </is>
      </c>
      <c r="N142" s="29" t="inlineStr">
        <is>
          <t>6650621.0</t>
        </is>
      </c>
      <c r="O142" s="29" t="inlineStr">
        <is>
          <t>173802889.0</t>
        </is>
      </c>
      <c r="P142" s="29" t="inlineStr">
        <is>
          <t>KRW</t>
        </is>
      </c>
      <c r="Q142" s="29" t="inlineStr">
        <is>
          <t>9</t>
        </is>
      </c>
    </row>
    <row r="143" ht="24" customHeight="1">
      <c r="A143" s="24" t="inlineStr">
        <is>
          <t>OpenDART_fnlttSinglAcntAll</t>
        </is>
      </c>
      <c r="B143" s="24" t="inlineStr">
        <is>
          <t>00591441</t>
        </is>
      </c>
      <c r="C143" s="24" t="inlineStr">
        <is>
          <t>어보브반도체</t>
        </is>
      </c>
      <c r="D143" s="24" t="inlineStr">
        <is>
          <t>abov</t>
        </is>
      </c>
      <c r="E143" s="24" t="inlineStr">
        <is>
          <t>102120</t>
        </is>
      </c>
      <c r="F143" s="24" t="inlineStr">
        <is>
          <t>2021</t>
        </is>
      </c>
      <c r="G143" s="24" t="inlineStr">
        <is>
          <t>CFS</t>
        </is>
      </c>
      <c r="H143" s="24" t="inlineStr">
        <is>
          <t>SCE</t>
        </is>
      </c>
      <c r="I143" s="24" t="inlineStr">
        <is>
          <t>자본변동표</t>
        </is>
      </c>
      <c r="J143" s="24" t="inlineStr">
        <is>
          <t>ifrs-full_Equity</t>
        </is>
      </c>
      <c r="K143" s="24" t="inlineStr">
        <is>
          <t>기말자본</t>
        </is>
      </c>
      <c r="L143" s="24" t="inlineStr">
        <is>
          <t>자본 [member]|지배기업의 소유주에게 귀속되는 자본 [member]|자본잉여금 [member]</t>
        </is>
      </c>
      <c r="M143" s="24" t="inlineStr">
        <is>
          <t>제 16 기</t>
        </is>
      </c>
      <c r="N143" s="24" t="inlineStr">
        <is>
          <t>23084044791.0</t>
        </is>
      </c>
      <c r="O143" s="24" t="inlineStr">
        <is>
          <t>23084044791.0</t>
        </is>
      </c>
      <c r="P143" s="24" t="inlineStr">
        <is>
          <t>KRW</t>
        </is>
      </c>
      <c r="Q143" s="24" t="inlineStr">
        <is>
          <t>10</t>
        </is>
      </c>
    </row>
    <row r="144" ht="24" customHeight="1">
      <c r="A144" s="29" t="inlineStr">
        <is>
          <t>OpenDART_fnlttSinglAcntAll</t>
        </is>
      </c>
      <c r="B144" s="29" t="inlineStr">
        <is>
          <t>00591441</t>
        </is>
      </c>
      <c r="C144" s="29" t="inlineStr">
        <is>
          <t>어보브반도체</t>
        </is>
      </c>
      <c r="D144" s="29" t="inlineStr">
        <is>
          <t>abov</t>
        </is>
      </c>
      <c r="E144" s="29" t="inlineStr">
        <is>
          <t>102120</t>
        </is>
      </c>
      <c r="F144" s="29" t="inlineStr">
        <is>
          <t>2021</t>
        </is>
      </c>
      <c r="G144" s="29" t="inlineStr">
        <is>
          <t>CFS</t>
        </is>
      </c>
      <c r="H144" s="29" t="inlineStr">
        <is>
          <t>SCE</t>
        </is>
      </c>
      <c r="I144" s="29" t="inlineStr">
        <is>
          <t>자본변동표</t>
        </is>
      </c>
      <c r="J144" s="29" t="inlineStr">
        <is>
          <t>ifrs-full_Equity</t>
        </is>
      </c>
      <c r="K144" s="29" t="inlineStr">
        <is>
          <t>기말자본</t>
        </is>
      </c>
      <c r="L144" s="29" t="inlineStr">
        <is>
          <t>자본 [member]|지배기업의 소유주에게 귀속되는 자본 [member]|자본금 [member]</t>
        </is>
      </c>
      <c r="M144" s="29" t="inlineStr">
        <is>
          <t>제 16 기</t>
        </is>
      </c>
      <c r="N144" s="29" t="inlineStr">
        <is>
          <t>8729826500.0</t>
        </is>
      </c>
      <c r="O144" s="29" t="inlineStr">
        <is>
          <t>8729826500.0</t>
        </is>
      </c>
      <c r="P144" s="29" t="inlineStr">
        <is>
          <t>KRW</t>
        </is>
      </c>
      <c r="Q144" s="29" t="inlineStr">
        <is>
          <t>10</t>
        </is>
      </c>
    </row>
    <row r="145" ht="24" customHeight="1">
      <c r="A145" s="24" t="inlineStr">
        <is>
          <t>OpenDART_fnlttSinglAcntAll</t>
        </is>
      </c>
      <c r="B145" s="24" t="inlineStr">
        <is>
          <t>00591441</t>
        </is>
      </c>
      <c r="C145" s="24" t="inlineStr">
        <is>
          <t>어보브반도체</t>
        </is>
      </c>
      <c r="D145" s="24" t="inlineStr">
        <is>
          <t>abov</t>
        </is>
      </c>
      <c r="E145" s="24" t="inlineStr">
        <is>
          <t>102120</t>
        </is>
      </c>
      <c r="F145" s="24" t="inlineStr">
        <is>
          <t>2021</t>
        </is>
      </c>
      <c r="G145" s="24" t="inlineStr">
        <is>
          <t>CFS</t>
        </is>
      </c>
      <c r="H145" s="24" t="inlineStr">
        <is>
          <t>SCE</t>
        </is>
      </c>
      <c r="I145" s="24" t="inlineStr">
        <is>
          <t>자본변동표</t>
        </is>
      </c>
      <c r="J145" s="24" t="inlineStr">
        <is>
          <t>ifrs-full_Equity</t>
        </is>
      </c>
      <c r="K145" s="24" t="inlineStr">
        <is>
          <t>기말자본</t>
        </is>
      </c>
      <c r="L145" s="24" t="inlineStr">
        <is>
          <t>자본 [member]|지배기업의 소유주에게 귀속되는 자본 [member]|이익잉여금 [member]</t>
        </is>
      </c>
      <c r="M145" s="24" t="inlineStr">
        <is>
          <t>제 16 기</t>
        </is>
      </c>
      <c r="N145" s="24" t="inlineStr">
        <is>
          <t>84340623191.0</t>
        </is>
      </c>
      <c r="O145" s="24" t="inlineStr">
        <is>
          <t>74664128448.0</t>
        </is>
      </c>
      <c r="P145" s="24" t="inlineStr">
        <is>
          <t>KRW</t>
        </is>
      </c>
      <c r="Q145" s="24" t="inlineStr">
        <is>
          <t>10</t>
        </is>
      </c>
    </row>
    <row r="146" ht="24" customHeight="1">
      <c r="A146" s="29" t="inlineStr">
        <is>
          <t>OpenDART_fnlttSinglAcntAll</t>
        </is>
      </c>
      <c r="B146" s="29" t="inlineStr">
        <is>
          <t>00591441</t>
        </is>
      </c>
      <c r="C146" s="29" t="inlineStr">
        <is>
          <t>어보브반도체</t>
        </is>
      </c>
      <c r="D146" s="29" t="inlineStr">
        <is>
          <t>abov</t>
        </is>
      </c>
      <c r="E146" s="29" t="inlineStr">
        <is>
          <t>102120</t>
        </is>
      </c>
      <c r="F146" s="29" t="inlineStr">
        <is>
          <t>2021</t>
        </is>
      </c>
      <c r="G146" s="29" t="inlineStr">
        <is>
          <t>CFS</t>
        </is>
      </c>
      <c r="H146" s="29" t="inlineStr">
        <is>
          <t>SCE</t>
        </is>
      </c>
      <c r="I146" s="29" t="inlineStr">
        <is>
          <t>자본변동표</t>
        </is>
      </c>
      <c r="J146" s="29" t="inlineStr">
        <is>
          <t>ifrs-full_Equity</t>
        </is>
      </c>
      <c r="K146" s="29" t="inlineStr">
        <is>
          <t>기말자본</t>
        </is>
      </c>
      <c r="L146" s="29" t="inlineStr">
        <is>
          <t>자본 [member]|지배기업의 소유주에게 귀속되는 자본 [member]|기타자본항목</t>
        </is>
      </c>
      <c r="M146" s="29" t="inlineStr">
        <is>
          <t>제 16 기</t>
        </is>
      </c>
      <c r="N146" s="29" t="inlineStr">
        <is>
          <t>-4477193500.0</t>
        </is>
      </c>
      <c r="O146" s="29" t="inlineStr">
        <is>
          <t>-4856498814.0</t>
        </is>
      </c>
      <c r="P146" s="29" t="inlineStr">
        <is>
          <t>KRW</t>
        </is>
      </c>
      <c r="Q146" s="29" t="inlineStr">
        <is>
          <t>10</t>
        </is>
      </c>
    </row>
    <row r="147" ht="24" customHeight="1">
      <c r="A147" s="24" t="inlineStr">
        <is>
          <t>OpenDART_fnlttSinglAcntAll</t>
        </is>
      </c>
      <c r="B147" s="24" t="inlineStr">
        <is>
          <t>00591441</t>
        </is>
      </c>
      <c r="C147" s="24" t="inlineStr">
        <is>
          <t>어보브반도체</t>
        </is>
      </c>
      <c r="D147" s="24" t="inlineStr">
        <is>
          <t>abov</t>
        </is>
      </c>
      <c r="E147" s="24" t="inlineStr">
        <is>
          <t>102120</t>
        </is>
      </c>
      <c r="F147" s="24" t="inlineStr">
        <is>
          <t>2021</t>
        </is>
      </c>
      <c r="G147" s="24" t="inlineStr">
        <is>
          <t>CFS</t>
        </is>
      </c>
      <c r="H147" s="24" t="inlineStr">
        <is>
          <t>SCE</t>
        </is>
      </c>
      <c r="I147" s="24" t="inlineStr">
        <is>
          <t>자본변동표</t>
        </is>
      </c>
      <c r="J147" s="24" t="inlineStr">
        <is>
          <t>ifrs-full_Equity</t>
        </is>
      </c>
      <c r="K147" s="24" t="inlineStr">
        <is>
          <t>기말자본</t>
        </is>
      </c>
      <c r="L147" s="24" t="inlineStr">
        <is>
          <t>자본 [member]|지배기업의 소유주에게 귀속되는 자본 [member]</t>
        </is>
      </c>
      <c r="M147" s="24" t="inlineStr">
        <is>
          <t>제 16 기</t>
        </is>
      </c>
      <c r="N147" s="24" t="inlineStr">
        <is>
          <t>111828760258.0</t>
        </is>
      </c>
      <c r="O147" s="24" t="inlineStr">
        <is>
          <t>101330851591.0</t>
        </is>
      </c>
      <c r="P147" s="24" t="inlineStr">
        <is>
          <t>KRW</t>
        </is>
      </c>
      <c r="Q147" s="24" t="inlineStr">
        <is>
          <t>10</t>
        </is>
      </c>
    </row>
    <row r="148" ht="24" customHeight="1">
      <c r="A148" s="29" t="inlineStr">
        <is>
          <t>OpenDART_fnlttSinglAcntAll</t>
        </is>
      </c>
      <c r="B148" s="29" t="inlineStr">
        <is>
          <t>00591441</t>
        </is>
      </c>
      <c r="C148" s="29" t="inlineStr">
        <is>
          <t>어보브반도체</t>
        </is>
      </c>
      <c r="D148" s="29" t="inlineStr">
        <is>
          <t>abov</t>
        </is>
      </c>
      <c r="E148" s="29" t="inlineStr">
        <is>
          <t>102120</t>
        </is>
      </c>
      <c r="F148" s="29" t="inlineStr">
        <is>
          <t>2021</t>
        </is>
      </c>
      <c r="G148" s="29" t="inlineStr">
        <is>
          <t>CFS</t>
        </is>
      </c>
      <c r="H148" s="29" t="inlineStr">
        <is>
          <t>SCE</t>
        </is>
      </c>
      <c r="I148" s="29" t="inlineStr">
        <is>
          <t>자본변동표</t>
        </is>
      </c>
      <c r="J148" s="29" t="inlineStr">
        <is>
          <t>ifrs-full_Equity</t>
        </is>
      </c>
      <c r="K148" s="29" t="inlineStr">
        <is>
          <t>기말자본</t>
        </is>
      </c>
      <c r="L148" s="29" t="inlineStr">
        <is>
          <t>연결재무제표 [member]</t>
        </is>
      </c>
      <c r="M148" s="29" t="inlineStr">
        <is>
          <t>제 16 기</t>
        </is>
      </c>
      <c r="N148" s="29" t="inlineStr">
        <is>
          <t>111828760258.0</t>
        </is>
      </c>
      <c r="O148" s="29" t="inlineStr">
        <is>
          <t>101330851591.0</t>
        </is>
      </c>
      <c r="P148" s="29" t="inlineStr">
        <is>
          <t>KRW</t>
        </is>
      </c>
      <c r="Q148" s="29" t="inlineStr">
        <is>
          <t>10</t>
        </is>
      </c>
    </row>
    <row r="149" ht="24" customHeight="1">
      <c r="A149" s="24" t="inlineStr">
        <is>
          <t>OpenDART_fnlttSinglAcntAll</t>
        </is>
      </c>
      <c r="B149" s="24" t="inlineStr">
        <is>
          <t>00591441</t>
        </is>
      </c>
      <c r="C149" s="24" t="inlineStr">
        <is>
          <t>어보브반도체</t>
        </is>
      </c>
      <c r="D149" s="24" t="inlineStr">
        <is>
          <t>abov</t>
        </is>
      </c>
      <c r="E149" s="24" t="inlineStr">
        <is>
          <t>102120</t>
        </is>
      </c>
      <c r="F149" s="24" t="inlineStr">
        <is>
          <t>2021</t>
        </is>
      </c>
      <c r="G149" s="24" t="inlineStr">
        <is>
          <t>CFS</t>
        </is>
      </c>
      <c r="H149" s="24" t="inlineStr">
        <is>
          <t>SCE</t>
        </is>
      </c>
      <c r="I149" s="24" t="inlineStr">
        <is>
          <t>자본변동표</t>
        </is>
      </c>
      <c r="J149" s="24" t="inlineStr">
        <is>
          <t>ifrs-full_Equity</t>
        </is>
      </c>
      <c r="K149" s="24" t="inlineStr">
        <is>
          <t>기말자본</t>
        </is>
      </c>
      <c r="L149" s="24" t="inlineStr">
        <is>
          <t>자본 [member]|지배기업의 소유주에게 귀속되는 자본 [member]|기타포괄손익누계액 [member]</t>
        </is>
      </c>
      <c r="M149" s="24" t="inlineStr">
        <is>
          <t>제 16 기</t>
        </is>
      </c>
      <c r="N149" s="24" t="inlineStr">
        <is>
          <t>151459276.0</t>
        </is>
      </c>
      <c r="O149" s="24" t="inlineStr">
        <is>
          <t>-290649334.0</t>
        </is>
      </c>
      <c r="P149" s="24" t="inlineStr">
        <is>
          <t>KRW</t>
        </is>
      </c>
      <c r="Q149" s="24" t="inlineStr">
        <is>
          <t>10</t>
        </is>
      </c>
    </row>
    <row r="150" ht="24" customHeight="1">
      <c r="A150" s="29" t="inlineStr">
        <is>
          <t>OpenDART_fnlttSinglAcntAll</t>
        </is>
      </c>
      <c r="B150" s="29" t="inlineStr">
        <is>
          <t>00591441</t>
        </is>
      </c>
      <c r="C150" s="29" t="inlineStr">
        <is>
          <t>어보브반도체</t>
        </is>
      </c>
      <c r="D150" s="29" t="inlineStr">
        <is>
          <t>abov</t>
        </is>
      </c>
      <c r="E150" s="29" t="inlineStr">
        <is>
          <t>102120</t>
        </is>
      </c>
      <c r="F150" s="29" t="inlineStr">
        <is>
          <t>2022</t>
        </is>
      </c>
      <c r="G150" s="29" t="inlineStr">
        <is>
          <t>CFS</t>
        </is>
      </c>
      <c r="H150" s="29" t="inlineStr">
        <is>
          <t>BS</t>
        </is>
      </c>
      <c r="I150" s="29" t="inlineStr">
        <is>
          <t>재무상태표</t>
        </is>
      </c>
      <c r="J150" s="29" t="inlineStr">
        <is>
          <t>ifrs-full_CurrentAssets</t>
        </is>
      </c>
      <c r="K150" s="29" t="inlineStr">
        <is>
          <t>유동자산</t>
        </is>
      </c>
      <c r="L150" s="29" t="inlineStr">
        <is>
          <t>-</t>
        </is>
      </c>
      <c r="M150" s="29" t="inlineStr">
        <is>
          <t>제 17 기</t>
        </is>
      </c>
      <c r="N150" s="29" t="inlineStr">
        <is>
          <t>127473142993.0</t>
        </is>
      </c>
      <c r="O150" s="29" t="inlineStr">
        <is>
          <t>58830567677.0</t>
        </is>
      </c>
      <c r="P150" s="29" t="inlineStr">
        <is>
          <t>KRW</t>
        </is>
      </c>
      <c r="Q150" s="29" t="inlineStr">
        <is>
          <t>1</t>
        </is>
      </c>
    </row>
    <row r="151" ht="24" customHeight="1">
      <c r="A151" s="24" t="inlineStr">
        <is>
          <t>OpenDART_fnlttSinglAcntAll</t>
        </is>
      </c>
      <c r="B151" s="24" t="inlineStr">
        <is>
          <t>00591441</t>
        </is>
      </c>
      <c r="C151" s="24" t="inlineStr">
        <is>
          <t>어보브반도체</t>
        </is>
      </c>
      <c r="D151" s="24" t="inlineStr">
        <is>
          <t>abov</t>
        </is>
      </c>
      <c r="E151" s="24" t="inlineStr">
        <is>
          <t>102120</t>
        </is>
      </c>
      <c r="F151" s="24" t="inlineStr">
        <is>
          <t>2022</t>
        </is>
      </c>
      <c r="G151" s="24" t="inlineStr">
        <is>
          <t>CFS</t>
        </is>
      </c>
      <c r="H151" s="24" t="inlineStr">
        <is>
          <t>BS</t>
        </is>
      </c>
      <c r="I151" s="24" t="inlineStr">
        <is>
          <t>재무상태표</t>
        </is>
      </c>
      <c r="J151" s="24" t="inlineStr">
        <is>
          <t>ifrs-full_CashAndCashEquivalents</t>
        </is>
      </c>
      <c r="K151" s="24" t="inlineStr">
        <is>
          <t>현금 및 현금성자산</t>
        </is>
      </c>
      <c r="L151" s="24" t="inlineStr">
        <is>
          <t>-</t>
        </is>
      </c>
      <c r="M151" s="24" t="inlineStr">
        <is>
          <t>제 17 기</t>
        </is>
      </c>
      <c r="N151" s="24" t="inlineStr">
        <is>
          <t>20717623910.0</t>
        </is>
      </c>
      <c r="O151" s="24" t="inlineStr">
        <is>
          <t>7288235212.0</t>
        </is>
      </c>
      <c r="P151" s="24" t="inlineStr">
        <is>
          <t>KRW</t>
        </is>
      </c>
      <c r="Q151" s="24" t="inlineStr">
        <is>
          <t>2</t>
        </is>
      </c>
    </row>
    <row r="152" ht="24" customHeight="1">
      <c r="A152" s="29" t="inlineStr">
        <is>
          <t>OpenDART_fnlttSinglAcntAll</t>
        </is>
      </c>
      <c r="B152" s="29" t="inlineStr">
        <is>
          <t>00591441</t>
        </is>
      </c>
      <c r="C152" s="29" t="inlineStr">
        <is>
          <t>어보브반도체</t>
        </is>
      </c>
      <c r="D152" s="29" t="inlineStr">
        <is>
          <t>abov</t>
        </is>
      </c>
      <c r="E152" s="29" t="inlineStr">
        <is>
          <t>102120</t>
        </is>
      </c>
      <c r="F152" s="29" t="inlineStr">
        <is>
          <t>2022</t>
        </is>
      </c>
      <c r="G152" s="29" t="inlineStr">
        <is>
          <t>CFS</t>
        </is>
      </c>
      <c r="H152" s="29" t="inlineStr">
        <is>
          <t>BS</t>
        </is>
      </c>
      <c r="I152" s="29" t="inlineStr">
        <is>
          <t>재무상태표</t>
        </is>
      </c>
      <c r="J152" s="29" t="inlineStr">
        <is>
          <t>ifrs-full_OtherCurrentFinancialAssets</t>
        </is>
      </c>
      <c r="K152" s="29" t="inlineStr">
        <is>
          <t>기타유동금융자산</t>
        </is>
      </c>
      <c r="L152" s="29" t="inlineStr">
        <is>
          <t>-</t>
        </is>
      </c>
      <c r="M152" s="29" t="inlineStr">
        <is>
          <t>제 17 기</t>
        </is>
      </c>
      <c r="N152" s="29" t="inlineStr">
        <is>
          <t>4876500.0</t>
        </is>
      </c>
      <c r="O152" s="29" t="inlineStr">
        <is>
          <t>2004560900.0</t>
        </is>
      </c>
      <c r="P152" s="29" t="inlineStr">
        <is>
          <t>KRW</t>
        </is>
      </c>
      <c r="Q152" s="29" t="inlineStr">
        <is>
          <t>3</t>
        </is>
      </c>
    </row>
    <row r="153" ht="24" customHeight="1">
      <c r="A153" s="24" t="inlineStr">
        <is>
          <t>OpenDART_fnlttSinglAcntAll</t>
        </is>
      </c>
      <c r="B153" s="24" t="inlineStr">
        <is>
          <t>00591441</t>
        </is>
      </c>
      <c r="C153" s="24" t="inlineStr">
        <is>
          <t>어보브반도체</t>
        </is>
      </c>
      <c r="D153" s="24" t="inlineStr">
        <is>
          <t>abov</t>
        </is>
      </c>
      <c r="E153" s="24" t="inlineStr">
        <is>
          <t>102120</t>
        </is>
      </c>
      <c r="F153" s="24" t="inlineStr">
        <is>
          <t>2022</t>
        </is>
      </c>
      <c r="G153" s="24" t="inlineStr">
        <is>
          <t>CFS</t>
        </is>
      </c>
      <c r="H153" s="24" t="inlineStr">
        <is>
          <t>BS</t>
        </is>
      </c>
      <c r="I153" s="24" t="inlineStr">
        <is>
          <t>재무상태표</t>
        </is>
      </c>
      <c r="J153" s="24" t="inlineStr">
        <is>
          <t>ifrs-full_CurrentFinancialAssetsAtFairValueThroughProfitOrLossDesignatedUponInitialRecognition</t>
        </is>
      </c>
      <c r="K153" s="24" t="inlineStr">
        <is>
          <t>당기손익공정가치측정금융자산</t>
        </is>
      </c>
      <c r="L153" s="24" t="inlineStr">
        <is>
          <t>-</t>
        </is>
      </c>
      <c r="M153" s="24" t="inlineStr">
        <is>
          <t>제 17 기</t>
        </is>
      </c>
      <c r="N153" s="24" t="inlineStr">
        <is>
          <t>0.0</t>
        </is>
      </c>
      <c r="O153" s="24" t="inlineStr">
        <is>
          <t>3506628809.0</t>
        </is>
      </c>
      <c r="P153" s="24" t="inlineStr">
        <is>
          <t>KRW</t>
        </is>
      </c>
      <c r="Q153" s="24" t="inlineStr">
        <is>
          <t>4</t>
        </is>
      </c>
    </row>
    <row r="154" ht="24" customHeight="1">
      <c r="A154" s="29" t="inlineStr">
        <is>
          <t>OpenDART_fnlttSinglAcntAll</t>
        </is>
      </c>
      <c r="B154" s="29" t="inlineStr">
        <is>
          <t>00591441</t>
        </is>
      </c>
      <c r="C154" s="29" t="inlineStr">
        <is>
          <t>어보브반도체</t>
        </is>
      </c>
      <c r="D154" s="29" t="inlineStr">
        <is>
          <t>abov</t>
        </is>
      </c>
      <c r="E154" s="29" t="inlineStr">
        <is>
          <t>102120</t>
        </is>
      </c>
      <c r="F154" s="29" t="inlineStr">
        <is>
          <t>2022</t>
        </is>
      </c>
      <c r="G154" s="29" t="inlineStr">
        <is>
          <t>CFS</t>
        </is>
      </c>
      <c r="H154" s="29" t="inlineStr">
        <is>
          <t>BS</t>
        </is>
      </c>
      <c r="I154" s="29" t="inlineStr">
        <is>
          <t>재무상태표</t>
        </is>
      </c>
      <c r="J154" s="29" t="inlineStr">
        <is>
          <t>dart_ShortTermTradeReceivable</t>
        </is>
      </c>
      <c r="K154" s="29" t="inlineStr">
        <is>
          <t>매출채권</t>
        </is>
      </c>
      <c r="L154" s="29" t="inlineStr">
        <is>
          <t>-</t>
        </is>
      </c>
      <c r="M154" s="29" t="inlineStr">
        <is>
          <t>제 17 기</t>
        </is>
      </c>
      <c r="N154" s="29" t="inlineStr">
        <is>
          <t>31141073258.0</t>
        </is>
      </c>
      <c r="O154" s="29" t="inlineStr">
        <is>
          <t>20594143817.0</t>
        </is>
      </c>
      <c r="P154" s="29" t="inlineStr">
        <is>
          <t>KRW</t>
        </is>
      </c>
      <c r="Q154" s="29" t="inlineStr">
        <is>
          <t>5</t>
        </is>
      </c>
    </row>
    <row r="155" ht="24" customHeight="1">
      <c r="A155" s="24" t="inlineStr">
        <is>
          <t>OpenDART_fnlttSinglAcntAll</t>
        </is>
      </c>
      <c r="B155" s="24" t="inlineStr">
        <is>
          <t>00591441</t>
        </is>
      </c>
      <c r="C155" s="24" t="inlineStr">
        <is>
          <t>어보브반도체</t>
        </is>
      </c>
      <c r="D155" s="24" t="inlineStr">
        <is>
          <t>abov</t>
        </is>
      </c>
      <c r="E155" s="24" t="inlineStr">
        <is>
          <t>102120</t>
        </is>
      </c>
      <c r="F155" s="24" t="inlineStr">
        <is>
          <t>2022</t>
        </is>
      </c>
      <c r="G155" s="24" t="inlineStr">
        <is>
          <t>CFS</t>
        </is>
      </c>
      <c r="H155" s="24" t="inlineStr">
        <is>
          <t>BS</t>
        </is>
      </c>
      <c r="I155" s="24" t="inlineStr">
        <is>
          <t>재무상태표</t>
        </is>
      </c>
      <c r="J155" s="24" t="inlineStr">
        <is>
          <t>-표준계정코드 미사용-</t>
        </is>
      </c>
      <c r="K155" s="24" t="inlineStr">
        <is>
          <t>기타채권</t>
        </is>
      </c>
      <c r="L155" s="24" t="inlineStr">
        <is>
          <t>-</t>
        </is>
      </c>
      <c r="M155" s="24" t="inlineStr">
        <is>
          <t>제 17 기</t>
        </is>
      </c>
      <c r="N155" s="24" t="inlineStr">
        <is>
          <t>4754210231.0</t>
        </is>
      </c>
      <c r="O155" s="24" t="inlineStr">
        <is>
          <t>3512089126.0</t>
        </is>
      </c>
      <c r="P155" s="24" t="inlineStr">
        <is>
          <t>KRW</t>
        </is>
      </c>
      <c r="Q155" s="24" t="inlineStr">
        <is>
          <t>6</t>
        </is>
      </c>
    </row>
    <row r="156" ht="24" customHeight="1">
      <c r="A156" s="29" t="inlineStr">
        <is>
          <t>OpenDART_fnlttSinglAcntAll</t>
        </is>
      </c>
      <c r="B156" s="29" t="inlineStr">
        <is>
          <t>00591441</t>
        </is>
      </c>
      <c r="C156" s="29" t="inlineStr">
        <is>
          <t>어보브반도체</t>
        </is>
      </c>
      <c r="D156" s="29" t="inlineStr">
        <is>
          <t>abov</t>
        </is>
      </c>
      <c r="E156" s="29" t="inlineStr">
        <is>
          <t>102120</t>
        </is>
      </c>
      <c r="F156" s="29" t="inlineStr">
        <is>
          <t>2022</t>
        </is>
      </c>
      <c r="G156" s="29" t="inlineStr">
        <is>
          <t>CFS</t>
        </is>
      </c>
      <c r="H156" s="29" t="inlineStr">
        <is>
          <t>BS</t>
        </is>
      </c>
      <c r="I156" s="29" t="inlineStr">
        <is>
          <t>재무상태표</t>
        </is>
      </c>
      <c r="J156" s="29" t="inlineStr">
        <is>
          <t>ifrs-full_Inventories</t>
        </is>
      </c>
      <c r="K156" s="29" t="inlineStr">
        <is>
          <t>재고자산</t>
        </is>
      </c>
      <c r="L156" s="29" t="inlineStr">
        <is>
          <t>-</t>
        </is>
      </c>
      <c r="M156" s="29" t="inlineStr">
        <is>
          <t>제 17 기</t>
        </is>
      </c>
      <c r="N156" s="29" t="inlineStr">
        <is>
          <t>66540258624.0</t>
        </is>
      </c>
      <c r="O156" s="29" t="inlineStr">
        <is>
          <t>16936902007.0</t>
        </is>
      </c>
      <c r="P156" s="29" t="inlineStr">
        <is>
          <t>KRW</t>
        </is>
      </c>
      <c r="Q156" s="29" t="inlineStr">
        <is>
          <t>7</t>
        </is>
      </c>
    </row>
    <row r="157" ht="24" customHeight="1">
      <c r="A157" s="24" t="inlineStr">
        <is>
          <t>OpenDART_fnlttSinglAcntAll</t>
        </is>
      </c>
      <c r="B157" s="24" t="inlineStr">
        <is>
          <t>00591441</t>
        </is>
      </c>
      <c r="C157" s="24" t="inlineStr">
        <is>
          <t>어보브반도체</t>
        </is>
      </c>
      <c r="D157" s="24" t="inlineStr">
        <is>
          <t>abov</t>
        </is>
      </c>
      <c r="E157" s="24" t="inlineStr">
        <is>
          <t>102120</t>
        </is>
      </c>
      <c r="F157" s="24" t="inlineStr">
        <is>
          <t>2022</t>
        </is>
      </c>
      <c r="G157" s="24" t="inlineStr">
        <is>
          <t>CFS</t>
        </is>
      </c>
      <c r="H157" s="24" t="inlineStr">
        <is>
          <t>BS</t>
        </is>
      </c>
      <c r="I157" s="24" t="inlineStr">
        <is>
          <t>재무상태표</t>
        </is>
      </c>
      <c r="J157" s="24" t="inlineStr">
        <is>
          <t>dart_OtherCurrentAssets</t>
        </is>
      </c>
      <c r="K157" s="24" t="inlineStr">
        <is>
          <t>기타유동자산</t>
        </is>
      </c>
      <c r="L157" s="24" t="inlineStr">
        <is>
          <t>-</t>
        </is>
      </c>
      <c r="M157" s="24" t="inlineStr">
        <is>
          <t>제 17 기</t>
        </is>
      </c>
      <c r="N157" s="24" t="inlineStr">
        <is>
          <t>4315100470.0</t>
        </is>
      </c>
      <c r="O157" s="24" t="inlineStr">
        <is>
          <t>4988007806.0</t>
        </is>
      </c>
      <c r="P157" s="24" t="inlineStr">
        <is>
          <t>KRW</t>
        </is>
      </c>
      <c r="Q157" s="24" t="inlineStr">
        <is>
          <t>8</t>
        </is>
      </c>
    </row>
    <row r="158" ht="24" customHeight="1">
      <c r="A158" s="29" t="inlineStr">
        <is>
          <t>OpenDART_fnlttSinglAcntAll</t>
        </is>
      </c>
      <c r="B158" s="29" t="inlineStr">
        <is>
          <t>00591441</t>
        </is>
      </c>
      <c r="C158" s="29" t="inlineStr">
        <is>
          <t>어보브반도체</t>
        </is>
      </c>
      <c r="D158" s="29" t="inlineStr">
        <is>
          <t>abov</t>
        </is>
      </c>
      <c r="E158" s="29" t="inlineStr">
        <is>
          <t>102120</t>
        </is>
      </c>
      <c r="F158" s="29" t="inlineStr">
        <is>
          <t>2022</t>
        </is>
      </c>
      <c r="G158" s="29" t="inlineStr">
        <is>
          <t>CFS</t>
        </is>
      </c>
      <c r="H158" s="29" t="inlineStr">
        <is>
          <t>BS</t>
        </is>
      </c>
      <c r="I158" s="29" t="inlineStr">
        <is>
          <t>재무상태표</t>
        </is>
      </c>
      <c r="J158" s="29" t="inlineStr">
        <is>
          <t>ifrs-full_NoncurrentAssets</t>
        </is>
      </c>
      <c r="K158" s="29" t="inlineStr">
        <is>
          <t>비유동자산</t>
        </is>
      </c>
      <c r="L158" s="29" t="inlineStr">
        <is>
          <t>-</t>
        </is>
      </c>
      <c r="M158" s="29" t="inlineStr">
        <is>
          <t>제 17 기</t>
        </is>
      </c>
      <c r="N158" s="29" t="inlineStr">
        <is>
          <t>204058420155.0</t>
        </is>
      </c>
      <c r="O158" s="29" t="inlineStr">
        <is>
          <t>75181356611.0</t>
        </is>
      </c>
      <c r="P158" s="29" t="inlineStr">
        <is>
          <t>KRW</t>
        </is>
      </c>
      <c r="Q158" s="29" t="inlineStr">
        <is>
          <t>9</t>
        </is>
      </c>
    </row>
    <row r="159" ht="24" customHeight="1">
      <c r="A159" s="24" t="inlineStr">
        <is>
          <t>OpenDART_fnlttSinglAcntAll</t>
        </is>
      </c>
      <c r="B159" s="24" t="inlineStr">
        <is>
          <t>00591441</t>
        </is>
      </c>
      <c r="C159" s="24" t="inlineStr">
        <is>
          <t>어보브반도체</t>
        </is>
      </c>
      <c r="D159" s="24" t="inlineStr">
        <is>
          <t>abov</t>
        </is>
      </c>
      <c r="E159" s="24" t="inlineStr">
        <is>
          <t>102120</t>
        </is>
      </c>
      <c r="F159" s="24" t="inlineStr">
        <is>
          <t>2022</t>
        </is>
      </c>
      <c r="G159" s="24" t="inlineStr">
        <is>
          <t>CFS</t>
        </is>
      </c>
      <c r="H159" s="24" t="inlineStr">
        <is>
          <t>BS</t>
        </is>
      </c>
      <c r="I159" s="24" t="inlineStr">
        <is>
          <t>재무상태표</t>
        </is>
      </c>
      <c r="J159" s="24" t="inlineStr">
        <is>
          <t>ifrs-full_NoncurrentFinancialAssetsAtFairValueThroughProfitOrLossDesignatedUponInitialRecognition</t>
        </is>
      </c>
      <c r="K159" s="24" t="inlineStr">
        <is>
          <t>당기손익공정가치측정금융자산</t>
        </is>
      </c>
      <c r="L159" s="24" t="inlineStr">
        <is>
          <t>-</t>
        </is>
      </c>
      <c r="M159" s="24" t="inlineStr">
        <is>
          <t>제 17 기</t>
        </is>
      </c>
      <c r="N159" s="24" t="inlineStr">
        <is>
          <t>2163823306.0</t>
        </is>
      </c>
      <c r="O159" s="24" t="inlineStr">
        <is>
          <t>0.0</t>
        </is>
      </c>
      <c r="P159" s="24" t="inlineStr">
        <is>
          <t>KRW</t>
        </is>
      </c>
      <c r="Q159" s="24" t="inlineStr">
        <is>
          <t>10</t>
        </is>
      </c>
    </row>
    <row r="160" ht="24" customHeight="1">
      <c r="A160" s="29" t="inlineStr">
        <is>
          <t>OpenDART_fnlttSinglAcntAll</t>
        </is>
      </c>
      <c r="B160" s="29" t="inlineStr">
        <is>
          <t>00591441</t>
        </is>
      </c>
      <c r="C160" s="29" t="inlineStr">
        <is>
          <t>어보브반도체</t>
        </is>
      </c>
      <c r="D160" s="29" t="inlineStr">
        <is>
          <t>abov</t>
        </is>
      </c>
      <c r="E160" s="29" t="inlineStr">
        <is>
          <t>102120</t>
        </is>
      </c>
      <c r="F160" s="29" t="inlineStr">
        <is>
          <t>2022</t>
        </is>
      </c>
      <c r="G160" s="29" t="inlineStr">
        <is>
          <t>CFS</t>
        </is>
      </c>
      <c r="H160" s="29" t="inlineStr">
        <is>
          <t>BS</t>
        </is>
      </c>
      <c r="I160" s="29" t="inlineStr">
        <is>
          <t>재무상태표</t>
        </is>
      </c>
      <c r="J160" s="29" t="inlineStr">
        <is>
          <t>ifrs-full_NoncurrentFinancialAssetsMeasuredAtFairValueThroughOtherComprehensiveIncome</t>
        </is>
      </c>
      <c r="K160" s="29" t="inlineStr">
        <is>
          <t>기타포괄손익공정가치측정금융자산</t>
        </is>
      </c>
      <c r="L160" s="29" t="inlineStr">
        <is>
          <t>-</t>
        </is>
      </c>
      <c r="M160" s="29" t="inlineStr">
        <is>
          <t>제 17 기</t>
        </is>
      </c>
      <c r="N160" s="29" t="inlineStr">
        <is>
          <t>1200002210.0</t>
        </is>
      </c>
      <c r="O160" s="29" t="inlineStr">
        <is>
          <t>4720534249.0</t>
        </is>
      </c>
      <c r="P160" s="29" t="inlineStr">
        <is>
          <t>KRW</t>
        </is>
      </c>
      <c r="Q160" s="29" t="inlineStr">
        <is>
          <t>11</t>
        </is>
      </c>
    </row>
    <row r="161" ht="24" customHeight="1">
      <c r="A161" s="24" t="inlineStr">
        <is>
          <t>OpenDART_fnlttSinglAcntAll</t>
        </is>
      </c>
      <c r="B161" s="24" t="inlineStr">
        <is>
          <t>00591441</t>
        </is>
      </c>
      <c r="C161" s="24" t="inlineStr">
        <is>
          <t>어보브반도체</t>
        </is>
      </c>
      <c r="D161" s="24" t="inlineStr">
        <is>
          <t>abov</t>
        </is>
      </c>
      <c r="E161" s="24" t="inlineStr">
        <is>
          <t>102120</t>
        </is>
      </c>
      <c r="F161" s="24" t="inlineStr">
        <is>
          <t>2022</t>
        </is>
      </c>
      <c r="G161" s="24" t="inlineStr">
        <is>
          <t>CFS</t>
        </is>
      </c>
      <c r="H161" s="24" t="inlineStr">
        <is>
          <t>BS</t>
        </is>
      </c>
      <c r="I161" s="24" t="inlineStr">
        <is>
          <t>재무상태표</t>
        </is>
      </c>
      <c r="J161" s="24" t="inlineStr">
        <is>
          <t>ifrs-full_OtherNoncurrentFinancialAssets</t>
        </is>
      </c>
      <c r="K161" s="24" t="inlineStr">
        <is>
          <t>기타비유동금융자산</t>
        </is>
      </c>
      <c r="L161" s="24" t="inlineStr">
        <is>
          <t>-</t>
        </is>
      </c>
      <c r="M161" s="24" t="inlineStr">
        <is>
          <t>제 17 기</t>
        </is>
      </c>
      <c r="N161" s="24" t="inlineStr">
        <is>
          <t>3025603216.0</t>
        </is>
      </c>
      <c r="O161" s="24" t="inlineStr">
        <is>
          <t>3248758269.0</t>
        </is>
      </c>
      <c r="P161" s="24" t="inlineStr">
        <is>
          <t>KRW</t>
        </is>
      </c>
      <c r="Q161" s="24" t="inlineStr">
        <is>
          <t>12</t>
        </is>
      </c>
    </row>
    <row r="162" ht="24" customHeight="1">
      <c r="A162" s="29" t="inlineStr">
        <is>
          <t>OpenDART_fnlttSinglAcntAll</t>
        </is>
      </c>
      <c r="B162" s="29" t="inlineStr">
        <is>
          <t>00591441</t>
        </is>
      </c>
      <c r="C162" s="29" t="inlineStr">
        <is>
          <t>어보브반도체</t>
        </is>
      </c>
      <c r="D162" s="29" t="inlineStr">
        <is>
          <t>abov</t>
        </is>
      </c>
      <c r="E162" s="29" t="inlineStr">
        <is>
          <t>102120</t>
        </is>
      </c>
      <c r="F162" s="29" t="inlineStr">
        <is>
          <t>2022</t>
        </is>
      </c>
      <c r="G162" s="29" t="inlineStr">
        <is>
          <t>CFS</t>
        </is>
      </c>
      <c r="H162" s="29" t="inlineStr">
        <is>
          <t>BS</t>
        </is>
      </c>
      <c r="I162" s="29" t="inlineStr">
        <is>
          <t>재무상태표</t>
        </is>
      </c>
      <c r="J162" s="29" t="inlineStr">
        <is>
          <t>ifrs-full_InvestmentsInAssociates</t>
        </is>
      </c>
      <c r="K162" s="29" t="inlineStr">
        <is>
          <t>관계기업투자주식</t>
        </is>
      </c>
      <c r="L162" s="29" t="inlineStr">
        <is>
          <t>-</t>
        </is>
      </c>
      <c r="M162" s="29" t="inlineStr">
        <is>
          <t>제 17 기</t>
        </is>
      </c>
      <c r="N162" s="29" t="inlineStr">
        <is>
          <t>6667416620.0</t>
        </is>
      </c>
      <c r="O162" s="29" t="inlineStr">
        <is>
          <t>46161565945.0</t>
        </is>
      </c>
      <c r="P162" s="29" t="inlineStr">
        <is>
          <t>KRW</t>
        </is>
      </c>
      <c r="Q162" s="29" t="inlineStr">
        <is>
          <t>13</t>
        </is>
      </c>
    </row>
    <row r="163" ht="24" customHeight="1">
      <c r="A163" s="24" t="inlineStr">
        <is>
          <t>OpenDART_fnlttSinglAcntAll</t>
        </is>
      </c>
      <c r="B163" s="24" t="inlineStr">
        <is>
          <t>00591441</t>
        </is>
      </c>
      <c r="C163" s="24" t="inlineStr">
        <is>
          <t>어보브반도체</t>
        </is>
      </c>
      <c r="D163" s="24" t="inlineStr">
        <is>
          <t>abov</t>
        </is>
      </c>
      <c r="E163" s="24" t="inlineStr">
        <is>
          <t>102120</t>
        </is>
      </c>
      <c r="F163" s="24" t="inlineStr">
        <is>
          <t>2022</t>
        </is>
      </c>
      <c r="G163" s="24" t="inlineStr">
        <is>
          <t>CFS</t>
        </is>
      </c>
      <c r="H163" s="24" t="inlineStr">
        <is>
          <t>BS</t>
        </is>
      </c>
      <c r="I163" s="24" t="inlineStr">
        <is>
          <t>재무상태표</t>
        </is>
      </c>
      <c r="J163" s="24" t="inlineStr">
        <is>
          <t>ifrs-full_PropertyPlantAndEquipment</t>
        </is>
      </c>
      <c r="K163" s="24" t="inlineStr">
        <is>
          <t>유형자산</t>
        </is>
      </c>
      <c r="L163" s="24" t="inlineStr">
        <is>
          <t>-</t>
        </is>
      </c>
      <c r="M163" s="24" t="inlineStr">
        <is>
          <t>제 17 기</t>
        </is>
      </c>
      <c r="N163" s="24" t="inlineStr">
        <is>
          <t>146466371441.0</t>
        </is>
      </c>
      <c r="O163" s="24" t="inlineStr">
        <is>
          <t>2263771303.0</t>
        </is>
      </c>
      <c r="P163" s="24" t="inlineStr">
        <is>
          <t>KRW</t>
        </is>
      </c>
      <c r="Q163" s="24" t="inlineStr">
        <is>
          <t>14</t>
        </is>
      </c>
    </row>
    <row r="164" ht="24" customHeight="1">
      <c r="A164" s="29" t="inlineStr">
        <is>
          <t>OpenDART_fnlttSinglAcntAll</t>
        </is>
      </c>
      <c r="B164" s="29" t="inlineStr">
        <is>
          <t>00591441</t>
        </is>
      </c>
      <c r="C164" s="29" t="inlineStr">
        <is>
          <t>어보브반도체</t>
        </is>
      </c>
      <c r="D164" s="29" t="inlineStr">
        <is>
          <t>abov</t>
        </is>
      </c>
      <c r="E164" s="29" t="inlineStr">
        <is>
          <t>102120</t>
        </is>
      </c>
      <c r="F164" s="29" t="inlineStr">
        <is>
          <t>2022</t>
        </is>
      </c>
      <c r="G164" s="29" t="inlineStr">
        <is>
          <t>CFS</t>
        </is>
      </c>
      <c r="H164" s="29" t="inlineStr">
        <is>
          <t>BS</t>
        </is>
      </c>
      <c r="I164" s="29" t="inlineStr">
        <is>
          <t>재무상태표</t>
        </is>
      </c>
      <c r="J164" s="29" t="inlineStr">
        <is>
          <t>ifrs-full_IntangibleAssetsOtherThanGoodwill</t>
        </is>
      </c>
      <c r="K164" s="29" t="inlineStr">
        <is>
          <t>무형자산</t>
        </is>
      </c>
      <c r="L164" s="29" t="inlineStr">
        <is>
          <t>-</t>
        </is>
      </c>
      <c r="M164" s="29" t="inlineStr">
        <is>
          <t>제 17 기</t>
        </is>
      </c>
      <c r="N164" s="29" t="inlineStr">
        <is>
          <t>25904100103.0</t>
        </is>
      </c>
      <c r="O164" s="29" t="inlineStr">
        <is>
          <t>8892226141.0</t>
        </is>
      </c>
      <c r="P164" s="29" t="inlineStr">
        <is>
          <t>KRW</t>
        </is>
      </c>
      <c r="Q164" s="29" t="inlineStr">
        <is>
          <t>15</t>
        </is>
      </c>
    </row>
    <row r="165" ht="24" customHeight="1">
      <c r="A165" s="24" t="inlineStr">
        <is>
          <t>OpenDART_fnlttSinglAcntAll</t>
        </is>
      </c>
      <c r="B165" s="24" t="inlineStr">
        <is>
          <t>00591441</t>
        </is>
      </c>
      <c r="C165" s="24" t="inlineStr">
        <is>
          <t>어보브반도체</t>
        </is>
      </c>
      <c r="D165" s="24" t="inlineStr">
        <is>
          <t>abov</t>
        </is>
      </c>
      <c r="E165" s="24" t="inlineStr">
        <is>
          <t>102120</t>
        </is>
      </c>
      <c r="F165" s="24" t="inlineStr">
        <is>
          <t>2022</t>
        </is>
      </c>
      <c r="G165" s="24" t="inlineStr">
        <is>
          <t>CFS</t>
        </is>
      </c>
      <c r="H165" s="24" t="inlineStr">
        <is>
          <t>BS</t>
        </is>
      </c>
      <c r="I165" s="24" t="inlineStr">
        <is>
          <t>재무상태표</t>
        </is>
      </c>
      <c r="J165" s="24" t="inlineStr">
        <is>
          <t>ifrs-full_RightofuseAssets</t>
        </is>
      </c>
      <c r="K165" s="24" t="inlineStr">
        <is>
          <t>사용권자산</t>
        </is>
      </c>
      <c r="L165" s="24" t="inlineStr">
        <is>
          <t>-</t>
        </is>
      </c>
      <c r="M165" s="24" t="inlineStr">
        <is>
          <t>제 17 기</t>
        </is>
      </c>
      <c r="N165" s="24" t="inlineStr">
        <is>
          <t>2128682729.0</t>
        </is>
      </c>
      <c r="O165" s="24" t="inlineStr">
        <is>
          <t>422032966.0</t>
        </is>
      </c>
      <c r="P165" s="24" t="inlineStr">
        <is>
          <t>KRW</t>
        </is>
      </c>
      <c r="Q165" s="24" t="inlineStr">
        <is>
          <t>16</t>
        </is>
      </c>
    </row>
    <row r="166" ht="24" customHeight="1">
      <c r="A166" s="29" t="inlineStr">
        <is>
          <t>OpenDART_fnlttSinglAcntAll</t>
        </is>
      </c>
      <c r="B166" s="29" t="inlineStr">
        <is>
          <t>00591441</t>
        </is>
      </c>
      <c r="C166" s="29" t="inlineStr">
        <is>
          <t>어보브반도체</t>
        </is>
      </c>
      <c r="D166" s="29" t="inlineStr">
        <is>
          <t>abov</t>
        </is>
      </c>
      <c r="E166" s="29" t="inlineStr">
        <is>
          <t>102120</t>
        </is>
      </c>
      <c r="F166" s="29" t="inlineStr">
        <is>
          <t>2022</t>
        </is>
      </c>
      <c r="G166" s="29" t="inlineStr">
        <is>
          <t>CFS</t>
        </is>
      </c>
      <c r="H166" s="29" t="inlineStr">
        <is>
          <t>BS</t>
        </is>
      </c>
      <c r="I166" s="29" t="inlineStr">
        <is>
          <t>재무상태표</t>
        </is>
      </c>
      <c r="J166" s="29" t="inlineStr">
        <is>
          <t>-표준계정코드 미사용-</t>
        </is>
      </c>
      <c r="K166" s="29" t="inlineStr">
        <is>
          <t>순확정급여자산</t>
        </is>
      </c>
      <c r="L166" s="29" t="inlineStr">
        <is>
          <t>-</t>
        </is>
      </c>
      <c r="M166" s="29" t="inlineStr">
        <is>
          <t>제 17 기</t>
        </is>
      </c>
      <c r="N166" s="29" t="inlineStr">
        <is>
          <t>100240688.0</t>
        </is>
      </c>
      <c r="O166" s="29" t="inlineStr">
        <is>
          <t>0.0</t>
        </is>
      </c>
      <c r="P166" s="29" t="inlineStr">
        <is>
          <t>KRW</t>
        </is>
      </c>
      <c r="Q166" s="29" t="inlineStr">
        <is>
          <t>17</t>
        </is>
      </c>
    </row>
    <row r="167" ht="24" customHeight="1">
      <c r="A167" s="24" t="inlineStr">
        <is>
          <t>OpenDART_fnlttSinglAcntAll</t>
        </is>
      </c>
      <c r="B167" s="24" t="inlineStr">
        <is>
          <t>00591441</t>
        </is>
      </c>
      <c r="C167" s="24" t="inlineStr">
        <is>
          <t>어보브반도체</t>
        </is>
      </c>
      <c r="D167" s="24" t="inlineStr">
        <is>
          <t>abov</t>
        </is>
      </c>
      <c r="E167" s="24" t="inlineStr">
        <is>
          <t>102120</t>
        </is>
      </c>
      <c r="F167" s="24" t="inlineStr">
        <is>
          <t>2022</t>
        </is>
      </c>
      <c r="G167" s="24" t="inlineStr">
        <is>
          <t>CFS</t>
        </is>
      </c>
      <c r="H167" s="24" t="inlineStr">
        <is>
          <t>BS</t>
        </is>
      </c>
      <c r="I167" s="24" t="inlineStr">
        <is>
          <t>재무상태표</t>
        </is>
      </c>
      <c r="J167" s="24" t="inlineStr">
        <is>
          <t>dart_OtherNonCurrentAssets</t>
        </is>
      </c>
      <c r="K167" s="24" t="inlineStr">
        <is>
          <t>기타비유동자산</t>
        </is>
      </c>
      <c r="L167" s="24" t="inlineStr">
        <is>
          <t>-</t>
        </is>
      </c>
      <c r="M167" s="24" t="inlineStr">
        <is>
          <t>제 17 기</t>
        </is>
      </c>
      <c r="N167" s="24" t="inlineStr">
        <is>
          <t>889620568.0</t>
        </is>
      </c>
      <c r="O167" s="24" t="inlineStr">
        <is>
          <t>915335523.0</t>
        </is>
      </c>
      <c r="P167" s="24" t="inlineStr">
        <is>
          <t>KRW</t>
        </is>
      </c>
      <c r="Q167" s="24" t="inlineStr">
        <is>
          <t>18</t>
        </is>
      </c>
    </row>
    <row r="168" ht="24" customHeight="1">
      <c r="A168" s="29" t="inlineStr">
        <is>
          <t>OpenDART_fnlttSinglAcntAll</t>
        </is>
      </c>
      <c r="B168" s="29" t="inlineStr">
        <is>
          <t>00591441</t>
        </is>
      </c>
      <c r="C168" s="29" t="inlineStr">
        <is>
          <t>어보브반도체</t>
        </is>
      </c>
      <c r="D168" s="29" t="inlineStr">
        <is>
          <t>abov</t>
        </is>
      </c>
      <c r="E168" s="29" t="inlineStr">
        <is>
          <t>102120</t>
        </is>
      </c>
      <c r="F168" s="29" t="inlineStr">
        <is>
          <t>2022</t>
        </is>
      </c>
      <c r="G168" s="29" t="inlineStr">
        <is>
          <t>CFS</t>
        </is>
      </c>
      <c r="H168" s="29" t="inlineStr">
        <is>
          <t>BS</t>
        </is>
      </c>
      <c r="I168" s="29" t="inlineStr">
        <is>
          <t>재무상태표</t>
        </is>
      </c>
      <c r="J168" s="29" t="inlineStr">
        <is>
          <t>ifrs-full_DeferredTaxAssets</t>
        </is>
      </c>
      <c r="K168" s="29" t="inlineStr">
        <is>
          <t>이연법인세자산</t>
        </is>
      </c>
      <c r="L168" s="29" t="inlineStr">
        <is>
          <t>-</t>
        </is>
      </c>
      <c r="M168" s="29" t="inlineStr">
        <is>
          <t>제 17 기</t>
        </is>
      </c>
      <c r="N168" s="29" t="inlineStr">
        <is>
          <t>15512559274.0</t>
        </is>
      </c>
      <c r="O168" s="29" t="inlineStr">
        <is>
          <t>8557132215.0</t>
        </is>
      </c>
      <c r="P168" s="29" t="inlineStr">
        <is>
          <t>KRW</t>
        </is>
      </c>
      <c r="Q168" s="29" t="inlineStr">
        <is>
          <t>19</t>
        </is>
      </c>
    </row>
    <row r="169" ht="24" customHeight="1">
      <c r="A169" s="24" t="inlineStr">
        <is>
          <t>OpenDART_fnlttSinglAcntAll</t>
        </is>
      </c>
      <c r="B169" s="24" t="inlineStr">
        <is>
          <t>00591441</t>
        </is>
      </c>
      <c r="C169" s="24" t="inlineStr">
        <is>
          <t>어보브반도체</t>
        </is>
      </c>
      <c r="D169" s="24" t="inlineStr">
        <is>
          <t>abov</t>
        </is>
      </c>
      <c r="E169" s="24" t="inlineStr">
        <is>
          <t>102120</t>
        </is>
      </c>
      <c r="F169" s="24" t="inlineStr">
        <is>
          <t>2022</t>
        </is>
      </c>
      <c r="G169" s="24" t="inlineStr">
        <is>
          <t>CFS</t>
        </is>
      </c>
      <c r="H169" s="24" t="inlineStr">
        <is>
          <t>BS</t>
        </is>
      </c>
      <c r="I169" s="24" t="inlineStr">
        <is>
          <t>재무상태표</t>
        </is>
      </c>
      <c r="J169" s="24" t="inlineStr">
        <is>
          <t>ifrs-full_Assets</t>
        </is>
      </c>
      <c r="K169" s="24" t="inlineStr">
        <is>
          <t>자산총계</t>
        </is>
      </c>
      <c r="L169" s="24" t="inlineStr">
        <is>
          <t>-</t>
        </is>
      </c>
      <c r="M169" s="24" t="inlineStr">
        <is>
          <t>제 17 기</t>
        </is>
      </c>
      <c r="N169" s="24" t="inlineStr">
        <is>
          <t>331531563148.0</t>
        </is>
      </c>
      <c r="O169" s="24" t="inlineStr">
        <is>
          <t>134011924288.0</t>
        </is>
      </c>
      <c r="P169" s="24" t="inlineStr">
        <is>
          <t>KRW</t>
        </is>
      </c>
      <c r="Q169" s="24" t="inlineStr">
        <is>
          <t>20</t>
        </is>
      </c>
    </row>
    <row r="170" ht="24" customHeight="1">
      <c r="A170" s="29" t="inlineStr">
        <is>
          <t>OpenDART_fnlttSinglAcntAll</t>
        </is>
      </c>
      <c r="B170" s="29" t="inlineStr">
        <is>
          <t>00591441</t>
        </is>
      </c>
      <c r="C170" s="29" t="inlineStr">
        <is>
          <t>어보브반도체</t>
        </is>
      </c>
      <c r="D170" s="29" t="inlineStr">
        <is>
          <t>abov</t>
        </is>
      </c>
      <c r="E170" s="29" t="inlineStr">
        <is>
          <t>102120</t>
        </is>
      </c>
      <c r="F170" s="29" t="inlineStr">
        <is>
          <t>2022</t>
        </is>
      </c>
      <c r="G170" s="29" t="inlineStr">
        <is>
          <t>CFS</t>
        </is>
      </c>
      <c r="H170" s="29" t="inlineStr">
        <is>
          <t>BS</t>
        </is>
      </c>
      <c r="I170" s="29" t="inlineStr">
        <is>
          <t>재무상태표</t>
        </is>
      </c>
      <c r="J170" s="29" t="inlineStr">
        <is>
          <t>ifrs-full_CurrentLiabilities</t>
        </is>
      </c>
      <c r="K170" s="29" t="inlineStr">
        <is>
          <t>유동부채</t>
        </is>
      </c>
      <c r="L170" s="29" t="inlineStr">
        <is>
          <t>-</t>
        </is>
      </c>
      <c r="M170" s="29" t="inlineStr">
        <is>
          <t>제 17 기</t>
        </is>
      </c>
      <c r="N170" s="29" t="inlineStr">
        <is>
          <t>127749153276.0</t>
        </is>
      </c>
      <c r="O170" s="29" t="inlineStr">
        <is>
          <t>20457920197.0</t>
        </is>
      </c>
      <c r="P170" s="29" t="inlineStr">
        <is>
          <t>KRW</t>
        </is>
      </c>
      <c r="Q170" s="29" t="inlineStr">
        <is>
          <t>22</t>
        </is>
      </c>
    </row>
    <row r="171" ht="24" customHeight="1">
      <c r="A171" s="24" t="inlineStr">
        <is>
          <t>OpenDART_fnlttSinglAcntAll</t>
        </is>
      </c>
      <c r="B171" s="24" t="inlineStr">
        <is>
          <t>00591441</t>
        </is>
      </c>
      <c r="C171" s="24" t="inlineStr">
        <is>
          <t>어보브반도체</t>
        </is>
      </c>
      <c r="D171" s="24" t="inlineStr">
        <is>
          <t>abov</t>
        </is>
      </c>
      <c r="E171" s="24" t="inlineStr">
        <is>
          <t>102120</t>
        </is>
      </c>
      <c r="F171" s="24" t="inlineStr">
        <is>
          <t>2022</t>
        </is>
      </c>
      <c r="G171" s="24" t="inlineStr">
        <is>
          <t>CFS</t>
        </is>
      </c>
      <c r="H171" s="24" t="inlineStr">
        <is>
          <t>BS</t>
        </is>
      </c>
      <c r="I171" s="24" t="inlineStr">
        <is>
          <t>재무상태표</t>
        </is>
      </c>
      <c r="J171" s="24" t="inlineStr">
        <is>
          <t>ifrs-full_TradeAndOtherCurrentPayables</t>
        </is>
      </c>
      <c r="K171" s="24" t="inlineStr">
        <is>
          <t>매입채무</t>
        </is>
      </c>
      <c r="L171" s="24" t="inlineStr">
        <is>
          <t>-</t>
        </is>
      </c>
      <c r="M171" s="24" t="inlineStr">
        <is>
          <t>제 17 기</t>
        </is>
      </c>
      <c r="N171" s="24" t="inlineStr">
        <is>
          <t>24530336251.0</t>
        </is>
      </c>
      <c r="O171" s="24" t="inlineStr">
        <is>
          <t>10936904645.0</t>
        </is>
      </c>
      <c r="P171" s="24" t="inlineStr">
        <is>
          <t>KRW</t>
        </is>
      </c>
      <c r="Q171" s="24" t="inlineStr">
        <is>
          <t>23</t>
        </is>
      </c>
    </row>
    <row r="172" ht="24" customHeight="1">
      <c r="A172" s="29" t="inlineStr">
        <is>
          <t>OpenDART_fnlttSinglAcntAll</t>
        </is>
      </c>
      <c r="B172" s="29" t="inlineStr">
        <is>
          <t>00591441</t>
        </is>
      </c>
      <c r="C172" s="29" t="inlineStr">
        <is>
          <t>어보브반도체</t>
        </is>
      </c>
      <c r="D172" s="29" t="inlineStr">
        <is>
          <t>abov</t>
        </is>
      </c>
      <c r="E172" s="29" t="inlineStr">
        <is>
          <t>102120</t>
        </is>
      </c>
      <c r="F172" s="29" t="inlineStr">
        <is>
          <t>2022</t>
        </is>
      </c>
      <c r="G172" s="29" t="inlineStr">
        <is>
          <t>CFS</t>
        </is>
      </c>
      <c r="H172" s="29" t="inlineStr">
        <is>
          <t>BS</t>
        </is>
      </c>
      <c r="I172" s="29" t="inlineStr">
        <is>
          <t>재무상태표</t>
        </is>
      </c>
      <c r="J172" s="29" t="inlineStr">
        <is>
          <t>-표준계정코드 미사용-</t>
        </is>
      </c>
      <c r="K172" s="29" t="inlineStr">
        <is>
          <t>기타채무</t>
        </is>
      </c>
      <c r="L172" s="29" t="inlineStr">
        <is>
          <t>-</t>
        </is>
      </c>
      <c r="M172" s="29" t="inlineStr">
        <is>
          <t>제 17 기</t>
        </is>
      </c>
      <c r="N172" s="29" t="inlineStr">
        <is>
          <t>17989046161.0</t>
        </is>
      </c>
      <c r="O172" s="29" t="inlineStr">
        <is>
          <t>6958234376.0</t>
        </is>
      </c>
      <c r="P172" s="29" t="inlineStr">
        <is>
          <t>KRW</t>
        </is>
      </c>
      <c r="Q172" s="29" t="inlineStr">
        <is>
          <t>24</t>
        </is>
      </c>
    </row>
    <row r="173" ht="24" customHeight="1">
      <c r="A173" s="24" t="inlineStr">
        <is>
          <t>OpenDART_fnlttSinglAcntAll</t>
        </is>
      </c>
      <c r="B173" s="24" t="inlineStr">
        <is>
          <t>00591441</t>
        </is>
      </c>
      <c r="C173" s="24" t="inlineStr">
        <is>
          <t>어보브반도체</t>
        </is>
      </c>
      <c r="D173" s="24" t="inlineStr">
        <is>
          <t>abov</t>
        </is>
      </c>
      <c r="E173" s="24" t="inlineStr">
        <is>
          <t>102120</t>
        </is>
      </c>
      <c r="F173" s="24" t="inlineStr">
        <is>
          <t>2022</t>
        </is>
      </c>
      <c r="G173" s="24" t="inlineStr">
        <is>
          <t>CFS</t>
        </is>
      </c>
      <c r="H173" s="24" t="inlineStr">
        <is>
          <t>BS</t>
        </is>
      </c>
      <c r="I173" s="24" t="inlineStr">
        <is>
          <t>재무상태표</t>
        </is>
      </c>
      <c r="J173" s="24" t="inlineStr">
        <is>
          <t>ifrs-full_ShorttermBorrowings</t>
        </is>
      </c>
      <c r="K173" s="24" t="inlineStr">
        <is>
          <t>단기차입금</t>
        </is>
      </c>
      <c r="L173" s="24" t="inlineStr">
        <is>
          <t>-</t>
        </is>
      </c>
      <c r="M173" s="24" t="inlineStr">
        <is>
          <t>제 17 기</t>
        </is>
      </c>
      <c r="N173" s="24" t="inlineStr">
        <is>
          <t>62238339073.0</t>
        </is>
      </c>
      <c r="O173" s="24" t="inlineStr">
        <is>
          <t>0.0</t>
        </is>
      </c>
      <c r="P173" s="24" t="inlineStr">
        <is>
          <t>KRW</t>
        </is>
      </c>
      <c r="Q173" s="24" t="inlineStr">
        <is>
          <t>25</t>
        </is>
      </c>
    </row>
    <row r="174" ht="24" customHeight="1">
      <c r="A174" s="29" t="inlineStr">
        <is>
          <t>OpenDART_fnlttSinglAcntAll</t>
        </is>
      </c>
      <c r="B174" s="29" t="inlineStr">
        <is>
          <t>00591441</t>
        </is>
      </c>
      <c r="C174" s="29" t="inlineStr">
        <is>
          <t>어보브반도체</t>
        </is>
      </c>
      <c r="D174" s="29" t="inlineStr">
        <is>
          <t>abov</t>
        </is>
      </c>
      <c r="E174" s="29" t="inlineStr">
        <is>
          <t>102120</t>
        </is>
      </c>
      <c r="F174" s="29" t="inlineStr">
        <is>
          <t>2022</t>
        </is>
      </c>
      <c r="G174" s="29" t="inlineStr">
        <is>
          <t>CFS</t>
        </is>
      </c>
      <c r="H174" s="29" t="inlineStr">
        <is>
          <t>BS</t>
        </is>
      </c>
      <c r="I174" s="29" t="inlineStr">
        <is>
          <t>재무상태표</t>
        </is>
      </c>
      <c r="J174" s="29" t="inlineStr">
        <is>
          <t>ifrs-full_CurrentPortionOfLongtermBorrowings</t>
        </is>
      </c>
      <c r="K174" s="29" t="inlineStr">
        <is>
          <t>유동성장기차입금</t>
        </is>
      </c>
      <c r="L174" s="29" t="inlineStr">
        <is>
          <t>-</t>
        </is>
      </c>
      <c r="M174" s="29" t="inlineStr">
        <is>
          <t>제 17 기</t>
        </is>
      </c>
      <c r="N174" s="29" t="inlineStr">
        <is>
          <t>13451199909.0</t>
        </is>
      </c>
      <c r="O174" s="29" t="inlineStr">
        <is>
          <t>0.0</t>
        </is>
      </c>
      <c r="P174" s="29" t="inlineStr">
        <is>
          <t>KRW</t>
        </is>
      </c>
      <c r="Q174" s="29" t="inlineStr">
        <is>
          <t>26</t>
        </is>
      </c>
    </row>
    <row r="175" ht="24" customHeight="1">
      <c r="A175" s="24" t="inlineStr">
        <is>
          <t>OpenDART_fnlttSinglAcntAll</t>
        </is>
      </c>
      <c r="B175" s="24" t="inlineStr">
        <is>
          <t>00591441</t>
        </is>
      </c>
      <c r="C175" s="24" t="inlineStr">
        <is>
          <t>어보브반도체</t>
        </is>
      </c>
      <c r="D175" s="24" t="inlineStr">
        <is>
          <t>abov</t>
        </is>
      </c>
      <c r="E175" s="24" t="inlineStr">
        <is>
          <t>102120</t>
        </is>
      </c>
      <c r="F175" s="24" t="inlineStr">
        <is>
          <t>2022</t>
        </is>
      </c>
      <c r="G175" s="24" t="inlineStr">
        <is>
          <t>CFS</t>
        </is>
      </c>
      <c r="H175" s="24" t="inlineStr">
        <is>
          <t>BS</t>
        </is>
      </c>
      <c r="I175" s="24" t="inlineStr">
        <is>
          <t>재무상태표</t>
        </is>
      </c>
      <c r="J175" s="24" t="inlineStr">
        <is>
          <t>dart_CurrentPortionOfConvertibleBonds</t>
        </is>
      </c>
      <c r="K175" s="24" t="inlineStr">
        <is>
          <t>유동성전환사채</t>
        </is>
      </c>
      <c r="L175" s="24" t="inlineStr">
        <is>
          <t>-</t>
        </is>
      </c>
      <c r="M175" s="24" t="inlineStr">
        <is>
          <t>제 17 기</t>
        </is>
      </c>
      <c r="N175" s="24" t="inlineStr">
        <is>
          <t>4311792535.0</t>
        </is>
      </c>
      <c r="O175" s="24" t="inlineStr">
        <is>
          <t>0.0</t>
        </is>
      </c>
      <c r="P175" s="24" t="inlineStr">
        <is>
          <t>KRW</t>
        </is>
      </c>
      <c r="Q175" s="24" t="inlineStr">
        <is>
          <t>27</t>
        </is>
      </c>
    </row>
    <row r="176" ht="24" customHeight="1">
      <c r="A176" s="29" t="inlineStr">
        <is>
          <t>OpenDART_fnlttSinglAcntAll</t>
        </is>
      </c>
      <c r="B176" s="29" t="inlineStr">
        <is>
          <t>00591441</t>
        </is>
      </c>
      <c r="C176" s="29" t="inlineStr">
        <is>
          <t>어보브반도체</t>
        </is>
      </c>
      <c r="D176" s="29" t="inlineStr">
        <is>
          <t>abov</t>
        </is>
      </c>
      <c r="E176" s="29" t="inlineStr">
        <is>
          <t>102120</t>
        </is>
      </c>
      <c r="F176" s="29" t="inlineStr">
        <is>
          <t>2022</t>
        </is>
      </c>
      <c r="G176" s="29" t="inlineStr">
        <is>
          <t>CFS</t>
        </is>
      </c>
      <c r="H176" s="29" t="inlineStr">
        <is>
          <t>BS</t>
        </is>
      </c>
      <c r="I176" s="29" t="inlineStr">
        <is>
          <t>재무상태표</t>
        </is>
      </c>
      <c r="J176" s="29" t="inlineStr">
        <is>
          <t>ifrs-full_CurrentLeaseLiabilities</t>
        </is>
      </c>
      <c r="K176" s="29" t="inlineStr">
        <is>
          <t>유동리스부채</t>
        </is>
      </c>
      <c r="L176" s="29" t="inlineStr">
        <is>
          <t>-</t>
        </is>
      </c>
      <c r="M176" s="29" t="inlineStr">
        <is>
          <t>제 17 기</t>
        </is>
      </c>
      <c r="N176" s="29" t="inlineStr">
        <is>
          <t>968281241.0</t>
        </is>
      </c>
      <c r="O176" s="29" t="inlineStr">
        <is>
          <t>296042821.0</t>
        </is>
      </c>
      <c r="P176" s="29" t="inlineStr">
        <is>
          <t>KRW</t>
        </is>
      </c>
      <c r="Q176" s="29" t="inlineStr">
        <is>
          <t>28</t>
        </is>
      </c>
    </row>
    <row r="177" ht="24" customHeight="1">
      <c r="A177" s="24" t="inlineStr">
        <is>
          <t>OpenDART_fnlttSinglAcntAll</t>
        </is>
      </c>
      <c r="B177" s="24" t="inlineStr">
        <is>
          <t>00591441</t>
        </is>
      </c>
      <c r="C177" s="24" t="inlineStr">
        <is>
          <t>어보브반도체</t>
        </is>
      </c>
      <c r="D177" s="24" t="inlineStr">
        <is>
          <t>abov</t>
        </is>
      </c>
      <c r="E177" s="24" t="inlineStr">
        <is>
          <t>102120</t>
        </is>
      </c>
      <c r="F177" s="24" t="inlineStr">
        <is>
          <t>2022</t>
        </is>
      </c>
      <c r="G177" s="24" t="inlineStr">
        <is>
          <t>CFS</t>
        </is>
      </c>
      <c r="H177" s="24" t="inlineStr">
        <is>
          <t>BS</t>
        </is>
      </c>
      <c r="I177" s="24" t="inlineStr">
        <is>
          <t>재무상태표</t>
        </is>
      </c>
      <c r="J177" s="24" t="inlineStr">
        <is>
          <t>ifrs-full_CurrentTaxLiabilities</t>
        </is>
      </c>
      <c r="K177" s="24" t="inlineStr">
        <is>
          <t>당기법인세부채</t>
        </is>
      </c>
      <c r="L177" s="24" t="inlineStr">
        <is>
          <t>-</t>
        </is>
      </c>
      <c r="M177" s="24" t="inlineStr">
        <is>
          <t>제 17 기</t>
        </is>
      </c>
      <c r="N177" s="24" t="inlineStr">
        <is>
          <t>3090465284.0</t>
        </is>
      </c>
      <c r="O177" s="24" t="inlineStr">
        <is>
          <t>2051506138.0</t>
        </is>
      </c>
      <c r="P177" s="24" t="inlineStr">
        <is>
          <t>KRW</t>
        </is>
      </c>
      <c r="Q177" s="24" t="inlineStr">
        <is>
          <t>29</t>
        </is>
      </c>
    </row>
    <row r="178" ht="24" customHeight="1">
      <c r="A178" s="29" t="inlineStr">
        <is>
          <t>OpenDART_fnlttSinglAcntAll</t>
        </is>
      </c>
      <c r="B178" s="29" t="inlineStr">
        <is>
          <t>00591441</t>
        </is>
      </c>
      <c r="C178" s="29" t="inlineStr">
        <is>
          <t>어보브반도체</t>
        </is>
      </c>
      <c r="D178" s="29" t="inlineStr">
        <is>
          <t>abov</t>
        </is>
      </c>
      <c r="E178" s="29" t="inlineStr">
        <is>
          <t>102120</t>
        </is>
      </c>
      <c r="F178" s="29" t="inlineStr">
        <is>
          <t>2022</t>
        </is>
      </c>
      <c r="G178" s="29" t="inlineStr">
        <is>
          <t>CFS</t>
        </is>
      </c>
      <c r="H178" s="29" t="inlineStr">
        <is>
          <t>BS</t>
        </is>
      </c>
      <c r="I178" s="29" t="inlineStr">
        <is>
          <t>재무상태표</t>
        </is>
      </c>
      <c r="J178" s="29" t="inlineStr">
        <is>
          <t>dart_OtherCurrentLiabilities</t>
        </is>
      </c>
      <c r="K178" s="29" t="inlineStr">
        <is>
          <t>기타유동부채</t>
        </is>
      </c>
      <c r="L178" s="29" t="inlineStr">
        <is>
          <t>-</t>
        </is>
      </c>
      <c r="M178" s="29" t="inlineStr">
        <is>
          <t>제 17 기</t>
        </is>
      </c>
      <c r="N178" s="29" t="inlineStr">
        <is>
          <t>1169692822.0</t>
        </is>
      </c>
      <c r="O178" s="29" t="inlineStr">
        <is>
          <t>215232217.0</t>
        </is>
      </c>
      <c r="P178" s="29" t="inlineStr">
        <is>
          <t>KRW</t>
        </is>
      </c>
      <c r="Q178" s="29" t="inlineStr">
        <is>
          <t>30</t>
        </is>
      </c>
    </row>
    <row r="179" ht="24" customHeight="1">
      <c r="A179" s="24" t="inlineStr">
        <is>
          <t>OpenDART_fnlttSinglAcntAll</t>
        </is>
      </c>
      <c r="B179" s="24" t="inlineStr">
        <is>
          <t>00591441</t>
        </is>
      </c>
      <c r="C179" s="24" t="inlineStr">
        <is>
          <t>어보브반도체</t>
        </is>
      </c>
      <c r="D179" s="24" t="inlineStr">
        <is>
          <t>abov</t>
        </is>
      </c>
      <c r="E179" s="24" t="inlineStr">
        <is>
          <t>102120</t>
        </is>
      </c>
      <c r="F179" s="24" t="inlineStr">
        <is>
          <t>2022</t>
        </is>
      </c>
      <c r="G179" s="24" t="inlineStr">
        <is>
          <t>CFS</t>
        </is>
      </c>
      <c r="H179" s="24" t="inlineStr">
        <is>
          <t>BS</t>
        </is>
      </c>
      <c r="I179" s="24" t="inlineStr">
        <is>
          <t>재무상태표</t>
        </is>
      </c>
      <c r="J179" s="24" t="inlineStr">
        <is>
          <t>ifrs-full_NoncurrentLiabilities</t>
        </is>
      </c>
      <c r="K179" s="24" t="inlineStr">
        <is>
          <t>비유동부채</t>
        </is>
      </c>
      <c r="L179" s="24" t="inlineStr">
        <is>
          <t>-</t>
        </is>
      </c>
      <c r="M179" s="24" t="inlineStr">
        <is>
          <t>제 17 기</t>
        </is>
      </c>
      <c r="N179" s="24" t="inlineStr">
        <is>
          <t>30713825579.0</t>
        </is>
      </c>
      <c r="O179" s="24" t="inlineStr">
        <is>
          <t>1725243833.0</t>
        </is>
      </c>
      <c r="P179" s="24" t="inlineStr">
        <is>
          <t>KRW</t>
        </is>
      </c>
      <c r="Q179" s="24" t="inlineStr">
        <is>
          <t>31</t>
        </is>
      </c>
    </row>
    <row r="180" ht="24" customHeight="1">
      <c r="A180" s="29" t="inlineStr">
        <is>
          <t>OpenDART_fnlttSinglAcntAll</t>
        </is>
      </c>
      <c r="B180" s="29" t="inlineStr">
        <is>
          <t>00591441</t>
        </is>
      </c>
      <c r="C180" s="29" t="inlineStr">
        <is>
          <t>어보브반도체</t>
        </is>
      </c>
      <c r="D180" s="29" t="inlineStr">
        <is>
          <t>abov</t>
        </is>
      </c>
      <c r="E180" s="29" t="inlineStr">
        <is>
          <t>102120</t>
        </is>
      </c>
      <c r="F180" s="29" t="inlineStr">
        <is>
          <t>2022</t>
        </is>
      </c>
      <c r="G180" s="29" t="inlineStr">
        <is>
          <t>CFS</t>
        </is>
      </c>
      <c r="H180" s="29" t="inlineStr">
        <is>
          <t>BS</t>
        </is>
      </c>
      <c r="I180" s="29" t="inlineStr">
        <is>
          <t>재무상태표</t>
        </is>
      </c>
      <c r="J180" s="29" t="inlineStr">
        <is>
          <t>dart_LongTermBorrowingsGross</t>
        </is>
      </c>
      <c r="K180" s="29" t="inlineStr">
        <is>
          <t>장기차입금</t>
        </is>
      </c>
      <c r="L180" s="29" t="inlineStr">
        <is>
          <t>-</t>
        </is>
      </c>
      <c r="M180" s="29" t="inlineStr">
        <is>
          <t>제 17 기</t>
        </is>
      </c>
      <c r="N180" s="29" t="inlineStr">
        <is>
          <t>28845885868.0</t>
        </is>
      </c>
      <c r="O180" s="29" t="inlineStr">
        <is>
          <t>0.0</t>
        </is>
      </c>
      <c r="P180" s="29" t="inlineStr">
        <is>
          <t>KRW</t>
        </is>
      </c>
      <c r="Q180" s="29" t="inlineStr">
        <is>
          <t>32</t>
        </is>
      </c>
    </row>
    <row r="181" ht="24" customHeight="1">
      <c r="A181" s="24" t="inlineStr">
        <is>
          <t>OpenDART_fnlttSinglAcntAll</t>
        </is>
      </c>
      <c r="B181" s="24" t="inlineStr">
        <is>
          <t>00591441</t>
        </is>
      </c>
      <c r="C181" s="24" t="inlineStr">
        <is>
          <t>어보브반도체</t>
        </is>
      </c>
      <c r="D181" s="24" t="inlineStr">
        <is>
          <t>abov</t>
        </is>
      </c>
      <c r="E181" s="24" t="inlineStr">
        <is>
          <t>102120</t>
        </is>
      </c>
      <c r="F181" s="24" t="inlineStr">
        <is>
          <t>2022</t>
        </is>
      </c>
      <c r="G181" s="24" t="inlineStr">
        <is>
          <t>CFS</t>
        </is>
      </c>
      <c r="H181" s="24" t="inlineStr">
        <is>
          <t>BS</t>
        </is>
      </c>
      <c r="I181" s="24" t="inlineStr">
        <is>
          <t>재무상태표</t>
        </is>
      </c>
      <c r="J181" s="24" t="inlineStr">
        <is>
          <t>ifrs-full_NoncurrentLeaseLiabilities</t>
        </is>
      </c>
      <c r="K181" s="24" t="inlineStr">
        <is>
          <t>비유동리스부채</t>
        </is>
      </c>
      <c r="L181" s="24" t="inlineStr">
        <is>
          <t>-</t>
        </is>
      </c>
      <c r="M181" s="24" t="inlineStr">
        <is>
          <t>제 17 기</t>
        </is>
      </c>
      <c r="N181" s="24" t="inlineStr">
        <is>
          <t>865194963.0</t>
        </is>
      </c>
      <c r="O181" s="24" t="inlineStr">
        <is>
          <t>75072012.0</t>
        </is>
      </c>
      <c r="P181" s="24" t="inlineStr">
        <is>
          <t>KRW</t>
        </is>
      </c>
      <c r="Q181" s="24" t="inlineStr">
        <is>
          <t>33</t>
        </is>
      </c>
    </row>
    <row r="182" ht="24" customHeight="1">
      <c r="A182" s="29" t="inlineStr">
        <is>
          <t>OpenDART_fnlttSinglAcntAll</t>
        </is>
      </c>
      <c r="B182" s="29" t="inlineStr">
        <is>
          <t>00591441</t>
        </is>
      </c>
      <c r="C182" s="29" t="inlineStr">
        <is>
          <t>어보브반도체</t>
        </is>
      </c>
      <c r="D182" s="29" t="inlineStr">
        <is>
          <t>abov</t>
        </is>
      </c>
      <c r="E182" s="29" t="inlineStr">
        <is>
          <t>102120</t>
        </is>
      </c>
      <c r="F182" s="29" t="inlineStr">
        <is>
          <t>2022</t>
        </is>
      </c>
      <c r="G182" s="29" t="inlineStr">
        <is>
          <t>CFS</t>
        </is>
      </c>
      <c r="H182" s="29" t="inlineStr">
        <is>
          <t>BS</t>
        </is>
      </c>
      <c r="I182" s="29" t="inlineStr">
        <is>
          <t>재무상태표</t>
        </is>
      </c>
      <c r="J182" s="29" t="inlineStr">
        <is>
          <t>ifrs-full_OtherNoncurrentFinancialLiabilities</t>
        </is>
      </c>
      <c r="K182" s="29" t="inlineStr">
        <is>
          <t>기타비유동금융부채</t>
        </is>
      </c>
      <c r="L182" s="29" t="inlineStr">
        <is>
          <t>-</t>
        </is>
      </c>
      <c r="M182" s="29" t="inlineStr">
        <is>
          <t>제 17 기</t>
        </is>
      </c>
      <c r="N182" s="29" t="inlineStr">
        <is>
          <t>455599508.0</t>
        </is>
      </c>
      <c r="O182" s="29" t="inlineStr">
        <is>
          <t>458999075.0</t>
        </is>
      </c>
      <c r="P182" s="29" t="inlineStr">
        <is>
          <t>KRW</t>
        </is>
      </c>
      <c r="Q182" s="29" t="inlineStr">
        <is>
          <t>34</t>
        </is>
      </c>
    </row>
    <row r="183" ht="24" customHeight="1">
      <c r="A183" s="24" t="inlineStr">
        <is>
          <t>OpenDART_fnlttSinglAcntAll</t>
        </is>
      </c>
      <c r="B183" s="24" t="inlineStr">
        <is>
          <t>00591441</t>
        </is>
      </c>
      <c r="C183" s="24" t="inlineStr">
        <is>
          <t>어보브반도체</t>
        </is>
      </c>
      <c r="D183" s="24" t="inlineStr">
        <is>
          <t>abov</t>
        </is>
      </c>
      <c r="E183" s="24" t="inlineStr">
        <is>
          <t>102120</t>
        </is>
      </c>
      <c r="F183" s="24" t="inlineStr">
        <is>
          <t>2022</t>
        </is>
      </c>
      <c r="G183" s="24" t="inlineStr">
        <is>
          <t>CFS</t>
        </is>
      </c>
      <c r="H183" s="24" t="inlineStr">
        <is>
          <t>BS</t>
        </is>
      </c>
      <c r="I183" s="24" t="inlineStr">
        <is>
          <t>재무상태표</t>
        </is>
      </c>
      <c r="J183" s="24" t="inlineStr">
        <is>
          <t>dart_PresentValueOfDefinedBenefitObligation</t>
        </is>
      </c>
      <c r="K183" s="24" t="inlineStr">
        <is>
          <t>순확정급여채무</t>
        </is>
      </c>
      <c r="L183" s="24" t="inlineStr">
        <is>
          <t>-</t>
        </is>
      </c>
      <c r="M183" s="24" t="inlineStr">
        <is>
          <t>제 17 기</t>
        </is>
      </c>
      <c r="N183" s="24" t="inlineStr">
        <is>
          <t>0.0</t>
        </is>
      </c>
      <c r="O183" s="24" t="inlineStr">
        <is>
          <t>1091903660.0</t>
        </is>
      </c>
      <c r="P183" s="24" t="inlineStr">
        <is>
          <t>KRW</t>
        </is>
      </c>
      <c r="Q183" s="24" t="inlineStr">
        <is>
          <t>35</t>
        </is>
      </c>
    </row>
    <row r="184" ht="24" customHeight="1">
      <c r="A184" s="29" t="inlineStr">
        <is>
          <t>OpenDART_fnlttSinglAcntAll</t>
        </is>
      </c>
      <c r="B184" s="29" t="inlineStr">
        <is>
          <t>00591441</t>
        </is>
      </c>
      <c r="C184" s="29" t="inlineStr">
        <is>
          <t>어보브반도체</t>
        </is>
      </c>
      <c r="D184" s="29" t="inlineStr">
        <is>
          <t>abov</t>
        </is>
      </c>
      <c r="E184" s="29" t="inlineStr">
        <is>
          <t>102120</t>
        </is>
      </c>
      <c r="F184" s="29" t="inlineStr">
        <is>
          <t>2022</t>
        </is>
      </c>
      <c r="G184" s="29" t="inlineStr">
        <is>
          <t>CFS</t>
        </is>
      </c>
      <c r="H184" s="29" t="inlineStr">
        <is>
          <t>BS</t>
        </is>
      </c>
      <c r="I184" s="29" t="inlineStr">
        <is>
          <t>재무상태표</t>
        </is>
      </c>
      <c r="J184" s="29" t="inlineStr">
        <is>
          <t>dart_OtherNonCurrentLiabilities</t>
        </is>
      </c>
      <c r="K184" s="29" t="inlineStr">
        <is>
          <t>기타비유동부채</t>
        </is>
      </c>
      <c r="L184" s="29" t="inlineStr">
        <is>
          <t>-</t>
        </is>
      </c>
      <c r="M184" s="29" t="inlineStr">
        <is>
          <t>제 17 기</t>
        </is>
      </c>
      <c r="N184" s="29" t="inlineStr">
        <is>
          <t>547145240.0</t>
        </is>
      </c>
      <c r="O184" s="29" t="inlineStr">
        <is>
          <t>99269086.0</t>
        </is>
      </c>
      <c r="P184" s="29" t="inlineStr">
        <is>
          <t>KRW</t>
        </is>
      </c>
      <c r="Q184" s="29" t="inlineStr">
        <is>
          <t>36</t>
        </is>
      </c>
    </row>
    <row r="185" ht="24" customHeight="1">
      <c r="A185" s="24" t="inlineStr">
        <is>
          <t>OpenDART_fnlttSinglAcntAll</t>
        </is>
      </c>
      <c r="B185" s="24" t="inlineStr">
        <is>
          <t>00591441</t>
        </is>
      </c>
      <c r="C185" s="24" t="inlineStr">
        <is>
          <t>어보브반도체</t>
        </is>
      </c>
      <c r="D185" s="24" t="inlineStr">
        <is>
          <t>abov</t>
        </is>
      </c>
      <c r="E185" s="24" t="inlineStr">
        <is>
          <t>102120</t>
        </is>
      </c>
      <c r="F185" s="24" t="inlineStr">
        <is>
          <t>2022</t>
        </is>
      </c>
      <c r="G185" s="24" t="inlineStr">
        <is>
          <t>CFS</t>
        </is>
      </c>
      <c r="H185" s="24" t="inlineStr">
        <is>
          <t>BS</t>
        </is>
      </c>
      <c r="I185" s="24" t="inlineStr">
        <is>
          <t>재무상태표</t>
        </is>
      </c>
      <c r="J185" s="24" t="inlineStr">
        <is>
          <t>ifrs-full_Liabilities</t>
        </is>
      </c>
      <c r="K185" s="24" t="inlineStr">
        <is>
          <t>부채총계</t>
        </is>
      </c>
      <c r="L185" s="24" t="inlineStr">
        <is>
          <t>-</t>
        </is>
      </c>
      <c r="M185" s="24" t="inlineStr">
        <is>
          <t>제 17 기</t>
        </is>
      </c>
      <c r="N185" s="24" t="inlineStr">
        <is>
          <t>158462978855.0</t>
        </is>
      </c>
      <c r="O185" s="24" t="inlineStr">
        <is>
          <t>22183164030.0</t>
        </is>
      </c>
      <c r="P185" s="24" t="inlineStr">
        <is>
          <t>KRW</t>
        </is>
      </c>
      <c r="Q185" s="24" t="inlineStr">
        <is>
          <t>37</t>
        </is>
      </c>
    </row>
    <row r="186" ht="24" customHeight="1">
      <c r="A186" s="29" t="inlineStr">
        <is>
          <t>OpenDART_fnlttSinglAcntAll</t>
        </is>
      </c>
      <c r="B186" s="29" t="inlineStr">
        <is>
          <t>00591441</t>
        </is>
      </c>
      <c r="C186" s="29" t="inlineStr">
        <is>
          <t>어보브반도체</t>
        </is>
      </c>
      <c r="D186" s="29" t="inlineStr">
        <is>
          <t>abov</t>
        </is>
      </c>
      <c r="E186" s="29" t="inlineStr">
        <is>
          <t>102120</t>
        </is>
      </c>
      <c r="F186" s="29" t="inlineStr">
        <is>
          <t>2022</t>
        </is>
      </c>
      <c r="G186" s="29" t="inlineStr">
        <is>
          <t>CFS</t>
        </is>
      </c>
      <c r="H186" s="29" t="inlineStr">
        <is>
          <t>BS</t>
        </is>
      </c>
      <c r="I186" s="29" t="inlineStr">
        <is>
          <t>재무상태표</t>
        </is>
      </c>
      <c r="J186" s="29" t="inlineStr">
        <is>
          <t>ifrs-full_EquityAttributableToOwnersOfParent</t>
        </is>
      </c>
      <c r="K186" s="29" t="inlineStr">
        <is>
          <t>지배기업의 소유주에게 귀속되는 자본</t>
        </is>
      </c>
      <c r="L186" s="29" t="inlineStr">
        <is>
          <t>-</t>
        </is>
      </c>
      <c r="M186" s="29" t="inlineStr">
        <is>
          <t>제 17 기</t>
        </is>
      </c>
      <c r="N186" s="29" t="inlineStr">
        <is>
          <t>120976944892.0</t>
        </is>
      </c>
      <c r="O186" s="29" t="inlineStr">
        <is>
          <t>111828760258.0</t>
        </is>
      </c>
      <c r="P186" s="29" t="inlineStr">
        <is>
          <t>KRW</t>
        </is>
      </c>
      <c r="Q186" s="29" t="inlineStr">
        <is>
          <t>39</t>
        </is>
      </c>
    </row>
    <row r="187" ht="24" customHeight="1">
      <c r="A187" s="24" t="inlineStr">
        <is>
          <t>OpenDART_fnlttSinglAcntAll</t>
        </is>
      </c>
      <c r="B187" s="24" t="inlineStr">
        <is>
          <t>00591441</t>
        </is>
      </c>
      <c r="C187" s="24" t="inlineStr">
        <is>
          <t>어보브반도체</t>
        </is>
      </c>
      <c r="D187" s="24" t="inlineStr">
        <is>
          <t>abov</t>
        </is>
      </c>
      <c r="E187" s="24" t="inlineStr">
        <is>
          <t>102120</t>
        </is>
      </c>
      <c r="F187" s="24" t="inlineStr">
        <is>
          <t>2022</t>
        </is>
      </c>
      <c r="G187" s="24" t="inlineStr">
        <is>
          <t>CFS</t>
        </is>
      </c>
      <c r="H187" s="24" t="inlineStr">
        <is>
          <t>BS</t>
        </is>
      </c>
      <c r="I187" s="24" t="inlineStr">
        <is>
          <t>재무상태표</t>
        </is>
      </c>
      <c r="J187" s="24" t="inlineStr">
        <is>
          <t>ifrs-full_IssuedCapital</t>
        </is>
      </c>
      <c r="K187" s="24" t="inlineStr">
        <is>
          <t>자본금</t>
        </is>
      </c>
      <c r="L187" s="24" t="inlineStr">
        <is>
          <t>-</t>
        </is>
      </c>
      <c r="M187" s="24" t="inlineStr">
        <is>
          <t>제 17 기</t>
        </is>
      </c>
      <c r="N187" s="24" t="inlineStr">
        <is>
          <t>8890376500.0</t>
        </is>
      </c>
      <c r="O187" s="24" t="inlineStr">
        <is>
          <t>8729826500.0</t>
        </is>
      </c>
      <c r="P187" s="24" t="inlineStr">
        <is>
          <t>KRW</t>
        </is>
      </c>
      <c r="Q187" s="24" t="inlineStr">
        <is>
          <t>40</t>
        </is>
      </c>
    </row>
    <row r="188" ht="24" customHeight="1">
      <c r="A188" s="29" t="inlineStr">
        <is>
          <t>OpenDART_fnlttSinglAcntAll</t>
        </is>
      </c>
      <c r="B188" s="29" t="inlineStr">
        <is>
          <t>00591441</t>
        </is>
      </c>
      <c r="C188" s="29" t="inlineStr">
        <is>
          <t>어보브반도체</t>
        </is>
      </c>
      <c r="D188" s="29" t="inlineStr">
        <is>
          <t>abov</t>
        </is>
      </c>
      <c r="E188" s="29" t="inlineStr">
        <is>
          <t>102120</t>
        </is>
      </c>
      <c r="F188" s="29" t="inlineStr">
        <is>
          <t>2022</t>
        </is>
      </c>
      <c r="G188" s="29" t="inlineStr">
        <is>
          <t>CFS</t>
        </is>
      </c>
      <c r="H188" s="29" t="inlineStr">
        <is>
          <t>BS</t>
        </is>
      </c>
      <c r="I188" s="29" t="inlineStr">
        <is>
          <t>재무상태표</t>
        </is>
      </c>
      <c r="J188" s="29" t="inlineStr">
        <is>
          <t>dart_CapitalSurplus</t>
        </is>
      </c>
      <c r="K188" s="29" t="inlineStr">
        <is>
          <t>자본잉여금</t>
        </is>
      </c>
      <c r="L188" s="29" t="inlineStr">
        <is>
          <t>-</t>
        </is>
      </c>
      <c r="M188" s="29" t="inlineStr">
        <is>
          <t>제 17 기</t>
        </is>
      </c>
      <c r="N188" s="29" t="inlineStr">
        <is>
          <t>26421998151.0</t>
        </is>
      </c>
      <c r="O188" s="29" t="inlineStr">
        <is>
          <t>23084044791.0</t>
        </is>
      </c>
      <c r="P188" s="29" t="inlineStr">
        <is>
          <t>KRW</t>
        </is>
      </c>
      <c r="Q188" s="29" t="inlineStr">
        <is>
          <t>41</t>
        </is>
      </c>
    </row>
    <row r="189" ht="24" customHeight="1">
      <c r="A189" s="24" t="inlineStr">
        <is>
          <t>OpenDART_fnlttSinglAcntAll</t>
        </is>
      </c>
      <c r="B189" s="24" t="inlineStr">
        <is>
          <t>00591441</t>
        </is>
      </c>
      <c r="C189" s="24" t="inlineStr">
        <is>
          <t>어보브반도체</t>
        </is>
      </c>
      <c r="D189" s="24" t="inlineStr">
        <is>
          <t>abov</t>
        </is>
      </c>
      <c r="E189" s="24" t="inlineStr">
        <is>
          <t>102120</t>
        </is>
      </c>
      <c r="F189" s="24" t="inlineStr">
        <is>
          <t>2022</t>
        </is>
      </c>
      <c r="G189" s="24" t="inlineStr">
        <is>
          <t>CFS</t>
        </is>
      </c>
      <c r="H189" s="24" t="inlineStr">
        <is>
          <t>BS</t>
        </is>
      </c>
      <c r="I189" s="24" t="inlineStr">
        <is>
          <t>재무상태표</t>
        </is>
      </c>
      <c r="J189" s="24" t="inlineStr">
        <is>
          <t>dart_OtherCapitalAdjustments</t>
        </is>
      </c>
      <c r="K189" s="24" t="inlineStr">
        <is>
          <t>기타자본항목</t>
        </is>
      </c>
      <c r="L189" s="24" t="inlineStr">
        <is>
          <t>-</t>
        </is>
      </c>
      <c r="M189" s="24" t="inlineStr">
        <is>
          <t>제 17 기</t>
        </is>
      </c>
      <c r="N189" s="24" t="inlineStr">
        <is>
          <t>-7414053960.0</t>
        </is>
      </c>
      <c r="O189" s="24" t="inlineStr">
        <is>
          <t>-4477193500.0</t>
        </is>
      </c>
      <c r="P189" s="24" t="inlineStr">
        <is>
          <t>KRW</t>
        </is>
      </c>
      <c r="Q189" s="24" t="inlineStr">
        <is>
          <t>42</t>
        </is>
      </c>
    </row>
    <row r="190" ht="24" customHeight="1">
      <c r="A190" s="29" t="inlineStr">
        <is>
          <t>OpenDART_fnlttSinglAcntAll</t>
        </is>
      </c>
      <c r="B190" s="29" t="inlineStr">
        <is>
          <t>00591441</t>
        </is>
      </c>
      <c r="C190" s="29" t="inlineStr">
        <is>
          <t>어보브반도체</t>
        </is>
      </c>
      <c r="D190" s="29" t="inlineStr">
        <is>
          <t>abov</t>
        </is>
      </c>
      <c r="E190" s="29" t="inlineStr">
        <is>
          <t>102120</t>
        </is>
      </c>
      <c r="F190" s="29" t="inlineStr">
        <is>
          <t>2022</t>
        </is>
      </c>
      <c r="G190" s="29" t="inlineStr">
        <is>
          <t>CFS</t>
        </is>
      </c>
      <c r="H190" s="29" t="inlineStr">
        <is>
          <t>BS</t>
        </is>
      </c>
      <c r="I190" s="29" t="inlineStr">
        <is>
          <t>재무상태표</t>
        </is>
      </c>
      <c r="J190" s="29" t="inlineStr">
        <is>
          <t>dart_OtherComprehensiveIncomeLossAccumulatedAmount</t>
        </is>
      </c>
      <c r="K190" s="29" t="inlineStr">
        <is>
          <t>기타포괄손익누계액</t>
        </is>
      </c>
      <c r="L190" s="29" t="inlineStr">
        <is>
          <t>-</t>
        </is>
      </c>
      <c r="M190" s="29" t="inlineStr">
        <is>
          <t>제 17 기</t>
        </is>
      </c>
      <c r="N190" s="29" t="inlineStr">
        <is>
          <t>-676650161.0</t>
        </is>
      </c>
      <c r="O190" s="29" t="inlineStr">
        <is>
          <t>151459276.0</t>
        </is>
      </c>
      <c r="P190" s="29" t="inlineStr">
        <is>
          <t>KRW</t>
        </is>
      </c>
      <c r="Q190" s="29" t="inlineStr">
        <is>
          <t>43</t>
        </is>
      </c>
    </row>
    <row r="191" ht="24" customHeight="1">
      <c r="A191" s="24" t="inlineStr">
        <is>
          <t>OpenDART_fnlttSinglAcntAll</t>
        </is>
      </c>
      <c r="B191" s="24" t="inlineStr">
        <is>
          <t>00591441</t>
        </is>
      </c>
      <c r="C191" s="24" t="inlineStr">
        <is>
          <t>어보브반도체</t>
        </is>
      </c>
      <c r="D191" s="24" t="inlineStr">
        <is>
          <t>abov</t>
        </is>
      </c>
      <c r="E191" s="24" t="inlineStr">
        <is>
          <t>102120</t>
        </is>
      </c>
      <c r="F191" s="24" t="inlineStr">
        <is>
          <t>2022</t>
        </is>
      </c>
      <c r="G191" s="24" t="inlineStr">
        <is>
          <t>CFS</t>
        </is>
      </c>
      <c r="H191" s="24" t="inlineStr">
        <is>
          <t>BS</t>
        </is>
      </c>
      <c r="I191" s="24" t="inlineStr">
        <is>
          <t>재무상태표</t>
        </is>
      </c>
      <c r="J191" s="24" t="inlineStr">
        <is>
          <t>ifrs-full_RetainedEarnings</t>
        </is>
      </c>
      <c r="K191" s="24" t="inlineStr">
        <is>
          <t>이익잉여금</t>
        </is>
      </c>
      <c r="L191" s="24" t="inlineStr">
        <is>
          <t>-</t>
        </is>
      </c>
      <c r="M191" s="24" t="inlineStr">
        <is>
          <t>제 17 기</t>
        </is>
      </c>
      <c r="N191" s="24" t="inlineStr">
        <is>
          <t>93755274362.0</t>
        </is>
      </c>
      <c r="O191" s="24" t="inlineStr">
        <is>
          <t>84340623191.0</t>
        </is>
      </c>
      <c r="P191" s="24" t="inlineStr">
        <is>
          <t>KRW</t>
        </is>
      </c>
      <c r="Q191" s="24" t="inlineStr">
        <is>
          <t>44</t>
        </is>
      </c>
    </row>
    <row r="192" ht="24" customHeight="1">
      <c r="A192" s="29" t="inlineStr">
        <is>
          <t>OpenDART_fnlttSinglAcntAll</t>
        </is>
      </c>
      <c r="B192" s="29" t="inlineStr">
        <is>
          <t>00591441</t>
        </is>
      </c>
      <c r="C192" s="29" t="inlineStr">
        <is>
          <t>어보브반도체</t>
        </is>
      </c>
      <c r="D192" s="29" t="inlineStr">
        <is>
          <t>abov</t>
        </is>
      </c>
      <c r="E192" s="29" t="inlineStr">
        <is>
          <t>102120</t>
        </is>
      </c>
      <c r="F192" s="29" t="inlineStr">
        <is>
          <t>2022</t>
        </is>
      </c>
      <c r="G192" s="29" t="inlineStr">
        <is>
          <t>CFS</t>
        </is>
      </c>
      <c r="H192" s="29" t="inlineStr">
        <is>
          <t>BS</t>
        </is>
      </c>
      <c r="I192" s="29" t="inlineStr">
        <is>
          <t>재무상태표</t>
        </is>
      </c>
      <c r="J192" s="29" t="inlineStr">
        <is>
          <t>ifrs-full_NoncontrollingInterests</t>
        </is>
      </c>
      <c r="K192" s="29" t="inlineStr">
        <is>
          <t>비지배지분</t>
        </is>
      </c>
      <c r="L192" s="29" t="inlineStr">
        <is>
          <t>-</t>
        </is>
      </c>
      <c r="M192" s="29" t="inlineStr">
        <is>
          <t>제 17 기</t>
        </is>
      </c>
      <c r="N192" s="29" t="inlineStr">
        <is>
          <t>52091639401.0</t>
        </is>
      </c>
      <c r="O192" s="29" t="inlineStr">
        <is>
          <t>0.0</t>
        </is>
      </c>
      <c r="P192" s="29" t="inlineStr">
        <is>
          <t>KRW</t>
        </is>
      </c>
      <c r="Q192" s="29" t="inlineStr">
        <is>
          <t>45</t>
        </is>
      </c>
    </row>
    <row r="193" ht="24" customHeight="1">
      <c r="A193" s="24" t="inlineStr">
        <is>
          <t>OpenDART_fnlttSinglAcntAll</t>
        </is>
      </c>
      <c r="B193" s="24" t="inlineStr">
        <is>
          <t>00591441</t>
        </is>
      </c>
      <c r="C193" s="24" t="inlineStr">
        <is>
          <t>어보브반도체</t>
        </is>
      </c>
      <c r="D193" s="24" t="inlineStr">
        <is>
          <t>abov</t>
        </is>
      </c>
      <c r="E193" s="24" t="inlineStr">
        <is>
          <t>102120</t>
        </is>
      </c>
      <c r="F193" s="24" t="inlineStr">
        <is>
          <t>2022</t>
        </is>
      </c>
      <c r="G193" s="24" t="inlineStr">
        <is>
          <t>CFS</t>
        </is>
      </c>
      <c r="H193" s="24" t="inlineStr">
        <is>
          <t>BS</t>
        </is>
      </c>
      <c r="I193" s="24" t="inlineStr">
        <is>
          <t>재무상태표</t>
        </is>
      </c>
      <c r="J193" s="24" t="inlineStr">
        <is>
          <t>ifrs-full_Equity</t>
        </is>
      </c>
      <c r="K193" s="24" t="inlineStr">
        <is>
          <t>자본총계</t>
        </is>
      </c>
      <c r="L193" s="24" t="inlineStr">
        <is>
          <t>-</t>
        </is>
      </c>
      <c r="M193" s="24" t="inlineStr">
        <is>
          <t>제 17 기</t>
        </is>
      </c>
      <c r="N193" s="24" t="inlineStr">
        <is>
          <t>173068584293.0</t>
        </is>
      </c>
      <c r="O193" s="24" t="inlineStr">
        <is>
          <t>111828760258.0</t>
        </is>
      </c>
      <c r="P193" s="24" t="inlineStr">
        <is>
          <t>KRW</t>
        </is>
      </c>
      <c r="Q193" s="24" t="inlineStr">
        <is>
          <t>46</t>
        </is>
      </c>
    </row>
    <row r="194" ht="24" customHeight="1">
      <c r="A194" s="29" t="inlineStr">
        <is>
          <t>OpenDART_fnlttSinglAcntAll</t>
        </is>
      </c>
      <c r="B194" s="29" t="inlineStr">
        <is>
          <t>00591441</t>
        </is>
      </c>
      <c r="C194" s="29" t="inlineStr">
        <is>
          <t>어보브반도체</t>
        </is>
      </c>
      <c r="D194" s="29" t="inlineStr">
        <is>
          <t>abov</t>
        </is>
      </c>
      <c r="E194" s="29" t="inlineStr">
        <is>
          <t>102120</t>
        </is>
      </c>
      <c r="F194" s="29" t="inlineStr">
        <is>
          <t>2022</t>
        </is>
      </c>
      <c r="G194" s="29" t="inlineStr">
        <is>
          <t>CFS</t>
        </is>
      </c>
      <c r="H194" s="29" t="inlineStr">
        <is>
          <t>BS</t>
        </is>
      </c>
      <c r="I194" s="29" t="inlineStr">
        <is>
          <t>재무상태표</t>
        </is>
      </c>
      <c r="J194" s="29" t="inlineStr">
        <is>
          <t>ifrs-full_EquityAndLiabilities</t>
        </is>
      </c>
      <c r="K194" s="29" t="inlineStr">
        <is>
          <t>자본과부채총계</t>
        </is>
      </c>
      <c r="L194" s="29" t="inlineStr">
        <is>
          <t>-</t>
        </is>
      </c>
      <c r="M194" s="29" t="inlineStr">
        <is>
          <t>제 17 기</t>
        </is>
      </c>
      <c r="N194" s="29" t="inlineStr">
        <is>
          <t>331531563148.0</t>
        </is>
      </c>
      <c r="O194" s="29" t="inlineStr">
        <is>
          <t>134011924288.0</t>
        </is>
      </c>
      <c r="P194" s="29" t="inlineStr">
        <is>
          <t>KRW</t>
        </is>
      </c>
      <c r="Q194" s="29" t="inlineStr">
        <is>
          <t>47</t>
        </is>
      </c>
    </row>
    <row r="195" ht="24" customHeight="1">
      <c r="A195" s="24" t="inlineStr">
        <is>
          <t>OpenDART_fnlttSinglAcntAll</t>
        </is>
      </c>
      <c r="B195" s="24" t="inlineStr">
        <is>
          <t>00591441</t>
        </is>
      </c>
      <c r="C195" s="24" t="inlineStr">
        <is>
          <t>어보브반도체</t>
        </is>
      </c>
      <c r="D195" s="24" t="inlineStr">
        <is>
          <t>abov</t>
        </is>
      </c>
      <c r="E195" s="24" t="inlineStr">
        <is>
          <t>102120</t>
        </is>
      </c>
      <c r="F195" s="24" t="inlineStr">
        <is>
          <t>2022</t>
        </is>
      </c>
      <c r="G195" s="24" t="inlineStr">
        <is>
          <t>CFS</t>
        </is>
      </c>
      <c r="H195" s="24" t="inlineStr">
        <is>
          <t>CIS</t>
        </is>
      </c>
      <c r="I195" s="24" t="inlineStr">
        <is>
          <t>포괄손익계산서</t>
        </is>
      </c>
      <c r="J195" s="24" t="inlineStr">
        <is>
          <t>ifrs-full_Revenue</t>
        </is>
      </c>
      <c r="K195" s="24" t="inlineStr">
        <is>
          <t>수익(매출액)</t>
        </is>
      </c>
      <c r="L195" s="24" t="inlineStr">
        <is>
          <t>-</t>
        </is>
      </c>
      <c r="M195" s="24" t="inlineStr">
        <is>
          <t>제 17 기</t>
        </is>
      </c>
      <c r="N195" s="24" t="inlineStr">
        <is>
          <t>242576796583.0</t>
        </is>
      </c>
      <c r="O195" s="24" t="inlineStr">
        <is>
          <t>167498755290.0</t>
        </is>
      </c>
      <c r="P195" s="24" t="inlineStr">
        <is>
          <t>KRW</t>
        </is>
      </c>
      <c r="Q195" s="24" t="inlineStr">
        <is>
          <t>0</t>
        </is>
      </c>
    </row>
    <row r="196" ht="24" customHeight="1">
      <c r="A196" s="29" t="inlineStr">
        <is>
          <t>OpenDART_fnlttSinglAcntAll</t>
        </is>
      </c>
      <c r="B196" s="29" t="inlineStr">
        <is>
          <t>00591441</t>
        </is>
      </c>
      <c r="C196" s="29" t="inlineStr">
        <is>
          <t>어보브반도체</t>
        </is>
      </c>
      <c r="D196" s="29" t="inlineStr">
        <is>
          <t>abov</t>
        </is>
      </c>
      <c r="E196" s="29" t="inlineStr">
        <is>
          <t>102120</t>
        </is>
      </c>
      <c r="F196" s="29" t="inlineStr">
        <is>
          <t>2022</t>
        </is>
      </c>
      <c r="G196" s="29" t="inlineStr">
        <is>
          <t>CFS</t>
        </is>
      </c>
      <c r="H196" s="29" t="inlineStr">
        <is>
          <t>CIS</t>
        </is>
      </c>
      <c r="I196" s="29" t="inlineStr">
        <is>
          <t>포괄손익계산서</t>
        </is>
      </c>
      <c r="J196" s="29" t="inlineStr">
        <is>
          <t>dart_RevenueFromSaleOfGoodsProduct</t>
        </is>
      </c>
      <c r="K196" s="29" t="inlineStr">
        <is>
          <t>제품매출액</t>
        </is>
      </c>
      <c r="L196" s="29" t="inlineStr">
        <is>
          <t>-</t>
        </is>
      </c>
      <c r="M196" s="29" t="inlineStr">
        <is>
          <t>제 17 기</t>
        </is>
      </c>
      <c r="N196" s="29" t="inlineStr">
        <is>
          <t>240489807240.0</t>
        </is>
      </c>
      <c r="O196" s="29" t="inlineStr">
        <is>
          <t>167267327333.0</t>
        </is>
      </c>
      <c r="P196" s="29" t="inlineStr">
        <is>
          <t>KRW</t>
        </is>
      </c>
      <c r="Q196" s="29" t="inlineStr">
        <is>
          <t>1</t>
        </is>
      </c>
    </row>
    <row r="197" ht="24" customHeight="1">
      <c r="A197" s="24" t="inlineStr">
        <is>
          <t>OpenDART_fnlttSinglAcntAll</t>
        </is>
      </c>
      <c r="B197" s="24" t="inlineStr">
        <is>
          <t>00591441</t>
        </is>
      </c>
      <c r="C197" s="24" t="inlineStr">
        <is>
          <t>어보브반도체</t>
        </is>
      </c>
      <c r="D197" s="24" t="inlineStr">
        <is>
          <t>abov</t>
        </is>
      </c>
      <c r="E197" s="24" t="inlineStr">
        <is>
          <t>102120</t>
        </is>
      </c>
      <c r="F197" s="24" t="inlineStr">
        <is>
          <t>2022</t>
        </is>
      </c>
      <c r="G197" s="24" t="inlineStr">
        <is>
          <t>CFS</t>
        </is>
      </c>
      <c r="H197" s="24" t="inlineStr">
        <is>
          <t>CIS</t>
        </is>
      </c>
      <c r="I197" s="24" t="inlineStr">
        <is>
          <t>포괄손익계산서</t>
        </is>
      </c>
      <c r="J197" s="24" t="inlineStr">
        <is>
          <t>dart_RevenueFromSaleOfGoodsMerchandise</t>
        </is>
      </c>
      <c r="K197" s="24" t="inlineStr">
        <is>
          <t>상품매출액</t>
        </is>
      </c>
      <c r="L197" s="24" t="inlineStr">
        <is>
          <t>-</t>
        </is>
      </c>
      <c r="M197" s="24" t="inlineStr">
        <is>
          <t>제 17 기</t>
        </is>
      </c>
      <c r="N197" s="24" t="inlineStr">
        <is>
          <t>2086989343.0</t>
        </is>
      </c>
      <c r="O197" s="24" t="inlineStr">
        <is>
          <t>231427957.0</t>
        </is>
      </c>
      <c r="P197" s="24" t="inlineStr">
        <is>
          <t>KRW</t>
        </is>
      </c>
      <c r="Q197" s="24" t="inlineStr">
        <is>
          <t>2</t>
        </is>
      </c>
    </row>
    <row r="198" ht="24" customHeight="1">
      <c r="A198" s="29" t="inlineStr">
        <is>
          <t>OpenDART_fnlttSinglAcntAll</t>
        </is>
      </c>
      <c r="B198" s="29" t="inlineStr">
        <is>
          <t>00591441</t>
        </is>
      </c>
      <c r="C198" s="29" t="inlineStr">
        <is>
          <t>어보브반도체</t>
        </is>
      </c>
      <c r="D198" s="29" t="inlineStr">
        <is>
          <t>abov</t>
        </is>
      </c>
      <c r="E198" s="29" t="inlineStr">
        <is>
          <t>102120</t>
        </is>
      </c>
      <c r="F198" s="29" t="inlineStr">
        <is>
          <t>2022</t>
        </is>
      </c>
      <c r="G198" s="29" t="inlineStr">
        <is>
          <t>CFS</t>
        </is>
      </c>
      <c r="H198" s="29" t="inlineStr">
        <is>
          <t>CIS</t>
        </is>
      </c>
      <c r="I198" s="29" t="inlineStr">
        <is>
          <t>포괄손익계산서</t>
        </is>
      </c>
      <c r="J198" s="29" t="inlineStr">
        <is>
          <t>ifrs-full_CostOfSales</t>
        </is>
      </c>
      <c r="K198" s="29" t="inlineStr">
        <is>
          <t>매출원가</t>
        </is>
      </c>
      <c r="L198" s="29" t="inlineStr">
        <is>
          <t>-</t>
        </is>
      </c>
      <c r="M198" s="29" t="inlineStr">
        <is>
          <t>제 17 기</t>
        </is>
      </c>
      <c r="N198" s="29" t="inlineStr">
        <is>
          <t>186176940312.0</t>
        </is>
      </c>
      <c r="O198" s="29" t="inlineStr">
        <is>
          <t>124604690161.0</t>
        </is>
      </c>
      <c r="P198" s="29" t="inlineStr">
        <is>
          <t>KRW</t>
        </is>
      </c>
      <c r="Q198" s="29" t="inlineStr">
        <is>
          <t>3</t>
        </is>
      </c>
    </row>
    <row r="199" ht="24" customHeight="1">
      <c r="A199" s="24" t="inlineStr">
        <is>
          <t>OpenDART_fnlttSinglAcntAll</t>
        </is>
      </c>
      <c r="B199" s="24" t="inlineStr">
        <is>
          <t>00591441</t>
        </is>
      </c>
      <c r="C199" s="24" t="inlineStr">
        <is>
          <t>어보브반도체</t>
        </is>
      </c>
      <c r="D199" s="24" t="inlineStr">
        <is>
          <t>abov</t>
        </is>
      </c>
      <c r="E199" s="24" t="inlineStr">
        <is>
          <t>102120</t>
        </is>
      </c>
      <c r="F199" s="24" t="inlineStr">
        <is>
          <t>2022</t>
        </is>
      </c>
      <c r="G199" s="24" t="inlineStr">
        <is>
          <t>CFS</t>
        </is>
      </c>
      <c r="H199" s="24" t="inlineStr">
        <is>
          <t>CIS</t>
        </is>
      </c>
      <c r="I199" s="24" t="inlineStr">
        <is>
          <t>포괄손익계산서</t>
        </is>
      </c>
      <c r="J199" s="24" t="inlineStr">
        <is>
          <t>dart_CostOfSalesFromSaleOfGoodsProduct</t>
        </is>
      </c>
      <c r="K199" s="24" t="inlineStr">
        <is>
          <t>제품매출원가</t>
        </is>
      </c>
      <c r="L199" s="24" t="inlineStr">
        <is>
          <t>-</t>
        </is>
      </c>
      <c r="M199" s="24" t="inlineStr">
        <is>
          <t>제 17 기</t>
        </is>
      </c>
      <c r="N199" s="24" t="inlineStr">
        <is>
          <t>184170293574.0</t>
        </is>
      </c>
      <c r="O199" s="24" t="inlineStr">
        <is>
          <t>124361899822.0</t>
        </is>
      </c>
      <c r="P199" s="24" t="inlineStr">
        <is>
          <t>KRW</t>
        </is>
      </c>
      <c r="Q199" s="24" t="inlineStr">
        <is>
          <t>4</t>
        </is>
      </c>
    </row>
    <row r="200" ht="24" customHeight="1">
      <c r="A200" s="29" t="inlineStr">
        <is>
          <t>OpenDART_fnlttSinglAcntAll</t>
        </is>
      </c>
      <c r="B200" s="29" t="inlineStr">
        <is>
          <t>00591441</t>
        </is>
      </c>
      <c r="C200" s="29" t="inlineStr">
        <is>
          <t>어보브반도체</t>
        </is>
      </c>
      <c r="D200" s="29" t="inlineStr">
        <is>
          <t>abov</t>
        </is>
      </c>
      <c r="E200" s="29" t="inlineStr">
        <is>
          <t>102120</t>
        </is>
      </c>
      <c r="F200" s="29" t="inlineStr">
        <is>
          <t>2022</t>
        </is>
      </c>
      <c r="G200" s="29" t="inlineStr">
        <is>
          <t>CFS</t>
        </is>
      </c>
      <c r="H200" s="29" t="inlineStr">
        <is>
          <t>CIS</t>
        </is>
      </c>
      <c r="I200" s="29" t="inlineStr">
        <is>
          <t>포괄손익계산서</t>
        </is>
      </c>
      <c r="J200" s="29" t="inlineStr">
        <is>
          <t>dart_CostOfSalesFromSaleOfGoodsMerchandises</t>
        </is>
      </c>
      <c r="K200" s="29" t="inlineStr">
        <is>
          <t>상품매출원가</t>
        </is>
      </c>
      <c r="L200" s="29" t="inlineStr">
        <is>
          <t>-</t>
        </is>
      </c>
      <c r="M200" s="29" t="inlineStr">
        <is>
          <t>제 17 기</t>
        </is>
      </c>
      <c r="N200" s="29" t="inlineStr">
        <is>
          <t>2006646738.0</t>
        </is>
      </c>
      <c r="O200" s="29" t="inlineStr">
        <is>
          <t>242790339.0</t>
        </is>
      </c>
      <c r="P200" s="29" t="inlineStr">
        <is>
          <t>KRW</t>
        </is>
      </c>
      <c r="Q200" s="29" t="inlineStr">
        <is>
          <t>5</t>
        </is>
      </c>
    </row>
    <row r="201" ht="24" customHeight="1">
      <c r="A201" s="24" t="inlineStr">
        <is>
          <t>OpenDART_fnlttSinglAcntAll</t>
        </is>
      </c>
      <c r="B201" s="24" t="inlineStr">
        <is>
          <t>00591441</t>
        </is>
      </c>
      <c r="C201" s="24" t="inlineStr">
        <is>
          <t>어보브반도체</t>
        </is>
      </c>
      <c r="D201" s="24" t="inlineStr">
        <is>
          <t>abov</t>
        </is>
      </c>
      <c r="E201" s="24" t="inlineStr">
        <is>
          <t>102120</t>
        </is>
      </c>
      <c r="F201" s="24" t="inlineStr">
        <is>
          <t>2022</t>
        </is>
      </c>
      <c r="G201" s="24" t="inlineStr">
        <is>
          <t>CFS</t>
        </is>
      </c>
      <c r="H201" s="24" t="inlineStr">
        <is>
          <t>CIS</t>
        </is>
      </c>
      <c r="I201" s="24" t="inlineStr">
        <is>
          <t>포괄손익계산서</t>
        </is>
      </c>
      <c r="J201" s="24" t="inlineStr">
        <is>
          <t>ifrs-full_GrossProfit</t>
        </is>
      </c>
      <c r="K201" s="24" t="inlineStr">
        <is>
          <t>매출총이익</t>
        </is>
      </c>
      <c r="L201" s="24" t="inlineStr">
        <is>
          <t>-</t>
        </is>
      </c>
      <c r="M201" s="24" t="inlineStr">
        <is>
          <t>제 17 기</t>
        </is>
      </c>
      <c r="N201" s="24" t="inlineStr">
        <is>
          <t>56399856271.0</t>
        </is>
      </c>
      <c r="O201" s="24" t="inlineStr">
        <is>
          <t>42894065129.0</t>
        </is>
      </c>
      <c r="P201" s="24" t="inlineStr">
        <is>
          <t>KRW</t>
        </is>
      </c>
      <c r="Q201" s="24" t="inlineStr">
        <is>
          <t>6</t>
        </is>
      </c>
    </row>
    <row r="202" ht="24" customHeight="1">
      <c r="A202" s="29" t="inlineStr">
        <is>
          <t>OpenDART_fnlttSinglAcntAll</t>
        </is>
      </c>
      <c r="B202" s="29" t="inlineStr">
        <is>
          <t>00591441</t>
        </is>
      </c>
      <c r="C202" s="29" t="inlineStr">
        <is>
          <t>어보브반도체</t>
        </is>
      </c>
      <c r="D202" s="29" t="inlineStr">
        <is>
          <t>abov</t>
        </is>
      </c>
      <c r="E202" s="29" t="inlineStr">
        <is>
          <t>102120</t>
        </is>
      </c>
      <c r="F202" s="29" t="inlineStr">
        <is>
          <t>2022</t>
        </is>
      </c>
      <c r="G202" s="29" t="inlineStr">
        <is>
          <t>CFS</t>
        </is>
      </c>
      <c r="H202" s="29" t="inlineStr">
        <is>
          <t>CIS</t>
        </is>
      </c>
      <c r="I202" s="29" t="inlineStr">
        <is>
          <t>포괄손익계산서</t>
        </is>
      </c>
      <c r="J202" s="29" t="inlineStr">
        <is>
          <t>dart_TotalSellingGeneralAdministrativeExpenses</t>
        </is>
      </c>
      <c r="K202" s="29" t="inlineStr">
        <is>
          <t>판매비와관리비</t>
        </is>
      </c>
      <c r="L202" s="29" t="inlineStr">
        <is>
          <t>-</t>
        </is>
      </c>
      <c r="M202" s="29" t="inlineStr">
        <is>
          <t>제 17 기</t>
        </is>
      </c>
      <c r="N202" s="29" t="inlineStr">
        <is>
          <t>30574568198.0</t>
        </is>
      </c>
      <c r="O202" s="29" t="inlineStr">
        <is>
          <t>25271646890.0</t>
        </is>
      </c>
      <c r="P202" s="29" t="inlineStr">
        <is>
          <t>KRW</t>
        </is>
      </c>
      <c r="Q202" s="29" t="inlineStr">
        <is>
          <t>7</t>
        </is>
      </c>
    </row>
    <row r="203" ht="24" customHeight="1">
      <c r="A203" s="24" t="inlineStr">
        <is>
          <t>OpenDART_fnlttSinglAcntAll</t>
        </is>
      </c>
      <c r="B203" s="24" t="inlineStr">
        <is>
          <t>00591441</t>
        </is>
      </c>
      <c r="C203" s="24" t="inlineStr">
        <is>
          <t>어보브반도체</t>
        </is>
      </c>
      <c r="D203" s="24" t="inlineStr">
        <is>
          <t>abov</t>
        </is>
      </c>
      <c r="E203" s="24" t="inlineStr">
        <is>
          <t>102120</t>
        </is>
      </c>
      <c r="F203" s="24" t="inlineStr">
        <is>
          <t>2022</t>
        </is>
      </c>
      <c r="G203" s="24" t="inlineStr">
        <is>
          <t>CFS</t>
        </is>
      </c>
      <c r="H203" s="24" t="inlineStr">
        <is>
          <t>CIS</t>
        </is>
      </c>
      <c r="I203" s="24" t="inlineStr">
        <is>
          <t>포괄손익계산서</t>
        </is>
      </c>
      <c r="J203" s="24" t="inlineStr">
        <is>
          <t>dart_OperatingIncomeLoss</t>
        </is>
      </c>
      <c r="K203" s="24" t="inlineStr">
        <is>
          <t>영업이익(손실)</t>
        </is>
      </c>
      <c r="L203" s="24" t="inlineStr">
        <is>
          <t>-</t>
        </is>
      </c>
      <c r="M203" s="24" t="inlineStr">
        <is>
          <t>제 17 기</t>
        </is>
      </c>
      <c r="N203" s="24" t="inlineStr">
        <is>
          <t>25825288073.0</t>
        </is>
      </c>
      <c r="O203" s="24" t="inlineStr">
        <is>
          <t>17622418239.0</t>
        </is>
      </c>
      <c r="P203" s="24" t="inlineStr">
        <is>
          <t>KRW</t>
        </is>
      </c>
      <c r="Q203" s="24" t="inlineStr">
        <is>
          <t>8</t>
        </is>
      </c>
    </row>
    <row r="204" ht="24" customHeight="1">
      <c r="A204" s="29" t="inlineStr">
        <is>
          <t>OpenDART_fnlttSinglAcntAll</t>
        </is>
      </c>
      <c r="B204" s="29" t="inlineStr">
        <is>
          <t>00591441</t>
        </is>
      </c>
      <c r="C204" s="29" t="inlineStr">
        <is>
          <t>어보브반도체</t>
        </is>
      </c>
      <c r="D204" s="29" t="inlineStr">
        <is>
          <t>abov</t>
        </is>
      </c>
      <c r="E204" s="29" t="inlineStr">
        <is>
          <t>102120</t>
        </is>
      </c>
      <c r="F204" s="29" t="inlineStr">
        <is>
          <t>2022</t>
        </is>
      </c>
      <c r="G204" s="29" t="inlineStr">
        <is>
          <t>CFS</t>
        </is>
      </c>
      <c r="H204" s="29" t="inlineStr">
        <is>
          <t>CIS</t>
        </is>
      </c>
      <c r="I204" s="29" t="inlineStr">
        <is>
          <t>포괄손익계산서</t>
        </is>
      </c>
      <c r="J204" s="29" t="inlineStr">
        <is>
          <t>ifrs-full_FinanceIncome</t>
        </is>
      </c>
      <c r="K204" s="29" t="inlineStr">
        <is>
          <t>금융수익</t>
        </is>
      </c>
      <c r="L204" s="29" t="inlineStr">
        <is>
          <t>-</t>
        </is>
      </c>
      <c r="M204" s="29" t="inlineStr">
        <is>
          <t>제 17 기</t>
        </is>
      </c>
      <c r="N204" s="29" t="inlineStr">
        <is>
          <t>5651011689.0</t>
        </is>
      </c>
      <c r="O204" s="29" t="inlineStr">
        <is>
          <t>555742476.0</t>
        </is>
      </c>
      <c r="P204" s="29" t="inlineStr">
        <is>
          <t>KRW</t>
        </is>
      </c>
      <c r="Q204" s="29" t="inlineStr">
        <is>
          <t>9</t>
        </is>
      </c>
    </row>
    <row r="205" ht="24" customHeight="1">
      <c r="A205" s="24" t="inlineStr">
        <is>
          <t>OpenDART_fnlttSinglAcntAll</t>
        </is>
      </c>
      <c r="B205" s="24" t="inlineStr">
        <is>
          <t>00591441</t>
        </is>
      </c>
      <c r="C205" s="24" t="inlineStr">
        <is>
          <t>어보브반도체</t>
        </is>
      </c>
      <c r="D205" s="24" t="inlineStr">
        <is>
          <t>abov</t>
        </is>
      </c>
      <c r="E205" s="24" t="inlineStr">
        <is>
          <t>102120</t>
        </is>
      </c>
      <c r="F205" s="24" t="inlineStr">
        <is>
          <t>2022</t>
        </is>
      </c>
      <c r="G205" s="24" t="inlineStr">
        <is>
          <t>CFS</t>
        </is>
      </c>
      <c r="H205" s="24" t="inlineStr">
        <is>
          <t>CIS</t>
        </is>
      </c>
      <c r="I205" s="24" t="inlineStr">
        <is>
          <t>포괄손익계산서</t>
        </is>
      </c>
      <c r="J205" s="24" t="inlineStr">
        <is>
          <t>ifrs-full_FinanceCosts</t>
        </is>
      </c>
      <c r="K205" s="24" t="inlineStr">
        <is>
          <t>금융비용</t>
        </is>
      </c>
      <c r="L205" s="24" t="inlineStr">
        <is>
          <t>-</t>
        </is>
      </c>
      <c r="M205" s="24" t="inlineStr">
        <is>
          <t>제 17 기</t>
        </is>
      </c>
      <c r="N205" s="24" t="inlineStr">
        <is>
          <t>6496262153.0</t>
        </is>
      </c>
      <c r="O205" s="24" t="inlineStr">
        <is>
          <t>160972655.0</t>
        </is>
      </c>
      <c r="P205" s="24" t="inlineStr">
        <is>
          <t>KRW</t>
        </is>
      </c>
      <c r="Q205" s="24" t="inlineStr">
        <is>
          <t>10</t>
        </is>
      </c>
    </row>
    <row r="206" ht="24" customHeight="1">
      <c r="A206" s="29" t="inlineStr">
        <is>
          <t>OpenDART_fnlttSinglAcntAll</t>
        </is>
      </c>
      <c r="B206" s="29" t="inlineStr">
        <is>
          <t>00591441</t>
        </is>
      </c>
      <c r="C206" s="29" t="inlineStr">
        <is>
          <t>어보브반도체</t>
        </is>
      </c>
      <c r="D206" s="29" t="inlineStr">
        <is>
          <t>abov</t>
        </is>
      </c>
      <c r="E206" s="29" t="inlineStr">
        <is>
          <t>102120</t>
        </is>
      </c>
      <c r="F206" s="29" t="inlineStr">
        <is>
          <t>2022</t>
        </is>
      </c>
      <c r="G206" s="29" t="inlineStr">
        <is>
          <t>CFS</t>
        </is>
      </c>
      <c r="H206" s="29" t="inlineStr">
        <is>
          <t>CIS</t>
        </is>
      </c>
      <c r="I206" s="29" t="inlineStr">
        <is>
          <t>포괄손익계산서</t>
        </is>
      </c>
      <c r="J206" s="29" t="inlineStr">
        <is>
          <t>dart_OtherGains</t>
        </is>
      </c>
      <c r="K206" s="29" t="inlineStr">
        <is>
          <t>기타수익</t>
        </is>
      </c>
      <c r="L206" s="29" t="inlineStr">
        <is>
          <t>-</t>
        </is>
      </c>
      <c r="M206" s="29" t="inlineStr">
        <is>
          <t>제 17 기</t>
        </is>
      </c>
      <c r="N206" s="29" t="inlineStr">
        <is>
          <t>1775983870.0</t>
        </is>
      </c>
      <c r="O206" s="29" t="inlineStr">
        <is>
          <t>2595324821.0</t>
        </is>
      </c>
      <c r="P206" s="29" t="inlineStr">
        <is>
          <t>KRW</t>
        </is>
      </c>
      <c r="Q206" s="29" t="inlineStr">
        <is>
          <t>11</t>
        </is>
      </c>
    </row>
    <row r="207" ht="24" customHeight="1">
      <c r="A207" s="24" t="inlineStr">
        <is>
          <t>OpenDART_fnlttSinglAcntAll</t>
        </is>
      </c>
      <c r="B207" s="24" t="inlineStr">
        <is>
          <t>00591441</t>
        </is>
      </c>
      <c r="C207" s="24" t="inlineStr">
        <is>
          <t>어보브반도체</t>
        </is>
      </c>
      <c r="D207" s="24" t="inlineStr">
        <is>
          <t>abov</t>
        </is>
      </c>
      <c r="E207" s="24" t="inlineStr">
        <is>
          <t>102120</t>
        </is>
      </c>
      <c r="F207" s="24" t="inlineStr">
        <is>
          <t>2022</t>
        </is>
      </c>
      <c r="G207" s="24" t="inlineStr">
        <is>
          <t>CFS</t>
        </is>
      </c>
      <c r="H207" s="24" t="inlineStr">
        <is>
          <t>CIS</t>
        </is>
      </c>
      <c r="I207" s="24" t="inlineStr">
        <is>
          <t>포괄손익계산서</t>
        </is>
      </c>
      <c r="J207" s="24" t="inlineStr">
        <is>
          <t>dart_OtherLosses</t>
        </is>
      </c>
      <c r="K207" s="24" t="inlineStr">
        <is>
          <t>기타비용</t>
        </is>
      </c>
      <c r="L207" s="24" t="inlineStr">
        <is>
          <t>-</t>
        </is>
      </c>
      <c r="M207" s="24" t="inlineStr">
        <is>
          <t>제 17 기</t>
        </is>
      </c>
      <c r="N207" s="24" t="inlineStr">
        <is>
          <t>12375937802.0</t>
        </is>
      </c>
      <c r="O207" s="24" t="inlineStr">
        <is>
          <t>5573234291.0</t>
        </is>
      </c>
      <c r="P207" s="24" t="inlineStr">
        <is>
          <t>KRW</t>
        </is>
      </c>
      <c r="Q207" s="24" t="inlineStr">
        <is>
          <t>12</t>
        </is>
      </c>
    </row>
    <row r="208" ht="24" customHeight="1">
      <c r="A208" s="29" t="inlineStr">
        <is>
          <t>OpenDART_fnlttSinglAcntAll</t>
        </is>
      </c>
      <c r="B208" s="29" t="inlineStr">
        <is>
          <t>00591441</t>
        </is>
      </c>
      <c r="C208" s="29" t="inlineStr">
        <is>
          <t>어보브반도체</t>
        </is>
      </c>
      <c r="D208" s="29" t="inlineStr">
        <is>
          <t>abov</t>
        </is>
      </c>
      <c r="E208" s="29" t="inlineStr">
        <is>
          <t>102120</t>
        </is>
      </c>
      <c r="F208" s="29" t="inlineStr">
        <is>
          <t>2022</t>
        </is>
      </c>
      <c r="G208" s="29" t="inlineStr">
        <is>
          <t>CFS</t>
        </is>
      </c>
      <c r="H208" s="29" t="inlineStr">
        <is>
          <t>CIS</t>
        </is>
      </c>
      <c r="I208" s="29" t="inlineStr">
        <is>
          <t>포괄손익계산서</t>
        </is>
      </c>
      <c r="J208" s="29" t="inlineStr">
        <is>
          <t>ifrs-full_ProfitLossBeforeTax</t>
        </is>
      </c>
      <c r="K208" s="29" t="inlineStr">
        <is>
          <t>법인세비용차감전순이익(손실)</t>
        </is>
      </c>
      <c r="L208" s="29" t="inlineStr">
        <is>
          <t>-</t>
        </is>
      </c>
      <c r="M208" s="29" t="inlineStr">
        <is>
          <t>제 17 기</t>
        </is>
      </c>
      <c r="N208" s="29" t="inlineStr">
        <is>
          <t>14380083677.0</t>
        </is>
      </c>
      <c r="O208" s="29" t="inlineStr">
        <is>
          <t>15039278590.0</t>
        </is>
      </c>
      <c r="P208" s="29" t="inlineStr">
        <is>
          <t>KRW</t>
        </is>
      </c>
      <c r="Q208" s="29" t="inlineStr">
        <is>
          <t>13</t>
        </is>
      </c>
    </row>
    <row r="209" ht="24" customHeight="1">
      <c r="A209" s="24" t="inlineStr">
        <is>
          <t>OpenDART_fnlttSinglAcntAll</t>
        </is>
      </c>
      <c r="B209" s="24" t="inlineStr">
        <is>
          <t>00591441</t>
        </is>
      </c>
      <c r="C209" s="24" t="inlineStr">
        <is>
          <t>어보브반도체</t>
        </is>
      </c>
      <c r="D209" s="24" t="inlineStr">
        <is>
          <t>abov</t>
        </is>
      </c>
      <c r="E209" s="24" t="inlineStr">
        <is>
          <t>102120</t>
        </is>
      </c>
      <c r="F209" s="24" t="inlineStr">
        <is>
          <t>2022</t>
        </is>
      </c>
      <c r="G209" s="24" t="inlineStr">
        <is>
          <t>CFS</t>
        </is>
      </c>
      <c r="H209" s="24" t="inlineStr">
        <is>
          <t>CIS</t>
        </is>
      </c>
      <c r="I209" s="24" t="inlineStr">
        <is>
          <t>포괄손익계산서</t>
        </is>
      </c>
      <c r="J209" s="24" t="inlineStr">
        <is>
          <t>ifrs-full_IncomeTaxExpenseContinuingOperations</t>
        </is>
      </c>
      <c r="K209" s="24" t="inlineStr">
        <is>
          <t>법인세비용</t>
        </is>
      </c>
      <c r="L209" s="24" t="inlineStr">
        <is>
          <t>-</t>
        </is>
      </c>
      <c r="M209" s="24" t="inlineStr">
        <is>
          <t>제 17 기</t>
        </is>
      </c>
      <c r="N209" s="24" t="inlineStr">
        <is>
          <t>1725506056.0</t>
        </is>
      </c>
      <c r="O209" s="24" t="inlineStr">
        <is>
          <t>1331836271.0</t>
        </is>
      </c>
      <c r="P209" s="24" t="inlineStr">
        <is>
          <t>KRW</t>
        </is>
      </c>
      <c r="Q209" s="24" t="inlineStr">
        <is>
          <t>14</t>
        </is>
      </c>
    </row>
    <row r="210" ht="24" customHeight="1">
      <c r="A210" s="29" t="inlineStr">
        <is>
          <t>OpenDART_fnlttSinglAcntAll</t>
        </is>
      </c>
      <c r="B210" s="29" t="inlineStr">
        <is>
          <t>00591441</t>
        </is>
      </c>
      <c r="C210" s="29" t="inlineStr">
        <is>
          <t>어보브반도체</t>
        </is>
      </c>
      <c r="D210" s="29" t="inlineStr">
        <is>
          <t>abov</t>
        </is>
      </c>
      <c r="E210" s="29" t="inlineStr">
        <is>
          <t>102120</t>
        </is>
      </c>
      <c r="F210" s="29" t="inlineStr">
        <is>
          <t>2022</t>
        </is>
      </c>
      <c r="G210" s="29" t="inlineStr">
        <is>
          <t>CFS</t>
        </is>
      </c>
      <c r="H210" s="29" t="inlineStr">
        <is>
          <t>CIS</t>
        </is>
      </c>
      <c r="I210" s="29" t="inlineStr">
        <is>
          <t>포괄손익계산서</t>
        </is>
      </c>
      <c r="J210" s="29" t="inlineStr">
        <is>
          <t>ifrs-full_ProfitLoss</t>
        </is>
      </c>
      <c r="K210" s="29" t="inlineStr">
        <is>
          <t>당기순이익(손실)</t>
        </is>
      </c>
      <c r="L210" s="29" t="inlineStr">
        <is>
          <t>-</t>
        </is>
      </c>
      <c r="M210" s="29" t="inlineStr">
        <is>
          <t>제 17 기</t>
        </is>
      </c>
      <c r="N210" s="29" t="inlineStr">
        <is>
          <t>12654577621.0</t>
        </is>
      </c>
      <c r="O210" s="29" t="inlineStr">
        <is>
          <t>13707442319.0</t>
        </is>
      </c>
      <c r="P210" s="29" t="inlineStr">
        <is>
          <t>KRW</t>
        </is>
      </c>
      <c r="Q210" s="29" t="inlineStr">
        <is>
          <t>15</t>
        </is>
      </c>
    </row>
    <row r="211" ht="24" customHeight="1">
      <c r="A211" s="24" t="inlineStr">
        <is>
          <t>OpenDART_fnlttSinglAcntAll</t>
        </is>
      </c>
      <c r="B211" s="24" t="inlineStr">
        <is>
          <t>00591441</t>
        </is>
      </c>
      <c r="C211" s="24" t="inlineStr">
        <is>
          <t>어보브반도체</t>
        </is>
      </c>
      <c r="D211" s="24" t="inlineStr">
        <is>
          <t>abov</t>
        </is>
      </c>
      <c r="E211" s="24" t="inlineStr">
        <is>
          <t>102120</t>
        </is>
      </c>
      <c r="F211" s="24" t="inlineStr">
        <is>
          <t>2022</t>
        </is>
      </c>
      <c r="G211" s="24" t="inlineStr">
        <is>
          <t>CFS</t>
        </is>
      </c>
      <c r="H211" s="24" t="inlineStr">
        <is>
          <t>CIS</t>
        </is>
      </c>
      <c r="I211" s="24" t="inlineStr">
        <is>
          <t>포괄손익계산서</t>
        </is>
      </c>
      <c r="J211" s="24" t="inlineStr">
        <is>
          <t>ifrs-full_OtherComprehensiveIncome</t>
        </is>
      </c>
      <c r="K211" s="24" t="inlineStr">
        <is>
          <t>기타포괄손익</t>
        </is>
      </c>
      <c r="L211" s="24" t="inlineStr">
        <is>
          <t>-</t>
        </is>
      </c>
      <c r="M211" s="24" t="inlineStr">
        <is>
          <t>제 17 기</t>
        </is>
      </c>
      <c r="N211" s="24" t="inlineStr">
        <is>
          <t>-95840047.0</t>
        </is>
      </c>
      <c r="O211" s="24" t="inlineStr">
        <is>
          <t>378556874.0</t>
        </is>
      </c>
      <c r="P211" s="24" t="inlineStr">
        <is>
          <t>KRW</t>
        </is>
      </c>
      <c r="Q211" s="24" t="inlineStr">
        <is>
          <t>16</t>
        </is>
      </c>
    </row>
    <row r="212" ht="24" customHeight="1">
      <c r="A212" s="29" t="inlineStr">
        <is>
          <t>OpenDART_fnlttSinglAcntAll</t>
        </is>
      </c>
      <c r="B212" s="29" t="inlineStr">
        <is>
          <t>00591441</t>
        </is>
      </c>
      <c r="C212" s="29" t="inlineStr">
        <is>
          <t>어보브반도체</t>
        </is>
      </c>
      <c r="D212" s="29" t="inlineStr">
        <is>
          <t>abov</t>
        </is>
      </c>
      <c r="E212" s="29" t="inlineStr">
        <is>
          <t>102120</t>
        </is>
      </c>
      <c r="F212" s="29" t="inlineStr">
        <is>
          <t>2022</t>
        </is>
      </c>
      <c r="G212" s="29" t="inlineStr">
        <is>
          <t>CFS</t>
        </is>
      </c>
      <c r="H212" s="29" t="inlineStr">
        <is>
          <t>CIS</t>
        </is>
      </c>
      <c r="I212" s="29" t="inlineStr">
        <is>
          <t>포괄손익계산서</t>
        </is>
      </c>
      <c r="J212" s="29" t="inlineStr">
        <is>
          <t>dart_OtherComprehensiveIncomeThatWillNotBeReclassifiedToProfitOrLossNetOfTax</t>
        </is>
      </c>
      <c r="K212" s="29" t="inlineStr">
        <is>
          <t>당기손익으로 재분류되지 않는 항목</t>
        </is>
      </c>
      <c r="L212" s="29" t="inlineStr">
        <is>
          <t>-</t>
        </is>
      </c>
      <c r="M212" s="29" t="inlineStr">
        <is>
          <t>제 17 기</t>
        </is>
      </c>
      <c r="N212" s="29" t="inlineStr">
        <is>
          <t>-130750756.0</t>
        </is>
      </c>
      <c r="O212" s="29" t="inlineStr">
        <is>
          <t>371906253.0</t>
        </is>
      </c>
      <c r="P212" s="29" t="inlineStr">
        <is>
          <t>KRW</t>
        </is>
      </c>
      <c r="Q212" s="29" t="inlineStr">
        <is>
          <t>17</t>
        </is>
      </c>
    </row>
    <row r="213" ht="24" customHeight="1">
      <c r="A213" s="24" t="inlineStr">
        <is>
          <t>OpenDART_fnlttSinglAcntAll</t>
        </is>
      </c>
      <c r="B213" s="24" t="inlineStr">
        <is>
          <t>00591441</t>
        </is>
      </c>
      <c r="C213" s="24" t="inlineStr">
        <is>
          <t>어보브반도체</t>
        </is>
      </c>
      <c r="D213" s="24" t="inlineStr">
        <is>
          <t>abov</t>
        </is>
      </c>
      <c r="E213" s="24" t="inlineStr">
        <is>
          <t>102120</t>
        </is>
      </c>
      <c r="F213" s="24" t="inlineStr">
        <is>
          <t>2022</t>
        </is>
      </c>
      <c r="G213" s="24" t="inlineStr">
        <is>
          <t>CFS</t>
        </is>
      </c>
      <c r="H213" s="24" t="inlineStr">
        <is>
          <t>CIS</t>
        </is>
      </c>
      <c r="I213" s="24" t="inlineStr">
        <is>
          <t>포괄손익계산서</t>
        </is>
      </c>
      <c r="J213" s="24" t="inlineStr">
        <is>
          <t>dart_OtherComprehensiveIncomeNetOfTaxGainsLossesOnRemeasurementsOfDefinedBenefitPlans</t>
        </is>
      </c>
      <c r="K213" s="24" t="inlineStr">
        <is>
          <t>순확정급여부채의 재측정요소</t>
        </is>
      </c>
      <c r="L213" s="24" t="inlineStr">
        <is>
          <t>-</t>
        </is>
      </c>
      <c r="M213" s="24" t="inlineStr">
        <is>
          <t>제 17 기</t>
        </is>
      </c>
      <c r="N213" s="24" t="inlineStr">
        <is>
          <t>-106410356.0</t>
        </is>
      </c>
      <c r="O213" s="24" t="inlineStr">
        <is>
          <t>-63551736.0</t>
        </is>
      </c>
      <c r="P213" s="24" t="inlineStr">
        <is>
          <t>KRW</t>
        </is>
      </c>
      <c r="Q213" s="24" t="inlineStr">
        <is>
          <t>18</t>
        </is>
      </c>
    </row>
    <row r="214" ht="24" customHeight="1">
      <c r="A214" s="29" t="inlineStr">
        <is>
          <t>OpenDART_fnlttSinglAcntAll</t>
        </is>
      </c>
      <c r="B214" s="29" t="inlineStr">
        <is>
          <t>00591441</t>
        </is>
      </c>
      <c r="C214" s="29" t="inlineStr">
        <is>
          <t>어보브반도체</t>
        </is>
      </c>
      <c r="D214" s="29" t="inlineStr">
        <is>
          <t>abov</t>
        </is>
      </c>
      <c r="E214" s="29" t="inlineStr">
        <is>
          <t>102120</t>
        </is>
      </c>
      <c r="F214" s="29" t="inlineStr">
        <is>
          <t>2022</t>
        </is>
      </c>
      <c r="G214" s="29" t="inlineStr">
        <is>
          <t>CFS</t>
        </is>
      </c>
      <c r="H214" s="29" t="inlineStr">
        <is>
          <t>CIS</t>
        </is>
      </c>
      <c r="I214" s="29" t="inlineStr">
        <is>
          <t>포괄손익계산서</t>
        </is>
      </c>
      <c r="J214" s="29" t="inlineStr">
        <is>
          <t>-표준계정코드 미사용-</t>
        </is>
      </c>
      <c r="K214" s="29" t="inlineStr">
        <is>
          <t>지분법 자본변동</t>
        </is>
      </c>
      <c r="L214" s="29" t="inlineStr">
        <is>
          <t>-</t>
        </is>
      </c>
      <c r="M214" s="29" t="inlineStr">
        <is>
          <t>제 17 기</t>
        </is>
      </c>
      <c r="N214" s="29" t="inlineStr">
        <is>
          <t>13168034.0</t>
        </is>
      </c>
      <c r="O214" s="29" t="inlineStr">
        <is>
          <t>0.0</t>
        </is>
      </c>
      <c r="P214" s="29" t="inlineStr">
        <is>
          <t>KRW</t>
        </is>
      </c>
      <c r="Q214" s="29" t="inlineStr">
        <is>
          <t>19</t>
        </is>
      </c>
    </row>
    <row r="215" ht="24" customHeight="1">
      <c r="A215" s="24" t="inlineStr">
        <is>
          <t>OpenDART_fnlttSinglAcntAll</t>
        </is>
      </c>
      <c r="B215" s="24" t="inlineStr">
        <is>
          <t>00591441</t>
        </is>
      </c>
      <c r="C215" s="24" t="inlineStr">
        <is>
          <t>어보브반도체</t>
        </is>
      </c>
      <c r="D215" s="24" t="inlineStr">
        <is>
          <t>abov</t>
        </is>
      </c>
      <c r="E215" s="24" t="inlineStr">
        <is>
          <t>102120</t>
        </is>
      </c>
      <c r="F215" s="24" t="inlineStr">
        <is>
          <t>2022</t>
        </is>
      </c>
      <c r="G215" s="24" t="inlineStr">
        <is>
          <t>CFS</t>
        </is>
      </c>
      <c r="H215" s="24" t="inlineStr">
        <is>
          <t>CIS</t>
        </is>
      </c>
      <c r="I215" s="24" t="inlineStr">
        <is>
          <t>포괄손익계산서</t>
        </is>
      </c>
      <c r="J215" s="24" t="inlineStr">
        <is>
          <t>-표준계정코드 미사용-</t>
        </is>
      </c>
      <c r="K215" s="24" t="inlineStr">
        <is>
          <t>기타포괄손익공정가치측정금융자산 평가손익</t>
        </is>
      </c>
      <c r="L215" s="24" t="inlineStr">
        <is>
          <t>-</t>
        </is>
      </c>
      <c r="M215" s="24" t="inlineStr">
        <is>
          <t>제 17 기</t>
        </is>
      </c>
      <c r="N215" s="24" t="inlineStr">
        <is>
          <t>-37508434.0</t>
        </is>
      </c>
      <c r="O215" s="24" t="inlineStr">
        <is>
          <t>435457989.0</t>
        </is>
      </c>
      <c r="P215" s="24" t="inlineStr">
        <is>
          <t>KRW</t>
        </is>
      </c>
      <c r="Q215" s="24" t="inlineStr">
        <is>
          <t>20</t>
        </is>
      </c>
    </row>
    <row r="216" ht="24" customHeight="1">
      <c r="A216" s="29" t="inlineStr">
        <is>
          <t>OpenDART_fnlttSinglAcntAll</t>
        </is>
      </c>
      <c r="B216" s="29" t="inlineStr">
        <is>
          <t>00591441</t>
        </is>
      </c>
      <c r="C216" s="29" t="inlineStr">
        <is>
          <t>어보브반도체</t>
        </is>
      </c>
      <c r="D216" s="29" t="inlineStr">
        <is>
          <t>abov</t>
        </is>
      </c>
      <c r="E216" s="29" t="inlineStr">
        <is>
          <t>102120</t>
        </is>
      </c>
      <c r="F216" s="29" t="inlineStr">
        <is>
          <t>2022</t>
        </is>
      </c>
      <c r="G216" s="29" t="inlineStr">
        <is>
          <t>CFS</t>
        </is>
      </c>
      <c r="H216" s="29" t="inlineStr">
        <is>
          <t>CIS</t>
        </is>
      </c>
      <c r="I216" s="29" t="inlineStr">
        <is>
          <t>포괄손익계산서</t>
        </is>
      </c>
      <c r="J216" s="29" t="inlineStr">
        <is>
          <t>dart_OtherComprehensiveIncomeThatWillBeReclassifiedToProfitOrLossNetOfTax</t>
        </is>
      </c>
      <c r="K216" s="29" t="inlineStr">
        <is>
          <t>당기손익으로 재분류될 수 있는 항목</t>
        </is>
      </c>
      <c r="L216" s="29" t="inlineStr">
        <is>
          <t>-</t>
        </is>
      </c>
      <c r="M216" s="29" t="inlineStr">
        <is>
          <t>제 17 기</t>
        </is>
      </c>
      <c r="N216" s="29" t="inlineStr">
        <is>
          <t>34910709.0</t>
        </is>
      </c>
      <c r="O216" s="29" t="inlineStr">
        <is>
          <t>6650621.0</t>
        </is>
      </c>
      <c r="P216" s="29" t="inlineStr">
        <is>
          <t>KRW</t>
        </is>
      </c>
      <c r="Q216" s="29" t="inlineStr">
        <is>
          <t>21</t>
        </is>
      </c>
    </row>
    <row r="217" ht="24" customHeight="1">
      <c r="A217" s="24" t="inlineStr">
        <is>
          <t>OpenDART_fnlttSinglAcntAll</t>
        </is>
      </c>
      <c r="B217" s="24" t="inlineStr">
        <is>
          <t>00591441</t>
        </is>
      </c>
      <c r="C217" s="24" t="inlineStr">
        <is>
          <t>어보브반도체</t>
        </is>
      </c>
      <c r="D217" s="24" t="inlineStr">
        <is>
          <t>abov</t>
        </is>
      </c>
      <c r="E217" s="24" t="inlineStr">
        <is>
          <t>102120</t>
        </is>
      </c>
      <c r="F217" s="24" t="inlineStr">
        <is>
          <t>2022</t>
        </is>
      </c>
      <c r="G217" s="24" t="inlineStr">
        <is>
          <t>CFS</t>
        </is>
      </c>
      <c r="H217" s="24" t="inlineStr">
        <is>
          <t>CIS</t>
        </is>
      </c>
      <c r="I217" s="24" t="inlineStr">
        <is>
          <t>포괄손익계산서</t>
        </is>
      </c>
      <c r="J217" s="24" t="inlineStr">
        <is>
          <t>ifrs-full_GainsLossesOnExchangeDifferencesOnTranslationNetOfTax</t>
        </is>
      </c>
      <c r="K217" s="24" t="inlineStr">
        <is>
          <t>해외사업장환산외환차이</t>
        </is>
      </c>
      <c r="L217" s="24" t="inlineStr">
        <is>
          <t>-</t>
        </is>
      </c>
      <c r="M217" s="24" t="inlineStr">
        <is>
          <t>제 17 기</t>
        </is>
      </c>
      <c r="N217" s="24" t="inlineStr">
        <is>
          <t>34910709.0</t>
        </is>
      </c>
      <c r="O217" s="24" t="inlineStr">
        <is>
          <t>6650621.0</t>
        </is>
      </c>
      <c r="P217" s="24" t="inlineStr">
        <is>
          <t>KRW</t>
        </is>
      </c>
      <c r="Q217" s="24" t="inlineStr">
        <is>
          <t>22</t>
        </is>
      </c>
    </row>
    <row r="218" ht="24" customHeight="1">
      <c r="A218" s="29" t="inlineStr">
        <is>
          <t>OpenDART_fnlttSinglAcntAll</t>
        </is>
      </c>
      <c r="B218" s="29" t="inlineStr">
        <is>
          <t>00591441</t>
        </is>
      </c>
      <c r="C218" s="29" t="inlineStr">
        <is>
          <t>어보브반도체</t>
        </is>
      </c>
      <c r="D218" s="29" t="inlineStr">
        <is>
          <t>abov</t>
        </is>
      </c>
      <c r="E218" s="29" t="inlineStr">
        <is>
          <t>102120</t>
        </is>
      </c>
      <c r="F218" s="29" t="inlineStr">
        <is>
          <t>2022</t>
        </is>
      </c>
      <c r="G218" s="29" t="inlineStr">
        <is>
          <t>CFS</t>
        </is>
      </c>
      <c r="H218" s="29" t="inlineStr">
        <is>
          <t>CIS</t>
        </is>
      </c>
      <c r="I218" s="29" t="inlineStr">
        <is>
          <t>포괄손익계산서</t>
        </is>
      </c>
      <c r="J218" s="29" t="inlineStr">
        <is>
          <t>ifrs-full_ComprehensiveIncome</t>
        </is>
      </c>
      <c r="K218" s="29" t="inlineStr">
        <is>
          <t>총포괄손익</t>
        </is>
      </c>
      <c r="L218" s="29" t="inlineStr">
        <is>
          <t>-</t>
        </is>
      </c>
      <c r="M218" s="29" t="inlineStr">
        <is>
          <t>제 17 기</t>
        </is>
      </c>
      <c r="N218" s="29" t="inlineStr">
        <is>
          <t>12558737574.0</t>
        </is>
      </c>
      <c r="O218" s="29" t="inlineStr">
        <is>
          <t>14085999193.0</t>
        </is>
      </c>
      <c r="P218" s="29" t="inlineStr">
        <is>
          <t>KRW</t>
        </is>
      </c>
      <c r="Q218" s="29" t="inlineStr">
        <is>
          <t>23</t>
        </is>
      </c>
    </row>
    <row r="219" ht="24" customHeight="1">
      <c r="A219" s="24" t="inlineStr">
        <is>
          <t>OpenDART_fnlttSinglAcntAll</t>
        </is>
      </c>
      <c r="B219" s="24" t="inlineStr">
        <is>
          <t>00591441</t>
        </is>
      </c>
      <c r="C219" s="24" t="inlineStr">
        <is>
          <t>어보브반도체</t>
        </is>
      </c>
      <c r="D219" s="24" t="inlineStr">
        <is>
          <t>abov</t>
        </is>
      </c>
      <c r="E219" s="24" t="inlineStr">
        <is>
          <t>102120</t>
        </is>
      </c>
      <c r="F219" s="24" t="inlineStr">
        <is>
          <t>2022</t>
        </is>
      </c>
      <c r="G219" s="24" t="inlineStr">
        <is>
          <t>CFS</t>
        </is>
      </c>
      <c r="H219" s="24" t="inlineStr">
        <is>
          <t>CIS</t>
        </is>
      </c>
      <c r="I219" s="24" t="inlineStr">
        <is>
          <t>포괄손익계산서</t>
        </is>
      </c>
      <c r="J219" s="24" t="inlineStr">
        <is>
          <t>ifrs-full_ProfitLossAttributableToOwnersOfParent</t>
        </is>
      </c>
      <c r="K219" s="24" t="inlineStr">
        <is>
          <t>지배기업의 소유지분</t>
        </is>
      </c>
      <c r="L219" s="24" t="inlineStr">
        <is>
          <t>-</t>
        </is>
      </c>
      <c r="M219" s="24" t="inlineStr">
        <is>
          <t>제 17 기</t>
        </is>
      </c>
      <c r="N219" s="24" t="inlineStr">
        <is>
          <t>12447173980.0</t>
        </is>
      </c>
      <c r="O219" s="24" t="inlineStr">
        <is>
          <t>13707442319.0</t>
        </is>
      </c>
      <c r="P219" s="24" t="inlineStr">
        <is>
          <t>KRW</t>
        </is>
      </c>
      <c r="Q219" s="24" t="inlineStr">
        <is>
          <t>25</t>
        </is>
      </c>
    </row>
    <row r="220" ht="24" customHeight="1">
      <c r="A220" s="29" t="inlineStr">
        <is>
          <t>OpenDART_fnlttSinglAcntAll</t>
        </is>
      </c>
      <c r="B220" s="29" t="inlineStr">
        <is>
          <t>00591441</t>
        </is>
      </c>
      <c r="C220" s="29" t="inlineStr">
        <is>
          <t>어보브반도체</t>
        </is>
      </c>
      <c r="D220" s="29" t="inlineStr">
        <is>
          <t>abov</t>
        </is>
      </c>
      <c r="E220" s="29" t="inlineStr">
        <is>
          <t>102120</t>
        </is>
      </c>
      <c r="F220" s="29" t="inlineStr">
        <is>
          <t>2022</t>
        </is>
      </c>
      <c r="G220" s="29" t="inlineStr">
        <is>
          <t>CFS</t>
        </is>
      </c>
      <c r="H220" s="29" t="inlineStr">
        <is>
          <t>CIS</t>
        </is>
      </c>
      <c r="I220" s="29" t="inlineStr">
        <is>
          <t>포괄손익계산서</t>
        </is>
      </c>
      <c r="J220" s="29" t="inlineStr">
        <is>
          <t>ifrs-full_ProfitLossAttributableToNoncontrollingInterests</t>
        </is>
      </c>
      <c r="K220" s="29" t="inlineStr">
        <is>
          <t>비지배지분</t>
        </is>
      </c>
      <c r="L220" s="29" t="inlineStr">
        <is>
          <t>-</t>
        </is>
      </c>
      <c r="M220" s="29" t="inlineStr">
        <is>
          <t>제 17 기</t>
        </is>
      </c>
      <c r="N220" s="29" t="inlineStr">
        <is>
          <t>207403641.0</t>
        </is>
      </c>
      <c r="O220" s="29" t="inlineStr">
        <is>
          <t>0.0</t>
        </is>
      </c>
      <c r="P220" s="29" t="inlineStr">
        <is>
          <t>KRW</t>
        </is>
      </c>
      <c r="Q220" s="29" t="inlineStr">
        <is>
          <t>26</t>
        </is>
      </c>
    </row>
    <row r="221" ht="24" customHeight="1">
      <c r="A221" s="24" t="inlineStr">
        <is>
          <t>OpenDART_fnlttSinglAcntAll</t>
        </is>
      </c>
      <c r="B221" s="24" t="inlineStr">
        <is>
          <t>00591441</t>
        </is>
      </c>
      <c r="C221" s="24" t="inlineStr">
        <is>
          <t>어보브반도체</t>
        </is>
      </c>
      <c r="D221" s="24" t="inlineStr">
        <is>
          <t>abov</t>
        </is>
      </c>
      <c r="E221" s="24" t="inlineStr">
        <is>
          <t>102120</t>
        </is>
      </c>
      <c r="F221" s="24" t="inlineStr">
        <is>
          <t>2022</t>
        </is>
      </c>
      <c r="G221" s="24" t="inlineStr">
        <is>
          <t>CFS</t>
        </is>
      </c>
      <c r="H221" s="24" t="inlineStr">
        <is>
          <t>CIS</t>
        </is>
      </c>
      <c r="I221" s="24" t="inlineStr">
        <is>
          <t>포괄손익계산서</t>
        </is>
      </c>
      <c r="J221" s="24" t="inlineStr">
        <is>
          <t>ifrs-full_ComprehensiveIncomeAttributableToOwnersOfParent</t>
        </is>
      </c>
      <c r="K221" s="24" t="inlineStr">
        <is>
          <t>지배기업의 소유지분</t>
        </is>
      </c>
      <c r="L221" s="24" t="inlineStr">
        <is>
          <t>-</t>
        </is>
      </c>
      <c r="M221" s="24" t="inlineStr">
        <is>
          <t>제 17 기</t>
        </is>
      </c>
      <c r="N221" s="24" t="inlineStr">
        <is>
          <t>12351333933.0</t>
        </is>
      </c>
      <c r="O221" s="24" t="inlineStr">
        <is>
          <t>14085999193.0</t>
        </is>
      </c>
      <c r="P221" s="24" t="inlineStr">
        <is>
          <t>KRW</t>
        </is>
      </c>
      <c r="Q221" s="24" t="inlineStr">
        <is>
          <t>28</t>
        </is>
      </c>
    </row>
    <row r="222" ht="24" customHeight="1">
      <c r="A222" s="29" t="inlineStr">
        <is>
          <t>OpenDART_fnlttSinglAcntAll</t>
        </is>
      </c>
      <c r="B222" s="29" t="inlineStr">
        <is>
          <t>00591441</t>
        </is>
      </c>
      <c r="C222" s="29" t="inlineStr">
        <is>
          <t>어보브반도체</t>
        </is>
      </c>
      <c r="D222" s="29" t="inlineStr">
        <is>
          <t>abov</t>
        </is>
      </c>
      <c r="E222" s="29" t="inlineStr">
        <is>
          <t>102120</t>
        </is>
      </c>
      <c r="F222" s="29" t="inlineStr">
        <is>
          <t>2022</t>
        </is>
      </c>
      <c r="G222" s="29" t="inlineStr">
        <is>
          <t>CFS</t>
        </is>
      </c>
      <c r="H222" s="29" t="inlineStr">
        <is>
          <t>CIS</t>
        </is>
      </c>
      <c r="I222" s="29" t="inlineStr">
        <is>
          <t>포괄손익계산서</t>
        </is>
      </c>
      <c r="J222" s="29" t="inlineStr">
        <is>
          <t>ifrs-full_ComprehensiveIncomeAttributableToNoncontrollingInterests</t>
        </is>
      </c>
      <c r="K222" s="29" t="inlineStr">
        <is>
          <t>비지배지분</t>
        </is>
      </c>
      <c r="L222" s="29" t="inlineStr">
        <is>
          <t>-</t>
        </is>
      </c>
      <c r="M222" s="29" t="inlineStr">
        <is>
          <t>제 17 기</t>
        </is>
      </c>
      <c r="N222" s="29" t="inlineStr">
        <is>
          <t>207403641.0</t>
        </is>
      </c>
      <c r="O222" s="29" t="inlineStr">
        <is>
          <t>0.0</t>
        </is>
      </c>
      <c r="P222" s="29" t="inlineStr">
        <is>
          <t>KRW</t>
        </is>
      </c>
      <c r="Q222" s="29" t="inlineStr">
        <is>
          <t>29</t>
        </is>
      </c>
    </row>
    <row r="223" ht="24" customHeight="1">
      <c r="A223" s="24" t="inlineStr">
        <is>
          <t>OpenDART_fnlttSinglAcntAll</t>
        </is>
      </c>
      <c r="B223" s="24" t="inlineStr">
        <is>
          <t>00591441</t>
        </is>
      </c>
      <c r="C223" s="24" t="inlineStr">
        <is>
          <t>어보브반도체</t>
        </is>
      </c>
      <c r="D223" s="24" t="inlineStr">
        <is>
          <t>abov</t>
        </is>
      </c>
      <c r="E223" s="24" t="inlineStr">
        <is>
          <t>102120</t>
        </is>
      </c>
      <c r="F223" s="24" t="inlineStr">
        <is>
          <t>2022</t>
        </is>
      </c>
      <c r="G223" s="24" t="inlineStr">
        <is>
          <t>CFS</t>
        </is>
      </c>
      <c r="H223" s="24" t="inlineStr">
        <is>
          <t>CIS</t>
        </is>
      </c>
      <c r="I223" s="24" t="inlineStr">
        <is>
          <t>포괄손익계산서</t>
        </is>
      </c>
      <c r="J223" s="24" t="inlineStr">
        <is>
          <t>ifrs-full_BasicEarningsLossPerShare</t>
        </is>
      </c>
      <c r="K223" s="24" t="inlineStr">
        <is>
          <t>기본주당이익(손실)</t>
        </is>
      </c>
      <c r="L223" s="24" t="inlineStr">
        <is>
          <t>-</t>
        </is>
      </c>
      <c r="M223" s="24" t="inlineStr">
        <is>
          <t>제 17 기</t>
        </is>
      </c>
      <c r="N223" s="24" t="inlineStr">
        <is>
          <t>770.0</t>
        </is>
      </c>
      <c r="O223" s="24" t="inlineStr">
        <is>
          <t>828.0</t>
        </is>
      </c>
      <c r="P223" s="24" t="inlineStr">
        <is>
          <t>KRW</t>
        </is>
      </c>
      <c r="Q223" s="24" t="inlineStr">
        <is>
          <t>31</t>
        </is>
      </c>
    </row>
    <row r="224" ht="24" customHeight="1">
      <c r="A224" s="29" t="inlineStr">
        <is>
          <t>OpenDART_fnlttSinglAcntAll</t>
        </is>
      </c>
      <c r="B224" s="29" t="inlineStr">
        <is>
          <t>00591441</t>
        </is>
      </c>
      <c r="C224" s="29" t="inlineStr">
        <is>
          <t>어보브반도체</t>
        </is>
      </c>
      <c r="D224" s="29" t="inlineStr">
        <is>
          <t>abov</t>
        </is>
      </c>
      <c r="E224" s="29" t="inlineStr">
        <is>
          <t>102120</t>
        </is>
      </c>
      <c r="F224" s="29" t="inlineStr">
        <is>
          <t>2022</t>
        </is>
      </c>
      <c r="G224" s="29" t="inlineStr">
        <is>
          <t>CFS</t>
        </is>
      </c>
      <c r="H224" s="29" t="inlineStr">
        <is>
          <t>CIS</t>
        </is>
      </c>
      <c r="I224" s="29" t="inlineStr">
        <is>
          <t>포괄손익계산서</t>
        </is>
      </c>
      <c r="J224" s="29" t="inlineStr">
        <is>
          <t>ifrs-full_DilutedEarningsLossPerShare</t>
        </is>
      </c>
      <c r="K224" s="29" t="inlineStr">
        <is>
          <t>희석주당이익(손실)</t>
        </is>
      </c>
      <c r="L224" s="29" t="inlineStr">
        <is>
          <t>-</t>
        </is>
      </c>
      <c r="M224" s="29" t="inlineStr">
        <is>
          <t>제 17 기</t>
        </is>
      </c>
      <c r="N224" s="29" t="inlineStr">
        <is>
          <t>769.0</t>
        </is>
      </c>
      <c r="O224" s="29" t="inlineStr">
        <is>
          <t>828.0</t>
        </is>
      </c>
      <c r="P224" s="29" t="inlineStr">
        <is>
          <t>KRW</t>
        </is>
      </c>
      <c r="Q224" s="29" t="inlineStr">
        <is>
          <t>32</t>
        </is>
      </c>
    </row>
    <row r="225" ht="24" customHeight="1">
      <c r="A225" s="24" t="inlineStr">
        <is>
          <t>OpenDART_fnlttSinglAcntAll</t>
        </is>
      </c>
      <c r="B225" s="24" t="inlineStr">
        <is>
          <t>00591441</t>
        </is>
      </c>
      <c r="C225" s="24" t="inlineStr">
        <is>
          <t>어보브반도체</t>
        </is>
      </c>
      <c r="D225" s="24" t="inlineStr">
        <is>
          <t>abov</t>
        </is>
      </c>
      <c r="E225" s="24" t="inlineStr">
        <is>
          <t>102120</t>
        </is>
      </c>
      <c r="F225" s="24" t="inlineStr">
        <is>
          <t>2022</t>
        </is>
      </c>
      <c r="G225" s="24" t="inlineStr">
        <is>
          <t>CFS</t>
        </is>
      </c>
      <c r="H225" s="24" t="inlineStr">
        <is>
          <t>CF</t>
        </is>
      </c>
      <c r="I225" s="24" t="inlineStr">
        <is>
          <t>현금흐름표</t>
        </is>
      </c>
      <c r="J225" s="24" t="inlineStr">
        <is>
          <t>ifrs-full_CashFlowsFromUsedInOperatingActivities</t>
        </is>
      </c>
      <c r="K225" s="24" t="inlineStr">
        <is>
          <t>영업활동현금흐름</t>
        </is>
      </c>
      <c r="L225" s="24" t="inlineStr">
        <is>
          <t>-</t>
        </is>
      </c>
      <c r="M225" s="24" t="inlineStr">
        <is>
          <t>제 17 기</t>
        </is>
      </c>
      <c r="N225" s="24" t="inlineStr">
        <is>
          <t>-2411168884.0</t>
        </is>
      </c>
      <c r="O225" s="24" t="inlineStr">
        <is>
          <t>13559523477.0</t>
        </is>
      </c>
      <c r="P225" s="24" t="inlineStr">
        <is>
          <t>KRW</t>
        </is>
      </c>
      <c r="Q225" s="24" t="inlineStr">
        <is>
          <t>0</t>
        </is>
      </c>
    </row>
    <row r="226" ht="24" customHeight="1">
      <c r="A226" s="29" t="inlineStr">
        <is>
          <t>OpenDART_fnlttSinglAcntAll</t>
        </is>
      </c>
      <c r="B226" s="29" t="inlineStr">
        <is>
          <t>00591441</t>
        </is>
      </c>
      <c r="C226" s="29" t="inlineStr">
        <is>
          <t>어보브반도체</t>
        </is>
      </c>
      <c r="D226" s="29" t="inlineStr">
        <is>
          <t>abov</t>
        </is>
      </c>
      <c r="E226" s="29" t="inlineStr">
        <is>
          <t>102120</t>
        </is>
      </c>
      <c r="F226" s="29" t="inlineStr">
        <is>
          <t>2022</t>
        </is>
      </c>
      <c r="G226" s="29" t="inlineStr">
        <is>
          <t>CFS</t>
        </is>
      </c>
      <c r="H226" s="29" t="inlineStr">
        <is>
          <t>CF</t>
        </is>
      </c>
      <c r="I226" s="29" t="inlineStr">
        <is>
          <t>현금흐름표</t>
        </is>
      </c>
      <c r="J226" s="29" t="inlineStr">
        <is>
          <t>dart_ProfitLossForStatementOfCashFlows</t>
        </is>
      </c>
      <c r="K226" s="29" t="inlineStr">
        <is>
          <t>당기순이익(손실)</t>
        </is>
      </c>
      <c r="L226" s="29" t="inlineStr">
        <is>
          <t>-</t>
        </is>
      </c>
      <c r="M226" s="29" t="inlineStr">
        <is>
          <t>제 17 기</t>
        </is>
      </c>
      <c r="N226" s="29" t="inlineStr">
        <is>
          <t>12654577621.0</t>
        </is>
      </c>
      <c r="O226" s="29" t="inlineStr">
        <is>
          <t>13707442319.0</t>
        </is>
      </c>
      <c r="P226" s="29" t="inlineStr">
        <is>
          <t>KRW</t>
        </is>
      </c>
      <c r="Q226" s="29" t="inlineStr">
        <is>
          <t>1</t>
        </is>
      </c>
    </row>
    <row r="227" ht="24" customHeight="1">
      <c r="A227" s="24" t="inlineStr">
        <is>
          <t>OpenDART_fnlttSinglAcntAll</t>
        </is>
      </c>
      <c r="B227" s="24" t="inlineStr">
        <is>
          <t>00591441</t>
        </is>
      </c>
      <c r="C227" s="24" t="inlineStr">
        <is>
          <t>어보브반도체</t>
        </is>
      </c>
      <c r="D227" s="24" t="inlineStr">
        <is>
          <t>abov</t>
        </is>
      </c>
      <c r="E227" s="24" t="inlineStr">
        <is>
          <t>102120</t>
        </is>
      </c>
      <c r="F227" s="24" t="inlineStr">
        <is>
          <t>2022</t>
        </is>
      </c>
      <c r="G227" s="24" t="inlineStr">
        <is>
          <t>CFS</t>
        </is>
      </c>
      <c r="H227" s="24" t="inlineStr">
        <is>
          <t>CF</t>
        </is>
      </c>
      <c r="I227" s="24" t="inlineStr">
        <is>
          <t>현금흐름표</t>
        </is>
      </c>
      <c r="J227" s="24" t="inlineStr">
        <is>
          <t>ifrs-full_AdjustmentsForReconcileProfitLoss</t>
        </is>
      </c>
      <c r="K227" s="24" t="inlineStr">
        <is>
          <t>조정</t>
        </is>
      </c>
      <c r="L227" s="24" t="inlineStr">
        <is>
          <t>-</t>
        </is>
      </c>
      <c r="M227" s="24" t="inlineStr">
        <is>
          <t>제 17 기</t>
        </is>
      </c>
      <c r="N227" s="24" t="inlineStr">
        <is>
          <t>30065849063.0</t>
        </is>
      </c>
      <c r="O227" s="24" t="inlineStr">
        <is>
          <t>12733952824.0</t>
        </is>
      </c>
      <c r="P227" s="24" t="inlineStr">
        <is>
          <t>KRW</t>
        </is>
      </c>
      <c r="Q227" s="24" t="inlineStr">
        <is>
          <t>2</t>
        </is>
      </c>
    </row>
    <row r="228" ht="24" customHeight="1">
      <c r="A228" s="29" t="inlineStr">
        <is>
          <t>OpenDART_fnlttSinglAcntAll</t>
        </is>
      </c>
      <c r="B228" s="29" t="inlineStr">
        <is>
          <t>00591441</t>
        </is>
      </c>
      <c r="C228" s="29" t="inlineStr">
        <is>
          <t>어보브반도체</t>
        </is>
      </c>
      <c r="D228" s="29" t="inlineStr">
        <is>
          <t>abov</t>
        </is>
      </c>
      <c r="E228" s="29" t="inlineStr">
        <is>
          <t>102120</t>
        </is>
      </c>
      <c r="F228" s="29" t="inlineStr">
        <is>
          <t>2022</t>
        </is>
      </c>
      <c r="G228" s="29" t="inlineStr">
        <is>
          <t>CFS</t>
        </is>
      </c>
      <c r="H228" s="29" t="inlineStr">
        <is>
          <t>CF</t>
        </is>
      </c>
      <c r="I228" s="29" t="inlineStr">
        <is>
          <t>현금흐름표</t>
        </is>
      </c>
      <c r="J228" s="29" t="inlineStr">
        <is>
          <t>dart_AdjustmentsForAssetsLiabilitiesOfOperatingActivities</t>
        </is>
      </c>
      <c r="K228" s="29" t="inlineStr">
        <is>
          <t>영업활동으로인한자산ㆍ부채의변동</t>
        </is>
      </c>
      <c r="L228" s="29" t="inlineStr">
        <is>
          <t>-</t>
        </is>
      </c>
      <c r="M228" s="29" t="inlineStr">
        <is>
          <t>제 17 기</t>
        </is>
      </c>
      <c r="N228" s="29" t="inlineStr">
        <is>
          <t>-41806638737.0</t>
        </is>
      </c>
      <c r="O228" s="29" t="inlineStr">
        <is>
          <t>-11328904819.0</t>
        </is>
      </c>
      <c r="P228" s="29" t="inlineStr">
        <is>
          <t>KRW</t>
        </is>
      </c>
      <c r="Q228" s="29" t="inlineStr">
        <is>
          <t>3</t>
        </is>
      </c>
    </row>
    <row r="229" ht="24" customHeight="1">
      <c r="A229" s="24" t="inlineStr">
        <is>
          <t>OpenDART_fnlttSinglAcntAll</t>
        </is>
      </c>
      <c r="B229" s="24" t="inlineStr">
        <is>
          <t>00591441</t>
        </is>
      </c>
      <c r="C229" s="24" t="inlineStr">
        <is>
          <t>어보브반도체</t>
        </is>
      </c>
      <c r="D229" s="24" t="inlineStr">
        <is>
          <t>abov</t>
        </is>
      </c>
      <c r="E229" s="24" t="inlineStr">
        <is>
          <t>102120</t>
        </is>
      </c>
      <c r="F229" s="24" t="inlineStr">
        <is>
          <t>2022</t>
        </is>
      </c>
      <c r="G229" s="24" t="inlineStr">
        <is>
          <t>CFS</t>
        </is>
      </c>
      <c r="H229" s="24" t="inlineStr">
        <is>
          <t>CF</t>
        </is>
      </c>
      <c r="I229" s="24" t="inlineStr">
        <is>
          <t>현금흐름표</t>
        </is>
      </c>
      <c r="J229" s="24" t="inlineStr">
        <is>
          <t>ifrs-full_InterestReceivedClassifiedAsOperatingActivities</t>
        </is>
      </c>
      <c r="K229" s="24" t="inlineStr">
        <is>
          <t>이자수취(영업)</t>
        </is>
      </c>
      <c r="L229" s="24" t="inlineStr">
        <is>
          <t>-</t>
        </is>
      </c>
      <c r="M229" s="24" t="inlineStr">
        <is>
          <t>제 17 기</t>
        </is>
      </c>
      <c r="N229" s="24" t="inlineStr">
        <is>
          <t>418815421.0</t>
        </is>
      </c>
      <c r="O229" s="24" t="inlineStr">
        <is>
          <t>627676490.0</t>
        </is>
      </c>
      <c r="P229" s="24" t="inlineStr">
        <is>
          <t>KRW</t>
        </is>
      </c>
      <c r="Q229" s="24" t="inlineStr">
        <is>
          <t>4</t>
        </is>
      </c>
    </row>
    <row r="230" ht="24" customHeight="1">
      <c r="A230" s="29" t="inlineStr">
        <is>
          <t>OpenDART_fnlttSinglAcntAll</t>
        </is>
      </c>
      <c r="B230" s="29" t="inlineStr">
        <is>
          <t>00591441</t>
        </is>
      </c>
      <c r="C230" s="29" t="inlineStr">
        <is>
          <t>어보브반도체</t>
        </is>
      </c>
      <c r="D230" s="29" t="inlineStr">
        <is>
          <t>abov</t>
        </is>
      </c>
      <c r="E230" s="29" t="inlineStr">
        <is>
          <t>102120</t>
        </is>
      </c>
      <c r="F230" s="29" t="inlineStr">
        <is>
          <t>2022</t>
        </is>
      </c>
      <c r="G230" s="29" t="inlineStr">
        <is>
          <t>CFS</t>
        </is>
      </c>
      <c r="H230" s="29" t="inlineStr">
        <is>
          <t>CF</t>
        </is>
      </c>
      <c r="I230" s="29" t="inlineStr">
        <is>
          <t>현금흐름표</t>
        </is>
      </c>
      <c r="J230" s="29" t="inlineStr">
        <is>
          <t>ifrs-full_InterestPaidClassifiedAsOperatingActivities</t>
        </is>
      </c>
      <c r="K230" s="29" t="inlineStr">
        <is>
          <t>이자지급(영업)</t>
        </is>
      </c>
      <c r="L230" s="29" t="inlineStr">
        <is>
          <t>-</t>
        </is>
      </c>
      <c r="M230" s="29" t="inlineStr">
        <is>
          <t>제 17 기</t>
        </is>
      </c>
      <c r="N230" s="29" t="inlineStr">
        <is>
          <t>1017569394.0</t>
        </is>
      </c>
      <c r="O230" s="29" t="inlineStr">
        <is>
          <t>143758461.0</t>
        </is>
      </c>
      <c r="P230" s="29" t="inlineStr">
        <is>
          <t>KRW</t>
        </is>
      </c>
      <c r="Q230" s="29" t="inlineStr">
        <is>
          <t>5</t>
        </is>
      </c>
    </row>
    <row r="231" ht="24" customHeight="1">
      <c r="A231" s="24" t="inlineStr">
        <is>
          <t>OpenDART_fnlttSinglAcntAll</t>
        </is>
      </c>
      <c r="B231" s="24" t="inlineStr">
        <is>
          <t>00591441</t>
        </is>
      </c>
      <c r="C231" s="24" t="inlineStr">
        <is>
          <t>어보브반도체</t>
        </is>
      </c>
      <c r="D231" s="24" t="inlineStr">
        <is>
          <t>abov</t>
        </is>
      </c>
      <c r="E231" s="24" t="inlineStr">
        <is>
          <t>102120</t>
        </is>
      </c>
      <c r="F231" s="24" t="inlineStr">
        <is>
          <t>2022</t>
        </is>
      </c>
      <c r="G231" s="24" t="inlineStr">
        <is>
          <t>CFS</t>
        </is>
      </c>
      <c r="H231" s="24" t="inlineStr">
        <is>
          <t>CF</t>
        </is>
      </c>
      <c r="I231" s="24" t="inlineStr">
        <is>
          <t>현금흐름표</t>
        </is>
      </c>
      <c r="J231" s="24" t="inlineStr">
        <is>
          <t>ifrs-full_IncomeTaxesPaidRefundClassifiedAsOperatingActivities</t>
        </is>
      </c>
      <c r="K231" s="24" t="inlineStr">
        <is>
          <t>법인세납부(환급)</t>
        </is>
      </c>
      <c r="L231" s="24" t="inlineStr">
        <is>
          <t>-</t>
        </is>
      </c>
      <c r="M231" s="24" t="inlineStr">
        <is>
          <t>제 17 기</t>
        </is>
      </c>
      <c r="N231" s="24" t="inlineStr">
        <is>
          <t>2726202858.0</t>
        </is>
      </c>
      <c r="O231" s="24" t="inlineStr">
        <is>
          <t>2036884876.0</t>
        </is>
      </c>
      <c r="P231" s="24" t="inlineStr">
        <is>
          <t>KRW</t>
        </is>
      </c>
      <c r="Q231" s="24" t="inlineStr">
        <is>
          <t>6</t>
        </is>
      </c>
    </row>
    <row r="232" ht="24" customHeight="1">
      <c r="A232" s="29" t="inlineStr">
        <is>
          <t>OpenDART_fnlttSinglAcntAll</t>
        </is>
      </c>
      <c r="B232" s="29" t="inlineStr">
        <is>
          <t>00591441</t>
        </is>
      </c>
      <c r="C232" s="29" t="inlineStr">
        <is>
          <t>어보브반도체</t>
        </is>
      </c>
      <c r="D232" s="29" t="inlineStr">
        <is>
          <t>abov</t>
        </is>
      </c>
      <c r="E232" s="29" t="inlineStr">
        <is>
          <t>102120</t>
        </is>
      </c>
      <c r="F232" s="29" t="inlineStr">
        <is>
          <t>2022</t>
        </is>
      </c>
      <c r="G232" s="29" t="inlineStr">
        <is>
          <t>CFS</t>
        </is>
      </c>
      <c r="H232" s="29" t="inlineStr">
        <is>
          <t>CF</t>
        </is>
      </c>
      <c r="I232" s="29" t="inlineStr">
        <is>
          <t>현금흐름표</t>
        </is>
      </c>
      <c r="J232" s="29" t="inlineStr">
        <is>
          <t>ifrs-full_CashFlowsFromUsedInInvestingActivities</t>
        </is>
      </c>
      <c r="K232" s="29" t="inlineStr">
        <is>
          <t>투자활동현금흐름</t>
        </is>
      </c>
      <c r="L232" s="29" t="inlineStr">
        <is>
          <t>-</t>
        </is>
      </c>
      <c r="M232" s="29" t="inlineStr">
        <is>
          <t>제 17 기</t>
        </is>
      </c>
      <c r="N232" s="29" t="inlineStr">
        <is>
          <t>-17185886351.0</t>
        </is>
      </c>
      <c r="O232" s="29" t="inlineStr">
        <is>
          <t>-8195574438.0</t>
        </is>
      </c>
      <c r="P232" s="29" t="inlineStr">
        <is>
          <t>KRW</t>
        </is>
      </c>
      <c r="Q232" s="29" t="inlineStr">
        <is>
          <t>7</t>
        </is>
      </c>
    </row>
    <row r="233" ht="24" customHeight="1">
      <c r="A233" s="24" t="inlineStr">
        <is>
          <t>OpenDART_fnlttSinglAcntAll</t>
        </is>
      </c>
      <c r="B233" s="24" t="inlineStr">
        <is>
          <t>00591441</t>
        </is>
      </c>
      <c r="C233" s="24" t="inlineStr">
        <is>
          <t>어보브반도체</t>
        </is>
      </c>
      <c r="D233" s="24" t="inlineStr">
        <is>
          <t>abov</t>
        </is>
      </c>
      <c r="E233" s="24" t="inlineStr">
        <is>
          <t>102120</t>
        </is>
      </c>
      <c r="F233" s="24" t="inlineStr">
        <is>
          <t>2022</t>
        </is>
      </c>
      <c r="G233" s="24" t="inlineStr">
        <is>
          <t>CFS</t>
        </is>
      </c>
      <c r="H233" s="24" t="inlineStr">
        <is>
          <t>CF</t>
        </is>
      </c>
      <c r="I233" s="24" t="inlineStr">
        <is>
          <t>현금흐름표</t>
        </is>
      </c>
      <c r="J233" s="24" t="inlineStr">
        <is>
          <t>dart_ProceedsFromSalesOfFinancialInstruments</t>
        </is>
      </c>
      <c r="K233" s="24" t="inlineStr">
        <is>
          <t>장단기금융상품의 처분</t>
        </is>
      </c>
      <c r="L233" s="24" t="inlineStr">
        <is>
          <t>-</t>
        </is>
      </c>
      <c r="M233" s="24" t="inlineStr">
        <is>
          <t>제 17 기</t>
        </is>
      </c>
      <c r="N233" s="24" t="inlineStr">
        <is>
          <t>10975051506.0</t>
        </is>
      </c>
      <c r="O233" s="24" t="inlineStr">
        <is>
          <t>38670000000.0</t>
        </is>
      </c>
      <c r="P233" s="24" t="inlineStr">
        <is>
          <t>KRW</t>
        </is>
      </c>
      <c r="Q233" s="24" t="inlineStr">
        <is>
          <t>8</t>
        </is>
      </c>
    </row>
    <row r="234" ht="24" customHeight="1">
      <c r="A234" s="29" t="inlineStr">
        <is>
          <t>OpenDART_fnlttSinglAcntAll</t>
        </is>
      </c>
      <c r="B234" s="29" t="inlineStr">
        <is>
          <t>00591441</t>
        </is>
      </c>
      <c r="C234" s="29" t="inlineStr">
        <is>
          <t>어보브반도체</t>
        </is>
      </c>
      <c r="D234" s="29" t="inlineStr">
        <is>
          <t>abov</t>
        </is>
      </c>
      <c r="E234" s="29" t="inlineStr">
        <is>
          <t>102120</t>
        </is>
      </c>
      <c r="F234" s="29" t="inlineStr">
        <is>
          <t>2022</t>
        </is>
      </c>
      <c r="G234" s="29" t="inlineStr">
        <is>
          <t>CFS</t>
        </is>
      </c>
      <c r="H234" s="29" t="inlineStr">
        <is>
          <t>CF</t>
        </is>
      </c>
      <c r="I234" s="29" t="inlineStr">
        <is>
          <t>현금흐름표</t>
        </is>
      </c>
      <c r="J234" s="29" t="inlineStr">
        <is>
          <t>dart_PurchaseOfFinancialInstruments</t>
        </is>
      </c>
      <c r="K234" s="29" t="inlineStr">
        <is>
          <t>장단기금융상품의 취득</t>
        </is>
      </c>
      <c r="L234" s="29" t="inlineStr">
        <is>
          <t>-</t>
        </is>
      </c>
      <c r="M234" s="29" t="inlineStr">
        <is>
          <t>제 17 기</t>
        </is>
      </c>
      <c r="N234" s="29" t="inlineStr">
        <is>
          <t>9000000000.0</t>
        </is>
      </c>
      <c r="O234" s="29" t="inlineStr">
        <is>
          <t>10910000000.0</t>
        </is>
      </c>
      <c r="P234" s="29" t="inlineStr">
        <is>
          <t>KRW</t>
        </is>
      </c>
      <c r="Q234" s="29" t="inlineStr">
        <is>
          <t>9</t>
        </is>
      </c>
    </row>
    <row r="235" ht="24" customHeight="1">
      <c r="A235" s="24" t="inlineStr">
        <is>
          <t>OpenDART_fnlttSinglAcntAll</t>
        </is>
      </c>
      <c r="B235" s="24" t="inlineStr">
        <is>
          <t>00591441</t>
        </is>
      </c>
      <c r="C235" s="24" t="inlineStr">
        <is>
          <t>어보브반도체</t>
        </is>
      </c>
      <c r="D235" s="24" t="inlineStr">
        <is>
          <t>abov</t>
        </is>
      </c>
      <c r="E235" s="24" t="inlineStr">
        <is>
          <t>102120</t>
        </is>
      </c>
      <c r="F235" s="24" t="inlineStr">
        <is>
          <t>2022</t>
        </is>
      </c>
      <c r="G235" s="24" t="inlineStr">
        <is>
          <t>CFS</t>
        </is>
      </c>
      <c r="H235" s="24" t="inlineStr">
        <is>
          <t>CF</t>
        </is>
      </c>
      <c r="I235" s="24" t="inlineStr">
        <is>
          <t>현금흐름표</t>
        </is>
      </c>
      <c r="J235" s="24" t="inlineStr">
        <is>
          <t>-표준계정코드 미사용-</t>
        </is>
      </c>
      <c r="K235" s="24" t="inlineStr">
        <is>
          <t>외화정기예금의 취득</t>
        </is>
      </c>
      <c r="L235" s="24" t="inlineStr">
        <is>
          <t>-</t>
        </is>
      </c>
      <c r="M235" s="24" t="inlineStr">
        <is>
          <t>제 17 기</t>
        </is>
      </c>
      <c r="N235" s="24" t="inlineStr">
        <is>
          <t>0.0</t>
        </is>
      </c>
      <c r="O235" s="24" t="inlineStr">
        <is>
          <t>0.0</t>
        </is>
      </c>
      <c r="P235" s="24" t="inlineStr">
        <is>
          <t>KRW</t>
        </is>
      </c>
      <c r="Q235" s="24" t="inlineStr">
        <is>
          <t>10</t>
        </is>
      </c>
    </row>
    <row r="236" ht="24" customHeight="1">
      <c r="A236" s="29" t="inlineStr">
        <is>
          <t>OpenDART_fnlttSinglAcntAll</t>
        </is>
      </c>
      <c r="B236" s="29" t="inlineStr">
        <is>
          <t>00591441</t>
        </is>
      </c>
      <c r="C236" s="29" t="inlineStr">
        <is>
          <t>어보브반도체</t>
        </is>
      </c>
      <c r="D236" s="29" t="inlineStr">
        <is>
          <t>abov</t>
        </is>
      </c>
      <c r="E236" s="29" t="inlineStr">
        <is>
          <t>102120</t>
        </is>
      </c>
      <c r="F236" s="29" t="inlineStr">
        <is>
          <t>2022</t>
        </is>
      </c>
      <c r="G236" s="29" t="inlineStr">
        <is>
          <t>CFS</t>
        </is>
      </c>
      <c r="H236" s="29" t="inlineStr">
        <is>
          <t>CF</t>
        </is>
      </c>
      <c r="I236" s="29" t="inlineStr">
        <is>
          <t>현금흐름표</t>
        </is>
      </c>
      <c r="J236" s="29" t="inlineStr">
        <is>
          <t>-표준계정코드 미사용-</t>
        </is>
      </c>
      <c r="K236" s="29" t="inlineStr">
        <is>
          <t>당기손익공정가치측정금융자산 취득</t>
        </is>
      </c>
      <c r="L236" s="29" t="inlineStr">
        <is>
          <t>-</t>
        </is>
      </c>
      <c r="M236" s="29" t="inlineStr">
        <is>
          <t>제 17 기</t>
        </is>
      </c>
      <c r="N236" s="29" t="inlineStr">
        <is>
          <t>0.0</t>
        </is>
      </c>
      <c r="O236" s="29" t="inlineStr">
        <is>
          <t>49489349977.0</t>
        </is>
      </c>
      <c r="P236" s="29" t="inlineStr">
        <is>
          <t>KRW</t>
        </is>
      </c>
      <c r="Q236" s="29" t="inlineStr">
        <is>
          <t>11</t>
        </is>
      </c>
    </row>
    <row r="237" ht="24" customHeight="1">
      <c r="A237" s="24" t="inlineStr">
        <is>
          <t>OpenDART_fnlttSinglAcntAll</t>
        </is>
      </c>
      <c r="B237" s="24" t="inlineStr">
        <is>
          <t>00591441</t>
        </is>
      </c>
      <c r="C237" s="24" t="inlineStr">
        <is>
          <t>어보브반도체</t>
        </is>
      </c>
      <c r="D237" s="24" t="inlineStr">
        <is>
          <t>abov</t>
        </is>
      </c>
      <c r="E237" s="24" t="inlineStr">
        <is>
          <t>102120</t>
        </is>
      </c>
      <c r="F237" s="24" t="inlineStr">
        <is>
          <t>2022</t>
        </is>
      </c>
      <c r="G237" s="24" t="inlineStr">
        <is>
          <t>CFS</t>
        </is>
      </c>
      <c r="H237" s="24" t="inlineStr">
        <is>
          <t>CF</t>
        </is>
      </c>
      <c r="I237" s="24" t="inlineStr">
        <is>
          <t>현금흐름표</t>
        </is>
      </c>
      <c r="J237" s="24" t="inlineStr">
        <is>
          <t>-표준계정코드 미사용-</t>
        </is>
      </c>
      <c r="K237" s="24" t="inlineStr">
        <is>
          <t>당기손익공정가치측정금융자산 처분</t>
        </is>
      </c>
      <c r="L237" s="24" t="inlineStr">
        <is>
          <t>-</t>
        </is>
      </c>
      <c r="M237" s="24" t="inlineStr">
        <is>
          <t>제 17 기</t>
        </is>
      </c>
      <c r="N237" s="24" t="inlineStr">
        <is>
          <t>4474130239.0</t>
        </is>
      </c>
      <c r="O237" s="24" t="inlineStr">
        <is>
          <t>61847118273.0</t>
        </is>
      </c>
      <c r="P237" s="24" t="inlineStr">
        <is>
          <t>KRW</t>
        </is>
      </c>
      <c r="Q237" s="24" t="inlineStr">
        <is>
          <t>12</t>
        </is>
      </c>
    </row>
    <row r="238" ht="24" customHeight="1">
      <c r="A238" s="29" t="inlineStr">
        <is>
          <t>OpenDART_fnlttSinglAcntAll</t>
        </is>
      </c>
      <c r="B238" s="29" t="inlineStr">
        <is>
          <t>00591441</t>
        </is>
      </c>
      <c r="C238" s="29" t="inlineStr">
        <is>
          <t>어보브반도체</t>
        </is>
      </c>
      <c r="D238" s="29" t="inlineStr">
        <is>
          <t>abov</t>
        </is>
      </c>
      <c r="E238" s="29" t="inlineStr">
        <is>
          <t>102120</t>
        </is>
      </c>
      <c r="F238" s="29" t="inlineStr">
        <is>
          <t>2022</t>
        </is>
      </c>
      <c r="G238" s="29" t="inlineStr">
        <is>
          <t>CFS</t>
        </is>
      </c>
      <c r="H238" s="29" t="inlineStr">
        <is>
          <t>CF</t>
        </is>
      </c>
      <c r="I238" s="29" t="inlineStr">
        <is>
          <t>현금흐름표</t>
        </is>
      </c>
      <c r="J238" s="29" t="inlineStr">
        <is>
          <t>dart_DecreaseInGuaranteeDeposits</t>
        </is>
      </c>
      <c r="K238" s="29" t="inlineStr">
        <is>
          <t>보증금의 감소</t>
        </is>
      </c>
      <c r="L238" s="29" t="inlineStr">
        <is>
          <t>-</t>
        </is>
      </c>
      <c r="M238" s="29" t="inlineStr">
        <is>
          <t>제 17 기</t>
        </is>
      </c>
      <c r="N238" s="29" t="inlineStr">
        <is>
          <t>459915165.0</t>
        </is>
      </c>
      <c r="O238" s="29" t="inlineStr">
        <is>
          <t>40000000.0</t>
        </is>
      </c>
      <c r="P238" s="29" t="inlineStr">
        <is>
          <t>KRW</t>
        </is>
      </c>
      <c r="Q238" s="29" t="inlineStr">
        <is>
          <t>13</t>
        </is>
      </c>
    </row>
    <row r="239" ht="24" customHeight="1">
      <c r="A239" s="24" t="inlineStr">
        <is>
          <t>OpenDART_fnlttSinglAcntAll</t>
        </is>
      </c>
      <c r="B239" s="24" t="inlineStr">
        <is>
          <t>00591441</t>
        </is>
      </c>
      <c r="C239" s="24" t="inlineStr">
        <is>
          <t>어보브반도체</t>
        </is>
      </c>
      <c r="D239" s="24" t="inlineStr">
        <is>
          <t>abov</t>
        </is>
      </c>
      <c r="E239" s="24" t="inlineStr">
        <is>
          <t>102120</t>
        </is>
      </c>
      <c r="F239" s="24" t="inlineStr">
        <is>
          <t>2022</t>
        </is>
      </c>
      <c r="G239" s="24" t="inlineStr">
        <is>
          <t>CFS</t>
        </is>
      </c>
      <c r="H239" s="24" t="inlineStr">
        <is>
          <t>CF</t>
        </is>
      </c>
      <c r="I239" s="24" t="inlineStr">
        <is>
          <t>현금흐름표</t>
        </is>
      </c>
      <c r="J239" s="24" t="inlineStr">
        <is>
          <t>dart_IncreaseInGuaranteeDeposits</t>
        </is>
      </c>
      <c r="K239" s="24" t="inlineStr">
        <is>
          <t>보증금의 증가</t>
        </is>
      </c>
      <c r="L239" s="24" t="inlineStr">
        <is>
          <t>-</t>
        </is>
      </c>
      <c r="M239" s="24" t="inlineStr">
        <is>
          <t>제 17 기</t>
        </is>
      </c>
      <c r="N239" s="24" t="inlineStr">
        <is>
          <t>1767181777.0</t>
        </is>
      </c>
      <c r="O239" s="24" t="inlineStr">
        <is>
          <t>1344509554.0</t>
        </is>
      </c>
      <c r="P239" s="24" t="inlineStr">
        <is>
          <t>KRW</t>
        </is>
      </c>
      <c r="Q239" s="24" t="inlineStr">
        <is>
          <t>14</t>
        </is>
      </c>
    </row>
    <row r="240" ht="24" customHeight="1">
      <c r="A240" s="29" t="inlineStr">
        <is>
          <t>OpenDART_fnlttSinglAcntAll</t>
        </is>
      </c>
      <c r="B240" s="29" t="inlineStr">
        <is>
          <t>00591441</t>
        </is>
      </c>
      <c r="C240" s="29" t="inlineStr">
        <is>
          <t>어보브반도체</t>
        </is>
      </c>
      <c r="D240" s="29" t="inlineStr">
        <is>
          <t>abov</t>
        </is>
      </c>
      <c r="E240" s="29" t="inlineStr">
        <is>
          <t>102120</t>
        </is>
      </c>
      <c r="F240" s="29" t="inlineStr">
        <is>
          <t>2022</t>
        </is>
      </c>
      <c r="G240" s="29" t="inlineStr">
        <is>
          <t>CFS</t>
        </is>
      </c>
      <c r="H240" s="29" t="inlineStr">
        <is>
          <t>CF</t>
        </is>
      </c>
      <c r="I240" s="29" t="inlineStr">
        <is>
          <t>현금흐름표</t>
        </is>
      </c>
      <c r="J240" s="29" t="inlineStr">
        <is>
          <t>ifrs-full_PurchaseOfPropertyPlantAndEquipmentClassifiedAsInvestingActivities</t>
        </is>
      </c>
      <c r="K240" s="29" t="inlineStr">
        <is>
          <t>유형자산의 취득</t>
        </is>
      </c>
      <c r="L240" s="29" t="inlineStr">
        <is>
          <t>-</t>
        </is>
      </c>
      <c r="M240" s="29" t="inlineStr">
        <is>
          <t>제 17 기</t>
        </is>
      </c>
      <c r="N240" s="29" t="inlineStr">
        <is>
          <t>22224198338.0</t>
        </is>
      </c>
      <c r="O240" s="29" t="inlineStr">
        <is>
          <t>285249680.0</t>
        </is>
      </c>
      <c r="P240" s="29" t="inlineStr">
        <is>
          <t>KRW</t>
        </is>
      </c>
      <c r="Q240" s="29" t="inlineStr">
        <is>
          <t>15</t>
        </is>
      </c>
    </row>
    <row r="241" ht="24" customHeight="1">
      <c r="A241" s="24" t="inlineStr">
        <is>
          <t>OpenDART_fnlttSinglAcntAll</t>
        </is>
      </c>
      <c r="B241" s="24" t="inlineStr">
        <is>
          <t>00591441</t>
        </is>
      </c>
      <c r="C241" s="24" t="inlineStr">
        <is>
          <t>어보브반도체</t>
        </is>
      </c>
      <c r="D241" s="24" t="inlineStr">
        <is>
          <t>abov</t>
        </is>
      </c>
      <c r="E241" s="24" t="inlineStr">
        <is>
          <t>102120</t>
        </is>
      </c>
      <c r="F241" s="24" t="inlineStr">
        <is>
          <t>2022</t>
        </is>
      </c>
      <c r="G241" s="24" t="inlineStr">
        <is>
          <t>CFS</t>
        </is>
      </c>
      <c r="H241" s="24" t="inlineStr">
        <is>
          <t>CF</t>
        </is>
      </c>
      <c r="I241" s="24" t="inlineStr">
        <is>
          <t>현금흐름표</t>
        </is>
      </c>
      <c r="J241" s="24" t="inlineStr">
        <is>
          <t>ifrs-full_ProceedsFromSalesOfPropertyPlantAndEquipmentClassifiedAsInvestingActivities</t>
        </is>
      </c>
      <c r="K241" s="24" t="inlineStr">
        <is>
          <t>유형자산의 처분</t>
        </is>
      </c>
      <c r="L241" s="24" t="inlineStr">
        <is>
          <t>-</t>
        </is>
      </c>
      <c r="M241" s="24" t="inlineStr">
        <is>
          <t>제 17 기</t>
        </is>
      </c>
      <c r="N241" s="24" t="inlineStr">
        <is>
          <t>179181816.0</t>
        </is>
      </c>
      <c r="O241" s="24" t="inlineStr">
        <is>
          <t>0.0</t>
        </is>
      </c>
      <c r="P241" s="24" t="inlineStr">
        <is>
          <t>KRW</t>
        </is>
      </c>
      <c r="Q241" s="24" t="inlineStr">
        <is>
          <t>16</t>
        </is>
      </c>
    </row>
    <row r="242" ht="24" customHeight="1">
      <c r="A242" s="29" t="inlineStr">
        <is>
          <t>OpenDART_fnlttSinglAcntAll</t>
        </is>
      </c>
      <c r="B242" s="29" t="inlineStr">
        <is>
          <t>00591441</t>
        </is>
      </c>
      <c r="C242" s="29" t="inlineStr">
        <is>
          <t>어보브반도체</t>
        </is>
      </c>
      <c r="D242" s="29" t="inlineStr">
        <is>
          <t>abov</t>
        </is>
      </c>
      <c r="E242" s="29" t="inlineStr">
        <is>
          <t>102120</t>
        </is>
      </c>
      <c r="F242" s="29" t="inlineStr">
        <is>
          <t>2022</t>
        </is>
      </c>
      <c r="G242" s="29" t="inlineStr">
        <is>
          <t>CFS</t>
        </is>
      </c>
      <c r="H242" s="29" t="inlineStr">
        <is>
          <t>CF</t>
        </is>
      </c>
      <c r="I242" s="29" t="inlineStr">
        <is>
          <t>현금흐름표</t>
        </is>
      </c>
      <c r="J242" s="29" t="inlineStr">
        <is>
          <t>ifrs-full_PurchaseOfIntangibleAssetsClassifiedAsInvestingActivities</t>
        </is>
      </c>
      <c r="K242" s="29" t="inlineStr">
        <is>
          <t>무형자산의 취득</t>
        </is>
      </c>
      <c r="L242" s="29" t="inlineStr">
        <is>
          <t>-</t>
        </is>
      </c>
      <c r="M242" s="29" t="inlineStr">
        <is>
          <t>제 17 기</t>
        </is>
      </c>
      <c r="N242" s="29" t="inlineStr">
        <is>
          <t>3989813094.0</t>
        </is>
      </c>
      <c r="O242" s="29" t="inlineStr">
        <is>
          <t>4304063427.0</t>
        </is>
      </c>
      <c r="P242" s="29" t="inlineStr">
        <is>
          <t>KRW</t>
        </is>
      </c>
      <c r="Q242" s="29" t="inlineStr">
        <is>
          <t>17</t>
        </is>
      </c>
    </row>
    <row r="243" ht="24" customHeight="1">
      <c r="A243" s="24" t="inlineStr">
        <is>
          <t>OpenDART_fnlttSinglAcntAll</t>
        </is>
      </c>
      <c r="B243" s="24" t="inlineStr">
        <is>
          <t>00591441</t>
        </is>
      </c>
      <c r="C243" s="24" t="inlineStr">
        <is>
          <t>어보브반도체</t>
        </is>
      </c>
      <c r="D243" s="24" t="inlineStr">
        <is>
          <t>abov</t>
        </is>
      </c>
      <c r="E243" s="24" t="inlineStr">
        <is>
          <t>102120</t>
        </is>
      </c>
      <c r="F243" s="24" t="inlineStr">
        <is>
          <t>2022</t>
        </is>
      </c>
      <c r="G243" s="24" t="inlineStr">
        <is>
          <t>CFS</t>
        </is>
      </c>
      <c r="H243" s="24" t="inlineStr">
        <is>
          <t>CF</t>
        </is>
      </c>
      <c r="I243" s="24" t="inlineStr">
        <is>
          <t>현금흐름표</t>
        </is>
      </c>
      <c r="J243" s="24" t="inlineStr">
        <is>
          <t>ifrs-full_ProceedsFromSalesOfIntangibleAssetsClassifiedAsInvestingActivities</t>
        </is>
      </c>
      <c r="K243" s="24" t="inlineStr">
        <is>
          <t>무형자산의 처분</t>
        </is>
      </c>
      <c r="L243" s="24" t="inlineStr">
        <is>
          <t>-</t>
        </is>
      </c>
      <c r="M243" s="24" t="inlineStr">
        <is>
          <t>제 17 기</t>
        </is>
      </c>
      <c r="N243" s="24" t="inlineStr">
        <is>
          <t>0.0</t>
        </is>
      </c>
      <c r="O243" s="24" t="inlineStr">
        <is>
          <t>0.0</t>
        </is>
      </c>
      <c r="P243" s="24" t="inlineStr">
        <is>
          <t>KRW</t>
        </is>
      </c>
      <c r="Q243" s="24" t="inlineStr">
        <is>
          <t>18</t>
        </is>
      </c>
    </row>
    <row r="244" ht="24" customHeight="1">
      <c r="A244" s="29" t="inlineStr">
        <is>
          <t>OpenDART_fnlttSinglAcntAll</t>
        </is>
      </c>
      <c r="B244" s="29" t="inlineStr">
        <is>
          <t>00591441</t>
        </is>
      </c>
      <c r="C244" s="29" t="inlineStr">
        <is>
          <t>어보브반도체</t>
        </is>
      </c>
      <c r="D244" s="29" t="inlineStr">
        <is>
          <t>abov</t>
        </is>
      </c>
      <c r="E244" s="29" t="inlineStr">
        <is>
          <t>102120</t>
        </is>
      </c>
      <c r="F244" s="29" t="inlineStr">
        <is>
          <t>2022</t>
        </is>
      </c>
      <c r="G244" s="29" t="inlineStr">
        <is>
          <t>CFS</t>
        </is>
      </c>
      <c r="H244" s="29" t="inlineStr">
        <is>
          <t>CF</t>
        </is>
      </c>
      <c r="I244" s="29" t="inlineStr">
        <is>
          <t>현금흐름표</t>
        </is>
      </c>
      <c r="J244" s="29" t="inlineStr">
        <is>
          <t>-표준계정코드 미사용-</t>
        </is>
      </c>
      <c r="K244" s="29" t="inlineStr">
        <is>
          <t>국고보조금의 취득</t>
        </is>
      </c>
      <c r="L244" s="29" t="inlineStr">
        <is>
          <t>-</t>
        </is>
      </c>
      <c r="M244" s="29" t="inlineStr">
        <is>
          <t>제 17 기</t>
        </is>
      </c>
      <c r="N244" s="29" t="inlineStr">
        <is>
          <t>72012942.0</t>
        </is>
      </c>
      <c r="O244" s="29" t="inlineStr">
        <is>
          <t>0.0</t>
        </is>
      </c>
      <c r="P244" s="29" t="inlineStr">
        <is>
          <t>KRW</t>
        </is>
      </c>
      <c r="Q244" s="29" t="inlineStr">
        <is>
          <t>19</t>
        </is>
      </c>
    </row>
    <row r="245" ht="24" customHeight="1">
      <c r="A245" s="24" t="inlineStr">
        <is>
          <t>OpenDART_fnlttSinglAcntAll</t>
        </is>
      </c>
      <c r="B245" s="24" t="inlineStr">
        <is>
          <t>00591441</t>
        </is>
      </c>
      <c r="C245" s="24" t="inlineStr">
        <is>
          <t>어보브반도체</t>
        </is>
      </c>
      <c r="D245" s="24" t="inlineStr">
        <is>
          <t>abov</t>
        </is>
      </c>
      <c r="E245" s="24" t="inlineStr">
        <is>
          <t>102120</t>
        </is>
      </c>
      <c r="F245" s="24" t="inlineStr">
        <is>
          <t>2022</t>
        </is>
      </c>
      <c r="G245" s="24" t="inlineStr">
        <is>
          <t>CFS</t>
        </is>
      </c>
      <c r="H245" s="24" t="inlineStr">
        <is>
          <t>CF</t>
        </is>
      </c>
      <c r="I245" s="24" t="inlineStr">
        <is>
          <t>현금흐름표</t>
        </is>
      </c>
      <c r="J245" s="24" t="inlineStr">
        <is>
          <t>dart_RepaymentOfGovernmentGrantsClassifiedAsInvestingActivities</t>
        </is>
      </c>
      <c r="K245" s="24" t="inlineStr">
        <is>
          <t>국고보조금의 감소</t>
        </is>
      </c>
      <c r="L245" s="24" t="inlineStr">
        <is>
          <t>-</t>
        </is>
      </c>
      <c r="M245" s="24" t="inlineStr">
        <is>
          <t>제 17 기</t>
        </is>
      </c>
      <c r="N245" s="24" t="inlineStr">
        <is>
          <t>18324376.0</t>
        </is>
      </c>
      <c r="O245" s="24" t="inlineStr">
        <is>
          <t>464643977.0</t>
        </is>
      </c>
      <c r="P245" s="24" t="inlineStr">
        <is>
          <t>KRW</t>
        </is>
      </c>
      <c r="Q245" s="24" t="inlineStr">
        <is>
          <t>20</t>
        </is>
      </c>
    </row>
    <row r="246" ht="24" customHeight="1">
      <c r="A246" s="29" t="inlineStr">
        <is>
          <t>OpenDART_fnlttSinglAcntAll</t>
        </is>
      </c>
      <c r="B246" s="29" t="inlineStr">
        <is>
          <t>00591441</t>
        </is>
      </c>
      <c r="C246" s="29" t="inlineStr">
        <is>
          <t>어보브반도체</t>
        </is>
      </c>
      <c r="D246" s="29" t="inlineStr">
        <is>
          <t>abov</t>
        </is>
      </c>
      <c r="E246" s="29" t="inlineStr">
        <is>
          <t>102120</t>
        </is>
      </c>
      <c r="F246" s="29" t="inlineStr">
        <is>
          <t>2022</t>
        </is>
      </c>
      <c r="G246" s="29" t="inlineStr">
        <is>
          <t>CFS</t>
        </is>
      </c>
      <c r="H246" s="29" t="inlineStr">
        <is>
          <t>CF</t>
        </is>
      </c>
      <c r="I246" s="29" t="inlineStr">
        <is>
          <t>현금흐름표</t>
        </is>
      </c>
      <c r="J246" s="29" t="inlineStr">
        <is>
          <t>dart_DecreaseInLoans</t>
        </is>
      </c>
      <c r="K246" s="29" t="inlineStr">
        <is>
          <t>대여금의 감소</t>
        </is>
      </c>
      <c r="L246" s="29" t="inlineStr">
        <is>
          <t>-</t>
        </is>
      </c>
      <c r="M246" s="29" t="inlineStr">
        <is>
          <t>제 17 기</t>
        </is>
      </c>
      <c r="N246" s="29" t="inlineStr">
        <is>
          <t>75122002.0</t>
        </is>
      </c>
      <c r="O246" s="29" t="inlineStr">
        <is>
          <t>148333324.0</t>
        </is>
      </c>
      <c r="P246" s="29" t="inlineStr">
        <is>
          <t>KRW</t>
        </is>
      </c>
      <c r="Q246" s="29" t="inlineStr">
        <is>
          <t>21</t>
        </is>
      </c>
    </row>
    <row r="247" ht="24" customHeight="1">
      <c r="A247" s="24" t="inlineStr">
        <is>
          <t>OpenDART_fnlttSinglAcntAll</t>
        </is>
      </c>
      <c r="B247" s="24" t="inlineStr">
        <is>
          <t>00591441</t>
        </is>
      </c>
      <c r="C247" s="24" t="inlineStr">
        <is>
          <t>어보브반도체</t>
        </is>
      </c>
      <c r="D247" s="24" t="inlineStr">
        <is>
          <t>abov</t>
        </is>
      </c>
      <c r="E247" s="24" t="inlineStr">
        <is>
          <t>102120</t>
        </is>
      </c>
      <c r="F247" s="24" t="inlineStr">
        <is>
          <t>2022</t>
        </is>
      </c>
      <c r="G247" s="24" t="inlineStr">
        <is>
          <t>CFS</t>
        </is>
      </c>
      <c r="H247" s="24" t="inlineStr">
        <is>
          <t>CF</t>
        </is>
      </c>
      <c r="I247" s="24" t="inlineStr">
        <is>
          <t>현금흐름표</t>
        </is>
      </c>
      <c r="J247" s="24" t="inlineStr">
        <is>
          <t>dart_IncreaseInLoans</t>
        </is>
      </c>
      <c r="K247" s="24" t="inlineStr">
        <is>
          <t>대여금의 증가</t>
        </is>
      </c>
      <c r="L247" s="24" t="inlineStr">
        <is>
          <t>-</t>
        </is>
      </c>
      <c r="M247" s="24" t="inlineStr">
        <is>
          <t>제 17 기</t>
        </is>
      </c>
      <c r="N247" s="24" t="inlineStr">
        <is>
          <t>15000000.0</t>
        </is>
      </c>
      <c r="O247" s="24" t="inlineStr">
        <is>
          <t>110000000.0</t>
        </is>
      </c>
      <c r="P247" s="24" t="inlineStr">
        <is>
          <t>KRW</t>
        </is>
      </c>
      <c r="Q247" s="24" t="inlineStr">
        <is>
          <t>22</t>
        </is>
      </c>
    </row>
    <row r="248" ht="24" customHeight="1">
      <c r="A248" s="29" t="inlineStr">
        <is>
          <t>OpenDART_fnlttSinglAcntAll</t>
        </is>
      </c>
      <c r="B248" s="29" t="inlineStr">
        <is>
          <t>00591441</t>
        </is>
      </c>
      <c r="C248" s="29" t="inlineStr">
        <is>
          <t>어보브반도체</t>
        </is>
      </c>
      <c r="D248" s="29" t="inlineStr">
        <is>
          <t>abov</t>
        </is>
      </c>
      <c r="E248" s="29" t="inlineStr">
        <is>
          <t>102120</t>
        </is>
      </c>
      <c r="F248" s="29" t="inlineStr">
        <is>
          <t>2022</t>
        </is>
      </c>
      <c r="G248" s="29" t="inlineStr">
        <is>
          <t>CFS</t>
        </is>
      </c>
      <c r="H248" s="29" t="inlineStr">
        <is>
          <t>CF</t>
        </is>
      </c>
      <c r="I248" s="29" t="inlineStr">
        <is>
          <t>현금흐름표</t>
        </is>
      </c>
      <c r="J248" s="29" t="inlineStr">
        <is>
          <t>dart_PurchaseOfAvailableForSaleFinancialAssets</t>
        </is>
      </c>
      <c r="K248" s="29" t="inlineStr">
        <is>
          <t>기타포괄손익공정가치측정금융자산 취득</t>
        </is>
      </c>
      <c r="L248" s="29" t="inlineStr">
        <is>
          <t>-</t>
        </is>
      </c>
      <c r="M248" s="29" t="inlineStr">
        <is>
          <t>제 17 기</t>
        </is>
      </c>
      <c r="N248" s="29" t="inlineStr">
        <is>
          <t>0.0</t>
        </is>
      </c>
      <c r="O248" s="29" t="inlineStr">
        <is>
          <t>997200000.0</t>
        </is>
      </c>
      <c r="P248" s="29" t="inlineStr">
        <is>
          <t>KRW</t>
        </is>
      </c>
      <c r="Q248" s="29" t="inlineStr">
        <is>
          <t>23</t>
        </is>
      </c>
    </row>
    <row r="249" ht="24" customHeight="1">
      <c r="A249" s="24" t="inlineStr">
        <is>
          <t>OpenDART_fnlttSinglAcntAll</t>
        </is>
      </c>
      <c r="B249" s="24" t="inlineStr">
        <is>
          <t>00591441</t>
        </is>
      </c>
      <c r="C249" s="24" t="inlineStr">
        <is>
          <t>어보브반도체</t>
        </is>
      </c>
      <c r="D249" s="24" t="inlineStr">
        <is>
          <t>abov</t>
        </is>
      </c>
      <c r="E249" s="24" t="inlineStr">
        <is>
          <t>102120</t>
        </is>
      </c>
      <c r="F249" s="24" t="inlineStr">
        <is>
          <t>2022</t>
        </is>
      </c>
      <c r="G249" s="24" t="inlineStr">
        <is>
          <t>CFS</t>
        </is>
      </c>
      <c r="H249" s="24" t="inlineStr">
        <is>
          <t>CF</t>
        </is>
      </c>
      <c r="I249" s="24" t="inlineStr">
        <is>
          <t>현금흐름표</t>
        </is>
      </c>
      <c r="J249" s="24" t="inlineStr">
        <is>
          <t>-표준계정코드 미사용-</t>
        </is>
      </c>
      <c r="K249" s="24" t="inlineStr">
        <is>
          <t>관계기업에 대한 투자주식의 취득</t>
        </is>
      </c>
      <c r="L249" s="24" t="inlineStr">
        <is>
          <t>-</t>
        </is>
      </c>
      <c r="M249" s="24" t="inlineStr">
        <is>
          <t>제 17 기</t>
        </is>
      </c>
      <c r="N249" s="24" t="inlineStr">
        <is>
          <t>-891704915.0</t>
        </is>
      </c>
      <c r="O249" s="24" t="inlineStr">
        <is>
          <t>-41000009420.0</t>
        </is>
      </c>
      <c r="P249" s="24" t="inlineStr">
        <is>
          <t>KRW</t>
        </is>
      </c>
      <c r="Q249" s="24" t="inlineStr">
        <is>
          <t>24</t>
        </is>
      </c>
    </row>
    <row r="250" ht="24" customHeight="1">
      <c r="A250" s="29" t="inlineStr">
        <is>
          <t>OpenDART_fnlttSinglAcntAll</t>
        </is>
      </c>
      <c r="B250" s="29" t="inlineStr">
        <is>
          <t>00591441</t>
        </is>
      </c>
      <c r="C250" s="29" t="inlineStr">
        <is>
          <t>어보브반도체</t>
        </is>
      </c>
      <c r="D250" s="29" t="inlineStr">
        <is>
          <t>abov</t>
        </is>
      </c>
      <c r="E250" s="29" t="inlineStr">
        <is>
          <t>102120</t>
        </is>
      </c>
      <c r="F250" s="29" t="inlineStr">
        <is>
          <t>2022</t>
        </is>
      </c>
      <c r="G250" s="29" t="inlineStr">
        <is>
          <t>CFS</t>
        </is>
      </c>
      <c r="H250" s="29" t="inlineStr">
        <is>
          <t>CF</t>
        </is>
      </c>
      <c r="I250" s="29" t="inlineStr">
        <is>
          <t>현금흐름표</t>
        </is>
      </c>
      <c r="J250" s="29" t="inlineStr">
        <is>
          <t>dart_ProceedsFromSalesOfInvestmentsInAssociates</t>
        </is>
      </c>
      <c r="K250" s="29" t="inlineStr">
        <is>
          <t>관계기업에 대한 투자주식의 처분</t>
        </is>
      </c>
      <c r="L250" s="29" t="inlineStr">
        <is>
          <t>-</t>
        </is>
      </c>
      <c r="M250" s="29" t="inlineStr">
        <is>
          <t>제 17 기</t>
        </is>
      </c>
      <c r="N250" s="29" t="inlineStr">
        <is>
          <t>1200002210.0</t>
        </is>
      </c>
      <c r="O250" s="29" t="inlineStr">
        <is>
          <t>4000000.0</t>
        </is>
      </c>
      <c r="P250" s="29" t="inlineStr">
        <is>
          <t>KRW</t>
        </is>
      </c>
      <c r="Q250" s="29" t="inlineStr">
        <is>
          <t>25</t>
        </is>
      </c>
    </row>
    <row r="251" ht="24" customHeight="1">
      <c r="A251" s="24" t="inlineStr">
        <is>
          <t>OpenDART_fnlttSinglAcntAll</t>
        </is>
      </c>
      <c r="B251" s="24" t="inlineStr">
        <is>
          <t>00591441</t>
        </is>
      </c>
      <c r="C251" s="24" t="inlineStr">
        <is>
          <t>어보브반도체</t>
        </is>
      </c>
      <c r="D251" s="24" t="inlineStr">
        <is>
          <t>abov</t>
        </is>
      </c>
      <c r="E251" s="24" t="inlineStr">
        <is>
          <t>102120</t>
        </is>
      </c>
      <c r="F251" s="24" t="inlineStr">
        <is>
          <t>2022</t>
        </is>
      </c>
      <c r="G251" s="24" t="inlineStr">
        <is>
          <t>CFS</t>
        </is>
      </c>
      <c r="H251" s="24" t="inlineStr">
        <is>
          <t>CF</t>
        </is>
      </c>
      <c r="I251" s="24" t="inlineStr">
        <is>
          <t>현금흐름표</t>
        </is>
      </c>
      <c r="J251" s="24" t="inlineStr">
        <is>
          <t>-표준계정코드 미사용-</t>
        </is>
      </c>
      <c r="K251" s="24" t="inlineStr">
        <is>
          <t>사업결합으로 인한 순현금 유입액</t>
        </is>
      </c>
      <c r="L251" s="24" t="inlineStr">
        <is>
          <t>-</t>
        </is>
      </c>
      <c r="M251" s="24" t="inlineStr">
        <is>
          <t>제 17 기</t>
        </is>
      </c>
      <c r="N251" s="24" t="inlineStr">
        <is>
          <t>3284920269.0</t>
        </is>
      </c>
      <c r="O251" s="24" t="inlineStr">
        <is>
          <t>0.0</t>
        </is>
      </c>
      <c r="P251" s="24" t="inlineStr">
        <is>
          <t>KRW</t>
        </is>
      </c>
      <c r="Q251" s="24" t="inlineStr">
        <is>
          <t>26</t>
        </is>
      </c>
    </row>
    <row r="252" ht="24" customHeight="1">
      <c r="A252" s="29" t="inlineStr">
        <is>
          <t>OpenDART_fnlttSinglAcntAll</t>
        </is>
      </c>
      <c r="B252" s="29" t="inlineStr">
        <is>
          <t>00591441</t>
        </is>
      </c>
      <c r="C252" s="29" t="inlineStr">
        <is>
          <t>어보브반도체</t>
        </is>
      </c>
      <c r="D252" s="29" t="inlineStr">
        <is>
          <t>abov</t>
        </is>
      </c>
      <c r="E252" s="29" t="inlineStr">
        <is>
          <t>102120</t>
        </is>
      </c>
      <c r="F252" s="29" t="inlineStr">
        <is>
          <t>2022</t>
        </is>
      </c>
      <c r="G252" s="29" t="inlineStr">
        <is>
          <t>CFS</t>
        </is>
      </c>
      <c r="H252" s="29" t="inlineStr">
        <is>
          <t>CF</t>
        </is>
      </c>
      <c r="I252" s="29" t="inlineStr">
        <is>
          <t>현금흐름표</t>
        </is>
      </c>
      <c r="J252" s="29" t="inlineStr">
        <is>
          <t>ifrs-full_CashFlowsFromUsedInFinancingActivities</t>
        </is>
      </c>
      <c r="K252" s="29" t="inlineStr">
        <is>
          <t>재무활동현금흐름</t>
        </is>
      </c>
      <c r="L252" s="29" t="inlineStr">
        <is>
          <t>-</t>
        </is>
      </c>
      <c r="M252" s="29" t="inlineStr">
        <is>
          <t>제 17 기</t>
        </is>
      </c>
      <c r="N252" s="29" t="inlineStr">
        <is>
          <t>33013042987.0</t>
        </is>
      </c>
      <c r="O252" s="29" t="inlineStr">
        <is>
          <t>-25587127267.0</t>
        </is>
      </c>
      <c r="P252" s="29" t="inlineStr">
        <is>
          <t>KRW</t>
        </is>
      </c>
      <c r="Q252" s="29" t="inlineStr">
        <is>
          <t>27</t>
        </is>
      </c>
    </row>
    <row r="253" ht="24" customHeight="1">
      <c r="A253" s="24" t="inlineStr">
        <is>
          <t>OpenDART_fnlttSinglAcntAll</t>
        </is>
      </c>
      <c r="B253" s="24" t="inlineStr">
        <is>
          <t>00591441</t>
        </is>
      </c>
      <c r="C253" s="24" t="inlineStr">
        <is>
          <t>어보브반도체</t>
        </is>
      </c>
      <c r="D253" s="24" t="inlineStr">
        <is>
          <t>abov</t>
        </is>
      </c>
      <c r="E253" s="24" t="inlineStr">
        <is>
          <t>102120</t>
        </is>
      </c>
      <c r="F253" s="24" t="inlineStr">
        <is>
          <t>2022</t>
        </is>
      </c>
      <c r="G253" s="24" t="inlineStr">
        <is>
          <t>CFS</t>
        </is>
      </c>
      <c r="H253" s="24" t="inlineStr">
        <is>
          <t>CF</t>
        </is>
      </c>
      <c r="I253" s="24" t="inlineStr">
        <is>
          <t>현금흐름표</t>
        </is>
      </c>
      <c r="J253" s="24" t="inlineStr">
        <is>
          <t>-표준계정코드 미사용-</t>
        </is>
      </c>
      <c r="K253" s="24" t="inlineStr">
        <is>
          <t>단기차입금의 차입</t>
        </is>
      </c>
      <c r="L253" s="24" t="inlineStr">
        <is>
          <t>-</t>
        </is>
      </c>
      <c r="M253" s="24" t="inlineStr">
        <is>
          <t>제 17 기</t>
        </is>
      </c>
      <c r="N253" s="24" t="inlineStr">
        <is>
          <t>51707503003.0</t>
        </is>
      </c>
      <c r="O253" s="24" t="inlineStr">
        <is>
          <t>0.0</t>
        </is>
      </c>
      <c r="P253" s="24" t="inlineStr">
        <is>
          <t>KRW</t>
        </is>
      </c>
      <c r="Q253" s="24" t="inlineStr">
        <is>
          <t>28</t>
        </is>
      </c>
    </row>
    <row r="254" ht="24" customHeight="1">
      <c r="A254" s="29" t="inlineStr">
        <is>
          <t>OpenDART_fnlttSinglAcntAll</t>
        </is>
      </c>
      <c r="B254" s="29" t="inlineStr">
        <is>
          <t>00591441</t>
        </is>
      </c>
      <c r="C254" s="29" t="inlineStr">
        <is>
          <t>어보브반도체</t>
        </is>
      </c>
      <c r="D254" s="29" t="inlineStr">
        <is>
          <t>abov</t>
        </is>
      </c>
      <c r="E254" s="29" t="inlineStr">
        <is>
          <t>102120</t>
        </is>
      </c>
      <c r="F254" s="29" t="inlineStr">
        <is>
          <t>2022</t>
        </is>
      </c>
      <c r="G254" s="29" t="inlineStr">
        <is>
          <t>CFS</t>
        </is>
      </c>
      <c r="H254" s="29" t="inlineStr">
        <is>
          <t>CF</t>
        </is>
      </c>
      <c r="I254" s="29" t="inlineStr">
        <is>
          <t>현금흐름표</t>
        </is>
      </c>
      <c r="J254" s="29" t="inlineStr">
        <is>
          <t>dart_RepaymentsOfShortTermBorrowings</t>
        </is>
      </c>
      <c r="K254" s="29" t="inlineStr">
        <is>
          <t>단기차입금의 상환</t>
        </is>
      </c>
      <c r="L254" s="29" t="inlineStr">
        <is>
          <t>-</t>
        </is>
      </c>
      <c r="M254" s="29" t="inlineStr">
        <is>
          <t>제 17 기</t>
        </is>
      </c>
      <c r="N254" s="29" t="inlineStr">
        <is>
          <t>13752591420.0</t>
        </is>
      </c>
      <c r="O254" s="29" t="inlineStr">
        <is>
          <t>21760000000.0</t>
        </is>
      </c>
      <c r="P254" s="29" t="inlineStr">
        <is>
          <t>KRW</t>
        </is>
      </c>
      <c r="Q254" s="29" t="inlineStr">
        <is>
          <t>29</t>
        </is>
      </c>
    </row>
    <row r="255" ht="24" customHeight="1">
      <c r="A255" s="24" t="inlineStr">
        <is>
          <t>OpenDART_fnlttSinglAcntAll</t>
        </is>
      </c>
      <c r="B255" s="24" t="inlineStr">
        <is>
          <t>00591441</t>
        </is>
      </c>
      <c r="C255" s="24" t="inlineStr">
        <is>
          <t>어보브반도체</t>
        </is>
      </c>
      <c r="D255" s="24" t="inlineStr">
        <is>
          <t>abov</t>
        </is>
      </c>
      <c r="E255" s="24" t="inlineStr">
        <is>
          <t>102120</t>
        </is>
      </c>
      <c r="F255" s="24" t="inlineStr">
        <is>
          <t>2022</t>
        </is>
      </c>
      <c r="G255" s="24" t="inlineStr">
        <is>
          <t>CFS</t>
        </is>
      </c>
      <c r="H255" s="24" t="inlineStr">
        <is>
          <t>CF</t>
        </is>
      </c>
      <c r="I255" s="24" t="inlineStr">
        <is>
          <t>현금흐름표</t>
        </is>
      </c>
      <c r="J255" s="24" t="inlineStr">
        <is>
          <t>dart_ProceedsFromLongTermBorrowings</t>
        </is>
      </c>
      <c r="K255" s="24" t="inlineStr">
        <is>
          <t>장기차입금의 증가</t>
        </is>
      </c>
      <c r="L255" s="24" t="inlineStr">
        <is>
          <t>-</t>
        </is>
      </c>
      <c r="M255" s="24" t="inlineStr">
        <is>
          <t>제 17 기</t>
        </is>
      </c>
      <c r="N255" s="24" t="inlineStr">
        <is>
          <t>1900000000.0</t>
        </is>
      </c>
      <c r="O255" s="24" t="inlineStr">
        <is>
          <t>0.0</t>
        </is>
      </c>
      <c r="P255" s="24" t="inlineStr">
        <is>
          <t>KRW</t>
        </is>
      </c>
      <c r="Q255" s="24" t="inlineStr">
        <is>
          <t>30</t>
        </is>
      </c>
    </row>
    <row r="256" ht="24" customHeight="1">
      <c r="A256" s="29" t="inlineStr">
        <is>
          <t>OpenDART_fnlttSinglAcntAll</t>
        </is>
      </c>
      <c r="B256" s="29" t="inlineStr">
        <is>
          <t>00591441</t>
        </is>
      </c>
      <c r="C256" s="29" t="inlineStr">
        <is>
          <t>어보브반도체</t>
        </is>
      </c>
      <c r="D256" s="29" t="inlineStr">
        <is>
          <t>abov</t>
        </is>
      </c>
      <c r="E256" s="29" t="inlineStr">
        <is>
          <t>102120</t>
        </is>
      </c>
      <c r="F256" s="29" t="inlineStr">
        <is>
          <t>2022</t>
        </is>
      </c>
      <c r="G256" s="29" t="inlineStr">
        <is>
          <t>CFS</t>
        </is>
      </c>
      <c r="H256" s="29" t="inlineStr">
        <is>
          <t>CF</t>
        </is>
      </c>
      <c r="I256" s="29" t="inlineStr">
        <is>
          <t>현금흐름표</t>
        </is>
      </c>
      <c r="J256" s="29" t="inlineStr">
        <is>
          <t>dart_RepaymentsOfLongTermBorrowings</t>
        </is>
      </c>
      <c r="K256" s="29" t="inlineStr">
        <is>
          <t>장기차입금의 상환</t>
        </is>
      </c>
      <c r="L256" s="29" t="inlineStr">
        <is>
          <t>-</t>
        </is>
      </c>
      <c r="M256" s="29" t="inlineStr">
        <is>
          <t>제 17 기</t>
        </is>
      </c>
      <c r="N256" s="29" t="inlineStr">
        <is>
          <t>162467272.0</t>
        </is>
      </c>
      <c r="O256" s="29" t="inlineStr">
        <is>
          <t>0.0</t>
        </is>
      </c>
      <c r="P256" s="29" t="inlineStr">
        <is>
          <t>KRW</t>
        </is>
      </c>
      <c r="Q256" s="29" t="inlineStr">
        <is>
          <t>31</t>
        </is>
      </c>
    </row>
    <row r="257" ht="24" customHeight="1">
      <c r="A257" s="24" t="inlineStr">
        <is>
          <t>OpenDART_fnlttSinglAcntAll</t>
        </is>
      </c>
      <c r="B257" s="24" t="inlineStr">
        <is>
          <t>00591441</t>
        </is>
      </c>
      <c r="C257" s="24" t="inlineStr">
        <is>
          <t>어보브반도체</t>
        </is>
      </c>
      <c r="D257" s="24" t="inlineStr">
        <is>
          <t>abov</t>
        </is>
      </c>
      <c r="E257" s="24" t="inlineStr">
        <is>
          <t>102120</t>
        </is>
      </c>
      <c r="F257" s="24" t="inlineStr">
        <is>
          <t>2022</t>
        </is>
      </c>
      <c r="G257" s="24" t="inlineStr">
        <is>
          <t>CFS</t>
        </is>
      </c>
      <c r="H257" s="24" t="inlineStr">
        <is>
          <t>CF</t>
        </is>
      </c>
      <c r="I257" s="24" t="inlineStr">
        <is>
          <t>현금흐름표</t>
        </is>
      </c>
      <c r="J257" s="24" t="inlineStr">
        <is>
          <t>ifrs-full_ProceedsFromGovernmentGrantsClassifiedAsFinancingActivities</t>
        </is>
      </c>
      <c r="K257" s="24" t="inlineStr">
        <is>
          <t>국고보조금의 증가</t>
        </is>
      </c>
      <c r="L257" s="24" t="inlineStr">
        <is>
          <t>-</t>
        </is>
      </c>
      <c r="M257" s="24" t="inlineStr">
        <is>
          <t>제 17 기</t>
        </is>
      </c>
      <c r="N257" s="24" t="inlineStr">
        <is>
          <t>0.0</t>
        </is>
      </c>
      <c r="O257" s="24" t="inlineStr">
        <is>
          <t>784583445.0</t>
        </is>
      </c>
      <c r="P257" s="24" t="inlineStr">
        <is>
          <t>KRW</t>
        </is>
      </c>
      <c r="Q257" s="24" t="inlineStr">
        <is>
          <t>32</t>
        </is>
      </c>
    </row>
    <row r="258" ht="24" customHeight="1">
      <c r="A258" s="29" t="inlineStr">
        <is>
          <t>OpenDART_fnlttSinglAcntAll</t>
        </is>
      </c>
      <c r="B258" s="29" t="inlineStr">
        <is>
          <t>00591441</t>
        </is>
      </c>
      <c r="C258" s="29" t="inlineStr">
        <is>
          <t>어보브반도체</t>
        </is>
      </c>
      <c r="D258" s="29" t="inlineStr">
        <is>
          <t>abov</t>
        </is>
      </c>
      <c r="E258" s="29" t="inlineStr">
        <is>
          <t>102120</t>
        </is>
      </c>
      <c r="F258" s="29" t="inlineStr">
        <is>
          <t>2022</t>
        </is>
      </c>
      <c r="G258" s="29" t="inlineStr">
        <is>
          <t>CFS</t>
        </is>
      </c>
      <c r="H258" s="29" t="inlineStr">
        <is>
          <t>CF</t>
        </is>
      </c>
      <c r="I258" s="29" t="inlineStr">
        <is>
          <t>현금흐름표</t>
        </is>
      </c>
      <c r="J258" s="29" t="inlineStr">
        <is>
          <t>dart_ProceedsFromExerciseOfShareOptions</t>
        </is>
      </c>
      <c r="K258" s="29" t="inlineStr">
        <is>
          <t>주식매입선택권의 행사</t>
        </is>
      </c>
      <c r="L258" s="29" t="inlineStr">
        <is>
          <t>-</t>
        </is>
      </c>
      <c r="M258" s="29" t="inlineStr">
        <is>
          <t>제 17 기</t>
        </is>
      </c>
      <c r="N258" s="29" t="inlineStr">
        <is>
          <t>0.0</t>
        </is>
      </c>
      <c r="O258" s="29" t="inlineStr">
        <is>
          <t>110482200.0</t>
        </is>
      </c>
      <c r="P258" s="29" t="inlineStr">
        <is>
          <t>KRW</t>
        </is>
      </c>
      <c r="Q258" s="29" t="inlineStr">
        <is>
          <t>33</t>
        </is>
      </c>
    </row>
    <row r="259" ht="24" customHeight="1">
      <c r="A259" s="24" t="inlineStr">
        <is>
          <t>OpenDART_fnlttSinglAcntAll</t>
        </is>
      </c>
      <c r="B259" s="24" t="inlineStr">
        <is>
          <t>00591441</t>
        </is>
      </c>
      <c r="C259" s="24" t="inlineStr">
        <is>
          <t>어보브반도체</t>
        </is>
      </c>
      <c r="D259" s="24" t="inlineStr">
        <is>
          <t>abov</t>
        </is>
      </c>
      <c r="E259" s="24" t="inlineStr">
        <is>
          <t>102120</t>
        </is>
      </c>
      <c r="F259" s="24" t="inlineStr">
        <is>
          <t>2022</t>
        </is>
      </c>
      <c r="G259" s="24" t="inlineStr">
        <is>
          <t>CFS</t>
        </is>
      </c>
      <c r="H259" s="24" t="inlineStr">
        <is>
          <t>CF</t>
        </is>
      </c>
      <c r="I259" s="24" t="inlineStr">
        <is>
          <t>현금흐름표</t>
        </is>
      </c>
      <c r="J259" s="24" t="inlineStr">
        <is>
          <t>dart_AcquisitionOfTreasuryShares</t>
        </is>
      </c>
      <c r="K259" s="24" t="inlineStr">
        <is>
          <t>자기주식의 취득</t>
        </is>
      </c>
      <c r="L259" s="24" t="inlineStr">
        <is>
          <t>-</t>
        </is>
      </c>
      <c r="M259" s="24" t="inlineStr">
        <is>
          <t>제 17 기</t>
        </is>
      </c>
      <c r="N259" s="24" t="inlineStr">
        <is>
          <t>4993987200.0</t>
        </is>
      </c>
      <c r="O259" s="24" t="inlineStr">
        <is>
          <t>0.0</t>
        </is>
      </c>
      <c r="P259" s="24" t="inlineStr">
        <is>
          <t>KRW</t>
        </is>
      </c>
      <c r="Q259" s="24" t="inlineStr">
        <is>
          <t>34</t>
        </is>
      </c>
    </row>
    <row r="260" ht="24" customHeight="1">
      <c r="A260" s="29" t="inlineStr">
        <is>
          <t>OpenDART_fnlttSinglAcntAll</t>
        </is>
      </c>
      <c r="B260" s="29" t="inlineStr">
        <is>
          <t>00591441</t>
        </is>
      </c>
      <c r="C260" s="29" t="inlineStr">
        <is>
          <t>어보브반도체</t>
        </is>
      </c>
      <c r="D260" s="29" t="inlineStr">
        <is>
          <t>abov</t>
        </is>
      </c>
      <c r="E260" s="29" t="inlineStr">
        <is>
          <t>102120</t>
        </is>
      </c>
      <c r="F260" s="29" t="inlineStr">
        <is>
          <t>2022</t>
        </is>
      </c>
      <c r="G260" s="29" t="inlineStr">
        <is>
          <t>CFS</t>
        </is>
      </c>
      <c r="H260" s="29" t="inlineStr">
        <is>
          <t>CF</t>
        </is>
      </c>
      <c r="I260" s="29" t="inlineStr">
        <is>
          <t>현금흐름표</t>
        </is>
      </c>
      <c r="J260" s="29" t="inlineStr">
        <is>
          <t>dart_DispositionOfTreasuryShares</t>
        </is>
      </c>
      <c r="K260" s="29" t="inlineStr">
        <is>
          <t>자기주식의 처분</t>
        </is>
      </c>
      <c r="L260" s="29" t="inlineStr">
        <is>
          <t>-</t>
        </is>
      </c>
      <c r="M260" s="29" t="inlineStr">
        <is>
          <t>제 17 기</t>
        </is>
      </c>
      <c r="N260" s="29" t="inlineStr">
        <is>
          <t>0.0</t>
        </is>
      </c>
      <c r="O260" s="29" t="inlineStr">
        <is>
          <t>57977800.0</t>
        </is>
      </c>
      <c r="P260" s="29" t="inlineStr">
        <is>
          <t>KRW</t>
        </is>
      </c>
      <c r="Q260" s="29" t="inlineStr">
        <is>
          <t>35</t>
        </is>
      </c>
    </row>
    <row r="261" ht="24" customHeight="1">
      <c r="A261" s="24" t="inlineStr">
        <is>
          <t>OpenDART_fnlttSinglAcntAll</t>
        </is>
      </c>
      <c r="B261" s="24" t="inlineStr">
        <is>
          <t>00591441</t>
        </is>
      </c>
      <c r="C261" s="24" t="inlineStr">
        <is>
          <t>어보브반도체</t>
        </is>
      </c>
      <c r="D261" s="24" t="inlineStr">
        <is>
          <t>abov</t>
        </is>
      </c>
      <c r="E261" s="24" t="inlineStr">
        <is>
          <t>102120</t>
        </is>
      </c>
      <c r="F261" s="24" t="inlineStr">
        <is>
          <t>2022</t>
        </is>
      </c>
      <c r="G261" s="24" t="inlineStr">
        <is>
          <t>CFS</t>
        </is>
      </c>
      <c r="H261" s="24" t="inlineStr">
        <is>
          <t>CF</t>
        </is>
      </c>
      <c r="I261" s="24" t="inlineStr">
        <is>
          <t>현금흐름표</t>
        </is>
      </c>
      <c r="J261" s="24" t="inlineStr">
        <is>
          <t>-표준계정코드 미사용-</t>
        </is>
      </c>
      <c r="K261" s="24" t="inlineStr">
        <is>
          <t>리스부채의 감소</t>
        </is>
      </c>
      <c r="L261" s="24" t="inlineStr">
        <is>
          <t>-</t>
        </is>
      </c>
      <c r="M261" s="24" t="inlineStr">
        <is>
          <t>제 17 기</t>
        </is>
      </c>
      <c r="N261" s="24" t="inlineStr">
        <is>
          <t>1211721644.0</t>
        </is>
      </c>
      <c r="O261" s="24" t="inlineStr">
        <is>
          <t>812774872.0</t>
        </is>
      </c>
      <c r="P261" s="24" t="inlineStr">
        <is>
          <t>KRW</t>
        </is>
      </c>
      <c r="Q261" s="24" t="inlineStr">
        <is>
          <t>36</t>
        </is>
      </c>
    </row>
    <row r="262" ht="24" customHeight="1">
      <c r="A262" s="29" t="inlineStr">
        <is>
          <t>OpenDART_fnlttSinglAcntAll</t>
        </is>
      </c>
      <c r="B262" s="29" t="inlineStr">
        <is>
          <t>00591441</t>
        </is>
      </c>
      <c r="C262" s="29" t="inlineStr">
        <is>
          <t>어보브반도체</t>
        </is>
      </c>
      <c r="D262" s="29" t="inlineStr">
        <is>
          <t>abov</t>
        </is>
      </c>
      <c r="E262" s="29" t="inlineStr">
        <is>
          <t>102120</t>
        </is>
      </c>
      <c r="F262" s="29" t="inlineStr">
        <is>
          <t>2022</t>
        </is>
      </c>
      <c r="G262" s="29" t="inlineStr">
        <is>
          <t>CFS</t>
        </is>
      </c>
      <c r="H262" s="29" t="inlineStr">
        <is>
          <t>CF</t>
        </is>
      </c>
      <c r="I262" s="29" t="inlineStr">
        <is>
          <t>현금흐름표</t>
        </is>
      </c>
      <c r="J262" s="29" t="inlineStr">
        <is>
          <t>ifrs-full_DividendsPaidClassifiedAsFinancingActivities</t>
        </is>
      </c>
      <c r="K262" s="29" t="inlineStr">
        <is>
          <t>배당금의 지급</t>
        </is>
      </c>
      <c r="L262" s="29" t="inlineStr">
        <is>
          <t>-</t>
        </is>
      </c>
      <c r="M262" s="29" t="inlineStr">
        <is>
          <t>제 17 기</t>
        </is>
      </c>
      <c r="N262" s="29" t="inlineStr">
        <is>
          <t>3972195840.0</t>
        </is>
      </c>
      <c r="O262" s="29" t="inlineStr">
        <is>
          <t>3967395840.0</t>
        </is>
      </c>
      <c r="P262" s="29" t="inlineStr">
        <is>
          <t>KRW</t>
        </is>
      </c>
      <c r="Q262" s="29" t="inlineStr">
        <is>
          <t>37</t>
        </is>
      </c>
    </row>
    <row r="263" ht="24" customHeight="1">
      <c r="A263" s="24" t="inlineStr">
        <is>
          <t>OpenDART_fnlttSinglAcntAll</t>
        </is>
      </c>
      <c r="B263" s="24" t="inlineStr">
        <is>
          <t>00591441</t>
        </is>
      </c>
      <c r="C263" s="24" t="inlineStr">
        <is>
          <t>어보브반도체</t>
        </is>
      </c>
      <c r="D263" s="24" t="inlineStr">
        <is>
          <t>abov</t>
        </is>
      </c>
      <c r="E263" s="24" t="inlineStr">
        <is>
          <t>102120</t>
        </is>
      </c>
      <c r="F263" s="24" t="inlineStr">
        <is>
          <t>2022</t>
        </is>
      </c>
      <c r="G263" s="24" t="inlineStr">
        <is>
          <t>CFS</t>
        </is>
      </c>
      <c r="H263" s="24" t="inlineStr">
        <is>
          <t>CF</t>
        </is>
      </c>
      <c r="I263" s="24" t="inlineStr">
        <is>
          <t>현금흐름표</t>
        </is>
      </c>
      <c r="J263" s="24" t="inlineStr">
        <is>
          <t>-표준계정코드 미사용-</t>
        </is>
      </c>
      <c r="K263" s="24" t="inlineStr">
        <is>
          <t>유상증자</t>
        </is>
      </c>
      <c r="L263" s="24" t="inlineStr">
        <is>
          <t>-</t>
        </is>
      </c>
      <c r="M263" s="24" t="inlineStr">
        <is>
          <t>제 17 기</t>
        </is>
      </c>
      <c r="N263" s="24" t="inlineStr">
        <is>
          <t>3498503360.0</t>
        </is>
      </c>
      <c r="O263" s="24" t="inlineStr">
        <is>
          <t>0.0</t>
        </is>
      </c>
      <c r="P263" s="24" t="inlineStr">
        <is>
          <t>KRW</t>
        </is>
      </c>
      <c r="Q263" s="24" t="inlineStr">
        <is>
          <t>38</t>
        </is>
      </c>
    </row>
    <row r="264" ht="24" customHeight="1">
      <c r="A264" s="29" t="inlineStr">
        <is>
          <t>OpenDART_fnlttSinglAcntAll</t>
        </is>
      </c>
      <c r="B264" s="29" t="inlineStr">
        <is>
          <t>00591441</t>
        </is>
      </c>
      <c r="C264" s="29" t="inlineStr">
        <is>
          <t>어보브반도체</t>
        </is>
      </c>
      <c r="D264" s="29" t="inlineStr">
        <is>
          <t>abov</t>
        </is>
      </c>
      <c r="E264" s="29" t="inlineStr">
        <is>
          <t>102120</t>
        </is>
      </c>
      <c r="F264" s="29" t="inlineStr">
        <is>
          <t>2022</t>
        </is>
      </c>
      <c r="G264" s="29" t="inlineStr">
        <is>
          <t>CFS</t>
        </is>
      </c>
      <c r="H264" s="29" t="inlineStr">
        <is>
          <t>CF</t>
        </is>
      </c>
      <c r="I264" s="29" t="inlineStr">
        <is>
          <t>현금흐름표</t>
        </is>
      </c>
      <c r="J264" s="29" t="inlineStr">
        <is>
          <t>ifrs-full_IncreaseDecreaseInCashAndCashEquivalentsBeforeEffectOfExchangeRateChanges</t>
        </is>
      </c>
      <c r="K264" s="29" t="inlineStr">
        <is>
          <t>현금및현금성자산의 증감</t>
        </is>
      </c>
      <c r="L264" s="29" t="inlineStr">
        <is>
          <t>-</t>
        </is>
      </c>
      <c r="M264" s="29" t="inlineStr">
        <is>
          <t>제 17 기</t>
        </is>
      </c>
      <c r="N264" s="29" t="inlineStr">
        <is>
          <t>13415987752.0</t>
        </is>
      </c>
      <c r="O264" s="29" t="inlineStr">
        <is>
          <t>-20223178228.0</t>
        </is>
      </c>
      <c r="P264" s="29" t="inlineStr">
        <is>
          <t>KRW</t>
        </is>
      </c>
      <c r="Q264" s="29" t="inlineStr">
        <is>
          <t>39</t>
        </is>
      </c>
    </row>
    <row r="265" ht="24" customHeight="1">
      <c r="A265" s="24" t="inlineStr">
        <is>
          <t>OpenDART_fnlttSinglAcntAll</t>
        </is>
      </c>
      <c r="B265" s="24" t="inlineStr">
        <is>
          <t>00591441</t>
        </is>
      </c>
      <c r="C265" s="24" t="inlineStr">
        <is>
          <t>어보브반도체</t>
        </is>
      </c>
      <c r="D265" s="24" t="inlineStr">
        <is>
          <t>abov</t>
        </is>
      </c>
      <c r="E265" s="24" t="inlineStr">
        <is>
          <t>102120</t>
        </is>
      </c>
      <c r="F265" s="24" t="inlineStr">
        <is>
          <t>2022</t>
        </is>
      </c>
      <c r="G265" s="24" t="inlineStr">
        <is>
          <t>CFS</t>
        </is>
      </c>
      <c r="H265" s="24" t="inlineStr">
        <is>
          <t>CF</t>
        </is>
      </c>
      <c r="I265" s="24" t="inlineStr">
        <is>
          <t>현금흐름표</t>
        </is>
      </c>
      <c r="J265" s="24" t="inlineStr">
        <is>
          <t>dart_CashAndCashEquivalentsAtBeginningOfPeriodCf</t>
        </is>
      </c>
      <c r="K265" s="24" t="inlineStr">
        <is>
          <t>기초현금및현금성자산</t>
        </is>
      </c>
      <c r="L265" s="24" t="inlineStr">
        <is>
          <t>-</t>
        </is>
      </c>
      <c r="M265" s="24" t="inlineStr">
        <is>
          <t>제 17 기</t>
        </is>
      </c>
      <c r="N265" s="24" t="inlineStr">
        <is>
          <t>7288235212.0</t>
        </is>
      </c>
      <c r="O265" s="24" t="inlineStr">
        <is>
          <t>27263621788.0</t>
        </is>
      </c>
      <c r="P265" s="24" t="inlineStr">
        <is>
          <t>KRW</t>
        </is>
      </c>
      <c r="Q265" s="24" t="inlineStr">
        <is>
          <t>40</t>
        </is>
      </c>
    </row>
    <row r="266" ht="24" customHeight="1">
      <c r="A266" s="29" t="inlineStr">
        <is>
          <t>OpenDART_fnlttSinglAcntAll</t>
        </is>
      </c>
      <c r="B266" s="29" t="inlineStr">
        <is>
          <t>00591441</t>
        </is>
      </c>
      <c r="C266" s="29" t="inlineStr">
        <is>
          <t>어보브반도체</t>
        </is>
      </c>
      <c r="D266" s="29" t="inlineStr">
        <is>
          <t>abov</t>
        </is>
      </c>
      <c r="E266" s="29" t="inlineStr">
        <is>
          <t>102120</t>
        </is>
      </c>
      <c r="F266" s="29" t="inlineStr">
        <is>
          <t>2022</t>
        </is>
      </c>
      <c r="G266" s="29" t="inlineStr">
        <is>
          <t>CFS</t>
        </is>
      </c>
      <c r="H266" s="29" t="inlineStr">
        <is>
          <t>CF</t>
        </is>
      </c>
      <c r="I266" s="29" t="inlineStr">
        <is>
          <t>현금흐름표</t>
        </is>
      </c>
      <c r="J266" s="29" t="inlineStr">
        <is>
          <t>ifrs-full_EffectOfExchangeRateChangesOnCashAndCashEquivalents</t>
        </is>
      </c>
      <c r="K266" s="29" t="inlineStr">
        <is>
          <t>현금및현금성자산에 대한 환율변동효과</t>
        </is>
      </c>
      <c r="L266" s="29" t="inlineStr">
        <is>
          <t>-</t>
        </is>
      </c>
      <c r="M266" s="29" t="inlineStr">
        <is>
          <t>제 17 기</t>
        </is>
      </c>
      <c r="N266" s="29" t="inlineStr">
        <is>
          <t>13400946.0</t>
        </is>
      </c>
      <c r="O266" s="29" t="inlineStr">
        <is>
          <t>247791652.0</t>
        </is>
      </c>
      <c r="P266" s="29" t="inlineStr">
        <is>
          <t>KRW</t>
        </is>
      </c>
      <c r="Q266" s="29" t="inlineStr">
        <is>
          <t>41</t>
        </is>
      </c>
    </row>
    <row r="267" ht="24" customHeight="1">
      <c r="A267" s="24" t="inlineStr">
        <is>
          <t>OpenDART_fnlttSinglAcntAll</t>
        </is>
      </c>
      <c r="B267" s="24" t="inlineStr">
        <is>
          <t>00591441</t>
        </is>
      </c>
      <c r="C267" s="24" t="inlineStr">
        <is>
          <t>어보브반도체</t>
        </is>
      </c>
      <c r="D267" s="24" t="inlineStr">
        <is>
          <t>abov</t>
        </is>
      </c>
      <c r="E267" s="24" t="inlineStr">
        <is>
          <t>102120</t>
        </is>
      </c>
      <c r="F267" s="24" t="inlineStr">
        <is>
          <t>2022</t>
        </is>
      </c>
      <c r="G267" s="24" t="inlineStr">
        <is>
          <t>CFS</t>
        </is>
      </c>
      <c r="H267" s="24" t="inlineStr">
        <is>
          <t>CF</t>
        </is>
      </c>
      <c r="I267" s="24" t="inlineStr">
        <is>
          <t>현금흐름표</t>
        </is>
      </c>
      <c r="J267" s="24" t="inlineStr">
        <is>
          <t>dart_CashAndCashEquivalentsAtEndOfPeriodCf</t>
        </is>
      </c>
      <c r="K267" s="24" t="inlineStr">
        <is>
          <t>기말현금및현금성자산</t>
        </is>
      </c>
      <c r="L267" s="24" t="inlineStr">
        <is>
          <t>-</t>
        </is>
      </c>
      <c r="M267" s="24" t="inlineStr">
        <is>
          <t>제 17 기</t>
        </is>
      </c>
      <c r="N267" s="24" t="inlineStr">
        <is>
          <t>20717623910.0</t>
        </is>
      </c>
      <c r="O267" s="24" t="inlineStr">
        <is>
          <t>7288235212.0</t>
        </is>
      </c>
      <c r="P267" s="24" t="inlineStr">
        <is>
          <t>KRW</t>
        </is>
      </c>
      <c r="Q267" s="24" t="inlineStr">
        <is>
          <t>42</t>
        </is>
      </c>
    </row>
    <row r="268" ht="24" customHeight="1">
      <c r="A268" s="29" t="inlineStr">
        <is>
          <t>OpenDART_fnlttSinglAcntAll</t>
        </is>
      </c>
      <c r="B268" s="29" t="inlineStr">
        <is>
          <t>00591441</t>
        </is>
      </c>
      <c r="C268" s="29" t="inlineStr">
        <is>
          <t>어보브반도체</t>
        </is>
      </c>
      <c r="D268" s="29" t="inlineStr">
        <is>
          <t>abov</t>
        </is>
      </c>
      <c r="E268" s="29" t="inlineStr">
        <is>
          <t>102120</t>
        </is>
      </c>
      <c r="F268" s="29" t="inlineStr">
        <is>
          <t>2022</t>
        </is>
      </c>
      <c r="G268" s="29" t="inlineStr">
        <is>
          <t>CFS</t>
        </is>
      </c>
      <c r="H268" s="29" t="inlineStr">
        <is>
          <t>SCE</t>
        </is>
      </c>
      <c r="I268" s="29" t="inlineStr">
        <is>
          <t>자본변동표</t>
        </is>
      </c>
      <c r="J268" s="29" t="inlineStr">
        <is>
          <t>dart_EquityAtBeginningOfPeriod</t>
        </is>
      </c>
      <c r="K268" s="29" t="inlineStr">
        <is>
          <t>기초자본</t>
        </is>
      </c>
      <c r="L268" s="29" t="inlineStr">
        <is>
          <t>연결재무제표 [member]</t>
        </is>
      </c>
      <c r="M268" s="29" t="inlineStr">
        <is>
          <t>제 17 기</t>
        </is>
      </c>
      <c r="N268" s="29" t="inlineStr">
        <is>
          <t>111828760258.0</t>
        </is>
      </c>
      <c r="O268" s="29" t="inlineStr">
        <is>
          <t>101330851591.0</t>
        </is>
      </c>
      <c r="P268" s="29" t="inlineStr">
        <is>
          <t>KRW</t>
        </is>
      </c>
      <c r="Q268" s="29" t="inlineStr">
        <is>
          <t>1</t>
        </is>
      </c>
    </row>
    <row r="269" ht="24" customHeight="1">
      <c r="A269" s="24" t="inlineStr">
        <is>
          <t>OpenDART_fnlttSinglAcntAll</t>
        </is>
      </c>
      <c r="B269" s="24" t="inlineStr">
        <is>
          <t>00591441</t>
        </is>
      </c>
      <c r="C269" s="24" t="inlineStr">
        <is>
          <t>어보브반도체</t>
        </is>
      </c>
      <c r="D269" s="24" t="inlineStr">
        <is>
          <t>abov</t>
        </is>
      </c>
      <c r="E269" s="24" t="inlineStr">
        <is>
          <t>102120</t>
        </is>
      </c>
      <c r="F269" s="24" t="inlineStr">
        <is>
          <t>2022</t>
        </is>
      </c>
      <c r="G269" s="24" t="inlineStr">
        <is>
          <t>CFS</t>
        </is>
      </c>
      <c r="H269" s="24" t="inlineStr">
        <is>
          <t>SCE</t>
        </is>
      </c>
      <c r="I269" s="24" t="inlineStr">
        <is>
          <t>자본변동표</t>
        </is>
      </c>
      <c r="J269" s="24" t="inlineStr">
        <is>
          <t>dart_EquityAtBeginningOfPeriod</t>
        </is>
      </c>
      <c r="K269" s="24" t="inlineStr">
        <is>
          <t>기초자본</t>
        </is>
      </c>
      <c r="L269" s="24" t="inlineStr">
        <is>
          <t>자본 [member]|비지배지분 [member]</t>
        </is>
      </c>
      <c r="M269" s="24" t="inlineStr">
        <is>
          <t>제 17 기</t>
        </is>
      </c>
      <c r="N269" s="24" t="inlineStr">
        <is>
          <t>0.0</t>
        </is>
      </c>
      <c r="O269" s="24" t="inlineStr">
        <is>
          <t>0.0</t>
        </is>
      </c>
      <c r="P269" s="24" t="inlineStr">
        <is>
          <t>KRW</t>
        </is>
      </c>
      <c r="Q269" s="24" t="inlineStr">
        <is>
          <t>1</t>
        </is>
      </c>
    </row>
    <row r="270" ht="24" customHeight="1">
      <c r="A270" s="29" t="inlineStr">
        <is>
          <t>OpenDART_fnlttSinglAcntAll</t>
        </is>
      </c>
      <c r="B270" s="29" t="inlineStr">
        <is>
          <t>00591441</t>
        </is>
      </c>
      <c r="C270" s="29" t="inlineStr">
        <is>
          <t>어보브반도체</t>
        </is>
      </c>
      <c r="D270" s="29" t="inlineStr">
        <is>
          <t>abov</t>
        </is>
      </c>
      <c r="E270" s="29" t="inlineStr">
        <is>
          <t>102120</t>
        </is>
      </c>
      <c r="F270" s="29" t="inlineStr">
        <is>
          <t>2022</t>
        </is>
      </c>
      <c r="G270" s="29" t="inlineStr">
        <is>
          <t>CFS</t>
        </is>
      </c>
      <c r="H270" s="29" t="inlineStr">
        <is>
          <t>SCE</t>
        </is>
      </c>
      <c r="I270" s="29" t="inlineStr">
        <is>
          <t>자본변동표</t>
        </is>
      </c>
      <c r="J270" s="29" t="inlineStr">
        <is>
          <t>dart_EquityAtBeginningOfPeriod</t>
        </is>
      </c>
      <c r="K270" s="29" t="inlineStr">
        <is>
          <t>기초자본</t>
        </is>
      </c>
      <c r="L270" s="29" t="inlineStr">
        <is>
          <t>자본 [member]|지배기업의 소유주에게 귀속되는 자본 [member]</t>
        </is>
      </c>
      <c r="M270" s="29" t="inlineStr">
        <is>
          <t>제 17 기</t>
        </is>
      </c>
      <c r="N270" s="29" t="inlineStr">
        <is>
          <t>111828760258.0</t>
        </is>
      </c>
      <c r="O270" s="29" t="inlineStr">
        <is>
          <t>101330851591.0</t>
        </is>
      </c>
      <c r="P270" s="29" t="inlineStr">
        <is>
          <t>KRW</t>
        </is>
      </c>
      <c r="Q270" s="29" t="inlineStr">
        <is>
          <t>1</t>
        </is>
      </c>
    </row>
    <row r="271" ht="24" customHeight="1">
      <c r="A271" s="24" t="inlineStr">
        <is>
          <t>OpenDART_fnlttSinglAcntAll</t>
        </is>
      </c>
      <c r="B271" s="24" t="inlineStr">
        <is>
          <t>00591441</t>
        </is>
      </c>
      <c r="C271" s="24" t="inlineStr">
        <is>
          <t>어보브반도체</t>
        </is>
      </c>
      <c r="D271" s="24" t="inlineStr">
        <is>
          <t>abov</t>
        </is>
      </c>
      <c r="E271" s="24" t="inlineStr">
        <is>
          <t>102120</t>
        </is>
      </c>
      <c r="F271" s="24" t="inlineStr">
        <is>
          <t>2022</t>
        </is>
      </c>
      <c r="G271" s="24" t="inlineStr">
        <is>
          <t>CFS</t>
        </is>
      </c>
      <c r="H271" s="24" t="inlineStr">
        <is>
          <t>SCE</t>
        </is>
      </c>
      <c r="I271" s="24" t="inlineStr">
        <is>
          <t>자본변동표</t>
        </is>
      </c>
      <c r="J271" s="24" t="inlineStr">
        <is>
          <t>dart_EquityAtBeginningOfPeriod</t>
        </is>
      </c>
      <c r="K271" s="24" t="inlineStr">
        <is>
          <t>기초자본</t>
        </is>
      </c>
      <c r="L271" s="24" t="inlineStr">
        <is>
          <t>자본 [member]|지배기업의 소유주에게 귀속되는 자본 [member]|기타자본항목</t>
        </is>
      </c>
      <c r="M271" s="24" t="inlineStr">
        <is>
          <t>제 17 기</t>
        </is>
      </c>
      <c r="N271" s="24" t="inlineStr">
        <is>
          <t>-4477193500.0</t>
        </is>
      </c>
      <c r="O271" s="24" t="inlineStr">
        <is>
          <t>-4856498814.0</t>
        </is>
      </c>
      <c r="P271" s="24" t="inlineStr">
        <is>
          <t>KRW</t>
        </is>
      </c>
      <c r="Q271" s="24" t="inlineStr">
        <is>
          <t>1</t>
        </is>
      </c>
    </row>
    <row r="272" ht="24" customHeight="1">
      <c r="A272" s="29" t="inlineStr">
        <is>
          <t>OpenDART_fnlttSinglAcntAll</t>
        </is>
      </c>
      <c r="B272" s="29" t="inlineStr">
        <is>
          <t>00591441</t>
        </is>
      </c>
      <c r="C272" s="29" t="inlineStr">
        <is>
          <t>어보브반도체</t>
        </is>
      </c>
      <c r="D272" s="29" t="inlineStr">
        <is>
          <t>abov</t>
        </is>
      </c>
      <c r="E272" s="29" t="inlineStr">
        <is>
          <t>102120</t>
        </is>
      </c>
      <c r="F272" s="29" t="inlineStr">
        <is>
          <t>2022</t>
        </is>
      </c>
      <c r="G272" s="29" t="inlineStr">
        <is>
          <t>CFS</t>
        </is>
      </c>
      <c r="H272" s="29" t="inlineStr">
        <is>
          <t>SCE</t>
        </is>
      </c>
      <c r="I272" s="29" t="inlineStr">
        <is>
          <t>자본변동표</t>
        </is>
      </c>
      <c r="J272" s="29" t="inlineStr">
        <is>
          <t>dart_EquityAtBeginningOfPeriod</t>
        </is>
      </c>
      <c r="K272" s="29" t="inlineStr">
        <is>
          <t>기초자본</t>
        </is>
      </c>
      <c r="L272" s="29" t="inlineStr">
        <is>
          <t>자본 [member]|지배기업의 소유주에게 귀속되는 자본 [member]|기타포괄손익누계액 [member]</t>
        </is>
      </c>
      <c r="M272" s="29" t="inlineStr">
        <is>
          <t>제 17 기</t>
        </is>
      </c>
      <c r="N272" s="29" t="inlineStr">
        <is>
          <t>151459276.0</t>
        </is>
      </c>
      <c r="O272" s="29" t="inlineStr">
        <is>
          <t>-290649334.0</t>
        </is>
      </c>
      <c r="P272" s="29" t="inlineStr">
        <is>
          <t>KRW</t>
        </is>
      </c>
      <c r="Q272" s="29" t="inlineStr">
        <is>
          <t>1</t>
        </is>
      </c>
    </row>
    <row r="273" ht="24" customHeight="1">
      <c r="A273" s="24" t="inlineStr">
        <is>
          <t>OpenDART_fnlttSinglAcntAll</t>
        </is>
      </c>
      <c r="B273" s="24" t="inlineStr">
        <is>
          <t>00591441</t>
        </is>
      </c>
      <c r="C273" s="24" t="inlineStr">
        <is>
          <t>어보브반도체</t>
        </is>
      </c>
      <c r="D273" s="24" t="inlineStr">
        <is>
          <t>abov</t>
        </is>
      </c>
      <c r="E273" s="24" t="inlineStr">
        <is>
          <t>102120</t>
        </is>
      </c>
      <c r="F273" s="24" t="inlineStr">
        <is>
          <t>2022</t>
        </is>
      </c>
      <c r="G273" s="24" t="inlineStr">
        <is>
          <t>CFS</t>
        </is>
      </c>
      <c r="H273" s="24" t="inlineStr">
        <is>
          <t>SCE</t>
        </is>
      </c>
      <c r="I273" s="24" t="inlineStr">
        <is>
          <t>자본변동표</t>
        </is>
      </c>
      <c r="J273" s="24" t="inlineStr">
        <is>
          <t>dart_EquityAtBeginningOfPeriod</t>
        </is>
      </c>
      <c r="K273" s="24" t="inlineStr">
        <is>
          <t>기초자본</t>
        </is>
      </c>
      <c r="L273" s="24" t="inlineStr">
        <is>
          <t>자본 [member]|지배기업의 소유주에게 귀속되는 자본 [member]|이익잉여금 [member]</t>
        </is>
      </c>
      <c r="M273" s="24" t="inlineStr">
        <is>
          <t>제 17 기</t>
        </is>
      </c>
      <c r="N273" s="24" t="inlineStr">
        <is>
          <t>84340623191.0</t>
        </is>
      </c>
      <c r="O273" s="24" t="inlineStr">
        <is>
          <t>74664128448.0</t>
        </is>
      </c>
      <c r="P273" s="24" t="inlineStr">
        <is>
          <t>KRW</t>
        </is>
      </c>
      <c r="Q273" s="24" t="inlineStr">
        <is>
          <t>1</t>
        </is>
      </c>
    </row>
    <row r="274" ht="24" customHeight="1">
      <c r="A274" s="29" t="inlineStr">
        <is>
          <t>OpenDART_fnlttSinglAcntAll</t>
        </is>
      </c>
      <c r="B274" s="29" t="inlineStr">
        <is>
          <t>00591441</t>
        </is>
      </c>
      <c r="C274" s="29" t="inlineStr">
        <is>
          <t>어보브반도체</t>
        </is>
      </c>
      <c r="D274" s="29" t="inlineStr">
        <is>
          <t>abov</t>
        </is>
      </c>
      <c r="E274" s="29" t="inlineStr">
        <is>
          <t>102120</t>
        </is>
      </c>
      <c r="F274" s="29" t="inlineStr">
        <is>
          <t>2022</t>
        </is>
      </c>
      <c r="G274" s="29" t="inlineStr">
        <is>
          <t>CFS</t>
        </is>
      </c>
      <c r="H274" s="29" t="inlineStr">
        <is>
          <t>SCE</t>
        </is>
      </c>
      <c r="I274" s="29" t="inlineStr">
        <is>
          <t>자본변동표</t>
        </is>
      </c>
      <c r="J274" s="29" t="inlineStr">
        <is>
          <t>dart_EquityAtBeginningOfPeriod</t>
        </is>
      </c>
      <c r="K274" s="29" t="inlineStr">
        <is>
          <t>기초자본</t>
        </is>
      </c>
      <c r="L274" s="29" t="inlineStr">
        <is>
          <t>자본 [member]|지배기업의 소유주에게 귀속되는 자본 [member]|자본금 [member]</t>
        </is>
      </c>
      <c r="M274" s="29" t="inlineStr">
        <is>
          <t>제 17 기</t>
        </is>
      </c>
      <c r="N274" s="29" t="inlineStr">
        <is>
          <t>8729826500.0</t>
        </is>
      </c>
      <c r="O274" s="29" t="inlineStr">
        <is>
          <t>8729826500.0</t>
        </is>
      </c>
      <c r="P274" s="29" t="inlineStr">
        <is>
          <t>KRW</t>
        </is>
      </c>
      <c r="Q274" s="29" t="inlineStr">
        <is>
          <t>1</t>
        </is>
      </c>
    </row>
    <row r="275" ht="24" customHeight="1">
      <c r="A275" s="24" t="inlineStr">
        <is>
          <t>OpenDART_fnlttSinglAcntAll</t>
        </is>
      </c>
      <c r="B275" s="24" t="inlineStr">
        <is>
          <t>00591441</t>
        </is>
      </c>
      <c r="C275" s="24" t="inlineStr">
        <is>
          <t>어보브반도체</t>
        </is>
      </c>
      <c r="D275" s="24" t="inlineStr">
        <is>
          <t>abov</t>
        </is>
      </c>
      <c r="E275" s="24" t="inlineStr">
        <is>
          <t>102120</t>
        </is>
      </c>
      <c r="F275" s="24" t="inlineStr">
        <is>
          <t>2022</t>
        </is>
      </c>
      <c r="G275" s="24" t="inlineStr">
        <is>
          <t>CFS</t>
        </is>
      </c>
      <c r="H275" s="24" t="inlineStr">
        <is>
          <t>SCE</t>
        </is>
      </c>
      <c r="I275" s="24" t="inlineStr">
        <is>
          <t>자본변동표</t>
        </is>
      </c>
      <c r="J275" s="24" t="inlineStr">
        <is>
          <t>dart_EquityAtBeginningOfPeriod</t>
        </is>
      </c>
      <c r="K275" s="24" t="inlineStr">
        <is>
          <t>기초자본</t>
        </is>
      </c>
      <c r="L275" s="24" t="inlineStr">
        <is>
          <t>자본 [member]|지배기업의 소유주에게 귀속되는 자본 [member]|자본잉여금 [member]</t>
        </is>
      </c>
      <c r="M275" s="24" t="inlineStr">
        <is>
          <t>제 17 기</t>
        </is>
      </c>
      <c r="N275" s="24" t="inlineStr">
        <is>
          <t>23084044791.0</t>
        </is>
      </c>
      <c r="O275" s="24" t="inlineStr">
        <is>
          <t>23084044791.0</t>
        </is>
      </c>
      <c r="P275" s="24" t="inlineStr">
        <is>
          <t>KRW</t>
        </is>
      </c>
      <c r="Q275" s="24" t="inlineStr">
        <is>
          <t>1</t>
        </is>
      </c>
    </row>
    <row r="276" ht="24" customHeight="1">
      <c r="A276" s="29" t="inlineStr">
        <is>
          <t>OpenDART_fnlttSinglAcntAll</t>
        </is>
      </c>
      <c r="B276" s="29" t="inlineStr">
        <is>
          <t>00591441</t>
        </is>
      </c>
      <c r="C276" s="29" t="inlineStr">
        <is>
          <t>어보브반도체</t>
        </is>
      </c>
      <c r="D276" s="29" t="inlineStr">
        <is>
          <t>abov</t>
        </is>
      </c>
      <c r="E276" s="29" t="inlineStr">
        <is>
          <t>102120</t>
        </is>
      </c>
      <c r="F276" s="29" t="inlineStr">
        <is>
          <t>2022</t>
        </is>
      </c>
      <c r="G276" s="29" t="inlineStr">
        <is>
          <t>CFS</t>
        </is>
      </c>
      <c r="H276" s="29" t="inlineStr">
        <is>
          <t>SCE</t>
        </is>
      </c>
      <c r="I276" s="29" t="inlineStr">
        <is>
          <t>자본변동표</t>
        </is>
      </c>
      <c r="J276" s="29" t="inlineStr">
        <is>
          <t>ifrs-full_ProfitLoss</t>
        </is>
      </c>
      <c r="K276" s="29" t="inlineStr">
        <is>
          <t>당기순이익(손실)</t>
        </is>
      </c>
      <c r="L276" s="29" t="inlineStr">
        <is>
          <t>자본 [member]|지배기업의 소유주에게 귀속되는 자본 [member]|자본잉여금 [member]</t>
        </is>
      </c>
      <c r="M276" s="29" t="inlineStr">
        <is>
          <t>제 17 기</t>
        </is>
      </c>
      <c r="N276" s="29" t="inlineStr">
        <is>
          <t>0.0</t>
        </is>
      </c>
      <c r="O276" s="29" t="inlineStr">
        <is>
          <t>0.0</t>
        </is>
      </c>
      <c r="P276" s="29" t="inlineStr">
        <is>
          <t>KRW</t>
        </is>
      </c>
      <c r="Q276" s="29" t="inlineStr">
        <is>
          <t>2</t>
        </is>
      </c>
    </row>
    <row r="277" ht="24" customHeight="1">
      <c r="A277" s="24" t="inlineStr">
        <is>
          <t>OpenDART_fnlttSinglAcntAll</t>
        </is>
      </c>
      <c r="B277" s="24" t="inlineStr">
        <is>
          <t>00591441</t>
        </is>
      </c>
      <c r="C277" s="24" t="inlineStr">
        <is>
          <t>어보브반도체</t>
        </is>
      </c>
      <c r="D277" s="24" t="inlineStr">
        <is>
          <t>abov</t>
        </is>
      </c>
      <c r="E277" s="24" t="inlineStr">
        <is>
          <t>102120</t>
        </is>
      </c>
      <c r="F277" s="24" t="inlineStr">
        <is>
          <t>2022</t>
        </is>
      </c>
      <c r="G277" s="24" t="inlineStr">
        <is>
          <t>CFS</t>
        </is>
      </c>
      <c r="H277" s="24" t="inlineStr">
        <is>
          <t>SCE</t>
        </is>
      </c>
      <c r="I277" s="24" t="inlineStr">
        <is>
          <t>자본변동표</t>
        </is>
      </c>
      <c r="J277" s="24" t="inlineStr">
        <is>
          <t>ifrs-full_ProfitLoss</t>
        </is>
      </c>
      <c r="K277" s="24" t="inlineStr">
        <is>
          <t>당기순이익(손실)</t>
        </is>
      </c>
      <c r="L277" s="24" t="inlineStr">
        <is>
          <t>자본 [member]|지배기업의 소유주에게 귀속되는 자본 [member]|자본금 [member]</t>
        </is>
      </c>
      <c r="M277" s="24" t="inlineStr">
        <is>
          <t>제 17 기</t>
        </is>
      </c>
      <c r="N277" s="24" t="inlineStr">
        <is>
          <t>0.0</t>
        </is>
      </c>
      <c r="O277" s="24" t="inlineStr">
        <is>
          <t>0.0</t>
        </is>
      </c>
      <c r="P277" s="24" t="inlineStr">
        <is>
          <t>KRW</t>
        </is>
      </c>
      <c r="Q277" s="24" t="inlineStr">
        <is>
          <t>2</t>
        </is>
      </c>
    </row>
    <row r="278" ht="24" customHeight="1">
      <c r="A278" s="29" t="inlineStr">
        <is>
          <t>OpenDART_fnlttSinglAcntAll</t>
        </is>
      </c>
      <c r="B278" s="29" t="inlineStr">
        <is>
          <t>00591441</t>
        </is>
      </c>
      <c r="C278" s="29" t="inlineStr">
        <is>
          <t>어보브반도체</t>
        </is>
      </c>
      <c r="D278" s="29" t="inlineStr">
        <is>
          <t>abov</t>
        </is>
      </c>
      <c r="E278" s="29" t="inlineStr">
        <is>
          <t>102120</t>
        </is>
      </c>
      <c r="F278" s="29" t="inlineStr">
        <is>
          <t>2022</t>
        </is>
      </c>
      <c r="G278" s="29" t="inlineStr">
        <is>
          <t>CFS</t>
        </is>
      </c>
      <c r="H278" s="29" t="inlineStr">
        <is>
          <t>SCE</t>
        </is>
      </c>
      <c r="I278" s="29" t="inlineStr">
        <is>
          <t>자본변동표</t>
        </is>
      </c>
      <c r="J278" s="29" t="inlineStr">
        <is>
          <t>ifrs-full_ProfitLoss</t>
        </is>
      </c>
      <c r="K278" s="29" t="inlineStr">
        <is>
          <t>당기순이익(손실)</t>
        </is>
      </c>
      <c r="L278" s="29" t="inlineStr">
        <is>
          <t>자본 [member]|지배기업의 소유주에게 귀속되는 자본 [member]|이익잉여금 [member]</t>
        </is>
      </c>
      <c r="M278" s="29" t="inlineStr">
        <is>
          <t>제 17 기</t>
        </is>
      </c>
      <c r="N278" s="29" t="inlineStr">
        <is>
          <t>12447173980.0</t>
        </is>
      </c>
      <c r="O278" s="29" t="inlineStr">
        <is>
          <t>13707442319.0</t>
        </is>
      </c>
      <c r="P278" s="29" t="inlineStr">
        <is>
          <t>KRW</t>
        </is>
      </c>
      <c r="Q278" s="29" t="inlineStr">
        <is>
          <t>2</t>
        </is>
      </c>
    </row>
    <row r="279" ht="24" customHeight="1">
      <c r="A279" s="24" t="inlineStr">
        <is>
          <t>OpenDART_fnlttSinglAcntAll</t>
        </is>
      </c>
      <c r="B279" s="24" t="inlineStr">
        <is>
          <t>00591441</t>
        </is>
      </c>
      <c r="C279" s="24" t="inlineStr">
        <is>
          <t>어보브반도체</t>
        </is>
      </c>
      <c r="D279" s="24" t="inlineStr">
        <is>
          <t>abov</t>
        </is>
      </c>
      <c r="E279" s="24" t="inlineStr">
        <is>
          <t>102120</t>
        </is>
      </c>
      <c r="F279" s="24" t="inlineStr">
        <is>
          <t>2022</t>
        </is>
      </c>
      <c r="G279" s="24" t="inlineStr">
        <is>
          <t>CFS</t>
        </is>
      </c>
      <c r="H279" s="24" t="inlineStr">
        <is>
          <t>SCE</t>
        </is>
      </c>
      <c r="I279" s="24" t="inlineStr">
        <is>
          <t>자본변동표</t>
        </is>
      </c>
      <c r="J279" s="24" t="inlineStr">
        <is>
          <t>ifrs-full_ProfitLoss</t>
        </is>
      </c>
      <c r="K279" s="24" t="inlineStr">
        <is>
          <t>당기순이익(손실)</t>
        </is>
      </c>
      <c r="L279" s="24" t="inlineStr">
        <is>
          <t>자본 [member]|지배기업의 소유주에게 귀속되는 자본 [member]|기타포괄손익누계액 [member]</t>
        </is>
      </c>
      <c r="M279" s="24" t="inlineStr">
        <is>
          <t>제 17 기</t>
        </is>
      </c>
      <c r="N279" s="24" t="inlineStr">
        <is>
          <t>0.0</t>
        </is>
      </c>
      <c r="O279" s="24" t="inlineStr">
        <is>
          <t>0.0</t>
        </is>
      </c>
      <c r="P279" s="24" t="inlineStr">
        <is>
          <t>KRW</t>
        </is>
      </c>
      <c r="Q279" s="24" t="inlineStr">
        <is>
          <t>2</t>
        </is>
      </c>
    </row>
    <row r="280" ht="24" customHeight="1">
      <c r="A280" s="29" t="inlineStr">
        <is>
          <t>OpenDART_fnlttSinglAcntAll</t>
        </is>
      </c>
      <c r="B280" s="29" t="inlineStr">
        <is>
          <t>00591441</t>
        </is>
      </c>
      <c r="C280" s="29" t="inlineStr">
        <is>
          <t>어보브반도체</t>
        </is>
      </c>
      <c r="D280" s="29" t="inlineStr">
        <is>
          <t>abov</t>
        </is>
      </c>
      <c r="E280" s="29" t="inlineStr">
        <is>
          <t>102120</t>
        </is>
      </c>
      <c r="F280" s="29" t="inlineStr">
        <is>
          <t>2022</t>
        </is>
      </c>
      <c r="G280" s="29" t="inlineStr">
        <is>
          <t>CFS</t>
        </is>
      </c>
      <c r="H280" s="29" t="inlineStr">
        <is>
          <t>SCE</t>
        </is>
      </c>
      <c r="I280" s="29" t="inlineStr">
        <is>
          <t>자본변동표</t>
        </is>
      </c>
      <c r="J280" s="29" t="inlineStr">
        <is>
          <t>ifrs-full_ProfitLoss</t>
        </is>
      </c>
      <c r="K280" s="29" t="inlineStr">
        <is>
          <t>당기순이익(손실)</t>
        </is>
      </c>
      <c r="L280" s="29" t="inlineStr">
        <is>
          <t>자본 [member]|지배기업의 소유주에게 귀속되는 자본 [member]|기타자본항목</t>
        </is>
      </c>
      <c r="M280" s="29" t="inlineStr">
        <is>
          <t>제 17 기</t>
        </is>
      </c>
      <c r="N280" s="29" t="inlineStr">
        <is>
          <t>0.0</t>
        </is>
      </c>
      <c r="O280" s="29" t="inlineStr">
        <is>
          <t>0.0</t>
        </is>
      </c>
      <c r="P280" s="29" t="inlineStr">
        <is>
          <t>KRW</t>
        </is>
      </c>
      <c r="Q280" s="29" t="inlineStr">
        <is>
          <t>2</t>
        </is>
      </c>
    </row>
    <row r="281" ht="24" customHeight="1">
      <c r="A281" s="24" t="inlineStr">
        <is>
          <t>OpenDART_fnlttSinglAcntAll</t>
        </is>
      </c>
      <c r="B281" s="24" t="inlineStr">
        <is>
          <t>00591441</t>
        </is>
      </c>
      <c r="C281" s="24" t="inlineStr">
        <is>
          <t>어보브반도체</t>
        </is>
      </c>
      <c r="D281" s="24" t="inlineStr">
        <is>
          <t>abov</t>
        </is>
      </c>
      <c r="E281" s="24" t="inlineStr">
        <is>
          <t>102120</t>
        </is>
      </c>
      <c r="F281" s="24" t="inlineStr">
        <is>
          <t>2022</t>
        </is>
      </c>
      <c r="G281" s="24" t="inlineStr">
        <is>
          <t>CFS</t>
        </is>
      </c>
      <c r="H281" s="24" t="inlineStr">
        <is>
          <t>SCE</t>
        </is>
      </c>
      <c r="I281" s="24" t="inlineStr">
        <is>
          <t>자본변동표</t>
        </is>
      </c>
      <c r="J281" s="24" t="inlineStr">
        <is>
          <t>ifrs-full_ProfitLoss</t>
        </is>
      </c>
      <c r="K281" s="24" t="inlineStr">
        <is>
          <t>당기순이익(손실)</t>
        </is>
      </c>
      <c r="L281" s="24" t="inlineStr">
        <is>
          <t>자본 [member]|지배기업의 소유주에게 귀속되는 자본 [member]</t>
        </is>
      </c>
      <c r="M281" s="24" t="inlineStr">
        <is>
          <t>제 17 기</t>
        </is>
      </c>
      <c r="N281" s="24" t="inlineStr">
        <is>
          <t>12447173980.0</t>
        </is>
      </c>
      <c r="O281" s="24" t="inlineStr">
        <is>
          <t>13707442319.0</t>
        </is>
      </c>
      <c r="P281" s="24" t="inlineStr">
        <is>
          <t>KRW</t>
        </is>
      </c>
      <c r="Q281" s="24" t="inlineStr">
        <is>
          <t>2</t>
        </is>
      </c>
    </row>
    <row r="282" ht="24" customHeight="1">
      <c r="A282" s="29" t="inlineStr">
        <is>
          <t>OpenDART_fnlttSinglAcntAll</t>
        </is>
      </c>
      <c r="B282" s="29" t="inlineStr">
        <is>
          <t>00591441</t>
        </is>
      </c>
      <c r="C282" s="29" t="inlineStr">
        <is>
          <t>어보브반도체</t>
        </is>
      </c>
      <c r="D282" s="29" t="inlineStr">
        <is>
          <t>abov</t>
        </is>
      </c>
      <c r="E282" s="29" t="inlineStr">
        <is>
          <t>102120</t>
        </is>
      </c>
      <c r="F282" s="29" t="inlineStr">
        <is>
          <t>2022</t>
        </is>
      </c>
      <c r="G282" s="29" t="inlineStr">
        <is>
          <t>CFS</t>
        </is>
      </c>
      <c r="H282" s="29" t="inlineStr">
        <is>
          <t>SCE</t>
        </is>
      </c>
      <c r="I282" s="29" t="inlineStr">
        <is>
          <t>자본변동표</t>
        </is>
      </c>
      <c r="J282" s="29" t="inlineStr">
        <is>
          <t>ifrs-full_ProfitLoss</t>
        </is>
      </c>
      <c r="K282" s="29" t="inlineStr">
        <is>
          <t>당기순이익(손실)</t>
        </is>
      </c>
      <c r="L282" s="29" t="inlineStr">
        <is>
          <t>연결재무제표 [member]</t>
        </is>
      </c>
      <c r="M282" s="29" t="inlineStr">
        <is>
          <t>제 17 기</t>
        </is>
      </c>
      <c r="N282" s="29" t="inlineStr">
        <is>
          <t>12654577621.0</t>
        </is>
      </c>
      <c r="O282" s="29" t="inlineStr">
        <is>
          <t>13707442319.0</t>
        </is>
      </c>
      <c r="P282" s="29" t="inlineStr">
        <is>
          <t>KRW</t>
        </is>
      </c>
      <c r="Q282" s="29" t="inlineStr">
        <is>
          <t>2</t>
        </is>
      </c>
    </row>
    <row r="283" ht="24" customHeight="1">
      <c r="A283" s="24" t="inlineStr">
        <is>
          <t>OpenDART_fnlttSinglAcntAll</t>
        </is>
      </c>
      <c r="B283" s="24" t="inlineStr">
        <is>
          <t>00591441</t>
        </is>
      </c>
      <c r="C283" s="24" t="inlineStr">
        <is>
          <t>어보브반도체</t>
        </is>
      </c>
      <c r="D283" s="24" t="inlineStr">
        <is>
          <t>abov</t>
        </is>
      </c>
      <c r="E283" s="24" t="inlineStr">
        <is>
          <t>102120</t>
        </is>
      </c>
      <c r="F283" s="24" t="inlineStr">
        <is>
          <t>2022</t>
        </is>
      </c>
      <c r="G283" s="24" t="inlineStr">
        <is>
          <t>CFS</t>
        </is>
      </c>
      <c r="H283" s="24" t="inlineStr">
        <is>
          <t>SCE</t>
        </is>
      </c>
      <c r="I283" s="24" t="inlineStr">
        <is>
          <t>자본변동표</t>
        </is>
      </c>
      <c r="J283" s="24" t="inlineStr">
        <is>
          <t>ifrs-full_ProfitLoss</t>
        </is>
      </c>
      <c r="K283" s="24" t="inlineStr">
        <is>
          <t>당기순이익(손실)</t>
        </is>
      </c>
      <c r="L283" s="24" t="inlineStr">
        <is>
          <t>자본 [member]|비지배지분 [member]</t>
        </is>
      </c>
      <c r="M283" s="24" t="inlineStr">
        <is>
          <t>제 17 기</t>
        </is>
      </c>
      <c r="N283" s="24" t="inlineStr">
        <is>
          <t>207403641.0</t>
        </is>
      </c>
      <c r="O283" s="24" t="inlineStr">
        <is>
          <t>0.0</t>
        </is>
      </c>
      <c r="P283" s="24" t="inlineStr">
        <is>
          <t>KRW</t>
        </is>
      </c>
      <c r="Q283" s="24" t="inlineStr">
        <is>
          <t>2</t>
        </is>
      </c>
    </row>
    <row r="284" ht="24" customHeight="1">
      <c r="A284" s="29" t="inlineStr">
        <is>
          <t>OpenDART_fnlttSinglAcntAll</t>
        </is>
      </c>
      <c r="B284" s="29" t="inlineStr">
        <is>
          <t>00591441</t>
        </is>
      </c>
      <c r="C284" s="29" t="inlineStr">
        <is>
          <t>어보브반도체</t>
        </is>
      </c>
      <c r="D284" s="29" t="inlineStr">
        <is>
          <t>abov</t>
        </is>
      </c>
      <c r="E284" s="29" t="inlineStr">
        <is>
          <t>102120</t>
        </is>
      </c>
      <c r="F284" s="29" t="inlineStr">
        <is>
          <t>2022</t>
        </is>
      </c>
      <c r="G284" s="29" t="inlineStr">
        <is>
          <t>CFS</t>
        </is>
      </c>
      <c r="H284" s="29" t="inlineStr">
        <is>
          <t>SCE</t>
        </is>
      </c>
      <c r="I284" s="29" t="inlineStr">
        <is>
          <t>자본변동표</t>
        </is>
      </c>
      <c r="J284" s="29" t="inlineStr">
        <is>
          <t>dart_OtherComprehensiveIncomeForStatementOfChangesInEquity</t>
        </is>
      </c>
      <c r="K284" s="29" t="inlineStr">
        <is>
          <t>순확정급여부채의 재측정요소</t>
        </is>
      </c>
      <c r="L284" s="29" t="inlineStr">
        <is>
          <t>자본 [member]|지배기업의 소유주에게 귀속되는 자본 [member]|자본금 [member]</t>
        </is>
      </c>
      <c r="M284" s="29" t="inlineStr">
        <is>
          <t>제 17 기</t>
        </is>
      </c>
      <c r="N284" s="29" t="inlineStr">
        <is>
          <t>0.0</t>
        </is>
      </c>
      <c r="O284" s="29" t="inlineStr">
        <is>
          <t>0.0</t>
        </is>
      </c>
      <c r="P284" s="29" t="inlineStr">
        <is>
          <t>KRW</t>
        </is>
      </c>
      <c r="Q284" s="29" t="inlineStr">
        <is>
          <t>3</t>
        </is>
      </c>
    </row>
    <row r="285" ht="24" customHeight="1">
      <c r="A285" s="24" t="inlineStr">
        <is>
          <t>OpenDART_fnlttSinglAcntAll</t>
        </is>
      </c>
      <c r="B285" s="24" t="inlineStr">
        <is>
          <t>00591441</t>
        </is>
      </c>
      <c r="C285" s="24" t="inlineStr">
        <is>
          <t>어보브반도체</t>
        </is>
      </c>
      <c r="D285" s="24" t="inlineStr">
        <is>
          <t>abov</t>
        </is>
      </c>
      <c r="E285" s="24" t="inlineStr">
        <is>
          <t>102120</t>
        </is>
      </c>
      <c r="F285" s="24" t="inlineStr">
        <is>
          <t>2022</t>
        </is>
      </c>
      <c r="G285" s="24" t="inlineStr">
        <is>
          <t>CFS</t>
        </is>
      </c>
      <c r="H285" s="24" t="inlineStr">
        <is>
          <t>SCE</t>
        </is>
      </c>
      <c r="I285" s="24" t="inlineStr">
        <is>
          <t>자본변동표</t>
        </is>
      </c>
      <c r="J285" s="24" t="inlineStr">
        <is>
          <t>dart_OtherComprehensiveIncomeForStatementOfChangesInEquity</t>
        </is>
      </c>
      <c r="K285" s="24" t="inlineStr">
        <is>
          <t>순확정급여부채의 재측정요소</t>
        </is>
      </c>
      <c r="L285" s="24" t="inlineStr">
        <is>
          <t>자본 [member]|지배기업의 소유주에게 귀속되는 자본 [member]|이익잉여금 [member]</t>
        </is>
      </c>
      <c r="M285" s="24" t="inlineStr">
        <is>
          <t>제 17 기</t>
        </is>
      </c>
      <c r="N285" s="24" t="inlineStr">
        <is>
          <t>-106410356.0</t>
        </is>
      </c>
      <c r="O285" s="24" t="inlineStr">
        <is>
          <t>-63551736.0</t>
        </is>
      </c>
      <c r="P285" s="24" t="inlineStr">
        <is>
          <t>KRW</t>
        </is>
      </c>
      <c r="Q285" s="24" t="inlineStr">
        <is>
          <t>3</t>
        </is>
      </c>
    </row>
    <row r="286" ht="24" customHeight="1">
      <c r="A286" s="29" t="inlineStr">
        <is>
          <t>OpenDART_fnlttSinglAcntAll</t>
        </is>
      </c>
      <c r="B286" s="29" t="inlineStr">
        <is>
          <t>00591441</t>
        </is>
      </c>
      <c r="C286" s="29" t="inlineStr">
        <is>
          <t>어보브반도체</t>
        </is>
      </c>
      <c r="D286" s="29" t="inlineStr">
        <is>
          <t>abov</t>
        </is>
      </c>
      <c r="E286" s="29" t="inlineStr">
        <is>
          <t>102120</t>
        </is>
      </c>
      <c r="F286" s="29" t="inlineStr">
        <is>
          <t>2022</t>
        </is>
      </c>
      <c r="G286" s="29" t="inlineStr">
        <is>
          <t>CFS</t>
        </is>
      </c>
      <c r="H286" s="29" t="inlineStr">
        <is>
          <t>SCE</t>
        </is>
      </c>
      <c r="I286" s="29" t="inlineStr">
        <is>
          <t>자본변동표</t>
        </is>
      </c>
      <c r="J286" s="29" t="inlineStr">
        <is>
          <t>dart_OtherComprehensiveIncomeForStatementOfChangesInEquity</t>
        </is>
      </c>
      <c r="K286" s="29" t="inlineStr">
        <is>
          <t>순확정급여부채의 재측정요소</t>
        </is>
      </c>
      <c r="L286" s="29" t="inlineStr">
        <is>
          <t>자본 [member]|지배기업의 소유주에게 귀속되는 자본 [member]|기타포괄손익누계액 [member]</t>
        </is>
      </c>
      <c r="M286" s="29" t="inlineStr">
        <is>
          <t>제 17 기</t>
        </is>
      </c>
      <c r="N286" s="29" t="inlineStr">
        <is>
          <t>0.0</t>
        </is>
      </c>
      <c r="O286" s="29" t="inlineStr">
        <is>
          <t>0.0</t>
        </is>
      </c>
      <c r="P286" s="29" t="inlineStr">
        <is>
          <t>KRW</t>
        </is>
      </c>
      <c r="Q286" s="29" t="inlineStr">
        <is>
          <t>3</t>
        </is>
      </c>
    </row>
    <row r="287" ht="24" customHeight="1">
      <c r="A287" s="24" t="inlineStr">
        <is>
          <t>OpenDART_fnlttSinglAcntAll</t>
        </is>
      </c>
      <c r="B287" s="24" t="inlineStr">
        <is>
          <t>00591441</t>
        </is>
      </c>
      <c r="C287" s="24" t="inlineStr">
        <is>
          <t>어보브반도체</t>
        </is>
      </c>
      <c r="D287" s="24" t="inlineStr">
        <is>
          <t>abov</t>
        </is>
      </c>
      <c r="E287" s="24" t="inlineStr">
        <is>
          <t>102120</t>
        </is>
      </c>
      <c r="F287" s="24" t="inlineStr">
        <is>
          <t>2022</t>
        </is>
      </c>
      <c r="G287" s="24" t="inlineStr">
        <is>
          <t>CFS</t>
        </is>
      </c>
      <c r="H287" s="24" t="inlineStr">
        <is>
          <t>SCE</t>
        </is>
      </c>
      <c r="I287" s="24" t="inlineStr">
        <is>
          <t>자본변동표</t>
        </is>
      </c>
      <c r="J287" s="24" t="inlineStr">
        <is>
          <t>dart_OtherComprehensiveIncomeForStatementOfChangesInEquity</t>
        </is>
      </c>
      <c r="K287" s="24" t="inlineStr">
        <is>
          <t>순확정급여부채의 재측정요소</t>
        </is>
      </c>
      <c r="L287" s="24" t="inlineStr">
        <is>
          <t>자본 [member]|지배기업의 소유주에게 귀속되는 자본 [member]|기타자본항목</t>
        </is>
      </c>
      <c r="M287" s="24" t="inlineStr">
        <is>
          <t>제 17 기</t>
        </is>
      </c>
      <c r="N287" s="24" t="inlineStr">
        <is>
          <t>0.0</t>
        </is>
      </c>
      <c r="O287" s="24" t="inlineStr">
        <is>
          <t>0.0</t>
        </is>
      </c>
      <c r="P287" s="24" t="inlineStr">
        <is>
          <t>KRW</t>
        </is>
      </c>
      <c r="Q287" s="24" t="inlineStr">
        <is>
          <t>3</t>
        </is>
      </c>
    </row>
    <row r="288" ht="24" customHeight="1">
      <c r="A288" s="29" t="inlineStr">
        <is>
          <t>OpenDART_fnlttSinglAcntAll</t>
        </is>
      </c>
      <c r="B288" s="29" t="inlineStr">
        <is>
          <t>00591441</t>
        </is>
      </c>
      <c r="C288" s="29" t="inlineStr">
        <is>
          <t>어보브반도체</t>
        </is>
      </c>
      <c r="D288" s="29" t="inlineStr">
        <is>
          <t>abov</t>
        </is>
      </c>
      <c r="E288" s="29" t="inlineStr">
        <is>
          <t>102120</t>
        </is>
      </c>
      <c r="F288" s="29" t="inlineStr">
        <is>
          <t>2022</t>
        </is>
      </c>
      <c r="G288" s="29" t="inlineStr">
        <is>
          <t>CFS</t>
        </is>
      </c>
      <c r="H288" s="29" t="inlineStr">
        <is>
          <t>SCE</t>
        </is>
      </c>
      <c r="I288" s="29" t="inlineStr">
        <is>
          <t>자본변동표</t>
        </is>
      </c>
      <c r="J288" s="29" t="inlineStr">
        <is>
          <t>dart_OtherComprehensiveIncomeForStatementOfChangesInEquity</t>
        </is>
      </c>
      <c r="K288" s="29" t="inlineStr">
        <is>
          <t>순확정급여부채의 재측정요소</t>
        </is>
      </c>
      <c r="L288" s="29" t="inlineStr">
        <is>
          <t>자본 [member]|지배기업의 소유주에게 귀속되는 자본 [member]</t>
        </is>
      </c>
      <c r="M288" s="29" t="inlineStr">
        <is>
          <t>제 17 기</t>
        </is>
      </c>
      <c r="N288" s="29" t="inlineStr">
        <is>
          <t>-106410356.0</t>
        </is>
      </c>
      <c r="O288" s="29" t="inlineStr">
        <is>
          <t>-63551736.0</t>
        </is>
      </c>
      <c r="P288" s="29" t="inlineStr">
        <is>
          <t>KRW</t>
        </is>
      </c>
      <c r="Q288" s="29" t="inlineStr">
        <is>
          <t>3</t>
        </is>
      </c>
    </row>
    <row r="289" ht="24" customHeight="1">
      <c r="A289" s="24" t="inlineStr">
        <is>
          <t>OpenDART_fnlttSinglAcntAll</t>
        </is>
      </c>
      <c r="B289" s="24" t="inlineStr">
        <is>
          <t>00591441</t>
        </is>
      </c>
      <c r="C289" s="24" t="inlineStr">
        <is>
          <t>어보브반도체</t>
        </is>
      </c>
      <c r="D289" s="24" t="inlineStr">
        <is>
          <t>abov</t>
        </is>
      </c>
      <c r="E289" s="24" t="inlineStr">
        <is>
          <t>102120</t>
        </is>
      </c>
      <c r="F289" s="24" t="inlineStr">
        <is>
          <t>2022</t>
        </is>
      </c>
      <c r="G289" s="24" t="inlineStr">
        <is>
          <t>CFS</t>
        </is>
      </c>
      <c r="H289" s="24" t="inlineStr">
        <is>
          <t>SCE</t>
        </is>
      </c>
      <c r="I289" s="24" t="inlineStr">
        <is>
          <t>자본변동표</t>
        </is>
      </c>
      <c r="J289" s="24" t="inlineStr">
        <is>
          <t>dart_OtherComprehensiveIncomeForStatementOfChangesInEquity</t>
        </is>
      </c>
      <c r="K289" s="24" t="inlineStr">
        <is>
          <t>순확정급여부채의 재측정요소</t>
        </is>
      </c>
      <c r="L289" s="24" t="inlineStr">
        <is>
          <t>자본 [member]|비지배지분 [member]</t>
        </is>
      </c>
      <c r="M289" s="24" t="inlineStr">
        <is>
          <t>제 17 기</t>
        </is>
      </c>
      <c r="N289" s="24" t="inlineStr">
        <is>
          <t>0.0</t>
        </is>
      </c>
      <c r="O289" s="24" t="inlineStr">
        <is>
          <t>0.0</t>
        </is>
      </c>
      <c r="P289" s="24" t="inlineStr">
        <is>
          <t>KRW</t>
        </is>
      </c>
      <c r="Q289" s="24" t="inlineStr">
        <is>
          <t>3</t>
        </is>
      </c>
    </row>
    <row r="290" ht="24" customHeight="1">
      <c r="A290" s="29" t="inlineStr">
        <is>
          <t>OpenDART_fnlttSinglAcntAll</t>
        </is>
      </c>
      <c r="B290" s="29" t="inlineStr">
        <is>
          <t>00591441</t>
        </is>
      </c>
      <c r="C290" s="29" t="inlineStr">
        <is>
          <t>어보브반도체</t>
        </is>
      </c>
      <c r="D290" s="29" t="inlineStr">
        <is>
          <t>abov</t>
        </is>
      </c>
      <c r="E290" s="29" t="inlineStr">
        <is>
          <t>102120</t>
        </is>
      </c>
      <c r="F290" s="29" t="inlineStr">
        <is>
          <t>2022</t>
        </is>
      </c>
      <c r="G290" s="29" t="inlineStr">
        <is>
          <t>CFS</t>
        </is>
      </c>
      <c r="H290" s="29" t="inlineStr">
        <is>
          <t>SCE</t>
        </is>
      </c>
      <c r="I290" s="29" t="inlineStr">
        <is>
          <t>자본변동표</t>
        </is>
      </c>
      <c r="J290" s="29" t="inlineStr">
        <is>
          <t>dart_OtherComprehensiveIncomeForStatementOfChangesInEquity</t>
        </is>
      </c>
      <c r="K290" s="29" t="inlineStr">
        <is>
          <t>순확정급여부채의 재측정요소</t>
        </is>
      </c>
      <c r="L290" s="29" t="inlineStr">
        <is>
          <t>연결재무제표 [member]</t>
        </is>
      </c>
      <c r="M290" s="29" t="inlineStr">
        <is>
          <t>제 17 기</t>
        </is>
      </c>
      <c r="N290" s="29" t="inlineStr">
        <is>
          <t>-106410356.0</t>
        </is>
      </c>
      <c r="O290" s="29" t="inlineStr">
        <is>
          <t>-63551736.0</t>
        </is>
      </c>
      <c r="P290" s="29" t="inlineStr">
        <is>
          <t>KRW</t>
        </is>
      </c>
      <c r="Q290" s="29" t="inlineStr">
        <is>
          <t>3</t>
        </is>
      </c>
    </row>
    <row r="291" ht="24" customHeight="1">
      <c r="A291" s="24" t="inlineStr">
        <is>
          <t>OpenDART_fnlttSinglAcntAll</t>
        </is>
      </c>
      <c r="B291" s="24" t="inlineStr">
        <is>
          <t>00591441</t>
        </is>
      </c>
      <c r="C291" s="24" t="inlineStr">
        <is>
          <t>어보브반도체</t>
        </is>
      </c>
      <c r="D291" s="24" t="inlineStr">
        <is>
          <t>abov</t>
        </is>
      </c>
      <c r="E291" s="24" t="inlineStr">
        <is>
          <t>102120</t>
        </is>
      </c>
      <c r="F291" s="24" t="inlineStr">
        <is>
          <t>2022</t>
        </is>
      </c>
      <c r="G291" s="24" t="inlineStr">
        <is>
          <t>CFS</t>
        </is>
      </c>
      <c r="H291" s="24" t="inlineStr">
        <is>
          <t>SCE</t>
        </is>
      </c>
      <c r="I291" s="24" t="inlineStr">
        <is>
          <t>자본변동표</t>
        </is>
      </c>
      <c r="J291" s="24" t="inlineStr">
        <is>
          <t>dart_OtherComprehensiveIncomeForStatementOfChangesInEquity</t>
        </is>
      </c>
      <c r="K291" s="24" t="inlineStr">
        <is>
          <t>순확정급여부채의 재측정요소</t>
        </is>
      </c>
      <c r="L291" s="24" t="inlineStr">
        <is>
          <t>자본 [member]|지배기업의 소유주에게 귀속되는 자본 [member]|자본잉여금 [member]</t>
        </is>
      </c>
      <c r="M291" s="24" t="inlineStr">
        <is>
          <t>제 17 기</t>
        </is>
      </c>
      <c r="N291" s="24" t="inlineStr">
        <is>
          <t>0.0</t>
        </is>
      </c>
      <c r="O291" s="24" t="inlineStr">
        <is>
          <t>0.0</t>
        </is>
      </c>
      <c r="P291" s="24" t="inlineStr">
        <is>
          <t>KRW</t>
        </is>
      </c>
      <c r="Q291" s="24" t="inlineStr">
        <is>
          <t>3</t>
        </is>
      </c>
    </row>
    <row r="292" ht="24" customHeight="1">
      <c r="A292" s="29" t="inlineStr">
        <is>
          <t>OpenDART_fnlttSinglAcntAll</t>
        </is>
      </c>
      <c r="B292" s="29" t="inlineStr">
        <is>
          <t>00591441</t>
        </is>
      </c>
      <c r="C292" s="29" t="inlineStr">
        <is>
          <t>어보브반도체</t>
        </is>
      </c>
      <c r="D292" s="29" t="inlineStr">
        <is>
          <t>abov</t>
        </is>
      </c>
      <c r="E292" s="29" t="inlineStr">
        <is>
          <t>102120</t>
        </is>
      </c>
      <c r="F292" s="29" t="inlineStr">
        <is>
          <t>2022</t>
        </is>
      </c>
      <c r="G292" s="29" t="inlineStr">
        <is>
          <t>CFS</t>
        </is>
      </c>
      <c r="H292" s="29" t="inlineStr">
        <is>
          <t>SCE</t>
        </is>
      </c>
      <c r="I292" s="29" t="inlineStr">
        <is>
          <t>자본변동표</t>
        </is>
      </c>
      <c r="J292" s="29" t="inlineStr">
        <is>
          <t>dart_ChangesInReserveOfGainsAndLossesOnFinancialAssetsMeasuredAtFairValueThroughOtherComprehensiveIncome</t>
        </is>
      </c>
      <c r="K292" s="29" t="inlineStr">
        <is>
          <t>기타포괄손익공정가치측정금융자산 평가손익</t>
        </is>
      </c>
      <c r="L292" s="29" t="inlineStr">
        <is>
          <t>연결재무제표 [member]</t>
        </is>
      </c>
      <c r="M292" s="29" t="inlineStr">
        <is>
          <t>제 17 기</t>
        </is>
      </c>
      <c r="N292" s="29" t="inlineStr">
        <is>
          <t>-37508434.0</t>
        </is>
      </c>
      <c r="O292" s="29" t="inlineStr">
        <is>
          <t>435457989.0</t>
        </is>
      </c>
      <c r="P292" s="29" t="inlineStr">
        <is>
          <t>KRW</t>
        </is>
      </c>
      <c r="Q292" s="29" t="inlineStr">
        <is>
          <t>4</t>
        </is>
      </c>
    </row>
    <row r="293" ht="24" customHeight="1">
      <c r="A293" s="24" t="inlineStr">
        <is>
          <t>OpenDART_fnlttSinglAcntAll</t>
        </is>
      </c>
      <c r="B293" s="24" t="inlineStr">
        <is>
          <t>00591441</t>
        </is>
      </c>
      <c r="C293" s="24" t="inlineStr">
        <is>
          <t>어보브반도체</t>
        </is>
      </c>
      <c r="D293" s="24" t="inlineStr">
        <is>
          <t>abov</t>
        </is>
      </c>
      <c r="E293" s="24" t="inlineStr">
        <is>
          <t>102120</t>
        </is>
      </c>
      <c r="F293" s="24" t="inlineStr">
        <is>
          <t>2022</t>
        </is>
      </c>
      <c r="G293" s="24" t="inlineStr">
        <is>
          <t>CFS</t>
        </is>
      </c>
      <c r="H293" s="24" t="inlineStr">
        <is>
          <t>SCE</t>
        </is>
      </c>
      <c r="I293" s="24" t="inlineStr">
        <is>
          <t>자본변동표</t>
        </is>
      </c>
      <c r="J293" s="24" t="inlineStr">
        <is>
          <t>dart_ChangesInReserveOfGainsAndLossesOnFinancialAssetsMeasuredAtFairValueThroughOtherComprehensiveIncome</t>
        </is>
      </c>
      <c r="K293" s="24" t="inlineStr">
        <is>
          <t>기타포괄손익공정가치측정금융자산 평가손익</t>
        </is>
      </c>
      <c r="L293" s="24" t="inlineStr">
        <is>
          <t>자본 [member]|비지배지분 [member]</t>
        </is>
      </c>
      <c r="M293" s="24" t="inlineStr">
        <is>
          <t>제 17 기</t>
        </is>
      </c>
      <c r="N293" s="24" t="inlineStr">
        <is>
          <t>0.0</t>
        </is>
      </c>
      <c r="O293" s="24" t="inlineStr">
        <is>
          <t>0.0</t>
        </is>
      </c>
      <c r="P293" s="24" t="inlineStr">
        <is>
          <t>KRW</t>
        </is>
      </c>
      <c r="Q293" s="24" t="inlineStr">
        <is>
          <t>4</t>
        </is>
      </c>
    </row>
    <row r="294" ht="24" customHeight="1">
      <c r="A294" s="29" t="inlineStr">
        <is>
          <t>OpenDART_fnlttSinglAcntAll</t>
        </is>
      </c>
      <c r="B294" s="29" t="inlineStr">
        <is>
          <t>00591441</t>
        </is>
      </c>
      <c r="C294" s="29" t="inlineStr">
        <is>
          <t>어보브반도체</t>
        </is>
      </c>
      <c r="D294" s="29" t="inlineStr">
        <is>
          <t>abov</t>
        </is>
      </c>
      <c r="E294" s="29" t="inlineStr">
        <is>
          <t>102120</t>
        </is>
      </c>
      <c r="F294" s="29" t="inlineStr">
        <is>
          <t>2022</t>
        </is>
      </c>
      <c r="G294" s="29" t="inlineStr">
        <is>
          <t>CFS</t>
        </is>
      </c>
      <c r="H294" s="29" t="inlineStr">
        <is>
          <t>SCE</t>
        </is>
      </c>
      <c r="I294" s="29" t="inlineStr">
        <is>
          <t>자본변동표</t>
        </is>
      </c>
      <c r="J294" s="29" t="inlineStr">
        <is>
          <t>dart_ChangesInReserveOfGainsAndLossesOnFinancialAssetsMeasuredAtFairValueThroughOtherComprehensiveIncome</t>
        </is>
      </c>
      <c r="K294" s="29" t="inlineStr">
        <is>
          <t>기타포괄손익공정가치측정금융자산 평가손익</t>
        </is>
      </c>
      <c r="L294" s="29" t="inlineStr">
        <is>
          <t>자본 [member]|지배기업의 소유주에게 귀속되는 자본 [member]</t>
        </is>
      </c>
      <c r="M294" s="29" t="inlineStr">
        <is>
          <t>제 17 기</t>
        </is>
      </c>
      <c r="N294" s="29" t="inlineStr">
        <is>
          <t>-37508434.0</t>
        </is>
      </c>
      <c r="O294" s="29" t="inlineStr">
        <is>
          <t>435457989.0</t>
        </is>
      </c>
      <c r="P294" s="29" t="inlineStr">
        <is>
          <t>KRW</t>
        </is>
      </c>
      <c r="Q294" s="29" t="inlineStr">
        <is>
          <t>4</t>
        </is>
      </c>
    </row>
    <row r="295" ht="24" customHeight="1">
      <c r="A295" s="24" t="inlineStr">
        <is>
          <t>OpenDART_fnlttSinglAcntAll</t>
        </is>
      </c>
      <c r="B295" s="24" t="inlineStr">
        <is>
          <t>00591441</t>
        </is>
      </c>
      <c r="C295" s="24" t="inlineStr">
        <is>
          <t>어보브반도체</t>
        </is>
      </c>
      <c r="D295" s="24" t="inlineStr">
        <is>
          <t>abov</t>
        </is>
      </c>
      <c r="E295" s="24" t="inlineStr">
        <is>
          <t>102120</t>
        </is>
      </c>
      <c r="F295" s="24" t="inlineStr">
        <is>
          <t>2022</t>
        </is>
      </c>
      <c r="G295" s="24" t="inlineStr">
        <is>
          <t>CFS</t>
        </is>
      </c>
      <c r="H295" s="24" t="inlineStr">
        <is>
          <t>SCE</t>
        </is>
      </c>
      <c r="I295" s="24" t="inlineStr">
        <is>
          <t>자본변동표</t>
        </is>
      </c>
      <c r="J295" s="24" t="inlineStr">
        <is>
          <t>dart_ChangesInReserveOfGainsAndLossesOnFinancialAssetsMeasuredAtFairValueThroughOtherComprehensiveIncome</t>
        </is>
      </c>
      <c r="K295" s="24" t="inlineStr">
        <is>
          <t>기타포괄손익공정가치측정금융자산 평가손익</t>
        </is>
      </c>
      <c r="L295" s="24" t="inlineStr">
        <is>
          <t>자본 [member]|지배기업의 소유주에게 귀속되는 자본 [member]|기타자본항목</t>
        </is>
      </c>
      <c r="M295" s="24" t="inlineStr">
        <is>
          <t>제 17 기</t>
        </is>
      </c>
      <c r="N295" s="24" t="inlineStr">
        <is>
          <t>0.0</t>
        </is>
      </c>
      <c r="O295" s="24" t="inlineStr">
        <is>
          <t>0.0</t>
        </is>
      </c>
      <c r="P295" s="24" t="inlineStr">
        <is>
          <t>KRW</t>
        </is>
      </c>
      <c r="Q295" s="24" t="inlineStr">
        <is>
          <t>4</t>
        </is>
      </c>
    </row>
    <row r="296" ht="24" customHeight="1">
      <c r="A296" s="29" t="inlineStr">
        <is>
          <t>OpenDART_fnlttSinglAcntAll</t>
        </is>
      </c>
      <c r="B296" s="29" t="inlineStr">
        <is>
          <t>00591441</t>
        </is>
      </c>
      <c r="C296" s="29" t="inlineStr">
        <is>
          <t>어보브반도체</t>
        </is>
      </c>
      <c r="D296" s="29" t="inlineStr">
        <is>
          <t>abov</t>
        </is>
      </c>
      <c r="E296" s="29" t="inlineStr">
        <is>
          <t>102120</t>
        </is>
      </c>
      <c r="F296" s="29" t="inlineStr">
        <is>
          <t>2022</t>
        </is>
      </c>
      <c r="G296" s="29" t="inlineStr">
        <is>
          <t>CFS</t>
        </is>
      </c>
      <c r="H296" s="29" t="inlineStr">
        <is>
          <t>SCE</t>
        </is>
      </c>
      <c r="I296" s="29" t="inlineStr">
        <is>
          <t>자본변동표</t>
        </is>
      </c>
      <c r="J296" s="29" t="inlineStr">
        <is>
          <t>dart_ChangesInReserveOfGainsAndLossesOnFinancialAssetsMeasuredAtFairValueThroughOtherComprehensiveIncome</t>
        </is>
      </c>
      <c r="K296" s="29" t="inlineStr">
        <is>
          <t>기타포괄손익공정가치측정금융자산 평가손익</t>
        </is>
      </c>
      <c r="L296" s="29" t="inlineStr">
        <is>
          <t>자본 [member]|지배기업의 소유주에게 귀속되는 자본 [member]|기타포괄손익누계액 [member]</t>
        </is>
      </c>
      <c r="M296" s="29" t="inlineStr">
        <is>
          <t>제 17 기</t>
        </is>
      </c>
      <c r="N296" s="29" t="inlineStr">
        <is>
          <t>-37508434.0</t>
        </is>
      </c>
      <c r="O296" s="29" t="inlineStr">
        <is>
          <t>435457989.0</t>
        </is>
      </c>
      <c r="P296" s="29" t="inlineStr">
        <is>
          <t>KRW</t>
        </is>
      </c>
      <c r="Q296" s="29" t="inlineStr">
        <is>
          <t>4</t>
        </is>
      </c>
    </row>
    <row r="297" ht="24" customHeight="1">
      <c r="A297" s="24" t="inlineStr">
        <is>
          <t>OpenDART_fnlttSinglAcntAll</t>
        </is>
      </c>
      <c r="B297" s="24" t="inlineStr">
        <is>
          <t>00591441</t>
        </is>
      </c>
      <c r="C297" s="24" t="inlineStr">
        <is>
          <t>어보브반도체</t>
        </is>
      </c>
      <c r="D297" s="24" t="inlineStr">
        <is>
          <t>abov</t>
        </is>
      </c>
      <c r="E297" s="24" t="inlineStr">
        <is>
          <t>102120</t>
        </is>
      </c>
      <c r="F297" s="24" t="inlineStr">
        <is>
          <t>2022</t>
        </is>
      </c>
      <c r="G297" s="24" t="inlineStr">
        <is>
          <t>CFS</t>
        </is>
      </c>
      <c r="H297" s="24" t="inlineStr">
        <is>
          <t>SCE</t>
        </is>
      </c>
      <c r="I297" s="24" t="inlineStr">
        <is>
          <t>자본변동표</t>
        </is>
      </c>
      <c r="J297" s="24" t="inlineStr">
        <is>
          <t>dart_ChangesInReserveOfGainsAndLossesOnFinancialAssetsMeasuredAtFairValueThroughOtherComprehensiveIncome</t>
        </is>
      </c>
      <c r="K297" s="24" t="inlineStr">
        <is>
          <t>기타포괄손익공정가치측정금융자산 평가손익</t>
        </is>
      </c>
      <c r="L297" s="24" t="inlineStr">
        <is>
          <t>자본 [member]|지배기업의 소유주에게 귀속되는 자본 [member]|자본잉여금 [member]</t>
        </is>
      </c>
      <c r="M297" s="24" t="inlineStr">
        <is>
          <t>제 17 기</t>
        </is>
      </c>
      <c r="N297" s="24" t="inlineStr">
        <is>
          <t>0.0</t>
        </is>
      </c>
      <c r="O297" s="24" t="inlineStr">
        <is>
          <t>0.0</t>
        </is>
      </c>
      <c r="P297" s="24" t="inlineStr">
        <is>
          <t>KRW</t>
        </is>
      </c>
      <c r="Q297" s="24" t="inlineStr">
        <is>
          <t>4</t>
        </is>
      </c>
    </row>
    <row r="298" ht="24" customHeight="1">
      <c r="A298" s="29" t="inlineStr">
        <is>
          <t>OpenDART_fnlttSinglAcntAll</t>
        </is>
      </c>
      <c r="B298" s="29" t="inlineStr">
        <is>
          <t>00591441</t>
        </is>
      </c>
      <c r="C298" s="29" t="inlineStr">
        <is>
          <t>어보브반도체</t>
        </is>
      </c>
      <c r="D298" s="29" t="inlineStr">
        <is>
          <t>abov</t>
        </is>
      </c>
      <c r="E298" s="29" t="inlineStr">
        <is>
          <t>102120</t>
        </is>
      </c>
      <c r="F298" s="29" t="inlineStr">
        <is>
          <t>2022</t>
        </is>
      </c>
      <c r="G298" s="29" t="inlineStr">
        <is>
          <t>CFS</t>
        </is>
      </c>
      <c r="H298" s="29" t="inlineStr">
        <is>
          <t>SCE</t>
        </is>
      </c>
      <c r="I298" s="29" t="inlineStr">
        <is>
          <t>자본변동표</t>
        </is>
      </c>
      <c r="J298" s="29" t="inlineStr">
        <is>
          <t>dart_ChangesInReserveOfGainsAndLossesOnFinancialAssetsMeasuredAtFairValueThroughOtherComprehensiveIncome</t>
        </is>
      </c>
      <c r="K298" s="29" t="inlineStr">
        <is>
          <t>기타포괄손익공정가치측정금융자산 평가손익</t>
        </is>
      </c>
      <c r="L298" s="29" t="inlineStr">
        <is>
          <t>자본 [member]|지배기업의 소유주에게 귀속되는 자본 [member]|자본금 [member]</t>
        </is>
      </c>
      <c r="M298" s="29" t="inlineStr">
        <is>
          <t>제 17 기</t>
        </is>
      </c>
      <c r="N298" s="29" t="inlineStr">
        <is>
          <t>0.0</t>
        </is>
      </c>
      <c r="O298" s="29" t="inlineStr">
        <is>
          <t>0.0</t>
        </is>
      </c>
      <c r="P298" s="29" t="inlineStr">
        <is>
          <t>KRW</t>
        </is>
      </c>
      <c r="Q298" s="29" t="inlineStr">
        <is>
          <t>4</t>
        </is>
      </c>
    </row>
    <row r="299" ht="24" customHeight="1">
      <c r="A299" s="24" t="inlineStr">
        <is>
          <t>OpenDART_fnlttSinglAcntAll</t>
        </is>
      </c>
      <c r="B299" s="24" t="inlineStr">
        <is>
          <t>00591441</t>
        </is>
      </c>
      <c r="C299" s="24" t="inlineStr">
        <is>
          <t>어보브반도체</t>
        </is>
      </c>
      <c r="D299" s="24" t="inlineStr">
        <is>
          <t>abov</t>
        </is>
      </c>
      <c r="E299" s="24" t="inlineStr">
        <is>
          <t>102120</t>
        </is>
      </c>
      <c r="F299" s="24" t="inlineStr">
        <is>
          <t>2022</t>
        </is>
      </c>
      <c r="G299" s="24" t="inlineStr">
        <is>
          <t>CFS</t>
        </is>
      </c>
      <c r="H299" s="24" t="inlineStr">
        <is>
          <t>SCE</t>
        </is>
      </c>
      <c r="I299" s="24" t="inlineStr">
        <is>
          <t>자본변동표</t>
        </is>
      </c>
      <c r="J299" s="24" t="inlineStr">
        <is>
          <t>dart_ChangesInReserveOfGainsAndLossesOnFinancialAssetsMeasuredAtFairValueThroughOtherComprehensiveIncome</t>
        </is>
      </c>
      <c r="K299" s="24" t="inlineStr">
        <is>
          <t>기타포괄손익공정가치측정금융자산 평가손익</t>
        </is>
      </c>
      <c r="L299" s="24" t="inlineStr">
        <is>
          <t>자본 [member]|지배기업의 소유주에게 귀속되는 자본 [member]|이익잉여금 [member]</t>
        </is>
      </c>
      <c r="M299" s="24" t="inlineStr">
        <is>
          <t>제 17 기</t>
        </is>
      </c>
      <c r="N299" s="24" t="inlineStr">
        <is>
          <t>0.0</t>
        </is>
      </c>
      <c r="O299" s="24" t="inlineStr">
        <is>
          <t>0.0</t>
        </is>
      </c>
      <c r="P299" s="24" t="inlineStr">
        <is>
          <t>KRW</t>
        </is>
      </c>
      <c r="Q299" s="24" t="inlineStr">
        <is>
          <t>4</t>
        </is>
      </c>
    </row>
    <row r="300" ht="24" customHeight="1">
      <c r="A300" s="29" t="inlineStr">
        <is>
          <t>OpenDART_fnlttSinglAcntAll</t>
        </is>
      </c>
      <c r="B300" s="29" t="inlineStr">
        <is>
          <t>00591441</t>
        </is>
      </c>
      <c r="C300" s="29" t="inlineStr">
        <is>
          <t>어보브반도체</t>
        </is>
      </c>
      <c r="D300" s="29" t="inlineStr">
        <is>
          <t>abov</t>
        </is>
      </c>
      <c r="E300" s="29" t="inlineStr">
        <is>
          <t>102120</t>
        </is>
      </c>
      <c r="F300" s="29" t="inlineStr">
        <is>
          <t>2022</t>
        </is>
      </c>
      <c r="G300" s="29" t="inlineStr">
        <is>
          <t>CFS</t>
        </is>
      </c>
      <c r="H300" s="29" t="inlineStr">
        <is>
          <t>SCE</t>
        </is>
      </c>
      <c r="I300" s="29" t="inlineStr">
        <is>
          <t>자본변동표</t>
        </is>
      </c>
      <c r="J300" s="29" t="inlineStr">
        <is>
          <t>-표준계정코드 미사용-</t>
        </is>
      </c>
      <c r="K300" s="29" t="inlineStr">
        <is>
          <t>지분법자본변동</t>
        </is>
      </c>
      <c r="L300" s="29" t="inlineStr">
        <is>
          <t>연결재무제표 [member]</t>
        </is>
      </c>
      <c r="M300" s="29" t="inlineStr">
        <is>
          <t>제 17 기</t>
        </is>
      </c>
      <c r="N300" s="29" t="inlineStr">
        <is>
          <t>13168034.0</t>
        </is>
      </c>
      <c r="O300" s="29" t="inlineStr">
        <is>
          <t>0.0</t>
        </is>
      </c>
      <c r="P300" s="29" t="inlineStr">
        <is>
          <t>KRW</t>
        </is>
      </c>
      <c r="Q300" s="29" t="inlineStr">
        <is>
          <t>5</t>
        </is>
      </c>
    </row>
    <row r="301" ht="24" customHeight="1">
      <c r="A301" s="24" t="inlineStr">
        <is>
          <t>OpenDART_fnlttSinglAcntAll</t>
        </is>
      </c>
      <c r="B301" s="24" t="inlineStr">
        <is>
          <t>00591441</t>
        </is>
      </c>
      <c r="C301" s="24" t="inlineStr">
        <is>
          <t>어보브반도체</t>
        </is>
      </c>
      <c r="D301" s="24" t="inlineStr">
        <is>
          <t>abov</t>
        </is>
      </c>
      <c r="E301" s="24" t="inlineStr">
        <is>
          <t>102120</t>
        </is>
      </c>
      <c r="F301" s="24" t="inlineStr">
        <is>
          <t>2022</t>
        </is>
      </c>
      <c r="G301" s="24" t="inlineStr">
        <is>
          <t>CFS</t>
        </is>
      </c>
      <c r="H301" s="24" t="inlineStr">
        <is>
          <t>SCE</t>
        </is>
      </c>
      <c r="I301" s="24" t="inlineStr">
        <is>
          <t>자본변동표</t>
        </is>
      </c>
      <c r="J301" s="24" t="inlineStr">
        <is>
          <t>-표준계정코드 미사용-</t>
        </is>
      </c>
      <c r="K301" s="24" t="inlineStr">
        <is>
          <t>지분법자본변동</t>
        </is>
      </c>
      <c r="L301" s="24" t="inlineStr">
        <is>
          <t>자본 [member]|비지배지분 [member]</t>
        </is>
      </c>
      <c r="M301" s="24" t="inlineStr">
        <is>
          <t>제 17 기</t>
        </is>
      </c>
      <c r="N301" s="24" t="inlineStr">
        <is>
          <t>0.0</t>
        </is>
      </c>
      <c r="O301" s="24" t="inlineStr">
        <is>
          <t>0.0</t>
        </is>
      </c>
      <c r="P301" s="24" t="inlineStr">
        <is>
          <t>KRW</t>
        </is>
      </c>
      <c r="Q301" s="24" t="inlineStr">
        <is>
          <t>5</t>
        </is>
      </c>
    </row>
    <row r="302" ht="24" customHeight="1">
      <c r="A302" s="29" t="inlineStr">
        <is>
          <t>OpenDART_fnlttSinglAcntAll</t>
        </is>
      </c>
      <c r="B302" s="29" t="inlineStr">
        <is>
          <t>00591441</t>
        </is>
      </c>
      <c r="C302" s="29" t="inlineStr">
        <is>
          <t>어보브반도체</t>
        </is>
      </c>
      <c r="D302" s="29" t="inlineStr">
        <is>
          <t>abov</t>
        </is>
      </c>
      <c r="E302" s="29" t="inlineStr">
        <is>
          <t>102120</t>
        </is>
      </c>
      <c r="F302" s="29" t="inlineStr">
        <is>
          <t>2022</t>
        </is>
      </c>
      <c r="G302" s="29" t="inlineStr">
        <is>
          <t>CFS</t>
        </is>
      </c>
      <c r="H302" s="29" t="inlineStr">
        <is>
          <t>SCE</t>
        </is>
      </c>
      <c r="I302" s="29" t="inlineStr">
        <is>
          <t>자본변동표</t>
        </is>
      </c>
      <c r="J302" s="29" t="inlineStr">
        <is>
          <t>-표준계정코드 미사용-</t>
        </is>
      </c>
      <c r="K302" s="29" t="inlineStr">
        <is>
          <t>지분법자본변동</t>
        </is>
      </c>
      <c r="L302" s="29" t="inlineStr">
        <is>
          <t>자본 [member]|지배기업의 소유주에게 귀속되는 자본 [member]</t>
        </is>
      </c>
      <c r="M302" s="29" t="inlineStr">
        <is>
          <t>제 17 기</t>
        </is>
      </c>
      <c r="N302" s="29" t="inlineStr">
        <is>
          <t>13168034.0</t>
        </is>
      </c>
      <c r="O302" s="29" t="inlineStr">
        <is>
          <t>0.0</t>
        </is>
      </c>
      <c r="P302" s="29" t="inlineStr">
        <is>
          <t>KRW</t>
        </is>
      </c>
      <c r="Q302" s="29" t="inlineStr">
        <is>
          <t>5</t>
        </is>
      </c>
    </row>
    <row r="303" ht="24" customHeight="1">
      <c r="A303" s="24" t="inlineStr">
        <is>
          <t>OpenDART_fnlttSinglAcntAll</t>
        </is>
      </c>
      <c r="B303" s="24" t="inlineStr">
        <is>
          <t>00591441</t>
        </is>
      </c>
      <c r="C303" s="24" t="inlineStr">
        <is>
          <t>어보브반도체</t>
        </is>
      </c>
      <c r="D303" s="24" t="inlineStr">
        <is>
          <t>abov</t>
        </is>
      </c>
      <c r="E303" s="24" t="inlineStr">
        <is>
          <t>102120</t>
        </is>
      </c>
      <c r="F303" s="24" t="inlineStr">
        <is>
          <t>2022</t>
        </is>
      </c>
      <c r="G303" s="24" t="inlineStr">
        <is>
          <t>CFS</t>
        </is>
      </c>
      <c r="H303" s="24" t="inlineStr">
        <is>
          <t>SCE</t>
        </is>
      </c>
      <c r="I303" s="24" t="inlineStr">
        <is>
          <t>자본변동표</t>
        </is>
      </c>
      <c r="J303" s="24" t="inlineStr">
        <is>
          <t>-표준계정코드 미사용-</t>
        </is>
      </c>
      <c r="K303" s="24" t="inlineStr">
        <is>
          <t>지분법자본변동</t>
        </is>
      </c>
      <c r="L303" s="24" t="inlineStr">
        <is>
          <t>자본 [member]|지배기업의 소유주에게 귀속되는 자본 [member]|기타자본항목</t>
        </is>
      </c>
      <c r="M303" s="24" t="inlineStr">
        <is>
          <t>제 17 기</t>
        </is>
      </c>
      <c r="N303" s="24" t="inlineStr">
        <is>
          <t>0.0</t>
        </is>
      </c>
      <c r="O303" s="24" t="inlineStr">
        <is>
          <t>0.0</t>
        </is>
      </c>
      <c r="P303" s="24" t="inlineStr">
        <is>
          <t>KRW</t>
        </is>
      </c>
      <c r="Q303" s="24" t="inlineStr">
        <is>
          <t>5</t>
        </is>
      </c>
    </row>
    <row r="304" ht="24" customHeight="1">
      <c r="A304" s="29" t="inlineStr">
        <is>
          <t>OpenDART_fnlttSinglAcntAll</t>
        </is>
      </c>
      <c r="B304" s="29" t="inlineStr">
        <is>
          <t>00591441</t>
        </is>
      </c>
      <c r="C304" s="29" t="inlineStr">
        <is>
          <t>어보브반도체</t>
        </is>
      </c>
      <c r="D304" s="29" t="inlineStr">
        <is>
          <t>abov</t>
        </is>
      </c>
      <c r="E304" s="29" t="inlineStr">
        <is>
          <t>102120</t>
        </is>
      </c>
      <c r="F304" s="29" t="inlineStr">
        <is>
          <t>2022</t>
        </is>
      </c>
      <c r="G304" s="29" t="inlineStr">
        <is>
          <t>CFS</t>
        </is>
      </c>
      <c r="H304" s="29" t="inlineStr">
        <is>
          <t>SCE</t>
        </is>
      </c>
      <c r="I304" s="29" t="inlineStr">
        <is>
          <t>자본변동표</t>
        </is>
      </c>
      <c r="J304" s="29" t="inlineStr">
        <is>
          <t>-표준계정코드 미사용-</t>
        </is>
      </c>
      <c r="K304" s="29" t="inlineStr">
        <is>
          <t>지분법자본변동</t>
        </is>
      </c>
      <c r="L304" s="29" t="inlineStr">
        <is>
          <t>자본 [member]|지배기업의 소유주에게 귀속되는 자본 [member]|기타포괄손익누계액 [member]</t>
        </is>
      </c>
      <c r="M304" s="29" t="inlineStr">
        <is>
          <t>제 17 기</t>
        </is>
      </c>
      <c r="N304" s="29" t="inlineStr">
        <is>
          <t>13168034.0</t>
        </is>
      </c>
      <c r="O304" s="29" t="inlineStr">
        <is>
          <t>0.0</t>
        </is>
      </c>
      <c r="P304" s="29" t="inlineStr">
        <is>
          <t>KRW</t>
        </is>
      </c>
      <c r="Q304" s="29" t="inlineStr">
        <is>
          <t>5</t>
        </is>
      </c>
    </row>
    <row r="305" ht="24" customHeight="1">
      <c r="A305" s="24" t="inlineStr">
        <is>
          <t>OpenDART_fnlttSinglAcntAll</t>
        </is>
      </c>
      <c r="B305" s="24" t="inlineStr">
        <is>
          <t>00591441</t>
        </is>
      </c>
      <c r="C305" s="24" t="inlineStr">
        <is>
          <t>어보브반도체</t>
        </is>
      </c>
      <c r="D305" s="24" t="inlineStr">
        <is>
          <t>abov</t>
        </is>
      </c>
      <c r="E305" s="24" t="inlineStr">
        <is>
          <t>102120</t>
        </is>
      </c>
      <c r="F305" s="24" t="inlineStr">
        <is>
          <t>2022</t>
        </is>
      </c>
      <c r="G305" s="24" t="inlineStr">
        <is>
          <t>CFS</t>
        </is>
      </c>
      <c r="H305" s="24" t="inlineStr">
        <is>
          <t>SCE</t>
        </is>
      </c>
      <c r="I305" s="24" t="inlineStr">
        <is>
          <t>자본변동표</t>
        </is>
      </c>
      <c r="J305" s="24" t="inlineStr">
        <is>
          <t>-표준계정코드 미사용-</t>
        </is>
      </c>
      <c r="K305" s="24" t="inlineStr">
        <is>
          <t>지분법자본변동</t>
        </is>
      </c>
      <c r="L305" s="24" t="inlineStr">
        <is>
          <t>자본 [member]|지배기업의 소유주에게 귀속되는 자본 [member]|이익잉여금 [member]</t>
        </is>
      </c>
      <c r="M305" s="24" t="inlineStr">
        <is>
          <t>제 17 기</t>
        </is>
      </c>
      <c r="N305" s="24" t="inlineStr">
        <is>
          <t>0.0</t>
        </is>
      </c>
      <c r="O305" s="24" t="inlineStr">
        <is>
          <t>0.0</t>
        </is>
      </c>
      <c r="P305" s="24" t="inlineStr">
        <is>
          <t>KRW</t>
        </is>
      </c>
      <c r="Q305" s="24" t="inlineStr">
        <is>
          <t>5</t>
        </is>
      </c>
    </row>
    <row r="306" ht="24" customHeight="1">
      <c r="A306" s="29" t="inlineStr">
        <is>
          <t>OpenDART_fnlttSinglAcntAll</t>
        </is>
      </c>
      <c r="B306" s="29" t="inlineStr">
        <is>
          <t>00591441</t>
        </is>
      </c>
      <c r="C306" s="29" t="inlineStr">
        <is>
          <t>어보브반도체</t>
        </is>
      </c>
      <c r="D306" s="29" t="inlineStr">
        <is>
          <t>abov</t>
        </is>
      </c>
      <c r="E306" s="29" t="inlineStr">
        <is>
          <t>102120</t>
        </is>
      </c>
      <c r="F306" s="29" t="inlineStr">
        <is>
          <t>2022</t>
        </is>
      </c>
      <c r="G306" s="29" t="inlineStr">
        <is>
          <t>CFS</t>
        </is>
      </c>
      <c r="H306" s="29" t="inlineStr">
        <is>
          <t>SCE</t>
        </is>
      </c>
      <c r="I306" s="29" t="inlineStr">
        <is>
          <t>자본변동표</t>
        </is>
      </c>
      <c r="J306" s="29" t="inlineStr">
        <is>
          <t>-표준계정코드 미사용-</t>
        </is>
      </c>
      <c r="K306" s="29" t="inlineStr">
        <is>
          <t>지분법자본변동</t>
        </is>
      </c>
      <c r="L306" s="29" t="inlineStr">
        <is>
          <t>자본 [member]|지배기업의 소유주에게 귀속되는 자본 [member]|자본금 [member]</t>
        </is>
      </c>
      <c r="M306" s="29" t="inlineStr">
        <is>
          <t>제 17 기</t>
        </is>
      </c>
      <c r="N306" s="29" t="inlineStr">
        <is>
          <t>0.0</t>
        </is>
      </c>
      <c r="O306" s="29" t="inlineStr">
        <is>
          <t>0.0</t>
        </is>
      </c>
      <c r="P306" s="29" t="inlineStr">
        <is>
          <t>KRW</t>
        </is>
      </c>
      <c r="Q306" s="29" t="inlineStr">
        <is>
          <t>5</t>
        </is>
      </c>
    </row>
    <row r="307" ht="24" customHeight="1">
      <c r="A307" s="24" t="inlineStr">
        <is>
          <t>OpenDART_fnlttSinglAcntAll</t>
        </is>
      </c>
      <c r="B307" s="24" t="inlineStr">
        <is>
          <t>00591441</t>
        </is>
      </c>
      <c r="C307" s="24" t="inlineStr">
        <is>
          <t>어보브반도체</t>
        </is>
      </c>
      <c r="D307" s="24" t="inlineStr">
        <is>
          <t>abov</t>
        </is>
      </c>
      <c r="E307" s="24" t="inlineStr">
        <is>
          <t>102120</t>
        </is>
      </c>
      <c r="F307" s="24" t="inlineStr">
        <is>
          <t>2022</t>
        </is>
      </c>
      <c r="G307" s="24" t="inlineStr">
        <is>
          <t>CFS</t>
        </is>
      </c>
      <c r="H307" s="24" t="inlineStr">
        <is>
          <t>SCE</t>
        </is>
      </c>
      <c r="I307" s="24" t="inlineStr">
        <is>
          <t>자본변동표</t>
        </is>
      </c>
      <c r="J307" s="24" t="inlineStr">
        <is>
          <t>-표준계정코드 미사용-</t>
        </is>
      </c>
      <c r="K307" s="24" t="inlineStr">
        <is>
          <t>지분법자본변동</t>
        </is>
      </c>
      <c r="L307" s="24" t="inlineStr">
        <is>
          <t>자본 [member]|지배기업의 소유주에게 귀속되는 자본 [member]|자본잉여금 [member]</t>
        </is>
      </c>
      <c r="M307" s="24" t="inlineStr">
        <is>
          <t>제 17 기</t>
        </is>
      </c>
      <c r="N307" s="24" t="inlineStr">
        <is>
          <t>0.0</t>
        </is>
      </c>
      <c r="O307" s="24" t="inlineStr">
        <is>
          <t>0.0</t>
        </is>
      </c>
      <c r="P307" s="24" t="inlineStr">
        <is>
          <t>KRW</t>
        </is>
      </c>
      <c r="Q307" s="24" t="inlineStr">
        <is>
          <t>5</t>
        </is>
      </c>
    </row>
    <row r="308" ht="24" customHeight="1">
      <c r="A308" s="29" t="inlineStr">
        <is>
          <t>OpenDART_fnlttSinglAcntAll</t>
        </is>
      </c>
      <c r="B308" s="29" t="inlineStr">
        <is>
          <t>00591441</t>
        </is>
      </c>
      <c r="C308" s="29" t="inlineStr">
        <is>
          <t>어보브반도체</t>
        </is>
      </c>
      <c r="D308" s="29" t="inlineStr">
        <is>
          <t>abov</t>
        </is>
      </c>
      <c r="E308" s="29" t="inlineStr">
        <is>
          <t>102120</t>
        </is>
      </c>
      <c r="F308" s="29" t="inlineStr">
        <is>
          <t>2022</t>
        </is>
      </c>
      <c r="G308" s="29" t="inlineStr">
        <is>
          <t>CFS</t>
        </is>
      </c>
      <c r="H308" s="29" t="inlineStr">
        <is>
          <t>SCE</t>
        </is>
      </c>
      <c r="I308" s="29" t="inlineStr">
        <is>
          <t>자본변동표</t>
        </is>
      </c>
      <c r="J308" s="29" t="inlineStr">
        <is>
          <t>-표준계정코드 미사용-</t>
        </is>
      </c>
      <c r="K308" s="29" t="inlineStr">
        <is>
          <t>해외산업환산손익</t>
        </is>
      </c>
      <c r="L308" s="29" t="inlineStr">
        <is>
          <t>연결재무제표 [member]</t>
        </is>
      </c>
      <c r="M308" s="29" t="inlineStr">
        <is>
          <t>제 17 기</t>
        </is>
      </c>
      <c r="N308" s="29" t="inlineStr">
        <is>
          <t>34910709.0</t>
        </is>
      </c>
      <c r="O308" s="29" t="inlineStr">
        <is>
          <t>6650621.0</t>
        </is>
      </c>
      <c r="P308" s="29" t="inlineStr">
        <is>
          <t>KRW</t>
        </is>
      </c>
      <c r="Q308" s="29" t="inlineStr">
        <is>
          <t>6</t>
        </is>
      </c>
    </row>
    <row r="309" ht="24" customHeight="1">
      <c r="A309" s="24" t="inlineStr">
        <is>
          <t>OpenDART_fnlttSinglAcntAll</t>
        </is>
      </c>
      <c r="B309" s="24" t="inlineStr">
        <is>
          <t>00591441</t>
        </is>
      </c>
      <c r="C309" s="24" t="inlineStr">
        <is>
          <t>어보브반도체</t>
        </is>
      </c>
      <c r="D309" s="24" t="inlineStr">
        <is>
          <t>abov</t>
        </is>
      </c>
      <c r="E309" s="24" t="inlineStr">
        <is>
          <t>102120</t>
        </is>
      </c>
      <c r="F309" s="24" t="inlineStr">
        <is>
          <t>2022</t>
        </is>
      </c>
      <c r="G309" s="24" t="inlineStr">
        <is>
          <t>CFS</t>
        </is>
      </c>
      <c r="H309" s="24" t="inlineStr">
        <is>
          <t>SCE</t>
        </is>
      </c>
      <c r="I309" s="24" t="inlineStr">
        <is>
          <t>자본변동표</t>
        </is>
      </c>
      <c r="J309" s="24" t="inlineStr">
        <is>
          <t>-표준계정코드 미사용-</t>
        </is>
      </c>
      <c r="K309" s="24" t="inlineStr">
        <is>
          <t>해외산업환산손익</t>
        </is>
      </c>
      <c r="L309" s="24" t="inlineStr">
        <is>
          <t>자본 [member]|비지배지분 [member]</t>
        </is>
      </c>
      <c r="M309" s="24" t="inlineStr">
        <is>
          <t>제 17 기</t>
        </is>
      </c>
      <c r="N309" s="24" t="inlineStr">
        <is>
          <t>0.0</t>
        </is>
      </c>
      <c r="O309" s="24" t="inlineStr">
        <is>
          <t>0.0</t>
        </is>
      </c>
      <c r="P309" s="24" t="inlineStr">
        <is>
          <t>KRW</t>
        </is>
      </c>
      <c r="Q309" s="24" t="inlineStr">
        <is>
          <t>6</t>
        </is>
      </c>
    </row>
    <row r="310" ht="24" customHeight="1">
      <c r="A310" s="29" t="inlineStr">
        <is>
          <t>OpenDART_fnlttSinglAcntAll</t>
        </is>
      </c>
      <c r="B310" s="29" t="inlineStr">
        <is>
          <t>00591441</t>
        </is>
      </c>
      <c r="C310" s="29" t="inlineStr">
        <is>
          <t>어보브반도체</t>
        </is>
      </c>
      <c r="D310" s="29" t="inlineStr">
        <is>
          <t>abov</t>
        </is>
      </c>
      <c r="E310" s="29" t="inlineStr">
        <is>
          <t>102120</t>
        </is>
      </c>
      <c r="F310" s="29" t="inlineStr">
        <is>
          <t>2022</t>
        </is>
      </c>
      <c r="G310" s="29" t="inlineStr">
        <is>
          <t>CFS</t>
        </is>
      </c>
      <c r="H310" s="29" t="inlineStr">
        <is>
          <t>SCE</t>
        </is>
      </c>
      <c r="I310" s="29" t="inlineStr">
        <is>
          <t>자본변동표</t>
        </is>
      </c>
      <c r="J310" s="29" t="inlineStr">
        <is>
          <t>-표준계정코드 미사용-</t>
        </is>
      </c>
      <c r="K310" s="29" t="inlineStr">
        <is>
          <t>해외산업환산손익</t>
        </is>
      </c>
      <c r="L310" s="29" t="inlineStr">
        <is>
          <t>자본 [member]|지배기업의 소유주에게 귀속되는 자본 [member]</t>
        </is>
      </c>
      <c r="M310" s="29" t="inlineStr">
        <is>
          <t>제 17 기</t>
        </is>
      </c>
      <c r="N310" s="29" t="inlineStr">
        <is>
          <t>34910709.0</t>
        </is>
      </c>
      <c r="O310" s="29" t="inlineStr">
        <is>
          <t>6650621.0</t>
        </is>
      </c>
      <c r="P310" s="29" t="inlineStr">
        <is>
          <t>KRW</t>
        </is>
      </c>
      <c r="Q310" s="29" t="inlineStr">
        <is>
          <t>6</t>
        </is>
      </c>
    </row>
    <row r="311" ht="24" customHeight="1">
      <c r="A311" s="24" t="inlineStr">
        <is>
          <t>OpenDART_fnlttSinglAcntAll</t>
        </is>
      </c>
      <c r="B311" s="24" t="inlineStr">
        <is>
          <t>00591441</t>
        </is>
      </c>
      <c r="C311" s="24" t="inlineStr">
        <is>
          <t>어보브반도체</t>
        </is>
      </c>
      <c r="D311" s="24" t="inlineStr">
        <is>
          <t>abov</t>
        </is>
      </c>
      <c r="E311" s="24" t="inlineStr">
        <is>
          <t>102120</t>
        </is>
      </c>
      <c r="F311" s="24" t="inlineStr">
        <is>
          <t>2022</t>
        </is>
      </c>
      <c r="G311" s="24" t="inlineStr">
        <is>
          <t>CFS</t>
        </is>
      </c>
      <c r="H311" s="24" t="inlineStr">
        <is>
          <t>SCE</t>
        </is>
      </c>
      <c r="I311" s="24" t="inlineStr">
        <is>
          <t>자본변동표</t>
        </is>
      </c>
      <c r="J311" s="24" t="inlineStr">
        <is>
          <t>-표준계정코드 미사용-</t>
        </is>
      </c>
      <c r="K311" s="24" t="inlineStr">
        <is>
          <t>해외산업환산손익</t>
        </is>
      </c>
      <c r="L311" s="24" t="inlineStr">
        <is>
          <t>자본 [member]|지배기업의 소유주에게 귀속되는 자본 [member]|기타자본항목</t>
        </is>
      </c>
      <c r="M311" s="24" t="inlineStr">
        <is>
          <t>제 17 기</t>
        </is>
      </c>
      <c r="N311" s="24" t="inlineStr">
        <is>
          <t>0.0</t>
        </is>
      </c>
      <c r="O311" s="24" t="inlineStr">
        <is>
          <t>0.0</t>
        </is>
      </c>
      <c r="P311" s="24" t="inlineStr">
        <is>
          <t>KRW</t>
        </is>
      </c>
      <c r="Q311" s="24" t="inlineStr">
        <is>
          <t>6</t>
        </is>
      </c>
    </row>
    <row r="312" ht="24" customHeight="1">
      <c r="A312" s="29" t="inlineStr">
        <is>
          <t>OpenDART_fnlttSinglAcntAll</t>
        </is>
      </c>
      <c r="B312" s="29" t="inlineStr">
        <is>
          <t>00591441</t>
        </is>
      </c>
      <c r="C312" s="29" t="inlineStr">
        <is>
          <t>어보브반도체</t>
        </is>
      </c>
      <c r="D312" s="29" t="inlineStr">
        <is>
          <t>abov</t>
        </is>
      </c>
      <c r="E312" s="29" t="inlineStr">
        <is>
          <t>102120</t>
        </is>
      </c>
      <c r="F312" s="29" t="inlineStr">
        <is>
          <t>2022</t>
        </is>
      </c>
      <c r="G312" s="29" t="inlineStr">
        <is>
          <t>CFS</t>
        </is>
      </c>
      <c r="H312" s="29" t="inlineStr">
        <is>
          <t>SCE</t>
        </is>
      </c>
      <c r="I312" s="29" t="inlineStr">
        <is>
          <t>자본변동표</t>
        </is>
      </c>
      <c r="J312" s="29" t="inlineStr">
        <is>
          <t>-표준계정코드 미사용-</t>
        </is>
      </c>
      <c r="K312" s="29" t="inlineStr">
        <is>
          <t>해외산업환산손익</t>
        </is>
      </c>
      <c r="L312" s="29" t="inlineStr">
        <is>
          <t>자본 [member]|지배기업의 소유주에게 귀속되는 자본 [member]|기타포괄손익누계액 [member]</t>
        </is>
      </c>
      <c r="M312" s="29" t="inlineStr">
        <is>
          <t>제 17 기</t>
        </is>
      </c>
      <c r="N312" s="29" t="inlineStr">
        <is>
          <t>34910709.0</t>
        </is>
      </c>
      <c r="O312" s="29" t="inlineStr">
        <is>
          <t>6650621.0</t>
        </is>
      </c>
      <c r="P312" s="29" t="inlineStr">
        <is>
          <t>KRW</t>
        </is>
      </c>
      <c r="Q312" s="29" t="inlineStr">
        <is>
          <t>6</t>
        </is>
      </c>
    </row>
    <row r="313" ht="24" customHeight="1">
      <c r="A313" s="24" t="inlineStr">
        <is>
          <t>OpenDART_fnlttSinglAcntAll</t>
        </is>
      </c>
      <c r="B313" s="24" t="inlineStr">
        <is>
          <t>00591441</t>
        </is>
      </c>
      <c r="C313" s="24" t="inlineStr">
        <is>
          <t>어보브반도체</t>
        </is>
      </c>
      <c r="D313" s="24" t="inlineStr">
        <is>
          <t>abov</t>
        </is>
      </c>
      <c r="E313" s="24" t="inlineStr">
        <is>
          <t>102120</t>
        </is>
      </c>
      <c r="F313" s="24" t="inlineStr">
        <is>
          <t>2022</t>
        </is>
      </c>
      <c r="G313" s="24" t="inlineStr">
        <is>
          <t>CFS</t>
        </is>
      </c>
      <c r="H313" s="24" t="inlineStr">
        <is>
          <t>SCE</t>
        </is>
      </c>
      <c r="I313" s="24" t="inlineStr">
        <is>
          <t>자본변동표</t>
        </is>
      </c>
      <c r="J313" s="24" t="inlineStr">
        <is>
          <t>-표준계정코드 미사용-</t>
        </is>
      </c>
      <c r="K313" s="24" t="inlineStr">
        <is>
          <t>해외산업환산손익</t>
        </is>
      </c>
      <c r="L313" s="24" t="inlineStr">
        <is>
          <t>자본 [member]|지배기업의 소유주에게 귀속되는 자본 [member]|이익잉여금 [member]</t>
        </is>
      </c>
      <c r="M313" s="24" t="inlineStr">
        <is>
          <t>제 17 기</t>
        </is>
      </c>
      <c r="N313" s="24" t="inlineStr">
        <is>
          <t>0.0</t>
        </is>
      </c>
      <c r="O313" s="24" t="inlineStr">
        <is>
          <t>0.0</t>
        </is>
      </c>
      <c r="P313" s="24" t="inlineStr">
        <is>
          <t>KRW</t>
        </is>
      </c>
      <c r="Q313" s="24" t="inlineStr">
        <is>
          <t>6</t>
        </is>
      </c>
    </row>
    <row r="314" ht="24" customHeight="1">
      <c r="A314" s="29" t="inlineStr">
        <is>
          <t>OpenDART_fnlttSinglAcntAll</t>
        </is>
      </c>
      <c r="B314" s="29" t="inlineStr">
        <is>
          <t>00591441</t>
        </is>
      </c>
      <c r="C314" s="29" t="inlineStr">
        <is>
          <t>어보브반도체</t>
        </is>
      </c>
      <c r="D314" s="29" t="inlineStr">
        <is>
          <t>abov</t>
        </is>
      </c>
      <c r="E314" s="29" t="inlineStr">
        <is>
          <t>102120</t>
        </is>
      </c>
      <c r="F314" s="29" t="inlineStr">
        <is>
          <t>2022</t>
        </is>
      </c>
      <c r="G314" s="29" t="inlineStr">
        <is>
          <t>CFS</t>
        </is>
      </c>
      <c r="H314" s="29" t="inlineStr">
        <is>
          <t>SCE</t>
        </is>
      </c>
      <c r="I314" s="29" t="inlineStr">
        <is>
          <t>자본변동표</t>
        </is>
      </c>
      <c r="J314" s="29" t="inlineStr">
        <is>
          <t>-표준계정코드 미사용-</t>
        </is>
      </c>
      <c r="K314" s="29" t="inlineStr">
        <is>
          <t>해외산업환산손익</t>
        </is>
      </c>
      <c r="L314" s="29" t="inlineStr">
        <is>
          <t>자본 [member]|지배기업의 소유주에게 귀속되는 자본 [member]|자본금 [member]</t>
        </is>
      </c>
      <c r="M314" s="29" t="inlineStr">
        <is>
          <t>제 17 기</t>
        </is>
      </c>
      <c r="N314" s="29" t="inlineStr">
        <is>
          <t>0.0</t>
        </is>
      </c>
      <c r="O314" s="29" t="inlineStr">
        <is>
          <t>0.0</t>
        </is>
      </c>
      <c r="P314" s="29" t="inlineStr">
        <is>
          <t>KRW</t>
        </is>
      </c>
      <c r="Q314" s="29" t="inlineStr">
        <is>
          <t>6</t>
        </is>
      </c>
    </row>
    <row r="315" ht="24" customHeight="1">
      <c r="A315" s="24" t="inlineStr">
        <is>
          <t>OpenDART_fnlttSinglAcntAll</t>
        </is>
      </c>
      <c r="B315" s="24" t="inlineStr">
        <is>
          <t>00591441</t>
        </is>
      </c>
      <c r="C315" s="24" t="inlineStr">
        <is>
          <t>어보브반도체</t>
        </is>
      </c>
      <c r="D315" s="24" t="inlineStr">
        <is>
          <t>abov</t>
        </is>
      </c>
      <c r="E315" s="24" t="inlineStr">
        <is>
          <t>102120</t>
        </is>
      </c>
      <c r="F315" s="24" t="inlineStr">
        <is>
          <t>2022</t>
        </is>
      </c>
      <c r="G315" s="24" t="inlineStr">
        <is>
          <t>CFS</t>
        </is>
      </c>
      <c r="H315" s="24" t="inlineStr">
        <is>
          <t>SCE</t>
        </is>
      </c>
      <c r="I315" s="24" t="inlineStr">
        <is>
          <t>자본변동표</t>
        </is>
      </c>
      <c r="J315" s="24" t="inlineStr">
        <is>
          <t>-표준계정코드 미사용-</t>
        </is>
      </c>
      <c r="K315" s="24" t="inlineStr">
        <is>
          <t>해외산업환산손익</t>
        </is>
      </c>
      <c r="L315" s="24" t="inlineStr">
        <is>
          <t>자본 [member]|지배기업의 소유주에게 귀속되는 자본 [member]|자본잉여금 [member]</t>
        </is>
      </c>
      <c r="M315" s="24" t="inlineStr">
        <is>
          <t>제 17 기</t>
        </is>
      </c>
      <c r="N315" s="24" t="inlineStr">
        <is>
          <t>0.0</t>
        </is>
      </c>
      <c r="O315" s="24" t="inlineStr">
        <is>
          <t>0.0</t>
        </is>
      </c>
      <c r="P315" s="24" t="inlineStr">
        <is>
          <t>KRW</t>
        </is>
      </c>
      <c r="Q315" s="24" t="inlineStr">
        <is>
          <t>6</t>
        </is>
      </c>
    </row>
    <row r="316" ht="24" customHeight="1">
      <c r="A316" s="29" t="inlineStr">
        <is>
          <t>OpenDART_fnlttSinglAcntAll</t>
        </is>
      </c>
      <c r="B316" s="29" t="inlineStr">
        <is>
          <t>00591441</t>
        </is>
      </c>
      <c r="C316" s="29" t="inlineStr">
        <is>
          <t>어보브반도체</t>
        </is>
      </c>
      <c r="D316" s="29" t="inlineStr">
        <is>
          <t>abov</t>
        </is>
      </c>
      <c r="E316" s="29" t="inlineStr">
        <is>
          <t>102120</t>
        </is>
      </c>
      <c r="F316" s="29" t="inlineStr">
        <is>
          <t>2022</t>
        </is>
      </c>
      <c r="G316" s="29" t="inlineStr">
        <is>
          <t>CFS</t>
        </is>
      </c>
      <c r="H316" s="29" t="inlineStr">
        <is>
          <t>SCE</t>
        </is>
      </c>
      <c r="I316" s="29" t="inlineStr">
        <is>
          <t>자본변동표</t>
        </is>
      </c>
      <c r="J316" s="29" t="inlineStr">
        <is>
          <t>ifrs-full_DividendsPaid</t>
        </is>
      </c>
      <c r="K316" s="29" t="inlineStr">
        <is>
          <t>배당금지급</t>
        </is>
      </c>
      <c r="L316" s="29" t="inlineStr">
        <is>
          <t>연결재무제표 [member]</t>
        </is>
      </c>
      <c r="M316" s="29" t="inlineStr">
        <is>
          <t>제 17 기</t>
        </is>
      </c>
      <c r="N316" s="29" t="inlineStr">
        <is>
          <t>3972195840.0</t>
        </is>
      </c>
      <c r="O316" s="29" t="inlineStr">
        <is>
          <t>3967395840.0</t>
        </is>
      </c>
      <c r="P316" s="29" t="inlineStr">
        <is>
          <t>KRW</t>
        </is>
      </c>
      <c r="Q316" s="29" t="inlineStr">
        <is>
          <t>7</t>
        </is>
      </c>
    </row>
    <row r="317" ht="24" customHeight="1">
      <c r="A317" s="24" t="inlineStr">
        <is>
          <t>OpenDART_fnlttSinglAcntAll</t>
        </is>
      </c>
      <c r="B317" s="24" t="inlineStr">
        <is>
          <t>00591441</t>
        </is>
      </c>
      <c r="C317" s="24" t="inlineStr">
        <is>
          <t>어보브반도체</t>
        </is>
      </c>
      <c r="D317" s="24" t="inlineStr">
        <is>
          <t>abov</t>
        </is>
      </c>
      <c r="E317" s="24" t="inlineStr">
        <is>
          <t>102120</t>
        </is>
      </c>
      <c r="F317" s="24" t="inlineStr">
        <is>
          <t>2022</t>
        </is>
      </c>
      <c r="G317" s="24" t="inlineStr">
        <is>
          <t>CFS</t>
        </is>
      </c>
      <c r="H317" s="24" t="inlineStr">
        <is>
          <t>SCE</t>
        </is>
      </c>
      <c r="I317" s="24" t="inlineStr">
        <is>
          <t>자본변동표</t>
        </is>
      </c>
      <c r="J317" s="24" t="inlineStr">
        <is>
          <t>ifrs-full_DividendsPaid</t>
        </is>
      </c>
      <c r="K317" s="24" t="inlineStr">
        <is>
          <t>배당금지급</t>
        </is>
      </c>
      <c r="L317" s="24" t="inlineStr">
        <is>
          <t>자본 [member]|비지배지분 [member]</t>
        </is>
      </c>
      <c r="M317" s="24" t="inlineStr">
        <is>
          <t>제 17 기</t>
        </is>
      </c>
      <c r="N317" s="24" t="inlineStr">
        <is>
          <t>0.0</t>
        </is>
      </c>
      <c r="O317" s="24" t="inlineStr">
        <is>
          <t>0.0</t>
        </is>
      </c>
      <c r="P317" s="24" t="inlineStr">
        <is>
          <t>KRW</t>
        </is>
      </c>
      <c r="Q317" s="24" t="inlineStr">
        <is>
          <t>7</t>
        </is>
      </c>
    </row>
    <row r="318" ht="24" customHeight="1">
      <c r="A318" s="29" t="inlineStr">
        <is>
          <t>OpenDART_fnlttSinglAcntAll</t>
        </is>
      </c>
      <c r="B318" s="29" t="inlineStr">
        <is>
          <t>00591441</t>
        </is>
      </c>
      <c r="C318" s="29" t="inlineStr">
        <is>
          <t>어보브반도체</t>
        </is>
      </c>
      <c r="D318" s="29" t="inlineStr">
        <is>
          <t>abov</t>
        </is>
      </c>
      <c r="E318" s="29" t="inlineStr">
        <is>
          <t>102120</t>
        </is>
      </c>
      <c r="F318" s="29" t="inlineStr">
        <is>
          <t>2022</t>
        </is>
      </c>
      <c r="G318" s="29" t="inlineStr">
        <is>
          <t>CFS</t>
        </is>
      </c>
      <c r="H318" s="29" t="inlineStr">
        <is>
          <t>SCE</t>
        </is>
      </c>
      <c r="I318" s="29" t="inlineStr">
        <is>
          <t>자본변동표</t>
        </is>
      </c>
      <c r="J318" s="29" t="inlineStr">
        <is>
          <t>ifrs-full_DividendsPaid</t>
        </is>
      </c>
      <c r="K318" s="29" t="inlineStr">
        <is>
          <t>배당금지급</t>
        </is>
      </c>
      <c r="L318" s="29" t="inlineStr">
        <is>
          <t>자본 [member]|지배기업의 소유주에게 귀속되는 자본 [member]</t>
        </is>
      </c>
      <c r="M318" s="29" t="inlineStr">
        <is>
          <t>제 17 기</t>
        </is>
      </c>
      <c r="N318" s="29" t="inlineStr">
        <is>
          <t>3972195840.0</t>
        </is>
      </c>
      <c r="O318" s="29" t="inlineStr">
        <is>
          <t>3967395840.0</t>
        </is>
      </c>
      <c r="P318" s="29" t="inlineStr">
        <is>
          <t>KRW</t>
        </is>
      </c>
      <c r="Q318" s="29" t="inlineStr">
        <is>
          <t>7</t>
        </is>
      </c>
    </row>
    <row r="319" ht="24" customHeight="1">
      <c r="A319" s="24" t="inlineStr">
        <is>
          <t>OpenDART_fnlttSinglAcntAll</t>
        </is>
      </c>
      <c r="B319" s="24" t="inlineStr">
        <is>
          <t>00591441</t>
        </is>
      </c>
      <c r="C319" s="24" t="inlineStr">
        <is>
          <t>어보브반도체</t>
        </is>
      </c>
      <c r="D319" s="24" t="inlineStr">
        <is>
          <t>abov</t>
        </is>
      </c>
      <c r="E319" s="24" t="inlineStr">
        <is>
          <t>102120</t>
        </is>
      </c>
      <c r="F319" s="24" t="inlineStr">
        <is>
          <t>2022</t>
        </is>
      </c>
      <c r="G319" s="24" t="inlineStr">
        <is>
          <t>CFS</t>
        </is>
      </c>
      <c r="H319" s="24" t="inlineStr">
        <is>
          <t>SCE</t>
        </is>
      </c>
      <c r="I319" s="24" t="inlineStr">
        <is>
          <t>자본변동표</t>
        </is>
      </c>
      <c r="J319" s="24" t="inlineStr">
        <is>
          <t>ifrs-full_DividendsPaid</t>
        </is>
      </c>
      <c r="K319" s="24" t="inlineStr">
        <is>
          <t>배당금지급</t>
        </is>
      </c>
      <c r="L319" s="24" t="inlineStr">
        <is>
          <t>자본 [member]|지배기업의 소유주에게 귀속되는 자본 [member]|기타자본항목</t>
        </is>
      </c>
      <c r="M319" s="24" t="inlineStr">
        <is>
          <t>제 17 기</t>
        </is>
      </c>
      <c r="N319" s="24" t="inlineStr">
        <is>
          <t>0.0</t>
        </is>
      </c>
      <c r="O319" s="24" t="inlineStr">
        <is>
          <t>0.0</t>
        </is>
      </c>
      <c r="P319" s="24" t="inlineStr">
        <is>
          <t>KRW</t>
        </is>
      </c>
      <c r="Q319" s="24" t="inlineStr">
        <is>
          <t>7</t>
        </is>
      </c>
    </row>
    <row r="320" ht="24" customHeight="1">
      <c r="A320" s="29" t="inlineStr">
        <is>
          <t>OpenDART_fnlttSinglAcntAll</t>
        </is>
      </c>
      <c r="B320" s="29" t="inlineStr">
        <is>
          <t>00591441</t>
        </is>
      </c>
      <c r="C320" s="29" t="inlineStr">
        <is>
          <t>어보브반도체</t>
        </is>
      </c>
      <c r="D320" s="29" t="inlineStr">
        <is>
          <t>abov</t>
        </is>
      </c>
      <c r="E320" s="29" t="inlineStr">
        <is>
          <t>102120</t>
        </is>
      </c>
      <c r="F320" s="29" t="inlineStr">
        <is>
          <t>2022</t>
        </is>
      </c>
      <c r="G320" s="29" t="inlineStr">
        <is>
          <t>CFS</t>
        </is>
      </c>
      <c r="H320" s="29" t="inlineStr">
        <is>
          <t>SCE</t>
        </is>
      </c>
      <c r="I320" s="29" t="inlineStr">
        <is>
          <t>자본변동표</t>
        </is>
      </c>
      <c r="J320" s="29" t="inlineStr">
        <is>
          <t>ifrs-full_DividendsPaid</t>
        </is>
      </c>
      <c r="K320" s="29" t="inlineStr">
        <is>
          <t>배당금지급</t>
        </is>
      </c>
      <c r="L320" s="29" t="inlineStr">
        <is>
          <t>자본 [member]|지배기업의 소유주에게 귀속되는 자본 [member]|기타포괄손익누계액 [member]</t>
        </is>
      </c>
      <c r="M320" s="29" t="inlineStr">
        <is>
          <t>제 17 기</t>
        </is>
      </c>
      <c r="N320" s="29" t="inlineStr">
        <is>
          <t>0.0</t>
        </is>
      </c>
      <c r="O320" s="29" t="inlineStr">
        <is>
          <t>0.0</t>
        </is>
      </c>
      <c r="P320" s="29" t="inlineStr">
        <is>
          <t>KRW</t>
        </is>
      </c>
      <c r="Q320" s="29" t="inlineStr">
        <is>
          <t>7</t>
        </is>
      </c>
    </row>
    <row r="321" ht="24" customHeight="1">
      <c r="A321" s="24" t="inlineStr">
        <is>
          <t>OpenDART_fnlttSinglAcntAll</t>
        </is>
      </c>
      <c r="B321" s="24" t="inlineStr">
        <is>
          <t>00591441</t>
        </is>
      </c>
      <c r="C321" s="24" t="inlineStr">
        <is>
          <t>어보브반도체</t>
        </is>
      </c>
      <c r="D321" s="24" t="inlineStr">
        <is>
          <t>abov</t>
        </is>
      </c>
      <c r="E321" s="24" t="inlineStr">
        <is>
          <t>102120</t>
        </is>
      </c>
      <c r="F321" s="24" t="inlineStr">
        <is>
          <t>2022</t>
        </is>
      </c>
      <c r="G321" s="24" t="inlineStr">
        <is>
          <t>CFS</t>
        </is>
      </c>
      <c r="H321" s="24" t="inlineStr">
        <is>
          <t>SCE</t>
        </is>
      </c>
      <c r="I321" s="24" t="inlineStr">
        <is>
          <t>자본변동표</t>
        </is>
      </c>
      <c r="J321" s="24" t="inlineStr">
        <is>
          <t>ifrs-full_DividendsPaid</t>
        </is>
      </c>
      <c r="K321" s="24" t="inlineStr">
        <is>
          <t>배당금지급</t>
        </is>
      </c>
      <c r="L321" s="24" t="inlineStr">
        <is>
          <t>자본 [member]|지배기업의 소유주에게 귀속되는 자본 [member]|이익잉여금 [member]</t>
        </is>
      </c>
      <c r="M321" s="24" t="inlineStr">
        <is>
          <t>제 17 기</t>
        </is>
      </c>
      <c r="N321" s="24" t="inlineStr">
        <is>
          <t>3972195840.0</t>
        </is>
      </c>
      <c r="O321" s="24" t="inlineStr">
        <is>
          <t>3967395840.0</t>
        </is>
      </c>
      <c r="P321" s="24" t="inlineStr">
        <is>
          <t>KRW</t>
        </is>
      </c>
      <c r="Q321" s="24" t="inlineStr">
        <is>
          <t>7</t>
        </is>
      </c>
    </row>
    <row r="322" ht="24" customHeight="1">
      <c r="A322" s="29" t="inlineStr">
        <is>
          <t>OpenDART_fnlttSinglAcntAll</t>
        </is>
      </c>
      <c r="B322" s="29" t="inlineStr">
        <is>
          <t>00591441</t>
        </is>
      </c>
      <c r="C322" s="29" t="inlineStr">
        <is>
          <t>어보브반도체</t>
        </is>
      </c>
      <c r="D322" s="29" t="inlineStr">
        <is>
          <t>abov</t>
        </is>
      </c>
      <c r="E322" s="29" t="inlineStr">
        <is>
          <t>102120</t>
        </is>
      </c>
      <c r="F322" s="29" t="inlineStr">
        <is>
          <t>2022</t>
        </is>
      </c>
      <c r="G322" s="29" t="inlineStr">
        <is>
          <t>CFS</t>
        </is>
      </c>
      <c r="H322" s="29" t="inlineStr">
        <is>
          <t>SCE</t>
        </is>
      </c>
      <c r="I322" s="29" t="inlineStr">
        <is>
          <t>자본변동표</t>
        </is>
      </c>
      <c r="J322" s="29" t="inlineStr">
        <is>
          <t>ifrs-full_DividendsPaid</t>
        </is>
      </c>
      <c r="K322" s="29" t="inlineStr">
        <is>
          <t>배당금지급</t>
        </is>
      </c>
      <c r="L322" s="29" t="inlineStr">
        <is>
          <t>자본 [member]|지배기업의 소유주에게 귀속되는 자본 [member]|자본잉여금 [member]</t>
        </is>
      </c>
      <c r="M322" s="29" t="inlineStr">
        <is>
          <t>제 17 기</t>
        </is>
      </c>
      <c r="N322" s="29" t="inlineStr">
        <is>
          <t>0.0</t>
        </is>
      </c>
      <c r="O322" s="29" t="inlineStr">
        <is>
          <t>0.0</t>
        </is>
      </c>
      <c r="P322" s="29" t="inlineStr">
        <is>
          <t>KRW</t>
        </is>
      </c>
      <c r="Q322" s="29" t="inlineStr">
        <is>
          <t>7</t>
        </is>
      </c>
    </row>
    <row r="323" ht="24" customHeight="1">
      <c r="A323" s="24" t="inlineStr">
        <is>
          <t>OpenDART_fnlttSinglAcntAll</t>
        </is>
      </c>
      <c r="B323" s="24" t="inlineStr">
        <is>
          <t>00591441</t>
        </is>
      </c>
      <c r="C323" s="24" t="inlineStr">
        <is>
          <t>어보브반도체</t>
        </is>
      </c>
      <c r="D323" s="24" t="inlineStr">
        <is>
          <t>abov</t>
        </is>
      </c>
      <c r="E323" s="24" t="inlineStr">
        <is>
          <t>102120</t>
        </is>
      </c>
      <c r="F323" s="24" t="inlineStr">
        <is>
          <t>2022</t>
        </is>
      </c>
      <c r="G323" s="24" t="inlineStr">
        <is>
          <t>CFS</t>
        </is>
      </c>
      <c r="H323" s="24" t="inlineStr">
        <is>
          <t>SCE</t>
        </is>
      </c>
      <c r="I323" s="24" t="inlineStr">
        <is>
          <t>자본변동표</t>
        </is>
      </c>
      <c r="J323" s="24" t="inlineStr">
        <is>
          <t>ifrs-full_DividendsPaid</t>
        </is>
      </c>
      <c r="K323" s="24" t="inlineStr">
        <is>
          <t>배당금지급</t>
        </is>
      </c>
      <c r="L323" s="24" t="inlineStr">
        <is>
          <t>자본 [member]|지배기업의 소유주에게 귀속되는 자본 [member]|자본금 [member]</t>
        </is>
      </c>
      <c r="M323" s="24" t="inlineStr">
        <is>
          <t>제 17 기</t>
        </is>
      </c>
      <c r="N323" s="24" t="inlineStr">
        <is>
          <t>0.0</t>
        </is>
      </c>
      <c r="O323" s="24" t="inlineStr">
        <is>
          <t>0.0</t>
        </is>
      </c>
      <c r="P323" s="24" t="inlineStr">
        <is>
          <t>KRW</t>
        </is>
      </c>
      <c r="Q323" s="24" t="inlineStr">
        <is>
          <t>7</t>
        </is>
      </c>
    </row>
    <row r="324" ht="24" customHeight="1">
      <c r="A324" s="29" t="inlineStr">
        <is>
          <t>OpenDART_fnlttSinglAcntAll</t>
        </is>
      </c>
      <c r="B324" s="29" t="inlineStr">
        <is>
          <t>00591441</t>
        </is>
      </c>
      <c r="C324" s="29" t="inlineStr">
        <is>
          <t>어보브반도체</t>
        </is>
      </c>
      <c r="D324" s="29" t="inlineStr">
        <is>
          <t>abov</t>
        </is>
      </c>
      <c r="E324" s="29" t="inlineStr">
        <is>
          <t>102120</t>
        </is>
      </c>
      <c r="F324" s="29" t="inlineStr">
        <is>
          <t>2022</t>
        </is>
      </c>
      <c r="G324" s="29" t="inlineStr">
        <is>
          <t>CFS</t>
        </is>
      </c>
      <c r="H324" s="29" t="inlineStr">
        <is>
          <t>SCE</t>
        </is>
      </c>
      <c r="I324" s="29" t="inlineStr">
        <is>
          <t>자본변동표</t>
        </is>
      </c>
      <c r="J324" s="29" t="inlineStr">
        <is>
          <t>dart_ShareBasedPaymentTransactions</t>
        </is>
      </c>
      <c r="K324" s="29" t="inlineStr">
        <is>
          <t>주식매입선택권</t>
        </is>
      </c>
      <c r="L324" s="29" t="inlineStr">
        <is>
          <t>자본 [member]|지배기업의 소유주에게 귀속되는 자본 [member]|자본금 [member]</t>
        </is>
      </c>
      <c r="M324" s="29" t="inlineStr">
        <is>
          <t>제 17 기</t>
        </is>
      </c>
      <c r="N324" s="29" t="inlineStr">
        <is>
          <t>0.0</t>
        </is>
      </c>
      <c r="O324" s="29" t="inlineStr">
        <is>
          <t>0.0</t>
        </is>
      </c>
      <c r="P324" s="29" t="inlineStr">
        <is>
          <t>KRW</t>
        </is>
      </c>
      <c r="Q324" s="29" t="inlineStr">
        <is>
          <t>8</t>
        </is>
      </c>
    </row>
    <row r="325" ht="24" customHeight="1">
      <c r="A325" s="24" t="inlineStr">
        <is>
          <t>OpenDART_fnlttSinglAcntAll</t>
        </is>
      </c>
      <c r="B325" s="24" t="inlineStr">
        <is>
          <t>00591441</t>
        </is>
      </c>
      <c r="C325" s="24" t="inlineStr">
        <is>
          <t>어보브반도체</t>
        </is>
      </c>
      <c r="D325" s="24" t="inlineStr">
        <is>
          <t>abov</t>
        </is>
      </c>
      <c r="E325" s="24" t="inlineStr">
        <is>
          <t>102120</t>
        </is>
      </c>
      <c r="F325" s="24" t="inlineStr">
        <is>
          <t>2022</t>
        </is>
      </c>
      <c r="G325" s="24" t="inlineStr">
        <is>
          <t>CFS</t>
        </is>
      </c>
      <c r="H325" s="24" t="inlineStr">
        <is>
          <t>SCE</t>
        </is>
      </c>
      <c r="I325" s="24" t="inlineStr">
        <is>
          <t>자본변동표</t>
        </is>
      </c>
      <c r="J325" s="24" t="inlineStr">
        <is>
          <t>dart_ShareBasedPaymentTransactions</t>
        </is>
      </c>
      <c r="K325" s="24" t="inlineStr">
        <is>
          <t>주식매입선택권</t>
        </is>
      </c>
      <c r="L325" s="24" t="inlineStr">
        <is>
          <t>자본 [member]|지배기업의 소유주에게 귀속되는 자본 [member]|이익잉여금 [member]</t>
        </is>
      </c>
      <c r="M325" s="24" t="inlineStr">
        <is>
          <t>제 17 기</t>
        </is>
      </c>
      <c r="N325" s="24" t="inlineStr">
        <is>
          <t>0.0</t>
        </is>
      </c>
      <c r="O325" s="24" t="inlineStr">
        <is>
          <t>0.0</t>
        </is>
      </c>
      <c r="P325" s="24" t="inlineStr">
        <is>
          <t>KRW</t>
        </is>
      </c>
      <c r="Q325" s="24" t="inlineStr">
        <is>
          <t>8</t>
        </is>
      </c>
    </row>
    <row r="326" ht="24" customHeight="1">
      <c r="A326" s="29" t="inlineStr">
        <is>
          <t>OpenDART_fnlttSinglAcntAll</t>
        </is>
      </c>
      <c r="B326" s="29" t="inlineStr">
        <is>
          <t>00591441</t>
        </is>
      </c>
      <c r="C326" s="29" t="inlineStr">
        <is>
          <t>어보브반도체</t>
        </is>
      </c>
      <c r="D326" s="29" t="inlineStr">
        <is>
          <t>abov</t>
        </is>
      </c>
      <c r="E326" s="29" t="inlineStr">
        <is>
          <t>102120</t>
        </is>
      </c>
      <c r="F326" s="29" t="inlineStr">
        <is>
          <t>2022</t>
        </is>
      </c>
      <c r="G326" s="29" t="inlineStr">
        <is>
          <t>CFS</t>
        </is>
      </c>
      <c r="H326" s="29" t="inlineStr">
        <is>
          <t>SCE</t>
        </is>
      </c>
      <c r="I326" s="29" t="inlineStr">
        <is>
          <t>자본변동표</t>
        </is>
      </c>
      <c r="J326" s="29" t="inlineStr">
        <is>
          <t>dart_ShareBasedPaymentTransactions</t>
        </is>
      </c>
      <c r="K326" s="29" t="inlineStr">
        <is>
          <t>주식매입선택권</t>
        </is>
      </c>
      <c r="L326" s="29" t="inlineStr">
        <is>
          <t>자본 [member]|지배기업의 소유주에게 귀속되는 자본 [member]|기타포괄손익누계액 [member]</t>
        </is>
      </c>
      <c r="M326" s="29" t="inlineStr">
        <is>
          <t>제 17 기</t>
        </is>
      </c>
      <c r="N326" s="29" t="inlineStr">
        <is>
          <t>0.0</t>
        </is>
      </c>
      <c r="O326" s="29" t="inlineStr">
        <is>
          <t>0.0</t>
        </is>
      </c>
      <c r="P326" s="29" t="inlineStr">
        <is>
          <t>KRW</t>
        </is>
      </c>
      <c r="Q326" s="29" t="inlineStr">
        <is>
          <t>8</t>
        </is>
      </c>
    </row>
    <row r="327" ht="24" customHeight="1">
      <c r="A327" s="24" t="inlineStr">
        <is>
          <t>OpenDART_fnlttSinglAcntAll</t>
        </is>
      </c>
      <c r="B327" s="24" t="inlineStr">
        <is>
          <t>00591441</t>
        </is>
      </c>
      <c r="C327" s="24" t="inlineStr">
        <is>
          <t>어보브반도체</t>
        </is>
      </c>
      <c r="D327" s="24" t="inlineStr">
        <is>
          <t>abov</t>
        </is>
      </c>
      <c r="E327" s="24" t="inlineStr">
        <is>
          <t>102120</t>
        </is>
      </c>
      <c r="F327" s="24" t="inlineStr">
        <is>
          <t>2022</t>
        </is>
      </c>
      <c r="G327" s="24" t="inlineStr">
        <is>
          <t>CFS</t>
        </is>
      </c>
      <c r="H327" s="24" t="inlineStr">
        <is>
          <t>SCE</t>
        </is>
      </c>
      <c r="I327" s="24" t="inlineStr">
        <is>
          <t>자본변동표</t>
        </is>
      </c>
      <c r="J327" s="24" t="inlineStr">
        <is>
          <t>dart_ShareBasedPaymentTransactions</t>
        </is>
      </c>
      <c r="K327" s="24" t="inlineStr">
        <is>
          <t>주식매입선택권</t>
        </is>
      </c>
      <c r="L327" s="24" t="inlineStr">
        <is>
          <t>자본 [member]|지배기업의 소유주에게 귀속되는 자본 [member]|기타자본항목</t>
        </is>
      </c>
      <c r="M327" s="24" t="inlineStr">
        <is>
          <t>제 17 기</t>
        </is>
      </c>
      <c r="N327" s="24" t="inlineStr">
        <is>
          <t>2057126740.0</t>
        </is>
      </c>
      <c r="O327" s="24" t="inlineStr">
        <is>
          <t>190801740.0</t>
        </is>
      </c>
      <c r="P327" s="24" t="inlineStr">
        <is>
          <t>KRW</t>
        </is>
      </c>
      <c r="Q327" s="24" t="inlineStr">
        <is>
          <t>8</t>
        </is>
      </c>
    </row>
    <row r="328" ht="24" customHeight="1">
      <c r="A328" s="29" t="inlineStr">
        <is>
          <t>OpenDART_fnlttSinglAcntAll</t>
        </is>
      </c>
      <c r="B328" s="29" t="inlineStr">
        <is>
          <t>00591441</t>
        </is>
      </c>
      <c r="C328" s="29" t="inlineStr">
        <is>
          <t>어보브반도체</t>
        </is>
      </c>
      <c r="D328" s="29" t="inlineStr">
        <is>
          <t>abov</t>
        </is>
      </c>
      <c r="E328" s="29" t="inlineStr">
        <is>
          <t>102120</t>
        </is>
      </c>
      <c r="F328" s="29" t="inlineStr">
        <is>
          <t>2022</t>
        </is>
      </c>
      <c r="G328" s="29" t="inlineStr">
        <is>
          <t>CFS</t>
        </is>
      </c>
      <c r="H328" s="29" t="inlineStr">
        <is>
          <t>SCE</t>
        </is>
      </c>
      <c r="I328" s="29" t="inlineStr">
        <is>
          <t>자본변동표</t>
        </is>
      </c>
      <c r="J328" s="29" t="inlineStr">
        <is>
          <t>dart_ShareBasedPaymentTransactions</t>
        </is>
      </c>
      <c r="K328" s="29" t="inlineStr">
        <is>
          <t>주식매입선택권</t>
        </is>
      </c>
      <c r="L328" s="29" t="inlineStr">
        <is>
          <t>자본 [member]|지배기업의 소유주에게 귀속되는 자본 [member]</t>
        </is>
      </c>
      <c r="M328" s="29" t="inlineStr">
        <is>
          <t>제 17 기</t>
        </is>
      </c>
      <c r="N328" s="29" t="inlineStr">
        <is>
          <t>2057126740.0</t>
        </is>
      </c>
      <c r="O328" s="29" t="inlineStr">
        <is>
          <t>190801740.0</t>
        </is>
      </c>
      <c r="P328" s="29" t="inlineStr">
        <is>
          <t>KRW</t>
        </is>
      </c>
      <c r="Q328" s="29" t="inlineStr">
        <is>
          <t>8</t>
        </is>
      </c>
    </row>
    <row r="329" ht="24" customHeight="1">
      <c r="A329" s="24" t="inlineStr">
        <is>
          <t>OpenDART_fnlttSinglAcntAll</t>
        </is>
      </c>
      <c r="B329" s="24" t="inlineStr">
        <is>
          <t>00591441</t>
        </is>
      </c>
      <c r="C329" s="24" t="inlineStr">
        <is>
          <t>어보브반도체</t>
        </is>
      </c>
      <c r="D329" s="24" t="inlineStr">
        <is>
          <t>abov</t>
        </is>
      </c>
      <c r="E329" s="24" t="inlineStr">
        <is>
          <t>102120</t>
        </is>
      </c>
      <c r="F329" s="24" t="inlineStr">
        <is>
          <t>2022</t>
        </is>
      </c>
      <c r="G329" s="24" t="inlineStr">
        <is>
          <t>CFS</t>
        </is>
      </c>
      <c r="H329" s="24" t="inlineStr">
        <is>
          <t>SCE</t>
        </is>
      </c>
      <c r="I329" s="24" t="inlineStr">
        <is>
          <t>자본변동표</t>
        </is>
      </c>
      <c r="J329" s="24" t="inlineStr">
        <is>
          <t>dart_ShareBasedPaymentTransactions</t>
        </is>
      </c>
      <c r="K329" s="24" t="inlineStr">
        <is>
          <t>주식매입선택권</t>
        </is>
      </c>
      <c r="L329" s="24" t="inlineStr">
        <is>
          <t>연결재무제표 [member]</t>
        </is>
      </c>
      <c r="M329" s="24" t="inlineStr">
        <is>
          <t>제 17 기</t>
        </is>
      </c>
      <c r="N329" s="24" t="inlineStr">
        <is>
          <t>2057126740.0</t>
        </is>
      </c>
      <c r="O329" s="24" t="inlineStr">
        <is>
          <t>190801740.0</t>
        </is>
      </c>
      <c r="P329" s="24" t="inlineStr">
        <is>
          <t>KRW</t>
        </is>
      </c>
      <c r="Q329" s="24" t="inlineStr">
        <is>
          <t>8</t>
        </is>
      </c>
    </row>
    <row r="330" ht="24" customHeight="1">
      <c r="A330" s="29" t="inlineStr">
        <is>
          <t>OpenDART_fnlttSinglAcntAll</t>
        </is>
      </c>
      <c r="B330" s="29" t="inlineStr">
        <is>
          <t>00591441</t>
        </is>
      </c>
      <c r="C330" s="29" t="inlineStr">
        <is>
          <t>어보브반도체</t>
        </is>
      </c>
      <c r="D330" s="29" t="inlineStr">
        <is>
          <t>abov</t>
        </is>
      </c>
      <c r="E330" s="29" t="inlineStr">
        <is>
          <t>102120</t>
        </is>
      </c>
      <c r="F330" s="29" t="inlineStr">
        <is>
          <t>2022</t>
        </is>
      </c>
      <c r="G330" s="29" t="inlineStr">
        <is>
          <t>CFS</t>
        </is>
      </c>
      <c r="H330" s="29" t="inlineStr">
        <is>
          <t>SCE</t>
        </is>
      </c>
      <c r="I330" s="29" t="inlineStr">
        <is>
          <t>자본변동표</t>
        </is>
      </c>
      <c r="J330" s="29" t="inlineStr">
        <is>
          <t>dart_ShareBasedPaymentTransactions</t>
        </is>
      </c>
      <c r="K330" s="29" t="inlineStr">
        <is>
          <t>주식매입선택권</t>
        </is>
      </c>
      <c r="L330" s="29" t="inlineStr">
        <is>
          <t>자본 [member]|비지배지분 [member]</t>
        </is>
      </c>
      <c r="M330" s="29" t="inlineStr">
        <is>
          <t>제 17 기</t>
        </is>
      </c>
      <c r="N330" s="29" t="inlineStr">
        <is>
          <t>0.0</t>
        </is>
      </c>
      <c r="O330" s="29" t="inlineStr">
        <is>
          <t>0.0</t>
        </is>
      </c>
      <c r="P330" s="29" t="inlineStr">
        <is>
          <t>KRW</t>
        </is>
      </c>
      <c r="Q330" s="29" t="inlineStr">
        <is>
          <t>8</t>
        </is>
      </c>
    </row>
    <row r="331" ht="24" customHeight="1">
      <c r="A331" s="24" t="inlineStr">
        <is>
          <t>OpenDART_fnlttSinglAcntAll</t>
        </is>
      </c>
      <c r="B331" s="24" t="inlineStr">
        <is>
          <t>00591441</t>
        </is>
      </c>
      <c r="C331" s="24" t="inlineStr">
        <is>
          <t>어보브반도체</t>
        </is>
      </c>
      <c r="D331" s="24" t="inlineStr">
        <is>
          <t>abov</t>
        </is>
      </c>
      <c r="E331" s="24" t="inlineStr">
        <is>
          <t>102120</t>
        </is>
      </c>
      <c r="F331" s="24" t="inlineStr">
        <is>
          <t>2022</t>
        </is>
      </c>
      <c r="G331" s="24" t="inlineStr">
        <is>
          <t>CFS</t>
        </is>
      </c>
      <c r="H331" s="24" t="inlineStr">
        <is>
          <t>SCE</t>
        </is>
      </c>
      <c r="I331" s="24" t="inlineStr">
        <is>
          <t>자본변동표</t>
        </is>
      </c>
      <c r="J331" s="24" t="inlineStr">
        <is>
          <t>dart_ShareBasedPaymentTransactions</t>
        </is>
      </c>
      <c r="K331" s="24" t="inlineStr">
        <is>
          <t>주식매입선택권</t>
        </is>
      </c>
      <c r="L331" s="24" t="inlineStr">
        <is>
          <t>자본 [member]|지배기업의 소유주에게 귀속되는 자본 [member]|자본잉여금 [member]</t>
        </is>
      </c>
      <c r="M331" s="24" t="inlineStr">
        <is>
          <t>제 17 기</t>
        </is>
      </c>
      <c r="N331" s="24" t="inlineStr">
        <is>
          <t>0.0</t>
        </is>
      </c>
      <c r="O331" s="24" t="inlineStr">
        <is>
          <t>0.0</t>
        </is>
      </c>
      <c r="P331" s="24" t="inlineStr">
        <is>
          <t>KRW</t>
        </is>
      </c>
      <c r="Q331" s="24" t="inlineStr">
        <is>
          <t>8</t>
        </is>
      </c>
    </row>
    <row r="332" ht="24" customHeight="1">
      <c r="A332" s="29" t="inlineStr">
        <is>
          <t>OpenDART_fnlttSinglAcntAll</t>
        </is>
      </c>
      <c r="B332" s="29" t="inlineStr">
        <is>
          <t>00591441</t>
        </is>
      </c>
      <c r="C332" s="29" t="inlineStr">
        <is>
          <t>어보브반도체</t>
        </is>
      </c>
      <c r="D332" s="29" t="inlineStr">
        <is>
          <t>abov</t>
        </is>
      </c>
      <c r="E332" s="29" t="inlineStr">
        <is>
          <t>102120</t>
        </is>
      </c>
      <c r="F332" s="29" t="inlineStr">
        <is>
          <t>2022</t>
        </is>
      </c>
      <c r="G332" s="29" t="inlineStr">
        <is>
          <t>CFS</t>
        </is>
      </c>
      <c r="H332" s="29" t="inlineStr">
        <is>
          <t>SCE</t>
        </is>
      </c>
      <c r="I332" s="29" t="inlineStr">
        <is>
          <t>자본변동표</t>
        </is>
      </c>
      <c r="J332" s="29" t="inlineStr">
        <is>
          <t>dart_TreasuryShareTransactions</t>
        </is>
      </c>
      <c r="K332" s="29" t="inlineStr">
        <is>
          <t>자기주식의(취득)처분</t>
        </is>
      </c>
      <c r="L332" s="29" t="inlineStr">
        <is>
          <t>자본 [member]|비지배지분 [member]</t>
        </is>
      </c>
      <c r="M332" s="29" t="inlineStr">
        <is>
          <t>제 17 기</t>
        </is>
      </c>
      <c r="N332" s="29" t="inlineStr">
        <is>
          <t>0.0</t>
        </is>
      </c>
      <c r="O332" s="29" t="inlineStr">
        <is>
          <t>0.0</t>
        </is>
      </c>
      <c r="P332" s="29" t="inlineStr">
        <is>
          <t>KRW</t>
        </is>
      </c>
      <c r="Q332" s="29" t="inlineStr">
        <is>
          <t>9</t>
        </is>
      </c>
    </row>
    <row r="333" ht="24" customHeight="1">
      <c r="A333" s="24" t="inlineStr">
        <is>
          <t>OpenDART_fnlttSinglAcntAll</t>
        </is>
      </c>
      <c r="B333" s="24" t="inlineStr">
        <is>
          <t>00591441</t>
        </is>
      </c>
      <c r="C333" s="24" t="inlineStr">
        <is>
          <t>어보브반도체</t>
        </is>
      </c>
      <c r="D333" s="24" t="inlineStr">
        <is>
          <t>abov</t>
        </is>
      </c>
      <c r="E333" s="24" t="inlineStr">
        <is>
          <t>102120</t>
        </is>
      </c>
      <c r="F333" s="24" t="inlineStr">
        <is>
          <t>2022</t>
        </is>
      </c>
      <c r="G333" s="24" t="inlineStr">
        <is>
          <t>CFS</t>
        </is>
      </c>
      <c r="H333" s="24" t="inlineStr">
        <is>
          <t>SCE</t>
        </is>
      </c>
      <c r="I333" s="24" t="inlineStr">
        <is>
          <t>자본변동표</t>
        </is>
      </c>
      <c r="J333" s="24" t="inlineStr">
        <is>
          <t>dart_TreasuryShareTransactions</t>
        </is>
      </c>
      <c r="K333" s="24" t="inlineStr">
        <is>
          <t>자기주식의(취득)처분</t>
        </is>
      </c>
      <c r="L333" s="24" t="inlineStr">
        <is>
          <t>자본 [member]|지배기업의 소유주에게 귀속되는 자본 [member]</t>
        </is>
      </c>
      <c r="M333" s="24" t="inlineStr">
        <is>
          <t>제 17 기</t>
        </is>
      </c>
      <c r="N333" s="24" t="inlineStr">
        <is>
          <t>-4993987200.0</t>
        </is>
      </c>
      <c r="O333" s="24" t="inlineStr">
        <is>
          <t>188503574.0</t>
        </is>
      </c>
      <c r="P333" s="24" t="inlineStr">
        <is>
          <t>KRW</t>
        </is>
      </c>
      <c r="Q333" s="24" t="inlineStr">
        <is>
          <t>9</t>
        </is>
      </c>
    </row>
    <row r="334" ht="24" customHeight="1">
      <c r="A334" s="29" t="inlineStr">
        <is>
          <t>OpenDART_fnlttSinglAcntAll</t>
        </is>
      </c>
      <c r="B334" s="29" t="inlineStr">
        <is>
          <t>00591441</t>
        </is>
      </c>
      <c r="C334" s="29" t="inlineStr">
        <is>
          <t>어보브반도체</t>
        </is>
      </c>
      <c r="D334" s="29" t="inlineStr">
        <is>
          <t>abov</t>
        </is>
      </c>
      <c r="E334" s="29" t="inlineStr">
        <is>
          <t>102120</t>
        </is>
      </c>
      <c r="F334" s="29" t="inlineStr">
        <is>
          <t>2022</t>
        </is>
      </c>
      <c r="G334" s="29" t="inlineStr">
        <is>
          <t>CFS</t>
        </is>
      </c>
      <c r="H334" s="29" t="inlineStr">
        <is>
          <t>SCE</t>
        </is>
      </c>
      <c r="I334" s="29" t="inlineStr">
        <is>
          <t>자본변동표</t>
        </is>
      </c>
      <c r="J334" s="29" t="inlineStr">
        <is>
          <t>dart_TreasuryShareTransactions</t>
        </is>
      </c>
      <c r="K334" s="29" t="inlineStr">
        <is>
          <t>자기주식의(취득)처분</t>
        </is>
      </c>
      <c r="L334" s="29" t="inlineStr">
        <is>
          <t>자본 [member]|지배기업의 소유주에게 귀속되는 자본 [member]|기타자본항목</t>
        </is>
      </c>
      <c r="M334" s="29" t="inlineStr">
        <is>
          <t>제 17 기</t>
        </is>
      </c>
      <c r="N334" s="29" t="inlineStr">
        <is>
          <t>-4993987200.0</t>
        </is>
      </c>
      <c r="O334" s="29" t="inlineStr">
        <is>
          <t>188503574.0</t>
        </is>
      </c>
      <c r="P334" s="29" t="inlineStr">
        <is>
          <t>KRW</t>
        </is>
      </c>
      <c r="Q334" s="29" t="inlineStr">
        <is>
          <t>9</t>
        </is>
      </c>
    </row>
    <row r="335" ht="24" customHeight="1">
      <c r="A335" s="24" t="inlineStr">
        <is>
          <t>OpenDART_fnlttSinglAcntAll</t>
        </is>
      </c>
      <c r="B335" s="24" t="inlineStr">
        <is>
          <t>00591441</t>
        </is>
      </c>
      <c r="C335" s="24" t="inlineStr">
        <is>
          <t>어보브반도체</t>
        </is>
      </c>
      <c r="D335" s="24" t="inlineStr">
        <is>
          <t>abov</t>
        </is>
      </c>
      <c r="E335" s="24" t="inlineStr">
        <is>
          <t>102120</t>
        </is>
      </c>
      <c r="F335" s="24" t="inlineStr">
        <is>
          <t>2022</t>
        </is>
      </c>
      <c r="G335" s="24" t="inlineStr">
        <is>
          <t>CFS</t>
        </is>
      </c>
      <c r="H335" s="24" t="inlineStr">
        <is>
          <t>SCE</t>
        </is>
      </c>
      <c r="I335" s="24" t="inlineStr">
        <is>
          <t>자본변동표</t>
        </is>
      </c>
      <c r="J335" s="24" t="inlineStr">
        <is>
          <t>dart_TreasuryShareTransactions</t>
        </is>
      </c>
      <c r="K335" s="24" t="inlineStr">
        <is>
          <t>자기주식의(취득)처분</t>
        </is>
      </c>
      <c r="L335" s="24" t="inlineStr">
        <is>
          <t>자본 [member]|지배기업의 소유주에게 귀속되는 자본 [member]|기타포괄손익누계액 [member]</t>
        </is>
      </c>
      <c r="M335" s="24" t="inlineStr">
        <is>
          <t>제 17 기</t>
        </is>
      </c>
      <c r="N335" s="24" t="inlineStr">
        <is>
          <t>0.0</t>
        </is>
      </c>
      <c r="O335" s="24" t="inlineStr">
        <is>
          <t>0.0</t>
        </is>
      </c>
      <c r="P335" s="24" t="inlineStr">
        <is>
          <t>KRW</t>
        </is>
      </c>
      <c r="Q335" s="24" t="inlineStr">
        <is>
          <t>9</t>
        </is>
      </c>
    </row>
    <row r="336" ht="24" customHeight="1">
      <c r="A336" s="29" t="inlineStr">
        <is>
          <t>OpenDART_fnlttSinglAcntAll</t>
        </is>
      </c>
      <c r="B336" s="29" t="inlineStr">
        <is>
          <t>00591441</t>
        </is>
      </c>
      <c r="C336" s="29" t="inlineStr">
        <is>
          <t>어보브반도체</t>
        </is>
      </c>
      <c r="D336" s="29" t="inlineStr">
        <is>
          <t>abov</t>
        </is>
      </c>
      <c r="E336" s="29" t="inlineStr">
        <is>
          <t>102120</t>
        </is>
      </c>
      <c r="F336" s="29" t="inlineStr">
        <is>
          <t>2022</t>
        </is>
      </c>
      <c r="G336" s="29" t="inlineStr">
        <is>
          <t>CFS</t>
        </is>
      </c>
      <c r="H336" s="29" t="inlineStr">
        <is>
          <t>SCE</t>
        </is>
      </c>
      <c r="I336" s="29" t="inlineStr">
        <is>
          <t>자본변동표</t>
        </is>
      </c>
      <c r="J336" s="29" t="inlineStr">
        <is>
          <t>dart_TreasuryShareTransactions</t>
        </is>
      </c>
      <c r="K336" s="29" t="inlineStr">
        <is>
          <t>자기주식의(취득)처분</t>
        </is>
      </c>
      <c r="L336" s="29" t="inlineStr">
        <is>
          <t>자본 [member]|지배기업의 소유주에게 귀속되는 자본 [member]|이익잉여금 [member]</t>
        </is>
      </c>
      <c r="M336" s="29" t="inlineStr">
        <is>
          <t>제 17 기</t>
        </is>
      </c>
      <c r="N336" s="29" t="inlineStr">
        <is>
          <t>0.0</t>
        </is>
      </c>
      <c r="O336" s="29" t="inlineStr">
        <is>
          <t>0.0</t>
        </is>
      </c>
      <c r="P336" s="29" t="inlineStr">
        <is>
          <t>KRW</t>
        </is>
      </c>
      <c r="Q336" s="29" t="inlineStr">
        <is>
          <t>9</t>
        </is>
      </c>
    </row>
    <row r="337" ht="24" customHeight="1">
      <c r="A337" s="24" t="inlineStr">
        <is>
          <t>OpenDART_fnlttSinglAcntAll</t>
        </is>
      </c>
      <c r="B337" s="24" t="inlineStr">
        <is>
          <t>00591441</t>
        </is>
      </c>
      <c r="C337" s="24" t="inlineStr">
        <is>
          <t>어보브반도체</t>
        </is>
      </c>
      <c r="D337" s="24" t="inlineStr">
        <is>
          <t>abov</t>
        </is>
      </c>
      <c r="E337" s="24" t="inlineStr">
        <is>
          <t>102120</t>
        </is>
      </c>
      <c r="F337" s="24" t="inlineStr">
        <is>
          <t>2022</t>
        </is>
      </c>
      <c r="G337" s="24" t="inlineStr">
        <is>
          <t>CFS</t>
        </is>
      </c>
      <c r="H337" s="24" t="inlineStr">
        <is>
          <t>SCE</t>
        </is>
      </c>
      <c r="I337" s="24" t="inlineStr">
        <is>
          <t>자본변동표</t>
        </is>
      </c>
      <c r="J337" s="24" t="inlineStr">
        <is>
          <t>dart_TreasuryShareTransactions</t>
        </is>
      </c>
      <c r="K337" s="24" t="inlineStr">
        <is>
          <t>자기주식의(취득)처분</t>
        </is>
      </c>
      <c r="L337" s="24" t="inlineStr">
        <is>
          <t>자본 [member]|지배기업의 소유주에게 귀속되는 자본 [member]|자본금 [member]</t>
        </is>
      </c>
      <c r="M337" s="24" t="inlineStr">
        <is>
          <t>제 17 기</t>
        </is>
      </c>
      <c r="N337" s="24" t="inlineStr">
        <is>
          <t>0.0</t>
        </is>
      </c>
      <c r="O337" s="24" t="inlineStr">
        <is>
          <t>0.0</t>
        </is>
      </c>
      <c r="P337" s="24" t="inlineStr">
        <is>
          <t>KRW</t>
        </is>
      </c>
      <c r="Q337" s="24" t="inlineStr">
        <is>
          <t>9</t>
        </is>
      </c>
    </row>
    <row r="338" ht="24" customHeight="1">
      <c r="A338" s="29" t="inlineStr">
        <is>
          <t>OpenDART_fnlttSinglAcntAll</t>
        </is>
      </c>
      <c r="B338" s="29" t="inlineStr">
        <is>
          <t>00591441</t>
        </is>
      </c>
      <c r="C338" s="29" t="inlineStr">
        <is>
          <t>어보브반도체</t>
        </is>
      </c>
      <c r="D338" s="29" t="inlineStr">
        <is>
          <t>abov</t>
        </is>
      </c>
      <c r="E338" s="29" t="inlineStr">
        <is>
          <t>102120</t>
        </is>
      </c>
      <c r="F338" s="29" t="inlineStr">
        <is>
          <t>2022</t>
        </is>
      </c>
      <c r="G338" s="29" t="inlineStr">
        <is>
          <t>CFS</t>
        </is>
      </c>
      <c r="H338" s="29" t="inlineStr">
        <is>
          <t>SCE</t>
        </is>
      </c>
      <c r="I338" s="29" t="inlineStr">
        <is>
          <t>자본변동표</t>
        </is>
      </c>
      <c r="J338" s="29" t="inlineStr">
        <is>
          <t>dart_TreasuryShareTransactions</t>
        </is>
      </c>
      <c r="K338" s="29" t="inlineStr">
        <is>
          <t>자기주식의(취득)처분</t>
        </is>
      </c>
      <c r="L338" s="29" t="inlineStr">
        <is>
          <t>자본 [member]|지배기업의 소유주에게 귀속되는 자본 [member]|자본잉여금 [member]</t>
        </is>
      </c>
      <c r="M338" s="29" t="inlineStr">
        <is>
          <t>제 17 기</t>
        </is>
      </c>
      <c r="N338" s="29" t="inlineStr">
        <is>
          <t>0.0</t>
        </is>
      </c>
      <c r="O338" s="29" t="inlineStr">
        <is>
          <t>0.0</t>
        </is>
      </c>
      <c r="P338" s="29" t="inlineStr">
        <is>
          <t>KRW</t>
        </is>
      </c>
      <c r="Q338" s="29" t="inlineStr">
        <is>
          <t>9</t>
        </is>
      </c>
    </row>
    <row r="339" ht="24" customHeight="1">
      <c r="A339" s="24" t="inlineStr">
        <is>
          <t>OpenDART_fnlttSinglAcntAll</t>
        </is>
      </c>
      <c r="B339" s="24" t="inlineStr">
        <is>
          <t>00591441</t>
        </is>
      </c>
      <c r="C339" s="24" t="inlineStr">
        <is>
          <t>어보브반도체</t>
        </is>
      </c>
      <c r="D339" s="24" t="inlineStr">
        <is>
          <t>abov</t>
        </is>
      </c>
      <c r="E339" s="24" t="inlineStr">
        <is>
          <t>102120</t>
        </is>
      </c>
      <c r="F339" s="24" t="inlineStr">
        <is>
          <t>2022</t>
        </is>
      </c>
      <c r="G339" s="24" t="inlineStr">
        <is>
          <t>CFS</t>
        </is>
      </c>
      <c r="H339" s="24" t="inlineStr">
        <is>
          <t>SCE</t>
        </is>
      </c>
      <c r="I339" s="24" t="inlineStr">
        <is>
          <t>자본변동표</t>
        </is>
      </c>
      <c r="J339" s="24" t="inlineStr">
        <is>
          <t>dart_TreasuryShareTransactions</t>
        </is>
      </c>
      <c r="K339" s="24" t="inlineStr">
        <is>
          <t>자기주식의(취득)처분</t>
        </is>
      </c>
      <c r="L339" s="24" t="inlineStr">
        <is>
          <t>연결재무제표 [member]</t>
        </is>
      </c>
      <c r="M339" s="24" t="inlineStr">
        <is>
          <t>제 17 기</t>
        </is>
      </c>
      <c r="N339" s="24" t="inlineStr">
        <is>
          <t>-4993987200.0</t>
        </is>
      </c>
      <c r="O339" s="24" t="inlineStr">
        <is>
          <t>188503574.0</t>
        </is>
      </c>
      <c r="P339" s="24" t="inlineStr">
        <is>
          <t>KRW</t>
        </is>
      </c>
      <c r="Q339" s="24" t="inlineStr">
        <is>
          <t>9</t>
        </is>
      </c>
    </row>
    <row r="340" ht="24" customHeight="1">
      <c r="A340" s="29" t="inlineStr">
        <is>
          <t>OpenDART_fnlttSinglAcntAll</t>
        </is>
      </c>
      <c r="B340" s="29" t="inlineStr">
        <is>
          <t>00591441</t>
        </is>
      </c>
      <c r="C340" s="29" t="inlineStr">
        <is>
          <t>어보브반도체</t>
        </is>
      </c>
      <c r="D340" s="29" t="inlineStr">
        <is>
          <t>abov</t>
        </is>
      </c>
      <c r="E340" s="29" t="inlineStr">
        <is>
          <t>102120</t>
        </is>
      </c>
      <c r="F340" s="29" t="inlineStr">
        <is>
          <t>2022</t>
        </is>
      </c>
      <c r="G340" s="29" t="inlineStr">
        <is>
          <t>CFS</t>
        </is>
      </c>
      <c r="H340" s="29" t="inlineStr">
        <is>
          <t>SCE</t>
        </is>
      </c>
      <c r="I340" s="29" t="inlineStr">
        <is>
          <t>자본변동표</t>
        </is>
      </c>
      <c r="J340" s="29" t="inlineStr">
        <is>
          <t>-표준계정코드 미사용-</t>
        </is>
      </c>
      <c r="K340" s="29" t="inlineStr">
        <is>
          <t>유상증자</t>
        </is>
      </c>
      <c r="L340" s="29" t="inlineStr">
        <is>
          <t>자본 [member]|지배기업의 소유주에게 귀속되는 자본 [member]|자본잉여금 [member]</t>
        </is>
      </c>
      <c r="M340" s="29" t="inlineStr">
        <is>
          <t>제 17 기</t>
        </is>
      </c>
      <c r="N340" s="29" t="inlineStr">
        <is>
          <t>3337953360.0</t>
        </is>
      </c>
      <c r="O340" s="29" t="inlineStr">
        <is>
          <t>0.0</t>
        </is>
      </c>
      <c r="P340" s="29" t="inlineStr">
        <is>
          <t>KRW</t>
        </is>
      </c>
      <c r="Q340" s="29" t="inlineStr">
        <is>
          <t>10</t>
        </is>
      </c>
    </row>
    <row r="341" ht="24" customHeight="1">
      <c r="A341" s="24" t="inlineStr">
        <is>
          <t>OpenDART_fnlttSinglAcntAll</t>
        </is>
      </c>
      <c r="B341" s="24" t="inlineStr">
        <is>
          <t>00591441</t>
        </is>
      </c>
      <c r="C341" s="24" t="inlineStr">
        <is>
          <t>어보브반도체</t>
        </is>
      </c>
      <c r="D341" s="24" t="inlineStr">
        <is>
          <t>abov</t>
        </is>
      </c>
      <c r="E341" s="24" t="inlineStr">
        <is>
          <t>102120</t>
        </is>
      </c>
      <c r="F341" s="24" t="inlineStr">
        <is>
          <t>2022</t>
        </is>
      </c>
      <c r="G341" s="24" t="inlineStr">
        <is>
          <t>CFS</t>
        </is>
      </c>
      <c r="H341" s="24" t="inlineStr">
        <is>
          <t>SCE</t>
        </is>
      </c>
      <c r="I341" s="24" t="inlineStr">
        <is>
          <t>자본변동표</t>
        </is>
      </c>
      <c r="J341" s="24" t="inlineStr">
        <is>
          <t>-표준계정코드 미사용-</t>
        </is>
      </c>
      <c r="K341" s="24" t="inlineStr">
        <is>
          <t>유상증자</t>
        </is>
      </c>
      <c r="L341" s="24" t="inlineStr">
        <is>
          <t>자본 [member]|지배기업의 소유주에게 귀속되는 자본 [member]|자본금 [member]</t>
        </is>
      </c>
      <c r="M341" s="24" t="inlineStr">
        <is>
          <t>제 17 기</t>
        </is>
      </c>
      <c r="N341" s="24" t="inlineStr">
        <is>
          <t>160550000.0</t>
        </is>
      </c>
      <c r="O341" s="24" t="inlineStr">
        <is>
          <t>0.0</t>
        </is>
      </c>
      <c r="P341" s="24" t="inlineStr">
        <is>
          <t>KRW</t>
        </is>
      </c>
      <c r="Q341" s="24" t="inlineStr">
        <is>
          <t>10</t>
        </is>
      </c>
    </row>
    <row r="342" ht="24" customHeight="1">
      <c r="A342" s="29" t="inlineStr">
        <is>
          <t>OpenDART_fnlttSinglAcntAll</t>
        </is>
      </c>
      <c r="B342" s="29" t="inlineStr">
        <is>
          <t>00591441</t>
        </is>
      </c>
      <c r="C342" s="29" t="inlineStr">
        <is>
          <t>어보브반도체</t>
        </is>
      </c>
      <c r="D342" s="29" t="inlineStr">
        <is>
          <t>abov</t>
        </is>
      </c>
      <c r="E342" s="29" t="inlineStr">
        <is>
          <t>102120</t>
        </is>
      </c>
      <c r="F342" s="29" t="inlineStr">
        <is>
          <t>2022</t>
        </is>
      </c>
      <c r="G342" s="29" t="inlineStr">
        <is>
          <t>CFS</t>
        </is>
      </c>
      <c r="H342" s="29" t="inlineStr">
        <is>
          <t>SCE</t>
        </is>
      </c>
      <c r="I342" s="29" t="inlineStr">
        <is>
          <t>자본변동표</t>
        </is>
      </c>
      <c r="J342" s="29" t="inlineStr">
        <is>
          <t>-표준계정코드 미사용-</t>
        </is>
      </c>
      <c r="K342" s="29" t="inlineStr">
        <is>
          <t>유상증자</t>
        </is>
      </c>
      <c r="L342" s="29" t="inlineStr">
        <is>
          <t>자본 [member]|지배기업의 소유주에게 귀속되는 자본 [member]|이익잉여금 [member]</t>
        </is>
      </c>
      <c r="M342" s="29" t="inlineStr">
        <is>
          <t>제 17 기</t>
        </is>
      </c>
      <c r="N342" s="29" t="inlineStr">
        <is>
          <t>0.0</t>
        </is>
      </c>
      <c r="O342" s="29" t="inlineStr">
        <is>
          <t>0.0</t>
        </is>
      </c>
      <c r="P342" s="29" t="inlineStr">
        <is>
          <t>KRW</t>
        </is>
      </c>
      <c r="Q342" s="29" t="inlineStr">
        <is>
          <t>10</t>
        </is>
      </c>
    </row>
    <row r="343" ht="24" customHeight="1">
      <c r="A343" s="24" t="inlineStr">
        <is>
          <t>OpenDART_fnlttSinglAcntAll</t>
        </is>
      </c>
      <c r="B343" s="24" t="inlineStr">
        <is>
          <t>00591441</t>
        </is>
      </c>
      <c r="C343" s="24" t="inlineStr">
        <is>
          <t>어보브반도체</t>
        </is>
      </c>
      <c r="D343" s="24" t="inlineStr">
        <is>
          <t>abov</t>
        </is>
      </c>
      <c r="E343" s="24" t="inlineStr">
        <is>
          <t>102120</t>
        </is>
      </c>
      <c r="F343" s="24" t="inlineStr">
        <is>
          <t>2022</t>
        </is>
      </c>
      <c r="G343" s="24" t="inlineStr">
        <is>
          <t>CFS</t>
        </is>
      </c>
      <c r="H343" s="24" t="inlineStr">
        <is>
          <t>SCE</t>
        </is>
      </c>
      <c r="I343" s="24" t="inlineStr">
        <is>
          <t>자본변동표</t>
        </is>
      </c>
      <c r="J343" s="24" t="inlineStr">
        <is>
          <t>-표준계정코드 미사용-</t>
        </is>
      </c>
      <c r="K343" s="24" t="inlineStr">
        <is>
          <t>유상증자</t>
        </is>
      </c>
      <c r="L343" s="24" t="inlineStr">
        <is>
          <t>자본 [member]|지배기업의 소유주에게 귀속되는 자본 [member]|기타포괄손익누계액 [member]</t>
        </is>
      </c>
      <c r="M343" s="24" t="inlineStr">
        <is>
          <t>제 17 기</t>
        </is>
      </c>
      <c r="N343" s="24" t="inlineStr">
        <is>
          <t>0.0</t>
        </is>
      </c>
      <c r="O343" s="24" t="inlineStr">
        <is>
          <t>0.0</t>
        </is>
      </c>
      <c r="P343" s="24" t="inlineStr">
        <is>
          <t>KRW</t>
        </is>
      </c>
      <c r="Q343" s="24" t="inlineStr">
        <is>
          <t>10</t>
        </is>
      </c>
    </row>
    <row r="344" ht="24" customHeight="1">
      <c r="A344" s="29" t="inlineStr">
        <is>
          <t>OpenDART_fnlttSinglAcntAll</t>
        </is>
      </c>
      <c r="B344" s="29" t="inlineStr">
        <is>
          <t>00591441</t>
        </is>
      </c>
      <c r="C344" s="29" t="inlineStr">
        <is>
          <t>어보브반도체</t>
        </is>
      </c>
      <c r="D344" s="29" t="inlineStr">
        <is>
          <t>abov</t>
        </is>
      </c>
      <c r="E344" s="29" t="inlineStr">
        <is>
          <t>102120</t>
        </is>
      </c>
      <c r="F344" s="29" t="inlineStr">
        <is>
          <t>2022</t>
        </is>
      </c>
      <c r="G344" s="29" t="inlineStr">
        <is>
          <t>CFS</t>
        </is>
      </c>
      <c r="H344" s="29" t="inlineStr">
        <is>
          <t>SCE</t>
        </is>
      </c>
      <c r="I344" s="29" t="inlineStr">
        <is>
          <t>자본변동표</t>
        </is>
      </c>
      <c r="J344" s="29" t="inlineStr">
        <is>
          <t>-표준계정코드 미사용-</t>
        </is>
      </c>
      <c r="K344" s="29" t="inlineStr">
        <is>
          <t>유상증자</t>
        </is>
      </c>
      <c r="L344" s="29" t="inlineStr">
        <is>
          <t>자본 [member]|지배기업의 소유주에게 귀속되는 자본 [member]|기타자본항목</t>
        </is>
      </c>
      <c r="M344" s="29" t="inlineStr">
        <is>
          <t>제 17 기</t>
        </is>
      </c>
      <c r="N344" s="29" t="inlineStr">
        <is>
          <t>0.0</t>
        </is>
      </c>
      <c r="O344" s="29" t="inlineStr">
        <is>
          <t>0.0</t>
        </is>
      </c>
      <c r="P344" s="29" t="inlineStr">
        <is>
          <t>KRW</t>
        </is>
      </c>
      <c r="Q344" s="29" t="inlineStr">
        <is>
          <t>10</t>
        </is>
      </c>
    </row>
    <row r="345" ht="24" customHeight="1">
      <c r="A345" s="24" t="inlineStr">
        <is>
          <t>OpenDART_fnlttSinglAcntAll</t>
        </is>
      </c>
      <c r="B345" s="24" t="inlineStr">
        <is>
          <t>00591441</t>
        </is>
      </c>
      <c r="C345" s="24" t="inlineStr">
        <is>
          <t>어보브반도체</t>
        </is>
      </c>
      <c r="D345" s="24" t="inlineStr">
        <is>
          <t>abov</t>
        </is>
      </c>
      <c r="E345" s="24" t="inlineStr">
        <is>
          <t>102120</t>
        </is>
      </c>
      <c r="F345" s="24" t="inlineStr">
        <is>
          <t>2022</t>
        </is>
      </c>
      <c r="G345" s="24" t="inlineStr">
        <is>
          <t>CFS</t>
        </is>
      </c>
      <c r="H345" s="24" t="inlineStr">
        <is>
          <t>SCE</t>
        </is>
      </c>
      <c r="I345" s="24" t="inlineStr">
        <is>
          <t>자본변동표</t>
        </is>
      </c>
      <c r="J345" s="24" t="inlineStr">
        <is>
          <t>-표준계정코드 미사용-</t>
        </is>
      </c>
      <c r="K345" s="24" t="inlineStr">
        <is>
          <t>유상증자</t>
        </is>
      </c>
      <c r="L345" s="24" t="inlineStr">
        <is>
          <t>자본 [member]|지배기업의 소유주에게 귀속되는 자본 [member]</t>
        </is>
      </c>
      <c r="M345" s="24" t="inlineStr">
        <is>
          <t>제 17 기</t>
        </is>
      </c>
      <c r="N345" s="24" t="inlineStr">
        <is>
          <t>3498503360.0</t>
        </is>
      </c>
      <c r="O345" s="24" t="inlineStr">
        <is>
          <t>0.0</t>
        </is>
      </c>
      <c r="P345" s="24" t="inlineStr">
        <is>
          <t>KRW</t>
        </is>
      </c>
      <c r="Q345" s="24" t="inlineStr">
        <is>
          <t>10</t>
        </is>
      </c>
    </row>
    <row r="346" ht="24" customHeight="1">
      <c r="A346" s="29" t="inlineStr">
        <is>
          <t>OpenDART_fnlttSinglAcntAll</t>
        </is>
      </c>
      <c r="B346" s="29" t="inlineStr">
        <is>
          <t>00591441</t>
        </is>
      </c>
      <c r="C346" s="29" t="inlineStr">
        <is>
          <t>어보브반도체</t>
        </is>
      </c>
      <c r="D346" s="29" t="inlineStr">
        <is>
          <t>abov</t>
        </is>
      </c>
      <c r="E346" s="29" t="inlineStr">
        <is>
          <t>102120</t>
        </is>
      </c>
      <c r="F346" s="29" t="inlineStr">
        <is>
          <t>2022</t>
        </is>
      </c>
      <c r="G346" s="29" t="inlineStr">
        <is>
          <t>CFS</t>
        </is>
      </c>
      <c r="H346" s="29" t="inlineStr">
        <is>
          <t>SCE</t>
        </is>
      </c>
      <c r="I346" s="29" t="inlineStr">
        <is>
          <t>자본변동표</t>
        </is>
      </c>
      <c r="J346" s="29" t="inlineStr">
        <is>
          <t>-표준계정코드 미사용-</t>
        </is>
      </c>
      <c r="K346" s="29" t="inlineStr">
        <is>
          <t>유상증자</t>
        </is>
      </c>
      <c r="L346" s="29" t="inlineStr">
        <is>
          <t>연결재무제표 [member]</t>
        </is>
      </c>
      <c r="M346" s="29" t="inlineStr">
        <is>
          <t>제 17 기</t>
        </is>
      </c>
      <c r="N346" s="29" t="inlineStr">
        <is>
          <t>3498503360.0</t>
        </is>
      </c>
      <c r="O346" s="29" t="inlineStr">
        <is>
          <t>0.0</t>
        </is>
      </c>
      <c r="P346" s="29" t="inlineStr">
        <is>
          <t>KRW</t>
        </is>
      </c>
      <c r="Q346" s="29" t="inlineStr">
        <is>
          <t>10</t>
        </is>
      </c>
    </row>
    <row r="347" ht="24" customHeight="1">
      <c r="A347" s="24" t="inlineStr">
        <is>
          <t>OpenDART_fnlttSinglAcntAll</t>
        </is>
      </c>
      <c r="B347" s="24" t="inlineStr">
        <is>
          <t>00591441</t>
        </is>
      </c>
      <c r="C347" s="24" t="inlineStr">
        <is>
          <t>어보브반도체</t>
        </is>
      </c>
      <c r="D347" s="24" t="inlineStr">
        <is>
          <t>abov</t>
        </is>
      </c>
      <c r="E347" s="24" t="inlineStr">
        <is>
          <t>102120</t>
        </is>
      </c>
      <c r="F347" s="24" t="inlineStr">
        <is>
          <t>2022</t>
        </is>
      </c>
      <c r="G347" s="24" t="inlineStr">
        <is>
          <t>CFS</t>
        </is>
      </c>
      <c r="H347" s="24" t="inlineStr">
        <is>
          <t>SCE</t>
        </is>
      </c>
      <c r="I347" s="24" t="inlineStr">
        <is>
          <t>자본변동표</t>
        </is>
      </c>
      <c r="J347" s="24" t="inlineStr">
        <is>
          <t>-표준계정코드 미사용-</t>
        </is>
      </c>
      <c r="K347" s="24" t="inlineStr">
        <is>
          <t>유상증자</t>
        </is>
      </c>
      <c r="L347" s="24" t="inlineStr">
        <is>
          <t>자본 [member]|비지배지분 [member]</t>
        </is>
      </c>
      <c r="M347" s="24" t="inlineStr">
        <is>
          <t>제 17 기</t>
        </is>
      </c>
      <c r="N347" s="24" t="inlineStr">
        <is>
          <t>0.0</t>
        </is>
      </c>
      <c r="O347" s="24" t="inlineStr">
        <is>
          <t>0.0</t>
        </is>
      </c>
      <c r="P347" s="24" t="inlineStr">
        <is>
          <t>KRW</t>
        </is>
      </c>
      <c r="Q347" s="24" t="inlineStr">
        <is>
          <t>10</t>
        </is>
      </c>
    </row>
    <row r="348" ht="24" customHeight="1">
      <c r="A348" s="29" t="inlineStr">
        <is>
          <t>OpenDART_fnlttSinglAcntAll</t>
        </is>
      </c>
      <c r="B348" s="29" t="inlineStr">
        <is>
          <t>00591441</t>
        </is>
      </c>
      <c r="C348" s="29" t="inlineStr">
        <is>
          <t>어보브반도체</t>
        </is>
      </c>
      <c r="D348" s="29" t="inlineStr">
        <is>
          <t>abov</t>
        </is>
      </c>
      <c r="E348" s="29" t="inlineStr">
        <is>
          <t>102120</t>
        </is>
      </c>
      <c r="F348" s="29" t="inlineStr">
        <is>
          <t>2022</t>
        </is>
      </c>
      <c r="G348" s="29" t="inlineStr">
        <is>
          <t>CFS</t>
        </is>
      </c>
      <c r="H348" s="29" t="inlineStr">
        <is>
          <t>SCE</t>
        </is>
      </c>
      <c r="I348" s="29" t="inlineStr">
        <is>
          <t>자본변동표</t>
        </is>
      </c>
      <c r="J348" s="29" t="inlineStr">
        <is>
          <t>-표준계정코드 미사용-</t>
        </is>
      </c>
      <c r="K348" s="29" t="inlineStr">
        <is>
          <t>금융자산의 재분류 효과</t>
        </is>
      </c>
      <c r="L348" s="29" t="inlineStr">
        <is>
          <t>자본 [member]|지배기업의 소유주에게 귀속되는 자본 [member]|자본잉여금 [member]</t>
        </is>
      </c>
      <c r="M348" s="29" t="inlineStr">
        <is>
          <t>제 17 기</t>
        </is>
      </c>
      <c r="N348" s="29" t="inlineStr">
        <is>
          <t>0.0</t>
        </is>
      </c>
      <c r="O348" s="29" t="inlineStr">
        <is>
          <t>0.0</t>
        </is>
      </c>
      <c r="P348" s="29" t="inlineStr">
        <is>
          <t>KRW</t>
        </is>
      </c>
      <c r="Q348" s="29" t="inlineStr">
        <is>
          <t>11</t>
        </is>
      </c>
    </row>
    <row r="349" ht="24" customHeight="1">
      <c r="A349" s="24" t="inlineStr">
        <is>
          <t>OpenDART_fnlttSinglAcntAll</t>
        </is>
      </c>
      <c r="B349" s="24" t="inlineStr">
        <is>
          <t>00591441</t>
        </is>
      </c>
      <c r="C349" s="24" t="inlineStr">
        <is>
          <t>어보브반도체</t>
        </is>
      </c>
      <c r="D349" s="24" t="inlineStr">
        <is>
          <t>abov</t>
        </is>
      </c>
      <c r="E349" s="24" t="inlineStr">
        <is>
          <t>102120</t>
        </is>
      </c>
      <c r="F349" s="24" t="inlineStr">
        <is>
          <t>2022</t>
        </is>
      </c>
      <c r="G349" s="24" t="inlineStr">
        <is>
          <t>CFS</t>
        </is>
      </c>
      <c r="H349" s="24" t="inlineStr">
        <is>
          <t>SCE</t>
        </is>
      </c>
      <c r="I349" s="24" t="inlineStr">
        <is>
          <t>자본변동표</t>
        </is>
      </c>
      <c r="J349" s="24" t="inlineStr">
        <is>
          <t>-표준계정코드 미사용-</t>
        </is>
      </c>
      <c r="K349" s="24" t="inlineStr">
        <is>
          <t>금융자산의 재분류 효과</t>
        </is>
      </c>
      <c r="L349" s="24" t="inlineStr">
        <is>
          <t>자본 [member]|지배기업의 소유주에게 귀속되는 자본 [member]|자본금 [member]</t>
        </is>
      </c>
      <c r="M349" s="24" t="inlineStr">
        <is>
          <t>제 17 기</t>
        </is>
      </c>
      <c r="N349" s="24" t="inlineStr">
        <is>
          <t>0.0</t>
        </is>
      </c>
      <c r="O349" s="24" t="inlineStr">
        <is>
          <t>0.0</t>
        </is>
      </c>
      <c r="P349" s="24" t="inlineStr">
        <is>
          <t>KRW</t>
        </is>
      </c>
      <c r="Q349" s="24" t="inlineStr">
        <is>
          <t>11</t>
        </is>
      </c>
    </row>
    <row r="350" ht="24" customHeight="1">
      <c r="A350" s="29" t="inlineStr">
        <is>
          <t>OpenDART_fnlttSinglAcntAll</t>
        </is>
      </c>
      <c r="B350" s="29" t="inlineStr">
        <is>
          <t>00591441</t>
        </is>
      </c>
      <c r="C350" s="29" t="inlineStr">
        <is>
          <t>어보브반도체</t>
        </is>
      </c>
      <c r="D350" s="29" t="inlineStr">
        <is>
          <t>abov</t>
        </is>
      </c>
      <c r="E350" s="29" t="inlineStr">
        <is>
          <t>102120</t>
        </is>
      </c>
      <c r="F350" s="29" t="inlineStr">
        <is>
          <t>2022</t>
        </is>
      </c>
      <c r="G350" s="29" t="inlineStr">
        <is>
          <t>CFS</t>
        </is>
      </c>
      <c r="H350" s="29" t="inlineStr">
        <is>
          <t>SCE</t>
        </is>
      </c>
      <c r="I350" s="29" t="inlineStr">
        <is>
          <t>자본변동표</t>
        </is>
      </c>
      <c r="J350" s="29" t="inlineStr">
        <is>
          <t>-표준계정코드 미사용-</t>
        </is>
      </c>
      <c r="K350" s="29" t="inlineStr">
        <is>
          <t>금융자산의 재분류 효과</t>
        </is>
      </c>
      <c r="L350" s="29" t="inlineStr">
        <is>
          <t>자본 [member]|지배기업의 소유주에게 귀속되는 자본 [member]|이익잉여금 [member]</t>
        </is>
      </c>
      <c r="M350" s="29" t="inlineStr">
        <is>
          <t>제 17 기</t>
        </is>
      </c>
      <c r="N350" s="29" t="inlineStr">
        <is>
          <t>838679746.0</t>
        </is>
      </c>
      <c r="O350" s="29" t="inlineStr">
        <is>
          <t>0.0</t>
        </is>
      </c>
      <c r="P350" s="29" t="inlineStr">
        <is>
          <t>KRW</t>
        </is>
      </c>
      <c r="Q350" s="29" t="inlineStr">
        <is>
          <t>11</t>
        </is>
      </c>
    </row>
    <row r="351" ht="24" customHeight="1">
      <c r="A351" s="24" t="inlineStr">
        <is>
          <t>OpenDART_fnlttSinglAcntAll</t>
        </is>
      </c>
      <c r="B351" s="24" t="inlineStr">
        <is>
          <t>00591441</t>
        </is>
      </c>
      <c r="C351" s="24" t="inlineStr">
        <is>
          <t>어보브반도체</t>
        </is>
      </c>
      <c r="D351" s="24" t="inlineStr">
        <is>
          <t>abov</t>
        </is>
      </c>
      <c r="E351" s="24" t="inlineStr">
        <is>
          <t>102120</t>
        </is>
      </c>
      <c r="F351" s="24" t="inlineStr">
        <is>
          <t>2022</t>
        </is>
      </c>
      <c r="G351" s="24" t="inlineStr">
        <is>
          <t>CFS</t>
        </is>
      </c>
      <c r="H351" s="24" t="inlineStr">
        <is>
          <t>SCE</t>
        </is>
      </c>
      <c r="I351" s="24" t="inlineStr">
        <is>
          <t>자본변동표</t>
        </is>
      </c>
      <c r="J351" s="24" t="inlineStr">
        <is>
          <t>-표준계정코드 미사용-</t>
        </is>
      </c>
      <c r="K351" s="24" t="inlineStr">
        <is>
          <t>금융자산의 재분류 효과</t>
        </is>
      </c>
      <c r="L351" s="24" t="inlineStr">
        <is>
          <t>자본 [member]|지배기업의 소유주에게 귀속되는 자본 [member]|기타포괄손익누계액 [member]</t>
        </is>
      </c>
      <c r="M351" s="24" t="inlineStr">
        <is>
          <t>제 17 기</t>
        </is>
      </c>
      <c r="N351" s="24" t="inlineStr">
        <is>
          <t>-838679746.0</t>
        </is>
      </c>
      <c r="O351" s="24" t="inlineStr">
        <is>
          <t>0.0</t>
        </is>
      </c>
      <c r="P351" s="24" t="inlineStr">
        <is>
          <t>KRW</t>
        </is>
      </c>
      <c r="Q351" s="24" t="inlineStr">
        <is>
          <t>11</t>
        </is>
      </c>
    </row>
    <row r="352" ht="24" customHeight="1">
      <c r="A352" s="29" t="inlineStr">
        <is>
          <t>OpenDART_fnlttSinglAcntAll</t>
        </is>
      </c>
      <c r="B352" s="29" t="inlineStr">
        <is>
          <t>00591441</t>
        </is>
      </c>
      <c r="C352" s="29" t="inlineStr">
        <is>
          <t>어보브반도체</t>
        </is>
      </c>
      <c r="D352" s="29" t="inlineStr">
        <is>
          <t>abov</t>
        </is>
      </c>
      <c r="E352" s="29" t="inlineStr">
        <is>
          <t>102120</t>
        </is>
      </c>
      <c r="F352" s="29" t="inlineStr">
        <is>
          <t>2022</t>
        </is>
      </c>
      <c r="G352" s="29" t="inlineStr">
        <is>
          <t>CFS</t>
        </is>
      </c>
      <c r="H352" s="29" t="inlineStr">
        <is>
          <t>SCE</t>
        </is>
      </c>
      <c r="I352" s="29" t="inlineStr">
        <is>
          <t>자본변동표</t>
        </is>
      </c>
      <c r="J352" s="29" t="inlineStr">
        <is>
          <t>-표준계정코드 미사용-</t>
        </is>
      </c>
      <c r="K352" s="29" t="inlineStr">
        <is>
          <t>금융자산의 재분류 효과</t>
        </is>
      </c>
      <c r="L352" s="29" t="inlineStr">
        <is>
          <t>자본 [member]|지배기업의 소유주에게 귀속되는 자본 [member]|기타자본항목</t>
        </is>
      </c>
      <c r="M352" s="29" t="inlineStr">
        <is>
          <t>제 17 기</t>
        </is>
      </c>
      <c r="N352" s="29" t="inlineStr">
        <is>
          <t>0.0</t>
        </is>
      </c>
      <c r="O352" s="29" t="inlineStr">
        <is>
          <t>0.0</t>
        </is>
      </c>
      <c r="P352" s="29" t="inlineStr">
        <is>
          <t>KRW</t>
        </is>
      </c>
      <c r="Q352" s="29" t="inlineStr">
        <is>
          <t>11</t>
        </is>
      </c>
    </row>
    <row r="353" ht="24" customHeight="1">
      <c r="A353" s="24" t="inlineStr">
        <is>
          <t>OpenDART_fnlttSinglAcntAll</t>
        </is>
      </c>
      <c r="B353" s="24" t="inlineStr">
        <is>
          <t>00591441</t>
        </is>
      </c>
      <c r="C353" s="24" t="inlineStr">
        <is>
          <t>어보브반도체</t>
        </is>
      </c>
      <c r="D353" s="24" t="inlineStr">
        <is>
          <t>abov</t>
        </is>
      </c>
      <c r="E353" s="24" t="inlineStr">
        <is>
          <t>102120</t>
        </is>
      </c>
      <c r="F353" s="24" t="inlineStr">
        <is>
          <t>2022</t>
        </is>
      </c>
      <c r="G353" s="24" t="inlineStr">
        <is>
          <t>CFS</t>
        </is>
      </c>
      <c r="H353" s="24" t="inlineStr">
        <is>
          <t>SCE</t>
        </is>
      </c>
      <c r="I353" s="24" t="inlineStr">
        <is>
          <t>자본변동표</t>
        </is>
      </c>
      <c r="J353" s="24" t="inlineStr">
        <is>
          <t>-표준계정코드 미사용-</t>
        </is>
      </c>
      <c r="K353" s="24" t="inlineStr">
        <is>
          <t>금융자산의 재분류 효과</t>
        </is>
      </c>
      <c r="L353" s="24" t="inlineStr">
        <is>
          <t>자본 [member]|지배기업의 소유주에게 귀속되는 자본 [member]</t>
        </is>
      </c>
      <c r="M353" s="24" t="inlineStr">
        <is>
          <t>제 17 기</t>
        </is>
      </c>
      <c r="N353" s="24" t="inlineStr">
        <is>
          <t>0.0</t>
        </is>
      </c>
      <c r="O353" s="24" t="inlineStr">
        <is>
          <t>0.0</t>
        </is>
      </c>
      <c r="P353" s="24" t="inlineStr">
        <is>
          <t>KRW</t>
        </is>
      </c>
      <c r="Q353" s="24" t="inlineStr">
        <is>
          <t>11</t>
        </is>
      </c>
    </row>
    <row r="354" ht="24" customHeight="1">
      <c r="A354" s="29" t="inlineStr">
        <is>
          <t>OpenDART_fnlttSinglAcntAll</t>
        </is>
      </c>
      <c r="B354" s="29" t="inlineStr">
        <is>
          <t>00591441</t>
        </is>
      </c>
      <c r="C354" s="29" t="inlineStr">
        <is>
          <t>어보브반도체</t>
        </is>
      </c>
      <c r="D354" s="29" t="inlineStr">
        <is>
          <t>abov</t>
        </is>
      </c>
      <c r="E354" s="29" t="inlineStr">
        <is>
          <t>102120</t>
        </is>
      </c>
      <c r="F354" s="29" t="inlineStr">
        <is>
          <t>2022</t>
        </is>
      </c>
      <c r="G354" s="29" t="inlineStr">
        <is>
          <t>CFS</t>
        </is>
      </c>
      <c r="H354" s="29" t="inlineStr">
        <is>
          <t>SCE</t>
        </is>
      </c>
      <c r="I354" s="29" t="inlineStr">
        <is>
          <t>자본변동표</t>
        </is>
      </c>
      <c r="J354" s="29" t="inlineStr">
        <is>
          <t>-표준계정코드 미사용-</t>
        </is>
      </c>
      <c r="K354" s="29" t="inlineStr">
        <is>
          <t>금융자산의 재분류 효과</t>
        </is>
      </c>
      <c r="L354" s="29" t="inlineStr">
        <is>
          <t>자본 [member]|비지배지분 [member]</t>
        </is>
      </c>
      <c r="M354" s="29" t="inlineStr">
        <is>
          <t>제 17 기</t>
        </is>
      </c>
      <c r="N354" s="29" t="inlineStr">
        <is>
          <t>0.0</t>
        </is>
      </c>
      <c r="O354" s="29" t="inlineStr">
        <is>
          <t>0.0</t>
        </is>
      </c>
      <c r="P354" s="29" t="inlineStr">
        <is>
          <t>KRW</t>
        </is>
      </c>
      <c r="Q354" s="29" t="inlineStr">
        <is>
          <t>11</t>
        </is>
      </c>
    </row>
    <row r="355" ht="24" customHeight="1">
      <c r="A355" s="24" t="inlineStr">
        <is>
          <t>OpenDART_fnlttSinglAcntAll</t>
        </is>
      </c>
      <c r="B355" s="24" t="inlineStr">
        <is>
          <t>00591441</t>
        </is>
      </c>
      <c r="C355" s="24" t="inlineStr">
        <is>
          <t>어보브반도체</t>
        </is>
      </c>
      <c r="D355" s="24" t="inlineStr">
        <is>
          <t>abov</t>
        </is>
      </c>
      <c r="E355" s="24" t="inlineStr">
        <is>
          <t>102120</t>
        </is>
      </c>
      <c r="F355" s="24" t="inlineStr">
        <is>
          <t>2022</t>
        </is>
      </c>
      <c r="G355" s="24" t="inlineStr">
        <is>
          <t>CFS</t>
        </is>
      </c>
      <c r="H355" s="24" t="inlineStr">
        <is>
          <t>SCE</t>
        </is>
      </c>
      <c r="I355" s="24" t="inlineStr">
        <is>
          <t>자본변동표</t>
        </is>
      </c>
      <c r="J355" s="24" t="inlineStr">
        <is>
          <t>-표준계정코드 미사용-</t>
        </is>
      </c>
      <c r="K355" s="24" t="inlineStr">
        <is>
          <t>금융자산의 재분류 효과</t>
        </is>
      </c>
      <c r="L355" s="24" t="inlineStr">
        <is>
          <t>연결재무제표 [member]</t>
        </is>
      </c>
      <c r="M355" s="24" t="inlineStr">
        <is>
          <t>제 17 기</t>
        </is>
      </c>
      <c r="N355" s="24" t="inlineStr">
        <is>
          <t>0.0</t>
        </is>
      </c>
      <c r="O355" s="24" t="inlineStr">
        <is>
          <t>0.0</t>
        </is>
      </c>
      <c r="P355" s="24" t="inlineStr">
        <is>
          <t>KRW</t>
        </is>
      </c>
      <c r="Q355" s="24" t="inlineStr">
        <is>
          <t>11</t>
        </is>
      </c>
    </row>
    <row r="356" ht="24" customHeight="1">
      <c r="A356" s="29" t="inlineStr">
        <is>
          <t>OpenDART_fnlttSinglAcntAll</t>
        </is>
      </c>
      <c r="B356" s="29" t="inlineStr">
        <is>
          <t>00591441</t>
        </is>
      </c>
      <c r="C356" s="29" t="inlineStr">
        <is>
          <t>어보브반도체</t>
        </is>
      </c>
      <c r="D356" s="29" t="inlineStr">
        <is>
          <t>abov</t>
        </is>
      </c>
      <c r="E356" s="29" t="inlineStr">
        <is>
          <t>102120</t>
        </is>
      </c>
      <c r="F356" s="29" t="inlineStr">
        <is>
          <t>2022</t>
        </is>
      </c>
      <c r="G356" s="29" t="inlineStr">
        <is>
          <t>CFS</t>
        </is>
      </c>
      <c r="H356" s="29" t="inlineStr">
        <is>
          <t>SCE</t>
        </is>
      </c>
      <c r="I356" s="29" t="inlineStr">
        <is>
          <t>자본변동표</t>
        </is>
      </c>
      <c r="J356" s="29" t="inlineStr">
        <is>
          <t>dart_IncreaseDecreaseThroughBusinessCombinations</t>
        </is>
      </c>
      <c r="K356" s="29" t="inlineStr">
        <is>
          <t>사업결합</t>
        </is>
      </c>
      <c r="L356" s="29" t="inlineStr">
        <is>
          <t>자본 [member]|지배기업의 소유주에게 귀속되는 자본 [member]|자본잉여금 [member]</t>
        </is>
      </c>
      <c r="M356" s="29" t="inlineStr">
        <is>
          <t>제 17 기</t>
        </is>
      </c>
      <c r="N356" s="29" t="inlineStr">
        <is>
          <t>0.0</t>
        </is>
      </c>
      <c r="O356" s="29" t="inlineStr">
        <is>
          <t>0.0</t>
        </is>
      </c>
      <c r="P356" s="29" t="inlineStr">
        <is>
          <t>KRW</t>
        </is>
      </c>
      <c r="Q356" s="29" t="inlineStr">
        <is>
          <t>12</t>
        </is>
      </c>
    </row>
    <row r="357" ht="24" customHeight="1">
      <c r="A357" s="24" t="inlineStr">
        <is>
          <t>OpenDART_fnlttSinglAcntAll</t>
        </is>
      </c>
      <c r="B357" s="24" t="inlineStr">
        <is>
          <t>00591441</t>
        </is>
      </c>
      <c r="C357" s="24" t="inlineStr">
        <is>
          <t>어보브반도체</t>
        </is>
      </c>
      <c r="D357" s="24" t="inlineStr">
        <is>
          <t>abov</t>
        </is>
      </c>
      <c r="E357" s="24" t="inlineStr">
        <is>
          <t>102120</t>
        </is>
      </c>
      <c r="F357" s="24" t="inlineStr">
        <is>
          <t>2022</t>
        </is>
      </c>
      <c r="G357" s="24" t="inlineStr">
        <is>
          <t>CFS</t>
        </is>
      </c>
      <c r="H357" s="24" t="inlineStr">
        <is>
          <t>SCE</t>
        </is>
      </c>
      <c r="I357" s="24" t="inlineStr">
        <is>
          <t>자본변동표</t>
        </is>
      </c>
      <c r="J357" s="24" t="inlineStr">
        <is>
          <t>dart_IncreaseDecreaseThroughBusinessCombinations</t>
        </is>
      </c>
      <c r="K357" s="24" t="inlineStr">
        <is>
          <t>사업결합</t>
        </is>
      </c>
      <c r="L357" s="24" t="inlineStr">
        <is>
          <t>자본 [member]|지배기업의 소유주에게 귀속되는 자본 [member]|자본금 [member]</t>
        </is>
      </c>
      <c r="M357" s="24" t="inlineStr">
        <is>
          <t>제 17 기</t>
        </is>
      </c>
      <c r="N357" s="24" t="inlineStr">
        <is>
          <t>0.0</t>
        </is>
      </c>
      <c r="O357" s="24" t="inlineStr">
        <is>
          <t>0.0</t>
        </is>
      </c>
      <c r="P357" s="24" t="inlineStr">
        <is>
          <t>KRW</t>
        </is>
      </c>
      <c r="Q357" s="24" t="inlineStr">
        <is>
          <t>12</t>
        </is>
      </c>
    </row>
    <row r="358" ht="24" customHeight="1">
      <c r="A358" s="29" t="inlineStr">
        <is>
          <t>OpenDART_fnlttSinglAcntAll</t>
        </is>
      </c>
      <c r="B358" s="29" t="inlineStr">
        <is>
          <t>00591441</t>
        </is>
      </c>
      <c r="C358" s="29" t="inlineStr">
        <is>
          <t>어보브반도체</t>
        </is>
      </c>
      <c r="D358" s="29" t="inlineStr">
        <is>
          <t>abov</t>
        </is>
      </c>
      <c r="E358" s="29" t="inlineStr">
        <is>
          <t>102120</t>
        </is>
      </c>
      <c r="F358" s="29" t="inlineStr">
        <is>
          <t>2022</t>
        </is>
      </c>
      <c r="G358" s="29" t="inlineStr">
        <is>
          <t>CFS</t>
        </is>
      </c>
      <c r="H358" s="29" t="inlineStr">
        <is>
          <t>SCE</t>
        </is>
      </c>
      <c r="I358" s="29" t="inlineStr">
        <is>
          <t>자본변동표</t>
        </is>
      </c>
      <c r="J358" s="29" t="inlineStr">
        <is>
          <t>dart_IncreaseDecreaseThroughBusinessCombinations</t>
        </is>
      </c>
      <c r="K358" s="29" t="inlineStr">
        <is>
          <t>사업결합</t>
        </is>
      </c>
      <c r="L358" s="29" t="inlineStr">
        <is>
          <t>자본 [member]|지배기업의 소유주에게 귀속되는 자본 [member]|이익잉여금 [member]</t>
        </is>
      </c>
      <c r="M358" s="29" t="inlineStr">
        <is>
          <t>제 17 기</t>
        </is>
      </c>
      <c r="N358" s="29" t="inlineStr">
        <is>
          <t>0.0</t>
        </is>
      </c>
      <c r="O358" s="29" t="inlineStr">
        <is>
          <t>0.0</t>
        </is>
      </c>
      <c r="P358" s="29" t="inlineStr">
        <is>
          <t>KRW</t>
        </is>
      </c>
      <c r="Q358" s="29" t="inlineStr">
        <is>
          <t>12</t>
        </is>
      </c>
    </row>
    <row r="359" ht="24" customHeight="1">
      <c r="A359" s="24" t="inlineStr">
        <is>
          <t>OpenDART_fnlttSinglAcntAll</t>
        </is>
      </c>
      <c r="B359" s="24" t="inlineStr">
        <is>
          <t>00591441</t>
        </is>
      </c>
      <c r="C359" s="24" t="inlineStr">
        <is>
          <t>어보브반도체</t>
        </is>
      </c>
      <c r="D359" s="24" t="inlineStr">
        <is>
          <t>abov</t>
        </is>
      </c>
      <c r="E359" s="24" t="inlineStr">
        <is>
          <t>102120</t>
        </is>
      </c>
      <c r="F359" s="24" t="inlineStr">
        <is>
          <t>2022</t>
        </is>
      </c>
      <c r="G359" s="24" t="inlineStr">
        <is>
          <t>CFS</t>
        </is>
      </c>
      <c r="H359" s="24" t="inlineStr">
        <is>
          <t>SCE</t>
        </is>
      </c>
      <c r="I359" s="24" t="inlineStr">
        <is>
          <t>자본변동표</t>
        </is>
      </c>
      <c r="J359" s="24" t="inlineStr">
        <is>
          <t>dart_IncreaseDecreaseThroughBusinessCombinations</t>
        </is>
      </c>
      <c r="K359" s="24" t="inlineStr">
        <is>
          <t>사업결합</t>
        </is>
      </c>
      <c r="L359" s="24" t="inlineStr">
        <is>
          <t>자본 [member]|지배기업의 소유주에게 귀속되는 자본 [member]|기타포괄손익누계액 [member]</t>
        </is>
      </c>
      <c r="M359" s="24" t="inlineStr">
        <is>
          <t>제 17 기</t>
        </is>
      </c>
      <c r="N359" s="24" t="inlineStr">
        <is>
          <t>0.0</t>
        </is>
      </c>
      <c r="O359" s="24" t="inlineStr">
        <is>
          <t>0.0</t>
        </is>
      </c>
      <c r="P359" s="24" t="inlineStr">
        <is>
          <t>KRW</t>
        </is>
      </c>
      <c r="Q359" s="24" t="inlineStr">
        <is>
          <t>12</t>
        </is>
      </c>
    </row>
    <row r="360" ht="24" customHeight="1">
      <c r="A360" s="29" t="inlineStr">
        <is>
          <t>OpenDART_fnlttSinglAcntAll</t>
        </is>
      </c>
      <c r="B360" s="29" t="inlineStr">
        <is>
          <t>00591441</t>
        </is>
      </c>
      <c r="C360" s="29" t="inlineStr">
        <is>
          <t>어보브반도체</t>
        </is>
      </c>
      <c r="D360" s="29" t="inlineStr">
        <is>
          <t>abov</t>
        </is>
      </c>
      <c r="E360" s="29" t="inlineStr">
        <is>
          <t>102120</t>
        </is>
      </c>
      <c r="F360" s="29" t="inlineStr">
        <is>
          <t>2022</t>
        </is>
      </c>
      <c r="G360" s="29" t="inlineStr">
        <is>
          <t>CFS</t>
        </is>
      </c>
      <c r="H360" s="29" t="inlineStr">
        <is>
          <t>SCE</t>
        </is>
      </c>
      <c r="I360" s="29" t="inlineStr">
        <is>
          <t>자본변동표</t>
        </is>
      </c>
      <c r="J360" s="29" t="inlineStr">
        <is>
          <t>dart_IncreaseDecreaseThroughBusinessCombinations</t>
        </is>
      </c>
      <c r="K360" s="29" t="inlineStr">
        <is>
          <t>사업결합</t>
        </is>
      </c>
      <c r="L360" s="29" t="inlineStr">
        <is>
          <t>자본 [member]|지배기업의 소유주에게 귀속되는 자본 [member]|기타자본항목</t>
        </is>
      </c>
      <c r="M360" s="29" t="inlineStr">
        <is>
          <t>제 17 기</t>
        </is>
      </c>
      <c r="N360" s="29" t="inlineStr">
        <is>
          <t>0.0</t>
        </is>
      </c>
      <c r="O360" s="29" t="inlineStr">
        <is>
          <t>0.0</t>
        </is>
      </c>
      <c r="P360" s="29" t="inlineStr">
        <is>
          <t>KRW</t>
        </is>
      </c>
      <c r="Q360" s="29" t="inlineStr">
        <is>
          <t>12</t>
        </is>
      </c>
    </row>
    <row r="361" ht="24" customHeight="1">
      <c r="A361" s="24" t="inlineStr">
        <is>
          <t>OpenDART_fnlttSinglAcntAll</t>
        </is>
      </c>
      <c r="B361" s="24" t="inlineStr">
        <is>
          <t>00591441</t>
        </is>
      </c>
      <c r="C361" s="24" t="inlineStr">
        <is>
          <t>어보브반도체</t>
        </is>
      </c>
      <c r="D361" s="24" t="inlineStr">
        <is>
          <t>abov</t>
        </is>
      </c>
      <c r="E361" s="24" t="inlineStr">
        <is>
          <t>102120</t>
        </is>
      </c>
      <c r="F361" s="24" t="inlineStr">
        <is>
          <t>2022</t>
        </is>
      </c>
      <c r="G361" s="24" t="inlineStr">
        <is>
          <t>CFS</t>
        </is>
      </c>
      <c r="H361" s="24" t="inlineStr">
        <is>
          <t>SCE</t>
        </is>
      </c>
      <c r="I361" s="24" t="inlineStr">
        <is>
          <t>자본변동표</t>
        </is>
      </c>
      <c r="J361" s="24" t="inlineStr">
        <is>
          <t>dart_IncreaseDecreaseThroughBusinessCombinations</t>
        </is>
      </c>
      <c r="K361" s="24" t="inlineStr">
        <is>
          <t>사업결합</t>
        </is>
      </c>
      <c r="L361" s="24" t="inlineStr">
        <is>
          <t>자본 [member]|지배기업의 소유주에게 귀속되는 자본 [member]</t>
        </is>
      </c>
      <c r="M361" s="24" t="inlineStr">
        <is>
          <t>제 17 기</t>
        </is>
      </c>
      <c r="N361" s="24" t="inlineStr">
        <is>
          <t>0.0</t>
        </is>
      </c>
      <c r="O361" s="24" t="inlineStr">
        <is>
          <t>0.0</t>
        </is>
      </c>
      <c r="P361" s="24" t="inlineStr">
        <is>
          <t>KRW</t>
        </is>
      </c>
      <c r="Q361" s="24" t="inlineStr">
        <is>
          <t>12</t>
        </is>
      </c>
    </row>
    <row r="362" ht="24" customHeight="1">
      <c r="A362" s="29" t="inlineStr">
        <is>
          <t>OpenDART_fnlttSinglAcntAll</t>
        </is>
      </c>
      <c r="B362" s="29" t="inlineStr">
        <is>
          <t>00591441</t>
        </is>
      </c>
      <c r="C362" s="29" t="inlineStr">
        <is>
          <t>어보브반도체</t>
        </is>
      </c>
      <c r="D362" s="29" t="inlineStr">
        <is>
          <t>abov</t>
        </is>
      </c>
      <c r="E362" s="29" t="inlineStr">
        <is>
          <t>102120</t>
        </is>
      </c>
      <c r="F362" s="29" t="inlineStr">
        <is>
          <t>2022</t>
        </is>
      </c>
      <c r="G362" s="29" t="inlineStr">
        <is>
          <t>CFS</t>
        </is>
      </c>
      <c r="H362" s="29" t="inlineStr">
        <is>
          <t>SCE</t>
        </is>
      </c>
      <c r="I362" s="29" t="inlineStr">
        <is>
          <t>자본변동표</t>
        </is>
      </c>
      <c r="J362" s="29" t="inlineStr">
        <is>
          <t>dart_IncreaseDecreaseThroughBusinessCombinations</t>
        </is>
      </c>
      <c r="K362" s="29" t="inlineStr">
        <is>
          <t>사업결합</t>
        </is>
      </c>
      <c r="L362" s="29" t="inlineStr">
        <is>
          <t>연결재무제표 [member]</t>
        </is>
      </c>
      <c r="M362" s="29" t="inlineStr">
        <is>
          <t>제 17 기</t>
        </is>
      </c>
      <c r="N362" s="29" t="inlineStr">
        <is>
          <t>52091639401.0</t>
        </is>
      </c>
      <c r="O362" s="29" t="inlineStr">
        <is>
          <t>0.0</t>
        </is>
      </c>
      <c r="P362" s="29" t="inlineStr">
        <is>
          <t>KRW</t>
        </is>
      </c>
      <c r="Q362" s="29" t="inlineStr">
        <is>
          <t>12</t>
        </is>
      </c>
    </row>
    <row r="363" ht="24" customHeight="1">
      <c r="A363" s="24" t="inlineStr">
        <is>
          <t>OpenDART_fnlttSinglAcntAll</t>
        </is>
      </c>
      <c r="B363" s="24" t="inlineStr">
        <is>
          <t>00591441</t>
        </is>
      </c>
      <c r="C363" s="24" t="inlineStr">
        <is>
          <t>어보브반도체</t>
        </is>
      </c>
      <c r="D363" s="24" t="inlineStr">
        <is>
          <t>abov</t>
        </is>
      </c>
      <c r="E363" s="24" t="inlineStr">
        <is>
          <t>102120</t>
        </is>
      </c>
      <c r="F363" s="24" t="inlineStr">
        <is>
          <t>2022</t>
        </is>
      </c>
      <c r="G363" s="24" t="inlineStr">
        <is>
          <t>CFS</t>
        </is>
      </c>
      <c r="H363" s="24" t="inlineStr">
        <is>
          <t>SCE</t>
        </is>
      </c>
      <c r="I363" s="24" t="inlineStr">
        <is>
          <t>자본변동표</t>
        </is>
      </c>
      <c r="J363" s="24" t="inlineStr">
        <is>
          <t>dart_IncreaseDecreaseThroughBusinessCombinations</t>
        </is>
      </c>
      <c r="K363" s="24" t="inlineStr">
        <is>
          <t>사업결합</t>
        </is>
      </c>
      <c r="L363" s="24" t="inlineStr">
        <is>
          <t>자본 [member]|비지배지분 [member]</t>
        </is>
      </c>
      <c r="M363" s="24" t="inlineStr">
        <is>
          <t>제 17 기</t>
        </is>
      </c>
      <c r="N363" s="24" t="inlineStr">
        <is>
          <t>52091639401.0</t>
        </is>
      </c>
      <c r="O363" s="24" t="inlineStr">
        <is>
          <t>0.0</t>
        </is>
      </c>
      <c r="P363" s="24" t="inlineStr">
        <is>
          <t>KRW</t>
        </is>
      </c>
      <c r="Q363" s="24" t="inlineStr">
        <is>
          <t>12</t>
        </is>
      </c>
    </row>
    <row r="364" ht="24" customHeight="1">
      <c r="A364" s="29" t="inlineStr">
        <is>
          <t>OpenDART_fnlttSinglAcntAll</t>
        </is>
      </c>
      <c r="B364" s="29" t="inlineStr">
        <is>
          <t>00591441</t>
        </is>
      </c>
      <c r="C364" s="29" t="inlineStr">
        <is>
          <t>어보브반도체</t>
        </is>
      </c>
      <c r="D364" s="29" t="inlineStr">
        <is>
          <t>abov</t>
        </is>
      </c>
      <c r="E364" s="29" t="inlineStr">
        <is>
          <t>102120</t>
        </is>
      </c>
      <c r="F364" s="29" t="inlineStr">
        <is>
          <t>2022</t>
        </is>
      </c>
      <c r="G364" s="29" t="inlineStr">
        <is>
          <t>CFS</t>
        </is>
      </c>
      <c r="H364" s="29" t="inlineStr">
        <is>
          <t>SCE</t>
        </is>
      </c>
      <c r="I364" s="29" t="inlineStr">
        <is>
          <t>자본변동표</t>
        </is>
      </c>
      <c r="J364" s="29" t="inlineStr">
        <is>
          <t>ifrs-full_Equity</t>
        </is>
      </c>
      <c r="K364" s="29" t="inlineStr">
        <is>
          <t>기말자본</t>
        </is>
      </c>
      <c r="L364" s="29" t="inlineStr">
        <is>
          <t>자본 [member]|비지배지분 [member]</t>
        </is>
      </c>
      <c r="M364" s="29" t="inlineStr">
        <is>
          <t>제 17 기</t>
        </is>
      </c>
      <c r="N364" s="29" t="inlineStr">
        <is>
          <t>52299043042.0</t>
        </is>
      </c>
      <c r="O364" s="29" t="inlineStr">
        <is>
          <t>0.0</t>
        </is>
      </c>
      <c r="P364" s="29" t="inlineStr">
        <is>
          <t>KRW</t>
        </is>
      </c>
      <c r="Q364" s="29" t="inlineStr">
        <is>
          <t>13</t>
        </is>
      </c>
    </row>
    <row r="365" ht="24" customHeight="1">
      <c r="A365" s="24" t="inlineStr">
        <is>
          <t>OpenDART_fnlttSinglAcntAll</t>
        </is>
      </c>
      <c r="B365" s="24" t="inlineStr">
        <is>
          <t>00591441</t>
        </is>
      </c>
      <c r="C365" s="24" t="inlineStr">
        <is>
          <t>어보브반도체</t>
        </is>
      </c>
      <c r="D365" s="24" t="inlineStr">
        <is>
          <t>abov</t>
        </is>
      </c>
      <c r="E365" s="24" t="inlineStr">
        <is>
          <t>102120</t>
        </is>
      </c>
      <c r="F365" s="24" t="inlineStr">
        <is>
          <t>2022</t>
        </is>
      </c>
      <c r="G365" s="24" t="inlineStr">
        <is>
          <t>CFS</t>
        </is>
      </c>
      <c r="H365" s="24" t="inlineStr">
        <is>
          <t>SCE</t>
        </is>
      </c>
      <c r="I365" s="24" t="inlineStr">
        <is>
          <t>자본변동표</t>
        </is>
      </c>
      <c r="J365" s="24" t="inlineStr">
        <is>
          <t>ifrs-full_Equity</t>
        </is>
      </c>
      <c r="K365" s="24" t="inlineStr">
        <is>
          <t>기말자본</t>
        </is>
      </c>
      <c r="L365" s="24" t="inlineStr">
        <is>
          <t>자본 [member]|지배기업의 소유주에게 귀속되는 자본 [member]</t>
        </is>
      </c>
      <c r="M365" s="24" t="inlineStr">
        <is>
          <t>제 17 기</t>
        </is>
      </c>
      <c r="N365" s="24" t="inlineStr">
        <is>
          <t>120769541251.0</t>
        </is>
      </c>
      <c r="O365" s="24" t="inlineStr">
        <is>
          <t>111828760258.0</t>
        </is>
      </c>
      <c r="P365" s="24" t="inlineStr">
        <is>
          <t>KRW</t>
        </is>
      </c>
      <c r="Q365" s="24" t="inlineStr">
        <is>
          <t>13</t>
        </is>
      </c>
    </row>
    <row r="366" ht="24" customHeight="1">
      <c r="A366" s="29" t="inlineStr">
        <is>
          <t>OpenDART_fnlttSinglAcntAll</t>
        </is>
      </c>
      <c r="B366" s="29" t="inlineStr">
        <is>
          <t>00591441</t>
        </is>
      </c>
      <c r="C366" s="29" t="inlineStr">
        <is>
          <t>어보브반도체</t>
        </is>
      </c>
      <c r="D366" s="29" t="inlineStr">
        <is>
          <t>abov</t>
        </is>
      </c>
      <c r="E366" s="29" t="inlineStr">
        <is>
          <t>102120</t>
        </is>
      </c>
      <c r="F366" s="29" t="inlineStr">
        <is>
          <t>2022</t>
        </is>
      </c>
      <c r="G366" s="29" t="inlineStr">
        <is>
          <t>CFS</t>
        </is>
      </c>
      <c r="H366" s="29" t="inlineStr">
        <is>
          <t>SCE</t>
        </is>
      </c>
      <c r="I366" s="29" t="inlineStr">
        <is>
          <t>자본변동표</t>
        </is>
      </c>
      <c r="J366" s="29" t="inlineStr">
        <is>
          <t>ifrs-full_Equity</t>
        </is>
      </c>
      <c r="K366" s="29" t="inlineStr">
        <is>
          <t>기말자본</t>
        </is>
      </c>
      <c r="L366" s="29" t="inlineStr">
        <is>
          <t>자본 [member]|지배기업의 소유주에게 귀속되는 자본 [member]|기타자본항목</t>
        </is>
      </c>
      <c r="M366" s="29" t="inlineStr">
        <is>
          <t>제 17 기</t>
        </is>
      </c>
      <c r="N366" s="29" t="inlineStr">
        <is>
          <t>-7414053960.0</t>
        </is>
      </c>
      <c r="O366" s="29" t="inlineStr">
        <is>
          <t>-4477193500.0</t>
        </is>
      </c>
      <c r="P366" s="29" t="inlineStr">
        <is>
          <t>KRW</t>
        </is>
      </c>
      <c r="Q366" s="29" t="inlineStr">
        <is>
          <t>13</t>
        </is>
      </c>
    </row>
    <row r="367" ht="24" customHeight="1">
      <c r="A367" s="24" t="inlineStr">
        <is>
          <t>OpenDART_fnlttSinglAcntAll</t>
        </is>
      </c>
      <c r="B367" s="24" t="inlineStr">
        <is>
          <t>00591441</t>
        </is>
      </c>
      <c r="C367" s="24" t="inlineStr">
        <is>
          <t>어보브반도체</t>
        </is>
      </c>
      <c r="D367" s="24" t="inlineStr">
        <is>
          <t>abov</t>
        </is>
      </c>
      <c r="E367" s="24" t="inlineStr">
        <is>
          <t>102120</t>
        </is>
      </c>
      <c r="F367" s="24" t="inlineStr">
        <is>
          <t>2022</t>
        </is>
      </c>
      <c r="G367" s="24" t="inlineStr">
        <is>
          <t>CFS</t>
        </is>
      </c>
      <c r="H367" s="24" t="inlineStr">
        <is>
          <t>SCE</t>
        </is>
      </c>
      <c r="I367" s="24" t="inlineStr">
        <is>
          <t>자본변동표</t>
        </is>
      </c>
      <c r="J367" s="24" t="inlineStr">
        <is>
          <t>ifrs-full_Equity</t>
        </is>
      </c>
      <c r="K367" s="24" t="inlineStr">
        <is>
          <t>기말자본</t>
        </is>
      </c>
      <c r="L367" s="24" t="inlineStr">
        <is>
          <t>자본 [member]|지배기업의 소유주에게 귀속되는 자본 [member]|기타포괄손익누계액 [member]</t>
        </is>
      </c>
      <c r="M367" s="24" t="inlineStr">
        <is>
          <t>제 17 기</t>
        </is>
      </c>
      <c r="N367" s="24" t="inlineStr">
        <is>
          <t>-676650161.0</t>
        </is>
      </c>
      <c r="O367" s="24" t="inlineStr">
        <is>
          <t>151459276.0</t>
        </is>
      </c>
      <c r="P367" s="24" t="inlineStr">
        <is>
          <t>KRW</t>
        </is>
      </c>
      <c r="Q367" s="24" t="inlineStr">
        <is>
          <t>13</t>
        </is>
      </c>
    </row>
    <row r="368" ht="24" customHeight="1">
      <c r="A368" s="29" t="inlineStr">
        <is>
          <t>OpenDART_fnlttSinglAcntAll</t>
        </is>
      </c>
      <c r="B368" s="29" t="inlineStr">
        <is>
          <t>00591441</t>
        </is>
      </c>
      <c r="C368" s="29" t="inlineStr">
        <is>
          <t>어보브반도체</t>
        </is>
      </c>
      <c r="D368" s="29" t="inlineStr">
        <is>
          <t>abov</t>
        </is>
      </c>
      <c r="E368" s="29" t="inlineStr">
        <is>
          <t>102120</t>
        </is>
      </c>
      <c r="F368" s="29" t="inlineStr">
        <is>
          <t>2022</t>
        </is>
      </c>
      <c r="G368" s="29" t="inlineStr">
        <is>
          <t>CFS</t>
        </is>
      </c>
      <c r="H368" s="29" t="inlineStr">
        <is>
          <t>SCE</t>
        </is>
      </c>
      <c r="I368" s="29" t="inlineStr">
        <is>
          <t>자본변동표</t>
        </is>
      </c>
      <c r="J368" s="29" t="inlineStr">
        <is>
          <t>ifrs-full_Equity</t>
        </is>
      </c>
      <c r="K368" s="29" t="inlineStr">
        <is>
          <t>기말자본</t>
        </is>
      </c>
      <c r="L368" s="29" t="inlineStr">
        <is>
          <t>자본 [member]|지배기업의 소유주에게 귀속되는 자본 [member]|이익잉여금 [member]</t>
        </is>
      </c>
      <c r="M368" s="29" t="inlineStr">
        <is>
          <t>제 17 기</t>
        </is>
      </c>
      <c r="N368" s="29" t="inlineStr">
        <is>
          <t>93547870721.0</t>
        </is>
      </c>
      <c r="O368" s="29" t="inlineStr">
        <is>
          <t>84340623191.0</t>
        </is>
      </c>
      <c r="P368" s="29" t="inlineStr">
        <is>
          <t>KRW</t>
        </is>
      </c>
      <c r="Q368" s="29" t="inlineStr">
        <is>
          <t>13</t>
        </is>
      </c>
    </row>
    <row r="369" ht="24" customHeight="1">
      <c r="A369" s="24" t="inlineStr">
        <is>
          <t>OpenDART_fnlttSinglAcntAll</t>
        </is>
      </c>
      <c r="B369" s="24" t="inlineStr">
        <is>
          <t>00591441</t>
        </is>
      </c>
      <c r="C369" s="24" t="inlineStr">
        <is>
          <t>어보브반도체</t>
        </is>
      </c>
      <c r="D369" s="24" t="inlineStr">
        <is>
          <t>abov</t>
        </is>
      </c>
      <c r="E369" s="24" t="inlineStr">
        <is>
          <t>102120</t>
        </is>
      </c>
      <c r="F369" s="24" t="inlineStr">
        <is>
          <t>2022</t>
        </is>
      </c>
      <c r="G369" s="24" t="inlineStr">
        <is>
          <t>CFS</t>
        </is>
      </c>
      <c r="H369" s="24" t="inlineStr">
        <is>
          <t>SCE</t>
        </is>
      </c>
      <c r="I369" s="24" t="inlineStr">
        <is>
          <t>자본변동표</t>
        </is>
      </c>
      <c r="J369" s="24" t="inlineStr">
        <is>
          <t>ifrs-full_Equity</t>
        </is>
      </c>
      <c r="K369" s="24" t="inlineStr">
        <is>
          <t>기말자본</t>
        </is>
      </c>
      <c r="L369" s="24" t="inlineStr">
        <is>
          <t>자본 [member]|지배기업의 소유주에게 귀속되는 자본 [member]|자본금 [member]</t>
        </is>
      </c>
      <c r="M369" s="24" t="inlineStr">
        <is>
          <t>제 17 기</t>
        </is>
      </c>
      <c r="N369" s="24" t="inlineStr">
        <is>
          <t>8890376500.0</t>
        </is>
      </c>
      <c r="O369" s="24" t="inlineStr">
        <is>
          <t>8729826500.0</t>
        </is>
      </c>
      <c r="P369" s="24" t="inlineStr">
        <is>
          <t>KRW</t>
        </is>
      </c>
      <c r="Q369" s="24" t="inlineStr">
        <is>
          <t>13</t>
        </is>
      </c>
    </row>
    <row r="370" ht="24" customHeight="1">
      <c r="A370" s="29" t="inlineStr">
        <is>
          <t>OpenDART_fnlttSinglAcntAll</t>
        </is>
      </c>
      <c r="B370" s="29" t="inlineStr">
        <is>
          <t>00591441</t>
        </is>
      </c>
      <c r="C370" s="29" t="inlineStr">
        <is>
          <t>어보브반도체</t>
        </is>
      </c>
      <c r="D370" s="29" t="inlineStr">
        <is>
          <t>abov</t>
        </is>
      </c>
      <c r="E370" s="29" t="inlineStr">
        <is>
          <t>102120</t>
        </is>
      </c>
      <c r="F370" s="29" t="inlineStr">
        <is>
          <t>2022</t>
        </is>
      </c>
      <c r="G370" s="29" t="inlineStr">
        <is>
          <t>CFS</t>
        </is>
      </c>
      <c r="H370" s="29" t="inlineStr">
        <is>
          <t>SCE</t>
        </is>
      </c>
      <c r="I370" s="29" t="inlineStr">
        <is>
          <t>자본변동표</t>
        </is>
      </c>
      <c r="J370" s="29" t="inlineStr">
        <is>
          <t>ifrs-full_Equity</t>
        </is>
      </c>
      <c r="K370" s="29" t="inlineStr">
        <is>
          <t>기말자본</t>
        </is>
      </c>
      <c r="L370" s="29" t="inlineStr">
        <is>
          <t>자본 [member]|지배기업의 소유주에게 귀속되는 자본 [member]|자본잉여금 [member]</t>
        </is>
      </c>
      <c r="M370" s="29" t="inlineStr">
        <is>
          <t>제 17 기</t>
        </is>
      </c>
      <c r="N370" s="29" t="inlineStr">
        <is>
          <t>26421998151.0</t>
        </is>
      </c>
      <c r="O370" s="29" t="inlineStr">
        <is>
          <t>23084044791.0</t>
        </is>
      </c>
      <c r="P370" s="29" t="inlineStr">
        <is>
          <t>KRW</t>
        </is>
      </c>
      <c r="Q370" s="29" t="inlineStr">
        <is>
          <t>13</t>
        </is>
      </c>
    </row>
    <row r="371" ht="24" customHeight="1">
      <c r="A371" s="24" t="inlineStr">
        <is>
          <t>OpenDART_fnlttSinglAcntAll</t>
        </is>
      </c>
      <c r="B371" s="24" t="inlineStr">
        <is>
          <t>00591441</t>
        </is>
      </c>
      <c r="C371" s="24" t="inlineStr">
        <is>
          <t>어보브반도체</t>
        </is>
      </c>
      <c r="D371" s="24" t="inlineStr">
        <is>
          <t>abov</t>
        </is>
      </c>
      <c r="E371" s="24" t="inlineStr">
        <is>
          <t>102120</t>
        </is>
      </c>
      <c r="F371" s="24" t="inlineStr">
        <is>
          <t>2022</t>
        </is>
      </c>
      <c r="G371" s="24" t="inlineStr">
        <is>
          <t>CFS</t>
        </is>
      </c>
      <c r="H371" s="24" t="inlineStr">
        <is>
          <t>SCE</t>
        </is>
      </c>
      <c r="I371" s="24" t="inlineStr">
        <is>
          <t>자본변동표</t>
        </is>
      </c>
      <c r="J371" s="24" t="inlineStr">
        <is>
          <t>ifrs-full_Equity</t>
        </is>
      </c>
      <c r="K371" s="24" t="inlineStr">
        <is>
          <t>기말자본</t>
        </is>
      </c>
      <c r="L371" s="24" t="inlineStr">
        <is>
          <t>연결재무제표 [member]</t>
        </is>
      </c>
      <c r="M371" s="24" t="inlineStr">
        <is>
          <t>제 17 기</t>
        </is>
      </c>
      <c r="N371" s="24" t="inlineStr">
        <is>
          <t>173068584293.0</t>
        </is>
      </c>
      <c r="O371" s="24" t="inlineStr">
        <is>
          <t>111828760258.0</t>
        </is>
      </c>
      <c r="P371" s="24" t="inlineStr">
        <is>
          <t>KRW</t>
        </is>
      </c>
      <c r="Q371" s="24" t="inlineStr">
        <is>
          <t>13</t>
        </is>
      </c>
    </row>
    <row r="372" ht="24" customHeight="1">
      <c r="A372" s="29" t="inlineStr">
        <is>
          <t>OpenDART_fnlttSinglAcntAll</t>
        </is>
      </c>
      <c r="B372" s="29" t="inlineStr">
        <is>
          <t>00591441</t>
        </is>
      </c>
      <c r="C372" s="29" t="inlineStr">
        <is>
          <t>어보브반도체</t>
        </is>
      </c>
      <c r="D372" s="29" t="inlineStr">
        <is>
          <t>abov</t>
        </is>
      </c>
      <c r="E372" s="29" t="inlineStr">
        <is>
          <t>102120</t>
        </is>
      </c>
      <c r="F372" s="29" t="inlineStr">
        <is>
          <t>2023</t>
        </is>
      </c>
      <c r="G372" s="29" t="inlineStr">
        <is>
          <t>CFS</t>
        </is>
      </c>
      <c r="H372" s="29" t="inlineStr">
        <is>
          <t>BS</t>
        </is>
      </c>
      <c r="I372" s="29" t="inlineStr">
        <is>
          <t>재무상태표</t>
        </is>
      </c>
      <c r="J372" s="29" t="inlineStr">
        <is>
          <t>ifrs-full_Assets</t>
        </is>
      </c>
      <c r="K372" s="29" t="inlineStr">
        <is>
          <t>자산총계</t>
        </is>
      </c>
      <c r="L372" s="29" t="inlineStr">
        <is>
          <t>-</t>
        </is>
      </c>
      <c r="M372" s="29" t="inlineStr">
        <is>
          <t>제 18 기</t>
        </is>
      </c>
      <c r="N372" s="29" t="inlineStr">
        <is>
          <t>288316792095.0</t>
        </is>
      </c>
      <c r="O372" s="29" t="inlineStr">
        <is>
          <t>331531563148.0</t>
        </is>
      </c>
      <c r="P372" s="29" t="inlineStr">
        <is>
          <t>KRW</t>
        </is>
      </c>
      <c r="Q372" s="29" t="inlineStr">
        <is>
          <t>7</t>
        </is>
      </c>
    </row>
    <row r="373" ht="24" customHeight="1">
      <c r="A373" s="24" t="inlineStr">
        <is>
          <t>OpenDART_fnlttSinglAcntAll</t>
        </is>
      </c>
      <c r="B373" s="24" t="inlineStr">
        <is>
          <t>00591441</t>
        </is>
      </c>
      <c r="C373" s="24" t="inlineStr">
        <is>
          <t>어보브반도체</t>
        </is>
      </c>
      <c r="D373" s="24" t="inlineStr">
        <is>
          <t>abov</t>
        </is>
      </c>
      <c r="E373" s="24" t="inlineStr">
        <is>
          <t>102120</t>
        </is>
      </c>
      <c r="F373" s="24" t="inlineStr">
        <is>
          <t>2023</t>
        </is>
      </c>
      <c r="G373" s="24" t="inlineStr">
        <is>
          <t>CFS</t>
        </is>
      </c>
      <c r="H373" s="24" t="inlineStr">
        <is>
          <t>BS</t>
        </is>
      </c>
      <c r="I373" s="24" t="inlineStr">
        <is>
          <t>재무상태표</t>
        </is>
      </c>
      <c r="J373" s="24" t="inlineStr">
        <is>
          <t>ifrs-full_CurrentAssets</t>
        </is>
      </c>
      <c r="K373" s="24" t="inlineStr">
        <is>
          <t>유동자산</t>
        </is>
      </c>
      <c r="L373" s="24" t="inlineStr">
        <is>
          <t>-</t>
        </is>
      </c>
      <c r="M373" s="24" t="inlineStr">
        <is>
          <t>제 18 기</t>
        </is>
      </c>
      <c r="N373" s="24" t="inlineStr">
        <is>
          <t>109505921106.0</t>
        </is>
      </c>
      <c r="O373" s="24" t="inlineStr">
        <is>
          <t>127473142993.0</t>
        </is>
      </c>
      <c r="P373" s="24" t="inlineStr">
        <is>
          <t>KRW</t>
        </is>
      </c>
      <c r="Q373" s="24" t="inlineStr">
        <is>
          <t>8</t>
        </is>
      </c>
    </row>
    <row r="374" ht="24" customHeight="1">
      <c r="A374" s="29" t="inlineStr">
        <is>
          <t>OpenDART_fnlttSinglAcntAll</t>
        </is>
      </c>
      <c r="B374" s="29" t="inlineStr">
        <is>
          <t>00591441</t>
        </is>
      </c>
      <c r="C374" s="29" t="inlineStr">
        <is>
          <t>어보브반도체</t>
        </is>
      </c>
      <c r="D374" s="29" t="inlineStr">
        <is>
          <t>abov</t>
        </is>
      </c>
      <c r="E374" s="29" t="inlineStr">
        <is>
          <t>102120</t>
        </is>
      </c>
      <c r="F374" s="29" t="inlineStr">
        <is>
          <t>2023</t>
        </is>
      </c>
      <c r="G374" s="29" t="inlineStr">
        <is>
          <t>CFS</t>
        </is>
      </c>
      <c r="H374" s="29" t="inlineStr">
        <is>
          <t>BS</t>
        </is>
      </c>
      <c r="I374" s="29" t="inlineStr">
        <is>
          <t>재무상태표</t>
        </is>
      </c>
      <c r="J374" s="29" t="inlineStr">
        <is>
          <t>dart_ShortTermTradeReceivable</t>
        </is>
      </c>
      <c r="K374" s="29" t="inlineStr">
        <is>
          <t>매출채권</t>
        </is>
      </c>
      <c r="L374" s="29" t="inlineStr">
        <is>
          <t>-</t>
        </is>
      </c>
      <c r="M374" s="29" t="inlineStr">
        <is>
          <t>제 18 기</t>
        </is>
      </c>
      <c r="N374" s="29" t="inlineStr">
        <is>
          <t>21876703042.0</t>
        </is>
      </c>
      <c r="O374" s="29" t="inlineStr">
        <is>
          <t>31141073258.0</t>
        </is>
      </c>
      <c r="P374" s="29" t="inlineStr">
        <is>
          <t>KRW</t>
        </is>
      </c>
      <c r="Q374" s="29" t="inlineStr">
        <is>
          <t>9</t>
        </is>
      </c>
    </row>
    <row r="375" ht="24" customHeight="1">
      <c r="A375" s="24" t="inlineStr">
        <is>
          <t>OpenDART_fnlttSinglAcntAll</t>
        </is>
      </c>
      <c r="B375" s="24" t="inlineStr">
        <is>
          <t>00591441</t>
        </is>
      </c>
      <c r="C375" s="24" t="inlineStr">
        <is>
          <t>어보브반도체</t>
        </is>
      </c>
      <c r="D375" s="24" t="inlineStr">
        <is>
          <t>abov</t>
        </is>
      </c>
      <c r="E375" s="24" t="inlineStr">
        <is>
          <t>102120</t>
        </is>
      </c>
      <c r="F375" s="24" t="inlineStr">
        <is>
          <t>2023</t>
        </is>
      </c>
      <c r="G375" s="24" t="inlineStr">
        <is>
          <t>CFS</t>
        </is>
      </c>
      <c r="H375" s="24" t="inlineStr">
        <is>
          <t>BS</t>
        </is>
      </c>
      <c r="I375" s="24" t="inlineStr">
        <is>
          <t>재무상태표</t>
        </is>
      </c>
      <c r="J375" s="24" t="inlineStr">
        <is>
          <t>-표준계정코드 미사용-</t>
        </is>
      </c>
      <c r="K375" s="24" t="inlineStr">
        <is>
          <t>기타채권</t>
        </is>
      </c>
      <c r="L375" s="24" t="inlineStr">
        <is>
          <t>-</t>
        </is>
      </c>
      <c r="M375" s="24" t="inlineStr">
        <is>
          <t>제 18 기</t>
        </is>
      </c>
      <c r="N375" s="24" t="inlineStr">
        <is>
          <t>3417048936.0</t>
        </is>
      </c>
      <c r="O375" s="24" t="inlineStr">
        <is>
          <t>4754210231.0</t>
        </is>
      </c>
      <c r="P375" s="24" t="inlineStr">
        <is>
          <t>KRW</t>
        </is>
      </c>
      <c r="Q375" s="24" t="inlineStr">
        <is>
          <t>10</t>
        </is>
      </c>
    </row>
    <row r="376" ht="24" customHeight="1">
      <c r="A376" s="29" t="inlineStr">
        <is>
          <t>OpenDART_fnlttSinglAcntAll</t>
        </is>
      </c>
      <c r="B376" s="29" t="inlineStr">
        <is>
          <t>00591441</t>
        </is>
      </c>
      <c r="C376" s="29" t="inlineStr">
        <is>
          <t>어보브반도체</t>
        </is>
      </c>
      <c r="D376" s="29" t="inlineStr">
        <is>
          <t>abov</t>
        </is>
      </c>
      <c r="E376" s="29" t="inlineStr">
        <is>
          <t>102120</t>
        </is>
      </c>
      <c r="F376" s="29" t="inlineStr">
        <is>
          <t>2023</t>
        </is>
      </c>
      <c r="G376" s="29" t="inlineStr">
        <is>
          <t>CFS</t>
        </is>
      </c>
      <c r="H376" s="29" t="inlineStr">
        <is>
          <t>BS</t>
        </is>
      </c>
      <c r="I376" s="29" t="inlineStr">
        <is>
          <t>재무상태표</t>
        </is>
      </c>
      <c r="J376" s="29" t="inlineStr">
        <is>
          <t>ifrs-full_CashAndCashEquivalents</t>
        </is>
      </c>
      <c r="K376" s="29" t="inlineStr">
        <is>
          <t>현금 및 현금성자산</t>
        </is>
      </c>
      <c r="L376" s="29" t="inlineStr">
        <is>
          <t>-</t>
        </is>
      </c>
      <c r="M376" s="29" t="inlineStr">
        <is>
          <t>제 18 기</t>
        </is>
      </c>
      <c r="N376" s="29" t="inlineStr">
        <is>
          <t>43417473689.0</t>
        </is>
      </c>
      <c r="O376" s="29" t="inlineStr">
        <is>
          <t>20717623910.0</t>
        </is>
      </c>
      <c r="P376" s="29" t="inlineStr">
        <is>
          <t>KRW</t>
        </is>
      </c>
      <c r="Q376" s="29" t="inlineStr">
        <is>
          <t>11</t>
        </is>
      </c>
    </row>
    <row r="377" ht="24" customHeight="1">
      <c r="A377" s="24" t="inlineStr">
        <is>
          <t>OpenDART_fnlttSinglAcntAll</t>
        </is>
      </c>
      <c r="B377" s="24" t="inlineStr">
        <is>
          <t>00591441</t>
        </is>
      </c>
      <c r="C377" s="24" t="inlineStr">
        <is>
          <t>어보브반도체</t>
        </is>
      </c>
      <c r="D377" s="24" t="inlineStr">
        <is>
          <t>abov</t>
        </is>
      </c>
      <c r="E377" s="24" t="inlineStr">
        <is>
          <t>102120</t>
        </is>
      </c>
      <c r="F377" s="24" t="inlineStr">
        <is>
          <t>2023</t>
        </is>
      </c>
      <c r="G377" s="24" t="inlineStr">
        <is>
          <t>CFS</t>
        </is>
      </c>
      <c r="H377" s="24" t="inlineStr">
        <is>
          <t>BS</t>
        </is>
      </c>
      <c r="I377" s="24" t="inlineStr">
        <is>
          <t>재무상태표</t>
        </is>
      </c>
      <c r="J377" s="24" t="inlineStr">
        <is>
          <t>ifrs-full_CurrentFinancialAssetsAtFairValueThroughProfitOrLossDesignatedUponInitialRecognition</t>
        </is>
      </c>
      <c r="K377" s="24" t="inlineStr">
        <is>
          <t>당기손익공정가치측정금융자산</t>
        </is>
      </c>
      <c r="L377" s="24" t="inlineStr">
        <is>
          <t>-</t>
        </is>
      </c>
      <c r="M377" s="24" t="inlineStr">
        <is>
          <t>제 18 기</t>
        </is>
      </c>
      <c r="N377" s="24" t="inlineStr">
        <is>
          <t>해당 없음</t>
        </is>
      </c>
      <c r="O377" s="24" t="inlineStr">
        <is>
          <t>해당 없음</t>
        </is>
      </c>
      <c r="P377" s="24" t="inlineStr">
        <is>
          <t>KRW</t>
        </is>
      </c>
      <c r="Q377" s="24" t="inlineStr">
        <is>
          <t>12</t>
        </is>
      </c>
    </row>
    <row r="378" ht="24" customHeight="1">
      <c r="A378" s="29" t="inlineStr">
        <is>
          <t>OpenDART_fnlttSinglAcntAll</t>
        </is>
      </c>
      <c r="B378" s="29" t="inlineStr">
        <is>
          <t>00591441</t>
        </is>
      </c>
      <c r="C378" s="29" t="inlineStr">
        <is>
          <t>어보브반도체</t>
        </is>
      </c>
      <c r="D378" s="29" t="inlineStr">
        <is>
          <t>abov</t>
        </is>
      </c>
      <c r="E378" s="29" t="inlineStr">
        <is>
          <t>102120</t>
        </is>
      </c>
      <c r="F378" s="29" t="inlineStr">
        <is>
          <t>2023</t>
        </is>
      </c>
      <c r="G378" s="29" t="inlineStr">
        <is>
          <t>CFS</t>
        </is>
      </c>
      <c r="H378" s="29" t="inlineStr">
        <is>
          <t>BS</t>
        </is>
      </c>
      <c r="I378" s="29" t="inlineStr">
        <is>
          <t>재무상태표</t>
        </is>
      </c>
      <c r="J378" s="29" t="inlineStr">
        <is>
          <t>ifrs-full_CurrentTaxAssets</t>
        </is>
      </c>
      <c r="K378" s="29" t="inlineStr">
        <is>
          <t>당기법인세자산</t>
        </is>
      </c>
      <c r="L378" s="29" t="inlineStr">
        <is>
          <t>-</t>
        </is>
      </c>
      <c r="M378" s="29" t="inlineStr">
        <is>
          <t>제 18 기</t>
        </is>
      </c>
      <c r="N378" s="29" t="inlineStr">
        <is>
          <t>778021568.0</t>
        </is>
      </c>
      <c r="O378" s="29" t="inlineStr">
        <is>
          <t>해당 없음</t>
        </is>
      </c>
      <c r="P378" s="29" t="inlineStr">
        <is>
          <t>KRW</t>
        </is>
      </c>
      <c r="Q378" s="29" t="inlineStr">
        <is>
          <t>13</t>
        </is>
      </c>
    </row>
    <row r="379" ht="24" customHeight="1">
      <c r="A379" s="24" t="inlineStr">
        <is>
          <t>OpenDART_fnlttSinglAcntAll</t>
        </is>
      </c>
      <c r="B379" s="24" t="inlineStr">
        <is>
          <t>00591441</t>
        </is>
      </c>
      <c r="C379" s="24" t="inlineStr">
        <is>
          <t>어보브반도체</t>
        </is>
      </c>
      <c r="D379" s="24" t="inlineStr">
        <is>
          <t>abov</t>
        </is>
      </c>
      <c r="E379" s="24" t="inlineStr">
        <is>
          <t>102120</t>
        </is>
      </c>
      <c r="F379" s="24" t="inlineStr">
        <is>
          <t>2023</t>
        </is>
      </c>
      <c r="G379" s="24" t="inlineStr">
        <is>
          <t>CFS</t>
        </is>
      </c>
      <c r="H379" s="24" t="inlineStr">
        <is>
          <t>BS</t>
        </is>
      </c>
      <c r="I379" s="24" t="inlineStr">
        <is>
          <t>재무상태표</t>
        </is>
      </c>
      <c r="J379" s="24" t="inlineStr">
        <is>
          <t>ifrs-full_Inventories</t>
        </is>
      </c>
      <c r="K379" s="24" t="inlineStr">
        <is>
          <t>재고자산</t>
        </is>
      </c>
      <c r="L379" s="24" t="inlineStr">
        <is>
          <t>-</t>
        </is>
      </c>
      <c r="M379" s="24" t="inlineStr">
        <is>
          <t>제 18 기</t>
        </is>
      </c>
      <c r="N379" s="24" t="inlineStr">
        <is>
          <t>33553953035.0</t>
        </is>
      </c>
      <c r="O379" s="24" t="inlineStr">
        <is>
          <t>66540258624.0</t>
        </is>
      </c>
      <c r="P379" s="24" t="inlineStr">
        <is>
          <t>KRW</t>
        </is>
      </c>
      <c r="Q379" s="24" t="inlineStr">
        <is>
          <t>14</t>
        </is>
      </c>
    </row>
    <row r="380" ht="24" customHeight="1">
      <c r="A380" s="29" t="inlineStr">
        <is>
          <t>OpenDART_fnlttSinglAcntAll</t>
        </is>
      </c>
      <c r="B380" s="29" t="inlineStr">
        <is>
          <t>00591441</t>
        </is>
      </c>
      <c r="C380" s="29" t="inlineStr">
        <is>
          <t>어보브반도체</t>
        </is>
      </c>
      <c r="D380" s="29" t="inlineStr">
        <is>
          <t>abov</t>
        </is>
      </c>
      <c r="E380" s="29" t="inlineStr">
        <is>
          <t>102120</t>
        </is>
      </c>
      <c r="F380" s="29" t="inlineStr">
        <is>
          <t>2023</t>
        </is>
      </c>
      <c r="G380" s="29" t="inlineStr">
        <is>
          <t>CFS</t>
        </is>
      </c>
      <c r="H380" s="29" t="inlineStr">
        <is>
          <t>BS</t>
        </is>
      </c>
      <c r="I380" s="29" t="inlineStr">
        <is>
          <t>재무상태표</t>
        </is>
      </c>
      <c r="J380" s="29" t="inlineStr">
        <is>
          <t>ifrs-full_OtherCurrentAssets</t>
        </is>
      </c>
      <c r="K380" s="29" t="inlineStr">
        <is>
          <t>기타유동자산</t>
        </is>
      </c>
      <c r="L380" s="29" t="inlineStr">
        <is>
          <t>-</t>
        </is>
      </c>
      <c r="M380" s="29" t="inlineStr">
        <is>
          <t>제 18 기</t>
        </is>
      </c>
      <c r="N380" s="29" t="inlineStr">
        <is>
          <t>4154158360.0</t>
        </is>
      </c>
      <c r="O380" s="29" t="inlineStr">
        <is>
          <t>4315100470.0</t>
        </is>
      </c>
      <c r="P380" s="29" t="inlineStr">
        <is>
          <t>KRW</t>
        </is>
      </c>
      <c r="Q380" s="29" t="inlineStr">
        <is>
          <t>15</t>
        </is>
      </c>
    </row>
    <row r="381" ht="24" customHeight="1">
      <c r="A381" s="24" t="inlineStr">
        <is>
          <t>OpenDART_fnlttSinglAcntAll</t>
        </is>
      </c>
      <c r="B381" s="24" t="inlineStr">
        <is>
          <t>00591441</t>
        </is>
      </c>
      <c r="C381" s="24" t="inlineStr">
        <is>
          <t>어보브반도체</t>
        </is>
      </c>
      <c r="D381" s="24" t="inlineStr">
        <is>
          <t>abov</t>
        </is>
      </c>
      <c r="E381" s="24" t="inlineStr">
        <is>
          <t>102120</t>
        </is>
      </c>
      <c r="F381" s="24" t="inlineStr">
        <is>
          <t>2023</t>
        </is>
      </c>
      <c r="G381" s="24" t="inlineStr">
        <is>
          <t>CFS</t>
        </is>
      </c>
      <c r="H381" s="24" t="inlineStr">
        <is>
          <t>BS</t>
        </is>
      </c>
      <c r="I381" s="24" t="inlineStr">
        <is>
          <t>재무상태표</t>
        </is>
      </c>
      <c r="J381" s="24" t="inlineStr">
        <is>
          <t>ifrs-full_OtherCurrentFinancialAssets</t>
        </is>
      </c>
      <c r="K381" s="24" t="inlineStr">
        <is>
          <t>기타유동금융자산</t>
        </is>
      </c>
      <c r="L381" s="24" t="inlineStr">
        <is>
          <t>-</t>
        </is>
      </c>
      <c r="M381" s="24" t="inlineStr">
        <is>
          <t>제 18 기</t>
        </is>
      </c>
      <c r="N381" s="24" t="inlineStr">
        <is>
          <t>2308562476.0</t>
        </is>
      </c>
      <c r="O381" s="24" t="inlineStr">
        <is>
          <t>4876500.0</t>
        </is>
      </c>
      <c r="P381" s="24" t="inlineStr">
        <is>
          <t>KRW</t>
        </is>
      </c>
      <c r="Q381" s="24" t="inlineStr">
        <is>
          <t>16</t>
        </is>
      </c>
    </row>
    <row r="382" ht="24" customHeight="1">
      <c r="A382" s="29" t="inlineStr">
        <is>
          <t>OpenDART_fnlttSinglAcntAll</t>
        </is>
      </c>
      <c r="B382" s="29" t="inlineStr">
        <is>
          <t>00591441</t>
        </is>
      </c>
      <c r="C382" s="29" t="inlineStr">
        <is>
          <t>어보브반도체</t>
        </is>
      </c>
      <c r="D382" s="29" t="inlineStr">
        <is>
          <t>abov</t>
        </is>
      </c>
      <c r="E382" s="29" t="inlineStr">
        <is>
          <t>102120</t>
        </is>
      </c>
      <c r="F382" s="29" t="inlineStr">
        <is>
          <t>2023</t>
        </is>
      </c>
      <c r="G382" s="29" t="inlineStr">
        <is>
          <t>CFS</t>
        </is>
      </c>
      <c r="H382" s="29" t="inlineStr">
        <is>
          <t>BS</t>
        </is>
      </c>
      <c r="I382" s="29" t="inlineStr">
        <is>
          <t>재무상태표</t>
        </is>
      </c>
      <c r="J382" s="29" t="inlineStr">
        <is>
          <t>ifrs-full_NoncurrentAssets</t>
        </is>
      </c>
      <c r="K382" s="29" t="inlineStr">
        <is>
          <t>비유동자산</t>
        </is>
      </c>
      <c r="L382" s="29" t="inlineStr">
        <is>
          <t>-</t>
        </is>
      </c>
      <c r="M382" s="29" t="inlineStr">
        <is>
          <t>제 18 기</t>
        </is>
      </c>
      <c r="N382" s="29" t="inlineStr">
        <is>
          <t>178810870989.0</t>
        </is>
      </c>
      <c r="O382" s="29" t="inlineStr">
        <is>
          <t>204058420155.0</t>
        </is>
      </c>
      <c r="P382" s="29" t="inlineStr">
        <is>
          <t>KRW</t>
        </is>
      </c>
      <c r="Q382" s="29" t="inlineStr">
        <is>
          <t>17</t>
        </is>
      </c>
    </row>
    <row r="383" ht="24" customHeight="1">
      <c r="A383" s="24" t="inlineStr">
        <is>
          <t>OpenDART_fnlttSinglAcntAll</t>
        </is>
      </c>
      <c r="B383" s="24" t="inlineStr">
        <is>
          <t>00591441</t>
        </is>
      </c>
      <c r="C383" s="24" t="inlineStr">
        <is>
          <t>어보브반도체</t>
        </is>
      </c>
      <c r="D383" s="24" t="inlineStr">
        <is>
          <t>abov</t>
        </is>
      </c>
      <c r="E383" s="24" t="inlineStr">
        <is>
          <t>102120</t>
        </is>
      </c>
      <c r="F383" s="24" t="inlineStr">
        <is>
          <t>2023</t>
        </is>
      </c>
      <c r="G383" s="24" t="inlineStr">
        <is>
          <t>CFS</t>
        </is>
      </c>
      <c r="H383" s="24" t="inlineStr">
        <is>
          <t>BS</t>
        </is>
      </c>
      <c r="I383" s="24" t="inlineStr">
        <is>
          <t>재무상태표</t>
        </is>
      </c>
      <c r="J383" s="24" t="inlineStr">
        <is>
          <t>-표준계정코드 미사용-</t>
        </is>
      </c>
      <c r="K383" s="24" t="inlineStr">
        <is>
          <t>순확정급여자산</t>
        </is>
      </c>
      <c r="L383" s="24" t="inlineStr">
        <is>
          <t>-</t>
        </is>
      </c>
      <c r="M383" s="24" t="inlineStr">
        <is>
          <t>제 18 기</t>
        </is>
      </c>
      <c r="N383" s="24" t="inlineStr">
        <is>
          <t>해당 없음</t>
        </is>
      </c>
      <c r="O383" s="24" t="inlineStr">
        <is>
          <t>100240688.0</t>
        </is>
      </c>
      <c r="P383" s="24" t="inlineStr">
        <is>
          <t>KRW</t>
        </is>
      </c>
      <c r="Q383" s="24" t="inlineStr">
        <is>
          <t>18</t>
        </is>
      </c>
    </row>
    <row r="384" ht="24" customHeight="1">
      <c r="A384" s="29" t="inlineStr">
        <is>
          <t>OpenDART_fnlttSinglAcntAll</t>
        </is>
      </c>
      <c r="B384" s="29" t="inlineStr">
        <is>
          <t>00591441</t>
        </is>
      </c>
      <c r="C384" s="29" t="inlineStr">
        <is>
          <t>어보브반도체</t>
        </is>
      </c>
      <c r="D384" s="29" t="inlineStr">
        <is>
          <t>abov</t>
        </is>
      </c>
      <c r="E384" s="29" t="inlineStr">
        <is>
          <t>102120</t>
        </is>
      </c>
      <c r="F384" s="29" t="inlineStr">
        <is>
          <t>2023</t>
        </is>
      </c>
      <c r="G384" s="29" t="inlineStr">
        <is>
          <t>CFS</t>
        </is>
      </c>
      <c r="H384" s="29" t="inlineStr">
        <is>
          <t>BS</t>
        </is>
      </c>
      <c r="I384" s="29" t="inlineStr">
        <is>
          <t>재무상태표</t>
        </is>
      </c>
      <c r="J384" s="29" t="inlineStr">
        <is>
          <t>ifrs-full_DeferredTaxAssets</t>
        </is>
      </c>
      <c r="K384" s="29" t="inlineStr">
        <is>
          <t>이연법인세자산</t>
        </is>
      </c>
      <c r="L384" s="29" t="inlineStr">
        <is>
          <t>-</t>
        </is>
      </c>
      <c r="M384" s="29" t="inlineStr">
        <is>
          <t>제 18 기</t>
        </is>
      </c>
      <c r="N384" s="29" t="inlineStr">
        <is>
          <t>8147196371.0</t>
        </is>
      </c>
      <c r="O384" s="29" t="inlineStr">
        <is>
          <t>15512559274.0</t>
        </is>
      </c>
      <c r="P384" s="29" t="inlineStr">
        <is>
          <t>KRW</t>
        </is>
      </c>
      <c r="Q384" s="29" t="inlineStr">
        <is>
          <t>19</t>
        </is>
      </c>
    </row>
    <row r="385" ht="24" customHeight="1">
      <c r="A385" s="24" t="inlineStr">
        <is>
          <t>OpenDART_fnlttSinglAcntAll</t>
        </is>
      </c>
      <c r="B385" s="24" t="inlineStr">
        <is>
          <t>00591441</t>
        </is>
      </c>
      <c r="C385" s="24" t="inlineStr">
        <is>
          <t>어보브반도체</t>
        </is>
      </c>
      <c r="D385" s="24" t="inlineStr">
        <is>
          <t>abov</t>
        </is>
      </c>
      <c r="E385" s="24" t="inlineStr">
        <is>
          <t>102120</t>
        </is>
      </c>
      <c r="F385" s="24" t="inlineStr">
        <is>
          <t>2023</t>
        </is>
      </c>
      <c r="G385" s="24" t="inlineStr">
        <is>
          <t>CFS</t>
        </is>
      </c>
      <c r="H385" s="24" t="inlineStr">
        <is>
          <t>BS</t>
        </is>
      </c>
      <c r="I385" s="24" t="inlineStr">
        <is>
          <t>재무상태표</t>
        </is>
      </c>
      <c r="J385" s="24" t="inlineStr">
        <is>
          <t>ifrs-full_IntangibleAssetsOtherThanGoodwill</t>
        </is>
      </c>
      <c r="K385" s="24" t="inlineStr">
        <is>
          <t>무형자산</t>
        </is>
      </c>
      <c r="L385" s="24" t="inlineStr">
        <is>
          <t>-</t>
        </is>
      </c>
      <c r="M385" s="24" t="inlineStr">
        <is>
          <t>제 18 기</t>
        </is>
      </c>
      <c r="N385" s="24" t="inlineStr">
        <is>
          <t>21869820823.0</t>
        </is>
      </c>
      <c r="O385" s="24" t="inlineStr">
        <is>
          <t>25904100103.0</t>
        </is>
      </c>
      <c r="P385" s="24" t="inlineStr">
        <is>
          <t>KRW</t>
        </is>
      </c>
      <c r="Q385" s="24" t="inlineStr">
        <is>
          <t>20</t>
        </is>
      </c>
    </row>
    <row r="386" ht="24" customHeight="1">
      <c r="A386" s="29" t="inlineStr">
        <is>
          <t>OpenDART_fnlttSinglAcntAll</t>
        </is>
      </c>
      <c r="B386" s="29" t="inlineStr">
        <is>
          <t>00591441</t>
        </is>
      </c>
      <c r="C386" s="29" t="inlineStr">
        <is>
          <t>어보브반도체</t>
        </is>
      </c>
      <c r="D386" s="29" t="inlineStr">
        <is>
          <t>abov</t>
        </is>
      </c>
      <c r="E386" s="29" t="inlineStr">
        <is>
          <t>102120</t>
        </is>
      </c>
      <c r="F386" s="29" t="inlineStr">
        <is>
          <t>2023</t>
        </is>
      </c>
      <c r="G386" s="29" t="inlineStr">
        <is>
          <t>CFS</t>
        </is>
      </c>
      <c r="H386" s="29" t="inlineStr">
        <is>
          <t>BS</t>
        </is>
      </c>
      <c r="I386" s="29" t="inlineStr">
        <is>
          <t>재무상태표</t>
        </is>
      </c>
      <c r="J386" s="29" t="inlineStr">
        <is>
          <t>ifrs-full_InvestmentsInAssociates</t>
        </is>
      </c>
      <c r="K386" s="29" t="inlineStr">
        <is>
          <t>관계기업투자주식</t>
        </is>
      </c>
      <c r="L386" s="29" t="inlineStr">
        <is>
          <t>-</t>
        </is>
      </c>
      <c r="M386" s="29" t="inlineStr">
        <is>
          <t>제 18 기</t>
        </is>
      </c>
      <c r="N386" s="29" t="inlineStr">
        <is>
          <t>5835144378.0</t>
        </is>
      </c>
      <c r="O386" s="29" t="inlineStr">
        <is>
          <t>6667416620.0</t>
        </is>
      </c>
      <c r="P386" s="29" t="inlineStr">
        <is>
          <t>KRW</t>
        </is>
      </c>
      <c r="Q386" s="29" t="inlineStr">
        <is>
          <t>21</t>
        </is>
      </c>
    </row>
    <row r="387" ht="24" customHeight="1">
      <c r="A387" s="24" t="inlineStr">
        <is>
          <t>OpenDART_fnlttSinglAcntAll</t>
        </is>
      </c>
      <c r="B387" s="24" t="inlineStr">
        <is>
          <t>00591441</t>
        </is>
      </c>
      <c r="C387" s="24" t="inlineStr">
        <is>
          <t>어보브반도체</t>
        </is>
      </c>
      <c r="D387" s="24" t="inlineStr">
        <is>
          <t>abov</t>
        </is>
      </c>
      <c r="E387" s="24" t="inlineStr">
        <is>
          <t>102120</t>
        </is>
      </c>
      <c r="F387" s="24" t="inlineStr">
        <is>
          <t>2023</t>
        </is>
      </c>
      <c r="G387" s="24" t="inlineStr">
        <is>
          <t>CFS</t>
        </is>
      </c>
      <c r="H387" s="24" t="inlineStr">
        <is>
          <t>BS</t>
        </is>
      </c>
      <c r="I387" s="24" t="inlineStr">
        <is>
          <t>재무상태표</t>
        </is>
      </c>
      <c r="J387" s="24" t="inlineStr">
        <is>
          <t>ifrs-full_NoncurrentFinancialAssetsAtFairValueThroughProfitOrLossDesignatedUponInitialRecognition</t>
        </is>
      </c>
      <c r="K387" s="24" t="inlineStr">
        <is>
          <t>당기손익공정가치측정금융자산</t>
        </is>
      </c>
      <c r="L387" s="24" t="inlineStr">
        <is>
          <t>-</t>
        </is>
      </c>
      <c r="M387" s="24" t="inlineStr">
        <is>
          <t>제 18 기</t>
        </is>
      </c>
      <c r="N387" s="24" t="inlineStr">
        <is>
          <t>5357183071.0</t>
        </is>
      </c>
      <c r="O387" s="24" t="inlineStr">
        <is>
          <t>2163823306.0</t>
        </is>
      </c>
      <c r="P387" s="24" t="inlineStr">
        <is>
          <t>KRW</t>
        </is>
      </c>
      <c r="Q387" s="24" t="inlineStr">
        <is>
          <t>22</t>
        </is>
      </c>
    </row>
    <row r="388" ht="24" customHeight="1">
      <c r="A388" s="29" t="inlineStr">
        <is>
          <t>OpenDART_fnlttSinglAcntAll</t>
        </is>
      </c>
      <c r="B388" s="29" t="inlineStr">
        <is>
          <t>00591441</t>
        </is>
      </c>
      <c r="C388" s="29" t="inlineStr">
        <is>
          <t>어보브반도체</t>
        </is>
      </c>
      <c r="D388" s="29" t="inlineStr">
        <is>
          <t>abov</t>
        </is>
      </c>
      <c r="E388" s="29" t="inlineStr">
        <is>
          <t>102120</t>
        </is>
      </c>
      <c r="F388" s="29" t="inlineStr">
        <is>
          <t>2023</t>
        </is>
      </c>
      <c r="G388" s="29" t="inlineStr">
        <is>
          <t>CFS</t>
        </is>
      </c>
      <c r="H388" s="29" t="inlineStr">
        <is>
          <t>BS</t>
        </is>
      </c>
      <c r="I388" s="29" t="inlineStr">
        <is>
          <t>재무상태표</t>
        </is>
      </c>
      <c r="J388" s="29" t="inlineStr">
        <is>
          <t>ifrs-full_NoncurrentFinancialAssetsMeasuredAtFairValueThroughOtherComprehensiveIncome</t>
        </is>
      </c>
      <c r="K388" s="29" t="inlineStr">
        <is>
          <t>기타포괄손익공정가치측정금융자산</t>
        </is>
      </c>
      <c r="L388" s="29" t="inlineStr">
        <is>
          <t>-</t>
        </is>
      </c>
      <c r="M388" s="29" t="inlineStr">
        <is>
          <t>제 18 기</t>
        </is>
      </c>
      <c r="N388" s="29" t="inlineStr">
        <is>
          <t>1397943525.0</t>
        </is>
      </c>
      <c r="O388" s="29" t="inlineStr">
        <is>
          <t>1200002210.0</t>
        </is>
      </c>
      <c r="P388" s="29" t="inlineStr">
        <is>
          <t>KRW</t>
        </is>
      </c>
      <c r="Q388" s="29" t="inlineStr">
        <is>
          <t>23</t>
        </is>
      </c>
    </row>
    <row r="389" ht="24" customHeight="1">
      <c r="A389" s="24" t="inlineStr">
        <is>
          <t>OpenDART_fnlttSinglAcntAll</t>
        </is>
      </c>
      <c r="B389" s="24" t="inlineStr">
        <is>
          <t>00591441</t>
        </is>
      </c>
      <c r="C389" s="24" t="inlineStr">
        <is>
          <t>어보브반도체</t>
        </is>
      </c>
      <c r="D389" s="24" t="inlineStr">
        <is>
          <t>abov</t>
        </is>
      </c>
      <c r="E389" s="24" t="inlineStr">
        <is>
          <t>102120</t>
        </is>
      </c>
      <c r="F389" s="24" t="inlineStr">
        <is>
          <t>2023</t>
        </is>
      </c>
      <c r="G389" s="24" t="inlineStr">
        <is>
          <t>CFS</t>
        </is>
      </c>
      <c r="H389" s="24" t="inlineStr">
        <is>
          <t>BS</t>
        </is>
      </c>
      <c r="I389" s="24" t="inlineStr">
        <is>
          <t>재무상태표</t>
        </is>
      </c>
      <c r="J389" s="24" t="inlineStr">
        <is>
          <t>ifrs-full_OtherNoncurrentAssets</t>
        </is>
      </c>
      <c r="K389" s="24" t="inlineStr">
        <is>
          <t>기타비유동자산</t>
        </is>
      </c>
      <c r="L389" s="24" t="inlineStr">
        <is>
          <t>-</t>
        </is>
      </c>
      <c r="M389" s="24" t="inlineStr">
        <is>
          <t>제 18 기</t>
        </is>
      </c>
      <c r="N389" s="24" t="inlineStr">
        <is>
          <t>321099353.0</t>
        </is>
      </c>
      <c r="O389" s="24" t="inlineStr">
        <is>
          <t>889620568.0</t>
        </is>
      </c>
      <c r="P389" s="24" t="inlineStr">
        <is>
          <t>KRW</t>
        </is>
      </c>
      <c r="Q389" s="24" t="inlineStr">
        <is>
          <t>24</t>
        </is>
      </c>
    </row>
    <row r="390" ht="24" customHeight="1">
      <c r="A390" s="29" t="inlineStr">
        <is>
          <t>OpenDART_fnlttSinglAcntAll</t>
        </is>
      </c>
      <c r="B390" s="29" t="inlineStr">
        <is>
          <t>00591441</t>
        </is>
      </c>
      <c r="C390" s="29" t="inlineStr">
        <is>
          <t>어보브반도체</t>
        </is>
      </c>
      <c r="D390" s="29" t="inlineStr">
        <is>
          <t>abov</t>
        </is>
      </c>
      <c r="E390" s="29" t="inlineStr">
        <is>
          <t>102120</t>
        </is>
      </c>
      <c r="F390" s="29" t="inlineStr">
        <is>
          <t>2023</t>
        </is>
      </c>
      <c r="G390" s="29" t="inlineStr">
        <is>
          <t>CFS</t>
        </is>
      </c>
      <c r="H390" s="29" t="inlineStr">
        <is>
          <t>BS</t>
        </is>
      </c>
      <c r="I390" s="29" t="inlineStr">
        <is>
          <t>재무상태표</t>
        </is>
      </c>
      <c r="J390" s="29" t="inlineStr">
        <is>
          <t>ifrs-full_OtherNoncurrentFinancialAssets</t>
        </is>
      </c>
      <c r="K390" s="29" t="inlineStr">
        <is>
          <t>기타비유동금융자산</t>
        </is>
      </c>
      <c r="L390" s="29" t="inlineStr">
        <is>
          <t>-</t>
        </is>
      </c>
      <c r="M390" s="29" t="inlineStr">
        <is>
          <t>제 18 기</t>
        </is>
      </c>
      <c r="N390" s="29" t="inlineStr">
        <is>
          <t>2988744326.0</t>
        </is>
      </c>
      <c r="O390" s="29" t="inlineStr">
        <is>
          <t>3025603216.0</t>
        </is>
      </c>
      <c r="P390" s="29" t="inlineStr">
        <is>
          <t>KRW</t>
        </is>
      </c>
      <c r="Q390" s="29" t="inlineStr">
        <is>
          <t>25</t>
        </is>
      </c>
    </row>
    <row r="391" ht="24" customHeight="1">
      <c r="A391" s="24" t="inlineStr">
        <is>
          <t>OpenDART_fnlttSinglAcntAll</t>
        </is>
      </c>
      <c r="B391" s="24" t="inlineStr">
        <is>
          <t>00591441</t>
        </is>
      </c>
      <c r="C391" s="24" t="inlineStr">
        <is>
          <t>어보브반도체</t>
        </is>
      </c>
      <c r="D391" s="24" t="inlineStr">
        <is>
          <t>abov</t>
        </is>
      </c>
      <c r="E391" s="24" t="inlineStr">
        <is>
          <t>102120</t>
        </is>
      </c>
      <c r="F391" s="24" t="inlineStr">
        <is>
          <t>2023</t>
        </is>
      </c>
      <c r="G391" s="24" t="inlineStr">
        <is>
          <t>CFS</t>
        </is>
      </c>
      <c r="H391" s="24" t="inlineStr">
        <is>
          <t>BS</t>
        </is>
      </c>
      <c r="I391" s="24" t="inlineStr">
        <is>
          <t>재무상태표</t>
        </is>
      </c>
      <c r="J391" s="24" t="inlineStr">
        <is>
          <t>ifrs-full_PropertyPlantAndEquipment</t>
        </is>
      </c>
      <c r="K391" s="24" t="inlineStr">
        <is>
          <t>유형자산</t>
        </is>
      </c>
      <c r="L391" s="24" t="inlineStr">
        <is>
          <t>-</t>
        </is>
      </c>
      <c r="M391" s="24" t="inlineStr">
        <is>
          <t>제 18 기</t>
        </is>
      </c>
      <c r="N391" s="24" t="inlineStr">
        <is>
          <t>128571175543.0</t>
        </is>
      </c>
      <c r="O391" s="24" t="inlineStr">
        <is>
          <t>146466371441.0</t>
        </is>
      </c>
      <c r="P391" s="24" t="inlineStr">
        <is>
          <t>KRW</t>
        </is>
      </c>
      <c r="Q391" s="24" t="inlineStr">
        <is>
          <t>26</t>
        </is>
      </c>
    </row>
    <row r="392" ht="24" customHeight="1">
      <c r="A392" s="29" t="inlineStr">
        <is>
          <t>OpenDART_fnlttSinglAcntAll</t>
        </is>
      </c>
      <c r="B392" s="29" t="inlineStr">
        <is>
          <t>00591441</t>
        </is>
      </c>
      <c r="C392" s="29" t="inlineStr">
        <is>
          <t>어보브반도체</t>
        </is>
      </c>
      <c r="D392" s="29" t="inlineStr">
        <is>
          <t>abov</t>
        </is>
      </c>
      <c r="E392" s="29" t="inlineStr">
        <is>
          <t>102120</t>
        </is>
      </c>
      <c r="F392" s="29" t="inlineStr">
        <is>
          <t>2023</t>
        </is>
      </c>
      <c r="G392" s="29" t="inlineStr">
        <is>
          <t>CFS</t>
        </is>
      </c>
      <c r="H392" s="29" t="inlineStr">
        <is>
          <t>BS</t>
        </is>
      </c>
      <c r="I392" s="29" t="inlineStr">
        <is>
          <t>재무상태표</t>
        </is>
      </c>
      <c r="J392" s="29" t="inlineStr">
        <is>
          <t>ifrs-full_RightofuseAssets</t>
        </is>
      </c>
      <c r="K392" s="29" t="inlineStr">
        <is>
          <t>사용권자산</t>
        </is>
      </c>
      <c r="L392" s="29" t="inlineStr">
        <is>
          <t>-</t>
        </is>
      </c>
      <c r="M392" s="29" t="inlineStr">
        <is>
          <t>제 18 기</t>
        </is>
      </c>
      <c r="N392" s="29" t="inlineStr">
        <is>
          <t>4322563599.0</t>
        </is>
      </c>
      <c r="O392" s="29" t="inlineStr">
        <is>
          <t>2128682729.0</t>
        </is>
      </c>
      <c r="P392" s="29" t="inlineStr">
        <is>
          <t>KRW</t>
        </is>
      </c>
      <c r="Q392" s="29" t="inlineStr">
        <is>
          <t>27</t>
        </is>
      </c>
    </row>
    <row r="393" ht="24" customHeight="1">
      <c r="A393" s="24" t="inlineStr">
        <is>
          <t>OpenDART_fnlttSinglAcntAll</t>
        </is>
      </c>
      <c r="B393" s="24" t="inlineStr">
        <is>
          <t>00591441</t>
        </is>
      </c>
      <c r="C393" s="24" t="inlineStr">
        <is>
          <t>어보브반도체</t>
        </is>
      </c>
      <c r="D393" s="24" t="inlineStr">
        <is>
          <t>abov</t>
        </is>
      </c>
      <c r="E393" s="24" t="inlineStr">
        <is>
          <t>102120</t>
        </is>
      </c>
      <c r="F393" s="24" t="inlineStr">
        <is>
          <t>2023</t>
        </is>
      </c>
      <c r="G393" s="24" t="inlineStr">
        <is>
          <t>CFS</t>
        </is>
      </c>
      <c r="H393" s="24" t="inlineStr">
        <is>
          <t>BS</t>
        </is>
      </c>
      <c r="I393" s="24" t="inlineStr">
        <is>
          <t>재무상태표</t>
        </is>
      </c>
      <c r="J393" s="24" t="inlineStr">
        <is>
          <t>ifrs-full_Equity</t>
        </is>
      </c>
      <c r="K393" s="24" t="inlineStr">
        <is>
          <t>자본총계</t>
        </is>
      </c>
      <c r="L393" s="24" t="inlineStr">
        <is>
          <t>-</t>
        </is>
      </c>
      <c r="M393" s="24" t="inlineStr">
        <is>
          <t>제 18 기</t>
        </is>
      </c>
      <c r="N393" s="24" t="inlineStr">
        <is>
          <t>140625984177.0</t>
        </is>
      </c>
      <c r="O393" s="24" t="inlineStr">
        <is>
          <t>173068584293.0</t>
        </is>
      </c>
      <c r="P393" s="24" t="inlineStr">
        <is>
          <t>KRW</t>
        </is>
      </c>
      <c r="Q393" s="24" t="inlineStr">
        <is>
          <t>29</t>
        </is>
      </c>
    </row>
    <row r="394" ht="24" customHeight="1">
      <c r="A394" s="29" t="inlineStr">
        <is>
          <t>OpenDART_fnlttSinglAcntAll</t>
        </is>
      </c>
      <c r="B394" s="29" t="inlineStr">
        <is>
          <t>00591441</t>
        </is>
      </c>
      <c r="C394" s="29" t="inlineStr">
        <is>
          <t>어보브반도체</t>
        </is>
      </c>
      <c r="D394" s="29" t="inlineStr">
        <is>
          <t>abov</t>
        </is>
      </c>
      <c r="E394" s="29" t="inlineStr">
        <is>
          <t>102120</t>
        </is>
      </c>
      <c r="F394" s="29" t="inlineStr">
        <is>
          <t>2023</t>
        </is>
      </c>
      <c r="G394" s="29" t="inlineStr">
        <is>
          <t>CFS</t>
        </is>
      </c>
      <c r="H394" s="29" t="inlineStr">
        <is>
          <t>BS</t>
        </is>
      </c>
      <c r="I394" s="29" t="inlineStr">
        <is>
          <t>재무상태표</t>
        </is>
      </c>
      <c r="J394" s="29" t="inlineStr">
        <is>
          <t>ifrs-full_EquityAttributableToOwnersOfParent</t>
        </is>
      </c>
      <c r="K394" s="29" t="inlineStr">
        <is>
          <t>지배기업의 소유주에게 귀속되는 자본</t>
        </is>
      </c>
      <c r="L394" s="29" t="inlineStr">
        <is>
          <t>-</t>
        </is>
      </c>
      <c r="M394" s="29" t="inlineStr">
        <is>
          <t>제 18 기</t>
        </is>
      </c>
      <c r="N394" s="29" t="inlineStr">
        <is>
          <t>104968188989.0</t>
        </is>
      </c>
      <c r="O394" s="29" t="inlineStr">
        <is>
          <t>120976944892.0</t>
        </is>
      </c>
      <c r="P394" s="29" t="inlineStr">
        <is>
          <t>KRW</t>
        </is>
      </c>
      <c r="Q394" s="29" t="inlineStr">
        <is>
          <t>30</t>
        </is>
      </c>
    </row>
    <row r="395" ht="24" customHeight="1">
      <c r="A395" s="24" t="inlineStr">
        <is>
          <t>OpenDART_fnlttSinglAcntAll</t>
        </is>
      </c>
      <c r="B395" s="24" t="inlineStr">
        <is>
          <t>00591441</t>
        </is>
      </c>
      <c r="C395" s="24" t="inlineStr">
        <is>
          <t>어보브반도체</t>
        </is>
      </c>
      <c r="D395" s="24" t="inlineStr">
        <is>
          <t>abov</t>
        </is>
      </c>
      <c r="E395" s="24" t="inlineStr">
        <is>
          <t>102120</t>
        </is>
      </c>
      <c r="F395" s="24" t="inlineStr">
        <is>
          <t>2023</t>
        </is>
      </c>
      <c r="G395" s="24" t="inlineStr">
        <is>
          <t>CFS</t>
        </is>
      </c>
      <c r="H395" s="24" t="inlineStr">
        <is>
          <t>BS</t>
        </is>
      </c>
      <c r="I395" s="24" t="inlineStr">
        <is>
          <t>재무상태표</t>
        </is>
      </c>
      <c r="J395" s="24" t="inlineStr">
        <is>
          <t>dart_CapitalSurplus</t>
        </is>
      </c>
      <c r="K395" s="24" t="inlineStr">
        <is>
          <t>자본잉여금</t>
        </is>
      </c>
      <c r="L395" s="24" t="inlineStr">
        <is>
          <t>-</t>
        </is>
      </c>
      <c r="M395" s="24" t="inlineStr">
        <is>
          <t>제 18 기</t>
        </is>
      </c>
      <c r="N395" s="24" t="inlineStr">
        <is>
          <t>26421998151.0</t>
        </is>
      </c>
      <c r="O395" s="24" t="inlineStr">
        <is>
          <t>26421998151.0</t>
        </is>
      </c>
      <c r="P395" s="24" t="inlineStr">
        <is>
          <t>KRW</t>
        </is>
      </c>
      <c r="Q395" s="24" t="inlineStr">
        <is>
          <t>31</t>
        </is>
      </c>
    </row>
    <row r="396" ht="24" customHeight="1">
      <c r="A396" s="29" t="inlineStr">
        <is>
          <t>OpenDART_fnlttSinglAcntAll</t>
        </is>
      </c>
      <c r="B396" s="29" t="inlineStr">
        <is>
          <t>00591441</t>
        </is>
      </c>
      <c r="C396" s="29" t="inlineStr">
        <is>
          <t>어보브반도체</t>
        </is>
      </c>
      <c r="D396" s="29" t="inlineStr">
        <is>
          <t>abov</t>
        </is>
      </c>
      <c r="E396" s="29" t="inlineStr">
        <is>
          <t>102120</t>
        </is>
      </c>
      <c r="F396" s="29" t="inlineStr">
        <is>
          <t>2023</t>
        </is>
      </c>
      <c r="G396" s="29" t="inlineStr">
        <is>
          <t>CFS</t>
        </is>
      </c>
      <c r="H396" s="29" t="inlineStr">
        <is>
          <t>BS</t>
        </is>
      </c>
      <c r="I396" s="29" t="inlineStr">
        <is>
          <t>재무상태표</t>
        </is>
      </c>
      <c r="J396" s="29" t="inlineStr">
        <is>
          <t>dart_OtherCapitalAdjustments</t>
        </is>
      </c>
      <c r="K396" s="29" t="inlineStr">
        <is>
          <t>기타자본항목</t>
        </is>
      </c>
      <c r="L396" s="29" t="inlineStr">
        <is>
          <t>-</t>
        </is>
      </c>
      <c r="M396" s="29" t="inlineStr">
        <is>
          <t>제 18 기</t>
        </is>
      </c>
      <c r="N396" s="29" t="inlineStr">
        <is>
          <t>-6481281732.0</t>
        </is>
      </c>
      <c r="O396" s="29" t="inlineStr">
        <is>
          <t>-7414053960.0</t>
        </is>
      </c>
      <c r="P396" s="29" t="inlineStr">
        <is>
          <t>KRW</t>
        </is>
      </c>
      <c r="Q396" s="29" t="inlineStr">
        <is>
          <t>32</t>
        </is>
      </c>
    </row>
    <row r="397" ht="24" customHeight="1">
      <c r="A397" s="24" t="inlineStr">
        <is>
          <t>OpenDART_fnlttSinglAcntAll</t>
        </is>
      </c>
      <c r="B397" s="24" t="inlineStr">
        <is>
          <t>00591441</t>
        </is>
      </c>
      <c r="C397" s="24" t="inlineStr">
        <is>
          <t>어보브반도체</t>
        </is>
      </c>
      <c r="D397" s="24" t="inlineStr">
        <is>
          <t>abov</t>
        </is>
      </c>
      <c r="E397" s="24" t="inlineStr">
        <is>
          <t>102120</t>
        </is>
      </c>
      <c r="F397" s="24" t="inlineStr">
        <is>
          <t>2023</t>
        </is>
      </c>
      <c r="G397" s="24" t="inlineStr">
        <is>
          <t>CFS</t>
        </is>
      </c>
      <c r="H397" s="24" t="inlineStr">
        <is>
          <t>BS</t>
        </is>
      </c>
      <c r="I397" s="24" t="inlineStr">
        <is>
          <t>재무상태표</t>
        </is>
      </c>
      <c r="J397" s="24" t="inlineStr">
        <is>
          <t>dart_OtherComprehensiveIncomeLossAccumulatedAmount</t>
        </is>
      </c>
      <c r="K397" s="24" t="inlineStr">
        <is>
          <t>기타포괄손익누계액</t>
        </is>
      </c>
      <c r="L397" s="24" t="inlineStr">
        <is>
          <t>-</t>
        </is>
      </c>
      <c r="M397" s="24" t="inlineStr">
        <is>
          <t>제 18 기</t>
        </is>
      </c>
      <c r="N397" s="24" t="inlineStr">
        <is>
          <t>-922346725.0</t>
        </is>
      </c>
      <c r="O397" s="24" t="inlineStr">
        <is>
          <t>-676650161.0</t>
        </is>
      </c>
      <c r="P397" s="24" t="inlineStr">
        <is>
          <t>KRW</t>
        </is>
      </c>
      <c r="Q397" s="24" t="inlineStr">
        <is>
          <t>33</t>
        </is>
      </c>
    </row>
    <row r="398" ht="24" customHeight="1">
      <c r="A398" s="29" t="inlineStr">
        <is>
          <t>OpenDART_fnlttSinglAcntAll</t>
        </is>
      </c>
      <c r="B398" s="29" t="inlineStr">
        <is>
          <t>00591441</t>
        </is>
      </c>
      <c r="C398" s="29" t="inlineStr">
        <is>
          <t>어보브반도체</t>
        </is>
      </c>
      <c r="D398" s="29" t="inlineStr">
        <is>
          <t>abov</t>
        </is>
      </c>
      <c r="E398" s="29" t="inlineStr">
        <is>
          <t>102120</t>
        </is>
      </c>
      <c r="F398" s="29" t="inlineStr">
        <is>
          <t>2023</t>
        </is>
      </c>
      <c r="G398" s="29" t="inlineStr">
        <is>
          <t>CFS</t>
        </is>
      </c>
      <c r="H398" s="29" t="inlineStr">
        <is>
          <t>BS</t>
        </is>
      </c>
      <c r="I398" s="29" t="inlineStr">
        <is>
          <t>재무상태표</t>
        </is>
      </c>
      <c r="J398" s="29" t="inlineStr">
        <is>
          <t>ifrs-full_IssuedCapital</t>
        </is>
      </c>
      <c r="K398" s="29" t="inlineStr">
        <is>
          <t>자본금</t>
        </is>
      </c>
      <c r="L398" s="29" t="inlineStr">
        <is>
          <t>-</t>
        </is>
      </c>
      <c r="M398" s="29" t="inlineStr">
        <is>
          <t>제 18 기</t>
        </is>
      </c>
      <c r="N398" s="29" t="inlineStr">
        <is>
          <t>8890376500.0</t>
        </is>
      </c>
      <c r="O398" s="29" t="inlineStr">
        <is>
          <t>8890376500.0</t>
        </is>
      </c>
      <c r="P398" s="29" t="inlineStr">
        <is>
          <t>KRW</t>
        </is>
      </c>
      <c r="Q398" s="29" t="inlineStr">
        <is>
          <t>34</t>
        </is>
      </c>
    </row>
    <row r="399" ht="24" customHeight="1">
      <c r="A399" s="24" t="inlineStr">
        <is>
          <t>OpenDART_fnlttSinglAcntAll</t>
        </is>
      </c>
      <c r="B399" s="24" t="inlineStr">
        <is>
          <t>00591441</t>
        </is>
      </c>
      <c r="C399" s="24" t="inlineStr">
        <is>
          <t>어보브반도체</t>
        </is>
      </c>
      <c r="D399" s="24" t="inlineStr">
        <is>
          <t>abov</t>
        </is>
      </c>
      <c r="E399" s="24" t="inlineStr">
        <is>
          <t>102120</t>
        </is>
      </c>
      <c r="F399" s="24" t="inlineStr">
        <is>
          <t>2023</t>
        </is>
      </c>
      <c r="G399" s="24" t="inlineStr">
        <is>
          <t>CFS</t>
        </is>
      </c>
      <c r="H399" s="24" t="inlineStr">
        <is>
          <t>BS</t>
        </is>
      </c>
      <c r="I399" s="24" t="inlineStr">
        <is>
          <t>재무상태표</t>
        </is>
      </c>
      <c r="J399" s="24" t="inlineStr">
        <is>
          <t>ifrs-full_RetainedEarnings</t>
        </is>
      </c>
      <c r="K399" s="24" t="inlineStr">
        <is>
          <t>이익잉여금(결손금)</t>
        </is>
      </c>
      <c r="L399" s="24" t="inlineStr">
        <is>
          <t>-</t>
        </is>
      </c>
      <c r="M399" s="24" t="inlineStr">
        <is>
          <t>제 18 기</t>
        </is>
      </c>
      <c r="N399" s="24" t="inlineStr">
        <is>
          <t>77059442795.0</t>
        </is>
      </c>
      <c r="O399" s="24" t="inlineStr">
        <is>
          <t>93755274362.0</t>
        </is>
      </c>
      <c r="P399" s="24" t="inlineStr">
        <is>
          <t>KRW</t>
        </is>
      </c>
      <c r="Q399" s="24" t="inlineStr">
        <is>
          <t>35</t>
        </is>
      </c>
    </row>
    <row r="400" ht="24" customHeight="1">
      <c r="A400" s="29" t="inlineStr">
        <is>
          <t>OpenDART_fnlttSinglAcntAll</t>
        </is>
      </c>
      <c r="B400" s="29" t="inlineStr">
        <is>
          <t>00591441</t>
        </is>
      </c>
      <c r="C400" s="29" t="inlineStr">
        <is>
          <t>어보브반도체</t>
        </is>
      </c>
      <c r="D400" s="29" t="inlineStr">
        <is>
          <t>abov</t>
        </is>
      </c>
      <c r="E400" s="29" t="inlineStr">
        <is>
          <t>102120</t>
        </is>
      </c>
      <c r="F400" s="29" t="inlineStr">
        <is>
          <t>2023</t>
        </is>
      </c>
      <c r="G400" s="29" t="inlineStr">
        <is>
          <t>CFS</t>
        </is>
      </c>
      <c r="H400" s="29" t="inlineStr">
        <is>
          <t>BS</t>
        </is>
      </c>
      <c r="I400" s="29" t="inlineStr">
        <is>
          <t>재무상태표</t>
        </is>
      </c>
      <c r="J400" s="29" t="inlineStr">
        <is>
          <t>ifrs-full_NoncontrollingInterests</t>
        </is>
      </c>
      <c r="K400" s="29" t="inlineStr">
        <is>
          <t>비지배지분</t>
        </is>
      </c>
      <c r="L400" s="29" t="inlineStr">
        <is>
          <t>-</t>
        </is>
      </c>
      <c r="M400" s="29" t="inlineStr">
        <is>
          <t>제 18 기</t>
        </is>
      </c>
      <c r="N400" s="29" t="inlineStr">
        <is>
          <t>35657795188.0</t>
        </is>
      </c>
      <c r="O400" s="29" t="inlineStr">
        <is>
          <t>52091639401.0</t>
        </is>
      </c>
      <c r="P400" s="29" t="inlineStr">
        <is>
          <t>KRW</t>
        </is>
      </c>
      <c r="Q400" s="29" t="inlineStr">
        <is>
          <t>36</t>
        </is>
      </c>
    </row>
    <row r="401" ht="24" customHeight="1">
      <c r="A401" s="24" t="inlineStr">
        <is>
          <t>OpenDART_fnlttSinglAcntAll</t>
        </is>
      </c>
      <c r="B401" s="24" t="inlineStr">
        <is>
          <t>00591441</t>
        </is>
      </c>
      <c r="C401" s="24" t="inlineStr">
        <is>
          <t>어보브반도체</t>
        </is>
      </c>
      <c r="D401" s="24" t="inlineStr">
        <is>
          <t>abov</t>
        </is>
      </c>
      <c r="E401" s="24" t="inlineStr">
        <is>
          <t>102120</t>
        </is>
      </c>
      <c r="F401" s="24" t="inlineStr">
        <is>
          <t>2023</t>
        </is>
      </c>
      <c r="G401" s="24" t="inlineStr">
        <is>
          <t>CFS</t>
        </is>
      </c>
      <c r="H401" s="24" t="inlineStr">
        <is>
          <t>BS</t>
        </is>
      </c>
      <c r="I401" s="24" t="inlineStr">
        <is>
          <t>재무상태표</t>
        </is>
      </c>
      <c r="J401" s="24" t="inlineStr">
        <is>
          <t>ifrs-full_EquityAndLiabilities</t>
        </is>
      </c>
      <c r="K401" s="24" t="inlineStr">
        <is>
          <t>자본과부채총계</t>
        </is>
      </c>
      <c r="L401" s="24" t="inlineStr">
        <is>
          <t>-</t>
        </is>
      </c>
      <c r="M401" s="24" t="inlineStr">
        <is>
          <t>제 18 기</t>
        </is>
      </c>
      <c r="N401" s="24" t="inlineStr">
        <is>
          <t>288316792095.0</t>
        </is>
      </c>
      <c r="O401" s="24" t="inlineStr">
        <is>
          <t>331531563148.0</t>
        </is>
      </c>
      <c r="P401" s="24" t="inlineStr">
        <is>
          <t>KRW</t>
        </is>
      </c>
      <c r="Q401" s="24" t="inlineStr">
        <is>
          <t>37</t>
        </is>
      </c>
    </row>
    <row r="402" ht="24" customHeight="1">
      <c r="A402" s="29" t="inlineStr">
        <is>
          <t>OpenDART_fnlttSinglAcntAll</t>
        </is>
      </c>
      <c r="B402" s="29" t="inlineStr">
        <is>
          <t>00591441</t>
        </is>
      </c>
      <c r="C402" s="29" t="inlineStr">
        <is>
          <t>어보브반도체</t>
        </is>
      </c>
      <c r="D402" s="29" t="inlineStr">
        <is>
          <t>abov</t>
        </is>
      </c>
      <c r="E402" s="29" t="inlineStr">
        <is>
          <t>102120</t>
        </is>
      </c>
      <c r="F402" s="29" t="inlineStr">
        <is>
          <t>2023</t>
        </is>
      </c>
      <c r="G402" s="29" t="inlineStr">
        <is>
          <t>CFS</t>
        </is>
      </c>
      <c r="H402" s="29" t="inlineStr">
        <is>
          <t>BS</t>
        </is>
      </c>
      <c r="I402" s="29" t="inlineStr">
        <is>
          <t>재무상태표</t>
        </is>
      </c>
      <c r="J402" s="29" t="inlineStr">
        <is>
          <t>ifrs-full_CurrentLiabilities</t>
        </is>
      </c>
      <c r="K402" s="29" t="inlineStr">
        <is>
          <t>유동부채</t>
        </is>
      </c>
      <c r="L402" s="29" t="inlineStr">
        <is>
          <t>-</t>
        </is>
      </c>
      <c r="M402" s="29" t="inlineStr">
        <is>
          <t>제 18 기</t>
        </is>
      </c>
      <c r="N402" s="29" t="inlineStr">
        <is>
          <t>108876239011.0</t>
        </is>
      </c>
      <c r="O402" s="29" t="inlineStr">
        <is>
          <t>127749153276.0</t>
        </is>
      </c>
      <c r="P402" s="29" t="inlineStr">
        <is>
          <t>KRW</t>
        </is>
      </c>
      <c r="Q402" s="29" t="inlineStr">
        <is>
          <t>39</t>
        </is>
      </c>
    </row>
    <row r="403" ht="24" customHeight="1">
      <c r="A403" s="24" t="inlineStr">
        <is>
          <t>OpenDART_fnlttSinglAcntAll</t>
        </is>
      </c>
      <c r="B403" s="24" t="inlineStr">
        <is>
          <t>00591441</t>
        </is>
      </c>
      <c r="C403" s="24" t="inlineStr">
        <is>
          <t>어보브반도체</t>
        </is>
      </c>
      <c r="D403" s="24" t="inlineStr">
        <is>
          <t>abov</t>
        </is>
      </c>
      <c r="E403" s="24" t="inlineStr">
        <is>
          <t>102120</t>
        </is>
      </c>
      <c r="F403" s="24" t="inlineStr">
        <is>
          <t>2023</t>
        </is>
      </c>
      <c r="G403" s="24" t="inlineStr">
        <is>
          <t>CFS</t>
        </is>
      </c>
      <c r="H403" s="24" t="inlineStr">
        <is>
          <t>BS</t>
        </is>
      </c>
      <c r="I403" s="24" t="inlineStr">
        <is>
          <t>재무상태표</t>
        </is>
      </c>
      <c r="J403" s="24" t="inlineStr">
        <is>
          <t>dart_CurrentPortionOfConvertibleBonds</t>
        </is>
      </c>
      <c r="K403" s="24" t="inlineStr">
        <is>
          <t>유동성전환사채</t>
        </is>
      </c>
      <c r="L403" s="24" t="inlineStr">
        <is>
          <t>-</t>
        </is>
      </c>
      <c r="M403" s="24" t="inlineStr">
        <is>
          <t>제 18 기</t>
        </is>
      </c>
      <c r="N403" s="24" t="inlineStr">
        <is>
          <t>0.0</t>
        </is>
      </c>
      <c r="O403" s="24" t="inlineStr">
        <is>
          <t>4311792535.0</t>
        </is>
      </c>
      <c r="P403" s="24" t="inlineStr">
        <is>
          <t>KRW</t>
        </is>
      </c>
      <c r="Q403" s="24" t="inlineStr">
        <is>
          <t>40</t>
        </is>
      </c>
    </row>
    <row r="404" ht="24" customHeight="1">
      <c r="A404" s="29" t="inlineStr">
        <is>
          <t>OpenDART_fnlttSinglAcntAll</t>
        </is>
      </c>
      <c r="B404" s="29" t="inlineStr">
        <is>
          <t>00591441</t>
        </is>
      </c>
      <c r="C404" s="29" t="inlineStr">
        <is>
          <t>어보브반도체</t>
        </is>
      </c>
      <c r="D404" s="29" t="inlineStr">
        <is>
          <t>abov</t>
        </is>
      </c>
      <c r="E404" s="29" t="inlineStr">
        <is>
          <t>102120</t>
        </is>
      </c>
      <c r="F404" s="29" t="inlineStr">
        <is>
          <t>2023</t>
        </is>
      </c>
      <c r="G404" s="29" t="inlineStr">
        <is>
          <t>CFS</t>
        </is>
      </c>
      <c r="H404" s="29" t="inlineStr">
        <is>
          <t>BS</t>
        </is>
      </c>
      <c r="I404" s="29" t="inlineStr">
        <is>
          <t>재무상태표</t>
        </is>
      </c>
      <c r="J404" s="29" t="inlineStr">
        <is>
          <t>-표준계정코드 미사용-</t>
        </is>
      </c>
      <c r="K404" s="29" t="inlineStr">
        <is>
          <t>기타채무</t>
        </is>
      </c>
      <c r="L404" s="29" t="inlineStr">
        <is>
          <t>-</t>
        </is>
      </c>
      <c r="M404" s="29" t="inlineStr">
        <is>
          <t>제 18 기</t>
        </is>
      </c>
      <c r="N404" s="29" t="inlineStr">
        <is>
          <t>12106040788.0</t>
        </is>
      </c>
      <c r="O404" s="29" t="inlineStr">
        <is>
          <t>17989046161.0</t>
        </is>
      </c>
      <c r="P404" s="29" t="inlineStr">
        <is>
          <t>KRW</t>
        </is>
      </c>
      <c r="Q404" s="29" t="inlineStr">
        <is>
          <t>41</t>
        </is>
      </c>
    </row>
    <row r="405" ht="24" customHeight="1">
      <c r="A405" s="24" t="inlineStr">
        <is>
          <t>OpenDART_fnlttSinglAcntAll</t>
        </is>
      </c>
      <c r="B405" s="24" t="inlineStr">
        <is>
          <t>00591441</t>
        </is>
      </c>
      <c r="C405" s="24" t="inlineStr">
        <is>
          <t>어보브반도체</t>
        </is>
      </c>
      <c r="D405" s="24" t="inlineStr">
        <is>
          <t>abov</t>
        </is>
      </c>
      <c r="E405" s="24" t="inlineStr">
        <is>
          <t>102120</t>
        </is>
      </c>
      <c r="F405" s="24" t="inlineStr">
        <is>
          <t>2023</t>
        </is>
      </c>
      <c r="G405" s="24" t="inlineStr">
        <is>
          <t>CFS</t>
        </is>
      </c>
      <c r="H405" s="24" t="inlineStr">
        <is>
          <t>BS</t>
        </is>
      </c>
      <c r="I405" s="24" t="inlineStr">
        <is>
          <t>재무상태표</t>
        </is>
      </c>
      <c r="J405" s="24" t="inlineStr">
        <is>
          <t>ifrs-full_CurrentLeaseLiabilities</t>
        </is>
      </c>
      <c r="K405" s="24" t="inlineStr">
        <is>
          <t>유동 리스부채</t>
        </is>
      </c>
      <c r="L405" s="24" t="inlineStr">
        <is>
          <t>-</t>
        </is>
      </c>
      <c r="M405" s="24" t="inlineStr">
        <is>
          <t>제 18 기</t>
        </is>
      </c>
      <c r="N405" s="24" t="inlineStr">
        <is>
          <t>2794776786.0</t>
        </is>
      </c>
      <c r="O405" s="24" t="inlineStr">
        <is>
          <t>968281241.0</t>
        </is>
      </c>
      <c r="P405" s="24" t="inlineStr">
        <is>
          <t>KRW</t>
        </is>
      </c>
      <c r="Q405" s="24" t="inlineStr">
        <is>
          <t>42</t>
        </is>
      </c>
    </row>
    <row r="406" ht="24" customHeight="1">
      <c r="A406" s="29" t="inlineStr">
        <is>
          <t>OpenDART_fnlttSinglAcntAll</t>
        </is>
      </c>
      <c r="B406" s="29" t="inlineStr">
        <is>
          <t>00591441</t>
        </is>
      </c>
      <c r="C406" s="29" t="inlineStr">
        <is>
          <t>어보브반도체</t>
        </is>
      </c>
      <c r="D406" s="29" t="inlineStr">
        <is>
          <t>abov</t>
        </is>
      </c>
      <c r="E406" s="29" t="inlineStr">
        <is>
          <t>102120</t>
        </is>
      </c>
      <c r="F406" s="29" t="inlineStr">
        <is>
          <t>2023</t>
        </is>
      </c>
      <c r="G406" s="29" t="inlineStr">
        <is>
          <t>CFS</t>
        </is>
      </c>
      <c r="H406" s="29" t="inlineStr">
        <is>
          <t>BS</t>
        </is>
      </c>
      <c r="I406" s="29" t="inlineStr">
        <is>
          <t>재무상태표</t>
        </is>
      </c>
      <c r="J406" s="29" t="inlineStr">
        <is>
          <t>ifrs-full_CurrentPortionOfLongtermBorrowings</t>
        </is>
      </c>
      <c r="K406" s="29" t="inlineStr">
        <is>
          <t>유동성장기차입금</t>
        </is>
      </c>
      <c r="L406" s="29" t="inlineStr">
        <is>
          <t>-</t>
        </is>
      </c>
      <c r="M406" s="29" t="inlineStr">
        <is>
          <t>제 18 기</t>
        </is>
      </c>
      <c r="N406" s="29" t="inlineStr">
        <is>
          <t>13446564432.0</t>
        </is>
      </c>
      <c r="O406" s="29" t="inlineStr">
        <is>
          <t>13451199909.0</t>
        </is>
      </c>
      <c r="P406" s="29" t="inlineStr">
        <is>
          <t>KRW</t>
        </is>
      </c>
      <c r="Q406" s="29" t="inlineStr">
        <is>
          <t>43</t>
        </is>
      </c>
    </row>
    <row r="407" ht="24" customHeight="1">
      <c r="A407" s="24" t="inlineStr">
        <is>
          <t>OpenDART_fnlttSinglAcntAll</t>
        </is>
      </c>
      <c r="B407" s="24" t="inlineStr">
        <is>
          <t>00591441</t>
        </is>
      </c>
      <c r="C407" s="24" t="inlineStr">
        <is>
          <t>어보브반도체</t>
        </is>
      </c>
      <c r="D407" s="24" t="inlineStr">
        <is>
          <t>abov</t>
        </is>
      </c>
      <c r="E407" s="24" t="inlineStr">
        <is>
          <t>102120</t>
        </is>
      </c>
      <c r="F407" s="24" t="inlineStr">
        <is>
          <t>2023</t>
        </is>
      </c>
      <c r="G407" s="24" t="inlineStr">
        <is>
          <t>CFS</t>
        </is>
      </c>
      <c r="H407" s="24" t="inlineStr">
        <is>
          <t>BS</t>
        </is>
      </c>
      <c r="I407" s="24" t="inlineStr">
        <is>
          <t>재무상태표</t>
        </is>
      </c>
      <c r="J407" s="24" t="inlineStr">
        <is>
          <t>ifrs-full_CurrentTaxLiabilities</t>
        </is>
      </c>
      <c r="K407" s="24" t="inlineStr">
        <is>
          <t>당기법인세부채</t>
        </is>
      </c>
      <c r="L407" s="24" t="inlineStr">
        <is>
          <t>-</t>
        </is>
      </c>
      <c r="M407" s="24" t="inlineStr">
        <is>
          <t>제 18 기</t>
        </is>
      </c>
      <c r="N407" s="24" t="inlineStr">
        <is>
          <t>159278857.0</t>
        </is>
      </c>
      <c r="O407" s="24" t="inlineStr">
        <is>
          <t>3090465284.0</t>
        </is>
      </c>
      <c r="P407" s="24" t="inlineStr">
        <is>
          <t>KRW</t>
        </is>
      </c>
      <c r="Q407" s="24" t="inlineStr">
        <is>
          <t>44</t>
        </is>
      </c>
    </row>
    <row r="408" ht="24" customHeight="1">
      <c r="A408" s="29" t="inlineStr">
        <is>
          <t>OpenDART_fnlttSinglAcntAll</t>
        </is>
      </c>
      <c r="B408" s="29" t="inlineStr">
        <is>
          <t>00591441</t>
        </is>
      </c>
      <c r="C408" s="29" t="inlineStr">
        <is>
          <t>어보브반도체</t>
        </is>
      </c>
      <c r="D408" s="29" t="inlineStr">
        <is>
          <t>abov</t>
        </is>
      </c>
      <c r="E408" s="29" t="inlineStr">
        <is>
          <t>102120</t>
        </is>
      </c>
      <c r="F408" s="29" t="inlineStr">
        <is>
          <t>2023</t>
        </is>
      </c>
      <c r="G408" s="29" t="inlineStr">
        <is>
          <t>CFS</t>
        </is>
      </c>
      <c r="H408" s="29" t="inlineStr">
        <is>
          <t>BS</t>
        </is>
      </c>
      <c r="I408" s="29" t="inlineStr">
        <is>
          <t>재무상태표</t>
        </is>
      </c>
      <c r="J408" s="29" t="inlineStr">
        <is>
          <t>ifrs-full_OtherCurrentLiabilities</t>
        </is>
      </c>
      <c r="K408" s="29" t="inlineStr">
        <is>
          <t>기타 유동부채</t>
        </is>
      </c>
      <c r="L408" s="29" t="inlineStr">
        <is>
          <t>-</t>
        </is>
      </c>
      <c r="M408" s="29" t="inlineStr">
        <is>
          <t>제 18 기</t>
        </is>
      </c>
      <c r="N408" s="29" t="inlineStr">
        <is>
          <t>1034769665.0</t>
        </is>
      </c>
      <c r="O408" s="29" t="inlineStr">
        <is>
          <t>1169692822.0</t>
        </is>
      </c>
      <c r="P408" s="29" t="inlineStr">
        <is>
          <t>KRW</t>
        </is>
      </c>
      <c r="Q408" s="29" t="inlineStr">
        <is>
          <t>45</t>
        </is>
      </c>
    </row>
    <row r="409" ht="24" customHeight="1">
      <c r="A409" s="24" t="inlineStr">
        <is>
          <t>OpenDART_fnlttSinglAcntAll</t>
        </is>
      </c>
      <c r="B409" s="24" t="inlineStr">
        <is>
          <t>00591441</t>
        </is>
      </c>
      <c r="C409" s="24" t="inlineStr">
        <is>
          <t>어보브반도체</t>
        </is>
      </c>
      <c r="D409" s="24" t="inlineStr">
        <is>
          <t>abov</t>
        </is>
      </c>
      <c r="E409" s="24" t="inlineStr">
        <is>
          <t>102120</t>
        </is>
      </c>
      <c r="F409" s="24" t="inlineStr">
        <is>
          <t>2023</t>
        </is>
      </c>
      <c r="G409" s="24" t="inlineStr">
        <is>
          <t>CFS</t>
        </is>
      </c>
      <c r="H409" s="24" t="inlineStr">
        <is>
          <t>BS</t>
        </is>
      </c>
      <c r="I409" s="24" t="inlineStr">
        <is>
          <t>재무상태표</t>
        </is>
      </c>
      <c r="J409" s="24" t="inlineStr">
        <is>
          <t>ifrs-full_ShorttermBorrowings</t>
        </is>
      </c>
      <c r="K409" s="24" t="inlineStr">
        <is>
          <t>단기차입금</t>
        </is>
      </c>
      <c r="L409" s="24" t="inlineStr">
        <is>
          <t>-</t>
        </is>
      </c>
      <c r="M409" s="24" t="inlineStr">
        <is>
          <t>제 18 기</t>
        </is>
      </c>
      <c r="N409" s="24" t="inlineStr">
        <is>
          <t>67264000000.0</t>
        </is>
      </c>
      <c r="O409" s="24" t="inlineStr">
        <is>
          <t>62238339073.0</t>
        </is>
      </c>
      <c r="P409" s="24" t="inlineStr">
        <is>
          <t>KRW</t>
        </is>
      </c>
      <c r="Q409" s="24" t="inlineStr">
        <is>
          <t>46</t>
        </is>
      </c>
    </row>
    <row r="410" ht="24" customHeight="1">
      <c r="A410" s="29" t="inlineStr">
        <is>
          <t>OpenDART_fnlttSinglAcntAll</t>
        </is>
      </c>
      <c r="B410" s="29" t="inlineStr">
        <is>
          <t>00591441</t>
        </is>
      </c>
      <c r="C410" s="29" t="inlineStr">
        <is>
          <t>어보브반도체</t>
        </is>
      </c>
      <c r="D410" s="29" t="inlineStr">
        <is>
          <t>abov</t>
        </is>
      </c>
      <c r="E410" s="29" t="inlineStr">
        <is>
          <t>102120</t>
        </is>
      </c>
      <c r="F410" s="29" t="inlineStr">
        <is>
          <t>2023</t>
        </is>
      </c>
      <c r="G410" s="29" t="inlineStr">
        <is>
          <t>CFS</t>
        </is>
      </c>
      <c r="H410" s="29" t="inlineStr">
        <is>
          <t>BS</t>
        </is>
      </c>
      <c r="I410" s="29" t="inlineStr">
        <is>
          <t>재무상태표</t>
        </is>
      </c>
      <c r="J410" s="29" t="inlineStr">
        <is>
          <t>ifrs-full_TradeAndOtherCurrentPayables</t>
        </is>
      </c>
      <c r="K410" s="29" t="inlineStr">
        <is>
          <t>매입채무</t>
        </is>
      </c>
      <c r="L410" s="29" t="inlineStr">
        <is>
          <t>-</t>
        </is>
      </c>
      <c r="M410" s="29" t="inlineStr">
        <is>
          <t>제 18 기</t>
        </is>
      </c>
      <c r="N410" s="29" t="inlineStr">
        <is>
          <t>12070808483.0</t>
        </is>
      </c>
      <c r="O410" s="29" t="inlineStr">
        <is>
          <t>24530336251.0</t>
        </is>
      </c>
      <c r="P410" s="29" t="inlineStr">
        <is>
          <t>KRW</t>
        </is>
      </c>
      <c r="Q410" s="29" t="inlineStr">
        <is>
          <t>47</t>
        </is>
      </c>
    </row>
    <row r="411" ht="24" customHeight="1">
      <c r="A411" s="24" t="inlineStr">
        <is>
          <t>OpenDART_fnlttSinglAcntAll</t>
        </is>
      </c>
      <c r="B411" s="24" t="inlineStr">
        <is>
          <t>00591441</t>
        </is>
      </c>
      <c r="C411" s="24" t="inlineStr">
        <is>
          <t>어보브반도체</t>
        </is>
      </c>
      <c r="D411" s="24" t="inlineStr">
        <is>
          <t>abov</t>
        </is>
      </c>
      <c r="E411" s="24" t="inlineStr">
        <is>
          <t>102120</t>
        </is>
      </c>
      <c r="F411" s="24" t="inlineStr">
        <is>
          <t>2023</t>
        </is>
      </c>
      <c r="G411" s="24" t="inlineStr">
        <is>
          <t>CFS</t>
        </is>
      </c>
      <c r="H411" s="24" t="inlineStr">
        <is>
          <t>BS</t>
        </is>
      </c>
      <c r="I411" s="24" t="inlineStr">
        <is>
          <t>재무상태표</t>
        </is>
      </c>
      <c r="J411" s="24" t="inlineStr">
        <is>
          <t>ifrs-full_Liabilities</t>
        </is>
      </c>
      <c r="K411" s="24" t="inlineStr">
        <is>
          <t>부채총계</t>
        </is>
      </c>
      <c r="L411" s="24" t="inlineStr">
        <is>
          <t>-</t>
        </is>
      </c>
      <c r="M411" s="24" t="inlineStr">
        <is>
          <t>제 18 기</t>
        </is>
      </c>
      <c r="N411" s="24" t="inlineStr">
        <is>
          <t>147690807918.0</t>
        </is>
      </c>
      <c r="O411" s="24" t="inlineStr">
        <is>
          <t>158462978855.0</t>
        </is>
      </c>
      <c r="P411" s="24" t="inlineStr">
        <is>
          <t>KRW</t>
        </is>
      </c>
      <c r="Q411" s="24" t="inlineStr">
        <is>
          <t>48</t>
        </is>
      </c>
    </row>
    <row r="412" ht="24" customHeight="1">
      <c r="A412" s="29" t="inlineStr">
        <is>
          <t>OpenDART_fnlttSinglAcntAll</t>
        </is>
      </c>
      <c r="B412" s="29" t="inlineStr">
        <is>
          <t>00591441</t>
        </is>
      </c>
      <c r="C412" s="29" t="inlineStr">
        <is>
          <t>어보브반도체</t>
        </is>
      </c>
      <c r="D412" s="29" t="inlineStr">
        <is>
          <t>abov</t>
        </is>
      </c>
      <c r="E412" s="29" t="inlineStr">
        <is>
          <t>102120</t>
        </is>
      </c>
      <c r="F412" s="29" t="inlineStr">
        <is>
          <t>2023</t>
        </is>
      </c>
      <c r="G412" s="29" t="inlineStr">
        <is>
          <t>CFS</t>
        </is>
      </c>
      <c r="H412" s="29" t="inlineStr">
        <is>
          <t>BS</t>
        </is>
      </c>
      <c r="I412" s="29" t="inlineStr">
        <is>
          <t>재무상태표</t>
        </is>
      </c>
      <c r="J412" s="29" t="inlineStr">
        <is>
          <t>ifrs-full_NoncurrentLiabilities</t>
        </is>
      </c>
      <c r="K412" s="29" t="inlineStr">
        <is>
          <t>비유동부채</t>
        </is>
      </c>
      <c r="L412" s="29" t="inlineStr">
        <is>
          <t>-</t>
        </is>
      </c>
      <c r="M412" s="29" t="inlineStr">
        <is>
          <t>제 18 기</t>
        </is>
      </c>
      <c r="N412" s="29" t="inlineStr">
        <is>
          <t>38814568907.0</t>
        </is>
      </c>
      <c r="O412" s="29" t="inlineStr">
        <is>
          <t>30713825579.0</t>
        </is>
      </c>
      <c r="P412" s="29" t="inlineStr">
        <is>
          <t>KRW</t>
        </is>
      </c>
      <c r="Q412" s="29" t="inlineStr">
        <is>
          <t>49</t>
        </is>
      </c>
    </row>
    <row r="413" ht="24" customHeight="1">
      <c r="A413" s="24" t="inlineStr">
        <is>
          <t>OpenDART_fnlttSinglAcntAll</t>
        </is>
      </c>
      <c r="B413" s="24" t="inlineStr">
        <is>
          <t>00591441</t>
        </is>
      </c>
      <c r="C413" s="24" t="inlineStr">
        <is>
          <t>어보브반도체</t>
        </is>
      </c>
      <c r="D413" s="24" t="inlineStr">
        <is>
          <t>abov</t>
        </is>
      </c>
      <c r="E413" s="24" t="inlineStr">
        <is>
          <t>102120</t>
        </is>
      </c>
      <c r="F413" s="24" t="inlineStr">
        <is>
          <t>2023</t>
        </is>
      </c>
      <c r="G413" s="24" t="inlineStr">
        <is>
          <t>CFS</t>
        </is>
      </c>
      <c r="H413" s="24" t="inlineStr">
        <is>
          <t>BS</t>
        </is>
      </c>
      <c r="I413" s="24" t="inlineStr">
        <is>
          <t>재무상태표</t>
        </is>
      </c>
      <c r="J413" s="24" t="inlineStr">
        <is>
          <t>dart_LongTermBorrowingsGross</t>
        </is>
      </c>
      <c r="K413" s="24" t="inlineStr">
        <is>
          <t>장기차입금</t>
        </is>
      </c>
      <c r="L413" s="24" t="inlineStr">
        <is>
          <t>-</t>
        </is>
      </c>
      <c r="M413" s="24" t="inlineStr">
        <is>
          <t>제 18 기</t>
        </is>
      </c>
      <c r="N413" s="24" t="inlineStr">
        <is>
          <t>23282157154.0</t>
        </is>
      </c>
      <c r="O413" s="24" t="inlineStr">
        <is>
          <t>28845885868.0</t>
        </is>
      </c>
      <c r="P413" s="24" t="inlineStr">
        <is>
          <t>KRW</t>
        </is>
      </c>
      <c r="Q413" s="24" t="inlineStr">
        <is>
          <t>50</t>
        </is>
      </c>
    </row>
    <row r="414" ht="24" customHeight="1">
      <c r="A414" s="29" t="inlineStr">
        <is>
          <t>OpenDART_fnlttSinglAcntAll</t>
        </is>
      </c>
      <c r="B414" s="29" t="inlineStr">
        <is>
          <t>00591441</t>
        </is>
      </c>
      <c r="C414" s="29" t="inlineStr">
        <is>
          <t>어보브반도체</t>
        </is>
      </c>
      <c r="D414" s="29" t="inlineStr">
        <is>
          <t>abov</t>
        </is>
      </c>
      <c r="E414" s="29" t="inlineStr">
        <is>
          <t>102120</t>
        </is>
      </c>
      <c r="F414" s="29" t="inlineStr">
        <is>
          <t>2023</t>
        </is>
      </c>
      <c r="G414" s="29" t="inlineStr">
        <is>
          <t>CFS</t>
        </is>
      </c>
      <c r="H414" s="29" t="inlineStr">
        <is>
          <t>BS</t>
        </is>
      </c>
      <c r="I414" s="29" t="inlineStr">
        <is>
          <t>재무상태표</t>
        </is>
      </c>
      <c r="J414" s="29" t="inlineStr">
        <is>
          <t>dart_PresentValueOfDefinedBenefitObligation</t>
        </is>
      </c>
      <c r="K414" s="29" t="inlineStr">
        <is>
          <t>순확정급여채무</t>
        </is>
      </c>
      <c r="L414" s="29" t="inlineStr">
        <is>
          <t>-</t>
        </is>
      </c>
      <c r="M414" s="29" t="inlineStr">
        <is>
          <t>제 18 기</t>
        </is>
      </c>
      <c r="N414" s="29" t="inlineStr">
        <is>
          <t>38723530.0</t>
        </is>
      </c>
      <c r="O414" s="29" t="inlineStr">
        <is>
          <t>0.0</t>
        </is>
      </c>
      <c r="P414" s="29" t="inlineStr">
        <is>
          <t>KRW</t>
        </is>
      </c>
      <c r="Q414" s="29" t="inlineStr">
        <is>
          <t>51</t>
        </is>
      </c>
    </row>
    <row r="415" ht="24" customHeight="1">
      <c r="A415" s="24" t="inlineStr">
        <is>
          <t>OpenDART_fnlttSinglAcntAll</t>
        </is>
      </c>
      <c r="B415" s="24" t="inlineStr">
        <is>
          <t>00591441</t>
        </is>
      </c>
      <c r="C415" s="24" t="inlineStr">
        <is>
          <t>어보브반도체</t>
        </is>
      </c>
      <c r="D415" s="24" t="inlineStr">
        <is>
          <t>abov</t>
        </is>
      </c>
      <c r="E415" s="24" t="inlineStr">
        <is>
          <t>102120</t>
        </is>
      </c>
      <c r="F415" s="24" t="inlineStr">
        <is>
          <t>2023</t>
        </is>
      </c>
      <c r="G415" s="24" t="inlineStr">
        <is>
          <t>CFS</t>
        </is>
      </c>
      <c r="H415" s="24" t="inlineStr">
        <is>
          <t>BS</t>
        </is>
      </c>
      <c r="I415" s="24" t="inlineStr">
        <is>
          <t>재무상태표</t>
        </is>
      </c>
      <c r="J415" s="24" t="inlineStr">
        <is>
          <t>-표준계정코드 미사용-</t>
        </is>
      </c>
      <c r="K415" s="24" t="inlineStr">
        <is>
          <t>전환사채 및 신주인수권부사채</t>
        </is>
      </c>
      <c r="L415" s="24" t="inlineStr">
        <is>
          <t>-</t>
        </is>
      </c>
      <c r="M415" s="24" t="inlineStr">
        <is>
          <t>제 18 기</t>
        </is>
      </c>
      <c r="N415" s="24" t="inlineStr">
        <is>
          <t>8514214079.0</t>
        </is>
      </c>
      <c r="O415" s="24" t="inlineStr">
        <is>
          <t>해당 없음</t>
        </is>
      </c>
      <c r="P415" s="24" t="inlineStr">
        <is>
          <t>KRW</t>
        </is>
      </c>
      <c r="Q415" s="24" t="inlineStr">
        <is>
          <t>52</t>
        </is>
      </c>
    </row>
    <row r="416" ht="24" customHeight="1">
      <c r="A416" s="29" t="inlineStr">
        <is>
          <t>OpenDART_fnlttSinglAcntAll</t>
        </is>
      </c>
      <c r="B416" s="29" t="inlineStr">
        <is>
          <t>00591441</t>
        </is>
      </c>
      <c r="C416" s="29" t="inlineStr">
        <is>
          <t>어보브반도체</t>
        </is>
      </c>
      <c r="D416" s="29" t="inlineStr">
        <is>
          <t>abov</t>
        </is>
      </c>
      <c r="E416" s="29" t="inlineStr">
        <is>
          <t>102120</t>
        </is>
      </c>
      <c r="F416" s="29" t="inlineStr">
        <is>
          <t>2023</t>
        </is>
      </c>
      <c r="G416" s="29" t="inlineStr">
        <is>
          <t>CFS</t>
        </is>
      </c>
      <c r="H416" s="29" t="inlineStr">
        <is>
          <t>BS</t>
        </is>
      </c>
      <c r="I416" s="29" t="inlineStr">
        <is>
          <t>재무상태표</t>
        </is>
      </c>
      <c r="J416" s="29" t="inlineStr">
        <is>
          <t>ifrs-full_NoncurrentLeaseLiabilities</t>
        </is>
      </c>
      <c r="K416" s="29" t="inlineStr">
        <is>
          <t>비유동 리스부채</t>
        </is>
      </c>
      <c r="L416" s="29" t="inlineStr">
        <is>
          <t>-</t>
        </is>
      </c>
      <c r="M416" s="29" t="inlineStr">
        <is>
          <t>제 18 기</t>
        </is>
      </c>
      <c r="N416" s="29" t="inlineStr">
        <is>
          <t>871565045.0</t>
        </is>
      </c>
      <c r="O416" s="29" t="inlineStr">
        <is>
          <t>865194963.0</t>
        </is>
      </c>
      <c r="P416" s="29" t="inlineStr">
        <is>
          <t>KRW</t>
        </is>
      </c>
      <c r="Q416" s="29" t="inlineStr">
        <is>
          <t>53</t>
        </is>
      </c>
    </row>
    <row r="417" ht="24" customHeight="1">
      <c r="A417" s="24" t="inlineStr">
        <is>
          <t>OpenDART_fnlttSinglAcntAll</t>
        </is>
      </c>
      <c r="B417" s="24" t="inlineStr">
        <is>
          <t>00591441</t>
        </is>
      </c>
      <c r="C417" s="24" t="inlineStr">
        <is>
          <t>어보브반도체</t>
        </is>
      </c>
      <c r="D417" s="24" t="inlineStr">
        <is>
          <t>abov</t>
        </is>
      </c>
      <c r="E417" s="24" t="inlineStr">
        <is>
          <t>102120</t>
        </is>
      </c>
      <c r="F417" s="24" t="inlineStr">
        <is>
          <t>2023</t>
        </is>
      </c>
      <c r="G417" s="24" t="inlineStr">
        <is>
          <t>CFS</t>
        </is>
      </c>
      <c r="H417" s="24" t="inlineStr">
        <is>
          <t>BS</t>
        </is>
      </c>
      <c r="I417" s="24" t="inlineStr">
        <is>
          <t>재무상태표</t>
        </is>
      </c>
      <c r="J417" s="24" t="inlineStr">
        <is>
          <t>ifrs-full_OtherNoncurrentFinancialLiabilities</t>
        </is>
      </c>
      <c r="K417" s="24" t="inlineStr">
        <is>
          <t>기타비유동금융부채</t>
        </is>
      </c>
      <c r="L417" s="24" t="inlineStr">
        <is>
          <t>-</t>
        </is>
      </c>
      <c r="M417" s="24" t="inlineStr">
        <is>
          <t>제 18 기</t>
        </is>
      </c>
      <c r="N417" s="24" t="inlineStr">
        <is>
          <t>5281204918.0</t>
        </is>
      </c>
      <c r="O417" s="24" t="inlineStr">
        <is>
          <t>455599508.0</t>
        </is>
      </c>
      <c r="P417" s="24" t="inlineStr">
        <is>
          <t>KRW</t>
        </is>
      </c>
      <c r="Q417" s="24" t="inlineStr">
        <is>
          <t>54</t>
        </is>
      </c>
    </row>
    <row r="418" ht="24" customHeight="1">
      <c r="A418" s="29" t="inlineStr">
        <is>
          <t>OpenDART_fnlttSinglAcntAll</t>
        </is>
      </c>
      <c r="B418" s="29" t="inlineStr">
        <is>
          <t>00591441</t>
        </is>
      </c>
      <c r="C418" s="29" t="inlineStr">
        <is>
          <t>어보브반도체</t>
        </is>
      </c>
      <c r="D418" s="29" t="inlineStr">
        <is>
          <t>abov</t>
        </is>
      </c>
      <c r="E418" s="29" t="inlineStr">
        <is>
          <t>102120</t>
        </is>
      </c>
      <c r="F418" s="29" t="inlineStr">
        <is>
          <t>2023</t>
        </is>
      </c>
      <c r="G418" s="29" t="inlineStr">
        <is>
          <t>CFS</t>
        </is>
      </c>
      <c r="H418" s="29" t="inlineStr">
        <is>
          <t>BS</t>
        </is>
      </c>
      <c r="I418" s="29" t="inlineStr">
        <is>
          <t>재무상태표</t>
        </is>
      </c>
      <c r="J418" s="29" t="inlineStr">
        <is>
          <t>ifrs-full_OtherNoncurrentLiabilities</t>
        </is>
      </c>
      <c r="K418" s="29" t="inlineStr">
        <is>
          <t>기타 비유동 부채</t>
        </is>
      </c>
      <c r="L418" s="29" t="inlineStr">
        <is>
          <t>-</t>
        </is>
      </c>
      <c r="M418" s="29" t="inlineStr">
        <is>
          <t>제 18 기</t>
        </is>
      </c>
      <c r="N418" s="29" t="inlineStr">
        <is>
          <t>826704181.0</t>
        </is>
      </c>
      <c r="O418" s="29" t="inlineStr">
        <is>
          <t>547145240.0</t>
        </is>
      </c>
      <c r="P418" s="29" t="inlineStr">
        <is>
          <t>KRW</t>
        </is>
      </c>
      <c r="Q418" s="29" t="inlineStr">
        <is>
          <t>55</t>
        </is>
      </c>
    </row>
    <row r="419" ht="24" customHeight="1">
      <c r="A419" s="24" t="inlineStr">
        <is>
          <t>OpenDART_fnlttSinglAcntAll</t>
        </is>
      </c>
      <c r="B419" s="24" t="inlineStr">
        <is>
          <t>00591441</t>
        </is>
      </c>
      <c r="C419" s="24" t="inlineStr">
        <is>
          <t>어보브반도체</t>
        </is>
      </c>
      <c r="D419" s="24" t="inlineStr">
        <is>
          <t>abov</t>
        </is>
      </c>
      <c r="E419" s="24" t="inlineStr">
        <is>
          <t>102120</t>
        </is>
      </c>
      <c r="F419" s="24" t="inlineStr">
        <is>
          <t>2023</t>
        </is>
      </c>
      <c r="G419" s="24" t="inlineStr">
        <is>
          <t>CFS</t>
        </is>
      </c>
      <c r="H419" s="24" t="inlineStr">
        <is>
          <t>CIS</t>
        </is>
      </c>
      <c r="I419" s="24" t="inlineStr">
        <is>
          <t>포괄손익계산서</t>
        </is>
      </c>
      <c r="J419" s="24" t="inlineStr">
        <is>
          <t>dart_OperatingIncomeLoss</t>
        </is>
      </c>
      <c r="K419" s="24" t="inlineStr">
        <is>
          <t>영업이익(손실)</t>
        </is>
      </c>
      <c r="L419" s="24" t="inlineStr">
        <is>
          <t>-</t>
        </is>
      </c>
      <c r="M419" s="24" t="inlineStr">
        <is>
          <t>제 18 기</t>
        </is>
      </c>
      <c r="N419" s="24" t="inlineStr">
        <is>
          <t>-14643077325.0</t>
        </is>
      </c>
      <c r="O419" s="24" t="inlineStr">
        <is>
          <t>25825288073.0</t>
        </is>
      </c>
      <c r="P419" s="24" t="inlineStr">
        <is>
          <t>KRW</t>
        </is>
      </c>
      <c r="Q419" s="24" t="inlineStr">
        <is>
          <t>6</t>
        </is>
      </c>
    </row>
    <row r="420" ht="24" customHeight="1">
      <c r="A420" s="29" t="inlineStr">
        <is>
          <t>OpenDART_fnlttSinglAcntAll</t>
        </is>
      </c>
      <c r="B420" s="29" t="inlineStr">
        <is>
          <t>00591441</t>
        </is>
      </c>
      <c r="C420" s="29" t="inlineStr">
        <is>
          <t>어보브반도체</t>
        </is>
      </c>
      <c r="D420" s="29" t="inlineStr">
        <is>
          <t>abov</t>
        </is>
      </c>
      <c r="E420" s="29" t="inlineStr">
        <is>
          <t>102120</t>
        </is>
      </c>
      <c r="F420" s="29" t="inlineStr">
        <is>
          <t>2023</t>
        </is>
      </c>
      <c r="G420" s="29" t="inlineStr">
        <is>
          <t>CFS</t>
        </is>
      </c>
      <c r="H420" s="29" t="inlineStr">
        <is>
          <t>CIS</t>
        </is>
      </c>
      <c r="I420" s="29" t="inlineStr">
        <is>
          <t>포괄손익계산서</t>
        </is>
      </c>
      <c r="J420" s="29" t="inlineStr">
        <is>
          <t>dart_OtherGains</t>
        </is>
      </c>
      <c r="K420" s="29" t="inlineStr">
        <is>
          <t>기타수익</t>
        </is>
      </c>
      <c r="L420" s="29" t="inlineStr">
        <is>
          <t>-</t>
        </is>
      </c>
      <c r="M420" s="29" t="inlineStr">
        <is>
          <t>제 18 기</t>
        </is>
      </c>
      <c r="N420" s="29" t="inlineStr">
        <is>
          <t>2055435087.0</t>
        </is>
      </c>
      <c r="O420" s="29" t="inlineStr">
        <is>
          <t>1775983870.0</t>
        </is>
      </c>
      <c r="P420" s="29" t="inlineStr">
        <is>
          <t>KRW</t>
        </is>
      </c>
      <c r="Q420" s="29" t="inlineStr">
        <is>
          <t>7</t>
        </is>
      </c>
    </row>
    <row r="421" ht="24" customHeight="1">
      <c r="A421" s="24" t="inlineStr">
        <is>
          <t>OpenDART_fnlttSinglAcntAll</t>
        </is>
      </c>
      <c r="B421" s="24" t="inlineStr">
        <is>
          <t>00591441</t>
        </is>
      </c>
      <c r="C421" s="24" t="inlineStr">
        <is>
          <t>어보브반도체</t>
        </is>
      </c>
      <c r="D421" s="24" t="inlineStr">
        <is>
          <t>abov</t>
        </is>
      </c>
      <c r="E421" s="24" t="inlineStr">
        <is>
          <t>102120</t>
        </is>
      </c>
      <c r="F421" s="24" t="inlineStr">
        <is>
          <t>2023</t>
        </is>
      </c>
      <c r="G421" s="24" t="inlineStr">
        <is>
          <t>CFS</t>
        </is>
      </c>
      <c r="H421" s="24" t="inlineStr">
        <is>
          <t>CIS</t>
        </is>
      </c>
      <c r="I421" s="24" t="inlineStr">
        <is>
          <t>포괄손익계산서</t>
        </is>
      </c>
      <c r="J421" s="24" t="inlineStr">
        <is>
          <t>dart_OtherLosses</t>
        </is>
      </c>
      <c r="K421" s="24" t="inlineStr">
        <is>
          <t>기타비용</t>
        </is>
      </c>
      <c r="L421" s="24" t="inlineStr">
        <is>
          <t>-</t>
        </is>
      </c>
      <c r="M421" s="24" t="inlineStr">
        <is>
          <t>제 18 기</t>
        </is>
      </c>
      <c r="N421" s="24" t="inlineStr">
        <is>
          <t>7401433917.0</t>
        </is>
      </c>
      <c r="O421" s="24" t="inlineStr">
        <is>
          <t>12375937802.0</t>
        </is>
      </c>
      <c r="P421" s="24" t="inlineStr">
        <is>
          <t>KRW</t>
        </is>
      </c>
      <c r="Q421" s="24" t="inlineStr">
        <is>
          <t>8</t>
        </is>
      </c>
    </row>
    <row r="422" ht="24" customHeight="1">
      <c r="A422" s="29" t="inlineStr">
        <is>
          <t>OpenDART_fnlttSinglAcntAll</t>
        </is>
      </c>
      <c r="B422" s="29" t="inlineStr">
        <is>
          <t>00591441</t>
        </is>
      </c>
      <c r="C422" s="29" t="inlineStr">
        <is>
          <t>어보브반도체</t>
        </is>
      </c>
      <c r="D422" s="29" t="inlineStr">
        <is>
          <t>abov</t>
        </is>
      </c>
      <c r="E422" s="29" t="inlineStr">
        <is>
          <t>102120</t>
        </is>
      </c>
      <c r="F422" s="29" t="inlineStr">
        <is>
          <t>2023</t>
        </is>
      </c>
      <c r="G422" s="29" t="inlineStr">
        <is>
          <t>CFS</t>
        </is>
      </c>
      <c r="H422" s="29" t="inlineStr">
        <is>
          <t>CIS</t>
        </is>
      </c>
      <c r="I422" s="29" t="inlineStr">
        <is>
          <t>포괄손익계산서</t>
        </is>
      </c>
      <c r="J422" s="29" t="inlineStr">
        <is>
          <t>dart_TotalSellingGeneralAdministrativeExpenses</t>
        </is>
      </c>
      <c r="K422" s="29" t="inlineStr">
        <is>
          <t>판매비와관리비</t>
        </is>
      </c>
      <c r="L422" s="29" t="inlineStr">
        <is>
          <t>-</t>
        </is>
      </c>
      <c r="M422" s="29" t="inlineStr">
        <is>
          <t>제 18 기</t>
        </is>
      </c>
      <c r="N422" s="29" t="inlineStr">
        <is>
          <t>26502907323.0</t>
        </is>
      </c>
      <c r="O422" s="29" t="inlineStr">
        <is>
          <t>30574568198.0</t>
        </is>
      </c>
      <c r="P422" s="29" t="inlineStr">
        <is>
          <t>KRW</t>
        </is>
      </c>
      <c r="Q422" s="29" t="inlineStr">
        <is>
          <t>9</t>
        </is>
      </c>
    </row>
    <row r="423" ht="24" customHeight="1">
      <c r="A423" s="24" t="inlineStr">
        <is>
          <t>OpenDART_fnlttSinglAcntAll</t>
        </is>
      </c>
      <c r="B423" s="24" t="inlineStr">
        <is>
          <t>00591441</t>
        </is>
      </c>
      <c r="C423" s="24" t="inlineStr">
        <is>
          <t>어보브반도체</t>
        </is>
      </c>
      <c r="D423" s="24" t="inlineStr">
        <is>
          <t>abov</t>
        </is>
      </c>
      <c r="E423" s="24" t="inlineStr">
        <is>
          <t>102120</t>
        </is>
      </c>
      <c r="F423" s="24" t="inlineStr">
        <is>
          <t>2023</t>
        </is>
      </c>
      <c r="G423" s="24" t="inlineStr">
        <is>
          <t>CFS</t>
        </is>
      </c>
      <c r="H423" s="24" t="inlineStr">
        <is>
          <t>CIS</t>
        </is>
      </c>
      <c r="I423" s="24" t="inlineStr">
        <is>
          <t>포괄손익계산서</t>
        </is>
      </c>
      <c r="J423" s="24" t="inlineStr">
        <is>
          <t>ifrs-full_ComprehensiveIncome</t>
        </is>
      </c>
      <c r="K423" s="24" t="inlineStr">
        <is>
          <t>총포괄손익</t>
        </is>
      </c>
      <c r="L423" s="24" t="inlineStr">
        <is>
          <t>-</t>
        </is>
      </c>
      <c r="M423" s="24" t="inlineStr">
        <is>
          <t>제 18 기</t>
        </is>
      </c>
      <c r="N423" s="24" t="inlineStr">
        <is>
          <t>-34957788556.0</t>
        </is>
      </c>
      <c r="O423" s="24" t="inlineStr">
        <is>
          <t>12558737574.0</t>
        </is>
      </c>
      <c r="P423" s="24" t="inlineStr">
        <is>
          <t>KRW</t>
        </is>
      </c>
      <c r="Q423" s="24" t="inlineStr">
        <is>
          <t>10</t>
        </is>
      </c>
    </row>
    <row r="424" ht="24" customHeight="1">
      <c r="A424" s="29" t="inlineStr">
        <is>
          <t>OpenDART_fnlttSinglAcntAll</t>
        </is>
      </c>
      <c r="B424" s="29" t="inlineStr">
        <is>
          <t>00591441</t>
        </is>
      </c>
      <c r="C424" s="29" t="inlineStr">
        <is>
          <t>어보브반도체</t>
        </is>
      </c>
      <c r="D424" s="29" t="inlineStr">
        <is>
          <t>abov</t>
        </is>
      </c>
      <c r="E424" s="29" t="inlineStr">
        <is>
          <t>102120</t>
        </is>
      </c>
      <c r="F424" s="29" t="inlineStr">
        <is>
          <t>2023</t>
        </is>
      </c>
      <c r="G424" s="29" t="inlineStr">
        <is>
          <t>CFS</t>
        </is>
      </c>
      <c r="H424" s="29" t="inlineStr">
        <is>
          <t>CIS</t>
        </is>
      </c>
      <c r="I424" s="29" t="inlineStr">
        <is>
          <t>포괄손익계산서</t>
        </is>
      </c>
      <c r="J424" s="29" t="inlineStr">
        <is>
          <t>ifrs-full_ComprehensiveIncomeAttributableToNoncontrollingInterests</t>
        </is>
      </c>
      <c r="K424" s="29" t="inlineStr">
        <is>
          <t>비지배지분</t>
        </is>
      </c>
      <c r="L424" s="29" t="inlineStr">
        <is>
          <t>-</t>
        </is>
      </c>
      <c r="M424" s="29" t="inlineStr">
        <is>
          <t>제 18 기</t>
        </is>
      </c>
      <c r="N424" s="29" t="inlineStr">
        <is>
          <t>-21523414866.0</t>
        </is>
      </c>
      <c r="O424" s="29" t="inlineStr">
        <is>
          <t>207403641.0</t>
        </is>
      </c>
      <c r="P424" s="29" t="inlineStr">
        <is>
          <t>KRW</t>
        </is>
      </c>
      <c r="Q424" s="29" t="inlineStr">
        <is>
          <t>12</t>
        </is>
      </c>
    </row>
    <row r="425" ht="24" customHeight="1">
      <c r="A425" s="24" t="inlineStr">
        <is>
          <t>OpenDART_fnlttSinglAcntAll</t>
        </is>
      </c>
      <c r="B425" s="24" t="inlineStr">
        <is>
          <t>00591441</t>
        </is>
      </c>
      <c r="C425" s="24" t="inlineStr">
        <is>
          <t>어보브반도체</t>
        </is>
      </c>
      <c r="D425" s="24" t="inlineStr">
        <is>
          <t>abov</t>
        </is>
      </c>
      <c r="E425" s="24" t="inlineStr">
        <is>
          <t>102120</t>
        </is>
      </c>
      <c r="F425" s="24" t="inlineStr">
        <is>
          <t>2023</t>
        </is>
      </c>
      <c r="G425" s="24" t="inlineStr">
        <is>
          <t>CFS</t>
        </is>
      </c>
      <c r="H425" s="24" t="inlineStr">
        <is>
          <t>CIS</t>
        </is>
      </c>
      <c r="I425" s="24" t="inlineStr">
        <is>
          <t>포괄손익계산서</t>
        </is>
      </c>
      <c r="J425" s="24" t="inlineStr">
        <is>
          <t>ifrs-full_ComprehensiveIncomeAttributableToOwnersOfParent</t>
        </is>
      </c>
      <c r="K425" s="24" t="inlineStr">
        <is>
          <t>지배기업의 소유지분</t>
        </is>
      </c>
      <c r="L425" s="24" t="inlineStr">
        <is>
          <t>-</t>
        </is>
      </c>
      <c r="M425" s="24" t="inlineStr">
        <is>
          <t>제 18 기</t>
        </is>
      </c>
      <c r="N425" s="24" t="inlineStr">
        <is>
          <t>-13434373690.0</t>
        </is>
      </c>
      <c r="O425" s="24" t="inlineStr">
        <is>
          <t>12351333933.0</t>
        </is>
      </c>
      <c r="P425" s="24" t="inlineStr">
        <is>
          <t>KRW</t>
        </is>
      </c>
      <c r="Q425" s="24" t="inlineStr">
        <is>
          <t>13</t>
        </is>
      </c>
    </row>
    <row r="426" ht="24" customHeight="1">
      <c r="A426" s="29" t="inlineStr">
        <is>
          <t>OpenDART_fnlttSinglAcntAll</t>
        </is>
      </c>
      <c r="B426" s="29" t="inlineStr">
        <is>
          <t>00591441</t>
        </is>
      </c>
      <c r="C426" s="29" t="inlineStr">
        <is>
          <t>어보브반도체</t>
        </is>
      </c>
      <c r="D426" s="29" t="inlineStr">
        <is>
          <t>abov</t>
        </is>
      </c>
      <c r="E426" s="29" t="inlineStr">
        <is>
          <t>102120</t>
        </is>
      </c>
      <c r="F426" s="29" t="inlineStr">
        <is>
          <t>2023</t>
        </is>
      </c>
      <c r="G426" s="29" t="inlineStr">
        <is>
          <t>CFS</t>
        </is>
      </c>
      <c r="H426" s="29" t="inlineStr">
        <is>
          <t>CIS</t>
        </is>
      </c>
      <c r="I426" s="29" t="inlineStr">
        <is>
          <t>포괄손익계산서</t>
        </is>
      </c>
      <c r="J426" s="29" t="inlineStr">
        <is>
          <t>ifrs-full_CostOfSales</t>
        </is>
      </c>
      <c r="K426" s="29" t="inlineStr">
        <is>
          <t>매출원가</t>
        </is>
      </c>
      <c r="L426" s="29" t="inlineStr">
        <is>
          <t>-</t>
        </is>
      </c>
      <c r="M426" s="29" t="inlineStr">
        <is>
          <t>제 18 기</t>
        </is>
      </c>
      <c r="N426" s="29" t="inlineStr">
        <is>
          <t>220576559094.0</t>
        </is>
      </c>
      <c r="O426" s="29" t="inlineStr">
        <is>
          <t>186176940312.0</t>
        </is>
      </c>
      <c r="P426" s="29" t="inlineStr">
        <is>
          <t>KRW</t>
        </is>
      </c>
      <c r="Q426" s="29" t="inlineStr">
        <is>
          <t>14</t>
        </is>
      </c>
    </row>
    <row r="427" ht="24" customHeight="1">
      <c r="A427" s="24" t="inlineStr">
        <is>
          <t>OpenDART_fnlttSinglAcntAll</t>
        </is>
      </c>
      <c r="B427" s="24" t="inlineStr">
        <is>
          <t>00591441</t>
        </is>
      </c>
      <c r="C427" s="24" t="inlineStr">
        <is>
          <t>어보브반도체</t>
        </is>
      </c>
      <c r="D427" s="24" t="inlineStr">
        <is>
          <t>abov</t>
        </is>
      </c>
      <c r="E427" s="24" t="inlineStr">
        <is>
          <t>102120</t>
        </is>
      </c>
      <c r="F427" s="24" t="inlineStr">
        <is>
          <t>2023</t>
        </is>
      </c>
      <c r="G427" s="24" t="inlineStr">
        <is>
          <t>CFS</t>
        </is>
      </c>
      <c r="H427" s="24" t="inlineStr">
        <is>
          <t>CIS</t>
        </is>
      </c>
      <c r="I427" s="24" t="inlineStr">
        <is>
          <t>포괄손익계산서</t>
        </is>
      </c>
      <c r="J427" s="24" t="inlineStr">
        <is>
          <t>dart_CostOfSalesFromSaleOfGoodsProduct</t>
        </is>
      </c>
      <c r="K427" s="24" t="inlineStr">
        <is>
          <t>제품매출원가</t>
        </is>
      </c>
      <c r="L427" s="24" t="inlineStr">
        <is>
          <t>-</t>
        </is>
      </c>
      <c r="M427" s="24" t="inlineStr">
        <is>
          <t>제 18 기</t>
        </is>
      </c>
      <c r="N427" s="24" t="inlineStr">
        <is>
          <t>217652452872.0</t>
        </is>
      </c>
      <c r="O427" s="24" t="inlineStr">
        <is>
          <t>184170293574.0</t>
        </is>
      </c>
      <c r="P427" s="24" t="inlineStr">
        <is>
          <t>KRW</t>
        </is>
      </c>
      <c r="Q427" s="24" t="inlineStr">
        <is>
          <t>15</t>
        </is>
      </c>
    </row>
    <row r="428" ht="24" customHeight="1">
      <c r="A428" s="29" t="inlineStr">
        <is>
          <t>OpenDART_fnlttSinglAcntAll</t>
        </is>
      </c>
      <c r="B428" s="29" t="inlineStr">
        <is>
          <t>00591441</t>
        </is>
      </c>
      <c r="C428" s="29" t="inlineStr">
        <is>
          <t>어보브반도체</t>
        </is>
      </c>
      <c r="D428" s="29" t="inlineStr">
        <is>
          <t>abov</t>
        </is>
      </c>
      <c r="E428" s="29" t="inlineStr">
        <is>
          <t>102120</t>
        </is>
      </c>
      <c r="F428" s="29" t="inlineStr">
        <is>
          <t>2023</t>
        </is>
      </c>
      <c r="G428" s="29" t="inlineStr">
        <is>
          <t>CFS</t>
        </is>
      </c>
      <c r="H428" s="29" t="inlineStr">
        <is>
          <t>CIS</t>
        </is>
      </c>
      <c r="I428" s="29" t="inlineStr">
        <is>
          <t>포괄손익계산서</t>
        </is>
      </c>
      <c r="J428" s="29" t="inlineStr">
        <is>
          <t>ifrs-full_CostOfMerchandiseSold</t>
        </is>
      </c>
      <c r="K428" s="29" t="inlineStr">
        <is>
          <t>상품매출원가</t>
        </is>
      </c>
      <c r="L428" s="29" t="inlineStr">
        <is>
          <t>-</t>
        </is>
      </c>
      <c r="M428" s="29" t="inlineStr">
        <is>
          <t>제 18 기</t>
        </is>
      </c>
      <c r="N428" s="29" t="inlineStr">
        <is>
          <t>2924106222.0</t>
        </is>
      </c>
      <c r="O428" s="29" t="inlineStr">
        <is>
          <t>2006646738.0</t>
        </is>
      </c>
      <c r="P428" s="29" t="inlineStr">
        <is>
          <t>KRW</t>
        </is>
      </c>
      <c r="Q428" s="29" t="inlineStr">
        <is>
          <t>16</t>
        </is>
      </c>
    </row>
    <row r="429" ht="24" customHeight="1">
      <c r="A429" s="24" t="inlineStr">
        <is>
          <t>OpenDART_fnlttSinglAcntAll</t>
        </is>
      </c>
      <c r="B429" s="24" t="inlineStr">
        <is>
          <t>00591441</t>
        </is>
      </c>
      <c r="C429" s="24" t="inlineStr">
        <is>
          <t>어보브반도체</t>
        </is>
      </c>
      <c r="D429" s="24" t="inlineStr">
        <is>
          <t>abov</t>
        </is>
      </c>
      <c r="E429" s="24" t="inlineStr">
        <is>
          <t>102120</t>
        </is>
      </c>
      <c r="F429" s="24" t="inlineStr">
        <is>
          <t>2023</t>
        </is>
      </c>
      <c r="G429" s="24" t="inlineStr">
        <is>
          <t>CFS</t>
        </is>
      </c>
      <c r="H429" s="24" t="inlineStr">
        <is>
          <t>CIS</t>
        </is>
      </c>
      <c r="I429" s="24" t="inlineStr">
        <is>
          <t>포괄손익계산서</t>
        </is>
      </c>
      <c r="J429" s="24" t="inlineStr">
        <is>
          <t>ifrs-full_BasicEarningsLossPerShare</t>
        </is>
      </c>
      <c r="K429" s="24" t="inlineStr">
        <is>
          <t>기본주당이익(손실)</t>
        </is>
      </c>
      <c r="L429" s="24" t="inlineStr">
        <is>
          <t>-</t>
        </is>
      </c>
      <c r="M429" s="24" t="inlineStr">
        <is>
          <t>제 18 기</t>
        </is>
      </c>
      <c r="N429" s="24" t="inlineStr">
        <is>
          <t>-2027.0</t>
        </is>
      </c>
      <c r="O429" s="24" t="inlineStr">
        <is>
          <t>770.0</t>
        </is>
      </c>
      <c r="P429" s="24" t="inlineStr">
        <is>
          <t>KRW</t>
        </is>
      </c>
      <c r="Q429" s="24" t="inlineStr">
        <is>
          <t>18</t>
        </is>
      </c>
    </row>
    <row r="430" ht="24" customHeight="1">
      <c r="A430" s="29" t="inlineStr">
        <is>
          <t>OpenDART_fnlttSinglAcntAll</t>
        </is>
      </c>
      <c r="B430" s="29" t="inlineStr">
        <is>
          <t>00591441</t>
        </is>
      </c>
      <c r="C430" s="29" t="inlineStr">
        <is>
          <t>어보브반도체</t>
        </is>
      </c>
      <c r="D430" s="29" t="inlineStr">
        <is>
          <t>abov</t>
        </is>
      </c>
      <c r="E430" s="29" t="inlineStr">
        <is>
          <t>102120</t>
        </is>
      </c>
      <c r="F430" s="29" t="inlineStr">
        <is>
          <t>2023</t>
        </is>
      </c>
      <c r="G430" s="29" t="inlineStr">
        <is>
          <t>CFS</t>
        </is>
      </c>
      <c r="H430" s="29" t="inlineStr">
        <is>
          <t>CIS</t>
        </is>
      </c>
      <c r="I430" s="29" t="inlineStr">
        <is>
          <t>포괄손익계산서</t>
        </is>
      </c>
      <c r="J430" s="29" t="inlineStr">
        <is>
          <t>ifrs-full_DilutedEarningsLossPerShare</t>
        </is>
      </c>
      <c r="K430" s="29" t="inlineStr">
        <is>
          <t>희석주당이익(손실)</t>
        </is>
      </c>
      <c r="L430" s="29" t="inlineStr">
        <is>
          <t>-</t>
        </is>
      </c>
      <c r="M430" s="29" t="inlineStr">
        <is>
          <t>제 18 기</t>
        </is>
      </c>
      <c r="N430" s="29" t="inlineStr">
        <is>
          <t>-2027.0</t>
        </is>
      </c>
      <c r="O430" s="29" t="inlineStr">
        <is>
          <t>769.0</t>
        </is>
      </c>
      <c r="P430" s="29" t="inlineStr">
        <is>
          <t>KRW</t>
        </is>
      </c>
      <c r="Q430" s="29" t="inlineStr">
        <is>
          <t>19</t>
        </is>
      </c>
    </row>
    <row r="431" ht="24" customHeight="1">
      <c r="A431" s="24" t="inlineStr">
        <is>
          <t>OpenDART_fnlttSinglAcntAll</t>
        </is>
      </c>
      <c r="B431" s="24" t="inlineStr">
        <is>
          <t>00591441</t>
        </is>
      </c>
      <c r="C431" s="24" t="inlineStr">
        <is>
          <t>어보브반도체</t>
        </is>
      </c>
      <c r="D431" s="24" t="inlineStr">
        <is>
          <t>abov</t>
        </is>
      </c>
      <c r="E431" s="24" t="inlineStr">
        <is>
          <t>102120</t>
        </is>
      </c>
      <c r="F431" s="24" t="inlineStr">
        <is>
          <t>2023</t>
        </is>
      </c>
      <c r="G431" s="24" t="inlineStr">
        <is>
          <t>CFS</t>
        </is>
      </c>
      <c r="H431" s="24" t="inlineStr">
        <is>
          <t>CIS</t>
        </is>
      </c>
      <c r="I431" s="24" t="inlineStr">
        <is>
          <t>포괄손익계산서</t>
        </is>
      </c>
      <c r="J431" s="24" t="inlineStr">
        <is>
          <t>ifrs-full_FinanceCosts</t>
        </is>
      </c>
      <c r="K431" s="24" t="inlineStr">
        <is>
          <t>금융비용</t>
        </is>
      </c>
      <c r="L431" s="24" t="inlineStr">
        <is>
          <t>-</t>
        </is>
      </c>
      <c r="M431" s="24" t="inlineStr">
        <is>
          <t>제 18 기</t>
        </is>
      </c>
      <c r="N431" s="24" t="inlineStr">
        <is>
          <t>11423635091.0</t>
        </is>
      </c>
      <c r="O431" s="24" t="inlineStr">
        <is>
          <t>6496262153.0</t>
        </is>
      </c>
      <c r="P431" s="24" t="inlineStr">
        <is>
          <t>KRW</t>
        </is>
      </c>
      <c r="Q431" s="24" t="inlineStr">
        <is>
          <t>20</t>
        </is>
      </c>
    </row>
    <row r="432" ht="24" customHeight="1">
      <c r="A432" s="29" t="inlineStr">
        <is>
          <t>OpenDART_fnlttSinglAcntAll</t>
        </is>
      </c>
      <c r="B432" s="29" t="inlineStr">
        <is>
          <t>00591441</t>
        </is>
      </c>
      <c r="C432" s="29" t="inlineStr">
        <is>
          <t>어보브반도체</t>
        </is>
      </c>
      <c r="D432" s="29" t="inlineStr">
        <is>
          <t>abov</t>
        </is>
      </c>
      <c r="E432" s="29" t="inlineStr">
        <is>
          <t>102120</t>
        </is>
      </c>
      <c r="F432" s="29" t="inlineStr">
        <is>
          <t>2023</t>
        </is>
      </c>
      <c r="G432" s="29" t="inlineStr">
        <is>
          <t>CFS</t>
        </is>
      </c>
      <c r="H432" s="29" t="inlineStr">
        <is>
          <t>CIS</t>
        </is>
      </c>
      <c r="I432" s="29" t="inlineStr">
        <is>
          <t>포괄손익계산서</t>
        </is>
      </c>
      <c r="J432" s="29" t="inlineStr">
        <is>
          <t>ifrs-full_FinanceIncome</t>
        </is>
      </c>
      <c r="K432" s="29" t="inlineStr">
        <is>
          <t>금융수익</t>
        </is>
      </c>
      <c r="L432" s="29" t="inlineStr">
        <is>
          <t>-</t>
        </is>
      </c>
      <c r="M432" s="29" t="inlineStr">
        <is>
          <t>제 18 기</t>
        </is>
      </c>
      <c r="N432" s="29" t="inlineStr">
        <is>
          <t>5363232273.0</t>
        </is>
      </c>
      <c r="O432" s="29" t="inlineStr">
        <is>
          <t>5651011689.0</t>
        </is>
      </c>
      <c r="P432" s="29" t="inlineStr">
        <is>
          <t>KRW</t>
        </is>
      </c>
      <c r="Q432" s="29" t="inlineStr">
        <is>
          <t>21</t>
        </is>
      </c>
    </row>
    <row r="433" ht="24" customHeight="1">
      <c r="A433" s="24" t="inlineStr">
        <is>
          <t>OpenDART_fnlttSinglAcntAll</t>
        </is>
      </c>
      <c r="B433" s="24" t="inlineStr">
        <is>
          <t>00591441</t>
        </is>
      </c>
      <c r="C433" s="24" t="inlineStr">
        <is>
          <t>어보브반도체</t>
        </is>
      </c>
      <c r="D433" s="24" t="inlineStr">
        <is>
          <t>abov</t>
        </is>
      </c>
      <c r="E433" s="24" t="inlineStr">
        <is>
          <t>102120</t>
        </is>
      </c>
      <c r="F433" s="24" t="inlineStr">
        <is>
          <t>2023</t>
        </is>
      </c>
      <c r="G433" s="24" t="inlineStr">
        <is>
          <t>CFS</t>
        </is>
      </c>
      <c r="H433" s="24" t="inlineStr">
        <is>
          <t>CIS</t>
        </is>
      </c>
      <c r="I433" s="24" t="inlineStr">
        <is>
          <t>포괄손익계산서</t>
        </is>
      </c>
      <c r="J433" s="24" t="inlineStr">
        <is>
          <t>ifrs-full_GrossProfit</t>
        </is>
      </c>
      <c r="K433" s="24" t="inlineStr">
        <is>
          <t>매출총이익</t>
        </is>
      </c>
      <c r="L433" s="24" t="inlineStr">
        <is>
          <t>-</t>
        </is>
      </c>
      <c r="M433" s="24" t="inlineStr">
        <is>
          <t>제 18 기</t>
        </is>
      </c>
      <c r="N433" s="24" t="inlineStr">
        <is>
          <t>11859829998.0</t>
        </is>
      </c>
      <c r="O433" s="24" t="inlineStr">
        <is>
          <t>56399856271.0</t>
        </is>
      </c>
      <c r="P433" s="24" t="inlineStr">
        <is>
          <t>KRW</t>
        </is>
      </c>
      <c r="Q433" s="24" t="inlineStr">
        <is>
          <t>22</t>
        </is>
      </c>
    </row>
    <row r="434" ht="24" customHeight="1">
      <c r="A434" s="29" t="inlineStr">
        <is>
          <t>OpenDART_fnlttSinglAcntAll</t>
        </is>
      </c>
      <c r="B434" s="29" t="inlineStr">
        <is>
          <t>00591441</t>
        </is>
      </c>
      <c r="C434" s="29" t="inlineStr">
        <is>
          <t>어보브반도체</t>
        </is>
      </c>
      <c r="D434" s="29" t="inlineStr">
        <is>
          <t>abov</t>
        </is>
      </c>
      <c r="E434" s="29" t="inlineStr">
        <is>
          <t>102120</t>
        </is>
      </c>
      <c r="F434" s="29" t="inlineStr">
        <is>
          <t>2023</t>
        </is>
      </c>
      <c r="G434" s="29" t="inlineStr">
        <is>
          <t>CFS</t>
        </is>
      </c>
      <c r="H434" s="29" t="inlineStr">
        <is>
          <t>CIS</t>
        </is>
      </c>
      <c r="I434" s="29" t="inlineStr">
        <is>
          <t>포괄손익계산서</t>
        </is>
      </c>
      <c r="J434" s="29" t="inlineStr">
        <is>
          <t>ifrs-full_IncomeTaxExpenseContinuingOperations</t>
        </is>
      </c>
      <c r="K434" s="29" t="inlineStr">
        <is>
          <t>법인세비용(수익)</t>
        </is>
      </c>
      <c r="L434" s="29" t="inlineStr">
        <is>
          <t>-</t>
        </is>
      </c>
      <c r="M434" s="29" t="inlineStr">
        <is>
          <t>제 18 기</t>
        </is>
      </c>
      <c r="N434" s="29" t="inlineStr">
        <is>
          <t>7394249986.0</t>
        </is>
      </c>
      <c r="O434" s="29" t="inlineStr">
        <is>
          <t>1725506056.0</t>
        </is>
      </c>
      <c r="P434" s="29" t="inlineStr">
        <is>
          <t>KRW</t>
        </is>
      </c>
      <c r="Q434" s="29" t="inlineStr">
        <is>
          <t>23</t>
        </is>
      </c>
    </row>
    <row r="435" ht="24" customHeight="1">
      <c r="A435" s="24" t="inlineStr">
        <is>
          <t>OpenDART_fnlttSinglAcntAll</t>
        </is>
      </c>
      <c r="B435" s="24" t="inlineStr">
        <is>
          <t>00591441</t>
        </is>
      </c>
      <c r="C435" s="24" t="inlineStr">
        <is>
          <t>어보브반도체</t>
        </is>
      </c>
      <c r="D435" s="24" t="inlineStr">
        <is>
          <t>abov</t>
        </is>
      </c>
      <c r="E435" s="24" t="inlineStr">
        <is>
          <t>102120</t>
        </is>
      </c>
      <c r="F435" s="24" t="inlineStr">
        <is>
          <t>2023</t>
        </is>
      </c>
      <c r="G435" s="24" t="inlineStr">
        <is>
          <t>CFS</t>
        </is>
      </c>
      <c r="H435" s="24" t="inlineStr">
        <is>
          <t>CIS</t>
        </is>
      </c>
      <c r="I435" s="24" t="inlineStr">
        <is>
          <t>포괄손익계산서</t>
        </is>
      </c>
      <c r="J435" s="24" t="inlineStr">
        <is>
          <t>ifrs-full_OtherComprehensiveIncome</t>
        </is>
      </c>
      <c r="K435" s="24" t="inlineStr">
        <is>
          <t>기타포괄손익</t>
        </is>
      </c>
      <c r="L435" s="24" t="inlineStr">
        <is>
          <t>-</t>
        </is>
      </c>
      <c r="M435" s="24" t="inlineStr">
        <is>
          <t>제 18 기</t>
        </is>
      </c>
      <c r="N435" s="24" t="inlineStr">
        <is>
          <t>-1514059597.0</t>
        </is>
      </c>
      <c r="O435" s="24" t="inlineStr">
        <is>
          <t>-95840047.0</t>
        </is>
      </c>
      <c r="P435" s="24" t="inlineStr">
        <is>
          <t>KRW</t>
        </is>
      </c>
      <c r="Q435" s="24" t="inlineStr">
        <is>
          <t>24</t>
        </is>
      </c>
    </row>
    <row r="436" ht="24" customHeight="1">
      <c r="A436" s="29" t="inlineStr">
        <is>
          <t>OpenDART_fnlttSinglAcntAll</t>
        </is>
      </c>
      <c r="B436" s="29" t="inlineStr">
        <is>
          <t>00591441</t>
        </is>
      </c>
      <c r="C436" s="29" t="inlineStr">
        <is>
          <t>어보브반도체</t>
        </is>
      </c>
      <c r="D436" s="29" t="inlineStr">
        <is>
          <t>abov</t>
        </is>
      </c>
      <c r="E436" s="29" t="inlineStr">
        <is>
          <t>102120</t>
        </is>
      </c>
      <c r="F436" s="29" t="inlineStr">
        <is>
          <t>2023</t>
        </is>
      </c>
      <c r="G436" s="29" t="inlineStr">
        <is>
          <t>CFS</t>
        </is>
      </c>
      <c r="H436" s="29" t="inlineStr">
        <is>
          <t>CIS</t>
        </is>
      </c>
      <c r="I436" s="29" t="inlineStr">
        <is>
          <t>포괄손익계산서</t>
        </is>
      </c>
      <c r="J436" s="29" t="inlineStr">
        <is>
          <t>ifrs-full_OtherComprehensiveIncomeThatWillBeReclassifiedToProfitOrLossNetOfTax</t>
        </is>
      </c>
      <c r="K436" s="29" t="inlineStr">
        <is>
          <t>당기손익으로 재분류될 수 있는 항목</t>
        </is>
      </c>
      <c r="L436" s="29" t="inlineStr">
        <is>
          <t>-</t>
        </is>
      </c>
      <c r="M436" s="29" t="inlineStr">
        <is>
          <t>제 18 기</t>
        </is>
      </c>
      <c r="N436" s="29" t="inlineStr">
        <is>
          <t>-1504064.0</t>
        </is>
      </c>
      <c r="O436" s="29" t="inlineStr">
        <is>
          <t>34910709.0</t>
        </is>
      </c>
      <c r="P436" s="29" t="inlineStr">
        <is>
          <t>KRW</t>
        </is>
      </c>
      <c r="Q436" s="29" t="inlineStr">
        <is>
          <t>25</t>
        </is>
      </c>
    </row>
    <row r="437" ht="24" customHeight="1">
      <c r="A437" s="24" t="inlineStr">
        <is>
          <t>OpenDART_fnlttSinglAcntAll</t>
        </is>
      </c>
      <c r="B437" s="24" t="inlineStr">
        <is>
          <t>00591441</t>
        </is>
      </c>
      <c r="C437" s="24" t="inlineStr">
        <is>
          <t>어보브반도체</t>
        </is>
      </c>
      <c r="D437" s="24" t="inlineStr">
        <is>
          <t>abov</t>
        </is>
      </c>
      <c r="E437" s="24" t="inlineStr">
        <is>
          <t>102120</t>
        </is>
      </c>
      <c r="F437" s="24" t="inlineStr">
        <is>
          <t>2023</t>
        </is>
      </c>
      <c r="G437" s="24" t="inlineStr">
        <is>
          <t>CFS</t>
        </is>
      </c>
      <c r="H437" s="24" t="inlineStr">
        <is>
          <t>CIS</t>
        </is>
      </c>
      <c r="I437" s="24" t="inlineStr">
        <is>
          <t>포괄손익계산서</t>
        </is>
      </c>
      <c r="J437" s="24" t="inlineStr">
        <is>
          <t>ifrs-full_GainsLossesOnExchangeDifferencesOnTranslationNetOfTax</t>
        </is>
      </c>
      <c r="K437" s="24" t="inlineStr">
        <is>
          <t>해외사업장환산외환차이(세후기타포괄손익)</t>
        </is>
      </c>
      <c r="L437" s="24" t="inlineStr">
        <is>
          <t>-</t>
        </is>
      </c>
      <c r="M437" s="24" t="inlineStr">
        <is>
          <t>제 18 기</t>
        </is>
      </c>
      <c r="N437" s="24" t="inlineStr">
        <is>
          <t>-1504064.0</t>
        </is>
      </c>
      <c r="O437" s="24" t="inlineStr">
        <is>
          <t>34910709.0</t>
        </is>
      </c>
      <c r="P437" s="24" t="inlineStr">
        <is>
          <t>KRW</t>
        </is>
      </c>
      <c r="Q437" s="24" t="inlineStr">
        <is>
          <t>26</t>
        </is>
      </c>
    </row>
    <row r="438" ht="24" customHeight="1">
      <c r="A438" s="29" t="inlineStr">
        <is>
          <t>OpenDART_fnlttSinglAcntAll</t>
        </is>
      </c>
      <c r="B438" s="29" t="inlineStr">
        <is>
          <t>00591441</t>
        </is>
      </c>
      <c r="C438" s="29" t="inlineStr">
        <is>
          <t>어보브반도체</t>
        </is>
      </c>
      <c r="D438" s="29" t="inlineStr">
        <is>
          <t>abov</t>
        </is>
      </c>
      <c r="E438" s="29" t="inlineStr">
        <is>
          <t>102120</t>
        </is>
      </c>
      <c r="F438" s="29" t="inlineStr">
        <is>
          <t>2023</t>
        </is>
      </c>
      <c r="G438" s="29" t="inlineStr">
        <is>
          <t>CFS</t>
        </is>
      </c>
      <c r="H438" s="29" t="inlineStr">
        <is>
          <t>CIS</t>
        </is>
      </c>
      <c r="I438" s="29" t="inlineStr">
        <is>
          <t>포괄손익계산서</t>
        </is>
      </c>
      <c r="J438" s="29" t="inlineStr">
        <is>
          <t>ifrs-full_OtherComprehensiveIncomeThatWillNotBeReclassifiedToProfitOrLossNetOfTax</t>
        </is>
      </c>
      <c r="K438" s="29" t="inlineStr">
        <is>
          <t>당기손익으로 재분류되지 않는 항목</t>
        </is>
      </c>
      <c r="L438" s="29" t="inlineStr">
        <is>
          <t>-</t>
        </is>
      </c>
      <c r="M438" s="29" t="inlineStr">
        <is>
          <t>제 18 기</t>
        </is>
      </c>
      <c r="N438" s="29" t="inlineStr">
        <is>
          <t>-1512555533.0</t>
        </is>
      </c>
      <c r="O438" s="29" t="inlineStr">
        <is>
          <t>-130750756.0</t>
        </is>
      </c>
      <c r="P438" s="29" t="inlineStr">
        <is>
          <t>KRW</t>
        </is>
      </c>
      <c r="Q438" s="29" t="inlineStr">
        <is>
          <t>27</t>
        </is>
      </c>
    </row>
    <row r="439" ht="24" customHeight="1">
      <c r="A439" s="24" t="inlineStr">
        <is>
          <t>OpenDART_fnlttSinglAcntAll</t>
        </is>
      </c>
      <c r="B439" s="24" t="inlineStr">
        <is>
          <t>00591441</t>
        </is>
      </c>
      <c r="C439" s="24" t="inlineStr">
        <is>
          <t>어보브반도체</t>
        </is>
      </c>
      <c r="D439" s="24" t="inlineStr">
        <is>
          <t>abov</t>
        </is>
      </c>
      <c r="E439" s="24" t="inlineStr">
        <is>
          <t>102120</t>
        </is>
      </c>
      <c r="F439" s="24" t="inlineStr">
        <is>
          <t>2023</t>
        </is>
      </c>
      <c r="G439" s="24" t="inlineStr">
        <is>
          <t>CFS</t>
        </is>
      </c>
      <c r="H439" s="24" t="inlineStr">
        <is>
          <t>CIS</t>
        </is>
      </c>
      <c r="I439" s="24" t="inlineStr">
        <is>
          <t>포괄손익계산서</t>
        </is>
      </c>
      <c r="J439" s="24" t="inlineStr">
        <is>
          <t>-표준계정코드 미사용-</t>
        </is>
      </c>
      <c r="K439" s="24" t="inlineStr">
        <is>
          <t>기타포괄손익공정가치측정금융자산 평가손익</t>
        </is>
      </c>
      <c r="L439" s="24" t="inlineStr">
        <is>
          <t>-</t>
        </is>
      </c>
      <c r="M439" s="24" t="inlineStr">
        <is>
          <t>제 18 기</t>
        </is>
      </c>
      <c r="N439" s="24" t="inlineStr">
        <is>
          <t>-855737255.0</t>
        </is>
      </c>
      <c r="O439" s="24" t="inlineStr">
        <is>
          <t>-37508434.0</t>
        </is>
      </c>
      <c r="P439" s="24" t="inlineStr">
        <is>
          <t>KRW</t>
        </is>
      </c>
      <c r="Q439" s="24" t="inlineStr">
        <is>
          <t>28</t>
        </is>
      </c>
    </row>
    <row r="440" ht="24" customHeight="1">
      <c r="A440" s="29" t="inlineStr">
        <is>
          <t>OpenDART_fnlttSinglAcntAll</t>
        </is>
      </c>
      <c r="B440" s="29" t="inlineStr">
        <is>
          <t>00591441</t>
        </is>
      </c>
      <c r="C440" s="29" t="inlineStr">
        <is>
          <t>어보브반도체</t>
        </is>
      </c>
      <c r="D440" s="29" t="inlineStr">
        <is>
          <t>abov</t>
        </is>
      </c>
      <c r="E440" s="29" t="inlineStr">
        <is>
          <t>102120</t>
        </is>
      </c>
      <c r="F440" s="29" t="inlineStr">
        <is>
          <t>2023</t>
        </is>
      </c>
      <c r="G440" s="29" t="inlineStr">
        <is>
          <t>CFS</t>
        </is>
      </c>
      <c r="H440" s="29" t="inlineStr">
        <is>
          <t>CIS</t>
        </is>
      </c>
      <c r="I440" s="29" t="inlineStr">
        <is>
          <t>포괄손익계산서</t>
        </is>
      </c>
      <c r="J440" s="29" t="inlineStr">
        <is>
          <t>-표준계정코드 미사용-</t>
        </is>
      </c>
      <c r="K440" s="29" t="inlineStr">
        <is>
          <t>지분법 자본변동</t>
        </is>
      </c>
      <c r="L440" s="29" t="inlineStr">
        <is>
          <t>-</t>
        </is>
      </c>
      <c r="M440" s="29" t="inlineStr">
        <is>
          <t>제 18 기</t>
        </is>
      </c>
      <c r="N440" s="29" t="inlineStr">
        <is>
          <t>-12948565.0</t>
        </is>
      </c>
      <c r="O440" s="29" t="inlineStr">
        <is>
          <t>13168034.0</t>
        </is>
      </c>
      <c r="P440" s="29" t="inlineStr">
        <is>
          <t>KRW</t>
        </is>
      </c>
      <c r="Q440" s="29" t="inlineStr">
        <is>
          <t>29</t>
        </is>
      </c>
    </row>
    <row r="441" ht="24" customHeight="1">
      <c r="A441" s="24" t="inlineStr">
        <is>
          <t>OpenDART_fnlttSinglAcntAll</t>
        </is>
      </c>
      <c r="B441" s="24" t="inlineStr">
        <is>
          <t>00591441</t>
        </is>
      </c>
      <c r="C441" s="24" t="inlineStr">
        <is>
          <t>어보브반도체</t>
        </is>
      </c>
      <c r="D441" s="24" t="inlineStr">
        <is>
          <t>abov</t>
        </is>
      </c>
      <c r="E441" s="24" t="inlineStr">
        <is>
          <t>102120</t>
        </is>
      </c>
      <c r="F441" s="24" t="inlineStr">
        <is>
          <t>2023</t>
        </is>
      </c>
      <c r="G441" s="24" t="inlineStr">
        <is>
          <t>CFS</t>
        </is>
      </c>
      <c r="H441" s="24" t="inlineStr">
        <is>
          <t>CIS</t>
        </is>
      </c>
      <c r="I441" s="24" t="inlineStr">
        <is>
          <t>포괄손익계산서</t>
        </is>
      </c>
      <c r="J441" s="24" t="inlineStr">
        <is>
          <t>ifrs-full_OtherComprehensiveIncomeNetOfTaxGainsLossesOnRemeasurementsOfDefinedBenefitPlans</t>
        </is>
      </c>
      <c r="K441" s="24" t="inlineStr">
        <is>
          <t>순확정급여부채의 재측정요소</t>
        </is>
      </c>
      <c r="L441" s="24" t="inlineStr">
        <is>
          <t>-</t>
        </is>
      </c>
      <c r="M441" s="24" t="inlineStr">
        <is>
          <t>제 18 기</t>
        </is>
      </c>
      <c r="N441" s="24" t="inlineStr">
        <is>
          <t>-643869713.0</t>
        </is>
      </c>
      <c r="O441" s="24" t="inlineStr">
        <is>
          <t>-106410356.0</t>
        </is>
      </c>
      <c r="P441" s="24" t="inlineStr">
        <is>
          <t>KRW</t>
        </is>
      </c>
      <c r="Q441" s="24" t="inlineStr">
        <is>
          <t>30</t>
        </is>
      </c>
    </row>
    <row r="442" ht="24" customHeight="1">
      <c r="A442" s="29" t="inlineStr">
        <is>
          <t>OpenDART_fnlttSinglAcntAll</t>
        </is>
      </c>
      <c r="B442" s="29" t="inlineStr">
        <is>
          <t>00591441</t>
        </is>
      </c>
      <c r="C442" s="29" t="inlineStr">
        <is>
          <t>어보브반도체</t>
        </is>
      </c>
      <c r="D442" s="29" t="inlineStr">
        <is>
          <t>abov</t>
        </is>
      </c>
      <c r="E442" s="29" t="inlineStr">
        <is>
          <t>102120</t>
        </is>
      </c>
      <c r="F442" s="29" t="inlineStr">
        <is>
          <t>2023</t>
        </is>
      </c>
      <c r="G442" s="29" t="inlineStr">
        <is>
          <t>CFS</t>
        </is>
      </c>
      <c r="H442" s="29" t="inlineStr">
        <is>
          <t>CIS</t>
        </is>
      </c>
      <c r="I442" s="29" t="inlineStr">
        <is>
          <t>포괄손익계산서</t>
        </is>
      </c>
      <c r="J442" s="29" t="inlineStr">
        <is>
          <t>ifrs-full_ProfitLoss</t>
        </is>
      </c>
      <c r="K442" s="29" t="inlineStr">
        <is>
          <t>당기순이익(손실)</t>
        </is>
      </c>
      <c r="L442" s="29" t="inlineStr">
        <is>
          <t>-</t>
        </is>
      </c>
      <c r="M442" s="29" t="inlineStr">
        <is>
          <t>제 18 기</t>
        </is>
      </c>
      <c r="N442" s="29" t="inlineStr">
        <is>
          <t>-33443728959.0</t>
        </is>
      </c>
      <c r="O442" s="29" t="inlineStr">
        <is>
          <t>12654577621.0</t>
        </is>
      </c>
      <c r="P442" s="29" t="inlineStr">
        <is>
          <t>KRW</t>
        </is>
      </c>
      <c r="Q442" s="29" t="inlineStr">
        <is>
          <t>31</t>
        </is>
      </c>
    </row>
    <row r="443" ht="24" customHeight="1">
      <c r="A443" s="24" t="inlineStr">
        <is>
          <t>OpenDART_fnlttSinglAcntAll</t>
        </is>
      </c>
      <c r="B443" s="24" t="inlineStr">
        <is>
          <t>00591441</t>
        </is>
      </c>
      <c r="C443" s="24" t="inlineStr">
        <is>
          <t>어보브반도체</t>
        </is>
      </c>
      <c r="D443" s="24" t="inlineStr">
        <is>
          <t>abov</t>
        </is>
      </c>
      <c r="E443" s="24" t="inlineStr">
        <is>
          <t>102120</t>
        </is>
      </c>
      <c r="F443" s="24" t="inlineStr">
        <is>
          <t>2023</t>
        </is>
      </c>
      <c r="G443" s="24" t="inlineStr">
        <is>
          <t>CFS</t>
        </is>
      </c>
      <c r="H443" s="24" t="inlineStr">
        <is>
          <t>CIS</t>
        </is>
      </c>
      <c r="I443" s="24" t="inlineStr">
        <is>
          <t>포괄손익계산서</t>
        </is>
      </c>
      <c r="J443" s="24" t="inlineStr">
        <is>
          <t>ifrs-full_ProfitLossAttributableToNoncontrollingInterests</t>
        </is>
      </c>
      <c r="K443" s="24" t="inlineStr">
        <is>
          <t>비지배지분</t>
        </is>
      </c>
      <c r="L443" s="24" t="inlineStr">
        <is>
          <t>-</t>
        </is>
      </c>
      <c r="M443" s="24" t="inlineStr">
        <is>
          <t>제 18 기</t>
        </is>
      </c>
      <c r="N443" s="24" t="inlineStr">
        <is>
          <t>-20898921546.0</t>
        </is>
      </c>
      <c r="O443" s="24" t="inlineStr">
        <is>
          <t>207403641.0</t>
        </is>
      </c>
      <c r="P443" s="24" t="inlineStr">
        <is>
          <t>KRW</t>
        </is>
      </c>
      <c r="Q443" s="24" t="inlineStr">
        <is>
          <t>33</t>
        </is>
      </c>
    </row>
    <row r="444" ht="24" customHeight="1">
      <c r="A444" s="29" t="inlineStr">
        <is>
          <t>OpenDART_fnlttSinglAcntAll</t>
        </is>
      </c>
      <c r="B444" s="29" t="inlineStr">
        <is>
          <t>00591441</t>
        </is>
      </c>
      <c r="C444" s="29" t="inlineStr">
        <is>
          <t>어보브반도체</t>
        </is>
      </c>
      <c r="D444" s="29" t="inlineStr">
        <is>
          <t>abov</t>
        </is>
      </c>
      <c r="E444" s="29" t="inlineStr">
        <is>
          <t>102120</t>
        </is>
      </c>
      <c r="F444" s="29" t="inlineStr">
        <is>
          <t>2023</t>
        </is>
      </c>
      <c r="G444" s="29" t="inlineStr">
        <is>
          <t>CFS</t>
        </is>
      </c>
      <c r="H444" s="29" t="inlineStr">
        <is>
          <t>CIS</t>
        </is>
      </c>
      <c r="I444" s="29" t="inlineStr">
        <is>
          <t>포괄손익계산서</t>
        </is>
      </c>
      <c r="J444" s="29" t="inlineStr">
        <is>
          <t>ifrs-full_ProfitLossAttributableToOwnersOfParent</t>
        </is>
      </c>
      <c r="K444" s="29" t="inlineStr">
        <is>
          <t>지배기업의 소유지분</t>
        </is>
      </c>
      <c r="L444" s="29" t="inlineStr">
        <is>
          <t>-</t>
        </is>
      </c>
      <c r="M444" s="29" t="inlineStr">
        <is>
          <t>제 18 기</t>
        </is>
      </c>
      <c r="N444" s="29" t="inlineStr">
        <is>
          <t>-12544807413.0</t>
        </is>
      </c>
      <c r="O444" s="29" t="inlineStr">
        <is>
          <t>12447173980.0</t>
        </is>
      </c>
      <c r="P444" s="29" t="inlineStr">
        <is>
          <t>KRW</t>
        </is>
      </c>
      <c r="Q444" s="29" t="inlineStr">
        <is>
          <t>34</t>
        </is>
      </c>
    </row>
    <row r="445" ht="24" customHeight="1">
      <c r="A445" s="24" t="inlineStr">
        <is>
          <t>OpenDART_fnlttSinglAcntAll</t>
        </is>
      </c>
      <c r="B445" s="24" t="inlineStr">
        <is>
          <t>00591441</t>
        </is>
      </c>
      <c r="C445" s="24" t="inlineStr">
        <is>
          <t>어보브반도체</t>
        </is>
      </c>
      <c r="D445" s="24" t="inlineStr">
        <is>
          <t>abov</t>
        </is>
      </c>
      <c r="E445" s="24" t="inlineStr">
        <is>
          <t>102120</t>
        </is>
      </c>
      <c r="F445" s="24" t="inlineStr">
        <is>
          <t>2023</t>
        </is>
      </c>
      <c r="G445" s="24" t="inlineStr">
        <is>
          <t>CFS</t>
        </is>
      </c>
      <c r="H445" s="24" t="inlineStr">
        <is>
          <t>CIS</t>
        </is>
      </c>
      <c r="I445" s="24" t="inlineStr">
        <is>
          <t>포괄손익계산서</t>
        </is>
      </c>
      <c r="J445" s="24" t="inlineStr">
        <is>
          <t>ifrs-full_ProfitLossBeforeTax</t>
        </is>
      </c>
      <c r="K445" s="24" t="inlineStr">
        <is>
          <t>법인세비용차감전순이익(손실)</t>
        </is>
      </c>
      <c r="L445" s="24" t="inlineStr">
        <is>
          <t>-</t>
        </is>
      </c>
      <c r="M445" s="24" t="inlineStr">
        <is>
          <t>제 18 기</t>
        </is>
      </c>
      <c r="N445" s="24" t="inlineStr">
        <is>
          <t>-26049478973.0</t>
        </is>
      </c>
      <c r="O445" s="24" t="inlineStr">
        <is>
          <t>14380083677.0</t>
        </is>
      </c>
      <c r="P445" s="24" t="inlineStr">
        <is>
          <t>KRW</t>
        </is>
      </c>
      <c r="Q445" s="24" t="inlineStr">
        <is>
          <t>35</t>
        </is>
      </c>
    </row>
    <row r="446" ht="24" customHeight="1">
      <c r="A446" s="29" t="inlineStr">
        <is>
          <t>OpenDART_fnlttSinglAcntAll</t>
        </is>
      </c>
      <c r="B446" s="29" t="inlineStr">
        <is>
          <t>00591441</t>
        </is>
      </c>
      <c r="C446" s="29" t="inlineStr">
        <is>
          <t>어보브반도체</t>
        </is>
      </c>
      <c r="D446" s="29" t="inlineStr">
        <is>
          <t>abov</t>
        </is>
      </c>
      <c r="E446" s="29" t="inlineStr">
        <is>
          <t>102120</t>
        </is>
      </c>
      <c r="F446" s="29" t="inlineStr">
        <is>
          <t>2023</t>
        </is>
      </c>
      <c r="G446" s="29" t="inlineStr">
        <is>
          <t>CFS</t>
        </is>
      </c>
      <c r="H446" s="29" t="inlineStr">
        <is>
          <t>CIS</t>
        </is>
      </c>
      <c r="I446" s="29" t="inlineStr">
        <is>
          <t>포괄손익계산서</t>
        </is>
      </c>
      <c r="J446" s="29" t="inlineStr">
        <is>
          <t>ifrs-full_Revenue</t>
        </is>
      </c>
      <c r="K446" s="29" t="inlineStr">
        <is>
          <t>수익(매출액)</t>
        </is>
      </c>
      <c r="L446" s="29" t="inlineStr">
        <is>
          <t>-</t>
        </is>
      </c>
      <c r="M446" s="29" t="inlineStr">
        <is>
          <t>제 18 기</t>
        </is>
      </c>
      <c r="N446" s="29" t="inlineStr">
        <is>
          <t>232436389092.0</t>
        </is>
      </c>
      <c r="O446" s="29" t="inlineStr">
        <is>
          <t>242576796583.0</t>
        </is>
      </c>
      <c r="P446" s="29" t="inlineStr">
        <is>
          <t>KRW</t>
        </is>
      </c>
      <c r="Q446" s="29" t="inlineStr">
        <is>
          <t>36</t>
        </is>
      </c>
    </row>
    <row r="447" ht="24" customHeight="1">
      <c r="A447" s="24" t="inlineStr">
        <is>
          <t>OpenDART_fnlttSinglAcntAll</t>
        </is>
      </c>
      <c r="B447" s="24" t="inlineStr">
        <is>
          <t>00591441</t>
        </is>
      </c>
      <c r="C447" s="24" t="inlineStr">
        <is>
          <t>어보브반도체</t>
        </is>
      </c>
      <c r="D447" s="24" t="inlineStr">
        <is>
          <t>abov</t>
        </is>
      </c>
      <c r="E447" s="24" t="inlineStr">
        <is>
          <t>102120</t>
        </is>
      </c>
      <c r="F447" s="24" t="inlineStr">
        <is>
          <t>2023</t>
        </is>
      </c>
      <c r="G447" s="24" t="inlineStr">
        <is>
          <t>CFS</t>
        </is>
      </c>
      <c r="H447" s="24" t="inlineStr">
        <is>
          <t>CIS</t>
        </is>
      </c>
      <c r="I447" s="24" t="inlineStr">
        <is>
          <t>포괄손익계산서</t>
        </is>
      </c>
      <c r="J447" s="24" t="inlineStr">
        <is>
          <t>dart_RevenueFromSaleOfGoodsMerchandise</t>
        </is>
      </c>
      <c r="K447" s="24" t="inlineStr">
        <is>
          <t>상품매출액</t>
        </is>
      </c>
      <c r="L447" s="24" t="inlineStr">
        <is>
          <t>-</t>
        </is>
      </c>
      <c r="M447" s="24" t="inlineStr">
        <is>
          <t>제 18 기</t>
        </is>
      </c>
      <c r="N447" s="24" t="inlineStr">
        <is>
          <t>3091636722.0</t>
        </is>
      </c>
      <c r="O447" s="24" t="inlineStr">
        <is>
          <t>2086989343.0</t>
        </is>
      </c>
      <c r="P447" s="24" t="inlineStr">
        <is>
          <t>KRW</t>
        </is>
      </c>
      <c r="Q447" s="24" t="inlineStr">
        <is>
          <t>37</t>
        </is>
      </c>
    </row>
    <row r="448" ht="24" customHeight="1">
      <c r="A448" s="29" t="inlineStr">
        <is>
          <t>OpenDART_fnlttSinglAcntAll</t>
        </is>
      </c>
      <c r="B448" s="29" t="inlineStr">
        <is>
          <t>00591441</t>
        </is>
      </c>
      <c r="C448" s="29" t="inlineStr">
        <is>
          <t>어보브반도체</t>
        </is>
      </c>
      <c r="D448" s="29" t="inlineStr">
        <is>
          <t>abov</t>
        </is>
      </c>
      <c r="E448" s="29" t="inlineStr">
        <is>
          <t>102120</t>
        </is>
      </c>
      <c r="F448" s="29" t="inlineStr">
        <is>
          <t>2023</t>
        </is>
      </c>
      <c r="G448" s="29" t="inlineStr">
        <is>
          <t>CFS</t>
        </is>
      </c>
      <c r="H448" s="29" t="inlineStr">
        <is>
          <t>CIS</t>
        </is>
      </c>
      <c r="I448" s="29" t="inlineStr">
        <is>
          <t>포괄손익계산서</t>
        </is>
      </c>
      <c r="J448" s="29" t="inlineStr">
        <is>
          <t>dart_RevenueFromSaleOfGoodsProduct</t>
        </is>
      </c>
      <c r="K448" s="29" t="inlineStr">
        <is>
          <t>제품매출액</t>
        </is>
      </c>
      <c r="L448" s="29" t="inlineStr">
        <is>
          <t>-</t>
        </is>
      </c>
      <c r="M448" s="29" t="inlineStr">
        <is>
          <t>제 18 기</t>
        </is>
      </c>
      <c r="N448" s="29" t="inlineStr">
        <is>
          <t>229344752370.0</t>
        </is>
      </c>
      <c r="O448" s="29" t="inlineStr">
        <is>
          <t>240489807240.0</t>
        </is>
      </c>
      <c r="P448" s="29" t="inlineStr">
        <is>
          <t>KRW</t>
        </is>
      </c>
      <c r="Q448" s="29" t="inlineStr">
        <is>
          <t>38</t>
        </is>
      </c>
    </row>
    <row r="449" ht="24" customHeight="1">
      <c r="A449" s="24" t="inlineStr">
        <is>
          <t>OpenDART_fnlttSinglAcntAll</t>
        </is>
      </c>
      <c r="B449" s="24" t="inlineStr">
        <is>
          <t>00591441</t>
        </is>
      </c>
      <c r="C449" s="24" t="inlineStr">
        <is>
          <t>어보브반도체</t>
        </is>
      </c>
      <c r="D449" s="24" t="inlineStr">
        <is>
          <t>abov</t>
        </is>
      </c>
      <c r="E449" s="24" t="inlineStr">
        <is>
          <t>102120</t>
        </is>
      </c>
      <c r="F449" s="24" t="inlineStr">
        <is>
          <t>2023</t>
        </is>
      </c>
      <c r="G449" s="24" t="inlineStr">
        <is>
          <t>CFS</t>
        </is>
      </c>
      <c r="H449" s="24" t="inlineStr">
        <is>
          <t>CF</t>
        </is>
      </c>
      <c r="I449" s="24" t="inlineStr">
        <is>
          <t>현금흐름표</t>
        </is>
      </c>
      <c r="J449" s="24" t="inlineStr">
        <is>
          <t>dart_CashAndCashEquivalentsAtBeginningOfPeriodCf</t>
        </is>
      </c>
      <c r="K449" s="24" t="inlineStr">
        <is>
          <t>기초현금및현금성자산</t>
        </is>
      </c>
      <c r="L449" s="24" t="inlineStr">
        <is>
          <t>-</t>
        </is>
      </c>
      <c r="M449" s="24" t="inlineStr">
        <is>
          <t>제 18 기</t>
        </is>
      </c>
      <c r="N449" s="24" t="inlineStr">
        <is>
          <t>20717623910.0</t>
        </is>
      </c>
      <c r="O449" s="24" t="inlineStr">
        <is>
          <t>7288235212.0</t>
        </is>
      </c>
      <c r="P449" s="24" t="inlineStr">
        <is>
          <t>KRW</t>
        </is>
      </c>
      <c r="Q449" s="24" t="inlineStr">
        <is>
          <t>2</t>
        </is>
      </c>
    </row>
    <row r="450" ht="24" customHeight="1">
      <c r="A450" s="29" t="inlineStr">
        <is>
          <t>OpenDART_fnlttSinglAcntAll</t>
        </is>
      </c>
      <c r="B450" s="29" t="inlineStr">
        <is>
          <t>00591441</t>
        </is>
      </c>
      <c r="C450" s="29" t="inlineStr">
        <is>
          <t>어보브반도체</t>
        </is>
      </c>
      <c r="D450" s="29" t="inlineStr">
        <is>
          <t>abov</t>
        </is>
      </c>
      <c r="E450" s="29" t="inlineStr">
        <is>
          <t>102120</t>
        </is>
      </c>
      <c r="F450" s="29" t="inlineStr">
        <is>
          <t>2023</t>
        </is>
      </c>
      <c r="G450" s="29" t="inlineStr">
        <is>
          <t>CFS</t>
        </is>
      </c>
      <c r="H450" s="29" t="inlineStr">
        <is>
          <t>CF</t>
        </is>
      </c>
      <c r="I450" s="29" t="inlineStr">
        <is>
          <t>현금흐름표</t>
        </is>
      </c>
      <c r="J450" s="29" t="inlineStr">
        <is>
          <t>dart_CashAndCashEquivalentsAtEndOfPeriodCf</t>
        </is>
      </c>
      <c r="K450" s="29" t="inlineStr">
        <is>
          <t>기말현금및현금성자산</t>
        </is>
      </c>
      <c r="L450" s="29" t="inlineStr">
        <is>
          <t>-</t>
        </is>
      </c>
      <c r="M450" s="29" t="inlineStr">
        <is>
          <t>제 18 기</t>
        </is>
      </c>
      <c r="N450" s="29" t="inlineStr">
        <is>
          <t>43417473689.0</t>
        </is>
      </c>
      <c r="O450" s="29" t="inlineStr">
        <is>
          <t>20717623910.0</t>
        </is>
      </c>
      <c r="P450" s="29" t="inlineStr">
        <is>
          <t>KRW</t>
        </is>
      </c>
      <c r="Q450" s="29" t="inlineStr">
        <is>
          <t>3</t>
        </is>
      </c>
    </row>
    <row r="451" ht="24" customHeight="1">
      <c r="A451" s="24" t="inlineStr">
        <is>
          <t>OpenDART_fnlttSinglAcntAll</t>
        </is>
      </c>
      <c r="B451" s="24" t="inlineStr">
        <is>
          <t>00591441</t>
        </is>
      </c>
      <c r="C451" s="24" t="inlineStr">
        <is>
          <t>어보브반도체</t>
        </is>
      </c>
      <c r="D451" s="24" t="inlineStr">
        <is>
          <t>abov</t>
        </is>
      </c>
      <c r="E451" s="24" t="inlineStr">
        <is>
          <t>102120</t>
        </is>
      </c>
      <c r="F451" s="24" t="inlineStr">
        <is>
          <t>2023</t>
        </is>
      </c>
      <c r="G451" s="24" t="inlineStr">
        <is>
          <t>CFS</t>
        </is>
      </c>
      <c r="H451" s="24" t="inlineStr">
        <is>
          <t>CF</t>
        </is>
      </c>
      <c r="I451" s="24" t="inlineStr">
        <is>
          <t>현금흐름표</t>
        </is>
      </c>
      <c r="J451" s="24" t="inlineStr">
        <is>
          <t>ifrs-full_CashFlowsFromUsedInFinancingActivities</t>
        </is>
      </c>
      <c r="K451" s="24" t="inlineStr">
        <is>
          <t>재무활동현금흐름</t>
        </is>
      </c>
      <c r="L451" s="24" t="inlineStr">
        <is>
          <t>-</t>
        </is>
      </c>
      <c r="M451" s="24" t="inlineStr">
        <is>
          <t>제 18 기</t>
        </is>
      </c>
      <c r="N451" s="24" t="inlineStr">
        <is>
          <t>4688471727.0</t>
        </is>
      </c>
      <c r="O451" s="24" t="inlineStr">
        <is>
          <t>33013042987.0</t>
        </is>
      </c>
      <c r="P451" s="24" t="inlineStr">
        <is>
          <t>KRW</t>
        </is>
      </c>
      <c r="Q451" s="24" t="inlineStr">
        <is>
          <t>8</t>
        </is>
      </c>
    </row>
    <row r="452" ht="24" customHeight="1">
      <c r="A452" s="29" t="inlineStr">
        <is>
          <t>OpenDART_fnlttSinglAcntAll</t>
        </is>
      </c>
      <c r="B452" s="29" t="inlineStr">
        <is>
          <t>00591441</t>
        </is>
      </c>
      <c r="C452" s="29" t="inlineStr">
        <is>
          <t>어보브반도체</t>
        </is>
      </c>
      <c r="D452" s="29" t="inlineStr">
        <is>
          <t>abov</t>
        </is>
      </c>
      <c r="E452" s="29" t="inlineStr">
        <is>
          <t>102120</t>
        </is>
      </c>
      <c r="F452" s="29" t="inlineStr">
        <is>
          <t>2023</t>
        </is>
      </c>
      <c r="G452" s="29" t="inlineStr">
        <is>
          <t>CFS</t>
        </is>
      </c>
      <c r="H452" s="29" t="inlineStr">
        <is>
          <t>CF</t>
        </is>
      </c>
      <c r="I452" s="29" t="inlineStr">
        <is>
          <t>현금흐름표</t>
        </is>
      </c>
      <c r="J452" s="29" t="inlineStr">
        <is>
          <t>dart_AcquisitionOfTreasuryShares</t>
        </is>
      </c>
      <c r="K452" s="29" t="inlineStr">
        <is>
          <t>자기주식의 취득</t>
        </is>
      </c>
      <c r="L452" s="29" t="inlineStr">
        <is>
          <t>-</t>
        </is>
      </c>
      <c r="M452" s="29" t="inlineStr">
        <is>
          <t>제 18 기</t>
        </is>
      </c>
      <c r="N452" s="29" t="inlineStr">
        <is>
          <t>해당 없음</t>
        </is>
      </c>
      <c r="O452" s="29" t="inlineStr">
        <is>
          <t>4993987200.0</t>
        </is>
      </c>
      <c r="P452" s="29" t="inlineStr">
        <is>
          <t>KRW</t>
        </is>
      </c>
      <c r="Q452" s="29" t="inlineStr">
        <is>
          <t>9</t>
        </is>
      </c>
    </row>
    <row r="453" ht="24" customHeight="1">
      <c r="A453" s="24" t="inlineStr">
        <is>
          <t>OpenDART_fnlttSinglAcntAll</t>
        </is>
      </c>
      <c r="B453" s="24" t="inlineStr">
        <is>
          <t>00591441</t>
        </is>
      </c>
      <c r="C453" s="24" t="inlineStr">
        <is>
          <t>어보브반도체</t>
        </is>
      </c>
      <c r="D453" s="24" t="inlineStr">
        <is>
          <t>abov</t>
        </is>
      </c>
      <c r="E453" s="24" t="inlineStr">
        <is>
          <t>102120</t>
        </is>
      </c>
      <c r="F453" s="24" t="inlineStr">
        <is>
          <t>2023</t>
        </is>
      </c>
      <c r="G453" s="24" t="inlineStr">
        <is>
          <t>CFS</t>
        </is>
      </c>
      <c r="H453" s="24" t="inlineStr">
        <is>
          <t>CF</t>
        </is>
      </c>
      <c r="I453" s="24" t="inlineStr">
        <is>
          <t>현금흐름표</t>
        </is>
      </c>
      <c r="J453" s="24" t="inlineStr">
        <is>
          <t>dart_DispositionOfTreasuryShares</t>
        </is>
      </c>
      <c r="K453" s="24" t="inlineStr">
        <is>
          <t>자기주식의 처분</t>
        </is>
      </c>
      <c r="L453" s="24" t="inlineStr">
        <is>
          <t>-</t>
        </is>
      </c>
      <c r="M453" s="24" t="inlineStr">
        <is>
          <t>제 18 기</t>
        </is>
      </c>
      <c r="N453" s="24" t="inlineStr">
        <is>
          <t>해당 없음</t>
        </is>
      </c>
      <c r="O453" s="24" t="inlineStr">
        <is>
          <t>해당 없음</t>
        </is>
      </c>
      <c r="P453" s="24" t="inlineStr">
        <is>
          <t>KRW</t>
        </is>
      </c>
      <c r="Q453" s="24" t="inlineStr">
        <is>
          <t>10</t>
        </is>
      </c>
    </row>
    <row r="454" ht="24" customHeight="1">
      <c r="A454" s="29" t="inlineStr">
        <is>
          <t>OpenDART_fnlttSinglAcntAll</t>
        </is>
      </c>
      <c r="B454" s="29" t="inlineStr">
        <is>
          <t>00591441</t>
        </is>
      </c>
      <c r="C454" s="29" t="inlineStr">
        <is>
          <t>어보브반도체</t>
        </is>
      </c>
      <c r="D454" s="29" t="inlineStr">
        <is>
          <t>abov</t>
        </is>
      </c>
      <c r="E454" s="29" t="inlineStr">
        <is>
          <t>102120</t>
        </is>
      </c>
      <c r="F454" s="29" t="inlineStr">
        <is>
          <t>2023</t>
        </is>
      </c>
      <c r="G454" s="29" t="inlineStr">
        <is>
          <t>CFS</t>
        </is>
      </c>
      <c r="H454" s="29" t="inlineStr">
        <is>
          <t>CF</t>
        </is>
      </c>
      <c r="I454" s="29" t="inlineStr">
        <is>
          <t>현금흐름표</t>
        </is>
      </c>
      <c r="J454" s="29" t="inlineStr">
        <is>
          <t>dart_ProceedsFromBondWithWarrant</t>
        </is>
      </c>
      <c r="K454" s="29" t="inlineStr">
        <is>
          <t>신주인수권부사채의 발행</t>
        </is>
      </c>
      <c r="L454" s="29" t="inlineStr">
        <is>
          <t>-</t>
        </is>
      </c>
      <c r="M454" s="29" t="inlineStr">
        <is>
          <t>제 18 기</t>
        </is>
      </c>
      <c r="N454" s="29" t="inlineStr">
        <is>
          <t>3960000000.0</t>
        </is>
      </c>
      <c r="O454" s="29" t="inlineStr">
        <is>
          <t>해당 없음</t>
        </is>
      </c>
      <c r="P454" s="29" t="inlineStr">
        <is>
          <t>KRW</t>
        </is>
      </c>
      <c r="Q454" s="29" t="inlineStr">
        <is>
          <t>11</t>
        </is>
      </c>
    </row>
    <row r="455" ht="24" customHeight="1">
      <c r="A455" s="24" t="inlineStr">
        <is>
          <t>OpenDART_fnlttSinglAcntAll</t>
        </is>
      </c>
      <c r="B455" s="24" t="inlineStr">
        <is>
          <t>00591441</t>
        </is>
      </c>
      <c r="C455" s="24" t="inlineStr">
        <is>
          <t>어보브반도체</t>
        </is>
      </c>
      <c r="D455" s="24" t="inlineStr">
        <is>
          <t>abov</t>
        </is>
      </c>
      <c r="E455" s="24" t="inlineStr">
        <is>
          <t>102120</t>
        </is>
      </c>
      <c r="F455" s="24" t="inlineStr">
        <is>
          <t>2023</t>
        </is>
      </c>
      <c r="G455" s="24" t="inlineStr">
        <is>
          <t>CFS</t>
        </is>
      </c>
      <c r="H455" s="24" t="inlineStr">
        <is>
          <t>CF</t>
        </is>
      </c>
      <c r="I455" s="24" t="inlineStr">
        <is>
          <t>현금흐름표</t>
        </is>
      </c>
      <c r="J455" s="24" t="inlineStr">
        <is>
          <t>dart_ProceedsFromConvertibleBonds</t>
        </is>
      </c>
      <c r="K455" s="24" t="inlineStr">
        <is>
          <t>전환사채의 발행</t>
        </is>
      </c>
      <c r="L455" s="24" t="inlineStr">
        <is>
          <t>-</t>
        </is>
      </c>
      <c r="M455" s="24" t="inlineStr">
        <is>
          <t>제 18 기</t>
        </is>
      </c>
      <c r="N455" s="24" t="inlineStr">
        <is>
          <t>11880000000.0</t>
        </is>
      </c>
      <c r="O455" s="24" t="inlineStr">
        <is>
          <t>해당 없음</t>
        </is>
      </c>
      <c r="P455" s="24" t="inlineStr">
        <is>
          <t>KRW</t>
        </is>
      </c>
      <c r="Q455" s="24" t="inlineStr">
        <is>
          <t>12</t>
        </is>
      </c>
    </row>
    <row r="456" ht="24" customHeight="1">
      <c r="A456" s="29" t="inlineStr">
        <is>
          <t>OpenDART_fnlttSinglAcntAll</t>
        </is>
      </c>
      <c r="B456" s="29" t="inlineStr">
        <is>
          <t>00591441</t>
        </is>
      </c>
      <c r="C456" s="29" t="inlineStr">
        <is>
          <t>어보브반도체</t>
        </is>
      </c>
      <c r="D456" s="29" t="inlineStr">
        <is>
          <t>abov</t>
        </is>
      </c>
      <c r="E456" s="29" t="inlineStr">
        <is>
          <t>102120</t>
        </is>
      </c>
      <c r="F456" s="29" t="inlineStr">
        <is>
          <t>2023</t>
        </is>
      </c>
      <c r="G456" s="29" t="inlineStr">
        <is>
          <t>CFS</t>
        </is>
      </c>
      <c r="H456" s="29" t="inlineStr">
        <is>
          <t>CF</t>
        </is>
      </c>
      <c r="I456" s="29" t="inlineStr">
        <is>
          <t>현금흐름표</t>
        </is>
      </c>
      <c r="J456" s="29" t="inlineStr">
        <is>
          <t>dart_ProceedsFromExerciseOfShareOptions</t>
        </is>
      </c>
      <c r="K456" s="29" t="inlineStr">
        <is>
          <t>주식매입선택권의 행사</t>
        </is>
      </c>
      <c r="L456" s="29" t="inlineStr">
        <is>
          <t>-</t>
        </is>
      </c>
      <c r="M456" s="29" t="inlineStr">
        <is>
          <t>제 18 기</t>
        </is>
      </c>
      <c r="N456" s="29" t="inlineStr">
        <is>
          <t>해당 없음</t>
        </is>
      </c>
      <c r="O456" s="29" t="inlineStr">
        <is>
          <t>해당 없음</t>
        </is>
      </c>
      <c r="P456" s="29" t="inlineStr">
        <is>
          <t>KRW</t>
        </is>
      </c>
      <c r="Q456" s="29" t="inlineStr">
        <is>
          <t>13</t>
        </is>
      </c>
    </row>
    <row r="457" ht="24" customHeight="1">
      <c r="A457" s="24" t="inlineStr">
        <is>
          <t>OpenDART_fnlttSinglAcntAll</t>
        </is>
      </c>
      <c r="B457" s="24" t="inlineStr">
        <is>
          <t>00591441</t>
        </is>
      </c>
      <c r="C457" s="24" t="inlineStr">
        <is>
          <t>어보브반도체</t>
        </is>
      </c>
      <c r="D457" s="24" t="inlineStr">
        <is>
          <t>abov</t>
        </is>
      </c>
      <c r="E457" s="24" t="inlineStr">
        <is>
          <t>102120</t>
        </is>
      </c>
      <c r="F457" s="24" t="inlineStr">
        <is>
          <t>2023</t>
        </is>
      </c>
      <c r="G457" s="24" t="inlineStr">
        <is>
          <t>CFS</t>
        </is>
      </c>
      <c r="H457" s="24" t="inlineStr">
        <is>
          <t>CF</t>
        </is>
      </c>
      <c r="I457" s="24" t="inlineStr">
        <is>
          <t>현금흐름표</t>
        </is>
      </c>
      <c r="J457" s="24" t="inlineStr">
        <is>
          <t>dart_ProceedsFromLongTermBorrowings</t>
        </is>
      </c>
      <c r="K457" s="24" t="inlineStr">
        <is>
          <t>장기차입금의 차입</t>
        </is>
      </c>
      <c r="L457" s="24" t="inlineStr">
        <is>
          <t>-</t>
        </is>
      </c>
      <c r="M457" s="24" t="inlineStr">
        <is>
          <t>제 18 기</t>
        </is>
      </c>
      <c r="N457" s="24" t="inlineStr">
        <is>
          <t>10000000000.0</t>
        </is>
      </c>
      <c r="O457" s="24" t="inlineStr">
        <is>
          <t>1900000000.0</t>
        </is>
      </c>
      <c r="P457" s="24" t="inlineStr">
        <is>
          <t>KRW</t>
        </is>
      </c>
      <c r="Q457" s="24" t="inlineStr">
        <is>
          <t>14</t>
        </is>
      </c>
    </row>
    <row r="458" ht="24" customHeight="1">
      <c r="A458" s="29" t="inlineStr">
        <is>
          <t>OpenDART_fnlttSinglAcntAll</t>
        </is>
      </c>
      <c r="B458" s="29" t="inlineStr">
        <is>
          <t>00591441</t>
        </is>
      </c>
      <c r="C458" s="29" t="inlineStr">
        <is>
          <t>어보브반도체</t>
        </is>
      </c>
      <c r="D458" s="29" t="inlineStr">
        <is>
          <t>abov</t>
        </is>
      </c>
      <c r="E458" s="29" t="inlineStr">
        <is>
          <t>102120</t>
        </is>
      </c>
      <c r="F458" s="29" t="inlineStr">
        <is>
          <t>2023</t>
        </is>
      </c>
      <c r="G458" s="29" t="inlineStr">
        <is>
          <t>CFS</t>
        </is>
      </c>
      <c r="H458" s="29" t="inlineStr">
        <is>
          <t>CF</t>
        </is>
      </c>
      <c r="I458" s="29" t="inlineStr">
        <is>
          <t>현금흐름표</t>
        </is>
      </c>
      <c r="J458" s="29" t="inlineStr">
        <is>
          <t>dart_RepaymentsOfConvertibleBonds</t>
        </is>
      </c>
      <c r="K458" s="29" t="inlineStr">
        <is>
          <t>전환사채의 상환</t>
        </is>
      </c>
      <c r="L458" s="29" t="inlineStr">
        <is>
          <t>-</t>
        </is>
      </c>
      <c r="M458" s="29" t="inlineStr">
        <is>
          <t>제 18 기</t>
        </is>
      </c>
      <c r="N458" s="29" t="inlineStr">
        <is>
          <t>5000000000.0</t>
        </is>
      </c>
      <c r="O458" s="29" t="inlineStr">
        <is>
          <t>해당 없음</t>
        </is>
      </c>
      <c r="P458" s="29" t="inlineStr">
        <is>
          <t>KRW</t>
        </is>
      </c>
      <c r="Q458" s="29" t="inlineStr">
        <is>
          <t>15</t>
        </is>
      </c>
    </row>
    <row r="459" ht="24" customHeight="1">
      <c r="A459" s="24" t="inlineStr">
        <is>
          <t>OpenDART_fnlttSinglAcntAll</t>
        </is>
      </c>
      <c r="B459" s="24" t="inlineStr">
        <is>
          <t>00591441</t>
        </is>
      </c>
      <c r="C459" s="24" t="inlineStr">
        <is>
          <t>어보브반도체</t>
        </is>
      </c>
      <c r="D459" s="24" t="inlineStr">
        <is>
          <t>abov</t>
        </is>
      </c>
      <c r="E459" s="24" t="inlineStr">
        <is>
          <t>102120</t>
        </is>
      </c>
      <c r="F459" s="24" t="inlineStr">
        <is>
          <t>2023</t>
        </is>
      </c>
      <c r="G459" s="24" t="inlineStr">
        <is>
          <t>CFS</t>
        </is>
      </c>
      <c r="H459" s="24" t="inlineStr">
        <is>
          <t>CF</t>
        </is>
      </c>
      <c r="I459" s="24" t="inlineStr">
        <is>
          <t>현금흐름표</t>
        </is>
      </c>
      <c r="J459" s="24" t="inlineStr">
        <is>
          <t>dart_RepaymentsOfLongTermBorrowings</t>
        </is>
      </c>
      <c r="K459" s="24" t="inlineStr">
        <is>
          <t>장기차입금의 상환</t>
        </is>
      </c>
      <c r="L459" s="24" t="inlineStr">
        <is>
          <t>-</t>
        </is>
      </c>
      <c r="M459" s="24" t="inlineStr">
        <is>
          <t>제 18 기</t>
        </is>
      </c>
      <c r="N459" s="24" t="inlineStr">
        <is>
          <t>833350000.0</t>
        </is>
      </c>
      <c r="O459" s="24" t="inlineStr">
        <is>
          <t>162467272.0</t>
        </is>
      </c>
      <c r="P459" s="24" t="inlineStr">
        <is>
          <t>KRW</t>
        </is>
      </c>
      <c r="Q459" s="24" t="inlineStr">
        <is>
          <t>16</t>
        </is>
      </c>
    </row>
    <row r="460" ht="24" customHeight="1">
      <c r="A460" s="29" t="inlineStr">
        <is>
          <t>OpenDART_fnlttSinglAcntAll</t>
        </is>
      </c>
      <c r="B460" s="29" t="inlineStr">
        <is>
          <t>00591441</t>
        </is>
      </c>
      <c r="C460" s="29" t="inlineStr">
        <is>
          <t>어보브반도체</t>
        </is>
      </c>
      <c r="D460" s="29" t="inlineStr">
        <is>
          <t>abov</t>
        </is>
      </c>
      <c r="E460" s="29" t="inlineStr">
        <is>
          <t>102120</t>
        </is>
      </c>
      <c r="F460" s="29" t="inlineStr">
        <is>
          <t>2023</t>
        </is>
      </c>
      <c r="G460" s="29" t="inlineStr">
        <is>
          <t>CFS</t>
        </is>
      </c>
      <c r="H460" s="29" t="inlineStr">
        <is>
          <t>CF</t>
        </is>
      </c>
      <c r="I460" s="29" t="inlineStr">
        <is>
          <t>현금흐름표</t>
        </is>
      </c>
      <c r="J460" s="29" t="inlineStr">
        <is>
          <t>dart_RepaymentsOfShortTermBorrowings</t>
        </is>
      </c>
      <c r="K460" s="29" t="inlineStr">
        <is>
          <t>단기차입금의 상환</t>
        </is>
      </c>
      <c r="L460" s="29" t="inlineStr">
        <is>
          <t>-</t>
        </is>
      </c>
      <c r="M460" s="29" t="inlineStr">
        <is>
          <t>제 18 기</t>
        </is>
      </c>
      <c r="N460" s="29" t="inlineStr">
        <is>
          <t>12722158929.0</t>
        </is>
      </c>
      <c r="O460" s="29" t="inlineStr">
        <is>
          <t>13752591420.0</t>
        </is>
      </c>
      <c r="P460" s="29" t="inlineStr">
        <is>
          <t>KRW</t>
        </is>
      </c>
      <c r="Q460" s="29" t="inlineStr">
        <is>
          <t>17</t>
        </is>
      </c>
    </row>
    <row r="461" ht="24" customHeight="1">
      <c r="A461" s="24" t="inlineStr">
        <is>
          <t>OpenDART_fnlttSinglAcntAll</t>
        </is>
      </c>
      <c r="B461" s="24" t="inlineStr">
        <is>
          <t>00591441</t>
        </is>
      </c>
      <c r="C461" s="24" t="inlineStr">
        <is>
          <t>어보브반도체</t>
        </is>
      </c>
      <c r="D461" s="24" t="inlineStr">
        <is>
          <t>abov</t>
        </is>
      </c>
      <c r="E461" s="24" t="inlineStr">
        <is>
          <t>102120</t>
        </is>
      </c>
      <c r="F461" s="24" t="inlineStr">
        <is>
          <t>2023</t>
        </is>
      </c>
      <c r="G461" s="24" t="inlineStr">
        <is>
          <t>CFS</t>
        </is>
      </c>
      <c r="H461" s="24" t="inlineStr">
        <is>
          <t>CF</t>
        </is>
      </c>
      <c r="I461" s="24" t="inlineStr">
        <is>
          <t>현금흐름표</t>
        </is>
      </c>
      <c r="J461" s="24" t="inlineStr">
        <is>
          <t>-표준계정코드 미사용-</t>
        </is>
      </c>
      <c r="K461" s="24" t="inlineStr">
        <is>
          <t>유동성장기차입금의 상환</t>
        </is>
      </c>
      <c r="L461" s="24" t="inlineStr">
        <is>
          <t>-</t>
        </is>
      </c>
      <c r="M461" s="24" t="inlineStr">
        <is>
          <t>제 18 기</t>
        </is>
      </c>
      <c r="N461" s="24" t="inlineStr">
        <is>
          <t>15615014191.0</t>
        </is>
      </c>
      <c r="O461" s="24" t="inlineStr">
        <is>
          <t>해당 없음</t>
        </is>
      </c>
      <c r="P461" s="24" t="inlineStr">
        <is>
          <t>KRW</t>
        </is>
      </c>
      <c r="Q461" s="24" t="inlineStr">
        <is>
          <t>18</t>
        </is>
      </c>
    </row>
    <row r="462" ht="24" customHeight="1">
      <c r="A462" s="29" t="inlineStr">
        <is>
          <t>OpenDART_fnlttSinglAcntAll</t>
        </is>
      </c>
      <c r="B462" s="29" t="inlineStr">
        <is>
          <t>00591441</t>
        </is>
      </c>
      <c r="C462" s="29" t="inlineStr">
        <is>
          <t>어보브반도체</t>
        </is>
      </c>
      <c r="D462" s="29" t="inlineStr">
        <is>
          <t>abov</t>
        </is>
      </c>
      <c r="E462" s="29" t="inlineStr">
        <is>
          <t>102120</t>
        </is>
      </c>
      <c r="F462" s="29" t="inlineStr">
        <is>
          <t>2023</t>
        </is>
      </c>
      <c r="G462" s="29" t="inlineStr">
        <is>
          <t>CFS</t>
        </is>
      </c>
      <c r="H462" s="29" t="inlineStr">
        <is>
          <t>CF</t>
        </is>
      </c>
      <c r="I462" s="29" t="inlineStr">
        <is>
          <t>현금흐름표</t>
        </is>
      </c>
      <c r="J462" s="29" t="inlineStr">
        <is>
          <t>-표준계정코드 미사용-</t>
        </is>
      </c>
      <c r="K462" s="29" t="inlineStr">
        <is>
          <t>리스부채의 상환</t>
        </is>
      </c>
      <c r="L462" s="29" t="inlineStr">
        <is>
          <t>-</t>
        </is>
      </c>
      <c r="M462" s="29" t="inlineStr">
        <is>
          <t>제 18 기</t>
        </is>
      </c>
      <c r="N462" s="29" t="inlineStr">
        <is>
          <t>2088074209.0</t>
        </is>
      </c>
      <c r="O462" s="29" t="inlineStr">
        <is>
          <t>1211721644.0</t>
        </is>
      </c>
      <c r="P462" s="29" t="inlineStr">
        <is>
          <t>KRW</t>
        </is>
      </c>
      <c r="Q462" s="29" t="inlineStr">
        <is>
          <t>19</t>
        </is>
      </c>
    </row>
    <row r="463" ht="24" customHeight="1">
      <c r="A463" s="24" t="inlineStr">
        <is>
          <t>OpenDART_fnlttSinglAcntAll</t>
        </is>
      </c>
      <c r="B463" s="24" t="inlineStr">
        <is>
          <t>00591441</t>
        </is>
      </c>
      <c r="C463" s="24" t="inlineStr">
        <is>
          <t>어보브반도체</t>
        </is>
      </c>
      <c r="D463" s="24" t="inlineStr">
        <is>
          <t>abov</t>
        </is>
      </c>
      <c r="E463" s="24" t="inlineStr">
        <is>
          <t>102120</t>
        </is>
      </c>
      <c r="F463" s="24" t="inlineStr">
        <is>
          <t>2023</t>
        </is>
      </c>
      <c r="G463" s="24" t="inlineStr">
        <is>
          <t>CFS</t>
        </is>
      </c>
      <c r="H463" s="24" t="inlineStr">
        <is>
          <t>CF</t>
        </is>
      </c>
      <c r="I463" s="24" t="inlineStr">
        <is>
          <t>현금흐름표</t>
        </is>
      </c>
      <c r="J463" s="24" t="inlineStr">
        <is>
          <t>-표준계정코드 미사용-</t>
        </is>
      </c>
      <c r="K463" s="24" t="inlineStr">
        <is>
          <t>단기차입금의 차입</t>
        </is>
      </c>
      <c r="L463" s="24" t="inlineStr">
        <is>
          <t>-</t>
        </is>
      </c>
      <c r="M463" s="24" t="inlineStr">
        <is>
          <t>제 18 기</t>
        </is>
      </c>
      <c r="N463" s="24" t="inlineStr">
        <is>
          <t>18406819856.0</t>
        </is>
      </c>
      <c r="O463" s="24" t="inlineStr">
        <is>
          <t>51707503003.0</t>
        </is>
      </c>
      <c r="P463" s="24" t="inlineStr">
        <is>
          <t>KRW</t>
        </is>
      </c>
      <c r="Q463" s="24" t="inlineStr">
        <is>
          <t>20</t>
        </is>
      </c>
    </row>
    <row r="464" ht="24" customHeight="1">
      <c r="A464" s="29" t="inlineStr">
        <is>
          <t>OpenDART_fnlttSinglAcntAll</t>
        </is>
      </c>
      <c r="B464" s="29" t="inlineStr">
        <is>
          <t>00591441</t>
        </is>
      </c>
      <c r="C464" s="29" t="inlineStr">
        <is>
          <t>어보브반도체</t>
        </is>
      </c>
      <c r="D464" s="29" t="inlineStr">
        <is>
          <t>abov</t>
        </is>
      </c>
      <c r="E464" s="29" t="inlineStr">
        <is>
          <t>102120</t>
        </is>
      </c>
      <c r="F464" s="29" t="inlineStr">
        <is>
          <t>2023</t>
        </is>
      </c>
      <c r="G464" s="29" t="inlineStr">
        <is>
          <t>CFS</t>
        </is>
      </c>
      <c r="H464" s="29" t="inlineStr">
        <is>
          <t>CF</t>
        </is>
      </c>
      <c r="I464" s="29" t="inlineStr">
        <is>
          <t>현금흐름표</t>
        </is>
      </c>
      <c r="J464" s="29" t="inlineStr">
        <is>
          <t>-표준계정코드 미사용-</t>
        </is>
      </c>
      <c r="K464" s="29" t="inlineStr">
        <is>
          <t>유상증자</t>
        </is>
      </c>
      <c r="L464" s="29" t="inlineStr">
        <is>
          <t>-</t>
        </is>
      </c>
      <c r="M464" s="29" t="inlineStr">
        <is>
          <t>제 18 기</t>
        </is>
      </c>
      <c r="N464" s="29" t="inlineStr">
        <is>
          <t>해당 없음</t>
        </is>
      </c>
      <c r="O464" s="29" t="inlineStr">
        <is>
          <t>3498503360.0</t>
        </is>
      </c>
      <c r="P464" s="29" t="inlineStr">
        <is>
          <t>KRW</t>
        </is>
      </c>
      <c r="Q464" s="29" t="inlineStr">
        <is>
          <t>21</t>
        </is>
      </c>
    </row>
    <row r="465" ht="24" customHeight="1">
      <c r="A465" s="24" t="inlineStr">
        <is>
          <t>OpenDART_fnlttSinglAcntAll</t>
        </is>
      </c>
      <c r="B465" s="24" t="inlineStr">
        <is>
          <t>00591441</t>
        </is>
      </c>
      <c r="C465" s="24" t="inlineStr">
        <is>
          <t>어보브반도체</t>
        </is>
      </c>
      <c r="D465" s="24" t="inlineStr">
        <is>
          <t>abov</t>
        </is>
      </c>
      <c r="E465" s="24" t="inlineStr">
        <is>
          <t>102120</t>
        </is>
      </c>
      <c r="F465" s="24" t="inlineStr">
        <is>
          <t>2023</t>
        </is>
      </c>
      <c r="G465" s="24" t="inlineStr">
        <is>
          <t>CFS</t>
        </is>
      </c>
      <c r="H465" s="24" t="inlineStr">
        <is>
          <t>CF</t>
        </is>
      </c>
      <c r="I465" s="24" t="inlineStr">
        <is>
          <t>현금흐름표</t>
        </is>
      </c>
      <c r="J465" s="24" t="inlineStr">
        <is>
          <t>ifrs-full_DividendsPaidClassifiedAsFinancingActivities</t>
        </is>
      </c>
      <c r="K465" s="24" t="inlineStr">
        <is>
          <t>배당금 지급</t>
        </is>
      </c>
      <c r="L465" s="24" t="inlineStr">
        <is>
          <t>-</t>
        </is>
      </c>
      <c r="M465" s="24" t="inlineStr">
        <is>
          <t>제 18 기</t>
        </is>
      </c>
      <c r="N465" s="24" t="inlineStr">
        <is>
          <t>3299750800.0</t>
        </is>
      </c>
      <c r="O465" s="24" t="inlineStr">
        <is>
          <t>3972195840.0</t>
        </is>
      </c>
      <c r="P465" s="24" t="inlineStr">
        <is>
          <t>KRW</t>
        </is>
      </c>
      <c r="Q465" s="24" t="inlineStr">
        <is>
          <t>22</t>
        </is>
      </c>
    </row>
    <row r="466" ht="24" customHeight="1">
      <c r="A466" s="29" t="inlineStr">
        <is>
          <t>OpenDART_fnlttSinglAcntAll</t>
        </is>
      </c>
      <c r="B466" s="29" t="inlineStr">
        <is>
          <t>00591441</t>
        </is>
      </c>
      <c r="C466" s="29" t="inlineStr">
        <is>
          <t>어보브반도체</t>
        </is>
      </c>
      <c r="D466" s="29" t="inlineStr">
        <is>
          <t>abov</t>
        </is>
      </c>
      <c r="E466" s="29" t="inlineStr">
        <is>
          <t>102120</t>
        </is>
      </c>
      <c r="F466" s="29" t="inlineStr">
        <is>
          <t>2023</t>
        </is>
      </c>
      <c r="G466" s="29" t="inlineStr">
        <is>
          <t>CFS</t>
        </is>
      </c>
      <c r="H466" s="29" t="inlineStr">
        <is>
          <t>CF</t>
        </is>
      </c>
      <c r="I466" s="29" t="inlineStr">
        <is>
          <t>현금흐름표</t>
        </is>
      </c>
      <c r="J466" s="29" t="inlineStr">
        <is>
          <t>ifrs-full_ProceedsFromGovernmentGrantsClassifiedAsFinancingActivities</t>
        </is>
      </c>
      <c r="K466" s="29" t="inlineStr">
        <is>
          <t>국고보조금의 증가</t>
        </is>
      </c>
      <c r="L466" s="29" t="inlineStr">
        <is>
          <t>-</t>
        </is>
      </c>
      <c r="M466" s="29" t="inlineStr">
        <is>
          <t>제 18 기</t>
        </is>
      </c>
      <c r="N466" s="29" t="inlineStr">
        <is>
          <t>해당 없음</t>
        </is>
      </c>
      <c r="O466" s="29" t="inlineStr">
        <is>
          <t>해당 없음</t>
        </is>
      </c>
      <c r="P466" s="29" t="inlineStr">
        <is>
          <t>KRW</t>
        </is>
      </c>
      <c r="Q466" s="29" t="inlineStr">
        <is>
          <t>23</t>
        </is>
      </c>
    </row>
    <row r="467" ht="24" customHeight="1">
      <c r="A467" s="24" t="inlineStr">
        <is>
          <t>OpenDART_fnlttSinglAcntAll</t>
        </is>
      </c>
      <c r="B467" s="24" t="inlineStr">
        <is>
          <t>00591441</t>
        </is>
      </c>
      <c r="C467" s="24" t="inlineStr">
        <is>
          <t>어보브반도체</t>
        </is>
      </c>
      <c r="D467" s="24" t="inlineStr">
        <is>
          <t>abov</t>
        </is>
      </c>
      <c r="E467" s="24" t="inlineStr">
        <is>
          <t>102120</t>
        </is>
      </c>
      <c r="F467" s="24" t="inlineStr">
        <is>
          <t>2023</t>
        </is>
      </c>
      <c r="G467" s="24" t="inlineStr">
        <is>
          <t>CFS</t>
        </is>
      </c>
      <c r="H467" s="24" t="inlineStr">
        <is>
          <t>CF</t>
        </is>
      </c>
      <c r="I467" s="24" t="inlineStr">
        <is>
          <t>현금흐름표</t>
        </is>
      </c>
      <c r="J467" s="24" t="inlineStr">
        <is>
          <t>ifrs-full_CashFlowsFromUsedInInvestingActivities</t>
        </is>
      </c>
      <c r="K467" s="24" t="inlineStr">
        <is>
          <t>투자활동현금흐름</t>
        </is>
      </c>
      <c r="L467" s="24" t="inlineStr">
        <is>
          <t>-</t>
        </is>
      </c>
      <c r="M467" s="24" t="inlineStr">
        <is>
          <t>제 18 기</t>
        </is>
      </c>
      <c r="N467" s="24" t="inlineStr">
        <is>
          <t>-14573084319.0</t>
        </is>
      </c>
      <c r="O467" s="24" t="inlineStr">
        <is>
          <t>-17185886351.0</t>
        </is>
      </c>
      <c r="P467" s="24" t="inlineStr">
        <is>
          <t>KRW</t>
        </is>
      </c>
      <c r="Q467" s="24" t="inlineStr">
        <is>
          <t>24</t>
        </is>
      </c>
    </row>
    <row r="468" ht="24" customHeight="1">
      <c r="A468" s="29" t="inlineStr">
        <is>
          <t>OpenDART_fnlttSinglAcntAll</t>
        </is>
      </c>
      <c r="B468" s="29" t="inlineStr">
        <is>
          <t>00591441</t>
        </is>
      </c>
      <c r="C468" s="29" t="inlineStr">
        <is>
          <t>어보브반도체</t>
        </is>
      </c>
      <c r="D468" s="29" t="inlineStr">
        <is>
          <t>abov</t>
        </is>
      </c>
      <c r="E468" s="29" t="inlineStr">
        <is>
          <t>102120</t>
        </is>
      </c>
      <c r="F468" s="29" t="inlineStr">
        <is>
          <t>2023</t>
        </is>
      </c>
      <c r="G468" s="29" t="inlineStr">
        <is>
          <t>CFS</t>
        </is>
      </c>
      <c r="H468" s="29" t="inlineStr">
        <is>
          <t>CF</t>
        </is>
      </c>
      <c r="I468" s="29" t="inlineStr">
        <is>
          <t>현금흐름표</t>
        </is>
      </c>
      <c r="J468" s="29" t="inlineStr">
        <is>
          <t>dart_DecreaseInGuaranteeDeposits</t>
        </is>
      </c>
      <c r="K468" s="29" t="inlineStr">
        <is>
          <t>보증금의 감소</t>
        </is>
      </c>
      <c r="L468" s="29" t="inlineStr">
        <is>
          <t>-</t>
        </is>
      </c>
      <c r="M468" s="29" t="inlineStr">
        <is>
          <t>제 18 기</t>
        </is>
      </c>
      <c r="N468" s="29" t="inlineStr">
        <is>
          <t>741387393.0</t>
        </is>
      </c>
      <c r="O468" s="29" t="inlineStr">
        <is>
          <t>459915165.0</t>
        </is>
      </c>
      <c r="P468" s="29" t="inlineStr">
        <is>
          <t>KRW</t>
        </is>
      </c>
      <c r="Q468" s="29" t="inlineStr">
        <is>
          <t>25</t>
        </is>
      </c>
    </row>
    <row r="469" ht="24" customHeight="1">
      <c r="A469" s="24" t="inlineStr">
        <is>
          <t>OpenDART_fnlttSinglAcntAll</t>
        </is>
      </c>
      <c r="B469" s="24" t="inlineStr">
        <is>
          <t>00591441</t>
        </is>
      </c>
      <c r="C469" s="24" t="inlineStr">
        <is>
          <t>어보브반도체</t>
        </is>
      </c>
      <c r="D469" s="24" t="inlineStr">
        <is>
          <t>abov</t>
        </is>
      </c>
      <c r="E469" s="24" t="inlineStr">
        <is>
          <t>102120</t>
        </is>
      </c>
      <c r="F469" s="24" t="inlineStr">
        <is>
          <t>2023</t>
        </is>
      </c>
      <c r="G469" s="24" t="inlineStr">
        <is>
          <t>CFS</t>
        </is>
      </c>
      <c r="H469" s="24" t="inlineStr">
        <is>
          <t>CF</t>
        </is>
      </c>
      <c r="I469" s="24" t="inlineStr">
        <is>
          <t>현금흐름표</t>
        </is>
      </c>
      <c r="J469" s="24" t="inlineStr">
        <is>
          <t>dart_DecreaseInLoans</t>
        </is>
      </c>
      <c r="K469" s="24" t="inlineStr">
        <is>
          <t>대여금의 회수</t>
        </is>
      </c>
      <c r="L469" s="24" t="inlineStr">
        <is>
          <t>-</t>
        </is>
      </c>
      <c r="M469" s="24" t="inlineStr">
        <is>
          <t>제 18 기</t>
        </is>
      </c>
      <c r="N469" s="24" t="inlineStr">
        <is>
          <t>81110433.0</t>
        </is>
      </c>
      <c r="O469" s="24" t="inlineStr">
        <is>
          <t>75122002.0</t>
        </is>
      </c>
      <c r="P469" s="24" t="inlineStr">
        <is>
          <t>KRW</t>
        </is>
      </c>
      <c r="Q469" s="24" t="inlineStr">
        <is>
          <t>26</t>
        </is>
      </c>
    </row>
    <row r="470" ht="24" customHeight="1">
      <c r="A470" s="29" t="inlineStr">
        <is>
          <t>OpenDART_fnlttSinglAcntAll</t>
        </is>
      </c>
      <c r="B470" s="29" t="inlineStr">
        <is>
          <t>00591441</t>
        </is>
      </c>
      <c r="C470" s="29" t="inlineStr">
        <is>
          <t>어보브반도체</t>
        </is>
      </c>
      <c r="D470" s="29" t="inlineStr">
        <is>
          <t>abov</t>
        </is>
      </c>
      <c r="E470" s="29" t="inlineStr">
        <is>
          <t>102120</t>
        </is>
      </c>
      <c r="F470" s="29" t="inlineStr">
        <is>
          <t>2023</t>
        </is>
      </c>
      <c r="G470" s="29" t="inlineStr">
        <is>
          <t>CFS</t>
        </is>
      </c>
      <c r="H470" s="29" t="inlineStr">
        <is>
          <t>CF</t>
        </is>
      </c>
      <c r="I470" s="29" t="inlineStr">
        <is>
          <t>현금흐름표</t>
        </is>
      </c>
      <c r="J470" s="29" t="inlineStr">
        <is>
          <t>dart_IncreaseInGuaranteeDeposits</t>
        </is>
      </c>
      <c r="K470" s="29" t="inlineStr">
        <is>
          <t>보증금의 증가</t>
        </is>
      </c>
      <c r="L470" s="29" t="inlineStr">
        <is>
          <t>-</t>
        </is>
      </c>
      <c r="M470" s="29" t="inlineStr">
        <is>
          <t>제 18 기</t>
        </is>
      </c>
      <c r="N470" s="29" t="inlineStr">
        <is>
          <t>760775402.0</t>
        </is>
      </c>
      <c r="O470" s="29" t="inlineStr">
        <is>
          <t>1767181777.0</t>
        </is>
      </c>
      <c r="P470" s="29" t="inlineStr">
        <is>
          <t>KRW</t>
        </is>
      </c>
      <c r="Q470" s="29" t="inlineStr">
        <is>
          <t>27</t>
        </is>
      </c>
    </row>
    <row r="471" ht="24" customHeight="1">
      <c r="A471" s="24" t="inlineStr">
        <is>
          <t>OpenDART_fnlttSinglAcntAll</t>
        </is>
      </c>
      <c r="B471" s="24" t="inlineStr">
        <is>
          <t>00591441</t>
        </is>
      </c>
      <c r="C471" s="24" t="inlineStr">
        <is>
          <t>어보브반도체</t>
        </is>
      </c>
      <c r="D471" s="24" t="inlineStr">
        <is>
          <t>abov</t>
        </is>
      </c>
      <c r="E471" s="24" t="inlineStr">
        <is>
          <t>102120</t>
        </is>
      </c>
      <c r="F471" s="24" t="inlineStr">
        <is>
          <t>2023</t>
        </is>
      </c>
      <c r="G471" s="24" t="inlineStr">
        <is>
          <t>CFS</t>
        </is>
      </c>
      <c r="H471" s="24" t="inlineStr">
        <is>
          <t>CF</t>
        </is>
      </c>
      <c r="I471" s="24" t="inlineStr">
        <is>
          <t>현금흐름표</t>
        </is>
      </c>
      <c r="J471" s="24" t="inlineStr">
        <is>
          <t>dart_IncreaseInLoans</t>
        </is>
      </c>
      <c r="K471" s="24" t="inlineStr">
        <is>
          <t>대여금의 대여</t>
        </is>
      </c>
      <c r="L471" s="24" t="inlineStr">
        <is>
          <t>-</t>
        </is>
      </c>
      <c r="M471" s="24" t="inlineStr">
        <is>
          <t>제 18 기</t>
        </is>
      </c>
      <c r="N471" s="24" t="inlineStr">
        <is>
          <t>20000000.0</t>
        </is>
      </c>
      <c r="O471" s="24" t="inlineStr">
        <is>
          <t>15000000.0</t>
        </is>
      </c>
      <c r="P471" s="24" t="inlineStr">
        <is>
          <t>KRW</t>
        </is>
      </c>
      <c r="Q471" s="24" t="inlineStr">
        <is>
          <t>28</t>
        </is>
      </c>
    </row>
    <row r="472" ht="24" customHeight="1">
      <c r="A472" s="29" t="inlineStr">
        <is>
          <t>OpenDART_fnlttSinglAcntAll</t>
        </is>
      </c>
      <c r="B472" s="29" t="inlineStr">
        <is>
          <t>00591441</t>
        </is>
      </c>
      <c r="C472" s="29" t="inlineStr">
        <is>
          <t>어보브반도체</t>
        </is>
      </c>
      <c r="D472" s="29" t="inlineStr">
        <is>
          <t>abov</t>
        </is>
      </c>
      <c r="E472" s="29" t="inlineStr">
        <is>
          <t>102120</t>
        </is>
      </c>
      <c r="F472" s="29" t="inlineStr">
        <is>
          <t>2023</t>
        </is>
      </c>
      <c r="G472" s="29" t="inlineStr">
        <is>
          <t>CFS</t>
        </is>
      </c>
      <c r="H472" s="29" t="inlineStr">
        <is>
          <t>CF</t>
        </is>
      </c>
      <c r="I472" s="29" t="inlineStr">
        <is>
          <t>현금흐름표</t>
        </is>
      </c>
      <c r="J472" s="29" t="inlineStr">
        <is>
          <t>dart_ProceedsFromSalesOfFinancialInstruments</t>
        </is>
      </c>
      <c r="K472" s="29" t="inlineStr">
        <is>
          <t>장단기금융상품의 처분</t>
        </is>
      </c>
      <c r="L472" s="29" t="inlineStr">
        <is>
          <t>-</t>
        </is>
      </c>
      <c r="M472" s="29" t="inlineStr">
        <is>
          <t>제 18 기</t>
        </is>
      </c>
      <c r="N472" s="29" t="inlineStr">
        <is>
          <t>해당 없음</t>
        </is>
      </c>
      <c r="O472" s="29" t="inlineStr">
        <is>
          <t>10975051506.0</t>
        </is>
      </c>
      <c r="P472" s="29" t="inlineStr">
        <is>
          <t>KRW</t>
        </is>
      </c>
      <c r="Q472" s="29" t="inlineStr">
        <is>
          <t>29</t>
        </is>
      </c>
    </row>
    <row r="473" ht="24" customHeight="1">
      <c r="A473" s="24" t="inlineStr">
        <is>
          <t>OpenDART_fnlttSinglAcntAll</t>
        </is>
      </c>
      <c r="B473" s="24" t="inlineStr">
        <is>
          <t>00591441</t>
        </is>
      </c>
      <c r="C473" s="24" t="inlineStr">
        <is>
          <t>어보브반도체</t>
        </is>
      </c>
      <c r="D473" s="24" t="inlineStr">
        <is>
          <t>abov</t>
        </is>
      </c>
      <c r="E473" s="24" t="inlineStr">
        <is>
          <t>102120</t>
        </is>
      </c>
      <c r="F473" s="24" t="inlineStr">
        <is>
          <t>2023</t>
        </is>
      </c>
      <c r="G473" s="24" t="inlineStr">
        <is>
          <t>CFS</t>
        </is>
      </c>
      <c r="H473" s="24" t="inlineStr">
        <is>
          <t>CF</t>
        </is>
      </c>
      <c r="I473" s="24" t="inlineStr">
        <is>
          <t>현금흐름표</t>
        </is>
      </c>
      <c r="J473" s="24" t="inlineStr">
        <is>
          <t>dart_ProceedsFromSalesOfInvestmentsInAssociates</t>
        </is>
      </c>
      <c r="K473" s="24" t="inlineStr">
        <is>
          <t>관계기업에 대한 투자주식의 처분</t>
        </is>
      </c>
      <c r="L473" s="24" t="inlineStr">
        <is>
          <t>-</t>
        </is>
      </c>
      <c r="M473" s="24" t="inlineStr">
        <is>
          <t>제 18 기</t>
        </is>
      </c>
      <c r="N473" s="24" t="inlineStr">
        <is>
          <t>해당 없음</t>
        </is>
      </c>
      <c r="O473" s="24" t="inlineStr">
        <is>
          <t>1200002210.0</t>
        </is>
      </c>
      <c r="P473" s="24" t="inlineStr">
        <is>
          <t>KRW</t>
        </is>
      </c>
      <c r="Q473" s="24" t="inlineStr">
        <is>
          <t>30</t>
        </is>
      </c>
    </row>
    <row r="474" ht="24" customHeight="1">
      <c r="A474" s="29" t="inlineStr">
        <is>
          <t>OpenDART_fnlttSinglAcntAll</t>
        </is>
      </c>
      <c r="B474" s="29" t="inlineStr">
        <is>
          <t>00591441</t>
        </is>
      </c>
      <c r="C474" s="29" t="inlineStr">
        <is>
          <t>어보브반도체</t>
        </is>
      </c>
      <c r="D474" s="29" t="inlineStr">
        <is>
          <t>abov</t>
        </is>
      </c>
      <c r="E474" s="29" t="inlineStr">
        <is>
          <t>102120</t>
        </is>
      </c>
      <c r="F474" s="29" t="inlineStr">
        <is>
          <t>2023</t>
        </is>
      </c>
      <c r="G474" s="29" t="inlineStr">
        <is>
          <t>CFS</t>
        </is>
      </c>
      <c r="H474" s="29" t="inlineStr">
        <is>
          <t>CF</t>
        </is>
      </c>
      <c r="I474" s="29" t="inlineStr">
        <is>
          <t>현금흐름표</t>
        </is>
      </c>
      <c r="J474" s="29" t="inlineStr">
        <is>
          <t>dart_PurchaseOfFinancialInstruments</t>
        </is>
      </c>
      <c r="K474" s="29" t="inlineStr">
        <is>
          <t>장단기금융상품의 취득</t>
        </is>
      </c>
      <c r="L474" s="29" t="inlineStr">
        <is>
          <t>-</t>
        </is>
      </c>
      <c r="M474" s="29" t="inlineStr">
        <is>
          <t>제 18 기</t>
        </is>
      </c>
      <c r="N474" s="29" t="inlineStr">
        <is>
          <t>474349180.0</t>
        </is>
      </c>
      <c r="O474" s="29" t="inlineStr">
        <is>
          <t>9000000000.0</t>
        </is>
      </c>
      <c r="P474" s="29" t="inlineStr">
        <is>
          <t>KRW</t>
        </is>
      </c>
      <c r="Q474" s="29" t="inlineStr">
        <is>
          <t>31</t>
        </is>
      </c>
    </row>
    <row r="475" ht="24" customHeight="1">
      <c r="A475" s="24" t="inlineStr">
        <is>
          <t>OpenDART_fnlttSinglAcntAll</t>
        </is>
      </c>
      <c r="B475" s="24" t="inlineStr">
        <is>
          <t>00591441</t>
        </is>
      </c>
      <c r="C475" s="24" t="inlineStr">
        <is>
          <t>어보브반도체</t>
        </is>
      </c>
      <c r="D475" s="24" t="inlineStr">
        <is>
          <t>abov</t>
        </is>
      </c>
      <c r="E475" s="24" t="inlineStr">
        <is>
          <t>102120</t>
        </is>
      </c>
      <c r="F475" s="24" t="inlineStr">
        <is>
          <t>2023</t>
        </is>
      </c>
      <c r="G475" s="24" t="inlineStr">
        <is>
          <t>CFS</t>
        </is>
      </c>
      <c r="H475" s="24" t="inlineStr">
        <is>
          <t>CF</t>
        </is>
      </c>
      <c r="I475" s="24" t="inlineStr">
        <is>
          <t>현금흐름표</t>
        </is>
      </c>
      <c r="J475" s="24" t="inlineStr">
        <is>
          <t>dart_RepaymentOfGovernmentGrantsClassifiedAsInvestingActivities</t>
        </is>
      </c>
      <c r="K475" s="24" t="inlineStr">
        <is>
          <t>국고보조금의 감소</t>
        </is>
      </c>
      <c r="L475" s="24" t="inlineStr">
        <is>
          <t>-</t>
        </is>
      </c>
      <c r="M475" s="24" t="inlineStr">
        <is>
          <t>제 18 기</t>
        </is>
      </c>
      <c r="N475" s="24" t="inlineStr">
        <is>
          <t>해당 없음</t>
        </is>
      </c>
      <c r="O475" s="24" t="inlineStr">
        <is>
          <t>18324376.0</t>
        </is>
      </c>
      <c r="P475" s="24" t="inlineStr">
        <is>
          <t>KRW</t>
        </is>
      </c>
      <c r="Q475" s="24" t="inlineStr">
        <is>
          <t>32</t>
        </is>
      </c>
    </row>
    <row r="476" ht="24" customHeight="1">
      <c r="A476" s="29" t="inlineStr">
        <is>
          <t>OpenDART_fnlttSinglAcntAll</t>
        </is>
      </c>
      <c r="B476" s="29" t="inlineStr">
        <is>
          <t>00591441</t>
        </is>
      </c>
      <c r="C476" s="29" t="inlineStr">
        <is>
          <t>어보브반도체</t>
        </is>
      </c>
      <c r="D476" s="29" t="inlineStr">
        <is>
          <t>abov</t>
        </is>
      </c>
      <c r="E476" s="29" t="inlineStr">
        <is>
          <t>102120</t>
        </is>
      </c>
      <c r="F476" s="29" t="inlineStr">
        <is>
          <t>2023</t>
        </is>
      </c>
      <c r="G476" s="29" t="inlineStr">
        <is>
          <t>CFS</t>
        </is>
      </c>
      <c r="H476" s="29" t="inlineStr">
        <is>
          <t>CF</t>
        </is>
      </c>
      <c r="I476" s="29" t="inlineStr">
        <is>
          <t>현금흐름표</t>
        </is>
      </c>
      <c r="J476" s="29" t="inlineStr">
        <is>
          <t>-표준계정코드 미사용-</t>
        </is>
      </c>
      <c r="K476" s="29" t="inlineStr">
        <is>
          <t>당기손익공정가치측정금융자산 취득</t>
        </is>
      </c>
      <c r="L476" s="29" t="inlineStr">
        <is>
          <t>-</t>
        </is>
      </c>
      <c r="M476" s="29" t="inlineStr">
        <is>
          <t>제 18 기</t>
        </is>
      </c>
      <c r="N476" s="29" t="inlineStr">
        <is>
          <t>3295500000.0</t>
        </is>
      </c>
      <c r="O476" s="29" t="inlineStr">
        <is>
          <t>해당 없음</t>
        </is>
      </c>
      <c r="P476" s="29" t="inlineStr">
        <is>
          <t>KRW</t>
        </is>
      </c>
      <c r="Q476" s="29" t="inlineStr">
        <is>
          <t>33</t>
        </is>
      </c>
    </row>
    <row r="477" ht="24" customHeight="1">
      <c r="A477" s="24" t="inlineStr">
        <is>
          <t>OpenDART_fnlttSinglAcntAll</t>
        </is>
      </c>
      <c r="B477" s="24" t="inlineStr">
        <is>
          <t>00591441</t>
        </is>
      </c>
      <c r="C477" s="24" t="inlineStr">
        <is>
          <t>어보브반도체</t>
        </is>
      </c>
      <c r="D477" s="24" t="inlineStr">
        <is>
          <t>abov</t>
        </is>
      </c>
      <c r="E477" s="24" t="inlineStr">
        <is>
          <t>102120</t>
        </is>
      </c>
      <c r="F477" s="24" t="inlineStr">
        <is>
          <t>2023</t>
        </is>
      </c>
      <c r="G477" s="24" t="inlineStr">
        <is>
          <t>CFS</t>
        </is>
      </c>
      <c r="H477" s="24" t="inlineStr">
        <is>
          <t>CF</t>
        </is>
      </c>
      <c r="I477" s="24" t="inlineStr">
        <is>
          <t>현금흐름표</t>
        </is>
      </c>
      <c r="J477" s="24" t="inlineStr">
        <is>
          <t>-표준계정코드 미사용-</t>
        </is>
      </c>
      <c r="K477" s="24" t="inlineStr">
        <is>
          <t>당기손익공정가치측정금융자산 처분</t>
        </is>
      </c>
      <c r="L477" s="24" t="inlineStr">
        <is>
          <t>-</t>
        </is>
      </c>
      <c r="M477" s="24" t="inlineStr">
        <is>
          <t>제 18 기</t>
        </is>
      </c>
      <c r="N477" s="24" t="inlineStr">
        <is>
          <t>100000000.0</t>
        </is>
      </c>
      <c r="O477" s="24" t="inlineStr">
        <is>
          <t>4474130239.0</t>
        </is>
      </c>
      <c r="P477" s="24" t="inlineStr">
        <is>
          <t>KRW</t>
        </is>
      </c>
      <c r="Q477" s="24" t="inlineStr">
        <is>
          <t>34</t>
        </is>
      </c>
    </row>
    <row r="478" ht="24" customHeight="1">
      <c r="A478" s="29" t="inlineStr">
        <is>
          <t>OpenDART_fnlttSinglAcntAll</t>
        </is>
      </c>
      <c r="B478" s="29" t="inlineStr">
        <is>
          <t>00591441</t>
        </is>
      </c>
      <c r="C478" s="29" t="inlineStr">
        <is>
          <t>어보브반도체</t>
        </is>
      </c>
      <c r="D478" s="29" t="inlineStr">
        <is>
          <t>abov</t>
        </is>
      </c>
      <c r="E478" s="29" t="inlineStr">
        <is>
          <t>102120</t>
        </is>
      </c>
      <c r="F478" s="29" t="inlineStr">
        <is>
          <t>2023</t>
        </is>
      </c>
      <c r="G478" s="29" t="inlineStr">
        <is>
          <t>CFS</t>
        </is>
      </c>
      <c r="H478" s="29" t="inlineStr">
        <is>
          <t>CF</t>
        </is>
      </c>
      <c r="I478" s="29" t="inlineStr">
        <is>
          <t>현금흐름표</t>
        </is>
      </c>
      <c r="J478" s="29" t="inlineStr">
        <is>
          <t>-표준계정코드 미사용-</t>
        </is>
      </c>
      <c r="K478" s="29" t="inlineStr">
        <is>
          <t>국고보조금의 증가</t>
        </is>
      </c>
      <c r="L478" s="29" t="inlineStr">
        <is>
          <t>-</t>
        </is>
      </c>
      <c r="M478" s="29" t="inlineStr">
        <is>
          <t>제 18 기</t>
        </is>
      </c>
      <c r="N478" s="29" t="inlineStr">
        <is>
          <t>61614406.0</t>
        </is>
      </c>
      <c r="O478" s="29" t="inlineStr">
        <is>
          <t>72012942.0</t>
        </is>
      </c>
      <c r="P478" s="29" t="inlineStr">
        <is>
          <t>KRW</t>
        </is>
      </c>
      <c r="Q478" s="29" t="inlineStr">
        <is>
          <t>35</t>
        </is>
      </c>
    </row>
    <row r="479" ht="24" customHeight="1">
      <c r="A479" s="24" t="inlineStr">
        <is>
          <t>OpenDART_fnlttSinglAcntAll</t>
        </is>
      </c>
      <c r="B479" s="24" t="inlineStr">
        <is>
          <t>00591441</t>
        </is>
      </c>
      <c r="C479" s="24" t="inlineStr">
        <is>
          <t>어보브반도체</t>
        </is>
      </c>
      <c r="D479" s="24" t="inlineStr">
        <is>
          <t>abov</t>
        </is>
      </c>
      <c r="E479" s="24" t="inlineStr">
        <is>
          <t>102120</t>
        </is>
      </c>
      <c r="F479" s="24" t="inlineStr">
        <is>
          <t>2023</t>
        </is>
      </c>
      <c r="G479" s="24" t="inlineStr">
        <is>
          <t>CFS</t>
        </is>
      </c>
      <c r="H479" s="24" t="inlineStr">
        <is>
          <t>CF</t>
        </is>
      </c>
      <c r="I479" s="24" t="inlineStr">
        <is>
          <t>현금흐름표</t>
        </is>
      </c>
      <c r="J479" s="24" t="inlineStr">
        <is>
          <t>-표준계정코드 미사용-</t>
        </is>
      </c>
      <c r="K479" s="24" t="inlineStr">
        <is>
          <t>관계기업에 대한 투자주식의 취득</t>
        </is>
      </c>
      <c r="L479" s="24" t="inlineStr">
        <is>
          <t>-</t>
        </is>
      </c>
      <c r="M479" s="24" t="inlineStr">
        <is>
          <t>제 18 기</t>
        </is>
      </c>
      <c r="N479" s="24" t="inlineStr">
        <is>
          <t>2001000000.0</t>
        </is>
      </c>
      <c r="O479" s="24" t="inlineStr">
        <is>
          <t>891704915.0</t>
        </is>
      </c>
      <c r="P479" s="24" t="inlineStr">
        <is>
          <t>KRW</t>
        </is>
      </c>
      <c r="Q479" s="24" t="inlineStr">
        <is>
          <t>36</t>
        </is>
      </c>
    </row>
    <row r="480" ht="24" customHeight="1">
      <c r="A480" s="29" t="inlineStr">
        <is>
          <t>OpenDART_fnlttSinglAcntAll</t>
        </is>
      </c>
      <c r="B480" s="29" t="inlineStr">
        <is>
          <t>00591441</t>
        </is>
      </c>
      <c r="C480" s="29" t="inlineStr">
        <is>
          <t>어보브반도체</t>
        </is>
      </c>
      <c r="D480" s="29" t="inlineStr">
        <is>
          <t>abov</t>
        </is>
      </c>
      <c r="E480" s="29" t="inlineStr">
        <is>
          <t>102120</t>
        </is>
      </c>
      <c r="F480" s="29" t="inlineStr">
        <is>
          <t>2023</t>
        </is>
      </c>
      <c r="G480" s="29" t="inlineStr">
        <is>
          <t>CFS</t>
        </is>
      </c>
      <c r="H480" s="29" t="inlineStr">
        <is>
          <t>CF</t>
        </is>
      </c>
      <c r="I480" s="29" t="inlineStr">
        <is>
          <t>현금흐름표</t>
        </is>
      </c>
      <c r="J480" s="29" t="inlineStr">
        <is>
          <t>-표준계정코드 미사용-</t>
        </is>
      </c>
      <c r="K480" s="29" t="inlineStr">
        <is>
          <t>사업결합으로 인한 순현금 유입액</t>
        </is>
      </c>
      <c r="L480" s="29" t="inlineStr">
        <is>
          <t>-</t>
        </is>
      </c>
      <c r="M480" s="29" t="inlineStr">
        <is>
          <t>제 18 기</t>
        </is>
      </c>
      <c r="N480" s="29" t="inlineStr">
        <is>
          <t>해당 없음</t>
        </is>
      </c>
      <c r="O480" s="29" t="inlineStr">
        <is>
          <t>3284920269.0</t>
        </is>
      </c>
      <c r="P480" s="29" t="inlineStr">
        <is>
          <t>KRW</t>
        </is>
      </c>
      <c r="Q480" s="29" t="inlineStr">
        <is>
          <t>37</t>
        </is>
      </c>
    </row>
    <row r="481" ht="24" customHeight="1">
      <c r="A481" s="24" t="inlineStr">
        <is>
          <t>OpenDART_fnlttSinglAcntAll</t>
        </is>
      </c>
      <c r="B481" s="24" t="inlineStr">
        <is>
          <t>00591441</t>
        </is>
      </c>
      <c r="C481" s="24" t="inlineStr">
        <is>
          <t>어보브반도체</t>
        </is>
      </c>
      <c r="D481" s="24" t="inlineStr">
        <is>
          <t>abov</t>
        </is>
      </c>
      <c r="E481" s="24" t="inlineStr">
        <is>
          <t>102120</t>
        </is>
      </c>
      <c r="F481" s="24" t="inlineStr">
        <is>
          <t>2023</t>
        </is>
      </c>
      <c r="G481" s="24" t="inlineStr">
        <is>
          <t>CFS</t>
        </is>
      </c>
      <c r="H481" s="24" t="inlineStr">
        <is>
          <t>CF</t>
        </is>
      </c>
      <c r="I481" s="24" t="inlineStr">
        <is>
          <t>현금흐름표</t>
        </is>
      </c>
      <c r="J481" s="24" t="inlineStr">
        <is>
          <t>ifrs-full_ProceedsFromSalesOfIntangibleAssetsClassifiedAsInvestingActivities</t>
        </is>
      </c>
      <c r="K481" s="24" t="inlineStr">
        <is>
          <t>무형자산의 처분</t>
        </is>
      </c>
      <c r="L481" s="24" t="inlineStr">
        <is>
          <t>-</t>
        </is>
      </c>
      <c r="M481" s="24" t="inlineStr">
        <is>
          <t>제 18 기</t>
        </is>
      </c>
      <c r="N481" s="24" t="inlineStr">
        <is>
          <t>636363636.0</t>
        </is>
      </c>
      <c r="O481" s="24" t="inlineStr">
        <is>
          <t>해당 없음</t>
        </is>
      </c>
      <c r="P481" s="24" t="inlineStr">
        <is>
          <t>KRW</t>
        </is>
      </c>
      <c r="Q481" s="24" t="inlineStr">
        <is>
          <t>39</t>
        </is>
      </c>
    </row>
    <row r="482" ht="24" customHeight="1">
      <c r="A482" s="29" t="inlineStr">
        <is>
          <t>OpenDART_fnlttSinglAcntAll</t>
        </is>
      </c>
      <c r="B482" s="29" t="inlineStr">
        <is>
          <t>00591441</t>
        </is>
      </c>
      <c r="C482" s="29" t="inlineStr">
        <is>
          <t>어보브반도체</t>
        </is>
      </c>
      <c r="D482" s="29" t="inlineStr">
        <is>
          <t>abov</t>
        </is>
      </c>
      <c r="E482" s="29" t="inlineStr">
        <is>
          <t>102120</t>
        </is>
      </c>
      <c r="F482" s="29" t="inlineStr">
        <is>
          <t>2023</t>
        </is>
      </c>
      <c r="G482" s="29" t="inlineStr">
        <is>
          <t>CFS</t>
        </is>
      </c>
      <c r="H482" s="29" t="inlineStr">
        <is>
          <t>CF</t>
        </is>
      </c>
      <c r="I482" s="29" t="inlineStr">
        <is>
          <t>현금흐름표</t>
        </is>
      </c>
      <c r="J482" s="29" t="inlineStr">
        <is>
          <t>ifrs-full_ProceedsFromSalesOfPropertyPlantAndEquipmentClassifiedAsInvestingActivities</t>
        </is>
      </c>
      <c r="K482" s="29" t="inlineStr">
        <is>
          <t>유형자산의 처분</t>
        </is>
      </c>
      <c r="L482" s="29" t="inlineStr">
        <is>
          <t>-</t>
        </is>
      </c>
      <c r="M482" s="29" t="inlineStr">
        <is>
          <t>제 18 기</t>
        </is>
      </c>
      <c r="N482" s="29" t="inlineStr">
        <is>
          <t>5057075445.0</t>
        </is>
      </c>
      <c r="O482" s="29" t="inlineStr">
        <is>
          <t>179181816.0</t>
        </is>
      </c>
      <c r="P482" s="29" t="inlineStr">
        <is>
          <t>KRW</t>
        </is>
      </c>
      <c r="Q482" s="29" t="inlineStr">
        <is>
          <t>40</t>
        </is>
      </c>
    </row>
    <row r="483" ht="24" customHeight="1">
      <c r="A483" s="24" t="inlineStr">
        <is>
          <t>OpenDART_fnlttSinglAcntAll</t>
        </is>
      </c>
      <c r="B483" s="24" t="inlineStr">
        <is>
          <t>00591441</t>
        </is>
      </c>
      <c r="C483" s="24" t="inlineStr">
        <is>
          <t>어보브반도체</t>
        </is>
      </c>
      <c r="D483" s="24" t="inlineStr">
        <is>
          <t>abov</t>
        </is>
      </c>
      <c r="E483" s="24" t="inlineStr">
        <is>
          <t>102120</t>
        </is>
      </c>
      <c r="F483" s="24" t="inlineStr">
        <is>
          <t>2023</t>
        </is>
      </c>
      <c r="G483" s="24" t="inlineStr">
        <is>
          <t>CFS</t>
        </is>
      </c>
      <c r="H483" s="24" t="inlineStr">
        <is>
          <t>CF</t>
        </is>
      </c>
      <c r="I483" s="24" t="inlineStr">
        <is>
          <t>현금흐름표</t>
        </is>
      </c>
      <c r="J483" s="24" t="inlineStr">
        <is>
          <t>ifrs-full_PurchaseOfAvailableforsaleFinancialAssets</t>
        </is>
      </c>
      <c r="K483" s="24" t="inlineStr">
        <is>
          <t>매도가능금융자산의 취득</t>
        </is>
      </c>
      <c r="L483" s="24" t="inlineStr">
        <is>
          <t>-</t>
        </is>
      </c>
      <c r="M483" s="24" t="inlineStr">
        <is>
          <t>제 18 기</t>
        </is>
      </c>
      <c r="N483" s="24" t="inlineStr">
        <is>
          <t>해당 없음</t>
        </is>
      </c>
      <c r="O483" s="24" t="inlineStr">
        <is>
          <t>0.0</t>
        </is>
      </c>
      <c r="P483" s="24" t="inlineStr">
        <is>
          <t>KRW</t>
        </is>
      </c>
      <c r="Q483" s="24" t="inlineStr">
        <is>
          <t>41</t>
        </is>
      </c>
    </row>
    <row r="484" ht="24" customHeight="1">
      <c r="A484" s="29" t="inlineStr">
        <is>
          <t>OpenDART_fnlttSinglAcntAll</t>
        </is>
      </c>
      <c r="B484" s="29" t="inlineStr">
        <is>
          <t>00591441</t>
        </is>
      </c>
      <c r="C484" s="29" t="inlineStr">
        <is>
          <t>어보브반도체</t>
        </is>
      </c>
      <c r="D484" s="29" t="inlineStr">
        <is>
          <t>abov</t>
        </is>
      </c>
      <c r="E484" s="29" t="inlineStr">
        <is>
          <t>102120</t>
        </is>
      </c>
      <c r="F484" s="29" t="inlineStr">
        <is>
          <t>2023</t>
        </is>
      </c>
      <c r="G484" s="29" t="inlineStr">
        <is>
          <t>CFS</t>
        </is>
      </c>
      <c r="H484" s="29" t="inlineStr">
        <is>
          <t>CF</t>
        </is>
      </c>
      <c r="I484" s="29" t="inlineStr">
        <is>
          <t>현금흐름표</t>
        </is>
      </c>
      <c r="J484" s="29" t="inlineStr">
        <is>
          <t>ifrs-full_PurchaseOfIntangibleAssetsClassifiedAsInvestingActivities</t>
        </is>
      </c>
      <c r="K484" s="29" t="inlineStr">
        <is>
          <t>투자활동으로 분류된 무형자산의 취득</t>
        </is>
      </c>
      <c r="L484" s="29" t="inlineStr">
        <is>
          <t>-</t>
        </is>
      </c>
      <c r="M484" s="29" t="inlineStr">
        <is>
          <t>제 18 기</t>
        </is>
      </c>
      <c r="N484" s="29" t="inlineStr">
        <is>
          <t>4970597455.0</t>
        </is>
      </c>
      <c r="O484" s="29" t="inlineStr">
        <is>
          <t>3989813094.0</t>
        </is>
      </c>
      <c r="P484" s="29" t="inlineStr">
        <is>
          <t>KRW</t>
        </is>
      </c>
      <c r="Q484" s="29" t="inlineStr">
        <is>
          <t>42</t>
        </is>
      </c>
    </row>
    <row r="485" ht="24" customHeight="1">
      <c r="A485" s="24" t="inlineStr">
        <is>
          <t>OpenDART_fnlttSinglAcntAll</t>
        </is>
      </c>
      <c r="B485" s="24" t="inlineStr">
        <is>
          <t>00591441</t>
        </is>
      </c>
      <c r="C485" s="24" t="inlineStr">
        <is>
          <t>어보브반도체</t>
        </is>
      </c>
      <c r="D485" s="24" t="inlineStr">
        <is>
          <t>abov</t>
        </is>
      </c>
      <c r="E485" s="24" t="inlineStr">
        <is>
          <t>102120</t>
        </is>
      </c>
      <c r="F485" s="24" t="inlineStr">
        <is>
          <t>2023</t>
        </is>
      </c>
      <c r="G485" s="24" t="inlineStr">
        <is>
          <t>CFS</t>
        </is>
      </c>
      <c r="H485" s="24" t="inlineStr">
        <is>
          <t>CF</t>
        </is>
      </c>
      <c r="I485" s="24" t="inlineStr">
        <is>
          <t>현금흐름표</t>
        </is>
      </c>
      <c r="J485" s="24" t="inlineStr">
        <is>
          <t>ifrs-full_PurchaseOfPropertyPlantAndEquipmentClassifiedAsInvestingActivities</t>
        </is>
      </c>
      <c r="K485" s="24" t="inlineStr">
        <is>
          <t>유형자산의 취득</t>
        </is>
      </c>
      <c r="L485" s="24" t="inlineStr">
        <is>
          <t>-</t>
        </is>
      </c>
      <c r="M485" s="24" t="inlineStr">
        <is>
          <t>제 18 기</t>
        </is>
      </c>
      <c r="N485" s="24" t="inlineStr">
        <is>
          <t>9728413595.0</t>
        </is>
      </c>
      <c r="O485" s="24" t="inlineStr">
        <is>
          <t>22224198338.0</t>
        </is>
      </c>
      <c r="P485" s="24" t="inlineStr">
        <is>
          <t>KRW</t>
        </is>
      </c>
      <c r="Q485" s="24" t="inlineStr">
        <is>
          <t>43</t>
        </is>
      </c>
    </row>
    <row r="486" ht="24" customHeight="1">
      <c r="A486" s="29" t="inlineStr">
        <is>
          <t>OpenDART_fnlttSinglAcntAll</t>
        </is>
      </c>
      <c r="B486" s="29" t="inlineStr">
        <is>
          <t>00591441</t>
        </is>
      </c>
      <c r="C486" s="29" t="inlineStr">
        <is>
          <t>어보브반도체</t>
        </is>
      </c>
      <c r="D486" s="29" t="inlineStr">
        <is>
          <t>abov</t>
        </is>
      </c>
      <c r="E486" s="29" t="inlineStr">
        <is>
          <t>102120</t>
        </is>
      </c>
      <c r="F486" s="29" t="inlineStr">
        <is>
          <t>2023</t>
        </is>
      </c>
      <c r="G486" s="29" t="inlineStr">
        <is>
          <t>CFS</t>
        </is>
      </c>
      <c r="H486" s="29" t="inlineStr">
        <is>
          <t>CF</t>
        </is>
      </c>
      <c r="I486" s="29" t="inlineStr">
        <is>
          <t>현금흐름표</t>
        </is>
      </c>
      <c r="J486" s="29" t="inlineStr">
        <is>
          <t>ifrs-full_CashFlowsFromUsedInOperatingActivities</t>
        </is>
      </c>
      <c r="K486" s="29" t="inlineStr">
        <is>
          <t>영업활동현금흐름</t>
        </is>
      </c>
      <c r="L486" s="29" t="inlineStr">
        <is>
          <t>-</t>
        </is>
      </c>
      <c r="M486" s="29" t="inlineStr">
        <is>
          <t>제 18 기</t>
        </is>
      </c>
      <c r="N486" s="29" t="inlineStr">
        <is>
          <t>32413346108.0</t>
        </is>
      </c>
      <c r="O486" s="29" t="inlineStr">
        <is>
          <t>-2411168884.0</t>
        </is>
      </c>
      <c r="P486" s="29" t="inlineStr">
        <is>
          <t>KRW</t>
        </is>
      </c>
      <c r="Q486" s="29" t="inlineStr">
        <is>
          <t>44</t>
        </is>
      </c>
    </row>
    <row r="487" ht="24" customHeight="1">
      <c r="A487" s="24" t="inlineStr">
        <is>
          <t>OpenDART_fnlttSinglAcntAll</t>
        </is>
      </c>
      <c r="B487" s="24" t="inlineStr">
        <is>
          <t>00591441</t>
        </is>
      </c>
      <c r="C487" s="24" t="inlineStr">
        <is>
          <t>어보브반도체</t>
        </is>
      </c>
      <c r="D487" s="24" t="inlineStr">
        <is>
          <t>abov</t>
        </is>
      </c>
      <c r="E487" s="24" t="inlineStr">
        <is>
          <t>102120</t>
        </is>
      </c>
      <c r="F487" s="24" t="inlineStr">
        <is>
          <t>2023</t>
        </is>
      </c>
      <c r="G487" s="24" t="inlineStr">
        <is>
          <t>CFS</t>
        </is>
      </c>
      <c r="H487" s="24" t="inlineStr">
        <is>
          <t>CF</t>
        </is>
      </c>
      <c r="I487" s="24" t="inlineStr">
        <is>
          <t>현금흐름표</t>
        </is>
      </c>
      <c r="J487" s="24" t="inlineStr">
        <is>
          <t>dart_AdjustmentsForAssetsLiabilitiesOfOperatingActivities</t>
        </is>
      </c>
      <c r="K487" s="24" t="inlineStr">
        <is>
          <t>영업활동으로 인한 자산 부채의 변동</t>
        </is>
      </c>
      <c r="L487" s="24" t="inlineStr">
        <is>
          <t>-</t>
        </is>
      </c>
      <c r="M487" s="24" t="inlineStr">
        <is>
          <t>제 18 기</t>
        </is>
      </c>
      <c r="N487" s="24" t="inlineStr">
        <is>
          <t>23900684714.0</t>
        </is>
      </c>
      <c r="O487" s="24" t="inlineStr">
        <is>
          <t>-41806638737.0</t>
        </is>
      </c>
      <c r="P487" s="24" t="inlineStr">
        <is>
          <t>KRW</t>
        </is>
      </c>
      <c r="Q487" s="24" t="inlineStr">
        <is>
          <t>45</t>
        </is>
      </c>
    </row>
    <row r="488" ht="24" customHeight="1">
      <c r="A488" s="29" t="inlineStr">
        <is>
          <t>OpenDART_fnlttSinglAcntAll</t>
        </is>
      </c>
      <c r="B488" s="29" t="inlineStr">
        <is>
          <t>00591441</t>
        </is>
      </c>
      <c r="C488" s="29" t="inlineStr">
        <is>
          <t>어보브반도체</t>
        </is>
      </c>
      <c r="D488" s="29" t="inlineStr">
        <is>
          <t>abov</t>
        </is>
      </c>
      <c r="E488" s="29" t="inlineStr">
        <is>
          <t>102120</t>
        </is>
      </c>
      <c r="F488" s="29" t="inlineStr">
        <is>
          <t>2023</t>
        </is>
      </c>
      <c r="G488" s="29" t="inlineStr">
        <is>
          <t>CFS</t>
        </is>
      </c>
      <c r="H488" s="29" t="inlineStr">
        <is>
          <t>CF</t>
        </is>
      </c>
      <c r="I488" s="29" t="inlineStr">
        <is>
          <t>현금흐름표</t>
        </is>
      </c>
      <c r="J488" s="29" t="inlineStr">
        <is>
          <t>ifrs-full_AdjustmentsForReconcileProfitLoss</t>
        </is>
      </c>
      <c r="K488" s="29" t="inlineStr">
        <is>
          <t>조정</t>
        </is>
      </c>
      <c r="L488" s="29" t="inlineStr">
        <is>
          <t>-</t>
        </is>
      </c>
      <c r="M488" s="29" t="inlineStr">
        <is>
          <t>제 18 기</t>
        </is>
      </c>
      <c r="N488" s="29" t="inlineStr">
        <is>
          <t>49667841620.0</t>
        </is>
      </c>
      <c r="O488" s="29" t="inlineStr">
        <is>
          <t>30065849063.0</t>
        </is>
      </c>
      <c r="P488" s="29" t="inlineStr">
        <is>
          <t>KRW</t>
        </is>
      </c>
      <c r="Q488" s="29" t="inlineStr">
        <is>
          <t>46</t>
        </is>
      </c>
    </row>
    <row r="489" ht="24" customHeight="1">
      <c r="A489" s="24" t="inlineStr">
        <is>
          <t>OpenDART_fnlttSinglAcntAll</t>
        </is>
      </c>
      <c r="B489" s="24" t="inlineStr">
        <is>
          <t>00591441</t>
        </is>
      </c>
      <c r="C489" s="24" t="inlineStr">
        <is>
          <t>어보브반도체</t>
        </is>
      </c>
      <c r="D489" s="24" t="inlineStr">
        <is>
          <t>abov</t>
        </is>
      </c>
      <c r="E489" s="24" t="inlineStr">
        <is>
          <t>102120</t>
        </is>
      </c>
      <c r="F489" s="24" t="inlineStr">
        <is>
          <t>2023</t>
        </is>
      </c>
      <c r="G489" s="24" t="inlineStr">
        <is>
          <t>CFS</t>
        </is>
      </c>
      <c r="H489" s="24" t="inlineStr">
        <is>
          <t>CF</t>
        </is>
      </c>
      <c r="I489" s="24" t="inlineStr">
        <is>
          <t>현금흐름표</t>
        </is>
      </c>
      <c r="J489" s="24" t="inlineStr">
        <is>
          <t>ifrs-full_IncomeTaxesPaidRefundClassifiedAsOperatingActivities</t>
        </is>
      </c>
      <c r="K489" s="24" t="inlineStr">
        <is>
          <t>법인세의 납부</t>
        </is>
      </c>
      <c r="L489" s="24" t="inlineStr">
        <is>
          <t>-</t>
        </is>
      </c>
      <c r="M489" s="24" t="inlineStr">
        <is>
          <t>제 18 기</t>
        </is>
      </c>
      <c r="N489" s="24" t="inlineStr">
        <is>
          <t>3025991741.0</t>
        </is>
      </c>
      <c r="O489" s="24" t="inlineStr">
        <is>
          <t>2726202858.0</t>
        </is>
      </c>
      <c r="P489" s="24" t="inlineStr">
        <is>
          <t>KRW</t>
        </is>
      </c>
      <c r="Q489" s="24" t="inlineStr">
        <is>
          <t>47</t>
        </is>
      </c>
    </row>
    <row r="490" ht="24" customHeight="1">
      <c r="A490" s="29" t="inlineStr">
        <is>
          <t>OpenDART_fnlttSinglAcntAll</t>
        </is>
      </c>
      <c r="B490" s="29" t="inlineStr">
        <is>
          <t>00591441</t>
        </is>
      </c>
      <c r="C490" s="29" t="inlineStr">
        <is>
          <t>어보브반도체</t>
        </is>
      </c>
      <c r="D490" s="29" t="inlineStr">
        <is>
          <t>abov</t>
        </is>
      </c>
      <c r="E490" s="29" t="inlineStr">
        <is>
          <t>102120</t>
        </is>
      </c>
      <c r="F490" s="29" t="inlineStr">
        <is>
          <t>2023</t>
        </is>
      </c>
      <c r="G490" s="29" t="inlineStr">
        <is>
          <t>CFS</t>
        </is>
      </c>
      <c r="H490" s="29" t="inlineStr">
        <is>
          <t>CF</t>
        </is>
      </c>
      <c r="I490" s="29" t="inlineStr">
        <is>
          <t>현금흐름표</t>
        </is>
      </c>
      <c r="J490" s="29" t="inlineStr">
        <is>
          <t>ifrs-full_InterestPaidClassifiedAsOperatingActivities</t>
        </is>
      </c>
      <c r="K490" s="29" t="inlineStr">
        <is>
          <t>이자지급</t>
        </is>
      </c>
      <c r="L490" s="29" t="inlineStr">
        <is>
          <t>-</t>
        </is>
      </c>
      <c r="M490" s="29" t="inlineStr">
        <is>
          <t>제 18 기</t>
        </is>
      </c>
      <c r="N490" s="29" t="inlineStr">
        <is>
          <t>6015166364.0</t>
        </is>
      </c>
      <c r="O490" s="29" t="inlineStr">
        <is>
          <t>1017569394.0</t>
        </is>
      </c>
      <c r="P490" s="29" t="inlineStr">
        <is>
          <t>KRW</t>
        </is>
      </c>
      <c r="Q490" s="29" t="inlineStr">
        <is>
          <t>48</t>
        </is>
      </c>
    </row>
    <row r="491" ht="24" customHeight="1">
      <c r="A491" s="24" t="inlineStr">
        <is>
          <t>OpenDART_fnlttSinglAcntAll</t>
        </is>
      </c>
      <c r="B491" s="24" t="inlineStr">
        <is>
          <t>00591441</t>
        </is>
      </c>
      <c r="C491" s="24" t="inlineStr">
        <is>
          <t>어보브반도체</t>
        </is>
      </c>
      <c r="D491" s="24" t="inlineStr">
        <is>
          <t>abov</t>
        </is>
      </c>
      <c r="E491" s="24" t="inlineStr">
        <is>
          <t>102120</t>
        </is>
      </c>
      <c r="F491" s="24" t="inlineStr">
        <is>
          <t>2023</t>
        </is>
      </c>
      <c r="G491" s="24" t="inlineStr">
        <is>
          <t>CFS</t>
        </is>
      </c>
      <c r="H491" s="24" t="inlineStr">
        <is>
          <t>CF</t>
        </is>
      </c>
      <c r="I491" s="24" t="inlineStr">
        <is>
          <t>현금흐름표</t>
        </is>
      </c>
      <c r="J491" s="24" t="inlineStr">
        <is>
          <t>ifrs-full_InterestReceivedClassifiedAsOperatingActivities</t>
        </is>
      </c>
      <c r="K491" s="24" t="inlineStr">
        <is>
          <t>이자수취</t>
        </is>
      </c>
      <c r="L491" s="24" t="inlineStr">
        <is>
          <t>-</t>
        </is>
      </c>
      <c r="M491" s="24" t="inlineStr">
        <is>
          <t>제 18 기</t>
        </is>
      </c>
      <c r="N491" s="24" t="inlineStr">
        <is>
          <t>1329706838.0</t>
        </is>
      </c>
      <c r="O491" s="24" t="inlineStr">
        <is>
          <t>418815421.0</t>
        </is>
      </c>
      <c r="P491" s="24" t="inlineStr">
        <is>
          <t>KRW</t>
        </is>
      </c>
      <c r="Q491" s="24" t="inlineStr">
        <is>
          <t>49</t>
        </is>
      </c>
    </row>
    <row r="492" ht="24" customHeight="1">
      <c r="A492" s="29" t="inlineStr">
        <is>
          <t>OpenDART_fnlttSinglAcntAll</t>
        </is>
      </c>
      <c r="B492" s="29" t="inlineStr">
        <is>
          <t>00591441</t>
        </is>
      </c>
      <c r="C492" s="29" t="inlineStr">
        <is>
          <t>어보브반도체</t>
        </is>
      </c>
      <c r="D492" s="29" t="inlineStr">
        <is>
          <t>abov</t>
        </is>
      </c>
      <c r="E492" s="29" t="inlineStr">
        <is>
          <t>102120</t>
        </is>
      </c>
      <c r="F492" s="29" t="inlineStr">
        <is>
          <t>2023</t>
        </is>
      </c>
      <c r="G492" s="29" t="inlineStr">
        <is>
          <t>CFS</t>
        </is>
      </c>
      <c r="H492" s="29" t="inlineStr">
        <is>
          <t>CF</t>
        </is>
      </c>
      <c r="I492" s="29" t="inlineStr">
        <is>
          <t>현금흐름표</t>
        </is>
      </c>
      <c r="J492" s="29" t="inlineStr">
        <is>
          <t>ifrs-full_ProfitLoss</t>
        </is>
      </c>
      <c r="K492" s="29" t="inlineStr">
        <is>
          <t>당기순이익(손실)</t>
        </is>
      </c>
      <c r="L492" s="29" t="inlineStr">
        <is>
          <t>-</t>
        </is>
      </c>
      <c r="M492" s="29" t="inlineStr">
        <is>
          <t>제 18 기</t>
        </is>
      </c>
      <c r="N492" s="29" t="inlineStr">
        <is>
          <t>-33443728959.0</t>
        </is>
      </c>
      <c r="O492" s="29" t="inlineStr">
        <is>
          <t>12654577621.0</t>
        </is>
      </c>
      <c r="P492" s="29" t="inlineStr">
        <is>
          <t>KRW</t>
        </is>
      </c>
      <c r="Q492" s="29" t="inlineStr">
        <is>
          <t>50</t>
        </is>
      </c>
    </row>
    <row r="493" ht="24" customHeight="1">
      <c r="A493" s="24" t="inlineStr">
        <is>
          <t>OpenDART_fnlttSinglAcntAll</t>
        </is>
      </c>
      <c r="B493" s="24" t="inlineStr">
        <is>
          <t>00591441</t>
        </is>
      </c>
      <c r="C493" s="24" t="inlineStr">
        <is>
          <t>어보브반도체</t>
        </is>
      </c>
      <c r="D493" s="24" t="inlineStr">
        <is>
          <t>abov</t>
        </is>
      </c>
      <c r="E493" s="24" t="inlineStr">
        <is>
          <t>102120</t>
        </is>
      </c>
      <c r="F493" s="24" t="inlineStr">
        <is>
          <t>2023</t>
        </is>
      </c>
      <c r="G493" s="24" t="inlineStr">
        <is>
          <t>CFS</t>
        </is>
      </c>
      <c r="H493" s="24" t="inlineStr">
        <is>
          <t>CF</t>
        </is>
      </c>
      <c r="I493" s="24" t="inlineStr">
        <is>
          <t>현금흐름표</t>
        </is>
      </c>
      <c r="J493" s="24" t="inlineStr">
        <is>
          <t>ifrs-full_EffectOfExchangeRateChangesOnCashAndCashEquivalents</t>
        </is>
      </c>
      <c r="K493" s="24" t="inlineStr">
        <is>
          <t>현금및현금성자산에 대한 환율변동효과</t>
        </is>
      </c>
      <c r="L493" s="24" t="inlineStr">
        <is>
          <t>-</t>
        </is>
      </c>
      <c r="M493" s="24" t="inlineStr">
        <is>
          <t>제 18 기</t>
        </is>
      </c>
      <c r="N493" s="24" t="inlineStr">
        <is>
          <t>171116263.0</t>
        </is>
      </c>
      <c r="O493" s="24" t="inlineStr">
        <is>
          <t>13400946.0</t>
        </is>
      </c>
      <c r="P493" s="24" t="inlineStr">
        <is>
          <t>KRW</t>
        </is>
      </c>
      <c r="Q493" s="24" t="inlineStr">
        <is>
          <t>51</t>
        </is>
      </c>
    </row>
    <row r="494" ht="24" customHeight="1">
      <c r="A494" s="29" t="inlineStr">
        <is>
          <t>OpenDART_fnlttSinglAcntAll</t>
        </is>
      </c>
      <c r="B494" s="29" t="inlineStr">
        <is>
          <t>00591441</t>
        </is>
      </c>
      <c r="C494" s="29" t="inlineStr">
        <is>
          <t>어보브반도체</t>
        </is>
      </c>
      <c r="D494" s="29" t="inlineStr">
        <is>
          <t>abov</t>
        </is>
      </c>
      <c r="E494" s="29" t="inlineStr">
        <is>
          <t>102120</t>
        </is>
      </c>
      <c r="F494" s="29" t="inlineStr">
        <is>
          <t>2023</t>
        </is>
      </c>
      <c r="G494" s="29" t="inlineStr">
        <is>
          <t>CFS</t>
        </is>
      </c>
      <c r="H494" s="29" t="inlineStr">
        <is>
          <t>CF</t>
        </is>
      </c>
      <c r="I494" s="29" t="inlineStr">
        <is>
          <t>현금흐름표</t>
        </is>
      </c>
      <c r="J494" s="29" t="inlineStr">
        <is>
          <t>ifrs-full_IncreaseDecreaseInCashAndCashEquivalentsBeforeEffectOfExchangeRateChanges</t>
        </is>
      </c>
      <c r="K494" s="29" t="inlineStr">
        <is>
          <t>현금및현금성자산의 증감</t>
        </is>
      </c>
      <c r="L494" s="29" t="inlineStr">
        <is>
          <t>-</t>
        </is>
      </c>
      <c r="M494" s="29" t="inlineStr">
        <is>
          <t>제 18 기</t>
        </is>
      </c>
      <c r="N494" s="29" t="inlineStr">
        <is>
          <t>22528733516.0</t>
        </is>
      </c>
      <c r="O494" s="29" t="inlineStr">
        <is>
          <t>13415987752.0</t>
        </is>
      </c>
      <c r="P494" s="29" t="inlineStr">
        <is>
          <t>KRW</t>
        </is>
      </c>
      <c r="Q494" s="29" t="inlineStr">
        <is>
          <t>52</t>
        </is>
      </c>
    </row>
    <row r="495" ht="24" customHeight="1">
      <c r="A495" s="24" t="inlineStr">
        <is>
          <t>OpenDART_fnlttSinglAcntAll</t>
        </is>
      </c>
      <c r="B495" s="24" t="inlineStr">
        <is>
          <t>00591441</t>
        </is>
      </c>
      <c r="C495" s="24" t="inlineStr">
        <is>
          <t>어보브반도체</t>
        </is>
      </c>
      <c r="D495" s="24" t="inlineStr">
        <is>
          <t>abov</t>
        </is>
      </c>
      <c r="E495" s="24" t="inlineStr">
        <is>
          <t>102120</t>
        </is>
      </c>
      <c r="F495" s="24" t="inlineStr">
        <is>
          <t>2023</t>
        </is>
      </c>
      <c r="G495" s="24" t="inlineStr">
        <is>
          <t>CFS</t>
        </is>
      </c>
      <c r="H495" s="24" t="inlineStr">
        <is>
          <t>SCE</t>
        </is>
      </c>
      <c r="I495" s="24" t="inlineStr">
        <is>
          <t>자본변동표</t>
        </is>
      </c>
      <c r="J495" s="24" t="inlineStr">
        <is>
          <t>dart_ChangesInReserveOfGainsAndLossesOnFinancialAssetsMeasuredAtFairValueThroughOtherComprehensiveIncome</t>
        </is>
      </c>
      <c r="K495" s="24" t="inlineStr">
        <is>
          <t>기타포괄손익공정가치측정금융자산 평가손익</t>
        </is>
      </c>
      <c r="L495" s="24" t="inlineStr">
        <is>
          <t>자본 [구성요소]|지배기업의 소유주에게 귀속되는 지분 [구성요소]</t>
        </is>
      </c>
      <c r="M495" s="24" t="inlineStr">
        <is>
          <t>제 18 기</t>
        </is>
      </c>
      <c r="N495" s="24" t="inlineStr">
        <is>
          <t>-231243935.0</t>
        </is>
      </c>
      <c r="O495" s="24" t="inlineStr">
        <is>
          <t>-37508434.0</t>
        </is>
      </c>
      <c r="P495" s="24" t="inlineStr">
        <is>
          <t>KRW</t>
        </is>
      </c>
      <c r="Q495" s="24" t="inlineStr">
        <is>
          <t>3</t>
        </is>
      </c>
    </row>
    <row r="496" ht="24" customHeight="1">
      <c r="A496" s="29" t="inlineStr">
        <is>
          <t>OpenDART_fnlttSinglAcntAll</t>
        </is>
      </c>
      <c r="B496" s="29" t="inlineStr">
        <is>
          <t>00591441</t>
        </is>
      </c>
      <c r="C496" s="29" t="inlineStr">
        <is>
          <t>어보브반도체</t>
        </is>
      </c>
      <c r="D496" s="29" t="inlineStr">
        <is>
          <t>abov</t>
        </is>
      </c>
      <c r="E496" s="29" t="inlineStr">
        <is>
          <t>102120</t>
        </is>
      </c>
      <c r="F496" s="29" t="inlineStr">
        <is>
          <t>2023</t>
        </is>
      </c>
      <c r="G496" s="29" t="inlineStr">
        <is>
          <t>CFS</t>
        </is>
      </c>
      <c r="H496" s="29" t="inlineStr">
        <is>
          <t>SCE</t>
        </is>
      </c>
      <c r="I496" s="29" t="inlineStr">
        <is>
          <t>자본변동표</t>
        </is>
      </c>
      <c r="J496" s="29" t="inlineStr">
        <is>
          <t>dart_ChangesInReserveOfGainsAndLossesOnFinancialAssetsMeasuredAtFairValueThroughOtherComprehensiveIncome</t>
        </is>
      </c>
      <c r="K496" s="29" t="inlineStr">
        <is>
          <t>기타포괄손익공정가치측정금융자산 평가손익</t>
        </is>
      </c>
      <c r="L496" s="29" t="inlineStr">
        <is>
          <t>자본 [구성요소]|비지배지분 [구성요소]</t>
        </is>
      </c>
      <c r="M496" s="29" t="inlineStr">
        <is>
          <t>제 18 기</t>
        </is>
      </c>
      <c r="N496" s="29" t="inlineStr">
        <is>
          <t>-624493320.0</t>
        </is>
      </c>
      <c r="O496" s="29" t="inlineStr">
        <is>
          <t>해당 없음</t>
        </is>
      </c>
      <c r="P496" s="29" t="inlineStr">
        <is>
          <t>KRW</t>
        </is>
      </c>
      <c r="Q496" s="29" t="inlineStr">
        <is>
          <t>3</t>
        </is>
      </c>
    </row>
    <row r="497" ht="24" customHeight="1">
      <c r="A497" s="24" t="inlineStr">
        <is>
          <t>OpenDART_fnlttSinglAcntAll</t>
        </is>
      </c>
      <c r="B497" s="24" t="inlineStr">
        <is>
          <t>00591441</t>
        </is>
      </c>
      <c r="C497" s="24" t="inlineStr">
        <is>
          <t>어보브반도체</t>
        </is>
      </c>
      <c r="D497" s="24" t="inlineStr">
        <is>
          <t>abov</t>
        </is>
      </c>
      <c r="E497" s="24" t="inlineStr">
        <is>
          <t>102120</t>
        </is>
      </c>
      <c r="F497" s="24" t="inlineStr">
        <is>
          <t>2023</t>
        </is>
      </c>
      <c r="G497" s="24" t="inlineStr">
        <is>
          <t>CFS</t>
        </is>
      </c>
      <c r="H497" s="24" t="inlineStr">
        <is>
          <t>SCE</t>
        </is>
      </c>
      <c r="I497" s="24" t="inlineStr">
        <is>
          <t>자본변동표</t>
        </is>
      </c>
      <c r="J497" s="24" t="inlineStr">
        <is>
          <t>dart_ChangesInReserveOfGainsAndLossesOnFinancialAssetsMeasuredAtFairValueThroughOtherComprehensiveIncome</t>
        </is>
      </c>
      <c r="K497" s="24" t="inlineStr">
        <is>
          <t>기타포괄손익공정가치측정금융자산 평가손익</t>
        </is>
      </c>
      <c r="L497" s="24" t="inlineStr">
        <is>
          <t>연결재무제표 [member]</t>
        </is>
      </c>
      <c r="M497" s="24" t="inlineStr">
        <is>
          <t>제 18 기</t>
        </is>
      </c>
      <c r="N497" s="24" t="inlineStr">
        <is>
          <t>-855737255.0</t>
        </is>
      </c>
      <c r="O497" s="24" t="inlineStr">
        <is>
          <t>-37508434.0</t>
        </is>
      </c>
      <c r="P497" s="24" t="inlineStr">
        <is>
          <t>KRW</t>
        </is>
      </c>
      <c r="Q497" s="24" t="inlineStr">
        <is>
          <t>3</t>
        </is>
      </c>
    </row>
    <row r="498" ht="24" customHeight="1">
      <c r="A498" s="29" t="inlineStr">
        <is>
          <t>OpenDART_fnlttSinglAcntAll</t>
        </is>
      </c>
      <c r="B498" s="29" t="inlineStr">
        <is>
          <t>00591441</t>
        </is>
      </c>
      <c r="C498" s="29" t="inlineStr">
        <is>
          <t>어보브반도체</t>
        </is>
      </c>
      <c r="D498" s="29" t="inlineStr">
        <is>
          <t>abov</t>
        </is>
      </c>
      <c r="E498" s="29" t="inlineStr">
        <is>
          <t>102120</t>
        </is>
      </c>
      <c r="F498" s="29" t="inlineStr">
        <is>
          <t>2023</t>
        </is>
      </c>
      <c r="G498" s="29" t="inlineStr">
        <is>
          <t>CFS</t>
        </is>
      </c>
      <c r="H498" s="29" t="inlineStr">
        <is>
          <t>SCE</t>
        </is>
      </c>
      <c r="I498" s="29" t="inlineStr">
        <is>
          <t>자본변동표</t>
        </is>
      </c>
      <c r="J498" s="29" t="inlineStr">
        <is>
          <t>dart_ChangesInReserveOfGainsAndLossesOnFinancialAssetsMeasuredAtFairValueThroughOtherComprehensiveIncome</t>
        </is>
      </c>
      <c r="K498" s="29" t="inlineStr">
        <is>
          <t>기타포괄손익공정가치측정금융자산 평가손익</t>
        </is>
      </c>
      <c r="L498" s="29" t="inlineStr">
        <is>
          <t>자본 [구성요소]|지배기업의 소유주에게 귀속되는 지분 [구성요소]|기타포괄손익누계액 [구성요소]</t>
        </is>
      </c>
      <c r="M498" s="29" t="inlineStr">
        <is>
          <t>제 18 기</t>
        </is>
      </c>
      <c r="N498" s="29" t="inlineStr">
        <is>
          <t>-231243935.0</t>
        </is>
      </c>
      <c r="O498" s="29" t="inlineStr">
        <is>
          <t>-37508434.0</t>
        </is>
      </c>
      <c r="P498" s="29" t="inlineStr">
        <is>
          <t>KRW</t>
        </is>
      </c>
      <c r="Q498" s="29" t="inlineStr">
        <is>
          <t>3</t>
        </is>
      </c>
    </row>
    <row r="499" ht="24" customHeight="1">
      <c r="A499" s="24" t="inlineStr">
        <is>
          <t>OpenDART_fnlttSinglAcntAll</t>
        </is>
      </c>
      <c r="B499" s="24" t="inlineStr">
        <is>
          <t>00591441</t>
        </is>
      </c>
      <c r="C499" s="24" t="inlineStr">
        <is>
          <t>어보브반도체</t>
        </is>
      </c>
      <c r="D499" s="24" t="inlineStr">
        <is>
          <t>abov</t>
        </is>
      </c>
      <c r="E499" s="24" t="inlineStr">
        <is>
          <t>102120</t>
        </is>
      </c>
      <c r="F499" s="24" t="inlineStr">
        <is>
          <t>2023</t>
        </is>
      </c>
      <c r="G499" s="24" t="inlineStr">
        <is>
          <t>CFS</t>
        </is>
      </c>
      <c r="H499" s="24" t="inlineStr">
        <is>
          <t>SCE</t>
        </is>
      </c>
      <c r="I499" s="24" t="inlineStr">
        <is>
          <t>자본변동표</t>
        </is>
      </c>
      <c r="J499" s="24" t="inlineStr">
        <is>
          <t>dart_EquityAtBeginningOfPeriod</t>
        </is>
      </c>
      <c r="K499" s="24" t="inlineStr">
        <is>
          <t>기초자본</t>
        </is>
      </c>
      <c r="L499" s="24" t="inlineStr">
        <is>
          <t>자본 [구성요소]|지배기업의 소유주에게 귀속되는 지분 [구성요소]|기타포괄손익누계액 [구성요소]</t>
        </is>
      </c>
      <c r="M499" s="24" t="inlineStr">
        <is>
          <t>제 18 기</t>
        </is>
      </c>
      <c r="N499" s="24" t="inlineStr">
        <is>
          <t>-676650161.0</t>
        </is>
      </c>
      <c r="O499" s="24" t="inlineStr">
        <is>
          <t>151459276.0</t>
        </is>
      </c>
      <c r="P499" s="24" t="inlineStr">
        <is>
          <t>KRW</t>
        </is>
      </c>
      <c r="Q499" s="24" t="inlineStr">
        <is>
          <t>4</t>
        </is>
      </c>
    </row>
    <row r="500" ht="24" customHeight="1">
      <c r="A500" s="29" t="inlineStr">
        <is>
          <t>OpenDART_fnlttSinglAcntAll</t>
        </is>
      </c>
      <c r="B500" s="29" t="inlineStr">
        <is>
          <t>00591441</t>
        </is>
      </c>
      <c r="C500" s="29" t="inlineStr">
        <is>
          <t>어보브반도체</t>
        </is>
      </c>
      <c r="D500" s="29" t="inlineStr">
        <is>
          <t>abov</t>
        </is>
      </c>
      <c r="E500" s="29" t="inlineStr">
        <is>
          <t>102120</t>
        </is>
      </c>
      <c r="F500" s="29" t="inlineStr">
        <is>
          <t>2023</t>
        </is>
      </c>
      <c r="G500" s="29" t="inlineStr">
        <is>
          <t>CFS</t>
        </is>
      </c>
      <c r="H500" s="29" t="inlineStr">
        <is>
          <t>SCE</t>
        </is>
      </c>
      <c r="I500" s="29" t="inlineStr">
        <is>
          <t>자본변동표</t>
        </is>
      </c>
      <c r="J500" s="29" t="inlineStr">
        <is>
          <t>dart_EquityAtBeginningOfPeriod</t>
        </is>
      </c>
      <c r="K500" s="29" t="inlineStr">
        <is>
          <t>기초자본</t>
        </is>
      </c>
      <c r="L500" s="29" t="inlineStr">
        <is>
          <t>자본 [구성요소]|지배기업의 소유주에게 귀속되는 지분 [구성요소]|이익잉여금 [구성요소]</t>
        </is>
      </c>
      <c r="M500" s="29" t="inlineStr">
        <is>
          <t>제 18 기</t>
        </is>
      </c>
      <c r="N500" s="29" t="inlineStr">
        <is>
          <t>93547870721.0</t>
        </is>
      </c>
      <c r="O500" s="29" t="inlineStr">
        <is>
          <t>84340623191.0</t>
        </is>
      </c>
      <c r="P500" s="29" t="inlineStr">
        <is>
          <t>KRW</t>
        </is>
      </c>
      <c r="Q500" s="29" t="inlineStr">
        <is>
          <t>4</t>
        </is>
      </c>
    </row>
    <row r="501" ht="24" customHeight="1">
      <c r="A501" s="24" t="inlineStr">
        <is>
          <t>OpenDART_fnlttSinglAcntAll</t>
        </is>
      </c>
      <c r="B501" s="24" t="inlineStr">
        <is>
          <t>00591441</t>
        </is>
      </c>
      <c r="C501" s="24" t="inlineStr">
        <is>
          <t>어보브반도체</t>
        </is>
      </c>
      <c r="D501" s="24" t="inlineStr">
        <is>
          <t>abov</t>
        </is>
      </c>
      <c r="E501" s="24" t="inlineStr">
        <is>
          <t>102120</t>
        </is>
      </c>
      <c r="F501" s="24" t="inlineStr">
        <is>
          <t>2023</t>
        </is>
      </c>
      <c r="G501" s="24" t="inlineStr">
        <is>
          <t>CFS</t>
        </is>
      </c>
      <c r="H501" s="24" t="inlineStr">
        <is>
          <t>SCE</t>
        </is>
      </c>
      <c r="I501" s="24" t="inlineStr">
        <is>
          <t>자본변동표</t>
        </is>
      </c>
      <c r="J501" s="24" t="inlineStr">
        <is>
          <t>dart_EquityAtBeginningOfPeriod</t>
        </is>
      </c>
      <c r="K501" s="24" t="inlineStr">
        <is>
          <t>기초자본</t>
        </is>
      </c>
      <c r="L501" s="24" t="inlineStr">
        <is>
          <t>자본 [구성요소]|지배기업의 소유주에게 귀속되는 지분 [구성요소]|자본금 [구성요소]</t>
        </is>
      </c>
      <c r="M501" s="24" t="inlineStr">
        <is>
          <t>제 18 기</t>
        </is>
      </c>
      <c r="N501" s="24" t="inlineStr">
        <is>
          <t>8890376500.0</t>
        </is>
      </c>
      <c r="O501" s="24" t="inlineStr">
        <is>
          <t>8729826500.0</t>
        </is>
      </c>
      <c r="P501" s="24" t="inlineStr">
        <is>
          <t>KRW</t>
        </is>
      </c>
      <c r="Q501" s="24" t="inlineStr">
        <is>
          <t>4</t>
        </is>
      </c>
    </row>
    <row r="502" ht="24" customHeight="1">
      <c r="A502" s="29" t="inlineStr">
        <is>
          <t>OpenDART_fnlttSinglAcntAll</t>
        </is>
      </c>
      <c r="B502" s="29" t="inlineStr">
        <is>
          <t>00591441</t>
        </is>
      </c>
      <c r="C502" s="29" t="inlineStr">
        <is>
          <t>어보브반도체</t>
        </is>
      </c>
      <c r="D502" s="29" t="inlineStr">
        <is>
          <t>abov</t>
        </is>
      </c>
      <c r="E502" s="29" t="inlineStr">
        <is>
          <t>102120</t>
        </is>
      </c>
      <c r="F502" s="29" t="inlineStr">
        <is>
          <t>2023</t>
        </is>
      </c>
      <c r="G502" s="29" t="inlineStr">
        <is>
          <t>CFS</t>
        </is>
      </c>
      <c r="H502" s="29" t="inlineStr">
        <is>
          <t>SCE</t>
        </is>
      </c>
      <c r="I502" s="29" t="inlineStr">
        <is>
          <t>자본변동표</t>
        </is>
      </c>
      <c r="J502" s="29" t="inlineStr">
        <is>
          <t>dart_EquityAtBeginningOfPeriod</t>
        </is>
      </c>
      <c r="K502" s="29" t="inlineStr">
        <is>
          <t>기초자본</t>
        </is>
      </c>
      <c r="L502" s="29" t="inlineStr">
        <is>
          <t>자본 [구성요소]|지배기업의 소유주에게 귀속되는 지분 [구성요소]|기타자본구성요소 [구성요소]</t>
        </is>
      </c>
      <c r="M502" s="29" t="inlineStr">
        <is>
          <t>제 18 기</t>
        </is>
      </c>
      <c r="N502" s="29" t="inlineStr">
        <is>
          <t>-7414053960.0</t>
        </is>
      </c>
      <c r="O502" s="29" t="inlineStr">
        <is>
          <t>-4477193500.0</t>
        </is>
      </c>
      <c r="P502" s="29" t="inlineStr">
        <is>
          <t>KRW</t>
        </is>
      </c>
      <c r="Q502" s="29" t="inlineStr">
        <is>
          <t>4</t>
        </is>
      </c>
    </row>
    <row r="503" ht="24" customHeight="1">
      <c r="A503" s="24" t="inlineStr">
        <is>
          <t>OpenDART_fnlttSinglAcntAll</t>
        </is>
      </c>
      <c r="B503" s="24" t="inlineStr">
        <is>
          <t>00591441</t>
        </is>
      </c>
      <c r="C503" s="24" t="inlineStr">
        <is>
          <t>어보브반도체</t>
        </is>
      </c>
      <c r="D503" s="24" t="inlineStr">
        <is>
          <t>abov</t>
        </is>
      </c>
      <c r="E503" s="24" t="inlineStr">
        <is>
          <t>102120</t>
        </is>
      </c>
      <c r="F503" s="24" t="inlineStr">
        <is>
          <t>2023</t>
        </is>
      </c>
      <c r="G503" s="24" t="inlineStr">
        <is>
          <t>CFS</t>
        </is>
      </c>
      <c r="H503" s="24" t="inlineStr">
        <is>
          <t>SCE</t>
        </is>
      </c>
      <c r="I503" s="24" t="inlineStr">
        <is>
          <t>자본변동표</t>
        </is>
      </c>
      <c r="J503" s="24" t="inlineStr">
        <is>
          <t>dart_EquityAtBeginningOfPeriod</t>
        </is>
      </c>
      <c r="K503" s="24" t="inlineStr">
        <is>
          <t>기초자본</t>
        </is>
      </c>
      <c r="L503" s="24" t="inlineStr">
        <is>
          <t>자본 [구성요소]|지배기업의 소유주에게 귀속되는 지분 [구성요소]</t>
        </is>
      </c>
      <c r="M503" s="24" t="inlineStr">
        <is>
          <t>제 18 기</t>
        </is>
      </c>
      <c r="N503" s="24" t="inlineStr">
        <is>
          <t>120769541251.0</t>
        </is>
      </c>
      <c r="O503" s="24" t="inlineStr">
        <is>
          <t>111828760258.0</t>
        </is>
      </c>
      <c r="P503" s="24" t="inlineStr">
        <is>
          <t>KRW</t>
        </is>
      </c>
      <c r="Q503" s="24" t="inlineStr">
        <is>
          <t>4</t>
        </is>
      </c>
    </row>
    <row r="504" ht="24" customHeight="1">
      <c r="A504" s="29" t="inlineStr">
        <is>
          <t>OpenDART_fnlttSinglAcntAll</t>
        </is>
      </c>
      <c r="B504" s="29" t="inlineStr">
        <is>
          <t>00591441</t>
        </is>
      </c>
      <c r="C504" s="29" t="inlineStr">
        <is>
          <t>어보브반도체</t>
        </is>
      </c>
      <c r="D504" s="29" t="inlineStr">
        <is>
          <t>abov</t>
        </is>
      </c>
      <c r="E504" s="29" t="inlineStr">
        <is>
          <t>102120</t>
        </is>
      </c>
      <c r="F504" s="29" t="inlineStr">
        <is>
          <t>2023</t>
        </is>
      </c>
      <c r="G504" s="29" t="inlineStr">
        <is>
          <t>CFS</t>
        </is>
      </c>
      <c r="H504" s="29" t="inlineStr">
        <is>
          <t>SCE</t>
        </is>
      </c>
      <c r="I504" s="29" t="inlineStr">
        <is>
          <t>자본변동표</t>
        </is>
      </c>
      <c r="J504" s="29" t="inlineStr">
        <is>
          <t>dart_EquityAtBeginningOfPeriod</t>
        </is>
      </c>
      <c r="K504" s="29" t="inlineStr">
        <is>
          <t>기초자본</t>
        </is>
      </c>
      <c r="L504" s="29" t="inlineStr">
        <is>
          <t>자본 [구성요소]|지배기업의 소유주에게 귀속되는 지분 [구성요소]|자본잉여금 [구성요소]</t>
        </is>
      </c>
      <c r="M504" s="29" t="inlineStr">
        <is>
          <t>제 18 기</t>
        </is>
      </c>
      <c r="N504" s="29" t="inlineStr">
        <is>
          <t>26421998151.0</t>
        </is>
      </c>
      <c r="O504" s="29" t="inlineStr">
        <is>
          <t>23084044791.0</t>
        </is>
      </c>
      <c r="P504" s="29" t="inlineStr">
        <is>
          <t>KRW</t>
        </is>
      </c>
      <c r="Q504" s="29" t="inlineStr">
        <is>
          <t>4</t>
        </is>
      </c>
    </row>
    <row r="505" ht="24" customHeight="1">
      <c r="A505" s="24" t="inlineStr">
        <is>
          <t>OpenDART_fnlttSinglAcntAll</t>
        </is>
      </c>
      <c r="B505" s="24" t="inlineStr">
        <is>
          <t>00591441</t>
        </is>
      </c>
      <c r="C505" s="24" t="inlineStr">
        <is>
          <t>어보브반도체</t>
        </is>
      </c>
      <c r="D505" s="24" t="inlineStr">
        <is>
          <t>abov</t>
        </is>
      </c>
      <c r="E505" s="24" t="inlineStr">
        <is>
          <t>102120</t>
        </is>
      </c>
      <c r="F505" s="24" t="inlineStr">
        <is>
          <t>2023</t>
        </is>
      </c>
      <c r="G505" s="24" t="inlineStr">
        <is>
          <t>CFS</t>
        </is>
      </c>
      <c r="H505" s="24" t="inlineStr">
        <is>
          <t>SCE</t>
        </is>
      </c>
      <c r="I505" s="24" t="inlineStr">
        <is>
          <t>자본변동표</t>
        </is>
      </c>
      <c r="J505" s="24" t="inlineStr">
        <is>
          <t>dart_EquityAtBeginningOfPeriod</t>
        </is>
      </c>
      <c r="K505" s="24" t="inlineStr">
        <is>
          <t>기초자본</t>
        </is>
      </c>
      <c r="L505" s="24" t="inlineStr">
        <is>
          <t>연결재무제표 [member]</t>
        </is>
      </c>
      <c r="M505" s="24" t="inlineStr">
        <is>
          <t>제 18 기</t>
        </is>
      </c>
      <c r="N505" s="24" t="inlineStr">
        <is>
          <t>173068584293.0</t>
        </is>
      </c>
      <c r="O505" s="24" t="inlineStr">
        <is>
          <t>111828760258.0</t>
        </is>
      </c>
      <c r="P505" s="24" t="inlineStr">
        <is>
          <t>KRW</t>
        </is>
      </c>
      <c r="Q505" s="24" t="inlineStr">
        <is>
          <t>4</t>
        </is>
      </c>
    </row>
    <row r="506" ht="24" customHeight="1">
      <c r="A506" s="29" t="inlineStr">
        <is>
          <t>OpenDART_fnlttSinglAcntAll</t>
        </is>
      </c>
      <c r="B506" s="29" t="inlineStr">
        <is>
          <t>00591441</t>
        </is>
      </c>
      <c r="C506" s="29" t="inlineStr">
        <is>
          <t>어보브반도체</t>
        </is>
      </c>
      <c r="D506" s="29" t="inlineStr">
        <is>
          <t>abov</t>
        </is>
      </c>
      <c r="E506" s="29" t="inlineStr">
        <is>
          <t>102120</t>
        </is>
      </c>
      <c r="F506" s="29" t="inlineStr">
        <is>
          <t>2023</t>
        </is>
      </c>
      <c r="G506" s="29" t="inlineStr">
        <is>
          <t>CFS</t>
        </is>
      </c>
      <c r="H506" s="29" t="inlineStr">
        <is>
          <t>SCE</t>
        </is>
      </c>
      <c r="I506" s="29" t="inlineStr">
        <is>
          <t>자본변동표</t>
        </is>
      </c>
      <c r="J506" s="29" t="inlineStr">
        <is>
          <t>dart_EquityAtBeginningOfPeriod</t>
        </is>
      </c>
      <c r="K506" s="29" t="inlineStr">
        <is>
          <t>기초자본</t>
        </is>
      </c>
      <c r="L506" s="29" t="inlineStr">
        <is>
          <t>자본 [구성요소]|비지배지분 [구성요소]</t>
        </is>
      </c>
      <c r="M506" s="29" t="inlineStr">
        <is>
          <t>제 18 기</t>
        </is>
      </c>
      <c r="N506" s="29" t="inlineStr">
        <is>
          <t>52299043042.0</t>
        </is>
      </c>
      <c r="O506" s="29" t="inlineStr">
        <is>
          <t>해당 없음</t>
        </is>
      </c>
      <c r="P506" s="29" t="inlineStr">
        <is>
          <t>KRW</t>
        </is>
      </c>
      <c r="Q506" s="29" t="inlineStr">
        <is>
          <t>4</t>
        </is>
      </c>
    </row>
    <row r="507" ht="24" customHeight="1">
      <c r="A507" s="24" t="inlineStr">
        <is>
          <t>OpenDART_fnlttSinglAcntAll</t>
        </is>
      </c>
      <c r="B507" s="24" t="inlineStr">
        <is>
          <t>00591441</t>
        </is>
      </c>
      <c r="C507" s="24" t="inlineStr">
        <is>
          <t>어보브반도체</t>
        </is>
      </c>
      <c r="D507" s="24" t="inlineStr">
        <is>
          <t>abov</t>
        </is>
      </c>
      <c r="E507" s="24" t="inlineStr">
        <is>
          <t>102120</t>
        </is>
      </c>
      <c r="F507" s="24" t="inlineStr">
        <is>
          <t>2023</t>
        </is>
      </c>
      <c r="G507" s="24" t="inlineStr">
        <is>
          <t>CFS</t>
        </is>
      </c>
      <c r="H507" s="24" t="inlineStr">
        <is>
          <t>SCE</t>
        </is>
      </c>
      <c r="I507" s="24" t="inlineStr">
        <is>
          <t>자본변동표</t>
        </is>
      </c>
      <c r="J507" s="24" t="inlineStr">
        <is>
          <t>dart_IncreaseDecreaseThroughBusinessCombinations</t>
        </is>
      </c>
      <c r="K507" s="24" t="inlineStr">
        <is>
          <t>사업결합</t>
        </is>
      </c>
      <c r="L507" s="24" t="inlineStr">
        <is>
          <t>연결재무제표 [member]</t>
        </is>
      </c>
      <c r="M507" s="24" t="inlineStr">
        <is>
          <t>제 18 기</t>
        </is>
      </c>
      <c r="N507" s="24" t="inlineStr">
        <is>
          <t>해당 없음</t>
        </is>
      </c>
      <c r="O507" s="24" t="inlineStr">
        <is>
          <t>52091639401.0</t>
        </is>
      </c>
      <c r="P507" s="24" t="inlineStr">
        <is>
          <t>KRW</t>
        </is>
      </c>
      <c r="Q507" s="24" t="inlineStr">
        <is>
          <t>5</t>
        </is>
      </c>
    </row>
    <row r="508" ht="24" customHeight="1">
      <c r="A508" s="29" t="inlineStr">
        <is>
          <t>OpenDART_fnlttSinglAcntAll</t>
        </is>
      </c>
      <c r="B508" s="29" t="inlineStr">
        <is>
          <t>00591441</t>
        </is>
      </c>
      <c r="C508" s="29" t="inlineStr">
        <is>
          <t>어보브반도체</t>
        </is>
      </c>
      <c r="D508" s="29" t="inlineStr">
        <is>
          <t>abov</t>
        </is>
      </c>
      <c r="E508" s="29" t="inlineStr">
        <is>
          <t>102120</t>
        </is>
      </c>
      <c r="F508" s="29" t="inlineStr">
        <is>
          <t>2023</t>
        </is>
      </c>
      <c r="G508" s="29" t="inlineStr">
        <is>
          <t>CFS</t>
        </is>
      </c>
      <c r="H508" s="29" t="inlineStr">
        <is>
          <t>SCE</t>
        </is>
      </c>
      <c r="I508" s="29" t="inlineStr">
        <is>
          <t>자본변동표</t>
        </is>
      </c>
      <c r="J508" s="29" t="inlineStr">
        <is>
          <t>dart_IncreaseDecreaseThroughBusinessCombinations</t>
        </is>
      </c>
      <c r="K508" s="29" t="inlineStr">
        <is>
          <t>사업결합</t>
        </is>
      </c>
      <c r="L508" s="29" t="inlineStr">
        <is>
          <t>자본 [구성요소]|비지배지분 [구성요소]</t>
        </is>
      </c>
      <c r="M508" s="29" t="inlineStr">
        <is>
          <t>제 18 기</t>
        </is>
      </c>
      <c r="N508" s="29" t="inlineStr">
        <is>
          <t>해당 없음</t>
        </is>
      </c>
      <c r="O508" s="29" t="inlineStr">
        <is>
          <t>52091639401.0</t>
        </is>
      </c>
      <c r="P508" s="29" t="inlineStr">
        <is>
          <t>KRW</t>
        </is>
      </c>
      <c r="Q508" s="29" t="inlineStr">
        <is>
          <t>5</t>
        </is>
      </c>
    </row>
    <row r="509" ht="24" customHeight="1">
      <c r="A509" s="24" t="inlineStr">
        <is>
          <t>OpenDART_fnlttSinglAcntAll</t>
        </is>
      </c>
      <c r="B509" s="24" t="inlineStr">
        <is>
          <t>00591441</t>
        </is>
      </c>
      <c r="C509" s="24" t="inlineStr">
        <is>
          <t>어보브반도체</t>
        </is>
      </c>
      <c r="D509" s="24" t="inlineStr">
        <is>
          <t>abov</t>
        </is>
      </c>
      <c r="E509" s="24" t="inlineStr">
        <is>
          <t>102120</t>
        </is>
      </c>
      <c r="F509" s="24" t="inlineStr">
        <is>
          <t>2023</t>
        </is>
      </c>
      <c r="G509" s="24" t="inlineStr">
        <is>
          <t>CFS</t>
        </is>
      </c>
      <c r="H509" s="24" t="inlineStr">
        <is>
          <t>SCE</t>
        </is>
      </c>
      <c r="I509" s="24" t="inlineStr">
        <is>
          <t>자본변동표</t>
        </is>
      </c>
      <c r="J509" s="24" t="inlineStr">
        <is>
          <t>dart_TreasuryShareTransactions</t>
        </is>
      </c>
      <c r="K509" s="24" t="inlineStr">
        <is>
          <t>자기주식의(취득)처분</t>
        </is>
      </c>
      <c r="L509" s="24" t="inlineStr">
        <is>
          <t>연결재무제표 [member]</t>
        </is>
      </c>
      <c r="M509" s="24" t="inlineStr">
        <is>
          <t>제 18 기</t>
        </is>
      </c>
      <c r="N509" s="24" t="inlineStr">
        <is>
          <t>해당 없음</t>
        </is>
      </c>
      <c r="O509" s="24" t="inlineStr">
        <is>
          <t>-4993987200.0</t>
        </is>
      </c>
      <c r="P509" s="24" t="inlineStr">
        <is>
          <t>KRW</t>
        </is>
      </c>
      <c r="Q509" s="24" t="inlineStr">
        <is>
          <t>6</t>
        </is>
      </c>
    </row>
    <row r="510" ht="24" customHeight="1">
      <c r="A510" s="29" t="inlineStr">
        <is>
          <t>OpenDART_fnlttSinglAcntAll</t>
        </is>
      </c>
      <c r="B510" s="29" t="inlineStr">
        <is>
          <t>00591441</t>
        </is>
      </c>
      <c r="C510" s="29" t="inlineStr">
        <is>
          <t>어보브반도체</t>
        </is>
      </c>
      <c r="D510" s="29" t="inlineStr">
        <is>
          <t>abov</t>
        </is>
      </c>
      <c r="E510" s="29" t="inlineStr">
        <is>
          <t>102120</t>
        </is>
      </c>
      <c r="F510" s="29" t="inlineStr">
        <is>
          <t>2023</t>
        </is>
      </c>
      <c r="G510" s="29" t="inlineStr">
        <is>
          <t>CFS</t>
        </is>
      </c>
      <c r="H510" s="29" t="inlineStr">
        <is>
          <t>SCE</t>
        </is>
      </c>
      <c r="I510" s="29" t="inlineStr">
        <is>
          <t>자본변동표</t>
        </is>
      </c>
      <c r="J510" s="29" t="inlineStr">
        <is>
          <t>dart_TreasuryShareTransactions</t>
        </is>
      </c>
      <c r="K510" s="29" t="inlineStr">
        <is>
          <t>자기주식의(취득)처분</t>
        </is>
      </c>
      <c r="L510" s="29" t="inlineStr">
        <is>
          <t>자본 [구성요소]|지배기업의 소유주에게 귀속되는 지분 [구성요소]</t>
        </is>
      </c>
      <c r="M510" s="29" t="inlineStr">
        <is>
          <t>제 18 기</t>
        </is>
      </c>
      <c r="N510" s="29" t="inlineStr">
        <is>
          <t>해당 없음</t>
        </is>
      </c>
      <c r="O510" s="29" t="inlineStr">
        <is>
          <t>-4993987200.0</t>
        </is>
      </c>
      <c r="P510" s="29" t="inlineStr">
        <is>
          <t>KRW</t>
        </is>
      </c>
      <c r="Q510" s="29" t="inlineStr">
        <is>
          <t>6</t>
        </is>
      </c>
    </row>
    <row r="511" ht="24" customHeight="1">
      <c r="A511" s="24" t="inlineStr">
        <is>
          <t>OpenDART_fnlttSinglAcntAll</t>
        </is>
      </c>
      <c r="B511" s="24" t="inlineStr">
        <is>
          <t>00591441</t>
        </is>
      </c>
      <c r="C511" s="24" t="inlineStr">
        <is>
          <t>어보브반도체</t>
        </is>
      </c>
      <c r="D511" s="24" t="inlineStr">
        <is>
          <t>abov</t>
        </is>
      </c>
      <c r="E511" s="24" t="inlineStr">
        <is>
          <t>102120</t>
        </is>
      </c>
      <c r="F511" s="24" t="inlineStr">
        <is>
          <t>2023</t>
        </is>
      </c>
      <c r="G511" s="24" t="inlineStr">
        <is>
          <t>CFS</t>
        </is>
      </c>
      <c r="H511" s="24" t="inlineStr">
        <is>
          <t>SCE</t>
        </is>
      </c>
      <c r="I511" s="24" t="inlineStr">
        <is>
          <t>자본변동표</t>
        </is>
      </c>
      <c r="J511" s="24" t="inlineStr">
        <is>
          <t>dart_TreasuryShareTransactions</t>
        </is>
      </c>
      <c r="K511" s="24" t="inlineStr">
        <is>
          <t>자기주식의(취득)처분</t>
        </is>
      </c>
      <c r="L511" s="24" t="inlineStr">
        <is>
          <t>자본 [구성요소]|지배기업의 소유주에게 귀속되는 지분 [구성요소]|기타자본구성요소 [구성요소]</t>
        </is>
      </c>
      <c r="M511" s="24" t="inlineStr">
        <is>
          <t>제 18 기</t>
        </is>
      </c>
      <c r="N511" s="24" t="inlineStr">
        <is>
          <t>해당 없음</t>
        </is>
      </c>
      <c r="O511" s="24" t="inlineStr">
        <is>
          <t>-4993987200.0</t>
        </is>
      </c>
      <c r="P511" s="24" t="inlineStr">
        <is>
          <t>KRW</t>
        </is>
      </c>
      <c r="Q511" s="24" t="inlineStr">
        <is>
          <t>6</t>
        </is>
      </c>
    </row>
    <row r="512" ht="24" customHeight="1">
      <c r="A512" s="29" t="inlineStr">
        <is>
          <t>OpenDART_fnlttSinglAcntAll</t>
        </is>
      </c>
      <c r="B512" s="29" t="inlineStr">
        <is>
          <t>00591441</t>
        </is>
      </c>
      <c r="C512" s="29" t="inlineStr">
        <is>
          <t>어보브반도체</t>
        </is>
      </c>
      <c r="D512" s="29" t="inlineStr">
        <is>
          <t>abov</t>
        </is>
      </c>
      <c r="E512" s="29" t="inlineStr">
        <is>
          <t>102120</t>
        </is>
      </c>
      <c r="F512" s="29" t="inlineStr">
        <is>
          <t>2023</t>
        </is>
      </c>
      <c r="G512" s="29" t="inlineStr">
        <is>
          <t>CFS</t>
        </is>
      </c>
      <c r="H512" s="29" t="inlineStr">
        <is>
          <t>SCE</t>
        </is>
      </c>
      <c r="I512" s="29" t="inlineStr">
        <is>
          <t>자본변동표</t>
        </is>
      </c>
      <c r="J512" s="29" t="inlineStr">
        <is>
          <t>-표준계정코드 미사용-</t>
        </is>
      </c>
      <c r="K512" s="29" t="inlineStr">
        <is>
          <t>종속법인의 전환권 및 신주인수권대가</t>
        </is>
      </c>
      <c r="L512" s="29" t="inlineStr">
        <is>
          <t>연결재무제표 [member]</t>
        </is>
      </c>
      <c r="M512" s="29" t="inlineStr">
        <is>
          <t>제 18 기</t>
        </is>
      </c>
      <c r="N512" s="29" t="inlineStr">
        <is>
          <t>4882167012.0</t>
        </is>
      </c>
      <c r="O512" s="29" t="inlineStr">
        <is>
          <t>해당 없음</t>
        </is>
      </c>
      <c r="P512" s="29" t="inlineStr">
        <is>
          <t>KRW</t>
        </is>
      </c>
      <c r="Q512" s="29" t="inlineStr">
        <is>
          <t>7</t>
        </is>
      </c>
    </row>
    <row r="513" ht="24" customHeight="1">
      <c r="A513" s="24" t="inlineStr">
        <is>
          <t>OpenDART_fnlttSinglAcntAll</t>
        </is>
      </c>
      <c r="B513" s="24" t="inlineStr">
        <is>
          <t>00591441</t>
        </is>
      </c>
      <c r="C513" s="24" t="inlineStr">
        <is>
          <t>어보브반도체</t>
        </is>
      </c>
      <c r="D513" s="24" t="inlineStr">
        <is>
          <t>abov</t>
        </is>
      </c>
      <c r="E513" s="24" t="inlineStr">
        <is>
          <t>102120</t>
        </is>
      </c>
      <c r="F513" s="24" t="inlineStr">
        <is>
          <t>2023</t>
        </is>
      </c>
      <c r="G513" s="24" t="inlineStr">
        <is>
          <t>CFS</t>
        </is>
      </c>
      <c r="H513" s="24" t="inlineStr">
        <is>
          <t>SCE</t>
        </is>
      </c>
      <c r="I513" s="24" t="inlineStr">
        <is>
          <t>자본변동표</t>
        </is>
      </c>
      <c r="J513" s="24" t="inlineStr">
        <is>
          <t>-표준계정코드 미사용-</t>
        </is>
      </c>
      <c r="K513" s="24" t="inlineStr">
        <is>
          <t>종속법인의 전환권 및 신주인수권대가</t>
        </is>
      </c>
      <c r="L513" s="24" t="inlineStr">
        <is>
          <t>자본 [구성요소]|비지배지분 [구성요소]</t>
        </is>
      </c>
      <c r="M513" s="24" t="inlineStr">
        <is>
          <t>제 18 기</t>
        </is>
      </c>
      <c r="N513" s="24" t="inlineStr">
        <is>
          <t>4882167012.0</t>
        </is>
      </c>
      <c r="O513" s="24" t="inlineStr">
        <is>
          <t>해당 없음</t>
        </is>
      </c>
      <c r="P513" s="24" t="inlineStr">
        <is>
          <t>KRW</t>
        </is>
      </c>
      <c r="Q513" s="24" t="inlineStr">
        <is>
          <t>7</t>
        </is>
      </c>
    </row>
    <row r="514" ht="24" customHeight="1">
      <c r="A514" s="29" t="inlineStr">
        <is>
          <t>OpenDART_fnlttSinglAcntAll</t>
        </is>
      </c>
      <c r="B514" s="29" t="inlineStr">
        <is>
          <t>00591441</t>
        </is>
      </c>
      <c r="C514" s="29" t="inlineStr">
        <is>
          <t>어보브반도체</t>
        </is>
      </c>
      <c r="D514" s="29" t="inlineStr">
        <is>
          <t>abov</t>
        </is>
      </c>
      <c r="E514" s="29" t="inlineStr">
        <is>
          <t>102120</t>
        </is>
      </c>
      <c r="F514" s="29" t="inlineStr">
        <is>
          <t>2023</t>
        </is>
      </c>
      <c r="G514" s="29" t="inlineStr">
        <is>
          <t>CFS</t>
        </is>
      </c>
      <c r="H514" s="29" t="inlineStr">
        <is>
          <t>SCE</t>
        </is>
      </c>
      <c r="I514" s="29" t="inlineStr">
        <is>
          <t>자본변동표</t>
        </is>
      </c>
      <c r="J514" s="29" t="inlineStr">
        <is>
          <t>-표준계정코드 미사용-</t>
        </is>
      </c>
      <c r="K514" s="29" t="inlineStr">
        <is>
          <t>지분법자본변동</t>
        </is>
      </c>
      <c r="L514" s="29" t="inlineStr">
        <is>
          <t>연결재무제표 [member]</t>
        </is>
      </c>
      <c r="M514" s="29" t="inlineStr">
        <is>
          <t>제 18 기</t>
        </is>
      </c>
      <c r="N514" s="29" t="inlineStr">
        <is>
          <t>-12948565.0</t>
        </is>
      </c>
      <c r="O514" s="29" t="inlineStr">
        <is>
          <t>13168034.0</t>
        </is>
      </c>
      <c r="P514" s="29" t="inlineStr">
        <is>
          <t>KRW</t>
        </is>
      </c>
      <c r="Q514" s="29" t="inlineStr">
        <is>
          <t>8</t>
        </is>
      </c>
    </row>
    <row r="515" ht="24" customHeight="1">
      <c r="A515" s="24" t="inlineStr">
        <is>
          <t>OpenDART_fnlttSinglAcntAll</t>
        </is>
      </c>
      <c r="B515" s="24" t="inlineStr">
        <is>
          <t>00591441</t>
        </is>
      </c>
      <c r="C515" s="24" t="inlineStr">
        <is>
          <t>어보브반도체</t>
        </is>
      </c>
      <c r="D515" s="24" t="inlineStr">
        <is>
          <t>abov</t>
        </is>
      </c>
      <c r="E515" s="24" t="inlineStr">
        <is>
          <t>102120</t>
        </is>
      </c>
      <c r="F515" s="24" t="inlineStr">
        <is>
          <t>2023</t>
        </is>
      </c>
      <c r="G515" s="24" t="inlineStr">
        <is>
          <t>CFS</t>
        </is>
      </c>
      <c r="H515" s="24" t="inlineStr">
        <is>
          <t>SCE</t>
        </is>
      </c>
      <c r="I515" s="24" t="inlineStr">
        <is>
          <t>자본변동표</t>
        </is>
      </c>
      <c r="J515" s="24" t="inlineStr">
        <is>
          <t>-표준계정코드 미사용-</t>
        </is>
      </c>
      <c r="K515" s="24" t="inlineStr">
        <is>
          <t>지분법자본변동</t>
        </is>
      </c>
      <c r="L515" s="24" t="inlineStr">
        <is>
          <t>자본 [구성요소]|지배기업의 소유주에게 귀속되는 지분 [구성요소]|기타포괄손익누계액 [구성요소]</t>
        </is>
      </c>
      <c r="M515" s="24" t="inlineStr">
        <is>
          <t>제 18 기</t>
        </is>
      </c>
      <c r="N515" s="24" t="inlineStr">
        <is>
          <t>-12948565.0</t>
        </is>
      </c>
      <c r="O515" s="24" t="inlineStr">
        <is>
          <t>13168034.0</t>
        </is>
      </c>
      <c r="P515" s="24" t="inlineStr">
        <is>
          <t>KRW</t>
        </is>
      </c>
      <c r="Q515" s="24" t="inlineStr">
        <is>
          <t>8</t>
        </is>
      </c>
    </row>
    <row r="516" ht="24" customHeight="1">
      <c r="A516" s="29" t="inlineStr">
        <is>
          <t>OpenDART_fnlttSinglAcntAll</t>
        </is>
      </c>
      <c r="B516" s="29" t="inlineStr">
        <is>
          <t>00591441</t>
        </is>
      </c>
      <c r="C516" s="29" t="inlineStr">
        <is>
          <t>어보브반도체</t>
        </is>
      </c>
      <c r="D516" s="29" t="inlineStr">
        <is>
          <t>abov</t>
        </is>
      </c>
      <c r="E516" s="29" t="inlineStr">
        <is>
          <t>102120</t>
        </is>
      </c>
      <c r="F516" s="29" t="inlineStr">
        <is>
          <t>2023</t>
        </is>
      </c>
      <c r="G516" s="29" t="inlineStr">
        <is>
          <t>CFS</t>
        </is>
      </c>
      <c r="H516" s="29" t="inlineStr">
        <is>
          <t>SCE</t>
        </is>
      </c>
      <c r="I516" s="29" t="inlineStr">
        <is>
          <t>자본변동표</t>
        </is>
      </c>
      <c r="J516" s="29" t="inlineStr">
        <is>
          <t>-표준계정코드 미사용-</t>
        </is>
      </c>
      <c r="K516" s="29" t="inlineStr">
        <is>
          <t>지분법자본변동</t>
        </is>
      </c>
      <c r="L516" s="29" t="inlineStr">
        <is>
          <t>자본 [구성요소]|지배기업의 소유주에게 귀속되는 지분 [구성요소]</t>
        </is>
      </c>
      <c r="M516" s="29" t="inlineStr">
        <is>
          <t>제 18 기</t>
        </is>
      </c>
      <c r="N516" s="29" t="inlineStr">
        <is>
          <t>-12948565.0</t>
        </is>
      </c>
      <c r="O516" s="29" t="inlineStr">
        <is>
          <t>13168034.0</t>
        </is>
      </c>
      <c r="P516" s="29" t="inlineStr">
        <is>
          <t>KRW</t>
        </is>
      </c>
      <c r="Q516" s="29" t="inlineStr">
        <is>
          <t>8</t>
        </is>
      </c>
    </row>
    <row r="517" ht="24" customHeight="1">
      <c r="A517" s="24" t="inlineStr">
        <is>
          <t>OpenDART_fnlttSinglAcntAll</t>
        </is>
      </c>
      <c r="B517" s="24" t="inlineStr">
        <is>
          <t>00591441</t>
        </is>
      </c>
      <c r="C517" s="24" t="inlineStr">
        <is>
          <t>어보브반도체</t>
        </is>
      </c>
      <c r="D517" s="24" t="inlineStr">
        <is>
          <t>abov</t>
        </is>
      </c>
      <c r="E517" s="24" t="inlineStr">
        <is>
          <t>102120</t>
        </is>
      </c>
      <c r="F517" s="24" t="inlineStr">
        <is>
          <t>2023</t>
        </is>
      </c>
      <c r="G517" s="24" t="inlineStr">
        <is>
          <t>CFS</t>
        </is>
      </c>
      <c r="H517" s="24" t="inlineStr">
        <is>
          <t>SCE</t>
        </is>
      </c>
      <c r="I517" s="24" t="inlineStr">
        <is>
          <t>자본변동표</t>
        </is>
      </c>
      <c r="J517" s="24" t="inlineStr">
        <is>
          <t>-표준계정코드 미사용-</t>
        </is>
      </c>
      <c r="K517" s="24" t="inlineStr">
        <is>
          <t>해외산업환산손익</t>
        </is>
      </c>
      <c r="L517" s="24" t="inlineStr">
        <is>
          <t>자본 [구성요소]|지배기업의 소유주에게 귀속되는 지분 [구성요소]</t>
        </is>
      </c>
      <c r="M517" s="24" t="inlineStr">
        <is>
          <t>제 18 기</t>
        </is>
      </c>
      <c r="N517" s="24" t="inlineStr">
        <is>
          <t>-1504064.0</t>
        </is>
      </c>
      <c r="O517" s="24" t="inlineStr">
        <is>
          <t>34910709.0</t>
        </is>
      </c>
      <c r="P517" s="24" t="inlineStr">
        <is>
          <t>KRW</t>
        </is>
      </c>
      <c r="Q517" s="24" t="inlineStr">
        <is>
          <t>9</t>
        </is>
      </c>
    </row>
    <row r="518" ht="24" customHeight="1">
      <c r="A518" s="29" t="inlineStr">
        <is>
          <t>OpenDART_fnlttSinglAcntAll</t>
        </is>
      </c>
      <c r="B518" s="29" t="inlineStr">
        <is>
          <t>00591441</t>
        </is>
      </c>
      <c r="C518" s="29" t="inlineStr">
        <is>
          <t>어보브반도체</t>
        </is>
      </c>
      <c r="D518" s="29" t="inlineStr">
        <is>
          <t>abov</t>
        </is>
      </c>
      <c r="E518" s="29" t="inlineStr">
        <is>
          <t>102120</t>
        </is>
      </c>
      <c r="F518" s="29" t="inlineStr">
        <is>
          <t>2023</t>
        </is>
      </c>
      <c r="G518" s="29" t="inlineStr">
        <is>
          <t>CFS</t>
        </is>
      </c>
      <c r="H518" s="29" t="inlineStr">
        <is>
          <t>SCE</t>
        </is>
      </c>
      <c r="I518" s="29" t="inlineStr">
        <is>
          <t>자본변동표</t>
        </is>
      </c>
      <c r="J518" s="29" t="inlineStr">
        <is>
          <t>-표준계정코드 미사용-</t>
        </is>
      </c>
      <c r="K518" s="29" t="inlineStr">
        <is>
          <t>해외산업환산손익</t>
        </is>
      </c>
      <c r="L518" s="29" t="inlineStr">
        <is>
          <t>연결재무제표 [member]</t>
        </is>
      </c>
      <c r="M518" s="29" t="inlineStr">
        <is>
          <t>제 18 기</t>
        </is>
      </c>
      <c r="N518" s="29" t="inlineStr">
        <is>
          <t>-1504064.0</t>
        </is>
      </c>
      <c r="O518" s="29" t="inlineStr">
        <is>
          <t>34910709.0</t>
        </is>
      </c>
      <c r="P518" s="29" t="inlineStr">
        <is>
          <t>KRW</t>
        </is>
      </c>
      <c r="Q518" s="29" t="inlineStr">
        <is>
          <t>9</t>
        </is>
      </c>
    </row>
    <row r="519" ht="24" customHeight="1">
      <c r="A519" s="24" t="inlineStr">
        <is>
          <t>OpenDART_fnlttSinglAcntAll</t>
        </is>
      </c>
      <c r="B519" s="24" t="inlineStr">
        <is>
          <t>00591441</t>
        </is>
      </c>
      <c r="C519" s="24" t="inlineStr">
        <is>
          <t>어보브반도체</t>
        </is>
      </c>
      <c r="D519" s="24" t="inlineStr">
        <is>
          <t>abov</t>
        </is>
      </c>
      <c r="E519" s="24" t="inlineStr">
        <is>
          <t>102120</t>
        </is>
      </c>
      <c r="F519" s="24" t="inlineStr">
        <is>
          <t>2023</t>
        </is>
      </c>
      <c r="G519" s="24" t="inlineStr">
        <is>
          <t>CFS</t>
        </is>
      </c>
      <c r="H519" s="24" t="inlineStr">
        <is>
          <t>SCE</t>
        </is>
      </c>
      <c r="I519" s="24" t="inlineStr">
        <is>
          <t>자본변동표</t>
        </is>
      </c>
      <c r="J519" s="24" t="inlineStr">
        <is>
          <t>-표준계정코드 미사용-</t>
        </is>
      </c>
      <c r="K519" s="24" t="inlineStr">
        <is>
          <t>해외산업환산손익</t>
        </is>
      </c>
      <c r="L519" s="24" t="inlineStr">
        <is>
          <t>자본 [구성요소]|지배기업의 소유주에게 귀속되는 지분 [구성요소]|기타포괄손익누계액 [구성요소]</t>
        </is>
      </c>
      <c r="M519" s="24" t="inlineStr">
        <is>
          <t>제 18 기</t>
        </is>
      </c>
      <c r="N519" s="24" t="inlineStr">
        <is>
          <t>-1504064.0</t>
        </is>
      </c>
      <c r="O519" s="24" t="inlineStr">
        <is>
          <t>34910709.0</t>
        </is>
      </c>
      <c r="P519" s="24" t="inlineStr">
        <is>
          <t>KRW</t>
        </is>
      </c>
      <c r="Q519" s="24" t="inlineStr">
        <is>
          <t>9</t>
        </is>
      </c>
    </row>
    <row r="520" ht="24" customHeight="1">
      <c r="A520" s="29" t="inlineStr">
        <is>
          <t>OpenDART_fnlttSinglAcntAll</t>
        </is>
      </c>
      <c r="B520" s="29" t="inlineStr">
        <is>
          <t>00591441</t>
        </is>
      </c>
      <c r="C520" s="29" t="inlineStr">
        <is>
          <t>어보브반도체</t>
        </is>
      </c>
      <c r="D520" s="29" t="inlineStr">
        <is>
          <t>abov</t>
        </is>
      </c>
      <c r="E520" s="29" t="inlineStr">
        <is>
          <t>102120</t>
        </is>
      </c>
      <c r="F520" s="29" t="inlineStr">
        <is>
          <t>2023</t>
        </is>
      </c>
      <c r="G520" s="29" t="inlineStr">
        <is>
          <t>CFS</t>
        </is>
      </c>
      <c r="H520" s="29" t="inlineStr">
        <is>
          <t>SCE</t>
        </is>
      </c>
      <c r="I520" s="29" t="inlineStr">
        <is>
          <t>자본변동표</t>
        </is>
      </c>
      <c r="J520" s="29" t="inlineStr">
        <is>
          <t>-표준계정코드 미사용-</t>
        </is>
      </c>
      <c r="K520" s="29" t="inlineStr">
        <is>
          <t>유상증자</t>
        </is>
      </c>
      <c r="L520" s="29" t="inlineStr">
        <is>
          <t>연결재무제표 [member]</t>
        </is>
      </c>
      <c r="M520" s="29" t="inlineStr">
        <is>
          <t>제 18 기</t>
        </is>
      </c>
      <c r="N520" s="29" t="inlineStr">
        <is>
          <t>해당 없음</t>
        </is>
      </c>
      <c r="O520" s="29" t="inlineStr">
        <is>
          <t>3498503360.0</t>
        </is>
      </c>
      <c r="P520" s="29" t="inlineStr">
        <is>
          <t>KRW</t>
        </is>
      </c>
      <c r="Q520" s="29" t="inlineStr">
        <is>
          <t>10</t>
        </is>
      </c>
    </row>
    <row r="521" ht="24" customHeight="1">
      <c r="A521" s="24" t="inlineStr">
        <is>
          <t>OpenDART_fnlttSinglAcntAll</t>
        </is>
      </c>
      <c r="B521" s="24" t="inlineStr">
        <is>
          <t>00591441</t>
        </is>
      </c>
      <c r="C521" s="24" t="inlineStr">
        <is>
          <t>어보브반도체</t>
        </is>
      </c>
      <c r="D521" s="24" t="inlineStr">
        <is>
          <t>abov</t>
        </is>
      </c>
      <c r="E521" s="24" t="inlineStr">
        <is>
          <t>102120</t>
        </is>
      </c>
      <c r="F521" s="24" t="inlineStr">
        <is>
          <t>2023</t>
        </is>
      </c>
      <c r="G521" s="24" t="inlineStr">
        <is>
          <t>CFS</t>
        </is>
      </c>
      <c r="H521" s="24" t="inlineStr">
        <is>
          <t>SCE</t>
        </is>
      </c>
      <c r="I521" s="24" t="inlineStr">
        <is>
          <t>자본변동표</t>
        </is>
      </c>
      <c r="J521" s="24" t="inlineStr">
        <is>
          <t>-표준계정코드 미사용-</t>
        </is>
      </c>
      <c r="K521" s="24" t="inlineStr">
        <is>
          <t>유상증자</t>
        </is>
      </c>
      <c r="L521" s="24" t="inlineStr">
        <is>
          <t>자본 [구성요소]|지배기업의 소유주에게 귀속되는 지분 [구성요소]|자본잉여금 [구성요소]</t>
        </is>
      </c>
      <c r="M521" s="24" t="inlineStr">
        <is>
          <t>제 18 기</t>
        </is>
      </c>
      <c r="N521" s="24" t="inlineStr">
        <is>
          <t>해당 없음</t>
        </is>
      </c>
      <c r="O521" s="24" t="inlineStr">
        <is>
          <t>3337953360.0</t>
        </is>
      </c>
      <c r="P521" s="24" t="inlineStr">
        <is>
          <t>KRW</t>
        </is>
      </c>
      <c r="Q521" s="24" t="inlineStr">
        <is>
          <t>10</t>
        </is>
      </c>
    </row>
    <row r="522" ht="24" customHeight="1">
      <c r="A522" s="29" t="inlineStr">
        <is>
          <t>OpenDART_fnlttSinglAcntAll</t>
        </is>
      </c>
      <c r="B522" s="29" t="inlineStr">
        <is>
          <t>00591441</t>
        </is>
      </c>
      <c r="C522" s="29" t="inlineStr">
        <is>
          <t>어보브반도체</t>
        </is>
      </c>
      <c r="D522" s="29" t="inlineStr">
        <is>
          <t>abov</t>
        </is>
      </c>
      <c r="E522" s="29" t="inlineStr">
        <is>
          <t>102120</t>
        </is>
      </c>
      <c r="F522" s="29" t="inlineStr">
        <is>
          <t>2023</t>
        </is>
      </c>
      <c r="G522" s="29" t="inlineStr">
        <is>
          <t>CFS</t>
        </is>
      </c>
      <c r="H522" s="29" t="inlineStr">
        <is>
          <t>SCE</t>
        </is>
      </c>
      <c r="I522" s="29" t="inlineStr">
        <is>
          <t>자본변동표</t>
        </is>
      </c>
      <c r="J522" s="29" t="inlineStr">
        <is>
          <t>-표준계정코드 미사용-</t>
        </is>
      </c>
      <c r="K522" s="29" t="inlineStr">
        <is>
          <t>유상증자</t>
        </is>
      </c>
      <c r="L522" s="29" t="inlineStr">
        <is>
          <t>자본 [구성요소]|지배기업의 소유주에게 귀속되는 지분 [구성요소]|자본금 [구성요소]</t>
        </is>
      </c>
      <c r="M522" s="29" t="inlineStr">
        <is>
          <t>제 18 기</t>
        </is>
      </c>
      <c r="N522" s="29" t="inlineStr">
        <is>
          <t>해당 없음</t>
        </is>
      </c>
      <c r="O522" s="29" t="inlineStr">
        <is>
          <t>160550000.0</t>
        </is>
      </c>
      <c r="P522" s="29" t="inlineStr">
        <is>
          <t>KRW</t>
        </is>
      </c>
      <c r="Q522" s="29" t="inlineStr">
        <is>
          <t>10</t>
        </is>
      </c>
    </row>
    <row r="523" ht="24" customHeight="1">
      <c r="A523" s="24" t="inlineStr">
        <is>
          <t>OpenDART_fnlttSinglAcntAll</t>
        </is>
      </c>
      <c r="B523" s="24" t="inlineStr">
        <is>
          <t>00591441</t>
        </is>
      </c>
      <c r="C523" s="24" t="inlineStr">
        <is>
          <t>어보브반도체</t>
        </is>
      </c>
      <c r="D523" s="24" t="inlineStr">
        <is>
          <t>abov</t>
        </is>
      </c>
      <c r="E523" s="24" t="inlineStr">
        <is>
          <t>102120</t>
        </is>
      </c>
      <c r="F523" s="24" t="inlineStr">
        <is>
          <t>2023</t>
        </is>
      </c>
      <c r="G523" s="24" t="inlineStr">
        <is>
          <t>CFS</t>
        </is>
      </c>
      <c r="H523" s="24" t="inlineStr">
        <is>
          <t>SCE</t>
        </is>
      </c>
      <c r="I523" s="24" t="inlineStr">
        <is>
          <t>자본변동표</t>
        </is>
      </c>
      <c r="J523" s="24" t="inlineStr">
        <is>
          <t>-표준계정코드 미사용-</t>
        </is>
      </c>
      <c r="K523" s="24" t="inlineStr">
        <is>
          <t>유상증자</t>
        </is>
      </c>
      <c r="L523" s="24" t="inlineStr">
        <is>
          <t>자본 [구성요소]|지배기업의 소유주에게 귀속되는 지분 [구성요소]</t>
        </is>
      </c>
      <c r="M523" s="24" t="inlineStr">
        <is>
          <t>제 18 기</t>
        </is>
      </c>
      <c r="N523" s="24" t="inlineStr">
        <is>
          <t>해당 없음</t>
        </is>
      </c>
      <c r="O523" s="24" t="inlineStr">
        <is>
          <t>3498503360.0</t>
        </is>
      </c>
      <c r="P523" s="24" t="inlineStr">
        <is>
          <t>KRW</t>
        </is>
      </c>
      <c r="Q523" s="24" t="inlineStr">
        <is>
          <t>10</t>
        </is>
      </c>
    </row>
    <row r="524" ht="24" customHeight="1">
      <c r="A524" s="29" t="inlineStr">
        <is>
          <t>OpenDART_fnlttSinglAcntAll</t>
        </is>
      </c>
      <c r="B524" s="29" t="inlineStr">
        <is>
          <t>00591441</t>
        </is>
      </c>
      <c r="C524" s="29" t="inlineStr">
        <is>
          <t>어보브반도체</t>
        </is>
      </c>
      <c r="D524" s="29" t="inlineStr">
        <is>
          <t>abov</t>
        </is>
      </c>
      <c r="E524" s="29" t="inlineStr">
        <is>
          <t>102120</t>
        </is>
      </c>
      <c r="F524" s="29" t="inlineStr">
        <is>
          <t>2023</t>
        </is>
      </c>
      <c r="G524" s="29" t="inlineStr">
        <is>
          <t>CFS</t>
        </is>
      </c>
      <c r="H524" s="29" t="inlineStr">
        <is>
          <t>SCE</t>
        </is>
      </c>
      <c r="I524" s="29" t="inlineStr">
        <is>
          <t>자본변동표</t>
        </is>
      </c>
      <c r="J524" s="29" t="inlineStr">
        <is>
          <t>-표준계정코드 미사용-</t>
        </is>
      </c>
      <c r="K524" s="29" t="inlineStr">
        <is>
          <t>금융자산의 재분류 효과</t>
        </is>
      </c>
      <c r="L524" s="29" t="inlineStr">
        <is>
          <t>자본 [구성요소]|지배기업의 소유주에게 귀속되는 지분 [구성요소]|이익잉여금 [구성요소]</t>
        </is>
      </c>
      <c r="M524" s="29" t="inlineStr">
        <is>
          <t>제 18 기</t>
        </is>
      </c>
      <c r="N524" s="29" t="inlineStr">
        <is>
          <t>해당 없음</t>
        </is>
      </c>
      <c r="O524" s="29" t="inlineStr">
        <is>
          <t>838679746.0</t>
        </is>
      </c>
      <c r="P524" s="29" t="inlineStr">
        <is>
          <t>KRW</t>
        </is>
      </c>
      <c r="Q524" s="29" t="inlineStr">
        <is>
          <t>11</t>
        </is>
      </c>
    </row>
    <row r="525" ht="24" customHeight="1">
      <c r="A525" s="24" t="inlineStr">
        <is>
          <t>OpenDART_fnlttSinglAcntAll</t>
        </is>
      </c>
      <c r="B525" s="24" t="inlineStr">
        <is>
          <t>00591441</t>
        </is>
      </c>
      <c r="C525" s="24" t="inlineStr">
        <is>
          <t>어보브반도체</t>
        </is>
      </c>
      <c r="D525" s="24" t="inlineStr">
        <is>
          <t>abov</t>
        </is>
      </c>
      <c r="E525" s="24" t="inlineStr">
        <is>
          <t>102120</t>
        </is>
      </c>
      <c r="F525" s="24" t="inlineStr">
        <is>
          <t>2023</t>
        </is>
      </c>
      <c r="G525" s="24" t="inlineStr">
        <is>
          <t>CFS</t>
        </is>
      </c>
      <c r="H525" s="24" t="inlineStr">
        <is>
          <t>SCE</t>
        </is>
      </c>
      <c r="I525" s="24" t="inlineStr">
        <is>
          <t>자본변동표</t>
        </is>
      </c>
      <c r="J525" s="24" t="inlineStr">
        <is>
          <t>-표준계정코드 미사용-</t>
        </is>
      </c>
      <c r="K525" s="24" t="inlineStr">
        <is>
          <t>금융자산의 재분류 효과</t>
        </is>
      </c>
      <c r="L525" s="24" t="inlineStr">
        <is>
          <t>자본 [구성요소]|지배기업의 소유주에게 귀속되는 지분 [구성요소]|기타포괄손익누계액 [구성요소]</t>
        </is>
      </c>
      <c r="M525" s="24" t="inlineStr">
        <is>
          <t>제 18 기</t>
        </is>
      </c>
      <c r="N525" s="24" t="inlineStr">
        <is>
          <t>해당 없음</t>
        </is>
      </c>
      <c r="O525" s="24" t="inlineStr">
        <is>
          <t>-838679746.0</t>
        </is>
      </c>
      <c r="P525" s="24" t="inlineStr">
        <is>
          <t>KRW</t>
        </is>
      </c>
      <c r="Q525" s="24" t="inlineStr">
        <is>
          <t>11</t>
        </is>
      </c>
    </row>
    <row r="526" ht="24" customHeight="1">
      <c r="A526" s="29" t="inlineStr">
        <is>
          <t>OpenDART_fnlttSinglAcntAll</t>
        </is>
      </c>
      <c r="B526" s="29" t="inlineStr">
        <is>
          <t>00591441</t>
        </is>
      </c>
      <c r="C526" s="29" t="inlineStr">
        <is>
          <t>어보브반도체</t>
        </is>
      </c>
      <c r="D526" s="29" t="inlineStr">
        <is>
          <t>abov</t>
        </is>
      </c>
      <c r="E526" s="29" t="inlineStr">
        <is>
          <t>102120</t>
        </is>
      </c>
      <c r="F526" s="29" t="inlineStr">
        <is>
          <t>2023</t>
        </is>
      </c>
      <c r="G526" s="29" t="inlineStr">
        <is>
          <t>CFS</t>
        </is>
      </c>
      <c r="H526" s="29" t="inlineStr">
        <is>
          <t>SCE</t>
        </is>
      </c>
      <c r="I526" s="29" t="inlineStr">
        <is>
          <t>자본변동표</t>
        </is>
      </c>
      <c r="J526" s="29" t="inlineStr">
        <is>
          <t>-표준계정코드 미사용-</t>
        </is>
      </c>
      <c r="K526" s="29" t="inlineStr">
        <is>
          <t>순확정급여부채의 재측정요소</t>
        </is>
      </c>
      <c r="L526" s="29" t="inlineStr">
        <is>
          <t>연결재무제표 [member]</t>
        </is>
      </c>
      <c r="M526" s="29" t="inlineStr">
        <is>
          <t>제 18 기</t>
        </is>
      </c>
      <c r="N526" s="29" t="inlineStr">
        <is>
          <t>-643869713.0</t>
        </is>
      </c>
      <c r="O526" s="29" t="inlineStr">
        <is>
          <t>-106410356.0</t>
        </is>
      </c>
      <c r="P526" s="29" t="inlineStr">
        <is>
          <t>KRW</t>
        </is>
      </c>
      <c r="Q526" s="29" t="inlineStr">
        <is>
          <t>12</t>
        </is>
      </c>
    </row>
    <row r="527" ht="24" customHeight="1">
      <c r="A527" s="24" t="inlineStr">
        <is>
          <t>OpenDART_fnlttSinglAcntAll</t>
        </is>
      </c>
      <c r="B527" s="24" t="inlineStr">
        <is>
          <t>00591441</t>
        </is>
      </c>
      <c r="C527" s="24" t="inlineStr">
        <is>
          <t>어보브반도체</t>
        </is>
      </c>
      <c r="D527" s="24" t="inlineStr">
        <is>
          <t>abov</t>
        </is>
      </c>
      <c r="E527" s="24" t="inlineStr">
        <is>
          <t>102120</t>
        </is>
      </c>
      <c r="F527" s="24" t="inlineStr">
        <is>
          <t>2023</t>
        </is>
      </c>
      <c r="G527" s="24" t="inlineStr">
        <is>
          <t>CFS</t>
        </is>
      </c>
      <c r="H527" s="24" t="inlineStr">
        <is>
          <t>SCE</t>
        </is>
      </c>
      <c r="I527" s="24" t="inlineStr">
        <is>
          <t>자본변동표</t>
        </is>
      </c>
      <c r="J527" s="24" t="inlineStr">
        <is>
          <t>-표준계정코드 미사용-</t>
        </is>
      </c>
      <c r="K527" s="24" t="inlineStr">
        <is>
          <t>순확정급여부채의 재측정요소</t>
        </is>
      </c>
      <c r="L527" s="24" t="inlineStr">
        <is>
          <t>자본 [구성요소]|지배기업의 소유주에게 귀속되는 지분 [구성요소]</t>
        </is>
      </c>
      <c r="M527" s="24" t="inlineStr">
        <is>
          <t>제 18 기</t>
        </is>
      </c>
      <c r="N527" s="24" t="inlineStr">
        <is>
          <t>-643869713.0</t>
        </is>
      </c>
      <c r="O527" s="24" t="inlineStr">
        <is>
          <t>-106410356.0</t>
        </is>
      </c>
      <c r="P527" s="24" t="inlineStr">
        <is>
          <t>KRW</t>
        </is>
      </c>
      <c r="Q527" s="24" t="inlineStr">
        <is>
          <t>12</t>
        </is>
      </c>
    </row>
    <row r="528" ht="24" customHeight="1">
      <c r="A528" s="29" t="inlineStr">
        <is>
          <t>OpenDART_fnlttSinglAcntAll</t>
        </is>
      </c>
      <c r="B528" s="29" t="inlineStr">
        <is>
          <t>00591441</t>
        </is>
      </c>
      <c r="C528" s="29" t="inlineStr">
        <is>
          <t>어보브반도체</t>
        </is>
      </c>
      <c r="D528" s="29" t="inlineStr">
        <is>
          <t>abov</t>
        </is>
      </c>
      <c r="E528" s="29" t="inlineStr">
        <is>
          <t>102120</t>
        </is>
      </c>
      <c r="F528" s="29" t="inlineStr">
        <is>
          <t>2023</t>
        </is>
      </c>
      <c r="G528" s="29" t="inlineStr">
        <is>
          <t>CFS</t>
        </is>
      </c>
      <c r="H528" s="29" t="inlineStr">
        <is>
          <t>SCE</t>
        </is>
      </c>
      <c r="I528" s="29" t="inlineStr">
        <is>
          <t>자본변동표</t>
        </is>
      </c>
      <c r="J528" s="29" t="inlineStr">
        <is>
          <t>-표준계정코드 미사용-</t>
        </is>
      </c>
      <c r="K528" s="29" t="inlineStr">
        <is>
          <t>순확정급여부채의 재측정요소</t>
        </is>
      </c>
      <c r="L528" s="29" t="inlineStr">
        <is>
          <t>자본 [구성요소]|지배기업의 소유주에게 귀속되는 지분 [구성요소]|이익잉여금 [구성요소]</t>
        </is>
      </c>
      <c r="M528" s="29" t="inlineStr">
        <is>
          <t>제 18 기</t>
        </is>
      </c>
      <c r="N528" s="29" t="inlineStr">
        <is>
          <t>-643869713.0</t>
        </is>
      </c>
      <c r="O528" s="29" t="inlineStr">
        <is>
          <t>-106410356.0</t>
        </is>
      </c>
      <c r="P528" s="29" t="inlineStr">
        <is>
          <t>KRW</t>
        </is>
      </c>
      <c r="Q528" s="29" t="inlineStr">
        <is>
          <t>12</t>
        </is>
      </c>
    </row>
    <row r="529" ht="24" customHeight="1">
      <c r="A529" s="24" t="inlineStr">
        <is>
          <t>OpenDART_fnlttSinglAcntAll</t>
        </is>
      </c>
      <c r="B529" s="24" t="inlineStr">
        <is>
          <t>00591441</t>
        </is>
      </c>
      <c r="C529" s="24" t="inlineStr">
        <is>
          <t>어보브반도체</t>
        </is>
      </c>
      <c r="D529" s="24" t="inlineStr">
        <is>
          <t>abov</t>
        </is>
      </c>
      <c r="E529" s="24" t="inlineStr">
        <is>
          <t>102120</t>
        </is>
      </c>
      <c r="F529" s="24" t="inlineStr">
        <is>
          <t>2023</t>
        </is>
      </c>
      <c r="G529" s="24" t="inlineStr">
        <is>
          <t>CFS</t>
        </is>
      </c>
      <c r="H529" s="24" t="inlineStr">
        <is>
          <t>SCE</t>
        </is>
      </c>
      <c r="I529" s="24" t="inlineStr">
        <is>
          <t>자본변동표</t>
        </is>
      </c>
      <c r="J529" s="24" t="inlineStr">
        <is>
          <t>-표준계정코드 미사용-</t>
        </is>
      </c>
      <c r="K529" s="24" t="inlineStr">
        <is>
          <t>배당금의 지급</t>
        </is>
      </c>
      <c r="L529" s="24" t="inlineStr">
        <is>
          <t>연결재무제표 [member]</t>
        </is>
      </c>
      <c r="M529" s="24" t="inlineStr">
        <is>
          <t>제 18 기</t>
        </is>
      </c>
      <c r="N529" s="24" t="inlineStr">
        <is>
          <t>-3299750800.0</t>
        </is>
      </c>
      <c r="O529" s="24" t="inlineStr">
        <is>
          <t>-3972195840.0</t>
        </is>
      </c>
      <c r="P529" s="24" t="inlineStr">
        <is>
          <t>KRW</t>
        </is>
      </c>
      <c r="Q529" s="24" t="inlineStr">
        <is>
          <t>13</t>
        </is>
      </c>
    </row>
    <row r="530" ht="24" customHeight="1">
      <c r="A530" s="29" t="inlineStr">
        <is>
          <t>OpenDART_fnlttSinglAcntAll</t>
        </is>
      </c>
      <c r="B530" s="29" t="inlineStr">
        <is>
          <t>00591441</t>
        </is>
      </c>
      <c r="C530" s="29" t="inlineStr">
        <is>
          <t>어보브반도체</t>
        </is>
      </c>
      <c r="D530" s="29" t="inlineStr">
        <is>
          <t>abov</t>
        </is>
      </c>
      <c r="E530" s="29" t="inlineStr">
        <is>
          <t>102120</t>
        </is>
      </c>
      <c r="F530" s="29" t="inlineStr">
        <is>
          <t>2023</t>
        </is>
      </c>
      <c r="G530" s="29" t="inlineStr">
        <is>
          <t>CFS</t>
        </is>
      </c>
      <c r="H530" s="29" t="inlineStr">
        <is>
          <t>SCE</t>
        </is>
      </c>
      <c r="I530" s="29" t="inlineStr">
        <is>
          <t>자본변동표</t>
        </is>
      </c>
      <c r="J530" s="29" t="inlineStr">
        <is>
          <t>-표준계정코드 미사용-</t>
        </is>
      </c>
      <c r="K530" s="29" t="inlineStr">
        <is>
          <t>배당금의 지급</t>
        </is>
      </c>
      <c r="L530" s="29" t="inlineStr">
        <is>
          <t>자본 [구성요소]|지배기업의 소유주에게 귀속되는 지분 [구성요소]</t>
        </is>
      </c>
      <c r="M530" s="29" t="inlineStr">
        <is>
          <t>제 18 기</t>
        </is>
      </c>
      <c r="N530" s="29" t="inlineStr">
        <is>
          <t>-3299750800.0</t>
        </is>
      </c>
      <c r="O530" s="29" t="inlineStr">
        <is>
          <t>-3972195840.0</t>
        </is>
      </c>
      <c r="P530" s="29" t="inlineStr">
        <is>
          <t>KRW</t>
        </is>
      </c>
      <c r="Q530" s="29" t="inlineStr">
        <is>
          <t>13</t>
        </is>
      </c>
    </row>
    <row r="531" ht="24" customHeight="1">
      <c r="A531" s="24" t="inlineStr">
        <is>
          <t>OpenDART_fnlttSinglAcntAll</t>
        </is>
      </c>
      <c r="B531" s="24" t="inlineStr">
        <is>
          <t>00591441</t>
        </is>
      </c>
      <c r="C531" s="24" t="inlineStr">
        <is>
          <t>어보브반도체</t>
        </is>
      </c>
      <c r="D531" s="24" t="inlineStr">
        <is>
          <t>abov</t>
        </is>
      </c>
      <c r="E531" s="24" t="inlineStr">
        <is>
          <t>102120</t>
        </is>
      </c>
      <c r="F531" s="24" t="inlineStr">
        <is>
          <t>2023</t>
        </is>
      </c>
      <c r="G531" s="24" t="inlineStr">
        <is>
          <t>CFS</t>
        </is>
      </c>
      <c r="H531" s="24" t="inlineStr">
        <is>
          <t>SCE</t>
        </is>
      </c>
      <c r="I531" s="24" t="inlineStr">
        <is>
          <t>자본변동표</t>
        </is>
      </c>
      <c r="J531" s="24" t="inlineStr">
        <is>
          <t>-표준계정코드 미사용-</t>
        </is>
      </c>
      <c r="K531" s="24" t="inlineStr">
        <is>
          <t>배당금의 지급</t>
        </is>
      </c>
      <c r="L531" s="24" t="inlineStr">
        <is>
          <t>자본 [구성요소]|지배기업의 소유주에게 귀속되는 지분 [구성요소]|이익잉여금 [구성요소]</t>
        </is>
      </c>
      <c r="M531" s="24" t="inlineStr">
        <is>
          <t>제 18 기</t>
        </is>
      </c>
      <c r="N531" s="24" t="inlineStr">
        <is>
          <t>-3299750800.0</t>
        </is>
      </c>
      <c r="O531" s="24" t="inlineStr">
        <is>
          <t>-3972195840.0</t>
        </is>
      </c>
      <c r="P531" s="24" t="inlineStr">
        <is>
          <t>KRW</t>
        </is>
      </c>
      <c r="Q531" s="24" t="inlineStr">
        <is>
          <t>13</t>
        </is>
      </c>
    </row>
    <row r="532" ht="24" customHeight="1">
      <c r="A532" s="29" t="inlineStr">
        <is>
          <t>OpenDART_fnlttSinglAcntAll</t>
        </is>
      </c>
      <c r="B532" s="29" t="inlineStr">
        <is>
          <t>00591441</t>
        </is>
      </c>
      <c r="C532" s="29" t="inlineStr">
        <is>
          <t>어보브반도체</t>
        </is>
      </c>
      <c r="D532" s="29" t="inlineStr">
        <is>
          <t>abov</t>
        </is>
      </c>
      <c r="E532" s="29" t="inlineStr">
        <is>
          <t>102120</t>
        </is>
      </c>
      <c r="F532" s="29" t="inlineStr">
        <is>
          <t>2023</t>
        </is>
      </c>
      <c r="G532" s="29" t="inlineStr">
        <is>
          <t>CFS</t>
        </is>
      </c>
      <c r="H532" s="29" t="inlineStr">
        <is>
          <t>SCE</t>
        </is>
      </c>
      <c r="I532" s="29" t="inlineStr">
        <is>
          <t>자본변동표</t>
        </is>
      </c>
      <c r="J532" s="29" t="inlineStr">
        <is>
          <t>ifrs-full_Equity</t>
        </is>
      </c>
      <c r="K532" s="29" t="inlineStr">
        <is>
          <t>자본총계</t>
        </is>
      </c>
      <c r="L532" s="29" t="inlineStr">
        <is>
          <t>자본 [구성요소]|지배기업의 소유주에게 귀속되는 지분 [구성요소]</t>
        </is>
      </c>
      <c r="M532" s="29" t="inlineStr">
        <is>
          <t>제 18 기</t>
        </is>
      </c>
      <c r="N532" s="29" t="inlineStr">
        <is>
          <t>104968188989.0</t>
        </is>
      </c>
      <c r="O532" s="29" t="inlineStr">
        <is>
          <t>120769541251.0</t>
        </is>
      </c>
      <c r="P532" s="29" t="inlineStr">
        <is>
          <t>KRW</t>
        </is>
      </c>
      <c r="Q532" s="29" t="inlineStr">
        <is>
          <t>14</t>
        </is>
      </c>
    </row>
    <row r="533" ht="24" customHeight="1">
      <c r="A533" s="24" t="inlineStr">
        <is>
          <t>OpenDART_fnlttSinglAcntAll</t>
        </is>
      </c>
      <c r="B533" s="24" t="inlineStr">
        <is>
          <t>00591441</t>
        </is>
      </c>
      <c r="C533" s="24" t="inlineStr">
        <is>
          <t>어보브반도체</t>
        </is>
      </c>
      <c r="D533" s="24" t="inlineStr">
        <is>
          <t>abov</t>
        </is>
      </c>
      <c r="E533" s="24" t="inlineStr">
        <is>
          <t>102120</t>
        </is>
      </c>
      <c r="F533" s="24" t="inlineStr">
        <is>
          <t>2023</t>
        </is>
      </c>
      <c r="G533" s="24" t="inlineStr">
        <is>
          <t>CFS</t>
        </is>
      </c>
      <c r="H533" s="24" t="inlineStr">
        <is>
          <t>SCE</t>
        </is>
      </c>
      <c r="I533" s="24" t="inlineStr">
        <is>
          <t>자본변동표</t>
        </is>
      </c>
      <c r="J533" s="24" t="inlineStr">
        <is>
          <t>ifrs-full_Equity</t>
        </is>
      </c>
      <c r="K533" s="24" t="inlineStr">
        <is>
          <t>자본총계</t>
        </is>
      </c>
      <c r="L533" s="24" t="inlineStr">
        <is>
          <t>자본 [구성요소]|비지배지분 [구성요소]</t>
        </is>
      </c>
      <c r="M533" s="24" t="inlineStr">
        <is>
          <t>제 18 기</t>
        </is>
      </c>
      <c r="N533" s="24" t="inlineStr">
        <is>
          <t>35657795188.0</t>
        </is>
      </c>
      <c r="O533" s="24" t="inlineStr">
        <is>
          <t>52299043042.0</t>
        </is>
      </c>
      <c r="P533" s="24" t="inlineStr">
        <is>
          <t>KRW</t>
        </is>
      </c>
      <c r="Q533" s="24" t="inlineStr">
        <is>
          <t>14</t>
        </is>
      </c>
    </row>
    <row r="534" ht="24" customHeight="1">
      <c r="A534" s="29" t="inlineStr">
        <is>
          <t>OpenDART_fnlttSinglAcntAll</t>
        </is>
      </c>
      <c r="B534" s="29" t="inlineStr">
        <is>
          <t>00591441</t>
        </is>
      </c>
      <c r="C534" s="29" t="inlineStr">
        <is>
          <t>어보브반도체</t>
        </is>
      </c>
      <c r="D534" s="29" t="inlineStr">
        <is>
          <t>abov</t>
        </is>
      </c>
      <c r="E534" s="29" t="inlineStr">
        <is>
          <t>102120</t>
        </is>
      </c>
      <c r="F534" s="29" t="inlineStr">
        <is>
          <t>2023</t>
        </is>
      </c>
      <c r="G534" s="29" t="inlineStr">
        <is>
          <t>CFS</t>
        </is>
      </c>
      <c r="H534" s="29" t="inlineStr">
        <is>
          <t>SCE</t>
        </is>
      </c>
      <c r="I534" s="29" t="inlineStr">
        <is>
          <t>자본변동표</t>
        </is>
      </c>
      <c r="J534" s="29" t="inlineStr">
        <is>
          <t>ifrs-full_Equity</t>
        </is>
      </c>
      <c r="K534" s="29" t="inlineStr">
        <is>
          <t>자본총계</t>
        </is>
      </c>
      <c r="L534" s="29" t="inlineStr">
        <is>
          <t>연결재무제표 [member]</t>
        </is>
      </c>
      <c r="M534" s="29" t="inlineStr">
        <is>
          <t>제 18 기</t>
        </is>
      </c>
      <c r="N534" s="29" t="inlineStr">
        <is>
          <t>140625984177.0</t>
        </is>
      </c>
      <c r="O534" s="29" t="inlineStr">
        <is>
          <t>173068584293.0</t>
        </is>
      </c>
      <c r="P534" s="29" t="inlineStr">
        <is>
          <t>KRW</t>
        </is>
      </c>
      <c r="Q534" s="29" t="inlineStr">
        <is>
          <t>14</t>
        </is>
      </c>
    </row>
    <row r="535" ht="24" customHeight="1">
      <c r="A535" s="24" t="inlineStr">
        <is>
          <t>OpenDART_fnlttSinglAcntAll</t>
        </is>
      </c>
      <c r="B535" s="24" t="inlineStr">
        <is>
          <t>00591441</t>
        </is>
      </c>
      <c r="C535" s="24" t="inlineStr">
        <is>
          <t>어보브반도체</t>
        </is>
      </c>
      <c r="D535" s="24" t="inlineStr">
        <is>
          <t>abov</t>
        </is>
      </c>
      <c r="E535" s="24" t="inlineStr">
        <is>
          <t>102120</t>
        </is>
      </c>
      <c r="F535" s="24" t="inlineStr">
        <is>
          <t>2023</t>
        </is>
      </c>
      <c r="G535" s="24" t="inlineStr">
        <is>
          <t>CFS</t>
        </is>
      </c>
      <c r="H535" s="24" t="inlineStr">
        <is>
          <t>SCE</t>
        </is>
      </c>
      <c r="I535" s="24" t="inlineStr">
        <is>
          <t>자본변동표</t>
        </is>
      </c>
      <c r="J535" s="24" t="inlineStr">
        <is>
          <t>ifrs-full_Equity</t>
        </is>
      </c>
      <c r="K535" s="24" t="inlineStr">
        <is>
          <t>자본총계</t>
        </is>
      </c>
      <c r="L535" s="24" t="inlineStr">
        <is>
          <t>자본 [구성요소]|지배기업의 소유주에게 귀속되는 지분 [구성요소]|기타자본구성요소 [구성요소]</t>
        </is>
      </c>
      <c r="M535" s="24" t="inlineStr">
        <is>
          <t>제 18 기</t>
        </is>
      </c>
      <c r="N535" s="24" t="inlineStr">
        <is>
          <t>-6481281732.0</t>
        </is>
      </c>
      <c r="O535" s="24" t="inlineStr">
        <is>
          <t>-7414053960.0</t>
        </is>
      </c>
      <c r="P535" s="24" t="inlineStr">
        <is>
          <t>KRW</t>
        </is>
      </c>
      <c r="Q535" s="24" t="inlineStr">
        <is>
          <t>14</t>
        </is>
      </c>
    </row>
    <row r="536" ht="24" customHeight="1">
      <c r="A536" s="29" t="inlineStr">
        <is>
          <t>OpenDART_fnlttSinglAcntAll</t>
        </is>
      </c>
      <c r="B536" s="29" t="inlineStr">
        <is>
          <t>00591441</t>
        </is>
      </c>
      <c r="C536" s="29" t="inlineStr">
        <is>
          <t>어보브반도체</t>
        </is>
      </c>
      <c r="D536" s="29" t="inlineStr">
        <is>
          <t>abov</t>
        </is>
      </c>
      <c r="E536" s="29" t="inlineStr">
        <is>
          <t>102120</t>
        </is>
      </c>
      <c r="F536" s="29" t="inlineStr">
        <is>
          <t>2023</t>
        </is>
      </c>
      <c r="G536" s="29" t="inlineStr">
        <is>
          <t>CFS</t>
        </is>
      </c>
      <c r="H536" s="29" t="inlineStr">
        <is>
          <t>SCE</t>
        </is>
      </c>
      <c r="I536" s="29" t="inlineStr">
        <is>
          <t>자본변동표</t>
        </is>
      </c>
      <c r="J536" s="29" t="inlineStr">
        <is>
          <t>ifrs-full_Equity</t>
        </is>
      </c>
      <c r="K536" s="29" t="inlineStr">
        <is>
          <t>자본총계</t>
        </is>
      </c>
      <c r="L536" s="29" t="inlineStr">
        <is>
          <t>자본 [구성요소]|지배기업의 소유주에게 귀속되는 지분 [구성요소]|자본잉여금 [구성요소]</t>
        </is>
      </c>
      <c r="M536" s="29" t="inlineStr">
        <is>
          <t>제 18 기</t>
        </is>
      </c>
      <c r="N536" s="29" t="inlineStr">
        <is>
          <t>26421998151.0</t>
        </is>
      </c>
      <c r="O536" s="29" t="inlineStr">
        <is>
          <t>26421998151.0</t>
        </is>
      </c>
      <c r="P536" s="29" t="inlineStr">
        <is>
          <t>KRW</t>
        </is>
      </c>
      <c r="Q536" s="29" t="inlineStr">
        <is>
          <t>14</t>
        </is>
      </c>
    </row>
    <row r="537" ht="24" customHeight="1">
      <c r="A537" s="24" t="inlineStr">
        <is>
          <t>OpenDART_fnlttSinglAcntAll</t>
        </is>
      </c>
      <c r="B537" s="24" t="inlineStr">
        <is>
          <t>00591441</t>
        </is>
      </c>
      <c r="C537" s="24" t="inlineStr">
        <is>
          <t>어보브반도체</t>
        </is>
      </c>
      <c r="D537" s="24" t="inlineStr">
        <is>
          <t>abov</t>
        </is>
      </c>
      <c r="E537" s="24" t="inlineStr">
        <is>
          <t>102120</t>
        </is>
      </c>
      <c r="F537" s="24" t="inlineStr">
        <is>
          <t>2023</t>
        </is>
      </c>
      <c r="G537" s="24" t="inlineStr">
        <is>
          <t>CFS</t>
        </is>
      </c>
      <c r="H537" s="24" t="inlineStr">
        <is>
          <t>SCE</t>
        </is>
      </c>
      <c r="I537" s="24" t="inlineStr">
        <is>
          <t>자본변동표</t>
        </is>
      </c>
      <c r="J537" s="24" t="inlineStr">
        <is>
          <t>ifrs-full_Equity</t>
        </is>
      </c>
      <c r="K537" s="24" t="inlineStr">
        <is>
          <t>자본총계</t>
        </is>
      </c>
      <c r="L537" s="24" t="inlineStr">
        <is>
          <t>자본 [구성요소]|지배기업의 소유주에게 귀속되는 지분 [구성요소]|자본금 [구성요소]</t>
        </is>
      </c>
      <c r="M537" s="24" t="inlineStr">
        <is>
          <t>제 18 기</t>
        </is>
      </c>
      <c r="N537" s="24" t="inlineStr">
        <is>
          <t>8890376500.0</t>
        </is>
      </c>
      <c r="O537" s="24" t="inlineStr">
        <is>
          <t>8890376500.0</t>
        </is>
      </c>
      <c r="P537" s="24" t="inlineStr">
        <is>
          <t>KRW</t>
        </is>
      </c>
      <c r="Q537" s="24" t="inlineStr">
        <is>
          <t>14</t>
        </is>
      </c>
    </row>
    <row r="538" ht="24" customHeight="1">
      <c r="A538" s="29" t="inlineStr">
        <is>
          <t>OpenDART_fnlttSinglAcntAll</t>
        </is>
      </c>
      <c r="B538" s="29" t="inlineStr">
        <is>
          <t>00591441</t>
        </is>
      </c>
      <c r="C538" s="29" t="inlineStr">
        <is>
          <t>어보브반도체</t>
        </is>
      </c>
      <c r="D538" s="29" t="inlineStr">
        <is>
          <t>abov</t>
        </is>
      </c>
      <c r="E538" s="29" t="inlineStr">
        <is>
          <t>102120</t>
        </is>
      </c>
      <c r="F538" s="29" t="inlineStr">
        <is>
          <t>2023</t>
        </is>
      </c>
      <c r="G538" s="29" t="inlineStr">
        <is>
          <t>CFS</t>
        </is>
      </c>
      <c r="H538" s="29" t="inlineStr">
        <is>
          <t>SCE</t>
        </is>
      </c>
      <c r="I538" s="29" t="inlineStr">
        <is>
          <t>자본변동표</t>
        </is>
      </c>
      <c r="J538" s="29" t="inlineStr">
        <is>
          <t>ifrs-full_Equity</t>
        </is>
      </c>
      <c r="K538" s="29" t="inlineStr">
        <is>
          <t>자본총계</t>
        </is>
      </c>
      <c r="L538" s="29" t="inlineStr">
        <is>
          <t>자본 [구성요소]|지배기업의 소유주에게 귀속되는 지분 [구성요소]|이익잉여금 [구성요소]</t>
        </is>
      </c>
      <c r="M538" s="29" t="inlineStr">
        <is>
          <t>제 18 기</t>
        </is>
      </c>
      <c r="N538" s="29" t="inlineStr">
        <is>
          <t>77059442795.0</t>
        </is>
      </c>
      <c r="O538" s="29" t="inlineStr">
        <is>
          <t>93547870721.0</t>
        </is>
      </c>
      <c r="P538" s="29" t="inlineStr">
        <is>
          <t>KRW</t>
        </is>
      </c>
      <c r="Q538" s="29" t="inlineStr">
        <is>
          <t>14</t>
        </is>
      </c>
    </row>
    <row r="539" ht="24" customHeight="1">
      <c r="A539" s="24" t="inlineStr">
        <is>
          <t>OpenDART_fnlttSinglAcntAll</t>
        </is>
      </c>
      <c r="B539" s="24" t="inlineStr">
        <is>
          <t>00591441</t>
        </is>
      </c>
      <c r="C539" s="24" t="inlineStr">
        <is>
          <t>어보브반도체</t>
        </is>
      </c>
      <c r="D539" s="24" t="inlineStr">
        <is>
          <t>abov</t>
        </is>
      </c>
      <c r="E539" s="24" t="inlineStr">
        <is>
          <t>102120</t>
        </is>
      </c>
      <c r="F539" s="24" t="inlineStr">
        <is>
          <t>2023</t>
        </is>
      </c>
      <c r="G539" s="24" t="inlineStr">
        <is>
          <t>CFS</t>
        </is>
      </c>
      <c r="H539" s="24" t="inlineStr">
        <is>
          <t>SCE</t>
        </is>
      </c>
      <c r="I539" s="24" t="inlineStr">
        <is>
          <t>자본변동표</t>
        </is>
      </c>
      <c r="J539" s="24" t="inlineStr">
        <is>
          <t>ifrs-full_Equity</t>
        </is>
      </c>
      <c r="K539" s="24" t="inlineStr">
        <is>
          <t>자본총계</t>
        </is>
      </c>
      <c r="L539" s="24" t="inlineStr">
        <is>
          <t>자본 [구성요소]|지배기업의 소유주에게 귀속되는 지분 [구성요소]|기타포괄손익누계액 [구성요소]</t>
        </is>
      </c>
      <c r="M539" s="24" t="inlineStr">
        <is>
          <t>제 18 기</t>
        </is>
      </c>
      <c r="N539" s="24" t="inlineStr">
        <is>
          <t>-922346725.0</t>
        </is>
      </c>
      <c r="O539" s="24" t="inlineStr">
        <is>
          <t>-676650161.0</t>
        </is>
      </c>
      <c r="P539" s="24" t="inlineStr">
        <is>
          <t>KRW</t>
        </is>
      </c>
      <c r="Q539" s="24" t="inlineStr">
        <is>
          <t>14</t>
        </is>
      </c>
    </row>
    <row r="540" ht="24" customHeight="1">
      <c r="A540" s="29" t="inlineStr">
        <is>
          <t>OpenDART_fnlttSinglAcntAll</t>
        </is>
      </c>
      <c r="B540" s="29" t="inlineStr">
        <is>
          <t>00591441</t>
        </is>
      </c>
      <c r="C540" s="29" t="inlineStr">
        <is>
          <t>어보브반도체</t>
        </is>
      </c>
      <c r="D540" s="29" t="inlineStr">
        <is>
          <t>abov</t>
        </is>
      </c>
      <c r="E540" s="29" t="inlineStr">
        <is>
          <t>102120</t>
        </is>
      </c>
      <c r="F540" s="29" t="inlineStr">
        <is>
          <t>2023</t>
        </is>
      </c>
      <c r="G540" s="29" t="inlineStr">
        <is>
          <t>CFS</t>
        </is>
      </c>
      <c r="H540" s="29" t="inlineStr">
        <is>
          <t>SCE</t>
        </is>
      </c>
      <c r="I540" s="29" t="inlineStr">
        <is>
          <t>자본변동표</t>
        </is>
      </c>
      <c r="J540" s="29" t="inlineStr">
        <is>
          <t>ifrs-full_IncreaseDecreaseThroughSharebasedPaymentTransactions</t>
        </is>
      </c>
      <c r="K540" s="29" t="inlineStr">
        <is>
          <t>주식매입선택권</t>
        </is>
      </c>
      <c r="L540" s="29" t="inlineStr">
        <is>
          <t>연결재무제표 [member]</t>
        </is>
      </c>
      <c r="M540" s="29" t="inlineStr">
        <is>
          <t>제 18 기</t>
        </is>
      </c>
      <c r="N540" s="29" t="inlineStr">
        <is>
          <t>932772228.0</t>
        </is>
      </c>
      <c r="O540" s="29" t="inlineStr">
        <is>
          <t>2057126740.0</t>
        </is>
      </c>
      <c r="P540" s="29" t="inlineStr">
        <is>
          <t>KRW</t>
        </is>
      </c>
      <c r="Q540" s="29" t="inlineStr">
        <is>
          <t>15</t>
        </is>
      </c>
    </row>
    <row r="541" ht="24" customHeight="1">
      <c r="A541" s="24" t="inlineStr">
        <is>
          <t>OpenDART_fnlttSinglAcntAll</t>
        </is>
      </c>
      <c r="B541" s="24" t="inlineStr">
        <is>
          <t>00591441</t>
        </is>
      </c>
      <c r="C541" s="24" t="inlineStr">
        <is>
          <t>어보브반도체</t>
        </is>
      </c>
      <c r="D541" s="24" t="inlineStr">
        <is>
          <t>abov</t>
        </is>
      </c>
      <c r="E541" s="24" t="inlineStr">
        <is>
          <t>102120</t>
        </is>
      </c>
      <c r="F541" s="24" t="inlineStr">
        <is>
          <t>2023</t>
        </is>
      </c>
      <c r="G541" s="24" t="inlineStr">
        <is>
          <t>CFS</t>
        </is>
      </c>
      <c r="H541" s="24" t="inlineStr">
        <is>
          <t>SCE</t>
        </is>
      </c>
      <c r="I541" s="24" t="inlineStr">
        <is>
          <t>자본변동표</t>
        </is>
      </c>
      <c r="J541" s="24" t="inlineStr">
        <is>
          <t>ifrs-full_IncreaseDecreaseThroughSharebasedPaymentTransactions</t>
        </is>
      </c>
      <c r="K541" s="24" t="inlineStr">
        <is>
          <t>주식매입선택권</t>
        </is>
      </c>
      <c r="L541" s="24" t="inlineStr">
        <is>
          <t>자본 [구성요소]|지배기업의 소유주에게 귀속되는 지분 [구성요소]</t>
        </is>
      </c>
      <c r="M541" s="24" t="inlineStr">
        <is>
          <t>제 18 기</t>
        </is>
      </c>
      <c r="N541" s="24" t="inlineStr">
        <is>
          <t>932772228.0</t>
        </is>
      </c>
      <c r="O541" s="24" t="inlineStr">
        <is>
          <t>2057126740.0</t>
        </is>
      </c>
      <c r="P541" s="24" t="inlineStr">
        <is>
          <t>KRW</t>
        </is>
      </c>
      <c r="Q541" s="24" t="inlineStr">
        <is>
          <t>15</t>
        </is>
      </c>
    </row>
    <row r="542" ht="24" customHeight="1">
      <c r="A542" s="29" t="inlineStr">
        <is>
          <t>OpenDART_fnlttSinglAcntAll</t>
        </is>
      </c>
      <c r="B542" s="29" t="inlineStr">
        <is>
          <t>00591441</t>
        </is>
      </c>
      <c r="C542" s="29" t="inlineStr">
        <is>
          <t>어보브반도체</t>
        </is>
      </c>
      <c r="D542" s="29" t="inlineStr">
        <is>
          <t>abov</t>
        </is>
      </c>
      <c r="E542" s="29" t="inlineStr">
        <is>
          <t>102120</t>
        </is>
      </c>
      <c r="F542" s="29" t="inlineStr">
        <is>
          <t>2023</t>
        </is>
      </c>
      <c r="G542" s="29" t="inlineStr">
        <is>
          <t>CFS</t>
        </is>
      </c>
      <c r="H542" s="29" t="inlineStr">
        <is>
          <t>SCE</t>
        </is>
      </c>
      <c r="I542" s="29" t="inlineStr">
        <is>
          <t>자본변동표</t>
        </is>
      </c>
      <c r="J542" s="29" t="inlineStr">
        <is>
          <t>ifrs-full_IncreaseDecreaseThroughSharebasedPaymentTransactions</t>
        </is>
      </c>
      <c r="K542" s="29" t="inlineStr">
        <is>
          <t>주식매입선택권</t>
        </is>
      </c>
      <c r="L542" s="29" t="inlineStr">
        <is>
          <t>자본 [구성요소]|지배기업의 소유주에게 귀속되는 지분 [구성요소]|기타자본구성요소 [구성요소]</t>
        </is>
      </c>
      <c r="M542" s="29" t="inlineStr">
        <is>
          <t>제 18 기</t>
        </is>
      </c>
      <c r="N542" s="29" t="inlineStr">
        <is>
          <t>932772228.0</t>
        </is>
      </c>
      <c r="O542" s="29" t="inlineStr">
        <is>
          <t>2057126740.0</t>
        </is>
      </c>
      <c r="P542" s="29" t="inlineStr">
        <is>
          <t>KRW</t>
        </is>
      </c>
      <c r="Q542" s="29" t="inlineStr">
        <is>
          <t>15</t>
        </is>
      </c>
    </row>
    <row r="543" ht="24" customHeight="1">
      <c r="A543" s="24" t="inlineStr">
        <is>
          <t>OpenDART_fnlttSinglAcntAll</t>
        </is>
      </c>
      <c r="B543" s="24" t="inlineStr">
        <is>
          <t>00591441</t>
        </is>
      </c>
      <c r="C543" s="24" t="inlineStr">
        <is>
          <t>어보브반도체</t>
        </is>
      </c>
      <c r="D543" s="24" t="inlineStr">
        <is>
          <t>abov</t>
        </is>
      </c>
      <c r="E543" s="24" t="inlineStr">
        <is>
          <t>102120</t>
        </is>
      </c>
      <c r="F543" s="24" t="inlineStr">
        <is>
          <t>2023</t>
        </is>
      </c>
      <c r="G543" s="24" t="inlineStr">
        <is>
          <t>CFS</t>
        </is>
      </c>
      <c r="H543" s="24" t="inlineStr">
        <is>
          <t>SCE</t>
        </is>
      </c>
      <c r="I543" s="24" t="inlineStr">
        <is>
          <t>자본변동표</t>
        </is>
      </c>
      <c r="J543" s="24" t="inlineStr">
        <is>
          <t>ifrs-full_ProfitLoss</t>
        </is>
      </c>
      <c r="K543" s="24" t="inlineStr">
        <is>
          <t>당기순이익(손실)</t>
        </is>
      </c>
      <c r="L543" s="24" t="inlineStr">
        <is>
          <t>연결재무제표 [member]</t>
        </is>
      </c>
      <c r="M543" s="24" t="inlineStr">
        <is>
          <t>제 18 기</t>
        </is>
      </c>
      <c r="N543" s="24" t="inlineStr">
        <is>
          <t>-33443728959.0</t>
        </is>
      </c>
      <c r="O543" s="24" t="inlineStr">
        <is>
          <t>12654577621.0</t>
        </is>
      </c>
      <c r="P543" s="24" t="inlineStr">
        <is>
          <t>KRW</t>
        </is>
      </c>
      <c r="Q543" s="24" t="inlineStr">
        <is>
          <t>16</t>
        </is>
      </c>
    </row>
    <row r="544" ht="24" customHeight="1">
      <c r="A544" s="29" t="inlineStr">
        <is>
          <t>OpenDART_fnlttSinglAcntAll</t>
        </is>
      </c>
      <c r="B544" s="29" t="inlineStr">
        <is>
          <t>00591441</t>
        </is>
      </c>
      <c r="C544" s="29" t="inlineStr">
        <is>
          <t>어보브반도체</t>
        </is>
      </c>
      <c r="D544" s="29" t="inlineStr">
        <is>
          <t>abov</t>
        </is>
      </c>
      <c r="E544" s="29" t="inlineStr">
        <is>
          <t>102120</t>
        </is>
      </c>
      <c r="F544" s="29" t="inlineStr">
        <is>
          <t>2023</t>
        </is>
      </c>
      <c r="G544" s="29" t="inlineStr">
        <is>
          <t>CFS</t>
        </is>
      </c>
      <c r="H544" s="29" t="inlineStr">
        <is>
          <t>SCE</t>
        </is>
      </c>
      <c r="I544" s="29" t="inlineStr">
        <is>
          <t>자본변동표</t>
        </is>
      </c>
      <c r="J544" s="29" t="inlineStr">
        <is>
          <t>ifrs-full_ProfitLoss</t>
        </is>
      </c>
      <c r="K544" s="29" t="inlineStr">
        <is>
          <t>당기순이익(손실)</t>
        </is>
      </c>
      <c r="L544" s="29" t="inlineStr">
        <is>
          <t>자본 [구성요소]|비지배지분 [구성요소]</t>
        </is>
      </c>
      <c r="M544" s="29" t="inlineStr">
        <is>
          <t>제 18 기</t>
        </is>
      </c>
      <c r="N544" s="29" t="inlineStr">
        <is>
          <t>-20898921546.0</t>
        </is>
      </c>
      <c r="O544" s="29" t="inlineStr">
        <is>
          <t>207403641.0</t>
        </is>
      </c>
      <c r="P544" s="29" t="inlineStr">
        <is>
          <t>KRW</t>
        </is>
      </c>
      <c r="Q544" s="29" t="inlineStr">
        <is>
          <t>16</t>
        </is>
      </c>
    </row>
    <row r="545" ht="24" customHeight="1">
      <c r="A545" s="24" t="inlineStr">
        <is>
          <t>OpenDART_fnlttSinglAcntAll</t>
        </is>
      </c>
      <c r="B545" s="24" t="inlineStr">
        <is>
          <t>00591441</t>
        </is>
      </c>
      <c r="C545" s="24" t="inlineStr">
        <is>
          <t>어보브반도체</t>
        </is>
      </c>
      <c r="D545" s="24" t="inlineStr">
        <is>
          <t>abov</t>
        </is>
      </c>
      <c r="E545" s="24" t="inlineStr">
        <is>
          <t>102120</t>
        </is>
      </c>
      <c r="F545" s="24" t="inlineStr">
        <is>
          <t>2023</t>
        </is>
      </c>
      <c r="G545" s="24" t="inlineStr">
        <is>
          <t>CFS</t>
        </is>
      </c>
      <c r="H545" s="24" t="inlineStr">
        <is>
          <t>SCE</t>
        </is>
      </c>
      <c r="I545" s="24" t="inlineStr">
        <is>
          <t>자본변동표</t>
        </is>
      </c>
      <c r="J545" s="24" t="inlineStr">
        <is>
          <t>ifrs-full_ProfitLoss</t>
        </is>
      </c>
      <c r="K545" s="24" t="inlineStr">
        <is>
          <t>당기순이익(손실)</t>
        </is>
      </c>
      <c r="L545" s="24" t="inlineStr">
        <is>
          <t>자본 [구성요소]|지배기업의 소유주에게 귀속되는 지분 [구성요소]</t>
        </is>
      </c>
      <c r="M545" s="24" t="inlineStr">
        <is>
          <t>제 18 기</t>
        </is>
      </c>
      <c r="N545" s="24" t="inlineStr">
        <is>
          <t>-12544807413.0</t>
        </is>
      </c>
      <c r="O545" s="24" t="inlineStr">
        <is>
          <t>12447173980.0</t>
        </is>
      </c>
      <c r="P545" s="24" t="inlineStr">
        <is>
          <t>KRW</t>
        </is>
      </c>
      <c r="Q545" s="24" t="inlineStr">
        <is>
          <t>16</t>
        </is>
      </c>
    </row>
    <row r="546" ht="24" customHeight="1">
      <c r="A546" s="29" t="inlineStr">
        <is>
          <t>OpenDART_fnlttSinglAcntAll</t>
        </is>
      </c>
      <c r="B546" s="29" t="inlineStr">
        <is>
          <t>00591441</t>
        </is>
      </c>
      <c r="C546" s="29" t="inlineStr">
        <is>
          <t>어보브반도체</t>
        </is>
      </c>
      <c r="D546" s="29" t="inlineStr">
        <is>
          <t>abov</t>
        </is>
      </c>
      <c r="E546" s="29" t="inlineStr">
        <is>
          <t>102120</t>
        </is>
      </c>
      <c r="F546" s="29" t="inlineStr">
        <is>
          <t>2023</t>
        </is>
      </c>
      <c r="G546" s="29" t="inlineStr">
        <is>
          <t>CFS</t>
        </is>
      </c>
      <c r="H546" s="29" t="inlineStr">
        <is>
          <t>SCE</t>
        </is>
      </c>
      <c r="I546" s="29" t="inlineStr">
        <is>
          <t>자본변동표</t>
        </is>
      </c>
      <c r="J546" s="29" t="inlineStr">
        <is>
          <t>ifrs-full_ProfitLoss</t>
        </is>
      </c>
      <c r="K546" s="29" t="inlineStr">
        <is>
          <t>당기순이익(손실)</t>
        </is>
      </c>
      <c r="L546" s="29" t="inlineStr">
        <is>
          <t>자본 [구성요소]|지배기업의 소유주에게 귀속되는 지분 [구성요소]|이익잉여금 [구성요소]</t>
        </is>
      </c>
      <c r="M546" s="29" t="inlineStr">
        <is>
          <t>제 18 기</t>
        </is>
      </c>
      <c r="N546" s="29" t="inlineStr">
        <is>
          <t>-12544807413.0</t>
        </is>
      </c>
      <c r="O546" s="29" t="inlineStr">
        <is>
          <t>12447173980.0</t>
        </is>
      </c>
      <c r="P546" s="29" t="inlineStr">
        <is>
          <t>KRW</t>
        </is>
      </c>
      <c r="Q546" s="29" t="inlineStr">
        <is>
          <t>16</t>
        </is>
      </c>
    </row>
    <row r="547" ht="24" customHeight="1">
      <c r="A547" s="24" t="inlineStr">
        <is>
          <t>OpenDART_fnlttSinglAcntAll</t>
        </is>
      </c>
      <c r="B547" s="24" t="inlineStr">
        <is>
          <t>00591441</t>
        </is>
      </c>
      <c r="C547" s="24" t="inlineStr">
        <is>
          <t>어보브반도체</t>
        </is>
      </c>
      <c r="D547" s="24" t="inlineStr">
        <is>
          <t>abov</t>
        </is>
      </c>
      <c r="E547" s="24" t="inlineStr">
        <is>
          <t>102120</t>
        </is>
      </c>
      <c r="F547" s="24" t="inlineStr">
        <is>
          <t>2024</t>
        </is>
      </c>
      <c r="G547" s="24" t="inlineStr">
        <is>
          <t>CFS</t>
        </is>
      </c>
      <c r="H547" s="24" t="inlineStr">
        <is>
          <t>BS</t>
        </is>
      </c>
      <c r="I547" s="24" t="inlineStr">
        <is>
          <t>재무상태표</t>
        </is>
      </c>
      <c r="J547" s="24" t="inlineStr">
        <is>
          <t>ifrs-full_Assets</t>
        </is>
      </c>
      <c r="K547" s="24" t="inlineStr">
        <is>
          <t>자산총계</t>
        </is>
      </c>
      <c r="L547" s="24" t="inlineStr">
        <is>
          <t>-</t>
        </is>
      </c>
      <c r="M547" s="24" t="inlineStr">
        <is>
          <t>제 19 기</t>
        </is>
      </c>
      <c r="N547" s="24" t="inlineStr">
        <is>
          <t>293039972870.0</t>
        </is>
      </c>
      <c r="O547" s="24" t="inlineStr">
        <is>
          <t>288316792095.0</t>
        </is>
      </c>
      <c r="P547" s="24" t="inlineStr">
        <is>
          <t>KRW</t>
        </is>
      </c>
      <c r="Q547" s="24" t="inlineStr">
        <is>
          <t>7</t>
        </is>
      </c>
    </row>
    <row r="548" ht="24" customHeight="1">
      <c r="A548" s="29" t="inlineStr">
        <is>
          <t>OpenDART_fnlttSinglAcntAll</t>
        </is>
      </c>
      <c r="B548" s="29" t="inlineStr">
        <is>
          <t>00591441</t>
        </is>
      </c>
      <c r="C548" s="29" t="inlineStr">
        <is>
          <t>어보브반도체</t>
        </is>
      </c>
      <c r="D548" s="29" t="inlineStr">
        <is>
          <t>abov</t>
        </is>
      </c>
      <c r="E548" s="29" t="inlineStr">
        <is>
          <t>102120</t>
        </is>
      </c>
      <c r="F548" s="29" t="inlineStr">
        <is>
          <t>2024</t>
        </is>
      </c>
      <c r="G548" s="29" t="inlineStr">
        <is>
          <t>CFS</t>
        </is>
      </c>
      <c r="H548" s="29" t="inlineStr">
        <is>
          <t>BS</t>
        </is>
      </c>
      <c r="I548" s="29" t="inlineStr">
        <is>
          <t>재무상태표</t>
        </is>
      </c>
      <c r="J548" s="29" t="inlineStr">
        <is>
          <t>ifrs-full_CurrentAssets</t>
        </is>
      </c>
      <c r="K548" s="29" t="inlineStr">
        <is>
          <t>유동자산</t>
        </is>
      </c>
      <c r="L548" s="29" t="inlineStr">
        <is>
          <t>-</t>
        </is>
      </c>
      <c r="M548" s="29" t="inlineStr">
        <is>
          <t>제 19 기</t>
        </is>
      </c>
      <c r="N548" s="29" t="inlineStr">
        <is>
          <t>126223672324.0</t>
        </is>
      </c>
      <c r="O548" s="29" t="inlineStr">
        <is>
          <t>109505921106.0</t>
        </is>
      </c>
      <c r="P548" s="29" t="inlineStr">
        <is>
          <t>KRW</t>
        </is>
      </c>
      <c r="Q548" s="29" t="inlineStr">
        <is>
          <t>8</t>
        </is>
      </c>
    </row>
    <row r="549" ht="24" customHeight="1">
      <c r="A549" s="24" t="inlineStr">
        <is>
          <t>OpenDART_fnlttSinglAcntAll</t>
        </is>
      </c>
      <c r="B549" s="24" t="inlineStr">
        <is>
          <t>00591441</t>
        </is>
      </c>
      <c r="C549" s="24" t="inlineStr">
        <is>
          <t>어보브반도체</t>
        </is>
      </c>
      <c r="D549" s="24" t="inlineStr">
        <is>
          <t>abov</t>
        </is>
      </c>
      <c r="E549" s="24" t="inlineStr">
        <is>
          <t>102120</t>
        </is>
      </c>
      <c r="F549" s="24" t="inlineStr">
        <is>
          <t>2024</t>
        </is>
      </c>
      <c r="G549" s="24" t="inlineStr">
        <is>
          <t>CFS</t>
        </is>
      </c>
      <c r="H549" s="24" t="inlineStr">
        <is>
          <t>BS</t>
        </is>
      </c>
      <c r="I549" s="24" t="inlineStr">
        <is>
          <t>재무상태표</t>
        </is>
      </c>
      <c r="J549" s="24" t="inlineStr">
        <is>
          <t>dart_ShortTermTradeReceivable</t>
        </is>
      </c>
      <c r="K549" s="24" t="inlineStr">
        <is>
          <t>매출채권</t>
        </is>
      </c>
      <c r="L549" s="24" t="inlineStr">
        <is>
          <t>-</t>
        </is>
      </c>
      <c r="M549" s="24" t="inlineStr">
        <is>
          <t>제 19 기</t>
        </is>
      </c>
      <c r="N549" s="24" t="inlineStr">
        <is>
          <t>19469185970.0</t>
        </is>
      </c>
      <c r="O549" s="24" t="inlineStr">
        <is>
          <t>21876703042.0</t>
        </is>
      </c>
      <c r="P549" s="24" t="inlineStr">
        <is>
          <t>KRW</t>
        </is>
      </c>
      <c r="Q549" s="24" t="inlineStr">
        <is>
          <t>9</t>
        </is>
      </c>
    </row>
    <row r="550" ht="24" customHeight="1">
      <c r="A550" s="29" t="inlineStr">
        <is>
          <t>OpenDART_fnlttSinglAcntAll</t>
        </is>
      </c>
      <c r="B550" s="29" t="inlineStr">
        <is>
          <t>00591441</t>
        </is>
      </c>
      <c r="C550" s="29" t="inlineStr">
        <is>
          <t>어보브반도체</t>
        </is>
      </c>
      <c r="D550" s="29" t="inlineStr">
        <is>
          <t>abov</t>
        </is>
      </c>
      <c r="E550" s="29" t="inlineStr">
        <is>
          <t>102120</t>
        </is>
      </c>
      <c r="F550" s="29" t="inlineStr">
        <is>
          <t>2024</t>
        </is>
      </c>
      <c r="G550" s="29" t="inlineStr">
        <is>
          <t>CFS</t>
        </is>
      </c>
      <c r="H550" s="29" t="inlineStr">
        <is>
          <t>BS</t>
        </is>
      </c>
      <c r="I550" s="29" t="inlineStr">
        <is>
          <t>재무상태표</t>
        </is>
      </c>
      <c r="J550" s="29" t="inlineStr">
        <is>
          <t>-표준계정코드 미사용-</t>
        </is>
      </c>
      <c r="K550" s="29" t="inlineStr">
        <is>
          <t>당기손익공정가치측정금융자산</t>
        </is>
      </c>
      <c r="L550" s="29" t="inlineStr">
        <is>
          <t>-</t>
        </is>
      </c>
      <c r="M550" s="29" t="inlineStr">
        <is>
          <t>제 19 기</t>
        </is>
      </c>
      <c r="N550" s="29" t="inlineStr">
        <is>
          <t>31332217948.0</t>
        </is>
      </c>
      <c r="O550" s="29" t="inlineStr">
        <is>
          <t>해당 없음</t>
        </is>
      </c>
      <c r="P550" s="29" t="inlineStr">
        <is>
          <t>KRW</t>
        </is>
      </c>
      <c r="Q550" s="29" t="inlineStr">
        <is>
          <t>10</t>
        </is>
      </c>
    </row>
    <row r="551" ht="24" customHeight="1">
      <c r="A551" s="24" t="inlineStr">
        <is>
          <t>OpenDART_fnlttSinglAcntAll</t>
        </is>
      </c>
      <c r="B551" s="24" t="inlineStr">
        <is>
          <t>00591441</t>
        </is>
      </c>
      <c r="C551" s="24" t="inlineStr">
        <is>
          <t>어보브반도체</t>
        </is>
      </c>
      <c r="D551" s="24" t="inlineStr">
        <is>
          <t>abov</t>
        </is>
      </c>
      <c r="E551" s="24" t="inlineStr">
        <is>
          <t>102120</t>
        </is>
      </c>
      <c r="F551" s="24" t="inlineStr">
        <is>
          <t>2024</t>
        </is>
      </c>
      <c r="G551" s="24" t="inlineStr">
        <is>
          <t>CFS</t>
        </is>
      </c>
      <c r="H551" s="24" t="inlineStr">
        <is>
          <t>BS</t>
        </is>
      </c>
      <c r="I551" s="24" t="inlineStr">
        <is>
          <t>재무상태표</t>
        </is>
      </c>
      <c r="J551" s="24" t="inlineStr">
        <is>
          <t>-표준계정코드 미사용-</t>
        </is>
      </c>
      <c r="K551" s="24" t="inlineStr">
        <is>
          <t>매각예정비유동자산</t>
        </is>
      </c>
      <c r="L551" s="24" t="inlineStr">
        <is>
          <t>-</t>
        </is>
      </c>
      <c r="M551" s="24" t="inlineStr">
        <is>
          <t>제 19 기</t>
        </is>
      </c>
      <c r="N551" s="24" t="inlineStr">
        <is>
          <t>2626009965.0</t>
        </is>
      </c>
      <c r="O551" s="24" t="inlineStr">
        <is>
          <t>해당 없음</t>
        </is>
      </c>
      <c r="P551" s="24" t="inlineStr">
        <is>
          <t>KRW</t>
        </is>
      </c>
      <c r="Q551" s="24" t="inlineStr">
        <is>
          <t>11</t>
        </is>
      </c>
    </row>
    <row r="552" ht="24" customHeight="1">
      <c r="A552" s="29" t="inlineStr">
        <is>
          <t>OpenDART_fnlttSinglAcntAll</t>
        </is>
      </c>
      <c r="B552" s="29" t="inlineStr">
        <is>
          <t>00591441</t>
        </is>
      </c>
      <c r="C552" s="29" t="inlineStr">
        <is>
          <t>어보브반도체</t>
        </is>
      </c>
      <c r="D552" s="29" t="inlineStr">
        <is>
          <t>abov</t>
        </is>
      </c>
      <c r="E552" s="29" t="inlineStr">
        <is>
          <t>102120</t>
        </is>
      </c>
      <c r="F552" s="29" t="inlineStr">
        <is>
          <t>2024</t>
        </is>
      </c>
      <c r="G552" s="29" t="inlineStr">
        <is>
          <t>CFS</t>
        </is>
      </c>
      <c r="H552" s="29" t="inlineStr">
        <is>
          <t>BS</t>
        </is>
      </c>
      <c r="I552" s="29" t="inlineStr">
        <is>
          <t>재무상태표</t>
        </is>
      </c>
      <c r="J552" s="29" t="inlineStr">
        <is>
          <t>-표준계정코드 미사용-</t>
        </is>
      </c>
      <c r="K552" s="29" t="inlineStr">
        <is>
          <t>기타채권</t>
        </is>
      </c>
      <c r="L552" s="29" t="inlineStr">
        <is>
          <t>-</t>
        </is>
      </c>
      <c r="M552" s="29" t="inlineStr">
        <is>
          <t>제 19 기</t>
        </is>
      </c>
      <c r="N552" s="29" t="inlineStr">
        <is>
          <t>4036925636.0</t>
        </is>
      </c>
      <c r="O552" s="29" t="inlineStr">
        <is>
          <t>3417048936.0</t>
        </is>
      </c>
      <c r="P552" s="29" t="inlineStr">
        <is>
          <t>KRW</t>
        </is>
      </c>
      <c r="Q552" s="29" t="inlineStr">
        <is>
          <t>12</t>
        </is>
      </c>
    </row>
    <row r="553" ht="24" customHeight="1">
      <c r="A553" s="24" t="inlineStr">
        <is>
          <t>OpenDART_fnlttSinglAcntAll</t>
        </is>
      </c>
      <c r="B553" s="24" t="inlineStr">
        <is>
          <t>00591441</t>
        </is>
      </c>
      <c r="C553" s="24" t="inlineStr">
        <is>
          <t>어보브반도체</t>
        </is>
      </c>
      <c r="D553" s="24" t="inlineStr">
        <is>
          <t>abov</t>
        </is>
      </c>
      <c r="E553" s="24" t="inlineStr">
        <is>
          <t>102120</t>
        </is>
      </c>
      <c r="F553" s="24" t="inlineStr">
        <is>
          <t>2024</t>
        </is>
      </c>
      <c r="G553" s="24" t="inlineStr">
        <is>
          <t>CFS</t>
        </is>
      </c>
      <c r="H553" s="24" t="inlineStr">
        <is>
          <t>BS</t>
        </is>
      </c>
      <c r="I553" s="24" t="inlineStr">
        <is>
          <t>재무상태표</t>
        </is>
      </c>
      <c r="J553" s="24" t="inlineStr">
        <is>
          <t>ifrs-full_CashAndCashEquivalents</t>
        </is>
      </c>
      <c r="K553" s="24" t="inlineStr">
        <is>
          <t>현금 및 현금성자산</t>
        </is>
      </c>
      <c r="L553" s="24" t="inlineStr">
        <is>
          <t>-</t>
        </is>
      </c>
      <c r="M553" s="24" t="inlineStr">
        <is>
          <t>제 19 기</t>
        </is>
      </c>
      <c r="N553" s="24" t="inlineStr">
        <is>
          <t>30971849914.0</t>
        </is>
      </c>
      <c r="O553" s="24" t="inlineStr">
        <is>
          <t>43417473689.0</t>
        </is>
      </c>
      <c r="P553" s="24" t="inlineStr">
        <is>
          <t>KRW</t>
        </is>
      </c>
      <c r="Q553" s="24" t="inlineStr">
        <is>
          <t>13</t>
        </is>
      </c>
    </row>
    <row r="554" ht="24" customHeight="1">
      <c r="A554" s="29" t="inlineStr">
        <is>
          <t>OpenDART_fnlttSinglAcntAll</t>
        </is>
      </c>
      <c r="B554" s="29" t="inlineStr">
        <is>
          <t>00591441</t>
        </is>
      </c>
      <c r="C554" s="29" t="inlineStr">
        <is>
          <t>어보브반도체</t>
        </is>
      </c>
      <c r="D554" s="29" t="inlineStr">
        <is>
          <t>abov</t>
        </is>
      </c>
      <c r="E554" s="29" t="inlineStr">
        <is>
          <t>102120</t>
        </is>
      </c>
      <c r="F554" s="29" t="inlineStr">
        <is>
          <t>2024</t>
        </is>
      </c>
      <c r="G554" s="29" t="inlineStr">
        <is>
          <t>CFS</t>
        </is>
      </c>
      <c r="H554" s="29" t="inlineStr">
        <is>
          <t>BS</t>
        </is>
      </c>
      <c r="I554" s="29" t="inlineStr">
        <is>
          <t>재무상태표</t>
        </is>
      </c>
      <c r="J554" s="29" t="inlineStr">
        <is>
          <t>ifrs-full_CurrentTaxAssets</t>
        </is>
      </c>
      <c r="K554" s="29" t="inlineStr">
        <is>
          <t>당기법인세자산</t>
        </is>
      </c>
      <c r="L554" s="29" t="inlineStr">
        <is>
          <t>-</t>
        </is>
      </c>
      <c r="M554" s="29" t="inlineStr">
        <is>
          <t>제 19 기</t>
        </is>
      </c>
      <c r="N554" s="29" t="inlineStr">
        <is>
          <t>해당 없음</t>
        </is>
      </c>
      <c r="O554" s="29" t="inlineStr">
        <is>
          <t>778021568.0</t>
        </is>
      </c>
      <c r="P554" s="29" t="inlineStr">
        <is>
          <t>KRW</t>
        </is>
      </c>
      <c r="Q554" s="29" t="inlineStr">
        <is>
          <t>14</t>
        </is>
      </c>
    </row>
    <row r="555" ht="24" customHeight="1">
      <c r="A555" s="24" t="inlineStr">
        <is>
          <t>OpenDART_fnlttSinglAcntAll</t>
        </is>
      </c>
      <c r="B555" s="24" t="inlineStr">
        <is>
          <t>00591441</t>
        </is>
      </c>
      <c r="C555" s="24" t="inlineStr">
        <is>
          <t>어보브반도체</t>
        </is>
      </c>
      <c r="D555" s="24" t="inlineStr">
        <is>
          <t>abov</t>
        </is>
      </c>
      <c r="E555" s="24" t="inlineStr">
        <is>
          <t>102120</t>
        </is>
      </c>
      <c r="F555" s="24" t="inlineStr">
        <is>
          <t>2024</t>
        </is>
      </c>
      <c r="G555" s="24" t="inlineStr">
        <is>
          <t>CFS</t>
        </is>
      </c>
      <c r="H555" s="24" t="inlineStr">
        <is>
          <t>BS</t>
        </is>
      </c>
      <c r="I555" s="24" t="inlineStr">
        <is>
          <t>재무상태표</t>
        </is>
      </c>
      <c r="J555" s="24" t="inlineStr">
        <is>
          <t>ifrs-full_Inventories</t>
        </is>
      </c>
      <c r="K555" s="24" t="inlineStr">
        <is>
          <t>재고자산</t>
        </is>
      </c>
      <c r="L555" s="24" t="inlineStr">
        <is>
          <t>-</t>
        </is>
      </c>
      <c r="M555" s="24" t="inlineStr">
        <is>
          <t>제 19 기</t>
        </is>
      </c>
      <c r="N555" s="24" t="inlineStr">
        <is>
          <t>24015622719.0</t>
        </is>
      </c>
      <c r="O555" s="24" t="inlineStr">
        <is>
          <t>33553953035.0</t>
        </is>
      </c>
      <c r="P555" s="24" t="inlineStr">
        <is>
          <t>KRW</t>
        </is>
      </c>
      <c r="Q555" s="24" t="inlineStr">
        <is>
          <t>15</t>
        </is>
      </c>
    </row>
    <row r="556" ht="24" customHeight="1">
      <c r="A556" s="29" t="inlineStr">
        <is>
          <t>OpenDART_fnlttSinglAcntAll</t>
        </is>
      </c>
      <c r="B556" s="29" t="inlineStr">
        <is>
          <t>00591441</t>
        </is>
      </c>
      <c r="C556" s="29" t="inlineStr">
        <is>
          <t>어보브반도체</t>
        </is>
      </c>
      <c r="D556" s="29" t="inlineStr">
        <is>
          <t>abov</t>
        </is>
      </c>
      <c r="E556" s="29" t="inlineStr">
        <is>
          <t>102120</t>
        </is>
      </c>
      <c r="F556" s="29" t="inlineStr">
        <is>
          <t>2024</t>
        </is>
      </c>
      <c r="G556" s="29" t="inlineStr">
        <is>
          <t>CFS</t>
        </is>
      </c>
      <c r="H556" s="29" t="inlineStr">
        <is>
          <t>BS</t>
        </is>
      </c>
      <c r="I556" s="29" t="inlineStr">
        <is>
          <t>재무상태표</t>
        </is>
      </c>
      <c r="J556" s="29" t="inlineStr">
        <is>
          <t>ifrs-full_OtherCurrentAssets</t>
        </is>
      </c>
      <c r="K556" s="29" t="inlineStr">
        <is>
          <t>기타유동자산</t>
        </is>
      </c>
      <c r="L556" s="29" t="inlineStr">
        <is>
          <t>-</t>
        </is>
      </c>
      <c r="M556" s="29" t="inlineStr">
        <is>
          <t>제 19 기</t>
        </is>
      </c>
      <c r="N556" s="29" t="inlineStr">
        <is>
          <t>3048368561.0</t>
        </is>
      </c>
      <c r="O556" s="29" t="inlineStr">
        <is>
          <t>4154158360.0</t>
        </is>
      </c>
      <c r="P556" s="29" t="inlineStr">
        <is>
          <t>KRW</t>
        </is>
      </c>
      <c r="Q556" s="29" t="inlineStr">
        <is>
          <t>16</t>
        </is>
      </c>
    </row>
    <row r="557" ht="24" customHeight="1">
      <c r="A557" s="24" t="inlineStr">
        <is>
          <t>OpenDART_fnlttSinglAcntAll</t>
        </is>
      </c>
      <c r="B557" s="24" t="inlineStr">
        <is>
          <t>00591441</t>
        </is>
      </c>
      <c r="C557" s="24" t="inlineStr">
        <is>
          <t>어보브반도체</t>
        </is>
      </c>
      <c r="D557" s="24" t="inlineStr">
        <is>
          <t>abov</t>
        </is>
      </c>
      <c r="E557" s="24" t="inlineStr">
        <is>
          <t>102120</t>
        </is>
      </c>
      <c r="F557" s="24" t="inlineStr">
        <is>
          <t>2024</t>
        </is>
      </c>
      <c r="G557" s="24" t="inlineStr">
        <is>
          <t>CFS</t>
        </is>
      </c>
      <c r="H557" s="24" t="inlineStr">
        <is>
          <t>BS</t>
        </is>
      </c>
      <c r="I557" s="24" t="inlineStr">
        <is>
          <t>재무상태표</t>
        </is>
      </c>
      <c r="J557" s="24" t="inlineStr">
        <is>
          <t>ifrs-full_OtherCurrentFinancialAssets</t>
        </is>
      </c>
      <c r="K557" s="24" t="inlineStr">
        <is>
          <t>기타유동금융자산</t>
        </is>
      </c>
      <c r="L557" s="24" t="inlineStr">
        <is>
          <t>-</t>
        </is>
      </c>
      <c r="M557" s="24" t="inlineStr">
        <is>
          <t>제 19 기</t>
        </is>
      </c>
      <c r="N557" s="24" t="inlineStr">
        <is>
          <t>10723491611.0</t>
        </is>
      </c>
      <c r="O557" s="24" t="inlineStr">
        <is>
          <t>2308562476.0</t>
        </is>
      </c>
      <c r="P557" s="24" t="inlineStr">
        <is>
          <t>KRW</t>
        </is>
      </c>
      <c r="Q557" s="24" t="inlineStr">
        <is>
          <t>17</t>
        </is>
      </c>
    </row>
    <row r="558" ht="24" customHeight="1">
      <c r="A558" s="29" t="inlineStr">
        <is>
          <t>OpenDART_fnlttSinglAcntAll</t>
        </is>
      </c>
      <c r="B558" s="29" t="inlineStr">
        <is>
          <t>00591441</t>
        </is>
      </c>
      <c r="C558" s="29" t="inlineStr">
        <is>
          <t>어보브반도체</t>
        </is>
      </c>
      <c r="D558" s="29" t="inlineStr">
        <is>
          <t>abov</t>
        </is>
      </c>
      <c r="E558" s="29" t="inlineStr">
        <is>
          <t>102120</t>
        </is>
      </c>
      <c r="F558" s="29" t="inlineStr">
        <is>
          <t>2024</t>
        </is>
      </c>
      <c r="G558" s="29" t="inlineStr">
        <is>
          <t>CFS</t>
        </is>
      </c>
      <c r="H558" s="29" t="inlineStr">
        <is>
          <t>BS</t>
        </is>
      </c>
      <c r="I558" s="29" t="inlineStr">
        <is>
          <t>재무상태표</t>
        </is>
      </c>
      <c r="J558" s="29" t="inlineStr">
        <is>
          <t>ifrs-full_NoncurrentAssets</t>
        </is>
      </c>
      <c r="K558" s="29" t="inlineStr">
        <is>
          <t>비유동자산</t>
        </is>
      </c>
      <c r="L558" s="29" t="inlineStr">
        <is>
          <t>-</t>
        </is>
      </c>
      <c r="M558" s="29" t="inlineStr">
        <is>
          <t>제 19 기</t>
        </is>
      </c>
      <c r="N558" s="29" t="inlineStr">
        <is>
          <t>166816300546.0</t>
        </is>
      </c>
      <c r="O558" s="29" t="inlineStr">
        <is>
          <t>178810870989.0</t>
        </is>
      </c>
      <c r="P558" s="29" t="inlineStr">
        <is>
          <t>KRW</t>
        </is>
      </c>
      <c r="Q558" s="29" t="inlineStr">
        <is>
          <t>18</t>
        </is>
      </c>
    </row>
    <row r="559" ht="24" customHeight="1">
      <c r="A559" s="24" t="inlineStr">
        <is>
          <t>OpenDART_fnlttSinglAcntAll</t>
        </is>
      </c>
      <c r="B559" s="24" t="inlineStr">
        <is>
          <t>00591441</t>
        </is>
      </c>
      <c r="C559" s="24" t="inlineStr">
        <is>
          <t>어보브반도체</t>
        </is>
      </c>
      <c r="D559" s="24" t="inlineStr">
        <is>
          <t>abov</t>
        </is>
      </c>
      <c r="E559" s="24" t="inlineStr">
        <is>
          <t>102120</t>
        </is>
      </c>
      <c r="F559" s="24" t="inlineStr">
        <is>
          <t>2024</t>
        </is>
      </c>
      <c r="G559" s="24" t="inlineStr">
        <is>
          <t>CFS</t>
        </is>
      </c>
      <c r="H559" s="24" t="inlineStr">
        <is>
          <t>BS</t>
        </is>
      </c>
      <c r="I559" s="24" t="inlineStr">
        <is>
          <t>재무상태표</t>
        </is>
      </c>
      <c r="J559" s="24" t="inlineStr">
        <is>
          <t>-표준계정코드 미사용-</t>
        </is>
      </c>
      <c r="K559" s="24" t="inlineStr">
        <is>
          <t>순확정급여자산</t>
        </is>
      </c>
      <c r="L559" s="24" t="inlineStr">
        <is>
          <t>-</t>
        </is>
      </c>
      <c r="M559" s="24" t="inlineStr">
        <is>
          <t>제 19 기</t>
        </is>
      </c>
      <c r="N559" s="24" t="inlineStr">
        <is>
          <t>해당 없음</t>
        </is>
      </c>
      <c r="O559" s="24" t="inlineStr">
        <is>
          <t>해당 없음</t>
        </is>
      </c>
      <c r="P559" s="24" t="inlineStr">
        <is>
          <t>KRW</t>
        </is>
      </c>
      <c r="Q559" s="24" t="inlineStr">
        <is>
          <t>19</t>
        </is>
      </c>
    </row>
    <row r="560" ht="24" customHeight="1">
      <c r="A560" s="29" t="inlineStr">
        <is>
          <t>OpenDART_fnlttSinglAcntAll</t>
        </is>
      </c>
      <c r="B560" s="29" t="inlineStr">
        <is>
          <t>00591441</t>
        </is>
      </c>
      <c r="C560" s="29" t="inlineStr">
        <is>
          <t>어보브반도체</t>
        </is>
      </c>
      <c r="D560" s="29" t="inlineStr">
        <is>
          <t>abov</t>
        </is>
      </c>
      <c r="E560" s="29" t="inlineStr">
        <is>
          <t>102120</t>
        </is>
      </c>
      <c r="F560" s="29" t="inlineStr">
        <is>
          <t>2024</t>
        </is>
      </c>
      <c r="G560" s="29" t="inlineStr">
        <is>
          <t>CFS</t>
        </is>
      </c>
      <c r="H560" s="29" t="inlineStr">
        <is>
          <t>BS</t>
        </is>
      </c>
      <c r="I560" s="29" t="inlineStr">
        <is>
          <t>재무상태표</t>
        </is>
      </c>
      <c r="J560" s="29" t="inlineStr">
        <is>
          <t>ifrs-full_DeferredTaxAssets</t>
        </is>
      </c>
      <c r="K560" s="29" t="inlineStr">
        <is>
          <t>이연법인세자산</t>
        </is>
      </c>
      <c r="L560" s="29" t="inlineStr">
        <is>
          <t>-</t>
        </is>
      </c>
      <c r="M560" s="29" t="inlineStr">
        <is>
          <t>제 19 기</t>
        </is>
      </c>
      <c r="N560" s="29" t="inlineStr">
        <is>
          <t>7376561176.0</t>
        </is>
      </c>
      <c r="O560" s="29" t="inlineStr">
        <is>
          <t>8147196371.0</t>
        </is>
      </c>
      <c r="P560" s="29" t="inlineStr">
        <is>
          <t>KRW</t>
        </is>
      </c>
      <c r="Q560" s="29" t="inlineStr">
        <is>
          <t>20</t>
        </is>
      </c>
    </row>
    <row r="561" ht="24" customHeight="1">
      <c r="A561" s="24" t="inlineStr">
        <is>
          <t>OpenDART_fnlttSinglAcntAll</t>
        </is>
      </c>
      <c r="B561" s="24" t="inlineStr">
        <is>
          <t>00591441</t>
        </is>
      </c>
      <c r="C561" s="24" t="inlineStr">
        <is>
          <t>어보브반도체</t>
        </is>
      </c>
      <c r="D561" s="24" t="inlineStr">
        <is>
          <t>abov</t>
        </is>
      </c>
      <c r="E561" s="24" t="inlineStr">
        <is>
          <t>102120</t>
        </is>
      </c>
      <c r="F561" s="24" t="inlineStr">
        <is>
          <t>2024</t>
        </is>
      </c>
      <c r="G561" s="24" t="inlineStr">
        <is>
          <t>CFS</t>
        </is>
      </c>
      <c r="H561" s="24" t="inlineStr">
        <is>
          <t>BS</t>
        </is>
      </c>
      <c r="I561" s="24" t="inlineStr">
        <is>
          <t>재무상태표</t>
        </is>
      </c>
      <c r="J561" s="24" t="inlineStr">
        <is>
          <t>ifrs-full_IntangibleAssetsOtherThanGoodwill</t>
        </is>
      </c>
      <c r="K561" s="24" t="inlineStr">
        <is>
          <t>무형자산</t>
        </is>
      </c>
      <c r="L561" s="24" t="inlineStr">
        <is>
          <t>-</t>
        </is>
      </c>
      <c r="M561" s="24" t="inlineStr">
        <is>
          <t>제 19 기</t>
        </is>
      </c>
      <c r="N561" s="24" t="inlineStr">
        <is>
          <t>16263804150.0</t>
        </is>
      </c>
      <c r="O561" s="24" t="inlineStr">
        <is>
          <t>21869820823.0</t>
        </is>
      </c>
      <c r="P561" s="24" t="inlineStr">
        <is>
          <t>KRW</t>
        </is>
      </c>
      <c r="Q561" s="24" t="inlineStr">
        <is>
          <t>21</t>
        </is>
      </c>
    </row>
    <row r="562" ht="24" customHeight="1">
      <c r="A562" s="29" t="inlineStr">
        <is>
          <t>OpenDART_fnlttSinglAcntAll</t>
        </is>
      </c>
      <c r="B562" s="29" t="inlineStr">
        <is>
          <t>00591441</t>
        </is>
      </c>
      <c r="C562" s="29" t="inlineStr">
        <is>
          <t>어보브반도체</t>
        </is>
      </c>
      <c r="D562" s="29" t="inlineStr">
        <is>
          <t>abov</t>
        </is>
      </c>
      <c r="E562" s="29" t="inlineStr">
        <is>
          <t>102120</t>
        </is>
      </c>
      <c r="F562" s="29" t="inlineStr">
        <is>
          <t>2024</t>
        </is>
      </c>
      <c r="G562" s="29" t="inlineStr">
        <is>
          <t>CFS</t>
        </is>
      </c>
      <c r="H562" s="29" t="inlineStr">
        <is>
          <t>BS</t>
        </is>
      </c>
      <c r="I562" s="29" t="inlineStr">
        <is>
          <t>재무상태표</t>
        </is>
      </c>
      <c r="J562" s="29" t="inlineStr">
        <is>
          <t>ifrs-full_InvestmentsInAssociates</t>
        </is>
      </c>
      <c r="K562" s="29" t="inlineStr">
        <is>
          <t>관계기업투자주식</t>
        </is>
      </c>
      <c r="L562" s="29" t="inlineStr">
        <is>
          <t>-</t>
        </is>
      </c>
      <c r="M562" s="29" t="inlineStr">
        <is>
          <t>제 19 기</t>
        </is>
      </c>
      <c r="N562" s="29" t="inlineStr">
        <is>
          <t>6998988878.0</t>
        </is>
      </c>
      <c r="O562" s="29" t="inlineStr">
        <is>
          <t>5835144378.0</t>
        </is>
      </c>
      <c r="P562" s="29" t="inlineStr">
        <is>
          <t>KRW</t>
        </is>
      </c>
      <c r="Q562" s="29" t="inlineStr">
        <is>
          <t>22</t>
        </is>
      </c>
    </row>
    <row r="563" ht="24" customHeight="1">
      <c r="A563" s="24" t="inlineStr">
        <is>
          <t>OpenDART_fnlttSinglAcntAll</t>
        </is>
      </c>
      <c r="B563" s="24" t="inlineStr">
        <is>
          <t>00591441</t>
        </is>
      </c>
      <c r="C563" s="24" t="inlineStr">
        <is>
          <t>어보브반도체</t>
        </is>
      </c>
      <c r="D563" s="24" t="inlineStr">
        <is>
          <t>abov</t>
        </is>
      </c>
      <c r="E563" s="24" t="inlineStr">
        <is>
          <t>102120</t>
        </is>
      </c>
      <c r="F563" s="24" t="inlineStr">
        <is>
          <t>2024</t>
        </is>
      </c>
      <c r="G563" s="24" t="inlineStr">
        <is>
          <t>CFS</t>
        </is>
      </c>
      <c r="H563" s="24" t="inlineStr">
        <is>
          <t>BS</t>
        </is>
      </c>
      <c r="I563" s="24" t="inlineStr">
        <is>
          <t>재무상태표</t>
        </is>
      </c>
      <c r="J563" s="24" t="inlineStr">
        <is>
          <t>ifrs-full_NoncurrentFinancialAssetsAtFairValueThroughProfitOrLossDesignatedUponInitialRecognition</t>
        </is>
      </c>
      <c r="K563" s="24" t="inlineStr">
        <is>
          <t>당기손익공정가치측정금융자산</t>
        </is>
      </c>
      <c r="L563" s="24" t="inlineStr">
        <is>
          <t>-</t>
        </is>
      </c>
      <c r="M563" s="24" t="inlineStr">
        <is>
          <t>제 19 기</t>
        </is>
      </c>
      <c r="N563" s="24" t="inlineStr">
        <is>
          <t>5445564186.0</t>
        </is>
      </c>
      <c r="O563" s="24" t="inlineStr">
        <is>
          <t>5357183071.0</t>
        </is>
      </c>
      <c r="P563" s="24" t="inlineStr">
        <is>
          <t>KRW</t>
        </is>
      </c>
      <c r="Q563" s="24" t="inlineStr">
        <is>
          <t>23</t>
        </is>
      </c>
    </row>
    <row r="564" ht="24" customHeight="1">
      <c r="A564" s="29" t="inlineStr">
        <is>
          <t>OpenDART_fnlttSinglAcntAll</t>
        </is>
      </c>
      <c r="B564" s="29" t="inlineStr">
        <is>
          <t>00591441</t>
        </is>
      </c>
      <c r="C564" s="29" t="inlineStr">
        <is>
          <t>어보브반도체</t>
        </is>
      </c>
      <c r="D564" s="29" t="inlineStr">
        <is>
          <t>abov</t>
        </is>
      </c>
      <c r="E564" s="29" t="inlineStr">
        <is>
          <t>102120</t>
        </is>
      </c>
      <c r="F564" s="29" t="inlineStr">
        <is>
          <t>2024</t>
        </is>
      </c>
      <c r="G564" s="29" t="inlineStr">
        <is>
          <t>CFS</t>
        </is>
      </c>
      <c r="H564" s="29" t="inlineStr">
        <is>
          <t>BS</t>
        </is>
      </c>
      <c r="I564" s="29" t="inlineStr">
        <is>
          <t>재무상태표</t>
        </is>
      </c>
      <c r="J564" s="29" t="inlineStr">
        <is>
          <t>ifrs-full_NoncurrentFinancialAssetsMeasuredAtFairValueThroughOtherComprehensiveIncome</t>
        </is>
      </c>
      <c r="K564" s="29" t="inlineStr">
        <is>
          <t>기타포괄손익공정가치측정금융자산</t>
        </is>
      </c>
      <c r="L564" s="29" t="inlineStr">
        <is>
          <t>-</t>
        </is>
      </c>
      <c r="M564" s="29" t="inlineStr">
        <is>
          <t>제 19 기</t>
        </is>
      </c>
      <c r="N564" s="29" t="inlineStr">
        <is>
          <t>1397943525.0</t>
        </is>
      </c>
      <c r="O564" s="29" t="inlineStr">
        <is>
          <t>1397943525.0</t>
        </is>
      </c>
      <c r="P564" s="29" t="inlineStr">
        <is>
          <t>KRW</t>
        </is>
      </c>
      <c r="Q564" s="29" t="inlineStr">
        <is>
          <t>24</t>
        </is>
      </c>
    </row>
    <row r="565" ht="24" customHeight="1">
      <c r="A565" s="24" t="inlineStr">
        <is>
          <t>OpenDART_fnlttSinglAcntAll</t>
        </is>
      </c>
      <c r="B565" s="24" t="inlineStr">
        <is>
          <t>00591441</t>
        </is>
      </c>
      <c r="C565" s="24" t="inlineStr">
        <is>
          <t>어보브반도체</t>
        </is>
      </c>
      <c r="D565" s="24" t="inlineStr">
        <is>
          <t>abov</t>
        </is>
      </c>
      <c r="E565" s="24" t="inlineStr">
        <is>
          <t>102120</t>
        </is>
      </c>
      <c r="F565" s="24" t="inlineStr">
        <is>
          <t>2024</t>
        </is>
      </c>
      <c r="G565" s="24" t="inlineStr">
        <is>
          <t>CFS</t>
        </is>
      </c>
      <c r="H565" s="24" t="inlineStr">
        <is>
          <t>BS</t>
        </is>
      </c>
      <c r="I565" s="24" t="inlineStr">
        <is>
          <t>재무상태표</t>
        </is>
      </c>
      <c r="J565" s="24" t="inlineStr">
        <is>
          <t>ifrs-full_OtherNoncurrentAssets</t>
        </is>
      </c>
      <c r="K565" s="24" t="inlineStr">
        <is>
          <t>기타비유동자산</t>
        </is>
      </c>
      <c r="L565" s="24" t="inlineStr">
        <is>
          <t>-</t>
        </is>
      </c>
      <c r="M565" s="24" t="inlineStr">
        <is>
          <t>제 19 기</t>
        </is>
      </c>
      <c r="N565" s="24" t="inlineStr">
        <is>
          <t>365893281.0</t>
        </is>
      </c>
      <c r="O565" s="24" t="inlineStr">
        <is>
          <t>321099353.0</t>
        </is>
      </c>
      <c r="P565" s="24" t="inlineStr">
        <is>
          <t>KRW</t>
        </is>
      </c>
      <c r="Q565" s="24" t="inlineStr">
        <is>
          <t>25</t>
        </is>
      </c>
    </row>
    <row r="566" ht="24" customHeight="1">
      <c r="A566" s="29" t="inlineStr">
        <is>
          <t>OpenDART_fnlttSinglAcntAll</t>
        </is>
      </c>
      <c r="B566" s="29" t="inlineStr">
        <is>
          <t>00591441</t>
        </is>
      </c>
      <c r="C566" s="29" t="inlineStr">
        <is>
          <t>어보브반도체</t>
        </is>
      </c>
      <c r="D566" s="29" t="inlineStr">
        <is>
          <t>abov</t>
        </is>
      </c>
      <c r="E566" s="29" t="inlineStr">
        <is>
          <t>102120</t>
        </is>
      </c>
      <c r="F566" s="29" t="inlineStr">
        <is>
          <t>2024</t>
        </is>
      </c>
      <c r="G566" s="29" t="inlineStr">
        <is>
          <t>CFS</t>
        </is>
      </c>
      <c r="H566" s="29" t="inlineStr">
        <is>
          <t>BS</t>
        </is>
      </c>
      <c r="I566" s="29" t="inlineStr">
        <is>
          <t>재무상태표</t>
        </is>
      </c>
      <c r="J566" s="29" t="inlineStr">
        <is>
          <t>ifrs-full_OtherNoncurrentFinancialAssets</t>
        </is>
      </c>
      <c r="K566" s="29" t="inlineStr">
        <is>
          <t>기타비유동금융자산</t>
        </is>
      </c>
      <c r="L566" s="29" t="inlineStr">
        <is>
          <t>-</t>
        </is>
      </c>
      <c r="M566" s="29" t="inlineStr">
        <is>
          <t>제 19 기</t>
        </is>
      </c>
      <c r="N566" s="29" t="inlineStr">
        <is>
          <t>1835415867.0</t>
        </is>
      </c>
      <c r="O566" s="29" t="inlineStr">
        <is>
          <t>2988744326.0</t>
        </is>
      </c>
      <c r="P566" s="29" t="inlineStr">
        <is>
          <t>KRW</t>
        </is>
      </c>
      <c r="Q566" s="29" t="inlineStr">
        <is>
          <t>26</t>
        </is>
      </c>
    </row>
    <row r="567" ht="24" customHeight="1">
      <c r="A567" s="24" t="inlineStr">
        <is>
          <t>OpenDART_fnlttSinglAcntAll</t>
        </is>
      </c>
      <c r="B567" s="24" t="inlineStr">
        <is>
          <t>00591441</t>
        </is>
      </c>
      <c r="C567" s="24" t="inlineStr">
        <is>
          <t>어보브반도체</t>
        </is>
      </c>
      <c r="D567" s="24" t="inlineStr">
        <is>
          <t>abov</t>
        </is>
      </c>
      <c r="E567" s="24" t="inlineStr">
        <is>
          <t>102120</t>
        </is>
      </c>
      <c r="F567" s="24" t="inlineStr">
        <is>
          <t>2024</t>
        </is>
      </c>
      <c r="G567" s="24" t="inlineStr">
        <is>
          <t>CFS</t>
        </is>
      </c>
      <c r="H567" s="24" t="inlineStr">
        <is>
          <t>BS</t>
        </is>
      </c>
      <c r="I567" s="24" t="inlineStr">
        <is>
          <t>재무상태표</t>
        </is>
      </c>
      <c r="J567" s="24" t="inlineStr">
        <is>
          <t>ifrs-full_PropertyPlantAndEquipment</t>
        </is>
      </c>
      <c r="K567" s="24" t="inlineStr">
        <is>
          <t>유형자산</t>
        </is>
      </c>
      <c r="L567" s="24" t="inlineStr">
        <is>
          <t>-</t>
        </is>
      </c>
      <c r="M567" s="24" t="inlineStr">
        <is>
          <t>제 19 기</t>
        </is>
      </c>
      <c r="N567" s="24" t="inlineStr">
        <is>
          <t>125339745810.0</t>
        </is>
      </c>
      <c r="O567" s="24" t="inlineStr">
        <is>
          <t>128571175543.0</t>
        </is>
      </c>
      <c r="P567" s="24" t="inlineStr">
        <is>
          <t>KRW</t>
        </is>
      </c>
      <c r="Q567" s="24" t="inlineStr">
        <is>
          <t>27</t>
        </is>
      </c>
    </row>
    <row r="568" ht="24" customHeight="1">
      <c r="A568" s="29" t="inlineStr">
        <is>
          <t>OpenDART_fnlttSinglAcntAll</t>
        </is>
      </c>
      <c r="B568" s="29" t="inlineStr">
        <is>
          <t>00591441</t>
        </is>
      </c>
      <c r="C568" s="29" t="inlineStr">
        <is>
          <t>어보브반도체</t>
        </is>
      </c>
      <c r="D568" s="29" t="inlineStr">
        <is>
          <t>abov</t>
        </is>
      </c>
      <c r="E568" s="29" t="inlineStr">
        <is>
          <t>102120</t>
        </is>
      </c>
      <c r="F568" s="29" t="inlineStr">
        <is>
          <t>2024</t>
        </is>
      </c>
      <c r="G568" s="29" t="inlineStr">
        <is>
          <t>CFS</t>
        </is>
      </c>
      <c r="H568" s="29" t="inlineStr">
        <is>
          <t>BS</t>
        </is>
      </c>
      <c r="I568" s="29" t="inlineStr">
        <is>
          <t>재무상태표</t>
        </is>
      </c>
      <c r="J568" s="29" t="inlineStr">
        <is>
          <t>ifrs-full_RightofuseAssets</t>
        </is>
      </c>
      <c r="K568" s="29" t="inlineStr">
        <is>
          <t>사용권자산</t>
        </is>
      </c>
      <c r="L568" s="29" t="inlineStr">
        <is>
          <t>-</t>
        </is>
      </c>
      <c r="M568" s="29" t="inlineStr">
        <is>
          <t>제 19 기</t>
        </is>
      </c>
      <c r="N568" s="29" t="inlineStr">
        <is>
          <t>1792383673.0</t>
        </is>
      </c>
      <c r="O568" s="29" t="inlineStr">
        <is>
          <t>4322563599.0</t>
        </is>
      </c>
      <c r="P568" s="29" t="inlineStr">
        <is>
          <t>KRW</t>
        </is>
      </c>
      <c r="Q568" s="29" t="inlineStr">
        <is>
          <t>28</t>
        </is>
      </c>
    </row>
    <row r="569" ht="24" customHeight="1">
      <c r="A569" s="24" t="inlineStr">
        <is>
          <t>OpenDART_fnlttSinglAcntAll</t>
        </is>
      </c>
      <c r="B569" s="24" t="inlineStr">
        <is>
          <t>00591441</t>
        </is>
      </c>
      <c r="C569" s="24" t="inlineStr">
        <is>
          <t>어보브반도체</t>
        </is>
      </c>
      <c r="D569" s="24" t="inlineStr">
        <is>
          <t>abov</t>
        </is>
      </c>
      <c r="E569" s="24" t="inlineStr">
        <is>
          <t>102120</t>
        </is>
      </c>
      <c r="F569" s="24" t="inlineStr">
        <is>
          <t>2024</t>
        </is>
      </c>
      <c r="G569" s="24" t="inlineStr">
        <is>
          <t>CFS</t>
        </is>
      </c>
      <c r="H569" s="24" t="inlineStr">
        <is>
          <t>BS</t>
        </is>
      </c>
      <c r="I569" s="24" t="inlineStr">
        <is>
          <t>재무상태표</t>
        </is>
      </c>
      <c r="J569" s="24" t="inlineStr">
        <is>
          <t>ifrs-full_Equity</t>
        </is>
      </c>
      <c r="K569" s="24" t="inlineStr">
        <is>
          <t>자본총계</t>
        </is>
      </c>
      <c r="L569" s="24" t="inlineStr">
        <is>
          <t>-</t>
        </is>
      </c>
      <c r="M569" s="24" t="inlineStr">
        <is>
          <t>제 19 기</t>
        </is>
      </c>
      <c r="N569" s="24" t="inlineStr">
        <is>
          <t>154580908154.0</t>
        </is>
      </c>
      <c r="O569" s="24" t="inlineStr">
        <is>
          <t>140625984177.0</t>
        </is>
      </c>
      <c r="P569" s="24" t="inlineStr">
        <is>
          <t>KRW</t>
        </is>
      </c>
      <c r="Q569" s="24" t="inlineStr">
        <is>
          <t>30</t>
        </is>
      </c>
    </row>
    <row r="570" ht="24" customHeight="1">
      <c r="A570" s="29" t="inlineStr">
        <is>
          <t>OpenDART_fnlttSinglAcntAll</t>
        </is>
      </c>
      <c r="B570" s="29" t="inlineStr">
        <is>
          <t>00591441</t>
        </is>
      </c>
      <c r="C570" s="29" t="inlineStr">
        <is>
          <t>어보브반도체</t>
        </is>
      </c>
      <c r="D570" s="29" t="inlineStr">
        <is>
          <t>abov</t>
        </is>
      </c>
      <c r="E570" s="29" t="inlineStr">
        <is>
          <t>102120</t>
        </is>
      </c>
      <c r="F570" s="29" t="inlineStr">
        <is>
          <t>2024</t>
        </is>
      </c>
      <c r="G570" s="29" t="inlineStr">
        <is>
          <t>CFS</t>
        </is>
      </c>
      <c r="H570" s="29" t="inlineStr">
        <is>
          <t>BS</t>
        </is>
      </c>
      <c r="I570" s="29" t="inlineStr">
        <is>
          <t>재무상태표</t>
        </is>
      </c>
      <c r="J570" s="29" t="inlineStr">
        <is>
          <t>ifrs-full_EquityAttributableToOwnersOfParent</t>
        </is>
      </c>
      <c r="K570" s="29" t="inlineStr">
        <is>
          <t>지배기업의 소유주에게 귀속되는 자본</t>
        </is>
      </c>
      <c r="L570" s="29" t="inlineStr">
        <is>
          <t>-</t>
        </is>
      </c>
      <c r="M570" s="29" t="inlineStr">
        <is>
          <t>제 19 기</t>
        </is>
      </c>
      <c r="N570" s="29" t="inlineStr">
        <is>
          <t>112061433062.0</t>
        </is>
      </c>
      <c r="O570" s="29" t="inlineStr">
        <is>
          <t>104968188989.0</t>
        </is>
      </c>
      <c r="P570" s="29" t="inlineStr">
        <is>
          <t>KRW</t>
        </is>
      </c>
      <c r="Q570" s="29" t="inlineStr">
        <is>
          <t>31</t>
        </is>
      </c>
    </row>
    <row r="571" ht="24" customHeight="1">
      <c r="A571" s="24" t="inlineStr">
        <is>
          <t>OpenDART_fnlttSinglAcntAll</t>
        </is>
      </c>
      <c r="B571" s="24" t="inlineStr">
        <is>
          <t>00591441</t>
        </is>
      </c>
      <c r="C571" s="24" t="inlineStr">
        <is>
          <t>어보브반도체</t>
        </is>
      </c>
      <c r="D571" s="24" t="inlineStr">
        <is>
          <t>abov</t>
        </is>
      </c>
      <c r="E571" s="24" t="inlineStr">
        <is>
          <t>102120</t>
        </is>
      </c>
      <c r="F571" s="24" t="inlineStr">
        <is>
          <t>2024</t>
        </is>
      </c>
      <c r="G571" s="24" t="inlineStr">
        <is>
          <t>CFS</t>
        </is>
      </c>
      <c r="H571" s="24" t="inlineStr">
        <is>
          <t>BS</t>
        </is>
      </c>
      <c r="I571" s="24" t="inlineStr">
        <is>
          <t>재무상태표</t>
        </is>
      </c>
      <c r="J571" s="24" t="inlineStr">
        <is>
          <t>dart_CapitalSurplus</t>
        </is>
      </c>
      <c r="K571" s="24" t="inlineStr">
        <is>
          <t>자본잉여금</t>
        </is>
      </c>
      <c r="L571" s="24" t="inlineStr">
        <is>
          <t>-</t>
        </is>
      </c>
      <c r="M571" s="24" t="inlineStr">
        <is>
          <t>제 19 기</t>
        </is>
      </c>
      <c r="N571" s="24" t="inlineStr">
        <is>
          <t>26421998151.0</t>
        </is>
      </c>
      <c r="O571" s="24" t="inlineStr">
        <is>
          <t>26421998151.0</t>
        </is>
      </c>
      <c r="P571" s="24" t="inlineStr">
        <is>
          <t>KRW</t>
        </is>
      </c>
      <c r="Q571" s="24" t="inlineStr">
        <is>
          <t>32</t>
        </is>
      </c>
    </row>
    <row r="572" ht="24" customHeight="1">
      <c r="A572" s="29" t="inlineStr">
        <is>
          <t>OpenDART_fnlttSinglAcntAll</t>
        </is>
      </c>
      <c r="B572" s="29" t="inlineStr">
        <is>
          <t>00591441</t>
        </is>
      </c>
      <c r="C572" s="29" t="inlineStr">
        <is>
          <t>어보브반도체</t>
        </is>
      </c>
      <c r="D572" s="29" t="inlineStr">
        <is>
          <t>abov</t>
        </is>
      </c>
      <c r="E572" s="29" t="inlineStr">
        <is>
          <t>102120</t>
        </is>
      </c>
      <c r="F572" s="29" t="inlineStr">
        <is>
          <t>2024</t>
        </is>
      </c>
      <c r="G572" s="29" t="inlineStr">
        <is>
          <t>CFS</t>
        </is>
      </c>
      <c r="H572" s="29" t="inlineStr">
        <is>
          <t>BS</t>
        </is>
      </c>
      <c r="I572" s="29" t="inlineStr">
        <is>
          <t>재무상태표</t>
        </is>
      </c>
      <c r="J572" s="29" t="inlineStr">
        <is>
          <t>dart_OtherCapitalAdjustments</t>
        </is>
      </c>
      <c r="K572" s="29" t="inlineStr">
        <is>
          <t>기타자본항목</t>
        </is>
      </c>
      <c r="L572" s="29" t="inlineStr">
        <is>
          <t>-</t>
        </is>
      </c>
      <c r="M572" s="29" t="inlineStr">
        <is>
          <t>제 19 기</t>
        </is>
      </c>
      <c r="N572" s="29" t="inlineStr">
        <is>
          <t>-763718620.0</t>
        </is>
      </c>
      <c r="O572" s="29" t="inlineStr">
        <is>
          <t>-6481281732.0</t>
        </is>
      </c>
      <c r="P572" s="29" t="inlineStr">
        <is>
          <t>KRW</t>
        </is>
      </c>
      <c r="Q572" s="29" t="inlineStr">
        <is>
          <t>33</t>
        </is>
      </c>
    </row>
    <row r="573" ht="24" customHeight="1">
      <c r="A573" s="24" t="inlineStr">
        <is>
          <t>OpenDART_fnlttSinglAcntAll</t>
        </is>
      </c>
      <c r="B573" s="24" t="inlineStr">
        <is>
          <t>00591441</t>
        </is>
      </c>
      <c r="C573" s="24" t="inlineStr">
        <is>
          <t>어보브반도체</t>
        </is>
      </c>
      <c r="D573" s="24" t="inlineStr">
        <is>
          <t>abov</t>
        </is>
      </c>
      <c r="E573" s="24" t="inlineStr">
        <is>
          <t>102120</t>
        </is>
      </c>
      <c r="F573" s="24" t="inlineStr">
        <is>
          <t>2024</t>
        </is>
      </c>
      <c r="G573" s="24" t="inlineStr">
        <is>
          <t>CFS</t>
        </is>
      </c>
      <c r="H573" s="24" t="inlineStr">
        <is>
          <t>BS</t>
        </is>
      </c>
      <c r="I573" s="24" t="inlineStr">
        <is>
          <t>재무상태표</t>
        </is>
      </c>
      <c r="J573" s="24" t="inlineStr">
        <is>
          <t>dart_OtherComprehensiveIncomeLossAccumulatedAmount</t>
        </is>
      </c>
      <c r="K573" s="24" t="inlineStr">
        <is>
          <t>기타포괄손익누계액</t>
        </is>
      </c>
      <c r="L573" s="24" t="inlineStr">
        <is>
          <t>-</t>
        </is>
      </c>
      <c r="M573" s="24" t="inlineStr">
        <is>
          <t>제 19 기</t>
        </is>
      </c>
      <c r="N573" s="24" t="inlineStr">
        <is>
          <t>-1299411201.0</t>
        </is>
      </c>
      <c r="O573" s="24" t="inlineStr">
        <is>
          <t>-922346725.0</t>
        </is>
      </c>
      <c r="P573" s="24" t="inlineStr">
        <is>
          <t>KRW</t>
        </is>
      </c>
      <c r="Q573" s="24" t="inlineStr">
        <is>
          <t>34</t>
        </is>
      </c>
    </row>
    <row r="574" ht="24" customHeight="1">
      <c r="A574" s="29" t="inlineStr">
        <is>
          <t>OpenDART_fnlttSinglAcntAll</t>
        </is>
      </c>
      <c r="B574" s="29" t="inlineStr">
        <is>
          <t>00591441</t>
        </is>
      </c>
      <c r="C574" s="29" t="inlineStr">
        <is>
          <t>어보브반도체</t>
        </is>
      </c>
      <c r="D574" s="29" t="inlineStr">
        <is>
          <t>abov</t>
        </is>
      </c>
      <c r="E574" s="29" t="inlineStr">
        <is>
          <t>102120</t>
        </is>
      </c>
      <c r="F574" s="29" t="inlineStr">
        <is>
          <t>2024</t>
        </is>
      </c>
      <c r="G574" s="29" t="inlineStr">
        <is>
          <t>CFS</t>
        </is>
      </c>
      <c r="H574" s="29" t="inlineStr">
        <is>
          <t>BS</t>
        </is>
      </c>
      <c r="I574" s="29" t="inlineStr">
        <is>
          <t>재무상태표</t>
        </is>
      </c>
      <c r="J574" s="29" t="inlineStr">
        <is>
          <t>ifrs-full_IssuedCapital</t>
        </is>
      </c>
      <c r="K574" s="29" t="inlineStr">
        <is>
          <t>자본금</t>
        </is>
      </c>
      <c r="L574" s="29" t="inlineStr">
        <is>
          <t>-</t>
        </is>
      </c>
      <c r="M574" s="29" t="inlineStr">
        <is>
          <t>제 19 기</t>
        </is>
      </c>
      <c r="N574" s="29" t="inlineStr">
        <is>
          <t>8890376500.0</t>
        </is>
      </c>
      <c r="O574" s="29" t="inlineStr">
        <is>
          <t>8890376500.0</t>
        </is>
      </c>
      <c r="P574" s="29" t="inlineStr">
        <is>
          <t>KRW</t>
        </is>
      </c>
      <c r="Q574" s="29" t="inlineStr">
        <is>
          <t>35</t>
        </is>
      </c>
    </row>
    <row r="575" ht="24" customHeight="1">
      <c r="A575" s="24" t="inlineStr">
        <is>
          <t>OpenDART_fnlttSinglAcntAll</t>
        </is>
      </c>
      <c r="B575" s="24" t="inlineStr">
        <is>
          <t>00591441</t>
        </is>
      </c>
      <c r="C575" s="24" t="inlineStr">
        <is>
          <t>어보브반도체</t>
        </is>
      </c>
      <c r="D575" s="24" t="inlineStr">
        <is>
          <t>abov</t>
        </is>
      </c>
      <c r="E575" s="24" t="inlineStr">
        <is>
          <t>102120</t>
        </is>
      </c>
      <c r="F575" s="24" t="inlineStr">
        <is>
          <t>2024</t>
        </is>
      </c>
      <c r="G575" s="24" t="inlineStr">
        <is>
          <t>CFS</t>
        </is>
      </c>
      <c r="H575" s="24" t="inlineStr">
        <is>
          <t>BS</t>
        </is>
      </c>
      <c r="I575" s="24" t="inlineStr">
        <is>
          <t>재무상태표</t>
        </is>
      </c>
      <c r="J575" s="24" t="inlineStr">
        <is>
          <t>ifrs-full_RetainedEarnings</t>
        </is>
      </c>
      <c r="K575" s="24" t="inlineStr">
        <is>
          <t>이익잉여금(결손금)</t>
        </is>
      </c>
      <c r="L575" s="24" t="inlineStr">
        <is>
          <t>-</t>
        </is>
      </c>
      <c r="M575" s="24" t="inlineStr">
        <is>
          <t>제 19 기</t>
        </is>
      </c>
      <c r="N575" s="24" t="inlineStr">
        <is>
          <t>78812188232.0</t>
        </is>
      </c>
      <c r="O575" s="24" t="inlineStr">
        <is>
          <t>77059442795.0</t>
        </is>
      </c>
      <c r="P575" s="24" t="inlineStr">
        <is>
          <t>KRW</t>
        </is>
      </c>
      <c r="Q575" s="24" t="inlineStr">
        <is>
          <t>36</t>
        </is>
      </c>
    </row>
    <row r="576" ht="24" customHeight="1">
      <c r="A576" s="29" t="inlineStr">
        <is>
          <t>OpenDART_fnlttSinglAcntAll</t>
        </is>
      </c>
      <c r="B576" s="29" t="inlineStr">
        <is>
          <t>00591441</t>
        </is>
      </c>
      <c r="C576" s="29" t="inlineStr">
        <is>
          <t>어보브반도체</t>
        </is>
      </c>
      <c r="D576" s="29" t="inlineStr">
        <is>
          <t>abov</t>
        </is>
      </c>
      <c r="E576" s="29" t="inlineStr">
        <is>
          <t>102120</t>
        </is>
      </c>
      <c r="F576" s="29" t="inlineStr">
        <is>
          <t>2024</t>
        </is>
      </c>
      <c r="G576" s="29" t="inlineStr">
        <is>
          <t>CFS</t>
        </is>
      </c>
      <c r="H576" s="29" t="inlineStr">
        <is>
          <t>BS</t>
        </is>
      </c>
      <c r="I576" s="29" t="inlineStr">
        <is>
          <t>재무상태표</t>
        </is>
      </c>
      <c r="J576" s="29" t="inlineStr">
        <is>
          <t>ifrs-full_NoncontrollingInterests</t>
        </is>
      </c>
      <c r="K576" s="29" t="inlineStr">
        <is>
          <t>비지배지분</t>
        </is>
      </c>
      <c r="L576" s="29" t="inlineStr">
        <is>
          <t>-</t>
        </is>
      </c>
      <c r="M576" s="29" t="inlineStr">
        <is>
          <t>제 19 기</t>
        </is>
      </c>
      <c r="N576" s="29" t="inlineStr">
        <is>
          <t>42519475092.0</t>
        </is>
      </c>
      <c r="O576" s="29" t="inlineStr">
        <is>
          <t>35657795188.0</t>
        </is>
      </c>
      <c r="P576" s="29" t="inlineStr">
        <is>
          <t>KRW</t>
        </is>
      </c>
      <c r="Q576" s="29" t="inlineStr">
        <is>
          <t>37</t>
        </is>
      </c>
    </row>
    <row r="577" ht="24" customHeight="1">
      <c r="A577" s="24" t="inlineStr">
        <is>
          <t>OpenDART_fnlttSinglAcntAll</t>
        </is>
      </c>
      <c r="B577" s="24" t="inlineStr">
        <is>
          <t>00591441</t>
        </is>
      </c>
      <c r="C577" s="24" t="inlineStr">
        <is>
          <t>어보브반도체</t>
        </is>
      </c>
      <c r="D577" s="24" t="inlineStr">
        <is>
          <t>abov</t>
        </is>
      </c>
      <c r="E577" s="24" t="inlineStr">
        <is>
          <t>102120</t>
        </is>
      </c>
      <c r="F577" s="24" t="inlineStr">
        <is>
          <t>2024</t>
        </is>
      </c>
      <c r="G577" s="24" t="inlineStr">
        <is>
          <t>CFS</t>
        </is>
      </c>
      <c r="H577" s="24" t="inlineStr">
        <is>
          <t>BS</t>
        </is>
      </c>
      <c r="I577" s="24" t="inlineStr">
        <is>
          <t>재무상태표</t>
        </is>
      </c>
      <c r="J577" s="24" t="inlineStr">
        <is>
          <t>ifrs-full_EquityAndLiabilities</t>
        </is>
      </c>
      <c r="K577" s="24" t="inlineStr">
        <is>
          <t>자본과부채총계</t>
        </is>
      </c>
      <c r="L577" s="24" t="inlineStr">
        <is>
          <t>-</t>
        </is>
      </c>
      <c r="M577" s="24" t="inlineStr">
        <is>
          <t>제 19 기</t>
        </is>
      </c>
      <c r="N577" s="24" t="inlineStr">
        <is>
          <t>293039972870.0</t>
        </is>
      </c>
      <c r="O577" s="24" t="inlineStr">
        <is>
          <t>288316792095.0</t>
        </is>
      </c>
      <c r="P577" s="24" t="inlineStr">
        <is>
          <t>KRW</t>
        </is>
      </c>
      <c r="Q577" s="24" t="inlineStr">
        <is>
          <t>38</t>
        </is>
      </c>
    </row>
    <row r="578" ht="24" customHeight="1">
      <c r="A578" s="29" t="inlineStr">
        <is>
          <t>OpenDART_fnlttSinglAcntAll</t>
        </is>
      </c>
      <c r="B578" s="29" t="inlineStr">
        <is>
          <t>00591441</t>
        </is>
      </c>
      <c r="C578" s="29" t="inlineStr">
        <is>
          <t>어보브반도체</t>
        </is>
      </c>
      <c r="D578" s="29" t="inlineStr">
        <is>
          <t>abov</t>
        </is>
      </c>
      <c r="E578" s="29" t="inlineStr">
        <is>
          <t>102120</t>
        </is>
      </c>
      <c r="F578" s="29" t="inlineStr">
        <is>
          <t>2024</t>
        </is>
      </c>
      <c r="G578" s="29" t="inlineStr">
        <is>
          <t>CFS</t>
        </is>
      </c>
      <c r="H578" s="29" t="inlineStr">
        <is>
          <t>BS</t>
        </is>
      </c>
      <c r="I578" s="29" t="inlineStr">
        <is>
          <t>재무상태표</t>
        </is>
      </c>
      <c r="J578" s="29" t="inlineStr">
        <is>
          <t>ifrs-full_CurrentLiabilities</t>
        </is>
      </c>
      <c r="K578" s="29" t="inlineStr">
        <is>
          <t>유동부채</t>
        </is>
      </c>
      <c r="L578" s="29" t="inlineStr">
        <is>
          <t>-</t>
        </is>
      </c>
      <c r="M578" s="29" t="inlineStr">
        <is>
          <t>제 19 기</t>
        </is>
      </c>
      <c r="N578" s="29" t="inlineStr">
        <is>
          <t>112038701012.0</t>
        </is>
      </c>
      <c r="O578" s="29" t="inlineStr">
        <is>
          <t>108876239011.0</t>
        </is>
      </c>
      <c r="P578" s="29" t="inlineStr">
        <is>
          <t>KRW</t>
        </is>
      </c>
      <c r="Q578" s="29" t="inlineStr">
        <is>
          <t>40</t>
        </is>
      </c>
    </row>
    <row r="579" ht="24" customHeight="1">
      <c r="A579" s="24" t="inlineStr">
        <is>
          <t>OpenDART_fnlttSinglAcntAll</t>
        </is>
      </c>
      <c r="B579" s="24" t="inlineStr">
        <is>
          <t>00591441</t>
        </is>
      </c>
      <c r="C579" s="24" t="inlineStr">
        <is>
          <t>어보브반도체</t>
        </is>
      </c>
      <c r="D579" s="24" t="inlineStr">
        <is>
          <t>abov</t>
        </is>
      </c>
      <c r="E579" s="24" t="inlineStr">
        <is>
          <t>102120</t>
        </is>
      </c>
      <c r="F579" s="24" t="inlineStr">
        <is>
          <t>2024</t>
        </is>
      </c>
      <c r="G579" s="24" t="inlineStr">
        <is>
          <t>CFS</t>
        </is>
      </c>
      <c r="H579" s="24" t="inlineStr">
        <is>
          <t>BS</t>
        </is>
      </c>
      <c r="I579" s="24" t="inlineStr">
        <is>
          <t>재무상태표</t>
        </is>
      </c>
      <c r="J579" s="24" t="inlineStr">
        <is>
          <t>-표준계정코드 미사용-</t>
        </is>
      </c>
      <c r="K579" s="24" t="inlineStr">
        <is>
          <t>유동금융부채</t>
        </is>
      </c>
      <c r="L579" s="24" t="inlineStr">
        <is>
          <t>-</t>
        </is>
      </c>
      <c r="M579" s="24" t="inlineStr">
        <is>
          <t>제 19 기</t>
        </is>
      </c>
      <c r="N579" s="24" t="inlineStr">
        <is>
          <t>765861881.0</t>
        </is>
      </c>
      <c r="O579" s="24" t="inlineStr">
        <is>
          <t>해당 없음</t>
        </is>
      </c>
      <c r="P579" s="24" t="inlineStr">
        <is>
          <t>KRW</t>
        </is>
      </c>
      <c r="Q579" s="24" t="inlineStr">
        <is>
          <t>41</t>
        </is>
      </c>
    </row>
    <row r="580" ht="24" customHeight="1">
      <c r="A580" s="29" t="inlineStr">
        <is>
          <t>OpenDART_fnlttSinglAcntAll</t>
        </is>
      </c>
      <c r="B580" s="29" t="inlineStr">
        <is>
          <t>00591441</t>
        </is>
      </c>
      <c r="C580" s="29" t="inlineStr">
        <is>
          <t>어보브반도체</t>
        </is>
      </c>
      <c r="D580" s="29" t="inlineStr">
        <is>
          <t>abov</t>
        </is>
      </c>
      <c r="E580" s="29" t="inlineStr">
        <is>
          <t>102120</t>
        </is>
      </c>
      <c r="F580" s="29" t="inlineStr">
        <is>
          <t>2024</t>
        </is>
      </c>
      <c r="G580" s="29" t="inlineStr">
        <is>
          <t>CFS</t>
        </is>
      </c>
      <c r="H580" s="29" t="inlineStr">
        <is>
          <t>BS</t>
        </is>
      </c>
      <c r="I580" s="29" t="inlineStr">
        <is>
          <t>재무상태표</t>
        </is>
      </c>
      <c r="J580" s="29" t="inlineStr">
        <is>
          <t>-표준계정코드 미사용-</t>
        </is>
      </c>
      <c r="K580" s="29" t="inlineStr">
        <is>
          <t>유동성 전환사채 및 신주인수권부사채</t>
        </is>
      </c>
      <c r="L580" s="29" t="inlineStr">
        <is>
          <t>-</t>
        </is>
      </c>
      <c r="M580" s="29" t="inlineStr">
        <is>
          <t>제 19 기</t>
        </is>
      </c>
      <c r="N580" s="29" t="inlineStr">
        <is>
          <t>1622362059.0</t>
        </is>
      </c>
      <c r="O580" s="29" t="inlineStr">
        <is>
          <t>해당 없음</t>
        </is>
      </c>
      <c r="P580" s="29" t="inlineStr">
        <is>
          <t>KRW</t>
        </is>
      </c>
      <c r="Q580" s="29" t="inlineStr">
        <is>
          <t>42</t>
        </is>
      </c>
    </row>
    <row r="581" ht="24" customHeight="1">
      <c r="A581" s="24" t="inlineStr">
        <is>
          <t>OpenDART_fnlttSinglAcntAll</t>
        </is>
      </c>
      <c r="B581" s="24" t="inlineStr">
        <is>
          <t>00591441</t>
        </is>
      </c>
      <c r="C581" s="24" t="inlineStr">
        <is>
          <t>어보브반도체</t>
        </is>
      </c>
      <c r="D581" s="24" t="inlineStr">
        <is>
          <t>abov</t>
        </is>
      </c>
      <c r="E581" s="24" t="inlineStr">
        <is>
          <t>102120</t>
        </is>
      </c>
      <c r="F581" s="24" t="inlineStr">
        <is>
          <t>2024</t>
        </is>
      </c>
      <c r="G581" s="24" t="inlineStr">
        <is>
          <t>CFS</t>
        </is>
      </c>
      <c r="H581" s="24" t="inlineStr">
        <is>
          <t>BS</t>
        </is>
      </c>
      <c r="I581" s="24" t="inlineStr">
        <is>
          <t>재무상태표</t>
        </is>
      </c>
      <c r="J581" s="24" t="inlineStr">
        <is>
          <t>-표준계정코드 미사용-</t>
        </is>
      </c>
      <c r="K581" s="24" t="inlineStr">
        <is>
          <t>기타채무</t>
        </is>
      </c>
      <c r="L581" s="24" t="inlineStr">
        <is>
          <t>-</t>
        </is>
      </c>
      <c r="M581" s="24" t="inlineStr">
        <is>
          <t>제 19 기</t>
        </is>
      </c>
      <c r="N581" s="24" t="inlineStr">
        <is>
          <t>11730719815.0</t>
        </is>
      </c>
      <c r="O581" s="24" t="inlineStr">
        <is>
          <t>12106040788.0</t>
        </is>
      </c>
      <c r="P581" s="24" t="inlineStr">
        <is>
          <t>KRW</t>
        </is>
      </c>
      <c r="Q581" s="24" t="inlineStr">
        <is>
          <t>43</t>
        </is>
      </c>
    </row>
    <row r="582" ht="24" customHeight="1">
      <c r="A582" s="29" t="inlineStr">
        <is>
          <t>OpenDART_fnlttSinglAcntAll</t>
        </is>
      </c>
      <c r="B582" s="29" t="inlineStr">
        <is>
          <t>00591441</t>
        </is>
      </c>
      <c r="C582" s="29" t="inlineStr">
        <is>
          <t>어보브반도체</t>
        </is>
      </c>
      <c r="D582" s="29" t="inlineStr">
        <is>
          <t>abov</t>
        </is>
      </c>
      <c r="E582" s="29" t="inlineStr">
        <is>
          <t>102120</t>
        </is>
      </c>
      <c r="F582" s="29" t="inlineStr">
        <is>
          <t>2024</t>
        </is>
      </c>
      <c r="G582" s="29" t="inlineStr">
        <is>
          <t>CFS</t>
        </is>
      </c>
      <c r="H582" s="29" t="inlineStr">
        <is>
          <t>BS</t>
        </is>
      </c>
      <c r="I582" s="29" t="inlineStr">
        <is>
          <t>재무상태표</t>
        </is>
      </c>
      <c r="J582" s="29" t="inlineStr">
        <is>
          <t>ifrs-full_CurrentLeaseLiabilities</t>
        </is>
      </c>
      <c r="K582" s="29" t="inlineStr">
        <is>
          <t>유동성리스부채</t>
        </is>
      </c>
      <c r="L582" s="29" t="inlineStr">
        <is>
          <t>-</t>
        </is>
      </c>
      <c r="M582" s="29" t="inlineStr">
        <is>
          <t>제 19 기</t>
        </is>
      </c>
      <c r="N582" s="29" t="inlineStr">
        <is>
          <t>903511924.0</t>
        </is>
      </c>
      <c r="O582" s="29" t="inlineStr">
        <is>
          <t>2794776786.0</t>
        </is>
      </c>
      <c r="P582" s="29" t="inlineStr">
        <is>
          <t>KRW</t>
        </is>
      </c>
      <c r="Q582" s="29" t="inlineStr">
        <is>
          <t>44</t>
        </is>
      </c>
    </row>
    <row r="583" ht="24" customHeight="1">
      <c r="A583" s="24" t="inlineStr">
        <is>
          <t>OpenDART_fnlttSinglAcntAll</t>
        </is>
      </c>
      <c r="B583" s="24" t="inlineStr">
        <is>
          <t>00591441</t>
        </is>
      </c>
      <c r="C583" s="24" t="inlineStr">
        <is>
          <t>어보브반도체</t>
        </is>
      </c>
      <c r="D583" s="24" t="inlineStr">
        <is>
          <t>abov</t>
        </is>
      </c>
      <c r="E583" s="24" t="inlineStr">
        <is>
          <t>102120</t>
        </is>
      </c>
      <c r="F583" s="24" t="inlineStr">
        <is>
          <t>2024</t>
        </is>
      </c>
      <c r="G583" s="24" t="inlineStr">
        <is>
          <t>CFS</t>
        </is>
      </c>
      <c r="H583" s="24" t="inlineStr">
        <is>
          <t>BS</t>
        </is>
      </c>
      <c r="I583" s="24" t="inlineStr">
        <is>
          <t>재무상태표</t>
        </is>
      </c>
      <c r="J583" s="24" t="inlineStr">
        <is>
          <t>ifrs-full_CurrentPortionOfLongtermBorrowings</t>
        </is>
      </c>
      <c r="K583" s="24" t="inlineStr">
        <is>
          <t>유동성장기차입금</t>
        </is>
      </c>
      <c r="L583" s="24" t="inlineStr">
        <is>
          <t>-</t>
        </is>
      </c>
      <c r="M583" s="24" t="inlineStr">
        <is>
          <t>제 19 기</t>
        </is>
      </c>
      <c r="N583" s="24" t="inlineStr">
        <is>
          <t>18900057154.0</t>
        </is>
      </c>
      <c r="O583" s="24" t="inlineStr">
        <is>
          <t>13446564432.0</t>
        </is>
      </c>
      <c r="P583" s="24" t="inlineStr">
        <is>
          <t>KRW</t>
        </is>
      </c>
      <c r="Q583" s="24" t="inlineStr">
        <is>
          <t>45</t>
        </is>
      </c>
    </row>
    <row r="584" ht="24" customHeight="1">
      <c r="A584" s="29" t="inlineStr">
        <is>
          <t>OpenDART_fnlttSinglAcntAll</t>
        </is>
      </c>
      <c r="B584" s="29" t="inlineStr">
        <is>
          <t>00591441</t>
        </is>
      </c>
      <c r="C584" s="29" t="inlineStr">
        <is>
          <t>어보브반도체</t>
        </is>
      </c>
      <c r="D584" s="29" t="inlineStr">
        <is>
          <t>abov</t>
        </is>
      </c>
      <c r="E584" s="29" t="inlineStr">
        <is>
          <t>102120</t>
        </is>
      </c>
      <c r="F584" s="29" t="inlineStr">
        <is>
          <t>2024</t>
        </is>
      </c>
      <c r="G584" s="29" t="inlineStr">
        <is>
          <t>CFS</t>
        </is>
      </c>
      <c r="H584" s="29" t="inlineStr">
        <is>
          <t>BS</t>
        </is>
      </c>
      <c r="I584" s="29" t="inlineStr">
        <is>
          <t>재무상태표</t>
        </is>
      </c>
      <c r="J584" s="29" t="inlineStr">
        <is>
          <t>ifrs-full_CurrentTaxLiabilities</t>
        </is>
      </c>
      <c r="K584" s="29" t="inlineStr">
        <is>
          <t>당기법인세부채</t>
        </is>
      </c>
      <c r="L584" s="29" t="inlineStr">
        <is>
          <t>-</t>
        </is>
      </c>
      <c r="M584" s="29" t="inlineStr">
        <is>
          <t>제 19 기</t>
        </is>
      </c>
      <c r="N584" s="29" t="inlineStr">
        <is>
          <t>2248965728.0</t>
        </is>
      </c>
      <c r="O584" s="29" t="inlineStr">
        <is>
          <t>159278857.0</t>
        </is>
      </c>
      <c r="P584" s="29" t="inlineStr">
        <is>
          <t>KRW</t>
        </is>
      </c>
      <c r="Q584" s="29" t="inlineStr">
        <is>
          <t>46</t>
        </is>
      </c>
    </row>
    <row r="585" ht="24" customHeight="1">
      <c r="A585" s="24" t="inlineStr">
        <is>
          <t>OpenDART_fnlttSinglAcntAll</t>
        </is>
      </c>
      <c r="B585" s="24" t="inlineStr">
        <is>
          <t>00591441</t>
        </is>
      </c>
      <c r="C585" s="24" t="inlineStr">
        <is>
          <t>어보브반도체</t>
        </is>
      </c>
      <c r="D585" s="24" t="inlineStr">
        <is>
          <t>abov</t>
        </is>
      </c>
      <c r="E585" s="24" t="inlineStr">
        <is>
          <t>102120</t>
        </is>
      </c>
      <c r="F585" s="24" t="inlineStr">
        <is>
          <t>2024</t>
        </is>
      </c>
      <c r="G585" s="24" t="inlineStr">
        <is>
          <t>CFS</t>
        </is>
      </c>
      <c r="H585" s="24" t="inlineStr">
        <is>
          <t>BS</t>
        </is>
      </c>
      <c r="I585" s="24" t="inlineStr">
        <is>
          <t>재무상태표</t>
        </is>
      </c>
      <c r="J585" s="24" t="inlineStr">
        <is>
          <t>ifrs-full_OtherCurrentLiabilities</t>
        </is>
      </c>
      <c r="K585" s="24" t="inlineStr">
        <is>
          <t>기타유동부채</t>
        </is>
      </c>
      <c r="L585" s="24" t="inlineStr">
        <is>
          <t>-</t>
        </is>
      </c>
      <c r="M585" s="24" t="inlineStr">
        <is>
          <t>제 19 기</t>
        </is>
      </c>
      <c r="N585" s="24" t="inlineStr">
        <is>
          <t>1025092052.0</t>
        </is>
      </c>
      <c r="O585" s="24" t="inlineStr">
        <is>
          <t>1034769665.0</t>
        </is>
      </c>
      <c r="P585" s="24" t="inlineStr">
        <is>
          <t>KRW</t>
        </is>
      </c>
      <c r="Q585" s="24" t="inlineStr">
        <is>
          <t>47</t>
        </is>
      </c>
    </row>
    <row r="586" ht="24" customHeight="1">
      <c r="A586" s="29" t="inlineStr">
        <is>
          <t>OpenDART_fnlttSinglAcntAll</t>
        </is>
      </c>
      <c r="B586" s="29" t="inlineStr">
        <is>
          <t>00591441</t>
        </is>
      </c>
      <c r="C586" s="29" t="inlineStr">
        <is>
          <t>어보브반도체</t>
        </is>
      </c>
      <c r="D586" s="29" t="inlineStr">
        <is>
          <t>abov</t>
        </is>
      </c>
      <c r="E586" s="29" t="inlineStr">
        <is>
          <t>102120</t>
        </is>
      </c>
      <c r="F586" s="29" t="inlineStr">
        <is>
          <t>2024</t>
        </is>
      </c>
      <c r="G586" s="29" t="inlineStr">
        <is>
          <t>CFS</t>
        </is>
      </c>
      <c r="H586" s="29" t="inlineStr">
        <is>
          <t>BS</t>
        </is>
      </c>
      <c r="I586" s="29" t="inlineStr">
        <is>
          <t>재무상태표</t>
        </is>
      </c>
      <c r="J586" s="29" t="inlineStr">
        <is>
          <t>ifrs-full_ShorttermBorrowings</t>
        </is>
      </c>
      <c r="K586" s="29" t="inlineStr">
        <is>
          <t>단기차입금</t>
        </is>
      </c>
      <c r="L586" s="29" t="inlineStr">
        <is>
          <t>-</t>
        </is>
      </c>
      <c r="M586" s="29" t="inlineStr">
        <is>
          <t>제 19 기</t>
        </is>
      </c>
      <c r="N586" s="29" t="inlineStr">
        <is>
          <t>66031000000.0</t>
        </is>
      </c>
      <c r="O586" s="29" t="inlineStr">
        <is>
          <t>67264000000.0</t>
        </is>
      </c>
      <c r="P586" s="29" t="inlineStr">
        <is>
          <t>KRW</t>
        </is>
      </c>
      <c r="Q586" s="29" t="inlineStr">
        <is>
          <t>48</t>
        </is>
      </c>
    </row>
    <row r="587" ht="24" customHeight="1">
      <c r="A587" s="24" t="inlineStr">
        <is>
          <t>OpenDART_fnlttSinglAcntAll</t>
        </is>
      </c>
      <c r="B587" s="24" t="inlineStr">
        <is>
          <t>00591441</t>
        </is>
      </c>
      <c r="C587" s="24" t="inlineStr">
        <is>
          <t>어보브반도체</t>
        </is>
      </c>
      <c r="D587" s="24" t="inlineStr">
        <is>
          <t>abov</t>
        </is>
      </c>
      <c r="E587" s="24" t="inlineStr">
        <is>
          <t>102120</t>
        </is>
      </c>
      <c r="F587" s="24" t="inlineStr">
        <is>
          <t>2024</t>
        </is>
      </c>
      <c r="G587" s="24" t="inlineStr">
        <is>
          <t>CFS</t>
        </is>
      </c>
      <c r="H587" s="24" t="inlineStr">
        <is>
          <t>BS</t>
        </is>
      </c>
      <c r="I587" s="24" t="inlineStr">
        <is>
          <t>재무상태표</t>
        </is>
      </c>
      <c r="J587" s="24" t="inlineStr">
        <is>
          <t>ifrs-full_TradeAndOtherCurrentPayables</t>
        </is>
      </c>
      <c r="K587" s="24" t="inlineStr">
        <is>
          <t>매입채무</t>
        </is>
      </c>
      <c r="L587" s="24" t="inlineStr">
        <is>
          <t>-</t>
        </is>
      </c>
      <c r="M587" s="24" t="inlineStr">
        <is>
          <t>제 19 기</t>
        </is>
      </c>
      <c r="N587" s="24" t="inlineStr">
        <is>
          <t>8811130399.0</t>
        </is>
      </c>
      <c r="O587" s="24" t="inlineStr">
        <is>
          <t>12070808483.0</t>
        </is>
      </c>
      <c r="P587" s="24" t="inlineStr">
        <is>
          <t>KRW</t>
        </is>
      </c>
      <c r="Q587" s="24" t="inlineStr">
        <is>
          <t>49</t>
        </is>
      </c>
    </row>
    <row r="588" ht="24" customHeight="1">
      <c r="A588" s="29" t="inlineStr">
        <is>
          <t>OpenDART_fnlttSinglAcntAll</t>
        </is>
      </c>
      <c r="B588" s="29" t="inlineStr">
        <is>
          <t>00591441</t>
        </is>
      </c>
      <c r="C588" s="29" t="inlineStr">
        <is>
          <t>어보브반도체</t>
        </is>
      </c>
      <c r="D588" s="29" t="inlineStr">
        <is>
          <t>abov</t>
        </is>
      </c>
      <c r="E588" s="29" t="inlineStr">
        <is>
          <t>102120</t>
        </is>
      </c>
      <c r="F588" s="29" t="inlineStr">
        <is>
          <t>2024</t>
        </is>
      </c>
      <c r="G588" s="29" t="inlineStr">
        <is>
          <t>CFS</t>
        </is>
      </c>
      <c r="H588" s="29" t="inlineStr">
        <is>
          <t>BS</t>
        </is>
      </c>
      <c r="I588" s="29" t="inlineStr">
        <is>
          <t>재무상태표</t>
        </is>
      </c>
      <c r="J588" s="29" t="inlineStr">
        <is>
          <t>ifrs-full_Liabilities</t>
        </is>
      </c>
      <c r="K588" s="29" t="inlineStr">
        <is>
          <t>부채총계</t>
        </is>
      </c>
      <c r="L588" s="29" t="inlineStr">
        <is>
          <t>-</t>
        </is>
      </c>
      <c r="M588" s="29" t="inlineStr">
        <is>
          <t>제 19 기</t>
        </is>
      </c>
      <c r="N588" s="29" t="inlineStr">
        <is>
          <t>138459064716.0</t>
        </is>
      </c>
      <c r="O588" s="29" t="inlineStr">
        <is>
          <t>147690807918.0</t>
        </is>
      </c>
      <c r="P588" s="29" t="inlineStr">
        <is>
          <t>KRW</t>
        </is>
      </c>
      <c r="Q588" s="29" t="inlineStr">
        <is>
          <t>50</t>
        </is>
      </c>
    </row>
    <row r="589" ht="24" customHeight="1">
      <c r="A589" s="24" t="inlineStr">
        <is>
          <t>OpenDART_fnlttSinglAcntAll</t>
        </is>
      </c>
      <c r="B589" s="24" t="inlineStr">
        <is>
          <t>00591441</t>
        </is>
      </c>
      <c r="C589" s="24" t="inlineStr">
        <is>
          <t>어보브반도체</t>
        </is>
      </c>
      <c r="D589" s="24" t="inlineStr">
        <is>
          <t>abov</t>
        </is>
      </c>
      <c r="E589" s="24" t="inlineStr">
        <is>
          <t>102120</t>
        </is>
      </c>
      <c r="F589" s="24" t="inlineStr">
        <is>
          <t>2024</t>
        </is>
      </c>
      <c r="G589" s="24" t="inlineStr">
        <is>
          <t>CFS</t>
        </is>
      </c>
      <c r="H589" s="24" t="inlineStr">
        <is>
          <t>BS</t>
        </is>
      </c>
      <c r="I589" s="24" t="inlineStr">
        <is>
          <t>재무상태표</t>
        </is>
      </c>
      <c r="J589" s="24" t="inlineStr">
        <is>
          <t>ifrs-full_NoncurrentLiabilities</t>
        </is>
      </c>
      <c r="K589" s="24" t="inlineStr">
        <is>
          <t>비유동부채</t>
        </is>
      </c>
      <c r="L589" s="24" t="inlineStr">
        <is>
          <t>-</t>
        </is>
      </c>
      <c r="M589" s="24" t="inlineStr">
        <is>
          <t>제 19 기</t>
        </is>
      </c>
      <c r="N589" s="24" t="inlineStr">
        <is>
          <t>26420363704.0</t>
        </is>
      </c>
      <c r="O589" s="24" t="inlineStr">
        <is>
          <t>38814568907.0</t>
        </is>
      </c>
      <c r="P589" s="24" t="inlineStr">
        <is>
          <t>KRW</t>
        </is>
      </c>
      <c r="Q589" s="24" t="inlineStr">
        <is>
          <t>51</t>
        </is>
      </c>
    </row>
    <row r="590" ht="24" customHeight="1">
      <c r="A590" s="29" t="inlineStr">
        <is>
          <t>OpenDART_fnlttSinglAcntAll</t>
        </is>
      </c>
      <c r="B590" s="29" t="inlineStr">
        <is>
          <t>00591441</t>
        </is>
      </c>
      <c r="C590" s="29" t="inlineStr">
        <is>
          <t>어보브반도체</t>
        </is>
      </c>
      <c r="D590" s="29" t="inlineStr">
        <is>
          <t>abov</t>
        </is>
      </c>
      <c r="E590" s="29" t="inlineStr">
        <is>
          <t>102120</t>
        </is>
      </c>
      <c r="F590" s="29" t="inlineStr">
        <is>
          <t>2024</t>
        </is>
      </c>
      <c r="G590" s="29" t="inlineStr">
        <is>
          <t>CFS</t>
        </is>
      </c>
      <c r="H590" s="29" t="inlineStr">
        <is>
          <t>BS</t>
        </is>
      </c>
      <c r="I590" s="29" t="inlineStr">
        <is>
          <t>재무상태표</t>
        </is>
      </c>
      <c r="J590" s="29" t="inlineStr">
        <is>
          <t>dart_LongTermBorrowingsGross</t>
        </is>
      </c>
      <c r="K590" s="29" t="inlineStr">
        <is>
          <t>장기차입금</t>
        </is>
      </c>
      <c r="L590" s="29" t="inlineStr">
        <is>
          <t>-</t>
        </is>
      </c>
      <c r="M590" s="29" t="inlineStr">
        <is>
          <t>제 19 기</t>
        </is>
      </c>
      <c r="N590" s="29" t="inlineStr">
        <is>
          <t>5514510000.0</t>
        </is>
      </c>
      <c r="O590" s="29" t="inlineStr">
        <is>
          <t>23282157154.0</t>
        </is>
      </c>
      <c r="P590" s="29" t="inlineStr">
        <is>
          <t>KRW</t>
        </is>
      </c>
      <c r="Q590" s="29" t="inlineStr">
        <is>
          <t>52</t>
        </is>
      </c>
    </row>
    <row r="591" ht="24" customHeight="1">
      <c r="A591" s="24" t="inlineStr">
        <is>
          <t>OpenDART_fnlttSinglAcntAll</t>
        </is>
      </c>
      <c r="B591" s="24" t="inlineStr">
        <is>
          <t>00591441</t>
        </is>
      </c>
      <c r="C591" s="24" t="inlineStr">
        <is>
          <t>어보브반도체</t>
        </is>
      </c>
      <c r="D591" s="24" t="inlineStr">
        <is>
          <t>abov</t>
        </is>
      </c>
      <c r="E591" s="24" t="inlineStr">
        <is>
          <t>102120</t>
        </is>
      </c>
      <c r="F591" s="24" t="inlineStr">
        <is>
          <t>2024</t>
        </is>
      </c>
      <c r="G591" s="24" t="inlineStr">
        <is>
          <t>CFS</t>
        </is>
      </c>
      <c r="H591" s="24" t="inlineStr">
        <is>
          <t>BS</t>
        </is>
      </c>
      <c r="I591" s="24" t="inlineStr">
        <is>
          <t>재무상태표</t>
        </is>
      </c>
      <c r="J591" s="24" t="inlineStr">
        <is>
          <t>dart_PresentValueOfDefinedBenefitObligation</t>
        </is>
      </c>
      <c r="K591" s="24" t="inlineStr">
        <is>
          <t>순확정급여채무</t>
        </is>
      </c>
      <c r="L591" s="24" t="inlineStr">
        <is>
          <t>-</t>
        </is>
      </c>
      <c r="M591" s="24" t="inlineStr">
        <is>
          <t>제 19 기</t>
        </is>
      </c>
      <c r="N591" s="24" t="inlineStr">
        <is>
          <t>-41800312.0</t>
        </is>
      </c>
      <c r="O591" s="24" t="inlineStr">
        <is>
          <t>38723530.0</t>
        </is>
      </c>
      <c r="P591" s="24" t="inlineStr">
        <is>
          <t>KRW</t>
        </is>
      </c>
      <c r="Q591" s="24" t="inlineStr">
        <is>
          <t>53</t>
        </is>
      </c>
    </row>
    <row r="592" ht="24" customHeight="1">
      <c r="A592" s="29" t="inlineStr">
        <is>
          <t>OpenDART_fnlttSinglAcntAll</t>
        </is>
      </c>
      <c r="B592" s="29" t="inlineStr">
        <is>
          <t>00591441</t>
        </is>
      </c>
      <c r="C592" s="29" t="inlineStr">
        <is>
          <t>어보브반도체</t>
        </is>
      </c>
      <c r="D592" s="29" t="inlineStr">
        <is>
          <t>abov</t>
        </is>
      </c>
      <c r="E592" s="29" t="inlineStr">
        <is>
          <t>102120</t>
        </is>
      </c>
      <c r="F592" s="29" t="inlineStr">
        <is>
          <t>2024</t>
        </is>
      </c>
      <c r="G592" s="29" t="inlineStr">
        <is>
          <t>CFS</t>
        </is>
      </c>
      <c r="H592" s="29" t="inlineStr">
        <is>
          <t>BS</t>
        </is>
      </c>
      <c r="I592" s="29" t="inlineStr">
        <is>
          <t>재무상태표</t>
        </is>
      </c>
      <c r="J592" s="29" t="inlineStr">
        <is>
          <t>-표준계정코드 미사용-</t>
        </is>
      </c>
      <c r="K592" s="29" t="inlineStr">
        <is>
          <t>전환사채 및 신주인수권부사채,교환사채</t>
        </is>
      </c>
      <c r="L592" s="29" t="inlineStr">
        <is>
          <t>-</t>
        </is>
      </c>
      <c r="M592" s="29" t="inlineStr">
        <is>
          <t>제 19 기</t>
        </is>
      </c>
      <c r="N592" s="29" t="inlineStr">
        <is>
          <t>18686111082.0</t>
        </is>
      </c>
      <c r="O592" s="29" t="inlineStr">
        <is>
          <t>8514214079.0</t>
        </is>
      </c>
      <c r="P592" s="29" t="inlineStr">
        <is>
          <t>KRW</t>
        </is>
      </c>
      <c r="Q592" s="29" t="inlineStr">
        <is>
          <t>54</t>
        </is>
      </c>
    </row>
    <row r="593" ht="24" customHeight="1">
      <c r="A593" s="24" t="inlineStr">
        <is>
          <t>OpenDART_fnlttSinglAcntAll</t>
        </is>
      </c>
      <c r="B593" s="24" t="inlineStr">
        <is>
          <t>00591441</t>
        </is>
      </c>
      <c r="C593" s="24" t="inlineStr">
        <is>
          <t>어보브반도체</t>
        </is>
      </c>
      <c r="D593" s="24" t="inlineStr">
        <is>
          <t>abov</t>
        </is>
      </c>
      <c r="E593" s="24" t="inlineStr">
        <is>
          <t>102120</t>
        </is>
      </c>
      <c r="F593" s="24" t="inlineStr">
        <is>
          <t>2024</t>
        </is>
      </c>
      <c r="G593" s="24" t="inlineStr">
        <is>
          <t>CFS</t>
        </is>
      </c>
      <c r="H593" s="24" t="inlineStr">
        <is>
          <t>BS</t>
        </is>
      </c>
      <c r="I593" s="24" t="inlineStr">
        <is>
          <t>재무상태표</t>
        </is>
      </c>
      <c r="J593" s="24" t="inlineStr">
        <is>
          <t>ifrs-full_NoncurrentLeaseLiabilities</t>
        </is>
      </c>
      <c r="K593" s="24" t="inlineStr">
        <is>
          <t>비유동리스부채</t>
        </is>
      </c>
      <c r="L593" s="24" t="inlineStr">
        <is>
          <t>-</t>
        </is>
      </c>
      <c r="M593" s="24" t="inlineStr">
        <is>
          <t>제 19 기</t>
        </is>
      </c>
      <c r="N593" s="24" t="inlineStr">
        <is>
          <t>815477176.0</t>
        </is>
      </c>
      <c r="O593" s="24" t="inlineStr">
        <is>
          <t>871565045.0</t>
        </is>
      </c>
      <c r="P593" s="24" t="inlineStr">
        <is>
          <t>KRW</t>
        </is>
      </c>
      <c r="Q593" s="24" t="inlineStr">
        <is>
          <t>55</t>
        </is>
      </c>
    </row>
    <row r="594" ht="24" customHeight="1">
      <c r="A594" s="29" t="inlineStr">
        <is>
          <t>OpenDART_fnlttSinglAcntAll</t>
        </is>
      </c>
      <c r="B594" s="29" t="inlineStr">
        <is>
          <t>00591441</t>
        </is>
      </c>
      <c r="C594" s="29" t="inlineStr">
        <is>
          <t>어보브반도체</t>
        </is>
      </c>
      <c r="D594" s="29" t="inlineStr">
        <is>
          <t>abov</t>
        </is>
      </c>
      <c r="E594" s="29" t="inlineStr">
        <is>
          <t>102120</t>
        </is>
      </c>
      <c r="F594" s="29" t="inlineStr">
        <is>
          <t>2024</t>
        </is>
      </c>
      <c r="G594" s="29" t="inlineStr">
        <is>
          <t>CFS</t>
        </is>
      </c>
      <c r="H594" s="29" t="inlineStr">
        <is>
          <t>BS</t>
        </is>
      </c>
      <c r="I594" s="29" t="inlineStr">
        <is>
          <t>재무상태표</t>
        </is>
      </c>
      <c r="J594" s="29" t="inlineStr">
        <is>
          <t>ifrs-full_OtherNoncurrentFinancialLiabilities</t>
        </is>
      </c>
      <c r="K594" s="29" t="inlineStr">
        <is>
          <t>기타비유동금융부채</t>
        </is>
      </c>
      <c r="L594" s="29" t="inlineStr">
        <is>
          <t>-</t>
        </is>
      </c>
      <c r="M594" s="29" t="inlineStr">
        <is>
          <t>제 19 기</t>
        </is>
      </c>
      <c r="N594" s="29" t="inlineStr">
        <is>
          <t>948418255.0</t>
        </is>
      </c>
      <c r="O594" s="29" t="inlineStr">
        <is>
          <t>5281204918.0</t>
        </is>
      </c>
      <c r="P594" s="29" t="inlineStr">
        <is>
          <t>KRW</t>
        </is>
      </c>
      <c r="Q594" s="29" t="inlineStr">
        <is>
          <t>56</t>
        </is>
      </c>
    </row>
    <row r="595" ht="24" customHeight="1">
      <c r="A595" s="24" t="inlineStr">
        <is>
          <t>OpenDART_fnlttSinglAcntAll</t>
        </is>
      </c>
      <c r="B595" s="24" t="inlineStr">
        <is>
          <t>00591441</t>
        </is>
      </c>
      <c r="C595" s="24" t="inlineStr">
        <is>
          <t>어보브반도체</t>
        </is>
      </c>
      <c r="D595" s="24" t="inlineStr">
        <is>
          <t>abov</t>
        </is>
      </c>
      <c r="E595" s="24" t="inlineStr">
        <is>
          <t>102120</t>
        </is>
      </c>
      <c r="F595" s="24" t="inlineStr">
        <is>
          <t>2024</t>
        </is>
      </c>
      <c r="G595" s="24" t="inlineStr">
        <is>
          <t>CFS</t>
        </is>
      </c>
      <c r="H595" s="24" t="inlineStr">
        <is>
          <t>BS</t>
        </is>
      </c>
      <c r="I595" s="24" t="inlineStr">
        <is>
          <t>재무상태표</t>
        </is>
      </c>
      <c r="J595" s="24" t="inlineStr">
        <is>
          <t>ifrs-full_OtherNoncurrentLiabilities</t>
        </is>
      </c>
      <c r="K595" s="24" t="inlineStr">
        <is>
          <t>기타비유동부채</t>
        </is>
      </c>
      <c r="L595" s="24" t="inlineStr">
        <is>
          <t>-</t>
        </is>
      </c>
      <c r="M595" s="24" t="inlineStr">
        <is>
          <t>제 19 기</t>
        </is>
      </c>
      <c r="N595" s="24" t="inlineStr">
        <is>
          <t>497647503.0</t>
        </is>
      </c>
      <c r="O595" s="24" t="inlineStr">
        <is>
          <t>826704181.0</t>
        </is>
      </c>
      <c r="P595" s="24" t="inlineStr">
        <is>
          <t>KRW</t>
        </is>
      </c>
      <c r="Q595" s="24" t="inlineStr">
        <is>
          <t>57</t>
        </is>
      </c>
    </row>
    <row r="596" ht="24" customHeight="1">
      <c r="A596" s="29" t="inlineStr">
        <is>
          <t>OpenDART_fnlttSinglAcntAll</t>
        </is>
      </c>
      <c r="B596" s="29" t="inlineStr">
        <is>
          <t>00591441</t>
        </is>
      </c>
      <c r="C596" s="29" t="inlineStr">
        <is>
          <t>어보브반도체</t>
        </is>
      </c>
      <c r="D596" s="29" t="inlineStr">
        <is>
          <t>abov</t>
        </is>
      </c>
      <c r="E596" s="29" t="inlineStr">
        <is>
          <t>102120</t>
        </is>
      </c>
      <c r="F596" s="29" t="inlineStr">
        <is>
          <t>2024</t>
        </is>
      </c>
      <c r="G596" s="29" t="inlineStr">
        <is>
          <t>CFS</t>
        </is>
      </c>
      <c r="H596" s="29" t="inlineStr">
        <is>
          <t>CIS</t>
        </is>
      </c>
      <c r="I596" s="29" t="inlineStr">
        <is>
          <t>포괄손익계산서</t>
        </is>
      </c>
      <c r="J596" s="29" t="inlineStr">
        <is>
          <t>dart_OperatingIncomeLoss</t>
        </is>
      </c>
      <c r="K596" s="29" t="inlineStr">
        <is>
          <t>영업이익(손실)</t>
        </is>
      </c>
      <c r="L596" s="29" t="inlineStr">
        <is>
          <t>-</t>
        </is>
      </c>
      <c r="M596" s="29" t="inlineStr">
        <is>
          <t>제 19 기</t>
        </is>
      </c>
      <c r="N596" s="29" t="inlineStr">
        <is>
          <t>-5100374191.0</t>
        </is>
      </c>
      <c r="O596" s="29" t="inlineStr">
        <is>
          <t>-14643077325.0</t>
        </is>
      </c>
      <c r="P596" s="29" t="inlineStr">
        <is>
          <t>KRW</t>
        </is>
      </c>
      <c r="Q596" s="29" t="inlineStr">
        <is>
          <t>6</t>
        </is>
      </c>
    </row>
    <row r="597" ht="24" customHeight="1">
      <c r="A597" s="24" t="inlineStr">
        <is>
          <t>OpenDART_fnlttSinglAcntAll</t>
        </is>
      </c>
      <c r="B597" s="24" t="inlineStr">
        <is>
          <t>00591441</t>
        </is>
      </c>
      <c r="C597" s="24" t="inlineStr">
        <is>
          <t>어보브반도체</t>
        </is>
      </c>
      <c r="D597" s="24" t="inlineStr">
        <is>
          <t>abov</t>
        </is>
      </c>
      <c r="E597" s="24" t="inlineStr">
        <is>
          <t>102120</t>
        </is>
      </c>
      <c r="F597" s="24" t="inlineStr">
        <is>
          <t>2024</t>
        </is>
      </c>
      <c r="G597" s="24" t="inlineStr">
        <is>
          <t>CFS</t>
        </is>
      </c>
      <c r="H597" s="24" t="inlineStr">
        <is>
          <t>CIS</t>
        </is>
      </c>
      <c r="I597" s="24" t="inlineStr">
        <is>
          <t>포괄손익계산서</t>
        </is>
      </c>
      <c r="J597" s="24" t="inlineStr">
        <is>
          <t>dart_OtherGains</t>
        </is>
      </c>
      <c r="K597" s="24" t="inlineStr">
        <is>
          <t>기타수익</t>
        </is>
      </c>
      <c r="L597" s="24" t="inlineStr">
        <is>
          <t>-</t>
        </is>
      </c>
      <c r="M597" s="24" t="inlineStr">
        <is>
          <t>제 19 기</t>
        </is>
      </c>
      <c r="N597" s="24" t="inlineStr">
        <is>
          <t>2054172377.0</t>
        </is>
      </c>
      <c r="O597" s="24" t="inlineStr">
        <is>
          <t>2055435087.0</t>
        </is>
      </c>
      <c r="P597" s="24" t="inlineStr">
        <is>
          <t>KRW</t>
        </is>
      </c>
      <c r="Q597" s="24" t="inlineStr">
        <is>
          <t>7</t>
        </is>
      </c>
    </row>
    <row r="598" ht="24" customHeight="1">
      <c r="A598" s="29" t="inlineStr">
        <is>
          <t>OpenDART_fnlttSinglAcntAll</t>
        </is>
      </c>
      <c r="B598" s="29" t="inlineStr">
        <is>
          <t>00591441</t>
        </is>
      </c>
      <c r="C598" s="29" t="inlineStr">
        <is>
          <t>어보브반도체</t>
        </is>
      </c>
      <c r="D598" s="29" t="inlineStr">
        <is>
          <t>abov</t>
        </is>
      </c>
      <c r="E598" s="29" t="inlineStr">
        <is>
          <t>102120</t>
        </is>
      </c>
      <c r="F598" s="29" t="inlineStr">
        <is>
          <t>2024</t>
        </is>
      </c>
      <c r="G598" s="29" t="inlineStr">
        <is>
          <t>CFS</t>
        </is>
      </c>
      <c r="H598" s="29" t="inlineStr">
        <is>
          <t>CIS</t>
        </is>
      </c>
      <c r="I598" s="29" t="inlineStr">
        <is>
          <t>포괄손익계산서</t>
        </is>
      </c>
      <c r="J598" s="29" t="inlineStr">
        <is>
          <t>dart_OtherLosses</t>
        </is>
      </c>
      <c r="K598" s="29" t="inlineStr">
        <is>
          <t>기타비용</t>
        </is>
      </c>
      <c r="L598" s="29" t="inlineStr">
        <is>
          <t>-</t>
        </is>
      </c>
      <c r="M598" s="29" t="inlineStr">
        <is>
          <t>제 19 기</t>
        </is>
      </c>
      <c r="N598" s="29" t="inlineStr">
        <is>
          <t>7073835763.0</t>
        </is>
      </c>
      <c r="O598" s="29" t="inlineStr">
        <is>
          <t>7401433917.0</t>
        </is>
      </c>
      <c r="P598" s="29" t="inlineStr">
        <is>
          <t>KRW</t>
        </is>
      </c>
      <c r="Q598" s="29" t="inlineStr">
        <is>
          <t>8</t>
        </is>
      </c>
    </row>
    <row r="599" ht="24" customHeight="1">
      <c r="A599" s="24" t="inlineStr">
        <is>
          <t>OpenDART_fnlttSinglAcntAll</t>
        </is>
      </c>
      <c r="B599" s="24" t="inlineStr">
        <is>
          <t>00591441</t>
        </is>
      </c>
      <c r="C599" s="24" t="inlineStr">
        <is>
          <t>어보브반도체</t>
        </is>
      </c>
      <c r="D599" s="24" t="inlineStr">
        <is>
          <t>abov</t>
        </is>
      </c>
      <c r="E599" s="24" t="inlineStr">
        <is>
          <t>102120</t>
        </is>
      </c>
      <c r="F599" s="24" t="inlineStr">
        <is>
          <t>2024</t>
        </is>
      </c>
      <c r="G599" s="24" t="inlineStr">
        <is>
          <t>CFS</t>
        </is>
      </c>
      <c r="H599" s="24" t="inlineStr">
        <is>
          <t>CIS</t>
        </is>
      </c>
      <c r="I599" s="24" t="inlineStr">
        <is>
          <t>포괄손익계산서</t>
        </is>
      </c>
      <c r="J599" s="24" t="inlineStr">
        <is>
          <t>dart_TotalSellingGeneralAdministrativeExpenses</t>
        </is>
      </c>
      <c r="K599" s="24" t="inlineStr">
        <is>
          <t>판매비와관리비</t>
        </is>
      </c>
      <c r="L599" s="24" t="inlineStr">
        <is>
          <t>-</t>
        </is>
      </c>
      <c r="M599" s="24" t="inlineStr">
        <is>
          <t>제 19 기</t>
        </is>
      </c>
      <c r="N599" s="24" t="inlineStr">
        <is>
          <t>25527484469.0</t>
        </is>
      </c>
      <c r="O599" s="24" t="inlineStr">
        <is>
          <t>26502907323.0</t>
        </is>
      </c>
      <c r="P599" s="24" t="inlineStr">
        <is>
          <t>KRW</t>
        </is>
      </c>
      <c r="Q599" s="24" t="inlineStr">
        <is>
          <t>9</t>
        </is>
      </c>
    </row>
    <row r="600" ht="24" customHeight="1">
      <c r="A600" s="29" t="inlineStr">
        <is>
          <t>OpenDART_fnlttSinglAcntAll</t>
        </is>
      </c>
      <c r="B600" s="29" t="inlineStr">
        <is>
          <t>00591441</t>
        </is>
      </c>
      <c r="C600" s="29" t="inlineStr">
        <is>
          <t>어보브반도체</t>
        </is>
      </c>
      <c r="D600" s="29" t="inlineStr">
        <is>
          <t>abov</t>
        </is>
      </c>
      <c r="E600" s="29" t="inlineStr">
        <is>
          <t>102120</t>
        </is>
      </c>
      <c r="F600" s="29" t="inlineStr">
        <is>
          <t>2024</t>
        </is>
      </c>
      <c r="G600" s="29" t="inlineStr">
        <is>
          <t>CFS</t>
        </is>
      </c>
      <c r="H600" s="29" t="inlineStr">
        <is>
          <t>CIS</t>
        </is>
      </c>
      <c r="I600" s="29" t="inlineStr">
        <is>
          <t>포괄손익계산서</t>
        </is>
      </c>
      <c r="J600" s="29" t="inlineStr">
        <is>
          <t>ifrs-full_ComprehensiveIncome</t>
        </is>
      </c>
      <c r="K600" s="29" t="inlineStr">
        <is>
          <t>총포괄손익</t>
        </is>
      </c>
      <c r="L600" s="29" t="inlineStr">
        <is>
          <t>-</t>
        </is>
      </c>
      <c r="M600" s="29" t="inlineStr">
        <is>
          <t>제 19 기</t>
        </is>
      </c>
      <c r="N600" s="29" t="inlineStr">
        <is>
          <t>-17720044527.0</t>
        </is>
      </c>
      <c r="O600" s="29" t="inlineStr">
        <is>
          <t>-34957788556.0</t>
        </is>
      </c>
      <c r="P600" s="29" t="inlineStr">
        <is>
          <t>KRW</t>
        </is>
      </c>
      <c r="Q600" s="29" t="inlineStr">
        <is>
          <t>10</t>
        </is>
      </c>
    </row>
    <row r="601" ht="24" customHeight="1">
      <c r="A601" s="24" t="inlineStr">
        <is>
          <t>OpenDART_fnlttSinglAcntAll</t>
        </is>
      </c>
      <c r="B601" s="24" t="inlineStr">
        <is>
          <t>00591441</t>
        </is>
      </c>
      <c r="C601" s="24" t="inlineStr">
        <is>
          <t>어보브반도체</t>
        </is>
      </c>
      <c r="D601" s="24" t="inlineStr">
        <is>
          <t>abov</t>
        </is>
      </c>
      <c r="E601" s="24" t="inlineStr">
        <is>
          <t>102120</t>
        </is>
      </c>
      <c r="F601" s="24" t="inlineStr">
        <is>
          <t>2024</t>
        </is>
      </c>
      <c r="G601" s="24" t="inlineStr">
        <is>
          <t>CFS</t>
        </is>
      </c>
      <c r="H601" s="24" t="inlineStr">
        <is>
          <t>CIS</t>
        </is>
      </c>
      <c r="I601" s="24" t="inlineStr">
        <is>
          <t>포괄손익계산서</t>
        </is>
      </c>
      <c r="J601" s="24" t="inlineStr">
        <is>
          <t>ifrs-full_ComprehensiveIncomeAttributableToNoncontrollingInterests</t>
        </is>
      </c>
      <c r="K601" s="24" t="inlineStr">
        <is>
          <t>비지배지분</t>
        </is>
      </c>
      <c r="L601" s="24" t="inlineStr">
        <is>
          <t>-</t>
        </is>
      </c>
      <c r="M601" s="24" t="inlineStr">
        <is>
          <t>제 19 기</t>
        </is>
      </c>
      <c r="N601" s="24" t="inlineStr">
        <is>
          <t>-20745600888.0</t>
        </is>
      </c>
      <c r="O601" s="24" t="inlineStr">
        <is>
          <t>-21523414866.0</t>
        </is>
      </c>
      <c r="P601" s="24" t="inlineStr">
        <is>
          <t>KRW</t>
        </is>
      </c>
      <c r="Q601" s="24" t="inlineStr">
        <is>
          <t>12</t>
        </is>
      </c>
    </row>
    <row r="602" ht="24" customHeight="1">
      <c r="A602" s="29" t="inlineStr">
        <is>
          <t>OpenDART_fnlttSinglAcntAll</t>
        </is>
      </c>
      <c r="B602" s="29" t="inlineStr">
        <is>
          <t>00591441</t>
        </is>
      </c>
      <c r="C602" s="29" t="inlineStr">
        <is>
          <t>어보브반도체</t>
        </is>
      </c>
      <c r="D602" s="29" t="inlineStr">
        <is>
          <t>abov</t>
        </is>
      </c>
      <c r="E602" s="29" t="inlineStr">
        <is>
          <t>102120</t>
        </is>
      </c>
      <c r="F602" s="29" t="inlineStr">
        <is>
          <t>2024</t>
        </is>
      </c>
      <c r="G602" s="29" t="inlineStr">
        <is>
          <t>CFS</t>
        </is>
      </c>
      <c r="H602" s="29" t="inlineStr">
        <is>
          <t>CIS</t>
        </is>
      </c>
      <c r="I602" s="29" t="inlineStr">
        <is>
          <t>포괄손익계산서</t>
        </is>
      </c>
      <c r="J602" s="29" t="inlineStr">
        <is>
          <t>ifrs-full_ComprehensiveIncomeAttributableToOwnersOfParent</t>
        </is>
      </c>
      <c r="K602" s="29" t="inlineStr">
        <is>
          <t>지배기업의 소유지분</t>
        </is>
      </c>
      <c r="L602" s="29" t="inlineStr">
        <is>
          <t>-</t>
        </is>
      </c>
      <c r="M602" s="29" t="inlineStr">
        <is>
          <t>제 19 기</t>
        </is>
      </c>
      <c r="N602" s="29" t="inlineStr">
        <is>
          <t>3025556361.0</t>
        </is>
      </c>
      <c r="O602" s="29" t="inlineStr">
        <is>
          <t>-13434373690.0</t>
        </is>
      </c>
      <c r="P602" s="29" t="inlineStr">
        <is>
          <t>KRW</t>
        </is>
      </c>
      <c r="Q602" s="29" t="inlineStr">
        <is>
          <t>13</t>
        </is>
      </c>
    </row>
    <row r="603" ht="24" customHeight="1">
      <c r="A603" s="24" t="inlineStr">
        <is>
          <t>OpenDART_fnlttSinglAcntAll</t>
        </is>
      </c>
      <c r="B603" s="24" t="inlineStr">
        <is>
          <t>00591441</t>
        </is>
      </c>
      <c r="C603" s="24" t="inlineStr">
        <is>
          <t>어보브반도체</t>
        </is>
      </c>
      <c r="D603" s="24" t="inlineStr">
        <is>
          <t>abov</t>
        </is>
      </c>
      <c r="E603" s="24" t="inlineStr">
        <is>
          <t>102120</t>
        </is>
      </c>
      <c r="F603" s="24" t="inlineStr">
        <is>
          <t>2024</t>
        </is>
      </c>
      <c r="G603" s="24" t="inlineStr">
        <is>
          <t>CFS</t>
        </is>
      </c>
      <c r="H603" s="24" t="inlineStr">
        <is>
          <t>CIS</t>
        </is>
      </c>
      <c r="I603" s="24" t="inlineStr">
        <is>
          <t>포괄손익계산서</t>
        </is>
      </c>
      <c r="J603" s="24" t="inlineStr">
        <is>
          <t>ifrs-full_CostOfSales</t>
        </is>
      </c>
      <c r="K603" s="24" t="inlineStr">
        <is>
          <t>매출원가</t>
        </is>
      </c>
      <c r="L603" s="24" t="inlineStr">
        <is>
          <t>-</t>
        </is>
      </c>
      <c r="M603" s="24" t="inlineStr">
        <is>
          <t>제 19 기</t>
        </is>
      </c>
      <c r="N603" s="24" t="inlineStr">
        <is>
          <t>211689500727.0</t>
        </is>
      </c>
      <c r="O603" s="24" t="inlineStr">
        <is>
          <t>220576559094.0</t>
        </is>
      </c>
      <c r="P603" s="24" t="inlineStr">
        <is>
          <t>KRW</t>
        </is>
      </c>
      <c r="Q603" s="24" t="inlineStr">
        <is>
          <t>14</t>
        </is>
      </c>
    </row>
    <row r="604" ht="24" customHeight="1">
      <c r="A604" s="29" t="inlineStr">
        <is>
          <t>OpenDART_fnlttSinglAcntAll</t>
        </is>
      </c>
      <c r="B604" s="29" t="inlineStr">
        <is>
          <t>00591441</t>
        </is>
      </c>
      <c r="C604" s="29" t="inlineStr">
        <is>
          <t>어보브반도체</t>
        </is>
      </c>
      <c r="D604" s="29" t="inlineStr">
        <is>
          <t>abov</t>
        </is>
      </c>
      <c r="E604" s="29" t="inlineStr">
        <is>
          <t>102120</t>
        </is>
      </c>
      <c r="F604" s="29" t="inlineStr">
        <is>
          <t>2024</t>
        </is>
      </c>
      <c r="G604" s="29" t="inlineStr">
        <is>
          <t>CFS</t>
        </is>
      </c>
      <c r="H604" s="29" t="inlineStr">
        <is>
          <t>CIS</t>
        </is>
      </c>
      <c r="I604" s="29" t="inlineStr">
        <is>
          <t>포괄손익계산서</t>
        </is>
      </c>
      <c r="J604" s="29" t="inlineStr">
        <is>
          <t>dart_CostOfSalesFromSaleOfGoodsProduct</t>
        </is>
      </c>
      <c r="K604" s="29" t="inlineStr">
        <is>
          <t>제품매출원가</t>
        </is>
      </c>
      <c r="L604" s="29" t="inlineStr">
        <is>
          <t>-</t>
        </is>
      </c>
      <c r="M604" s="29" t="inlineStr">
        <is>
          <t>제 19 기</t>
        </is>
      </c>
      <c r="N604" s="29" t="inlineStr">
        <is>
          <t>210489875959.0</t>
        </is>
      </c>
      <c r="O604" s="29" t="inlineStr">
        <is>
          <t>217652452872.0</t>
        </is>
      </c>
      <c r="P604" s="29" t="inlineStr">
        <is>
          <t>KRW</t>
        </is>
      </c>
      <c r="Q604" s="29" t="inlineStr">
        <is>
          <t>15</t>
        </is>
      </c>
    </row>
    <row r="605" ht="24" customHeight="1">
      <c r="A605" s="24" t="inlineStr">
        <is>
          <t>OpenDART_fnlttSinglAcntAll</t>
        </is>
      </c>
      <c r="B605" s="24" t="inlineStr">
        <is>
          <t>00591441</t>
        </is>
      </c>
      <c r="C605" s="24" t="inlineStr">
        <is>
          <t>어보브반도체</t>
        </is>
      </c>
      <c r="D605" s="24" t="inlineStr">
        <is>
          <t>abov</t>
        </is>
      </c>
      <c r="E605" s="24" t="inlineStr">
        <is>
          <t>102120</t>
        </is>
      </c>
      <c r="F605" s="24" t="inlineStr">
        <is>
          <t>2024</t>
        </is>
      </c>
      <c r="G605" s="24" t="inlineStr">
        <is>
          <t>CFS</t>
        </is>
      </c>
      <c r="H605" s="24" t="inlineStr">
        <is>
          <t>CIS</t>
        </is>
      </c>
      <c r="I605" s="24" t="inlineStr">
        <is>
          <t>포괄손익계산서</t>
        </is>
      </c>
      <c r="J605" s="24" t="inlineStr">
        <is>
          <t>ifrs-full_CostOfMerchandiseSold</t>
        </is>
      </c>
      <c r="K605" s="24" t="inlineStr">
        <is>
          <t>상품매출원가</t>
        </is>
      </c>
      <c r="L605" s="24" t="inlineStr">
        <is>
          <t>-</t>
        </is>
      </c>
      <c r="M605" s="24" t="inlineStr">
        <is>
          <t>제 19 기</t>
        </is>
      </c>
      <c r="N605" s="24" t="inlineStr">
        <is>
          <t>1199624768.0</t>
        </is>
      </c>
      <c r="O605" s="24" t="inlineStr">
        <is>
          <t>2924106222.0</t>
        </is>
      </c>
      <c r="P605" s="24" t="inlineStr">
        <is>
          <t>KRW</t>
        </is>
      </c>
      <c r="Q605" s="24" t="inlineStr">
        <is>
          <t>16</t>
        </is>
      </c>
    </row>
    <row r="606" ht="24" customHeight="1">
      <c r="A606" s="29" t="inlineStr">
        <is>
          <t>OpenDART_fnlttSinglAcntAll</t>
        </is>
      </c>
      <c r="B606" s="29" t="inlineStr">
        <is>
          <t>00591441</t>
        </is>
      </c>
      <c r="C606" s="29" t="inlineStr">
        <is>
          <t>어보브반도체</t>
        </is>
      </c>
      <c r="D606" s="29" t="inlineStr">
        <is>
          <t>abov</t>
        </is>
      </c>
      <c r="E606" s="29" t="inlineStr">
        <is>
          <t>102120</t>
        </is>
      </c>
      <c r="F606" s="29" t="inlineStr">
        <is>
          <t>2024</t>
        </is>
      </c>
      <c r="G606" s="29" t="inlineStr">
        <is>
          <t>CFS</t>
        </is>
      </c>
      <c r="H606" s="29" t="inlineStr">
        <is>
          <t>CIS</t>
        </is>
      </c>
      <c r="I606" s="29" t="inlineStr">
        <is>
          <t>포괄손익계산서</t>
        </is>
      </c>
      <c r="J606" s="29" t="inlineStr">
        <is>
          <t>ifrs-full_BasicEarningsLossPerShare</t>
        </is>
      </c>
      <c r="K606" s="29" t="inlineStr">
        <is>
          <t>기본주당이익(손실)</t>
        </is>
      </c>
      <c r="L606" s="29" t="inlineStr">
        <is>
          <t>-</t>
        </is>
      </c>
      <c r="M606" s="29" t="inlineStr">
        <is>
          <t>제 19 기</t>
        </is>
      </c>
      <c r="N606" s="29" t="inlineStr">
        <is>
          <t>161.0</t>
        </is>
      </c>
      <c r="O606" s="29" t="inlineStr">
        <is>
          <t>-761.0</t>
        </is>
      </c>
      <c r="P606" s="29" t="inlineStr">
        <is>
          <t>KRW</t>
        </is>
      </c>
      <c r="Q606" s="29" t="inlineStr">
        <is>
          <t>18</t>
        </is>
      </c>
    </row>
    <row r="607" ht="24" customHeight="1">
      <c r="A607" s="24" t="inlineStr">
        <is>
          <t>OpenDART_fnlttSinglAcntAll</t>
        </is>
      </c>
      <c r="B607" s="24" t="inlineStr">
        <is>
          <t>00591441</t>
        </is>
      </c>
      <c r="C607" s="24" t="inlineStr">
        <is>
          <t>어보브반도체</t>
        </is>
      </c>
      <c r="D607" s="24" t="inlineStr">
        <is>
          <t>abov</t>
        </is>
      </c>
      <c r="E607" s="24" t="inlineStr">
        <is>
          <t>102120</t>
        </is>
      </c>
      <c r="F607" s="24" t="inlineStr">
        <is>
          <t>2024</t>
        </is>
      </c>
      <c r="G607" s="24" t="inlineStr">
        <is>
          <t>CFS</t>
        </is>
      </c>
      <c r="H607" s="24" t="inlineStr">
        <is>
          <t>CIS</t>
        </is>
      </c>
      <c r="I607" s="24" t="inlineStr">
        <is>
          <t>포괄손익계산서</t>
        </is>
      </c>
      <c r="J607" s="24" t="inlineStr">
        <is>
          <t>ifrs-full_DilutedEarningsLossPerShare</t>
        </is>
      </c>
      <c r="K607" s="24" t="inlineStr">
        <is>
          <t>희석주당이익(손실)</t>
        </is>
      </c>
      <c r="L607" s="24" t="inlineStr">
        <is>
          <t>-</t>
        </is>
      </c>
      <c r="M607" s="24" t="inlineStr">
        <is>
          <t>제 19 기</t>
        </is>
      </c>
      <c r="N607" s="24" t="inlineStr">
        <is>
          <t>160.0</t>
        </is>
      </c>
      <c r="O607" s="24" t="inlineStr">
        <is>
          <t>-761.0</t>
        </is>
      </c>
      <c r="P607" s="24" t="inlineStr">
        <is>
          <t>KRW</t>
        </is>
      </c>
      <c r="Q607" s="24" t="inlineStr">
        <is>
          <t>19</t>
        </is>
      </c>
    </row>
    <row r="608" ht="24" customHeight="1">
      <c r="A608" s="29" t="inlineStr">
        <is>
          <t>OpenDART_fnlttSinglAcntAll</t>
        </is>
      </c>
      <c r="B608" s="29" t="inlineStr">
        <is>
          <t>00591441</t>
        </is>
      </c>
      <c r="C608" s="29" t="inlineStr">
        <is>
          <t>어보브반도체</t>
        </is>
      </c>
      <c r="D608" s="29" t="inlineStr">
        <is>
          <t>abov</t>
        </is>
      </c>
      <c r="E608" s="29" t="inlineStr">
        <is>
          <t>102120</t>
        </is>
      </c>
      <c r="F608" s="29" t="inlineStr">
        <is>
          <t>2024</t>
        </is>
      </c>
      <c r="G608" s="29" t="inlineStr">
        <is>
          <t>CFS</t>
        </is>
      </c>
      <c r="H608" s="29" t="inlineStr">
        <is>
          <t>CIS</t>
        </is>
      </c>
      <c r="I608" s="29" t="inlineStr">
        <is>
          <t>포괄손익계산서</t>
        </is>
      </c>
      <c r="J608" s="29" t="inlineStr">
        <is>
          <t>ifrs-full_FinanceCosts</t>
        </is>
      </c>
      <c r="K608" s="29" t="inlineStr">
        <is>
          <t>금융비용</t>
        </is>
      </c>
      <c r="L608" s="29" t="inlineStr">
        <is>
          <t>-</t>
        </is>
      </c>
      <c r="M608" s="29" t="inlineStr">
        <is>
          <t>제 19 기</t>
        </is>
      </c>
      <c r="N608" s="29" t="inlineStr">
        <is>
          <t>12296554645.0</t>
        </is>
      </c>
      <c r="O608" s="29" t="inlineStr">
        <is>
          <t>11423635091.0</t>
        </is>
      </c>
      <c r="P608" s="29" t="inlineStr">
        <is>
          <t>KRW</t>
        </is>
      </c>
      <c r="Q608" s="29" t="inlineStr">
        <is>
          <t>20</t>
        </is>
      </c>
    </row>
    <row r="609" ht="24" customHeight="1">
      <c r="A609" s="24" t="inlineStr">
        <is>
          <t>OpenDART_fnlttSinglAcntAll</t>
        </is>
      </c>
      <c r="B609" s="24" t="inlineStr">
        <is>
          <t>00591441</t>
        </is>
      </c>
      <c r="C609" s="24" t="inlineStr">
        <is>
          <t>어보브반도체</t>
        </is>
      </c>
      <c r="D609" s="24" t="inlineStr">
        <is>
          <t>abov</t>
        </is>
      </c>
      <c r="E609" s="24" t="inlineStr">
        <is>
          <t>102120</t>
        </is>
      </c>
      <c r="F609" s="24" t="inlineStr">
        <is>
          <t>2024</t>
        </is>
      </c>
      <c r="G609" s="24" t="inlineStr">
        <is>
          <t>CFS</t>
        </is>
      </c>
      <c r="H609" s="24" t="inlineStr">
        <is>
          <t>CIS</t>
        </is>
      </c>
      <c r="I609" s="24" t="inlineStr">
        <is>
          <t>포괄손익계산서</t>
        </is>
      </c>
      <c r="J609" s="24" t="inlineStr">
        <is>
          <t>ifrs-full_FinanceIncome</t>
        </is>
      </c>
      <c r="K609" s="24" t="inlineStr">
        <is>
          <t>금융수익</t>
        </is>
      </c>
      <c r="L609" s="24" t="inlineStr">
        <is>
          <t>-</t>
        </is>
      </c>
      <c r="M609" s="24" t="inlineStr">
        <is>
          <t>제 19 기</t>
        </is>
      </c>
      <c r="N609" s="24" t="inlineStr">
        <is>
          <t>6443915391.0</t>
        </is>
      </c>
      <c r="O609" s="24" t="inlineStr">
        <is>
          <t>5363232273.0</t>
        </is>
      </c>
      <c r="P609" s="24" t="inlineStr">
        <is>
          <t>KRW</t>
        </is>
      </c>
      <c r="Q609" s="24" t="inlineStr">
        <is>
          <t>21</t>
        </is>
      </c>
    </row>
    <row r="610" ht="24" customHeight="1">
      <c r="A610" s="29" t="inlineStr">
        <is>
          <t>OpenDART_fnlttSinglAcntAll</t>
        </is>
      </c>
      <c r="B610" s="29" t="inlineStr">
        <is>
          <t>00591441</t>
        </is>
      </c>
      <c r="C610" s="29" t="inlineStr">
        <is>
          <t>어보브반도체</t>
        </is>
      </c>
      <c r="D610" s="29" t="inlineStr">
        <is>
          <t>abov</t>
        </is>
      </c>
      <c r="E610" s="29" t="inlineStr">
        <is>
          <t>102120</t>
        </is>
      </c>
      <c r="F610" s="29" t="inlineStr">
        <is>
          <t>2024</t>
        </is>
      </c>
      <c r="G610" s="29" t="inlineStr">
        <is>
          <t>CFS</t>
        </is>
      </c>
      <c r="H610" s="29" t="inlineStr">
        <is>
          <t>CIS</t>
        </is>
      </c>
      <c r="I610" s="29" t="inlineStr">
        <is>
          <t>포괄손익계산서</t>
        </is>
      </c>
      <c r="J610" s="29" t="inlineStr">
        <is>
          <t>ifrs-full_GrossProfit</t>
        </is>
      </c>
      <c r="K610" s="29" t="inlineStr">
        <is>
          <t>매출총이익</t>
        </is>
      </c>
      <c r="L610" s="29" t="inlineStr">
        <is>
          <t>-</t>
        </is>
      </c>
      <c r="M610" s="29" t="inlineStr">
        <is>
          <t>제 19 기</t>
        </is>
      </c>
      <c r="N610" s="29" t="inlineStr">
        <is>
          <t>20427110278.0</t>
        </is>
      </c>
      <c r="O610" s="29" t="inlineStr">
        <is>
          <t>11859829998.0</t>
        </is>
      </c>
      <c r="P610" s="29" t="inlineStr">
        <is>
          <t>KRW</t>
        </is>
      </c>
      <c r="Q610" s="29" t="inlineStr">
        <is>
          <t>22</t>
        </is>
      </c>
    </row>
    <row r="611" ht="24" customHeight="1">
      <c r="A611" s="24" t="inlineStr">
        <is>
          <t>OpenDART_fnlttSinglAcntAll</t>
        </is>
      </c>
      <c r="B611" s="24" t="inlineStr">
        <is>
          <t>00591441</t>
        </is>
      </c>
      <c r="C611" s="24" t="inlineStr">
        <is>
          <t>어보브반도체</t>
        </is>
      </c>
      <c r="D611" s="24" t="inlineStr">
        <is>
          <t>abov</t>
        </is>
      </c>
      <c r="E611" s="24" t="inlineStr">
        <is>
          <t>102120</t>
        </is>
      </c>
      <c r="F611" s="24" t="inlineStr">
        <is>
          <t>2024</t>
        </is>
      </c>
      <c r="G611" s="24" t="inlineStr">
        <is>
          <t>CFS</t>
        </is>
      </c>
      <c r="H611" s="24" t="inlineStr">
        <is>
          <t>CIS</t>
        </is>
      </c>
      <c r="I611" s="24" t="inlineStr">
        <is>
          <t>포괄손익계산서</t>
        </is>
      </c>
      <c r="J611" s="24" t="inlineStr">
        <is>
          <t>ifrs-full_IncomeTaxExpenseContinuingOperations</t>
        </is>
      </c>
      <c r="K611" s="24" t="inlineStr">
        <is>
          <t>법인세비용(수익)</t>
        </is>
      </c>
      <c r="L611" s="24" t="inlineStr">
        <is>
          <t>-</t>
        </is>
      </c>
      <c r="M611" s="24" t="inlineStr">
        <is>
          <t>제 19 기</t>
        </is>
      </c>
      <c r="N611" s="24" t="inlineStr">
        <is>
          <t>2122174166.0</t>
        </is>
      </c>
      <c r="O611" s="24" t="inlineStr">
        <is>
          <t>7394249986.0</t>
        </is>
      </c>
      <c r="P611" s="24" t="inlineStr">
        <is>
          <t>KRW</t>
        </is>
      </c>
      <c r="Q611" s="24" t="inlineStr">
        <is>
          <t>23</t>
        </is>
      </c>
    </row>
    <row r="612" ht="24" customHeight="1">
      <c r="A612" s="29" t="inlineStr">
        <is>
          <t>OpenDART_fnlttSinglAcntAll</t>
        </is>
      </c>
      <c r="B612" s="29" t="inlineStr">
        <is>
          <t>00591441</t>
        </is>
      </c>
      <c r="C612" s="29" t="inlineStr">
        <is>
          <t>어보브반도체</t>
        </is>
      </c>
      <c r="D612" s="29" t="inlineStr">
        <is>
          <t>abov</t>
        </is>
      </c>
      <c r="E612" s="29" t="inlineStr">
        <is>
          <t>102120</t>
        </is>
      </c>
      <c r="F612" s="29" t="inlineStr">
        <is>
          <t>2024</t>
        </is>
      </c>
      <c r="G612" s="29" t="inlineStr">
        <is>
          <t>CFS</t>
        </is>
      </c>
      <c r="H612" s="29" t="inlineStr">
        <is>
          <t>CIS</t>
        </is>
      </c>
      <c r="I612" s="29" t="inlineStr">
        <is>
          <t>포괄손익계산서</t>
        </is>
      </c>
      <c r="J612" s="29" t="inlineStr">
        <is>
          <t>ifrs-full_OtherComprehensiveIncome</t>
        </is>
      </c>
      <c r="K612" s="29" t="inlineStr">
        <is>
          <t>기타포괄손익</t>
        </is>
      </c>
      <c r="L612" s="29" t="inlineStr">
        <is>
          <t>-</t>
        </is>
      </c>
      <c r="M612" s="29" t="inlineStr">
        <is>
          <t>제 19 기</t>
        </is>
      </c>
      <c r="N612" s="29" t="inlineStr">
        <is>
          <t>374806470.0</t>
        </is>
      </c>
      <c r="O612" s="29" t="inlineStr">
        <is>
          <t>-1514059597.0</t>
        </is>
      </c>
      <c r="P612" s="29" t="inlineStr">
        <is>
          <t>KRW</t>
        </is>
      </c>
      <c r="Q612" s="29" t="inlineStr">
        <is>
          <t>24</t>
        </is>
      </c>
    </row>
    <row r="613" ht="24" customHeight="1">
      <c r="A613" s="24" t="inlineStr">
        <is>
          <t>OpenDART_fnlttSinglAcntAll</t>
        </is>
      </c>
      <c r="B613" s="24" t="inlineStr">
        <is>
          <t>00591441</t>
        </is>
      </c>
      <c r="C613" s="24" t="inlineStr">
        <is>
          <t>어보브반도체</t>
        </is>
      </c>
      <c r="D613" s="24" t="inlineStr">
        <is>
          <t>abov</t>
        </is>
      </c>
      <c r="E613" s="24" t="inlineStr">
        <is>
          <t>102120</t>
        </is>
      </c>
      <c r="F613" s="24" t="inlineStr">
        <is>
          <t>2024</t>
        </is>
      </c>
      <c r="G613" s="24" t="inlineStr">
        <is>
          <t>CFS</t>
        </is>
      </c>
      <c r="H613" s="24" t="inlineStr">
        <is>
          <t>CIS</t>
        </is>
      </c>
      <c r="I613" s="24" t="inlineStr">
        <is>
          <t>포괄손익계산서</t>
        </is>
      </c>
      <c r="J613" s="24" t="inlineStr">
        <is>
          <t>ifrs-full_OtherComprehensiveIncomeThatWillBeReclassifiedToProfitOrLossNetOfTax</t>
        </is>
      </c>
      <c r="K613" s="24" t="inlineStr">
        <is>
          <t>당기손익으로 재분류될 수 있는 항목</t>
        </is>
      </c>
      <c r="L613" s="24" t="inlineStr">
        <is>
          <t>-</t>
        </is>
      </c>
      <c r="M613" s="24" t="inlineStr">
        <is>
          <t>제 19 기</t>
        </is>
      </c>
      <c r="N613" s="24" t="inlineStr">
        <is>
          <t>-378560060.0</t>
        </is>
      </c>
      <c r="O613" s="24" t="inlineStr">
        <is>
          <t>-1504064.0</t>
        </is>
      </c>
      <c r="P613" s="24" t="inlineStr">
        <is>
          <t>KRW</t>
        </is>
      </c>
      <c r="Q613" s="24" t="inlineStr">
        <is>
          <t>25</t>
        </is>
      </c>
    </row>
    <row r="614" ht="24" customHeight="1">
      <c r="A614" s="29" t="inlineStr">
        <is>
          <t>OpenDART_fnlttSinglAcntAll</t>
        </is>
      </c>
      <c r="B614" s="29" t="inlineStr">
        <is>
          <t>00591441</t>
        </is>
      </c>
      <c r="C614" s="29" t="inlineStr">
        <is>
          <t>어보브반도체</t>
        </is>
      </c>
      <c r="D614" s="29" t="inlineStr">
        <is>
          <t>abov</t>
        </is>
      </c>
      <c r="E614" s="29" t="inlineStr">
        <is>
          <t>102120</t>
        </is>
      </c>
      <c r="F614" s="29" t="inlineStr">
        <is>
          <t>2024</t>
        </is>
      </c>
      <c r="G614" s="29" t="inlineStr">
        <is>
          <t>CFS</t>
        </is>
      </c>
      <c r="H614" s="29" t="inlineStr">
        <is>
          <t>CIS</t>
        </is>
      </c>
      <c r="I614" s="29" t="inlineStr">
        <is>
          <t>포괄손익계산서</t>
        </is>
      </c>
      <c r="J614" s="29" t="inlineStr">
        <is>
          <t>ifrs-full_GainsLossesOnExchangeDifferencesOnTranslationNetOfTax</t>
        </is>
      </c>
      <c r="K614" s="29" t="inlineStr">
        <is>
          <t>해외사업장환산외환차이(세후기타포괄손익)</t>
        </is>
      </c>
      <c r="L614" s="29" t="inlineStr">
        <is>
          <t>-</t>
        </is>
      </c>
      <c r="M614" s="29" t="inlineStr">
        <is>
          <t>제 19 기</t>
        </is>
      </c>
      <c r="N614" s="29" t="inlineStr">
        <is>
          <t>-378560060.0</t>
        </is>
      </c>
      <c r="O614" s="29" t="inlineStr">
        <is>
          <t>-1504064.0</t>
        </is>
      </c>
      <c r="P614" s="29" t="inlineStr">
        <is>
          <t>KRW</t>
        </is>
      </c>
      <c r="Q614" s="29" t="inlineStr">
        <is>
          <t>26</t>
        </is>
      </c>
    </row>
    <row r="615" ht="24" customHeight="1">
      <c r="A615" s="24" t="inlineStr">
        <is>
          <t>OpenDART_fnlttSinglAcntAll</t>
        </is>
      </c>
      <c r="B615" s="24" t="inlineStr">
        <is>
          <t>00591441</t>
        </is>
      </c>
      <c r="C615" s="24" t="inlineStr">
        <is>
          <t>어보브반도체</t>
        </is>
      </c>
      <c r="D615" s="24" t="inlineStr">
        <is>
          <t>abov</t>
        </is>
      </c>
      <c r="E615" s="24" t="inlineStr">
        <is>
          <t>102120</t>
        </is>
      </c>
      <c r="F615" s="24" t="inlineStr">
        <is>
          <t>2024</t>
        </is>
      </c>
      <c r="G615" s="24" t="inlineStr">
        <is>
          <t>CFS</t>
        </is>
      </c>
      <c r="H615" s="24" t="inlineStr">
        <is>
          <t>CIS</t>
        </is>
      </c>
      <c r="I615" s="24" t="inlineStr">
        <is>
          <t>포괄손익계산서</t>
        </is>
      </c>
      <c r="J615" s="24" t="inlineStr">
        <is>
          <t>ifrs-full_OtherComprehensiveIncomeThatWillNotBeReclassifiedToProfitOrLossNetOfTax</t>
        </is>
      </c>
      <c r="K615" s="24" t="inlineStr">
        <is>
          <t>당기손익으로 재분류되지 않는 항목</t>
        </is>
      </c>
      <c r="L615" s="24" t="inlineStr">
        <is>
          <t>-</t>
        </is>
      </c>
      <c r="M615" s="24" t="inlineStr">
        <is>
          <t>제 19 기</t>
        </is>
      </c>
      <c r="N615" s="24" t="inlineStr">
        <is>
          <t>753366530.0</t>
        </is>
      </c>
      <c r="O615" s="24" t="inlineStr">
        <is>
          <t>-1512555533.0</t>
        </is>
      </c>
      <c r="P615" s="24" t="inlineStr">
        <is>
          <t>KRW</t>
        </is>
      </c>
      <c r="Q615" s="24" t="inlineStr">
        <is>
          <t>27</t>
        </is>
      </c>
    </row>
    <row r="616" ht="24" customHeight="1">
      <c r="A616" s="29" t="inlineStr">
        <is>
          <t>OpenDART_fnlttSinglAcntAll</t>
        </is>
      </c>
      <c r="B616" s="29" t="inlineStr">
        <is>
          <t>00591441</t>
        </is>
      </c>
      <c r="C616" s="29" t="inlineStr">
        <is>
          <t>어보브반도체</t>
        </is>
      </c>
      <c r="D616" s="29" t="inlineStr">
        <is>
          <t>abov</t>
        </is>
      </c>
      <c r="E616" s="29" t="inlineStr">
        <is>
          <t>102120</t>
        </is>
      </c>
      <c r="F616" s="29" t="inlineStr">
        <is>
          <t>2024</t>
        </is>
      </c>
      <c r="G616" s="29" t="inlineStr">
        <is>
          <t>CFS</t>
        </is>
      </c>
      <c r="H616" s="29" t="inlineStr">
        <is>
          <t>CIS</t>
        </is>
      </c>
      <c r="I616" s="29" t="inlineStr">
        <is>
          <t>포괄손익계산서</t>
        </is>
      </c>
      <c r="J616" s="29" t="inlineStr">
        <is>
          <t>-표준계정코드 미사용-</t>
        </is>
      </c>
      <c r="K616" s="29" t="inlineStr">
        <is>
          <t>기타포괄손익공정가치측정평가손익</t>
        </is>
      </c>
      <c r="L616" s="29" t="inlineStr">
        <is>
          <t>-</t>
        </is>
      </c>
      <c r="M616" s="29" t="inlineStr">
        <is>
          <t>제 19 기</t>
        </is>
      </c>
      <c r="N616" s="29" t="inlineStr">
        <is>
          <t>해당 없음</t>
        </is>
      </c>
      <c r="O616" s="29" t="inlineStr">
        <is>
          <t>-855737255.0</t>
        </is>
      </c>
      <c r="P616" s="29" t="inlineStr">
        <is>
          <t>KRW</t>
        </is>
      </c>
      <c r="Q616" s="29" t="inlineStr">
        <is>
          <t>28</t>
        </is>
      </c>
    </row>
    <row r="617" ht="24" customHeight="1">
      <c r="A617" s="24" t="inlineStr">
        <is>
          <t>OpenDART_fnlttSinglAcntAll</t>
        </is>
      </c>
      <c r="B617" s="24" t="inlineStr">
        <is>
          <t>00591441</t>
        </is>
      </c>
      <c r="C617" s="24" t="inlineStr">
        <is>
          <t>어보브반도체</t>
        </is>
      </c>
      <c r="D617" s="24" t="inlineStr">
        <is>
          <t>abov</t>
        </is>
      </c>
      <c r="E617" s="24" t="inlineStr">
        <is>
          <t>102120</t>
        </is>
      </c>
      <c r="F617" s="24" t="inlineStr">
        <is>
          <t>2024</t>
        </is>
      </c>
      <c r="G617" s="24" t="inlineStr">
        <is>
          <t>CFS</t>
        </is>
      </c>
      <c r="H617" s="24" t="inlineStr">
        <is>
          <t>CIS</t>
        </is>
      </c>
      <c r="I617" s="24" t="inlineStr">
        <is>
          <t>포괄손익계산서</t>
        </is>
      </c>
      <c r="J617" s="24" t="inlineStr">
        <is>
          <t>-표준계정코드 미사용-</t>
        </is>
      </c>
      <c r="K617" s="24" t="inlineStr">
        <is>
          <t>순확정급여부채(자산)의 재측정요소</t>
        </is>
      </c>
      <c r="L617" s="24" t="inlineStr">
        <is>
          <t>-</t>
        </is>
      </c>
      <c r="M617" s="24" t="inlineStr">
        <is>
          <t>제 19 기</t>
        </is>
      </c>
      <c r="N617" s="24" t="inlineStr">
        <is>
          <t>751870946.0</t>
        </is>
      </c>
      <c r="O617" s="24" t="inlineStr">
        <is>
          <t>-643869713.0</t>
        </is>
      </c>
      <c r="P617" s="24" t="inlineStr">
        <is>
          <t>KRW</t>
        </is>
      </c>
      <c r="Q617" s="24" t="inlineStr">
        <is>
          <t>29</t>
        </is>
      </c>
    </row>
    <row r="618" ht="24" customHeight="1">
      <c r="A618" s="29" t="inlineStr">
        <is>
          <t>OpenDART_fnlttSinglAcntAll</t>
        </is>
      </c>
      <c r="B618" s="29" t="inlineStr">
        <is>
          <t>00591441</t>
        </is>
      </c>
      <c r="C618" s="29" t="inlineStr">
        <is>
          <t>어보브반도체</t>
        </is>
      </c>
      <c r="D618" s="29" t="inlineStr">
        <is>
          <t>abov</t>
        </is>
      </c>
      <c r="E618" s="29" t="inlineStr">
        <is>
          <t>102120</t>
        </is>
      </c>
      <c r="F618" s="29" t="inlineStr">
        <is>
          <t>2024</t>
        </is>
      </c>
      <c r="G618" s="29" t="inlineStr">
        <is>
          <t>CFS</t>
        </is>
      </c>
      <c r="H618" s="29" t="inlineStr">
        <is>
          <t>CIS</t>
        </is>
      </c>
      <c r="I618" s="29" t="inlineStr">
        <is>
          <t>포괄손익계산서</t>
        </is>
      </c>
      <c r="J618" s="29" t="inlineStr">
        <is>
          <t>-표준계정코드 미사용-</t>
        </is>
      </c>
      <c r="K618" s="29" t="inlineStr">
        <is>
          <t>지분법 자본변동</t>
        </is>
      </c>
      <c r="L618" s="29" t="inlineStr">
        <is>
          <t>-</t>
        </is>
      </c>
      <c r="M618" s="29" t="inlineStr">
        <is>
          <t>제 19 기</t>
        </is>
      </c>
      <c r="N618" s="29" t="inlineStr">
        <is>
          <t>1495584.0</t>
        </is>
      </c>
      <c r="O618" s="29" t="inlineStr">
        <is>
          <t>-12948565.0</t>
        </is>
      </c>
      <c r="P618" s="29" t="inlineStr">
        <is>
          <t>KRW</t>
        </is>
      </c>
      <c r="Q618" s="29" t="inlineStr">
        <is>
          <t>30</t>
        </is>
      </c>
    </row>
    <row r="619" ht="24" customHeight="1">
      <c r="A619" s="24" t="inlineStr">
        <is>
          <t>OpenDART_fnlttSinglAcntAll</t>
        </is>
      </c>
      <c r="B619" s="24" t="inlineStr">
        <is>
          <t>00591441</t>
        </is>
      </c>
      <c r="C619" s="24" t="inlineStr">
        <is>
          <t>어보브반도체</t>
        </is>
      </c>
      <c r="D619" s="24" t="inlineStr">
        <is>
          <t>abov</t>
        </is>
      </c>
      <c r="E619" s="24" t="inlineStr">
        <is>
          <t>102120</t>
        </is>
      </c>
      <c r="F619" s="24" t="inlineStr">
        <is>
          <t>2024</t>
        </is>
      </c>
      <c r="G619" s="24" t="inlineStr">
        <is>
          <t>CFS</t>
        </is>
      </c>
      <c r="H619" s="24" t="inlineStr">
        <is>
          <t>CIS</t>
        </is>
      </c>
      <c r="I619" s="24" t="inlineStr">
        <is>
          <t>포괄손익계산서</t>
        </is>
      </c>
      <c r="J619" s="24" t="inlineStr">
        <is>
          <t>ifrs-full_ProfitLoss</t>
        </is>
      </c>
      <c r="K619" s="24" t="inlineStr">
        <is>
          <t>당기순이익(손실)</t>
        </is>
      </c>
      <c r="L619" s="24" t="inlineStr">
        <is>
          <t>-</t>
        </is>
      </c>
      <c r="M619" s="24" t="inlineStr">
        <is>
          <t>제 19 기</t>
        </is>
      </c>
      <c r="N619" s="24" t="inlineStr">
        <is>
          <t>-18094850997.0</t>
        </is>
      </c>
      <c r="O619" s="24" t="inlineStr">
        <is>
          <t>-33443728959.0</t>
        </is>
      </c>
      <c r="P619" s="24" t="inlineStr">
        <is>
          <t>KRW</t>
        </is>
      </c>
      <c r="Q619" s="24" t="inlineStr">
        <is>
          <t>31</t>
        </is>
      </c>
    </row>
    <row r="620" ht="24" customHeight="1">
      <c r="A620" s="29" t="inlineStr">
        <is>
          <t>OpenDART_fnlttSinglAcntAll</t>
        </is>
      </c>
      <c r="B620" s="29" t="inlineStr">
        <is>
          <t>00591441</t>
        </is>
      </c>
      <c r="C620" s="29" t="inlineStr">
        <is>
          <t>어보브반도체</t>
        </is>
      </c>
      <c r="D620" s="29" t="inlineStr">
        <is>
          <t>abov</t>
        </is>
      </c>
      <c r="E620" s="29" t="inlineStr">
        <is>
          <t>102120</t>
        </is>
      </c>
      <c r="F620" s="29" t="inlineStr">
        <is>
          <t>2024</t>
        </is>
      </c>
      <c r="G620" s="29" t="inlineStr">
        <is>
          <t>CFS</t>
        </is>
      </c>
      <c r="H620" s="29" t="inlineStr">
        <is>
          <t>CIS</t>
        </is>
      </c>
      <c r="I620" s="29" t="inlineStr">
        <is>
          <t>포괄손익계산서</t>
        </is>
      </c>
      <c r="J620" s="29" t="inlineStr">
        <is>
          <t>ifrs-full_ProfitLossAttributableToNoncontrollingInterests</t>
        </is>
      </c>
      <c r="K620" s="29" t="inlineStr">
        <is>
          <t>비지배지분</t>
        </is>
      </c>
      <c r="L620" s="29" t="inlineStr">
        <is>
          <t>-</t>
        </is>
      </c>
      <c r="M620" s="29" t="inlineStr">
        <is>
          <t>제 19 기</t>
        </is>
      </c>
      <c r="N620" s="29" t="inlineStr">
        <is>
          <t>-20745600888.0</t>
        </is>
      </c>
      <c r="O620" s="29" t="inlineStr">
        <is>
          <t>-20898921546.0</t>
        </is>
      </c>
      <c r="P620" s="29" t="inlineStr">
        <is>
          <t>KRW</t>
        </is>
      </c>
      <c r="Q620" s="29" t="inlineStr">
        <is>
          <t>33</t>
        </is>
      </c>
    </row>
    <row r="621" ht="24" customHeight="1">
      <c r="A621" s="24" t="inlineStr">
        <is>
          <t>OpenDART_fnlttSinglAcntAll</t>
        </is>
      </c>
      <c r="B621" s="24" t="inlineStr">
        <is>
          <t>00591441</t>
        </is>
      </c>
      <c r="C621" s="24" t="inlineStr">
        <is>
          <t>어보브반도체</t>
        </is>
      </c>
      <c r="D621" s="24" t="inlineStr">
        <is>
          <t>abov</t>
        </is>
      </c>
      <c r="E621" s="24" t="inlineStr">
        <is>
          <t>102120</t>
        </is>
      </c>
      <c r="F621" s="24" t="inlineStr">
        <is>
          <t>2024</t>
        </is>
      </c>
      <c r="G621" s="24" t="inlineStr">
        <is>
          <t>CFS</t>
        </is>
      </c>
      <c r="H621" s="24" t="inlineStr">
        <is>
          <t>CIS</t>
        </is>
      </c>
      <c r="I621" s="24" t="inlineStr">
        <is>
          <t>포괄손익계산서</t>
        </is>
      </c>
      <c r="J621" s="24" t="inlineStr">
        <is>
          <t>ifrs-full_ProfitLossAttributableToOwnersOfParent</t>
        </is>
      </c>
      <c r="K621" s="24" t="inlineStr">
        <is>
          <t>지배기업의 소유지분</t>
        </is>
      </c>
      <c r="L621" s="24" t="inlineStr">
        <is>
          <t>-</t>
        </is>
      </c>
      <c r="M621" s="24" t="inlineStr">
        <is>
          <t>제 19 기</t>
        </is>
      </c>
      <c r="N621" s="24" t="inlineStr">
        <is>
          <t>2650749891.0</t>
        </is>
      </c>
      <c r="O621" s="24" t="inlineStr">
        <is>
          <t>-12544807413.0</t>
        </is>
      </c>
      <c r="P621" s="24" t="inlineStr">
        <is>
          <t>KRW</t>
        </is>
      </c>
      <c r="Q621" s="24" t="inlineStr">
        <is>
          <t>34</t>
        </is>
      </c>
    </row>
    <row r="622" ht="24" customHeight="1">
      <c r="A622" s="29" t="inlineStr">
        <is>
          <t>OpenDART_fnlttSinglAcntAll</t>
        </is>
      </c>
      <c r="B622" s="29" t="inlineStr">
        <is>
          <t>00591441</t>
        </is>
      </c>
      <c r="C622" s="29" t="inlineStr">
        <is>
          <t>어보브반도체</t>
        </is>
      </c>
      <c r="D622" s="29" t="inlineStr">
        <is>
          <t>abov</t>
        </is>
      </c>
      <c r="E622" s="29" t="inlineStr">
        <is>
          <t>102120</t>
        </is>
      </c>
      <c r="F622" s="29" t="inlineStr">
        <is>
          <t>2024</t>
        </is>
      </c>
      <c r="G622" s="29" t="inlineStr">
        <is>
          <t>CFS</t>
        </is>
      </c>
      <c r="H622" s="29" t="inlineStr">
        <is>
          <t>CIS</t>
        </is>
      </c>
      <c r="I622" s="29" t="inlineStr">
        <is>
          <t>포괄손익계산서</t>
        </is>
      </c>
      <c r="J622" s="29" t="inlineStr">
        <is>
          <t>ifrs-full_ProfitLossBeforeTax</t>
        </is>
      </c>
      <c r="K622" s="29" t="inlineStr">
        <is>
          <t>법인세비용차감전순이익(손실)</t>
        </is>
      </c>
      <c r="L622" s="29" t="inlineStr">
        <is>
          <t>-</t>
        </is>
      </c>
      <c r="M622" s="29" t="inlineStr">
        <is>
          <t>제 19 기</t>
        </is>
      </c>
      <c r="N622" s="29" t="inlineStr">
        <is>
          <t>-15972676831.0</t>
        </is>
      </c>
      <c r="O622" s="29" t="inlineStr">
        <is>
          <t>-26049478973.0</t>
        </is>
      </c>
      <c r="P622" s="29" t="inlineStr">
        <is>
          <t>KRW</t>
        </is>
      </c>
      <c r="Q622" s="29" t="inlineStr">
        <is>
          <t>35</t>
        </is>
      </c>
    </row>
    <row r="623" ht="24" customHeight="1">
      <c r="A623" s="24" t="inlineStr">
        <is>
          <t>OpenDART_fnlttSinglAcntAll</t>
        </is>
      </c>
      <c r="B623" s="24" t="inlineStr">
        <is>
          <t>00591441</t>
        </is>
      </c>
      <c r="C623" s="24" t="inlineStr">
        <is>
          <t>어보브반도체</t>
        </is>
      </c>
      <c r="D623" s="24" t="inlineStr">
        <is>
          <t>abov</t>
        </is>
      </c>
      <c r="E623" s="24" t="inlineStr">
        <is>
          <t>102120</t>
        </is>
      </c>
      <c r="F623" s="24" t="inlineStr">
        <is>
          <t>2024</t>
        </is>
      </c>
      <c r="G623" s="24" t="inlineStr">
        <is>
          <t>CFS</t>
        </is>
      </c>
      <c r="H623" s="24" t="inlineStr">
        <is>
          <t>CIS</t>
        </is>
      </c>
      <c r="I623" s="24" t="inlineStr">
        <is>
          <t>포괄손익계산서</t>
        </is>
      </c>
      <c r="J623" s="24" t="inlineStr">
        <is>
          <t>ifrs-full_Revenue</t>
        </is>
      </c>
      <c r="K623" s="24" t="inlineStr">
        <is>
          <t>수익(매출액)</t>
        </is>
      </c>
      <c r="L623" s="24" t="inlineStr">
        <is>
          <t>-</t>
        </is>
      </c>
      <c r="M623" s="24" t="inlineStr">
        <is>
          <t>제 19 기</t>
        </is>
      </c>
      <c r="N623" s="24" t="inlineStr">
        <is>
          <t>232116611005.0</t>
        </is>
      </c>
      <c r="O623" s="24" t="inlineStr">
        <is>
          <t>232436389092.0</t>
        </is>
      </c>
      <c r="P623" s="24" t="inlineStr">
        <is>
          <t>KRW</t>
        </is>
      </c>
      <c r="Q623" s="24" t="inlineStr">
        <is>
          <t>36</t>
        </is>
      </c>
    </row>
    <row r="624" ht="24" customHeight="1">
      <c r="A624" s="29" t="inlineStr">
        <is>
          <t>OpenDART_fnlttSinglAcntAll</t>
        </is>
      </c>
      <c r="B624" s="29" t="inlineStr">
        <is>
          <t>00591441</t>
        </is>
      </c>
      <c r="C624" s="29" t="inlineStr">
        <is>
          <t>어보브반도체</t>
        </is>
      </c>
      <c r="D624" s="29" t="inlineStr">
        <is>
          <t>abov</t>
        </is>
      </c>
      <c r="E624" s="29" t="inlineStr">
        <is>
          <t>102120</t>
        </is>
      </c>
      <c r="F624" s="29" t="inlineStr">
        <is>
          <t>2024</t>
        </is>
      </c>
      <c r="G624" s="29" t="inlineStr">
        <is>
          <t>CFS</t>
        </is>
      </c>
      <c r="H624" s="29" t="inlineStr">
        <is>
          <t>CIS</t>
        </is>
      </c>
      <c r="I624" s="29" t="inlineStr">
        <is>
          <t>포괄손익계산서</t>
        </is>
      </c>
      <c r="J624" s="29" t="inlineStr">
        <is>
          <t>dart_RevenueFromSaleOfGoodsMerchandise</t>
        </is>
      </c>
      <c r="K624" s="29" t="inlineStr">
        <is>
          <t>상품매출액</t>
        </is>
      </c>
      <c r="L624" s="29" t="inlineStr">
        <is>
          <t>-</t>
        </is>
      </c>
      <c r="M624" s="29" t="inlineStr">
        <is>
          <t>제 19 기</t>
        </is>
      </c>
      <c r="N624" s="29" t="inlineStr">
        <is>
          <t>1263963724.0</t>
        </is>
      </c>
      <c r="O624" s="29" t="inlineStr">
        <is>
          <t>3091636722.0</t>
        </is>
      </c>
      <c r="P624" s="29" t="inlineStr">
        <is>
          <t>KRW</t>
        </is>
      </c>
      <c r="Q624" s="29" t="inlineStr">
        <is>
          <t>37</t>
        </is>
      </c>
    </row>
    <row r="625" ht="24" customHeight="1">
      <c r="A625" s="24" t="inlineStr">
        <is>
          <t>OpenDART_fnlttSinglAcntAll</t>
        </is>
      </c>
      <c r="B625" s="24" t="inlineStr">
        <is>
          <t>00591441</t>
        </is>
      </c>
      <c r="C625" s="24" t="inlineStr">
        <is>
          <t>어보브반도체</t>
        </is>
      </c>
      <c r="D625" s="24" t="inlineStr">
        <is>
          <t>abov</t>
        </is>
      </c>
      <c r="E625" s="24" t="inlineStr">
        <is>
          <t>102120</t>
        </is>
      </c>
      <c r="F625" s="24" t="inlineStr">
        <is>
          <t>2024</t>
        </is>
      </c>
      <c r="G625" s="24" t="inlineStr">
        <is>
          <t>CFS</t>
        </is>
      </c>
      <c r="H625" s="24" t="inlineStr">
        <is>
          <t>CIS</t>
        </is>
      </c>
      <c r="I625" s="24" t="inlineStr">
        <is>
          <t>포괄손익계산서</t>
        </is>
      </c>
      <c r="J625" s="24" t="inlineStr">
        <is>
          <t>dart_RevenueFromSaleOfGoodsProduct</t>
        </is>
      </c>
      <c r="K625" s="24" t="inlineStr">
        <is>
          <t>제품매출액</t>
        </is>
      </c>
      <c r="L625" s="24" t="inlineStr">
        <is>
          <t>-</t>
        </is>
      </c>
      <c r="M625" s="24" t="inlineStr">
        <is>
          <t>제 19 기</t>
        </is>
      </c>
      <c r="N625" s="24" t="inlineStr">
        <is>
          <t>230852647281.0</t>
        </is>
      </c>
      <c r="O625" s="24" t="inlineStr">
        <is>
          <t>229344752370.0</t>
        </is>
      </c>
      <c r="P625" s="24" t="inlineStr">
        <is>
          <t>KRW</t>
        </is>
      </c>
      <c r="Q625" s="24" t="inlineStr">
        <is>
          <t>38</t>
        </is>
      </c>
    </row>
    <row r="626" ht="24" customHeight="1">
      <c r="A626" s="29" t="inlineStr">
        <is>
          <t>OpenDART_fnlttSinglAcntAll</t>
        </is>
      </c>
      <c r="B626" s="29" t="inlineStr">
        <is>
          <t>00591441</t>
        </is>
      </c>
      <c r="C626" s="29" t="inlineStr">
        <is>
          <t>어보브반도체</t>
        </is>
      </c>
      <c r="D626" s="29" t="inlineStr">
        <is>
          <t>abov</t>
        </is>
      </c>
      <c r="E626" s="29" t="inlineStr">
        <is>
          <t>102120</t>
        </is>
      </c>
      <c r="F626" s="29" t="inlineStr">
        <is>
          <t>2024</t>
        </is>
      </c>
      <c r="G626" s="29" t="inlineStr">
        <is>
          <t>CFS</t>
        </is>
      </c>
      <c r="H626" s="29" t="inlineStr">
        <is>
          <t>CF</t>
        </is>
      </c>
      <c r="I626" s="29" t="inlineStr">
        <is>
          <t>현금흐름표</t>
        </is>
      </c>
      <c r="J626" s="29" t="inlineStr">
        <is>
          <t>dart_CashAndCashEquivalentsAtBeginningOfPeriodCf</t>
        </is>
      </c>
      <c r="K626" s="29" t="inlineStr">
        <is>
          <t>기초현금및현금성자산</t>
        </is>
      </c>
      <c r="L626" s="29" t="inlineStr">
        <is>
          <t>-</t>
        </is>
      </c>
      <c r="M626" s="29" t="inlineStr">
        <is>
          <t>제 19 기</t>
        </is>
      </c>
      <c r="N626" s="29" t="inlineStr">
        <is>
          <t>43417473689.0</t>
        </is>
      </c>
      <c r="O626" s="29" t="inlineStr">
        <is>
          <t>20717623910.0</t>
        </is>
      </c>
      <c r="P626" s="29" t="inlineStr">
        <is>
          <t>KRW</t>
        </is>
      </c>
      <c r="Q626" s="29" t="inlineStr">
        <is>
          <t>2</t>
        </is>
      </c>
    </row>
    <row r="627" ht="24" customHeight="1">
      <c r="A627" s="24" t="inlineStr">
        <is>
          <t>OpenDART_fnlttSinglAcntAll</t>
        </is>
      </c>
      <c r="B627" s="24" t="inlineStr">
        <is>
          <t>00591441</t>
        </is>
      </c>
      <c r="C627" s="24" t="inlineStr">
        <is>
          <t>어보브반도체</t>
        </is>
      </c>
      <c r="D627" s="24" t="inlineStr">
        <is>
          <t>abov</t>
        </is>
      </c>
      <c r="E627" s="24" t="inlineStr">
        <is>
          <t>102120</t>
        </is>
      </c>
      <c r="F627" s="24" t="inlineStr">
        <is>
          <t>2024</t>
        </is>
      </c>
      <c r="G627" s="24" t="inlineStr">
        <is>
          <t>CFS</t>
        </is>
      </c>
      <c r="H627" s="24" t="inlineStr">
        <is>
          <t>CF</t>
        </is>
      </c>
      <c r="I627" s="24" t="inlineStr">
        <is>
          <t>현금흐름표</t>
        </is>
      </c>
      <c r="J627" s="24" t="inlineStr">
        <is>
          <t>dart_CashAndCashEquivalentsAtEndOfPeriodCf</t>
        </is>
      </c>
      <c r="K627" s="24" t="inlineStr">
        <is>
          <t>기말현금및현금성자산</t>
        </is>
      </c>
      <c r="L627" s="24" t="inlineStr">
        <is>
          <t>-</t>
        </is>
      </c>
      <c r="M627" s="24" t="inlineStr">
        <is>
          <t>제 19 기</t>
        </is>
      </c>
      <c r="N627" s="24" t="inlineStr">
        <is>
          <t>30971849914.0</t>
        </is>
      </c>
      <c r="O627" s="24" t="inlineStr">
        <is>
          <t>43417473689.0</t>
        </is>
      </c>
      <c r="P627" s="24" t="inlineStr">
        <is>
          <t>KRW</t>
        </is>
      </c>
      <c r="Q627" s="24" t="inlineStr">
        <is>
          <t>3</t>
        </is>
      </c>
    </row>
    <row r="628" ht="24" customHeight="1">
      <c r="A628" s="29" t="inlineStr">
        <is>
          <t>OpenDART_fnlttSinglAcntAll</t>
        </is>
      </c>
      <c r="B628" s="29" t="inlineStr">
        <is>
          <t>00591441</t>
        </is>
      </c>
      <c r="C628" s="29" t="inlineStr">
        <is>
          <t>어보브반도체</t>
        </is>
      </c>
      <c r="D628" s="29" t="inlineStr">
        <is>
          <t>abov</t>
        </is>
      </c>
      <c r="E628" s="29" t="inlineStr">
        <is>
          <t>102120</t>
        </is>
      </c>
      <c r="F628" s="29" t="inlineStr">
        <is>
          <t>2024</t>
        </is>
      </c>
      <c r="G628" s="29" t="inlineStr">
        <is>
          <t>CFS</t>
        </is>
      </c>
      <c r="H628" s="29" t="inlineStr">
        <is>
          <t>CF</t>
        </is>
      </c>
      <c r="I628" s="29" t="inlineStr">
        <is>
          <t>현금흐름표</t>
        </is>
      </c>
      <c r="J628" s="29" t="inlineStr">
        <is>
          <t>ifrs-full_CashFlowsFromUsedInFinancingActivities</t>
        </is>
      </c>
      <c r="K628" s="29" t="inlineStr">
        <is>
          <t>재무활동현금흐름</t>
        </is>
      </c>
      <c r="L628" s="29" t="inlineStr">
        <is>
          <t>-</t>
        </is>
      </c>
      <c r="M628" s="29" t="inlineStr">
        <is>
          <t>제 19 기</t>
        </is>
      </c>
      <c r="N628" s="29" t="inlineStr">
        <is>
          <t>18424858639.0</t>
        </is>
      </c>
      <c r="O628" s="29" t="inlineStr">
        <is>
          <t>4688471727.0</t>
        </is>
      </c>
      <c r="P628" s="29" t="inlineStr">
        <is>
          <t>KRW</t>
        </is>
      </c>
      <c r="Q628" s="29" t="inlineStr">
        <is>
          <t>8</t>
        </is>
      </c>
    </row>
    <row r="629" ht="24" customHeight="1">
      <c r="A629" s="24" t="inlineStr">
        <is>
          <t>OpenDART_fnlttSinglAcntAll</t>
        </is>
      </c>
      <c r="B629" s="24" t="inlineStr">
        <is>
          <t>00591441</t>
        </is>
      </c>
      <c r="C629" s="24" t="inlineStr">
        <is>
          <t>어보브반도체</t>
        </is>
      </c>
      <c r="D629" s="24" t="inlineStr">
        <is>
          <t>abov</t>
        </is>
      </c>
      <c r="E629" s="24" t="inlineStr">
        <is>
          <t>102120</t>
        </is>
      </c>
      <c r="F629" s="24" t="inlineStr">
        <is>
          <t>2024</t>
        </is>
      </c>
      <c r="G629" s="24" t="inlineStr">
        <is>
          <t>CFS</t>
        </is>
      </c>
      <c r="H629" s="24" t="inlineStr">
        <is>
          <t>CF</t>
        </is>
      </c>
      <c r="I629" s="24" t="inlineStr">
        <is>
          <t>현금흐름표</t>
        </is>
      </c>
      <c r="J629" s="24" t="inlineStr">
        <is>
          <t>dart_AcquisitionOfTreasuryShares</t>
        </is>
      </c>
      <c r="K629" s="24" t="inlineStr">
        <is>
          <t>자기주식의 취득</t>
        </is>
      </c>
      <c r="L629" s="24" t="inlineStr">
        <is>
          <t>-</t>
        </is>
      </c>
      <c r="M629" s="24" t="inlineStr">
        <is>
          <t>제 19 기</t>
        </is>
      </c>
      <c r="N629" s="24" t="inlineStr">
        <is>
          <t>해당 없음</t>
        </is>
      </c>
      <c r="O629" s="24" t="inlineStr">
        <is>
          <t>해당 없음</t>
        </is>
      </c>
      <c r="P629" s="24" t="inlineStr">
        <is>
          <t>KRW</t>
        </is>
      </c>
      <c r="Q629" s="24" t="inlineStr">
        <is>
          <t>9</t>
        </is>
      </c>
    </row>
    <row r="630" ht="24" customHeight="1">
      <c r="A630" s="29" t="inlineStr">
        <is>
          <t>OpenDART_fnlttSinglAcntAll</t>
        </is>
      </c>
      <c r="B630" s="29" t="inlineStr">
        <is>
          <t>00591441</t>
        </is>
      </c>
      <c r="C630" s="29" t="inlineStr">
        <is>
          <t>어보브반도체</t>
        </is>
      </c>
      <c r="D630" s="29" t="inlineStr">
        <is>
          <t>abov</t>
        </is>
      </c>
      <c r="E630" s="29" t="inlineStr">
        <is>
          <t>102120</t>
        </is>
      </c>
      <c r="F630" s="29" t="inlineStr">
        <is>
          <t>2024</t>
        </is>
      </c>
      <c r="G630" s="29" t="inlineStr">
        <is>
          <t>CFS</t>
        </is>
      </c>
      <c r="H630" s="29" t="inlineStr">
        <is>
          <t>CF</t>
        </is>
      </c>
      <c r="I630" s="29" t="inlineStr">
        <is>
          <t>현금흐름표</t>
        </is>
      </c>
      <c r="J630" s="29" t="inlineStr">
        <is>
          <t>dart_PaymentForStockIssueCost</t>
        </is>
      </c>
      <c r="K630" s="29" t="inlineStr">
        <is>
          <t>유상증자거래비용</t>
        </is>
      </c>
      <c r="L630" s="29" t="inlineStr">
        <is>
          <t>-</t>
        </is>
      </c>
      <c r="M630" s="29" t="inlineStr">
        <is>
          <t>제 19 기</t>
        </is>
      </c>
      <c r="N630" s="29" t="inlineStr">
        <is>
          <t>665274396.0</t>
        </is>
      </c>
      <c r="O630" s="29" t="inlineStr">
        <is>
          <t>해당 없음</t>
        </is>
      </c>
      <c r="P630" s="29" t="inlineStr">
        <is>
          <t>KRW</t>
        </is>
      </c>
      <c r="Q630" s="29" t="inlineStr">
        <is>
          <t>10</t>
        </is>
      </c>
    </row>
    <row r="631" ht="24" customHeight="1">
      <c r="A631" s="24" t="inlineStr">
        <is>
          <t>OpenDART_fnlttSinglAcntAll</t>
        </is>
      </c>
      <c r="B631" s="24" t="inlineStr">
        <is>
          <t>00591441</t>
        </is>
      </c>
      <c r="C631" s="24" t="inlineStr">
        <is>
          <t>어보브반도체</t>
        </is>
      </c>
      <c r="D631" s="24" t="inlineStr">
        <is>
          <t>abov</t>
        </is>
      </c>
      <c r="E631" s="24" t="inlineStr">
        <is>
          <t>102120</t>
        </is>
      </c>
      <c r="F631" s="24" t="inlineStr">
        <is>
          <t>2024</t>
        </is>
      </c>
      <c r="G631" s="24" t="inlineStr">
        <is>
          <t>CFS</t>
        </is>
      </c>
      <c r="H631" s="24" t="inlineStr">
        <is>
          <t>CF</t>
        </is>
      </c>
      <c r="I631" s="24" t="inlineStr">
        <is>
          <t>현금흐름표</t>
        </is>
      </c>
      <c r="J631" s="24" t="inlineStr">
        <is>
          <t>dart_ProceedsFromBondWithWarrant</t>
        </is>
      </c>
      <c r="K631" s="24" t="inlineStr">
        <is>
          <t>신주인수권부사채의 발행</t>
        </is>
      </c>
      <c r="L631" s="24" t="inlineStr">
        <is>
          <t>-</t>
        </is>
      </c>
      <c r="M631" s="24" t="inlineStr">
        <is>
          <t>제 19 기</t>
        </is>
      </c>
      <c r="N631" s="24" t="inlineStr">
        <is>
          <t>해당 없음</t>
        </is>
      </c>
      <c r="O631" s="24" t="inlineStr">
        <is>
          <t>11880000000.0</t>
        </is>
      </c>
      <c r="P631" s="24" t="inlineStr">
        <is>
          <t>KRW</t>
        </is>
      </c>
      <c r="Q631" s="24" t="inlineStr">
        <is>
          <t>11</t>
        </is>
      </c>
    </row>
    <row r="632" ht="24" customHeight="1">
      <c r="A632" s="29" t="inlineStr">
        <is>
          <t>OpenDART_fnlttSinglAcntAll</t>
        </is>
      </c>
      <c r="B632" s="29" t="inlineStr">
        <is>
          <t>00591441</t>
        </is>
      </c>
      <c r="C632" s="29" t="inlineStr">
        <is>
          <t>어보브반도체</t>
        </is>
      </c>
      <c r="D632" s="29" t="inlineStr">
        <is>
          <t>abov</t>
        </is>
      </c>
      <c r="E632" s="29" t="inlineStr">
        <is>
          <t>102120</t>
        </is>
      </c>
      <c r="F632" s="29" t="inlineStr">
        <is>
          <t>2024</t>
        </is>
      </c>
      <c r="G632" s="29" t="inlineStr">
        <is>
          <t>CFS</t>
        </is>
      </c>
      <c r="H632" s="29" t="inlineStr">
        <is>
          <t>CF</t>
        </is>
      </c>
      <c r="I632" s="29" t="inlineStr">
        <is>
          <t>현금흐름표</t>
        </is>
      </c>
      <c r="J632" s="29" t="inlineStr">
        <is>
          <t>dart_ProceedsFromConvertibleBonds</t>
        </is>
      </c>
      <c r="K632" s="29" t="inlineStr">
        <is>
          <t>전환사채의 발행</t>
        </is>
      </c>
      <c r="L632" s="29" t="inlineStr">
        <is>
          <t>-</t>
        </is>
      </c>
      <c r="M632" s="29" t="inlineStr">
        <is>
          <t>제 19 기</t>
        </is>
      </c>
      <c r="N632" s="29" t="inlineStr">
        <is>
          <t>해당 없음</t>
        </is>
      </c>
      <c r="O632" s="29" t="inlineStr">
        <is>
          <t>3960000000.0</t>
        </is>
      </c>
      <c r="P632" s="29" t="inlineStr">
        <is>
          <t>KRW</t>
        </is>
      </c>
      <c r="Q632" s="29" t="inlineStr">
        <is>
          <t>12</t>
        </is>
      </c>
    </row>
    <row r="633" ht="24" customHeight="1">
      <c r="A633" s="24" t="inlineStr">
        <is>
          <t>OpenDART_fnlttSinglAcntAll</t>
        </is>
      </c>
      <c r="B633" s="24" t="inlineStr">
        <is>
          <t>00591441</t>
        </is>
      </c>
      <c r="C633" s="24" t="inlineStr">
        <is>
          <t>어보브반도체</t>
        </is>
      </c>
      <c r="D633" s="24" t="inlineStr">
        <is>
          <t>abov</t>
        </is>
      </c>
      <c r="E633" s="24" t="inlineStr">
        <is>
          <t>102120</t>
        </is>
      </c>
      <c r="F633" s="24" t="inlineStr">
        <is>
          <t>2024</t>
        </is>
      </c>
      <c r="G633" s="24" t="inlineStr">
        <is>
          <t>CFS</t>
        </is>
      </c>
      <c r="H633" s="24" t="inlineStr">
        <is>
          <t>CF</t>
        </is>
      </c>
      <c r="I633" s="24" t="inlineStr">
        <is>
          <t>현금흐름표</t>
        </is>
      </c>
      <c r="J633" s="24" t="inlineStr">
        <is>
          <t>dart_ProceedsFromExchangeableBond</t>
        </is>
      </c>
      <c r="K633" s="24" t="inlineStr">
        <is>
          <t>교환사채의 발행</t>
        </is>
      </c>
      <c r="L633" s="24" t="inlineStr">
        <is>
          <t>-</t>
        </is>
      </c>
      <c r="M633" s="24" t="inlineStr">
        <is>
          <t>제 19 기</t>
        </is>
      </c>
      <c r="N633" s="24" t="inlineStr">
        <is>
          <t>19987660000.0</t>
        </is>
      </c>
      <c r="O633" s="24" t="inlineStr">
        <is>
          <t>해당 없음</t>
        </is>
      </c>
      <c r="P633" s="24" t="inlineStr">
        <is>
          <t>KRW</t>
        </is>
      </c>
      <c r="Q633" s="24" t="inlineStr">
        <is>
          <t>13</t>
        </is>
      </c>
    </row>
    <row r="634" ht="24" customHeight="1">
      <c r="A634" s="29" t="inlineStr">
        <is>
          <t>OpenDART_fnlttSinglAcntAll</t>
        </is>
      </c>
      <c r="B634" s="29" t="inlineStr">
        <is>
          <t>00591441</t>
        </is>
      </c>
      <c r="C634" s="29" t="inlineStr">
        <is>
          <t>어보브반도체</t>
        </is>
      </c>
      <c r="D634" s="29" t="inlineStr">
        <is>
          <t>abov</t>
        </is>
      </c>
      <c r="E634" s="29" t="inlineStr">
        <is>
          <t>102120</t>
        </is>
      </c>
      <c r="F634" s="29" t="inlineStr">
        <is>
          <t>2024</t>
        </is>
      </c>
      <c r="G634" s="29" t="inlineStr">
        <is>
          <t>CFS</t>
        </is>
      </c>
      <c r="H634" s="29" t="inlineStr">
        <is>
          <t>CF</t>
        </is>
      </c>
      <c r="I634" s="29" t="inlineStr">
        <is>
          <t>현금흐름표</t>
        </is>
      </c>
      <c r="J634" s="29" t="inlineStr">
        <is>
          <t>dart_ProceedsFromLongTermBorrowings</t>
        </is>
      </c>
      <c r="K634" s="29" t="inlineStr">
        <is>
          <t>장기차입금의 차입</t>
        </is>
      </c>
      <c r="L634" s="29" t="inlineStr">
        <is>
          <t>-</t>
        </is>
      </c>
      <c r="M634" s="29" t="inlineStr">
        <is>
          <t>제 19 기</t>
        </is>
      </c>
      <c r="N634" s="29" t="inlineStr">
        <is>
          <t>2400000000.0</t>
        </is>
      </c>
      <c r="O634" s="29" t="inlineStr">
        <is>
          <t>10000000000.0</t>
        </is>
      </c>
      <c r="P634" s="29" t="inlineStr">
        <is>
          <t>KRW</t>
        </is>
      </c>
      <c r="Q634" s="29" t="inlineStr">
        <is>
          <t>14</t>
        </is>
      </c>
    </row>
    <row r="635" ht="24" customHeight="1">
      <c r="A635" s="24" t="inlineStr">
        <is>
          <t>OpenDART_fnlttSinglAcntAll</t>
        </is>
      </c>
      <c r="B635" s="24" t="inlineStr">
        <is>
          <t>00591441</t>
        </is>
      </c>
      <c r="C635" s="24" t="inlineStr">
        <is>
          <t>어보브반도체</t>
        </is>
      </c>
      <c r="D635" s="24" t="inlineStr">
        <is>
          <t>abov</t>
        </is>
      </c>
      <c r="E635" s="24" t="inlineStr">
        <is>
          <t>102120</t>
        </is>
      </c>
      <c r="F635" s="24" t="inlineStr">
        <is>
          <t>2024</t>
        </is>
      </c>
      <c r="G635" s="24" t="inlineStr">
        <is>
          <t>CFS</t>
        </is>
      </c>
      <c r="H635" s="24" t="inlineStr">
        <is>
          <t>CF</t>
        </is>
      </c>
      <c r="I635" s="24" t="inlineStr">
        <is>
          <t>현금흐름표</t>
        </is>
      </c>
      <c r="J635" s="24" t="inlineStr">
        <is>
          <t>dart_RepaymentsOfBondWithWarrant</t>
        </is>
      </c>
      <c r="K635" s="24" t="inlineStr">
        <is>
          <t>신주인수권부사채의 상환</t>
        </is>
      </c>
      <c r="L635" s="24" t="inlineStr">
        <is>
          <t>-</t>
        </is>
      </c>
      <c r="M635" s="24" t="inlineStr">
        <is>
          <t>제 19 기</t>
        </is>
      </c>
      <c r="N635" s="24" t="inlineStr">
        <is>
          <t>2000000000.0</t>
        </is>
      </c>
      <c r="O635" s="24" t="inlineStr">
        <is>
          <t>해당 없음</t>
        </is>
      </c>
      <c r="P635" s="24" t="inlineStr">
        <is>
          <t>KRW</t>
        </is>
      </c>
      <c r="Q635" s="24" t="inlineStr">
        <is>
          <t>15</t>
        </is>
      </c>
    </row>
    <row r="636" ht="24" customHeight="1">
      <c r="A636" s="29" t="inlineStr">
        <is>
          <t>OpenDART_fnlttSinglAcntAll</t>
        </is>
      </c>
      <c r="B636" s="29" t="inlineStr">
        <is>
          <t>00591441</t>
        </is>
      </c>
      <c r="C636" s="29" t="inlineStr">
        <is>
          <t>어보브반도체</t>
        </is>
      </c>
      <c r="D636" s="29" t="inlineStr">
        <is>
          <t>abov</t>
        </is>
      </c>
      <c r="E636" s="29" t="inlineStr">
        <is>
          <t>102120</t>
        </is>
      </c>
      <c r="F636" s="29" t="inlineStr">
        <is>
          <t>2024</t>
        </is>
      </c>
      <c r="G636" s="29" t="inlineStr">
        <is>
          <t>CFS</t>
        </is>
      </c>
      <c r="H636" s="29" t="inlineStr">
        <is>
          <t>CF</t>
        </is>
      </c>
      <c r="I636" s="29" t="inlineStr">
        <is>
          <t>현금흐름표</t>
        </is>
      </c>
      <c r="J636" s="29" t="inlineStr">
        <is>
          <t>dart_RepaymentsOfConvertibleBonds</t>
        </is>
      </c>
      <c r="K636" s="29" t="inlineStr">
        <is>
          <t>전환사채의 상환</t>
        </is>
      </c>
      <c r="L636" s="29" t="inlineStr">
        <is>
          <t>-</t>
        </is>
      </c>
      <c r="M636" s="29" t="inlineStr">
        <is>
          <t>제 19 기</t>
        </is>
      </c>
      <c r="N636" s="29" t="inlineStr">
        <is>
          <t>9000000000.0</t>
        </is>
      </c>
      <c r="O636" s="29" t="inlineStr">
        <is>
          <t>5000000000.0</t>
        </is>
      </c>
      <c r="P636" s="29" t="inlineStr">
        <is>
          <t>KRW</t>
        </is>
      </c>
      <c r="Q636" s="29" t="inlineStr">
        <is>
          <t>16</t>
        </is>
      </c>
    </row>
    <row r="637" ht="24" customHeight="1">
      <c r="A637" s="24" t="inlineStr">
        <is>
          <t>OpenDART_fnlttSinglAcntAll</t>
        </is>
      </c>
      <c r="B637" s="24" t="inlineStr">
        <is>
          <t>00591441</t>
        </is>
      </c>
      <c r="C637" s="24" t="inlineStr">
        <is>
          <t>어보브반도체</t>
        </is>
      </c>
      <c r="D637" s="24" t="inlineStr">
        <is>
          <t>abov</t>
        </is>
      </c>
      <c r="E637" s="24" t="inlineStr">
        <is>
          <t>102120</t>
        </is>
      </c>
      <c r="F637" s="24" t="inlineStr">
        <is>
          <t>2024</t>
        </is>
      </c>
      <c r="G637" s="24" t="inlineStr">
        <is>
          <t>CFS</t>
        </is>
      </c>
      <c r="H637" s="24" t="inlineStr">
        <is>
          <t>CF</t>
        </is>
      </c>
      <c r="I637" s="24" t="inlineStr">
        <is>
          <t>현금흐름표</t>
        </is>
      </c>
      <c r="J637" s="24" t="inlineStr">
        <is>
          <t>dart_RepaymentsOfLongTermBorrowings</t>
        </is>
      </c>
      <c r="K637" s="24" t="inlineStr">
        <is>
          <t>장기차입금의 상환</t>
        </is>
      </c>
      <c r="L637" s="24" t="inlineStr">
        <is>
          <t>-</t>
        </is>
      </c>
      <c r="M637" s="24" t="inlineStr">
        <is>
          <t>제 19 기</t>
        </is>
      </c>
      <c r="N637" s="24" t="inlineStr">
        <is>
          <t>150000000.0</t>
        </is>
      </c>
      <c r="O637" s="24" t="inlineStr">
        <is>
          <t>833350000.0</t>
        </is>
      </c>
      <c r="P637" s="24" t="inlineStr">
        <is>
          <t>KRW</t>
        </is>
      </c>
      <c r="Q637" s="24" t="inlineStr">
        <is>
          <t>17</t>
        </is>
      </c>
    </row>
    <row r="638" ht="24" customHeight="1">
      <c r="A638" s="29" t="inlineStr">
        <is>
          <t>OpenDART_fnlttSinglAcntAll</t>
        </is>
      </c>
      <c r="B638" s="29" t="inlineStr">
        <is>
          <t>00591441</t>
        </is>
      </c>
      <c r="C638" s="29" t="inlineStr">
        <is>
          <t>어보브반도체</t>
        </is>
      </c>
      <c r="D638" s="29" t="inlineStr">
        <is>
          <t>abov</t>
        </is>
      </c>
      <c r="E638" s="29" t="inlineStr">
        <is>
          <t>102120</t>
        </is>
      </c>
      <c r="F638" s="29" t="inlineStr">
        <is>
          <t>2024</t>
        </is>
      </c>
      <c r="G638" s="29" t="inlineStr">
        <is>
          <t>CFS</t>
        </is>
      </c>
      <c r="H638" s="29" t="inlineStr">
        <is>
          <t>CF</t>
        </is>
      </c>
      <c r="I638" s="29" t="inlineStr">
        <is>
          <t>현금흐름표</t>
        </is>
      </c>
      <c r="J638" s="29" t="inlineStr">
        <is>
          <t>dart_RepaymentsOfShortTermBorrowings</t>
        </is>
      </c>
      <c r="K638" s="29" t="inlineStr">
        <is>
          <t>단기차입금의 상환</t>
        </is>
      </c>
      <c r="L638" s="29" t="inlineStr">
        <is>
          <t>-</t>
        </is>
      </c>
      <c r="M638" s="29" t="inlineStr">
        <is>
          <t>제 19 기</t>
        </is>
      </c>
      <c r="N638" s="29" t="inlineStr">
        <is>
          <t>24261124962.0</t>
        </is>
      </c>
      <c r="O638" s="29" t="inlineStr">
        <is>
          <t>12722158929.0</t>
        </is>
      </c>
      <c r="P638" s="29" t="inlineStr">
        <is>
          <t>KRW</t>
        </is>
      </c>
      <c r="Q638" s="29" t="inlineStr">
        <is>
          <t>18</t>
        </is>
      </c>
    </row>
    <row r="639" ht="24" customHeight="1">
      <c r="A639" s="24" t="inlineStr">
        <is>
          <t>OpenDART_fnlttSinglAcntAll</t>
        </is>
      </c>
      <c r="B639" s="24" t="inlineStr">
        <is>
          <t>00591441</t>
        </is>
      </c>
      <c r="C639" s="24" t="inlineStr">
        <is>
          <t>어보브반도체</t>
        </is>
      </c>
      <c r="D639" s="24" t="inlineStr">
        <is>
          <t>abov</t>
        </is>
      </c>
      <c r="E639" s="24" t="inlineStr">
        <is>
          <t>102120</t>
        </is>
      </c>
      <c r="F639" s="24" t="inlineStr">
        <is>
          <t>2024</t>
        </is>
      </c>
      <c r="G639" s="24" t="inlineStr">
        <is>
          <t>CFS</t>
        </is>
      </c>
      <c r="H639" s="24" t="inlineStr">
        <is>
          <t>CF</t>
        </is>
      </c>
      <c r="I639" s="24" t="inlineStr">
        <is>
          <t>현금흐름표</t>
        </is>
      </c>
      <c r="J639" s="24" t="inlineStr">
        <is>
          <t>-표준계정코드 미사용-</t>
        </is>
      </c>
      <c r="K639" s="24" t="inlineStr">
        <is>
          <t>유동성장기차입금의 상환</t>
        </is>
      </c>
      <c r="L639" s="24" t="inlineStr">
        <is>
          <t>-</t>
        </is>
      </c>
      <c r="M639" s="24" t="inlineStr">
        <is>
          <t>제 19 기</t>
        </is>
      </c>
      <c r="N639" s="24" t="inlineStr">
        <is>
          <t>13065154432.0</t>
        </is>
      </c>
      <c r="O639" s="24" t="inlineStr">
        <is>
          <t>15615014191.0</t>
        </is>
      </c>
      <c r="P639" s="24" t="inlineStr">
        <is>
          <t>KRW</t>
        </is>
      </c>
      <c r="Q639" s="24" t="inlineStr">
        <is>
          <t>19</t>
        </is>
      </c>
    </row>
    <row r="640" ht="24" customHeight="1">
      <c r="A640" s="29" t="inlineStr">
        <is>
          <t>OpenDART_fnlttSinglAcntAll</t>
        </is>
      </c>
      <c r="B640" s="29" t="inlineStr">
        <is>
          <t>00591441</t>
        </is>
      </c>
      <c r="C640" s="29" t="inlineStr">
        <is>
          <t>어보브반도체</t>
        </is>
      </c>
      <c r="D640" s="29" t="inlineStr">
        <is>
          <t>abov</t>
        </is>
      </c>
      <c r="E640" s="29" t="inlineStr">
        <is>
          <t>102120</t>
        </is>
      </c>
      <c r="F640" s="29" t="inlineStr">
        <is>
          <t>2024</t>
        </is>
      </c>
      <c r="G640" s="29" t="inlineStr">
        <is>
          <t>CFS</t>
        </is>
      </c>
      <c r="H640" s="29" t="inlineStr">
        <is>
          <t>CF</t>
        </is>
      </c>
      <c r="I640" s="29" t="inlineStr">
        <is>
          <t>현금흐름표</t>
        </is>
      </c>
      <c r="J640" s="29" t="inlineStr">
        <is>
          <t>-표준계정코드 미사용-</t>
        </is>
      </c>
      <c r="K640" s="29" t="inlineStr">
        <is>
          <t>리스부채의 감소</t>
        </is>
      </c>
      <c r="L640" s="29" t="inlineStr">
        <is>
          <t>-</t>
        </is>
      </c>
      <c r="M640" s="29" t="inlineStr">
        <is>
          <t>제 19 기</t>
        </is>
      </c>
      <c r="N640" s="29" t="inlineStr">
        <is>
          <t>3255583475.0</t>
        </is>
      </c>
      <c r="O640" s="29" t="inlineStr">
        <is>
          <t>2088074209.0</t>
        </is>
      </c>
      <c r="P640" s="29" t="inlineStr">
        <is>
          <t>KRW</t>
        </is>
      </c>
      <c r="Q640" s="29" t="inlineStr">
        <is>
          <t>20</t>
        </is>
      </c>
    </row>
    <row r="641" ht="24" customHeight="1">
      <c r="A641" s="24" t="inlineStr">
        <is>
          <t>OpenDART_fnlttSinglAcntAll</t>
        </is>
      </c>
      <c r="B641" s="24" t="inlineStr">
        <is>
          <t>00591441</t>
        </is>
      </c>
      <c r="C641" s="24" t="inlineStr">
        <is>
          <t>어보브반도체</t>
        </is>
      </c>
      <c r="D641" s="24" t="inlineStr">
        <is>
          <t>abov</t>
        </is>
      </c>
      <c r="E641" s="24" t="inlineStr">
        <is>
          <t>102120</t>
        </is>
      </c>
      <c r="F641" s="24" t="inlineStr">
        <is>
          <t>2024</t>
        </is>
      </c>
      <c r="G641" s="24" t="inlineStr">
        <is>
          <t>CFS</t>
        </is>
      </c>
      <c r="H641" s="24" t="inlineStr">
        <is>
          <t>CF</t>
        </is>
      </c>
      <c r="I641" s="24" t="inlineStr">
        <is>
          <t>현금흐름표</t>
        </is>
      </c>
      <c r="J641" s="24" t="inlineStr">
        <is>
          <t>-표준계정코드 미사용-</t>
        </is>
      </c>
      <c r="K641" s="24" t="inlineStr">
        <is>
          <t>단기차입금의 차입</t>
        </is>
      </c>
      <c r="L641" s="24" t="inlineStr">
        <is>
          <t>-</t>
        </is>
      </c>
      <c r="M641" s="24" t="inlineStr">
        <is>
          <t>제 19 기</t>
        </is>
      </c>
      <c r="N641" s="24" t="inlineStr">
        <is>
          <t>20700000000.0</t>
        </is>
      </c>
      <c r="O641" s="24" t="inlineStr">
        <is>
          <t>18406819856.0</t>
        </is>
      </c>
      <c r="P641" s="24" t="inlineStr">
        <is>
          <t>KRW</t>
        </is>
      </c>
      <c r="Q641" s="24" t="inlineStr">
        <is>
          <t>21</t>
        </is>
      </c>
    </row>
    <row r="642" ht="24" customHeight="1">
      <c r="A642" s="29" t="inlineStr">
        <is>
          <t>OpenDART_fnlttSinglAcntAll</t>
        </is>
      </c>
      <c r="B642" s="29" t="inlineStr">
        <is>
          <t>00591441</t>
        </is>
      </c>
      <c r="C642" s="29" t="inlineStr">
        <is>
          <t>어보브반도체</t>
        </is>
      </c>
      <c r="D642" s="29" t="inlineStr">
        <is>
          <t>abov</t>
        </is>
      </c>
      <c r="E642" s="29" t="inlineStr">
        <is>
          <t>102120</t>
        </is>
      </c>
      <c r="F642" s="29" t="inlineStr">
        <is>
          <t>2024</t>
        </is>
      </c>
      <c r="G642" s="29" t="inlineStr">
        <is>
          <t>CFS</t>
        </is>
      </c>
      <c r="H642" s="29" t="inlineStr">
        <is>
          <t>CF</t>
        </is>
      </c>
      <c r="I642" s="29" t="inlineStr">
        <is>
          <t>현금흐름표</t>
        </is>
      </c>
      <c r="J642" s="29" t="inlineStr">
        <is>
          <t>-표준계정코드 미사용-</t>
        </is>
      </c>
      <c r="K642" s="29" t="inlineStr">
        <is>
          <t>배당금 지급</t>
        </is>
      </c>
      <c r="L642" s="29" t="inlineStr">
        <is>
          <t>-</t>
        </is>
      </c>
      <c r="M642" s="29" t="inlineStr">
        <is>
          <t>제 19 기</t>
        </is>
      </c>
      <c r="N642" s="29" t="inlineStr">
        <is>
          <t>1649875400.0</t>
        </is>
      </c>
      <c r="O642" s="29" t="inlineStr">
        <is>
          <t>3299750800.0</t>
        </is>
      </c>
      <c r="P642" s="29" t="inlineStr">
        <is>
          <t>KRW</t>
        </is>
      </c>
      <c r="Q642" s="29" t="inlineStr">
        <is>
          <t>22</t>
        </is>
      </c>
    </row>
    <row r="643" ht="24" customHeight="1">
      <c r="A643" s="24" t="inlineStr">
        <is>
          <t>OpenDART_fnlttSinglAcntAll</t>
        </is>
      </c>
      <c r="B643" s="24" t="inlineStr">
        <is>
          <t>00591441</t>
        </is>
      </c>
      <c r="C643" s="24" t="inlineStr">
        <is>
          <t>어보브반도체</t>
        </is>
      </c>
      <c r="D643" s="24" t="inlineStr">
        <is>
          <t>abov</t>
        </is>
      </c>
      <c r="E643" s="24" t="inlineStr">
        <is>
          <t>102120</t>
        </is>
      </c>
      <c r="F643" s="24" t="inlineStr">
        <is>
          <t>2024</t>
        </is>
      </c>
      <c r="G643" s="24" t="inlineStr">
        <is>
          <t>CFS</t>
        </is>
      </c>
      <c r="H643" s="24" t="inlineStr">
        <is>
          <t>CF</t>
        </is>
      </c>
      <c r="I643" s="24" t="inlineStr">
        <is>
          <t>현금흐름표</t>
        </is>
      </c>
      <c r="J643" s="24" t="inlineStr">
        <is>
          <t>-표준계정코드 미사용-</t>
        </is>
      </c>
      <c r="K643" s="24" t="inlineStr">
        <is>
          <t>자본금 증자</t>
        </is>
      </c>
      <c r="L643" s="24" t="inlineStr">
        <is>
          <t>-</t>
        </is>
      </c>
      <c r="M643" s="24" t="inlineStr">
        <is>
          <t>제 19 기</t>
        </is>
      </c>
      <c r="N643" s="24" t="inlineStr">
        <is>
          <t>29384211304.0</t>
        </is>
      </c>
      <c r="O643" s="24" t="inlineStr">
        <is>
          <t>해당 없음</t>
        </is>
      </c>
      <c r="P643" s="24" t="inlineStr">
        <is>
          <t>KRW</t>
        </is>
      </c>
      <c r="Q643" s="24" t="inlineStr">
        <is>
          <t>23</t>
        </is>
      </c>
    </row>
    <row r="644" ht="24" customHeight="1">
      <c r="A644" s="29" t="inlineStr">
        <is>
          <t>OpenDART_fnlttSinglAcntAll</t>
        </is>
      </c>
      <c r="B644" s="29" t="inlineStr">
        <is>
          <t>00591441</t>
        </is>
      </c>
      <c r="C644" s="29" t="inlineStr">
        <is>
          <t>어보브반도체</t>
        </is>
      </c>
      <c r="D644" s="29" t="inlineStr">
        <is>
          <t>abov</t>
        </is>
      </c>
      <c r="E644" s="29" t="inlineStr">
        <is>
          <t>102120</t>
        </is>
      </c>
      <c r="F644" s="29" t="inlineStr">
        <is>
          <t>2024</t>
        </is>
      </c>
      <c r="G644" s="29" t="inlineStr">
        <is>
          <t>CFS</t>
        </is>
      </c>
      <c r="H644" s="29" t="inlineStr">
        <is>
          <t>CF</t>
        </is>
      </c>
      <c r="I644" s="29" t="inlineStr">
        <is>
          <t>현금흐름표</t>
        </is>
      </c>
      <c r="J644" s="29" t="inlineStr">
        <is>
          <t>ifrs-full_CashFlowsFromUsedInInvestingActivities</t>
        </is>
      </c>
      <c r="K644" s="29" t="inlineStr">
        <is>
          <t>투자활동현금흐름</t>
        </is>
      </c>
      <c r="L644" s="29" t="inlineStr">
        <is>
          <t>-</t>
        </is>
      </c>
      <c r="M644" s="29" t="inlineStr">
        <is>
          <t>제 19 기</t>
        </is>
      </c>
      <c r="N644" s="29" t="inlineStr">
        <is>
          <t>-58751841871.0</t>
        </is>
      </c>
      <c r="O644" s="29" t="inlineStr">
        <is>
          <t>-14573084319.0</t>
        </is>
      </c>
      <c r="P644" s="29" t="inlineStr">
        <is>
          <t>KRW</t>
        </is>
      </c>
      <c r="Q644" s="29" t="inlineStr">
        <is>
          <t>24</t>
        </is>
      </c>
    </row>
    <row r="645" ht="24" customHeight="1">
      <c r="A645" s="24" t="inlineStr">
        <is>
          <t>OpenDART_fnlttSinglAcntAll</t>
        </is>
      </c>
      <c r="B645" s="24" t="inlineStr">
        <is>
          <t>00591441</t>
        </is>
      </c>
      <c r="C645" s="24" t="inlineStr">
        <is>
          <t>어보브반도체</t>
        </is>
      </c>
      <c r="D645" s="24" t="inlineStr">
        <is>
          <t>abov</t>
        </is>
      </c>
      <c r="E645" s="24" t="inlineStr">
        <is>
          <t>102120</t>
        </is>
      </c>
      <c r="F645" s="24" t="inlineStr">
        <is>
          <t>2024</t>
        </is>
      </c>
      <c r="G645" s="24" t="inlineStr">
        <is>
          <t>CFS</t>
        </is>
      </c>
      <c r="H645" s="24" t="inlineStr">
        <is>
          <t>CF</t>
        </is>
      </c>
      <c r="I645" s="24" t="inlineStr">
        <is>
          <t>현금흐름표</t>
        </is>
      </c>
      <c r="J645" s="24" t="inlineStr">
        <is>
          <t>dart_DecreaseInGuaranteeDeposits</t>
        </is>
      </c>
      <c r="K645" s="24" t="inlineStr">
        <is>
          <t>보증금의 감소</t>
        </is>
      </c>
      <c r="L645" s="24" t="inlineStr">
        <is>
          <t>-</t>
        </is>
      </c>
      <c r="M645" s="24" t="inlineStr">
        <is>
          <t>제 19 기</t>
        </is>
      </c>
      <c r="N645" s="24" t="inlineStr">
        <is>
          <t>792448500.0</t>
        </is>
      </c>
      <c r="O645" s="24" t="inlineStr">
        <is>
          <t>741387393.0</t>
        </is>
      </c>
      <c r="P645" s="24" t="inlineStr">
        <is>
          <t>KRW</t>
        </is>
      </c>
      <c r="Q645" s="24" t="inlineStr">
        <is>
          <t>25</t>
        </is>
      </c>
    </row>
    <row r="646" ht="24" customHeight="1">
      <c r="A646" s="29" t="inlineStr">
        <is>
          <t>OpenDART_fnlttSinglAcntAll</t>
        </is>
      </c>
      <c r="B646" s="29" t="inlineStr">
        <is>
          <t>00591441</t>
        </is>
      </c>
      <c r="C646" s="29" t="inlineStr">
        <is>
          <t>어보브반도체</t>
        </is>
      </c>
      <c r="D646" s="29" t="inlineStr">
        <is>
          <t>abov</t>
        </is>
      </c>
      <c r="E646" s="29" t="inlineStr">
        <is>
          <t>102120</t>
        </is>
      </c>
      <c r="F646" s="29" t="inlineStr">
        <is>
          <t>2024</t>
        </is>
      </c>
      <c r="G646" s="29" t="inlineStr">
        <is>
          <t>CFS</t>
        </is>
      </c>
      <c r="H646" s="29" t="inlineStr">
        <is>
          <t>CF</t>
        </is>
      </c>
      <c r="I646" s="29" t="inlineStr">
        <is>
          <t>현금흐름표</t>
        </is>
      </c>
      <c r="J646" s="29" t="inlineStr">
        <is>
          <t>dart_DecreaseInLoans</t>
        </is>
      </c>
      <c r="K646" s="29" t="inlineStr">
        <is>
          <t>대여금의 감소</t>
        </is>
      </c>
      <c r="L646" s="29" t="inlineStr">
        <is>
          <t>-</t>
        </is>
      </c>
      <c r="M646" s="29" t="inlineStr">
        <is>
          <t>제 19 기</t>
        </is>
      </c>
      <c r="N646" s="29" t="inlineStr">
        <is>
          <t>5000100.0</t>
        </is>
      </c>
      <c r="O646" s="29" t="inlineStr">
        <is>
          <t>81110433.0</t>
        </is>
      </c>
      <c r="P646" s="29" t="inlineStr">
        <is>
          <t>KRW</t>
        </is>
      </c>
      <c r="Q646" s="29" t="inlineStr">
        <is>
          <t>26</t>
        </is>
      </c>
    </row>
    <row r="647" ht="24" customHeight="1">
      <c r="A647" s="24" t="inlineStr">
        <is>
          <t>OpenDART_fnlttSinglAcntAll</t>
        </is>
      </c>
      <c r="B647" s="24" t="inlineStr">
        <is>
          <t>00591441</t>
        </is>
      </c>
      <c r="C647" s="24" t="inlineStr">
        <is>
          <t>어보브반도체</t>
        </is>
      </c>
      <c r="D647" s="24" t="inlineStr">
        <is>
          <t>abov</t>
        </is>
      </c>
      <c r="E647" s="24" t="inlineStr">
        <is>
          <t>102120</t>
        </is>
      </c>
      <c r="F647" s="24" t="inlineStr">
        <is>
          <t>2024</t>
        </is>
      </c>
      <c r="G647" s="24" t="inlineStr">
        <is>
          <t>CFS</t>
        </is>
      </c>
      <c r="H647" s="24" t="inlineStr">
        <is>
          <t>CF</t>
        </is>
      </c>
      <c r="I647" s="24" t="inlineStr">
        <is>
          <t>현금흐름표</t>
        </is>
      </c>
      <c r="J647" s="24" t="inlineStr">
        <is>
          <t>dart_IncreaseInGuaranteeDeposits</t>
        </is>
      </c>
      <c r="K647" s="24" t="inlineStr">
        <is>
          <t>보증금의 증가</t>
        </is>
      </c>
      <c r="L647" s="24" t="inlineStr">
        <is>
          <t>-</t>
        </is>
      </c>
      <c r="M647" s="24" t="inlineStr">
        <is>
          <t>제 19 기</t>
        </is>
      </c>
      <c r="N647" s="24" t="inlineStr">
        <is>
          <t>152561385.0</t>
        </is>
      </c>
      <c r="O647" s="24" t="inlineStr">
        <is>
          <t>760775402.0</t>
        </is>
      </c>
      <c r="P647" s="24" t="inlineStr">
        <is>
          <t>KRW</t>
        </is>
      </c>
      <c r="Q647" s="24" t="inlineStr">
        <is>
          <t>27</t>
        </is>
      </c>
    </row>
    <row r="648" ht="24" customHeight="1">
      <c r="A648" s="29" t="inlineStr">
        <is>
          <t>OpenDART_fnlttSinglAcntAll</t>
        </is>
      </c>
      <c r="B648" s="29" t="inlineStr">
        <is>
          <t>00591441</t>
        </is>
      </c>
      <c r="C648" s="29" t="inlineStr">
        <is>
          <t>어보브반도체</t>
        </is>
      </c>
      <c r="D648" s="29" t="inlineStr">
        <is>
          <t>abov</t>
        </is>
      </c>
      <c r="E648" s="29" t="inlineStr">
        <is>
          <t>102120</t>
        </is>
      </c>
      <c r="F648" s="29" t="inlineStr">
        <is>
          <t>2024</t>
        </is>
      </c>
      <c r="G648" s="29" t="inlineStr">
        <is>
          <t>CFS</t>
        </is>
      </c>
      <c r="H648" s="29" t="inlineStr">
        <is>
          <t>CF</t>
        </is>
      </c>
      <c r="I648" s="29" t="inlineStr">
        <is>
          <t>현금흐름표</t>
        </is>
      </c>
      <c r="J648" s="29" t="inlineStr">
        <is>
          <t>dart_IncreaseInLoans</t>
        </is>
      </c>
      <c r="K648" s="29" t="inlineStr">
        <is>
          <t>대여금의 증가</t>
        </is>
      </c>
      <c r="L648" s="29" t="inlineStr">
        <is>
          <t>-</t>
        </is>
      </c>
      <c r="M648" s="29" t="inlineStr">
        <is>
          <t>제 19 기</t>
        </is>
      </c>
      <c r="N648" s="29" t="inlineStr">
        <is>
          <t>318393901.0</t>
        </is>
      </c>
      <c r="O648" s="29" t="inlineStr">
        <is>
          <t>20000000.0</t>
        </is>
      </c>
      <c r="P648" s="29" t="inlineStr">
        <is>
          <t>KRW</t>
        </is>
      </c>
      <c r="Q648" s="29" t="inlineStr">
        <is>
          <t>28</t>
        </is>
      </c>
    </row>
    <row r="649" ht="24" customHeight="1">
      <c r="A649" s="24" t="inlineStr">
        <is>
          <t>OpenDART_fnlttSinglAcntAll</t>
        </is>
      </c>
      <c r="B649" s="24" t="inlineStr">
        <is>
          <t>00591441</t>
        </is>
      </c>
      <c r="C649" s="24" t="inlineStr">
        <is>
          <t>어보브반도체</t>
        </is>
      </c>
      <c r="D649" s="24" t="inlineStr">
        <is>
          <t>abov</t>
        </is>
      </c>
      <c r="E649" s="24" t="inlineStr">
        <is>
          <t>102120</t>
        </is>
      </c>
      <c r="F649" s="24" t="inlineStr">
        <is>
          <t>2024</t>
        </is>
      </c>
      <c r="G649" s="24" t="inlineStr">
        <is>
          <t>CFS</t>
        </is>
      </c>
      <c r="H649" s="24" t="inlineStr">
        <is>
          <t>CF</t>
        </is>
      </c>
      <c r="I649" s="24" t="inlineStr">
        <is>
          <t>현금흐름표</t>
        </is>
      </c>
      <c r="J649" s="24" t="inlineStr">
        <is>
          <t>dart_ProceedsFromSalesOfAvailableForSaleFinancialAssets</t>
        </is>
      </c>
      <c r="K649" s="24" t="inlineStr">
        <is>
          <t>당기손익공정가치측정금융자산 처분</t>
        </is>
      </c>
      <c r="L649" s="24" t="inlineStr">
        <is>
          <t>-</t>
        </is>
      </c>
      <c r="M649" s="24" t="inlineStr">
        <is>
          <t>제 19 기</t>
        </is>
      </c>
      <c r="N649" s="24" t="inlineStr">
        <is>
          <t>50000000.0</t>
        </is>
      </c>
      <c r="O649" s="24" t="inlineStr">
        <is>
          <t>100000000.0</t>
        </is>
      </c>
      <c r="P649" s="24" t="inlineStr">
        <is>
          <t>KRW</t>
        </is>
      </c>
      <c r="Q649" s="24" t="inlineStr">
        <is>
          <t>29</t>
        </is>
      </c>
    </row>
    <row r="650" ht="24" customHeight="1">
      <c r="A650" s="29" t="inlineStr">
        <is>
          <t>OpenDART_fnlttSinglAcntAll</t>
        </is>
      </c>
      <c r="B650" s="29" t="inlineStr">
        <is>
          <t>00591441</t>
        </is>
      </c>
      <c r="C650" s="29" t="inlineStr">
        <is>
          <t>어보브반도체</t>
        </is>
      </c>
      <c r="D650" s="29" t="inlineStr">
        <is>
          <t>abov</t>
        </is>
      </c>
      <c r="E650" s="29" t="inlineStr">
        <is>
          <t>102120</t>
        </is>
      </c>
      <c r="F650" s="29" t="inlineStr">
        <is>
          <t>2024</t>
        </is>
      </c>
      <c r="G650" s="29" t="inlineStr">
        <is>
          <t>CFS</t>
        </is>
      </c>
      <c r="H650" s="29" t="inlineStr">
        <is>
          <t>CF</t>
        </is>
      </c>
      <c r="I650" s="29" t="inlineStr">
        <is>
          <t>현금흐름표</t>
        </is>
      </c>
      <c r="J650" s="29" t="inlineStr">
        <is>
          <t>dart_ProceedsFromSalesOfLongTermFinancialInstruments</t>
        </is>
      </c>
      <c r="K650" s="29" t="inlineStr">
        <is>
          <t>장단기금융상품의 처분</t>
        </is>
      </c>
      <c r="L650" s="29" t="inlineStr">
        <is>
          <t>-</t>
        </is>
      </c>
      <c r="M650" s="29" t="inlineStr">
        <is>
          <t>제 19 기</t>
        </is>
      </c>
      <c r="N650" s="29" t="inlineStr">
        <is>
          <t>8000000000.0</t>
        </is>
      </c>
      <c r="O650" s="29" t="inlineStr">
        <is>
          <t>해당 없음</t>
        </is>
      </c>
      <c r="P650" s="29" t="inlineStr">
        <is>
          <t>KRW</t>
        </is>
      </c>
      <c r="Q650" s="29" t="inlineStr">
        <is>
          <t>30</t>
        </is>
      </c>
    </row>
    <row r="651" ht="24" customHeight="1">
      <c r="A651" s="24" t="inlineStr">
        <is>
          <t>OpenDART_fnlttSinglAcntAll</t>
        </is>
      </c>
      <c r="B651" s="24" t="inlineStr">
        <is>
          <t>00591441</t>
        </is>
      </c>
      <c r="C651" s="24" t="inlineStr">
        <is>
          <t>어보브반도체</t>
        </is>
      </c>
      <c r="D651" s="24" t="inlineStr">
        <is>
          <t>abov</t>
        </is>
      </c>
      <c r="E651" s="24" t="inlineStr">
        <is>
          <t>102120</t>
        </is>
      </c>
      <c r="F651" s="24" t="inlineStr">
        <is>
          <t>2024</t>
        </is>
      </c>
      <c r="G651" s="24" t="inlineStr">
        <is>
          <t>CFS</t>
        </is>
      </c>
      <c r="H651" s="24" t="inlineStr">
        <is>
          <t>CF</t>
        </is>
      </c>
      <c r="I651" s="24" t="inlineStr">
        <is>
          <t>현금흐름표</t>
        </is>
      </c>
      <c r="J651" s="24" t="inlineStr">
        <is>
          <t>dart_PurchaseOfFinancialInstruments</t>
        </is>
      </c>
      <c r="K651" s="24" t="inlineStr">
        <is>
          <t>장단기금융상품의 취득</t>
        </is>
      </c>
      <c r="L651" s="24" t="inlineStr">
        <is>
          <t>-</t>
        </is>
      </c>
      <c r="M651" s="24" t="inlineStr">
        <is>
          <t>제 19 기</t>
        </is>
      </c>
      <c r="N651" s="24" t="inlineStr">
        <is>
          <t>18000000000.0</t>
        </is>
      </c>
      <c r="O651" s="24" t="inlineStr">
        <is>
          <t>474349180.0</t>
        </is>
      </c>
      <c r="P651" s="24" t="inlineStr">
        <is>
          <t>KRW</t>
        </is>
      </c>
      <c r="Q651" s="24" t="inlineStr">
        <is>
          <t>31</t>
        </is>
      </c>
    </row>
    <row r="652" ht="24" customHeight="1">
      <c r="A652" s="29" t="inlineStr">
        <is>
          <t>OpenDART_fnlttSinglAcntAll</t>
        </is>
      </c>
      <c r="B652" s="29" t="inlineStr">
        <is>
          <t>00591441</t>
        </is>
      </c>
      <c r="C652" s="29" t="inlineStr">
        <is>
          <t>어보브반도체</t>
        </is>
      </c>
      <c r="D652" s="29" t="inlineStr">
        <is>
          <t>abov</t>
        </is>
      </c>
      <c r="E652" s="29" t="inlineStr">
        <is>
          <t>102120</t>
        </is>
      </c>
      <c r="F652" s="29" t="inlineStr">
        <is>
          <t>2024</t>
        </is>
      </c>
      <c r="G652" s="29" t="inlineStr">
        <is>
          <t>CFS</t>
        </is>
      </c>
      <c r="H652" s="29" t="inlineStr">
        <is>
          <t>CF</t>
        </is>
      </c>
      <c r="I652" s="29" t="inlineStr">
        <is>
          <t>현금흐름표</t>
        </is>
      </c>
      <c r="J652" s="29" t="inlineStr">
        <is>
          <t>dart_RepaymentOfGovernmentGrantsClassifiedAsInvestingActivities</t>
        </is>
      </c>
      <c r="K652" s="29" t="inlineStr">
        <is>
          <t>국고보조금의 감소</t>
        </is>
      </c>
      <c r="L652" s="29" t="inlineStr">
        <is>
          <t>-</t>
        </is>
      </c>
      <c r="M652" s="29" t="inlineStr">
        <is>
          <t>제 19 기</t>
        </is>
      </c>
      <c r="N652" s="29" t="inlineStr">
        <is>
          <t>해당 없음</t>
        </is>
      </c>
      <c r="O652" s="29" t="inlineStr">
        <is>
          <t>해당 없음</t>
        </is>
      </c>
      <c r="P652" s="29" t="inlineStr">
        <is>
          <t>KRW</t>
        </is>
      </c>
      <c r="Q652" s="29" t="inlineStr">
        <is>
          <t>32</t>
        </is>
      </c>
    </row>
    <row r="653" ht="24" customHeight="1">
      <c r="A653" s="24" t="inlineStr">
        <is>
          <t>OpenDART_fnlttSinglAcntAll</t>
        </is>
      </c>
      <c r="B653" s="24" t="inlineStr">
        <is>
          <t>00591441</t>
        </is>
      </c>
      <c r="C653" s="24" t="inlineStr">
        <is>
          <t>어보브반도체</t>
        </is>
      </c>
      <c r="D653" s="24" t="inlineStr">
        <is>
          <t>abov</t>
        </is>
      </c>
      <c r="E653" s="24" t="inlineStr">
        <is>
          <t>102120</t>
        </is>
      </c>
      <c r="F653" s="24" t="inlineStr">
        <is>
          <t>2024</t>
        </is>
      </c>
      <c r="G653" s="24" t="inlineStr">
        <is>
          <t>CFS</t>
        </is>
      </c>
      <c r="H653" s="24" t="inlineStr">
        <is>
          <t>CF</t>
        </is>
      </c>
      <c r="I653" s="24" t="inlineStr">
        <is>
          <t>현금흐름표</t>
        </is>
      </c>
      <c r="J653" s="24" t="inlineStr">
        <is>
          <t>-표준계정코드 미사용-</t>
        </is>
      </c>
      <c r="K653" s="24" t="inlineStr">
        <is>
          <t>관계기업 투자주식의 취득</t>
        </is>
      </c>
      <c r="L653" s="24" t="inlineStr">
        <is>
          <t>-</t>
        </is>
      </c>
      <c r="M653" s="24" t="inlineStr">
        <is>
          <t>제 19 기</t>
        </is>
      </c>
      <c r="N653" s="24" t="inlineStr">
        <is>
          <t>해당 없음</t>
        </is>
      </c>
      <c r="O653" s="24" t="inlineStr">
        <is>
          <t>-2001000000.0</t>
        </is>
      </c>
      <c r="P653" s="24" t="inlineStr">
        <is>
          <t>KRW</t>
        </is>
      </c>
      <c r="Q653" s="24" t="inlineStr">
        <is>
          <t>33</t>
        </is>
      </c>
    </row>
    <row r="654" ht="24" customHeight="1">
      <c r="A654" s="29" t="inlineStr">
        <is>
          <t>OpenDART_fnlttSinglAcntAll</t>
        </is>
      </c>
      <c r="B654" s="29" t="inlineStr">
        <is>
          <t>00591441</t>
        </is>
      </c>
      <c r="C654" s="29" t="inlineStr">
        <is>
          <t>어보브반도체</t>
        </is>
      </c>
      <c r="D654" s="29" t="inlineStr">
        <is>
          <t>abov</t>
        </is>
      </c>
      <c r="E654" s="29" t="inlineStr">
        <is>
          <t>102120</t>
        </is>
      </c>
      <c r="F654" s="29" t="inlineStr">
        <is>
          <t>2024</t>
        </is>
      </c>
      <c r="G654" s="29" t="inlineStr">
        <is>
          <t>CFS</t>
        </is>
      </c>
      <c r="H654" s="29" t="inlineStr">
        <is>
          <t>CF</t>
        </is>
      </c>
      <c r="I654" s="29" t="inlineStr">
        <is>
          <t>현금흐름표</t>
        </is>
      </c>
      <c r="J654" s="29" t="inlineStr">
        <is>
          <t>-표준계정코드 미사용-</t>
        </is>
      </c>
      <c r="K654" s="29" t="inlineStr">
        <is>
          <t>관계기업 투자주식의 처분</t>
        </is>
      </c>
      <c r="L654" s="29" t="inlineStr">
        <is>
          <t>-</t>
        </is>
      </c>
      <c r="M654" s="29" t="inlineStr">
        <is>
          <t>제 19 기</t>
        </is>
      </c>
      <c r="N654" s="29" t="inlineStr">
        <is>
          <t>해당 없음</t>
        </is>
      </c>
      <c r="O654" s="29" t="inlineStr">
        <is>
          <t>해당 없음</t>
        </is>
      </c>
      <c r="P654" s="29" t="inlineStr">
        <is>
          <t>KRW</t>
        </is>
      </c>
      <c r="Q654" s="29" t="inlineStr">
        <is>
          <t>34</t>
        </is>
      </c>
    </row>
    <row r="655" ht="24" customHeight="1">
      <c r="A655" s="24" t="inlineStr">
        <is>
          <t>OpenDART_fnlttSinglAcntAll</t>
        </is>
      </c>
      <c r="B655" s="24" t="inlineStr">
        <is>
          <t>00591441</t>
        </is>
      </c>
      <c r="C655" s="24" t="inlineStr">
        <is>
          <t>어보브반도체</t>
        </is>
      </c>
      <c r="D655" s="24" t="inlineStr">
        <is>
          <t>abov</t>
        </is>
      </c>
      <c r="E655" s="24" t="inlineStr">
        <is>
          <t>102120</t>
        </is>
      </c>
      <c r="F655" s="24" t="inlineStr">
        <is>
          <t>2024</t>
        </is>
      </c>
      <c r="G655" s="24" t="inlineStr">
        <is>
          <t>CFS</t>
        </is>
      </c>
      <c r="H655" s="24" t="inlineStr">
        <is>
          <t>CF</t>
        </is>
      </c>
      <c r="I655" s="24" t="inlineStr">
        <is>
          <t>현금흐름표</t>
        </is>
      </c>
      <c r="J655" s="24" t="inlineStr">
        <is>
          <t>-표준계정코드 미사용-</t>
        </is>
      </c>
      <c r="K655" s="24" t="inlineStr">
        <is>
          <t>사업결합으로 인한 순현금 유입액</t>
        </is>
      </c>
      <c r="L655" s="24" t="inlineStr">
        <is>
          <t>-</t>
        </is>
      </c>
      <c r="M655" s="24" t="inlineStr">
        <is>
          <t>제 19 기</t>
        </is>
      </c>
      <c r="N655" s="24" t="inlineStr">
        <is>
          <t>해당 없음</t>
        </is>
      </c>
      <c r="O655" s="24" t="inlineStr">
        <is>
          <t>해당 없음</t>
        </is>
      </c>
      <c r="P655" s="24" t="inlineStr">
        <is>
          <t>KRW</t>
        </is>
      </c>
      <c r="Q655" s="24" t="inlineStr">
        <is>
          <t>35</t>
        </is>
      </c>
    </row>
    <row r="656" ht="24" customHeight="1">
      <c r="A656" s="29" t="inlineStr">
        <is>
          <t>OpenDART_fnlttSinglAcntAll</t>
        </is>
      </c>
      <c r="B656" s="29" t="inlineStr">
        <is>
          <t>00591441</t>
        </is>
      </c>
      <c r="C656" s="29" t="inlineStr">
        <is>
          <t>어보브반도체</t>
        </is>
      </c>
      <c r="D656" s="29" t="inlineStr">
        <is>
          <t>abov</t>
        </is>
      </c>
      <c r="E656" s="29" t="inlineStr">
        <is>
          <t>102120</t>
        </is>
      </c>
      <c r="F656" s="29" t="inlineStr">
        <is>
          <t>2024</t>
        </is>
      </c>
      <c r="G656" s="29" t="inlineStr">
        <is>
          <t>CFS</t>
        </is>
      </c>
      <c r="H656" s="29" t="inlineStr">
        <is>
          <t>CF</t>
        </is>
      </c>
      <c r="I656" s="29" t="inlineStr">
        <is>
          <t>현금흐름표</t>
        </is>
      </c>
      <c r="J656" s="29" t="inlineStr">
        <is>
          <t>-표준계정코드 미사용-</t>
        </is>
      </c>
      <c r="K656" s="29" t="inlineStr">
        <is>
          <t>국고보조금의 증가</t>
        </is>
      </c>
      <c r="L656" s="29" t="inlineStr">
        <is>
          <t>-</t>
        </is>
      </c>
      <c r="M656" s="29" t="inlineStr">
        <is>
          <t>제 19 기</t>
        </is>
      </c>
      <c r="N656" s="29" t="inlineStr">
        <is>
          <t>155760911.0</t>
        </is>
      </c>
      <c r="O656" s="29" t="inlineStr">
        <is>
          <t>61614406.0</t>
        </is>
      </c>
      <c r="P656" s="29" t="inlineStr">
        <is>
          <t>KRW</t>
        </is>
      </c>
      <c r="Q656" s="29" t="inlineStr">
        <is>
          <t>36</t>
        </is>
      </c>
    </row>
    <row r="657" ht="24" customHeight="1">
      <c r="A657" s="24" t="inlineStr">
        <is>
          <t>OpenDART_fnlttSinglAcntAll</t>
        </is>
      </c>
      <c r="B657" s="24" t="inlineStr">
        <is>
          <t>00591441</t>
        </is>
      </c>
      <c r="C657" s="24" t="inlineStr">
        <is>
          <t>어보브반도체</t>
        </is>
      </c>
      <c r="D657" s="24" t="inlineStr">
        <is>
          <t>abov</t>
        </is>
      </c>
      <c r="E657" s="24" t="inlineStr">
        <is>
          <t>102120</t>
        </is>
      </c>
      <c r="F657" s="24" t="inlineStr">
        <is>
          <t>2024</t>
        </is>
      </c>
      <c r="G657" s="24" t="inlineStr">
        <is>
          <t>CFS</t>
        </is>
      </c>
      <c r="H657" s="24" t="inlineStr">
        <is>
          <t>CF</t>
        </is>
      </c>
      <c r="I657" s="24" t="inlineStr">
        <is>
          <t>현금흐름표</t>
        </is>
      </c>
      <c r="J657" s="24" t="inlineStr">
        <is>
          <t>ifrs-full_ProceedsFromSalesOfIntangibleAssetsClassifiedAsInvestingActivities</t>
        </is>
      </c>
      <c r="K657" s="24" t="inlineStr">
        <is>
          <t>무형자산의 처분</t>
        </is>
      </c>
      <c r="L657" s="24" t="inlineStr">
        <is>
          <t>-</t>
        </is>
      </c>
      <c r="M657" s="24" t="inlineStr">
        <is>
          <t>제 19 기</t>
        </is>
      </c>
      <c r="N657" s="24" t="inlineStr">
        <is>
          <t>해당 없음</t>
        </is>
      </c>
      <c r="O657" s="24" t="inlineStr">
        <is>
          <t>636363636.0</t>
        </is>
      </c>
      <c r="P657" s="24" t="inlineStr">
        <is>
          <t>KRW</t>
        </is>
      </c>
      <c r="Q657" s="24" t="inlineStr">
        <is>
          <t>37</t>
        </is>
      </c>
    </row>
    <row r="658" ht="24" customHeight="1">
      <c r="A658" s="29" t="inlineStr">
        <is>
          <t>OpenDART_fnlttSinglAcntAll</t>
        </is>
      </c>
      <c r="B658" s="29" t="inlineStr">
        <is>
          <t>00591441</t>
        </is>
      </c>
      <c r="C658" s="29" t="inlineStr">
        <is>
          <t>어보브반도체</t>
        </is>
      </c>
      <c r="D658" s="29" t="inlineStr">
        <is>
          <t>abov</t>
        </is>
      </c>
      <c r="E658" s="29" t="inlineStr">
        <is>
          <t>102120</t>
        </is>
      </c>
      <c r="F658" s="29" t="inlineStr">
        <is>
          <t>2024</t>
        </is>
      </c>
      <c r="G658" s="29" t="inlineStr">
        <is>
          <t>CFS</t>
        </is>
      </c>
      <c r="H658" s="29" t="inlineStr">
        <is>
          <t>CF</t>
        </is>
      </c>
      <c r="I658" s="29" t="inlineStr">
        <is>
          <t>현금흐름표</t>
        </is>
      </c>
      <c r="J658" s="29" t="inlineStr">
        <is>
          <t>ifrs-full_ProceedsFromSalesOfPropertyPlantAndEquipmentClassifiedAsInvestingActivities</t>
        </is>
      </c>
      <c r="K658" s="29" t="inlineStr">
        <is>
          <t>유형자산의 처분</t>
        </is>
      </c>
      <c r="L658" s="29" t="inlineStr">
        <is>
          <t>-</t>
        </is>
      </c>
      <c r="M658" s="29" t="inlineStr">
        <is>
          <t>제 19 기</t>
        </is>
      </c>
      <c r="N658" s="29" t="inlineStr">
        <is>
          <t>694630010.0</t>
        </is>
      </c>
      <c r="O658" s="29" t="inlineStr">
        <is>
          <t>5057075445.0</t>
        </is>
      </c>
      <c r="P658" s="29" t="inlineStr">
        <is>
          <t>KRW</t>
        </is>
      </c>
      <c r="Q658" s="29" t="inlineStr">
        <is>
          <t>38</t>
        </is>
      </c>
    </row>
    <row r="659" ht="24" customHeight="1">
      <c r="A659" s="24" t="inlineStr">
        <is>
          <t>OpenDART_fnlttSinglAcntAll</t>
        </is>
      </c>
      <c r="B659" s="24" t="inlineStr">
        <is>
          <t>00591441</t>
        </is>
      </c>
      <c r="C659" s="24" t="inlineStr">
        <is>
          <t>어보브반도체</t>
        </is>
      </c>
      <c r="D659" s="24" t="inlineStr">
        <is>
          <t>abov</t>
        </is>
      </c>
      <c r="E659" s="24" t="inlineStr">
        <is>
          <t>102120</t>
        </is>
      </c>
      <c r="F659" s="24" t="inlineStr">
        <is>
          <t>2024</t>
        </is>
      </c>
      <c r="G659" s="24" t="inlineStr">
        <is>
          <t>CFS</t>
        </is>
      </c>
      <c r="H659" s="24" t="inlineStr">
        <is>
          <t>CF</t>
        </is>
      </c>
      <c r="I659" s="24" t="inlineStr">
        <is>
          <t>현금흐름표</t>
        </is>
      </c>
      <c r="J659" s="24" t="inlineStr">
        <is>
          <t>ifrs-full_PurchaseOfAvailableforsaleFinancialAssets</t>
        </is>
      </c>
      <c r="K659" s="24" t="inlineStr">
        <is>
          <t>당기손익공정가치측정금융자산 취득</t>
        </is>
      </c>
      <c r="L659" s="24" t="inlineStr">
        <is>
          <t>-</t>
        </is>
      </c>
      <c r="M659" s="24" t="inlineStr">
        <is>
          <t>제 19 기</t>
        </is>
      </c>
      <c r="N659" s="24" t="inlineStr">
        <is>
          <t>31352838112.0</t>
        </is>
      </c>
      <c r="O659" s="24" t="inlineStr">
        <is>
          <t>3295500000.0</t>
        </is>
      </c>
      <c r="P659" s="24" t="inlineStr">
        <is>
          <t>KRW</t>
        </is>
      </c>
      <c r="Q659" s="24" t="inlineStr">
        <is>
          <t>39</t>
        </is>
      </c>
    </row>
    <row r="660" ht="24" customHeight="1">
      <c r="A660" s="29" t="inlineStr">
        <is>
          <t>OpenDART_fnlttSinglAcntAll</t>
        </is>
      </c>
      <c r="B660" s="29" t="inlineStr">
        <is>
          <t>00591441</t>
        </is>
      </c>
      <c r="C660" s="29" t="inlineStr">
        <is>
          <t>어보브반도체</t>
        </is>
      </c>
      <c r="D660" s="29" t="inlineStr">
        <is>
          <t>abov</t>
        </is>
      </c>
      <c r="E660" s="29" t="inlineStr">
        <is>
          <t>102120</t>
        </is>
      </c>
      <c r="F660" s="29" t="inlineStr">
        <is>
          <t>2024</t>
        </is>
      </c>
      <c r="G660" s="29" t="inlineStr">
        <is>
          <t>CFS</t>
        </is>
      </c>
      <c r="H660" s="29" t="inlineStr">
        <is>
          <t>CF</t>
        </is>
      </c>
      <c r="I660" s="29" t="inlineStr">
        <is>
          <t>현금흐름표</t>
        </is>
      </c>
      <c r="J660" s="29" t="inlineStr">
        <is>
          <t>ifrs-full_PurchaseOfIntangibleAssetsClassifiedAsInvestingActivities</t>
        </is>
      </c>
      <c r="K660" s="29" t="inlineStr">
        <is>
          <t>무형자산의 취득</t>
        </is>
      </c>
      <c r="L660" s="29" t="inlineStr">
        <is>
          <t>-</t>
        </is>
      </c>
      <c r="M660" s="29" t="inlineStr">
        <is>
          <t>제 19 기</t>
        </is>
      </c>
      <c r="N660" s="29" t="inlineStr">
        <is>
          <t>5423181131.0</t>
        </is>
      </c>
      <c r="O660" s="29" t="inlineStr">
        <is>
          <t>4970597455.0</t>
        </is>
      </c>
      <c r="P660" s="29" t="inlineStr">
        <is>
          <t>KRW</t>
        </is>
      </c>
      <c r="Q660" s="29" t="inlineStr">
        <is>
          <t>40</t>
        </is>
      </c>
    </row>
    <row r="661" ht="24" customHeight="1">
      <c r="A661" s="24" t="inlineStr">
        <is>
          <t>OpenDART_fnlttSinglAcntAll</t>
        </is>
      </c>
      <c r="B661" s="24" t="inlineStr">
        <is>
          <t>00591441</t>
        </is>
      </c>
      <c r="C661" s="24" t="inlineStr">
        <is>
          <t>어보브반도체</t>
        </is>
      </c>
      <c r="D661" s="24" t="inlineStr">
        <is>
          <t>abov</t>
        </is>
      </c>
      <c r="E661" s="24" t="inlineStr">
        <is>
          <t>102120</t>
        </is>
      </c>
      <c r="F661" s="24" t="inlineStr">
        <is>
          <t>2024</t>
        </is>
      </c>
      <c r="G661" s="24" t="inlineStr">
        <is>
          <t>CFS</t>
        </is>
      </c>
      <c r="H661" s="24" t="inlineStr">
        <is>
          <t>CF</t>
        </is>
      </c>
      <c r="I661" s="24" t="inlineStr">
        <is>
          <t>현금흐름표</t>
        </is>
      </c>
      <c r="J661" s="24" t="inlineStr">
        <is>
          <t>ifrs-full_PurchaseOfPropertyPlantAndEquipmentClassifiedAsInvestingActivities</t>
        </is>
      </c>
      <c r="K661" s="24" t="inlineStr">
        <is>
          <t>유형자산의 취득</t>
        </is>
      </c>
      <c r="L661" s="24" t="inlineStr">
        <is>
          <t>-</t>
        </is>
      </c>
      <c r="M661" s="24" t="inlineStr">
        <is>
          <t>제 19 기</t>
        </is>
      </c>
      <c r="N661" s="24" t="inlineStr">
        <is>
          <t>13202706863.0</t>
        </is>
      </c>
      <c r="O661" s="24" t="inlineStr">
        <is>
          <t>9728413595.0</t>
        </is>
      </c>
      <c r="P661" s="24" t="inlineStr">
        <is>
          <t>KRW</t>
        </is>
      </c>
      <c r="Q661" s="24" t="inlineStr">
        <is>
          <t>41</t>
        </is>
      </c>
    </row>
    <row r="662" ht="24" customHeight="1">
      <c r="A662" s="29" t="inlineStr">
        <is>
          <t>OpenDART_fnlttSinglAcntAll</t>
        </is>
      </c>
      <c r="B662" s="29" t="inlineStr">
        <is>
          <t>00591441</t>
        </is>
      </c>
      <c r="C662" s="29" t="inlineStr">
        <is>
          <t>어보브반도체</t>
        </is>
      </c>
      <c r="D662" s="29" t="inlineStr">
        <is>
          <t>abov</t>
        </is>
      </c>
      <c r="E662" s="29" t="inlineStr">
        <is>
          <t>102120</t>
        </is>
      </c>
      <c r="F662" s="29" t="inlineStr">
        <is>
          <t>2024</t>
        </is>
      </c>
      <c r="G662" s="29" t="inlineStr">
        <is>
          <t>CFS</t>
        </is>
      </c>
      <c r="H662" s="29" t="inlineStr">
        <is>
          <t>CF</t>
        </is>
      </c>
      <c r="I662" s="29" t="inlineStr">
        <is>
          <t>현금흐름표</t>
        </is>
      </c>
      <c r="J662" s="29" t="inlineStr">
        <is>
          <t>ifrs-full_CashFlowsFromUsedInOperatingActivities</t>
        </is>
      </c>
      <c r="K662" s="29" t="inlineStr">
        <is>
          <t>영업활동현금흐름</t>
        </is>
      </c>
      <c r="L662" s="29" t="inlineStr">
        <is>
          <t>-</t>
        </is>
      </c>
      <c r="M662" s="29" t="inlineStr">
        <is>
          <t>제 19 기</t>
        </is>
      </c>
      <c r="N662" s="29" t="inlineStr">
        <is>
          <t>26999461471.0</t>
        </is>
      </c>
      <c r="O662" s="29" t="inlineStr">
        <is>
          <t>32413346108.0</t>
        </is>
      </c>
      <c r="P662" s="29" t="inlineStr">
        <is>
          <t>KRW</t>
        </is>
      </c>
      <c r="Q662" s="29" t="inlineStr">
        <is>
          <t>42</t>
        </is>
      </c>
    </row>
    <row r="663" ht="24" customHeight="1">
      <c r="A663" s="24" t="inlineStr">
        <is>
          <t>OpenDART_fnlttSinglAcntAll</t>
        </is>
      </c>
      <c r="B663" s="24" t="inlineStr">
        <is>
          <t>00591441</t>
        </is>
      </c>
      <c r="C663" s="24" t="inlineStr">
        <is>
          <t>어보브반도체</t>
        </is>
      </c>
      <c r="D663" s="24" t="inlineStr">
        <is>
          <t>abov</t>
        </is>
      </c>
      <c r="E663" s="24" t="inlineStr">
        <is>
          <t>102120</t>
        </is>
      </c>
      <c r="F663" s="24" t="inlineStr">
        <is>
          <t>2024</t>
        </is>
      </c>
      <c r="G663" s="24" t="inlineStr">
        <is>
          <t>CFS</t>
        </is>
      </c>
      <c r="H663" s="24" t="inlineStr">
        <is>
          <t>CF</t>
        </is>
      </c>
      <c r="I663" s="24" t="inlineStr">
        <is>
          <t>현금흐름표</t>
        </is>
      </c>
      <c r="J663" s="24" t="inlineStr">
        <is>
          <t>dart_AdjustmentsForAssetsLiabilitiesOfOperatingActivities</t>
        </is>
      </c>
      <c r="K663" s="24" t="inlineStr">
        <is>
          <t>영업활동으로 인한 자산 부채의 변동</t>
        </is>
      </c>
      <c r="L663" s="24" t="inlineStr">
        <is>
          <t>-</t>
        </is>
      </c>
      <c r="M663" s="24" t="inlineStr">
        <is>
          <t>제 19 기</t>
        </is>
      </c>
      <c r="N663" s="24" t="inlineStr">
        <is>
          <t>7102931772.0</t>
        </is>
      </c>
      <c r="O663" s="24" t="inlineStr">
        <is>
          <t>23900684714.0</t>
        </is>
      </c>
      <c r="P663" s="24" t="inlineStr">
        <is>
          <t>KRW</t>
        </is>
      </c>
      <c r="Q663" s="24" t="inlineStr">
        <is>
          <t>43</t>
        </is>
      </c>
    </row>
    <row r="664" ht="24" customHeight="1">
      <c r="A664" s="29" t="inlineStr">
        <is>
          <t>OpenDART_fnlttSinglAcntAll</t>
        </is>
      </c>
      <c r="B664" s="29" t="inlineStr">
        <is>
          <t>00591441</t>
        </is>
      </c>
      <c r="C664" s="29" t="inlineStr">
        <is>
          <t>어보브반도체</t>
        </is>
      </c>
      <c r="D664" s="29" t="inlineStr">
        <is>
          <t>abov</t>
        </is>
      </c>
      <c r="E664" s="29" t="inlineStr">
        <is>
          <t>102120</t>
        </is>
      </c>
      <c r="F664" s="29" t="inlineStr">
        <is>
          <t>2024</t>
        </is>
      </c>
      <c r="G664" s="29" t="inlineStr">
        <is>
          <t>CFS</t>
        </is>
      </c>
      <c r="H664" s="29" t="inlineStr">
        <is>
          <t>CF</t>
        </is>
      </c>
      <c r="I664" s="29" t="inlineStr">
        <is>
          <t>현금흐름표</t>
        </is>
      </c>
      <c r="J664" s="29" t="inlineStr">
        <is>
          <t>ifrs-full_AdjustmentsForReconcileProfitLoss</t>
        </is>
      </c>
      <c r="K664" s="29" t="inlineStr">
        <is>
          <t>조정</t>
        </is>
      </c>
      <c r="L664" s="29" t="inlineStr">
        <is>
          <t>-</t>
        </is>
      </c>
      <c r="M664" s="29" t="inlineStr">
        <is>
          <t>제 19 기</t>
        </is>
      </c>
      <c r="N664" s="29" t="inlineStr">
        <is>
          <t>41071542534.0</t>
        </is>
      </c>
      <c r="O664" s="29" t="inlineStr">
        <is>
          <t>49667841620.0</t>
        </is>
      </c>
      <c r="P664" s="29" t="inlineStr">
        <is>
          <t>KRW</t>
        </is>
      </c>
      <c r="Q664" s="29" t="inlineStr">
        <is>
          <t>44</t>
        </is>
      </c>
    </row>
    <row r="665" ht="24" customHeight="1">
      <c r="A665" s="24" t="inlineStr">
        <is>
          <t>OpenDART_fnlttSinglAcntAll</t>
        </is>
      </c>
      <c r="B665" s="24" t="inlineStr">
        <is>
          <t>00591441</t>
        </is>
      </c>
      <c r="C665" s="24" t="inlineStr">
        <is>
          <t>어보브반도체</t>
        </is>
      </c>
      <c r="D665" s="24" t="inlineStr">
        <is>
          <t>abov</t>
        </is>
      </c>
      <c r="E665" s="24" t="inlineStr">
        <is>
          <t>102120</t>
        </is>
      </c>
      <c r="F665" s="24" t="inlineStr">
        <is>
          <t>2024</t>
        </is>
      </c>
      <c r="G665" s="24" t="inlineStr">
        <is>
          <t>CFS</t>
        </is>
      </c>
      <c r="H665" s="24" t="inlineStr">
        <is>
          <t>CF</t>
        </is>
      </c>
      <c r="I665" s="24" t="inlineStr">
        <is>
          <t>현금흐름표</t>
        </is>
      </c>
      <c r="J665" s="24" t="inlineStr">
        <is>
          <t>ifrs-full_IncomeTaxesPaidRefundClassifiedAsOperatingActivities</t>
        </is>
      </c>
      <c r="K665" s="24" t="inlineStr">
        <is>
          <t>법인세의 납부</t>
        </is>
      </c>
      <c r="L665" s="24" t="inlineStr">
        <is>
          <t>-</t>
        </is>
      </c>
      <c r="M665" s="24" t="inlineStr">
        <is>
          <t>제 19 기</t>
        </is>
      </c>
      <c r="N665" s="24" t="inlineStr">
        <is>
          <t>-299560406.0</t>
        </is>
      </c>
      <c r="O665" s="24" t="inlineStr">
        <is>
          <t>3025991741.0</t>
        </is>
      </c>
      <c r="P665" s="24" t="inlineStr">
        <is>
          <t>KRW</t>
        </is>
      </c>
      <c r="Q665" s="24" t="inlineStr">
        <is>
          <t>45</t>
        </is>
      </c>
    </row>
    <row r="666" ht="24" customHeight="1">
      <c r="A666" s="29" t="inlineStr">
        <is>
          <t>OpenDART_fnlttSinglAcntAll</t>
        </is>
      </c>
      <c r="B666" s="29" t="inlineStr">
        <is>
          <t>00591441</t>
        </is>
      </c>
      <c r="C666" s="29" t="inlineStr">
        <is>
          <t>어보브반도체</t>
        </is>
      </c>
      <c r="D666" s="29" t="inlineStr">
        <is>
          <t>abov</t>
        </is>
      </c>
      <c r="E666" s="29" t="inlineStr">
        <is>
          <t>102120</t>
        </is>
      </c>
      <c r="F666" s="29" t="inlineStr">
        <is>
          <t>2024</t>
        </is>
      </c>
      <c r="G666" s="29" t="inlineStr">
        <is>
          <t>CFS</t>
        </is>
      </c>
      <c r="H666" s="29" t="inlineStr">
        <is>
          <t>CF</t>
        </is>
      </c>
      <c r="I666" s="29" t="inlineStr">
        <is>
          <t>현금흐름표</t>
        </is>
      </c>
      <c r="J666" s="29" t="inlineStr">
        <is>
          <t>ifrs-full_InterestPaidClassifiedAsOperatingActivities</t>
        </is>
      </c>
      <c r="K666" s="29" t="inlineStr">
        <is>
          <t>이자지급</t>
        </is>
      </c>
      <c r="L666" s="29" t="inlineStr">
        <is>
          <t>-</t>
        </is>
      </c>
      <c r="M666" s="29" t="inlineStr">
        <is>
          <t>제 19 기</t>
        </is>
      </c>
      <c r="N666" s="29" t="inlineStr">
        <is>
          <t>5423290784.0</t>
        </is>
      </c>
      <c r="O666" s="29" t="inlineStr">
        <is>
          <t>6015166364.0</t>
        </is>
      </c>
      <c r="P666" s="29" t="inlineStr">
        <is>
          <t>KRW</t>
        </is>
      </c>
      <c r="Q666" s="29" t="inlineStr">
        <is>
          <t>46</t>
        </is>
      </c>
    </row>
    <row r="667" ht="24" customHeight="1">
      <c r="A667" s="24" t="inlineStr">
        <is>
          <t>OpenDART_fnlttSinglAcntAll</t>
        </is>
      </c>
      <c r="B667" s="24" t="inlineStr">
        <is>
          <t>00591441</t>
        </is>
      </c>
      <c r="C667" s="24" t="inlineStr">
        <is>
          <t>어보브반도체</t>
        </is>
      </c>
      <c r="D667" s="24" t="inlineStr">
        <is>
          <t>abov</t>
        </is>
      </c>
      <c r="E667" s="24" t="inlineStr">
        <is>
          <t>102120</t>
        </is>
      </c>
      <c r="F667" s="24" t="inlineStr">
        <is>
          <t>2024</t>
        </is>
      </c>
      <c r="G667" s="24" t="inlineStr">
        <is>
          <t>CFS</t>
        </is>
      </c>
      <c r="H667" s="24" t="inlineStr">
        <is>
          <t>CF</t>
        </is>
      </c>
      <c r="I667" s="24" t="inlineStr">
        <is>
          <t>현금흐름표</t>
        </is>
      </c>
      <c r="J667" s="24" t="inlineStr">
        <is>
          <t>ifrs-full_InterestReceivedClassifiedAsOperatingActivities</t>
        </is>
      </c>
      <c r="K667" s="24" t="inlineStr">
        <is>
          <t>이자수취</t>
        </is>
      </c>
      <c r="L667" s="24" t="inlineStr">
        <is>
          <t>-</t>
        </is>
      </c>
      <c r="M667" s="24" t="inlineStr">
        <is>
          <t>제 19 기</t>
        </is>
      </c>
      <c r="N667" s="24" t="inlineStr">
        <is>
          <t>2043568540.0</t>
        </is>
      </c>
      <c r="O667" s="24" t="inlineStr">
        <is>
          <t>1329706838.0</t>
        </is>
      </c>
      <c r="P667" s="24" t="inlineStr">
        <is>
          <t>KRW</t>
        </is>
      </c>
      <c r="Q667" s="24" t="inlineStr">
        <is>
          <t>47</t>
        </is>
      </c>
    </row>
    <row r="668" ht="24" customHeight="1">
      <c r="A668" s="29" t="inlineStr">
        <is>
          <t>OpenDART_fnlttSinglAcntAll</t>
        </is>
      </c>
      <c r="B668" s="29" t="inlineStr">
        <is>
          <t>00591441</t>
        </is>
      </c>
      <c r="C668" s="29" t="inlineStr">
        <is>
          <t>어보브반도체</t>
        </is>
      </c>
      <c r="D668" s="29" t="inlineStr">
        <is>
          <t>abov</t>
        </is>
      </c>
      <c r="E668" s="29" t="inlineStr">
        <is>
          <t>102120</t>
        </is>
      </c>
      <c r="F668" s="29" t="inlineStr">
        <is>
          <t>2024</t>
        </is>
      </c>
      <c r="G668" s="29" t="inlineStr">
        <is>
          <t>CFS</t>
        </is>
      </c>
      <c r="H668" s="29" t="inlineStr">
        <is>
          <t>CF</t>
        </is>
      </c>
      <c r="I668" s="29" t="inlineStr">
        <is>
          <t>현금흐름표</t>
        </is>
      </c>
      <c r="J668" s="29" t="inlineStr">
        <is>
          <t>ifrs-full_ProfitLoss</t>
        </is>
      </c>
      <c r="K668" s="29" t="inlineStr">
        <is>
          <t>당기순이익(손실)</t>
        </is>
      </c>
      <c r="L668" s="29" t="inlineStr">
        <is>
          <t>-</t>
        </is>
      </c>
      <c r="M668" s="29" t="inlineStr">
        <is>
          <t>제 19 기</t>
        </is>
      </c>
      <c r="N668" s="29" t="inlineStr">
        <is>
          <t>-18094850997.0</t>
        </is>
      </c>
      <c r="O668" s="29" t="inlineStr">
        <is>
          <t>-33443728959.0</t>
        </is>
      </c>
      <c r="P668" s="29" t="inlineStr">
        <is>
          <t>KRW</t>
        </is>
      </c>
      <c r="Q668" s="29" t="inlineStr">
        <is>
          <t>48</t>
        </is>
      </c>
    </row>
    <row r="669" ht="24" customHeight="1">
      <c r="A669" s="24" t="inlineStr">
        <is>
          <t>OpenDART_fnlttSinglAcntAll</t>
        </is>
      </c>
      <c r="B669" s="24" t="inlineStr">
        <is>
          <t>00591441</t>
        </is>
      </c>
      <c r="C669" s="24" t="inlineStr">
        <is>
          <t>어보브반도체</t>
        </is>
      </c>
      <c r="D669" s="24" t="inlineStr">
        <is>
          <t>abov</t>
        </is>
      </c>
      <c r="E669" s="24" t="inlineStr">
        <is>
          <t>102120</t>
        </is>
      </c>
      <c r="F669" s="24" t="inlineStr">
        <is>
          <t>2024</t>
        </is>
      </c>
      <c r="G669" s="24" t="inlineStr">
        <is>
          <t>CFS</t>
        </is>
      </c>
      <c r="H669" s="24" t="inlineStr">
        <is>
          <t>CF</t>
        </is>
      </c>
      <c r="I669" s="24" t="inlineStr">
        <is>
          <t>현금흐름표</t>
        </is>
      </c>
      <c r="J669" s="24" t="inlineStr">
        <is>
          <t>ifrs-full_EffectOfExchangeRateChangesOnCashAndCashEquivalents</t>
        </is>
      </c>
      <c r="K669" s="24" t="inlineStr">
        <is>
          <t>현금및현금성자산에 대한 환율변동효과</t>
        </is>
      </c>
      <c r="L669" s="24" t="inlineStr">
        <is>
          <t>-</t>
        </is>
      </c>
      <c r="M669" s="24" t="inlineStr">
        <is>
          <t>제 19 기</t>
        </is>
      </c>
      <c r="N669" s="24" t="inlineStr">
        <is>
          <t>881897986.0</t>
        </is>
      </c>
      <c r="O669" s="24" t="inlineStr">
        <is>
          <t>171116263.0</t>
        </is>
      </c>
      <c r="P669" s="24" t="inlineStr">
        <is>
          <t>KRW</t>
        </is>
      </c>
      <c r="Q669" s="24" t="inlineStr">
        <is>
          <t>49</t>
        </is>
      </c>
    </row>
    <row r="670" ht="24" customHeight="1">
      <c r="A670" s="29" t="inlineStr">
        <is>
          <t>OpenDART_fnlttSinglAcntAll</t>
        </is>
      </c>
      <c r="B670" s="29" t="inlineStr">
        <is>
          <t>00591441</t>
        </is>
      </c>
      <c r="C670" s="29" t="inlineStr">
        <is>
          <t>어보브반도체</t>
        </is>
      </c>
      <c r="D670" s="29" t="inlineStr">
        <is>
          <t>abov</t>
        </is>
      </c>
      <c r="E670" s="29" t="inlineStr">
        <is>
          <t>102120</t>
        </is>
      </c>
      <c r="F670" s="29" t="inlineStr">
        <is>
          <t>2024</t>
        </is>
      </c>
      <c r="G670" s="29" t="inlineStr">
        <is>
          <t>CFS</t>
        </is>
      </c>
      <c r="H670" s="29" t="inlineStr">
        <is>
          <t>CF</t>
        </is>
      </c>
      <c r="I670" s="29" t="inlineStr">
        <is>
          <t>현금흐름표</t>
        </is>
      </c>
      <c r="J670" s="29" t="inlineStr">
        <is>
          <t>ifrs-full_IncreaseDecreaseInCashAndCashEquivalentsBeforeEffectOfExchangeRateChanges</t>
        </is>
      </c>
      <c r="K670" s="29" t="inlineStr">
        <is>
          <t>현금및현금성자산의 증감</t>
        </is>
      </c>
      <c r="L670" s="29" t="inlineStr">
        <is>
          <t>-</t>
        </is>
      </c>
      <c r="M670" s="29" t="inlineStr">
        <is>
          <t>제 19 기</t>
        </is>
      </c>
      <c r="N670" s="29" t="inlineStr">
        <is>
          <t>-13327521761.0</t>
        </is>
      </c>
      <c r="O670" s="29" t="inlineStr">
        <is>
          <t>22528733516.0</t>
        </is>
      </c>
      <c r="P670" s="29" t="inlineStr">
        <is>
          <t>KRW</t>
        </is>
      </c>
      <c r="Q670" s="29" t="inlineStr">
        <is>
          <t>50</t>
        </is>
      </c>
    </row>
    <row r="671" ht="24" customHeight="1">
      <c r="A671" s="24" t="inlineStr">
        <is>
          <t>OpenDART_fnlttSinglAcntAll</t>
        </is>
      </c>
      <c r="B671" s="24" t="inlineStr">
        <is>
          <t>00591441</t>
        </is>
      </c>
      <c r="C671" s="24" t="inlineStr">
        <is>
          <t>어보브반도체</t>
        </is>
      </c>
      <c r="D671" s="24" t="inlineStr">
        <is>
          <t>abov</t>
        </is>
      </c>
      <c r="E671" s="24" t="inlineStr">
        <is>
          <t>102120</t>
        </is>
      </c>
      <c r="F671" s="24" t="inlineStr">
        <is>
          <t>2024</t>
        </is>
      </c>
      <c r="G671" s="24" t="inlineStr">
        <is>
          <t>CFS</t>
        </is>
      </c>
      <c r="H671" s="24" t="inlineStr">
        <is>
          <t>SCE</t>
        </is>
      </c>
      <c r="I671" s="24" t="inlineStr">
        <is>
          <t>자본변동표</t>
        </is>
      </c>
      <c r="J671" s="24" t="inlineStr">
        <is>
          <t>dart_EquityAtBeginningOfPeriod</t>
        </is>
      </c>
      <c r="K671" s="24" t="inlineStr">
        <is>
          <t>기초자본</t>
        </is>
      </c>
      <c r="L671" s="24" t="inlineStr">
        <is>
          <t>자본 [구성요소]|비지배지분 [구성요소]</t>
        </is>
      </c>
      <c r="M671" s="24" t="inlineStr">
        <is>
          <t>제 19 기</t>
        </is>
      </c>
      <c r="N671" s="24" t="inlineStr">
        <is>
          <t>35657795188.0</t>
        </is>
      </c>
      <c r="O671" s="24" t="inlineStr">
        <is>
          <t>52299043042.0</t>
        </is>
      </c>
      <c r="P671" s="24" t="inlineStr">
        <is>
          <t>KRW</t>
        </is>
      </c>
      <c r="Q671" s="24" t="inlineStr">
        <is>
          <t>3</t>
        </is>
      </c>
    </row>
    <row r="672" ht="24" customHeight="1">
      <c r="A672" s="29" t="inlineStr">
        <is>
          <t>OpenDART_fnlttSinglAcntAll</t>
        </is>
      </c>
      <c r="B672" s="29" t="inlineStr">
        <is>
          <t>00591441</t>
        </is>
      </c>
      <c r="C672" s="29" t="inlineStr">
        <is>
          <t>어보브반도체</t>
        </is>
      </c>
      <c r="D672" s="29" t="inlineStr">
        <is>
          <t>abov</t>
        </is>
      </c>
      <c r="E672" s="29" t="inlineStr">
        <is>
          <t>102120</t>
        </is>
      </c>
      <c r="F672" s="29" t="inlineStr">
        <is>
          <t>2024</t>
        </is>
      </c>
      <c r="G672" s="29" t="inlineStr">
        <is>
          <t>CFS</t>
        </is>
      </c>
      <c r="H672" s="29" t="inlineStr">
        <is>
          <t>SCE</t>
        </is>
      </c>
      <c r="I672" s="29" t="inlineStr">
        <is>
          <t>자본변동표</t>
        </is>
      </c>
      <c r="J672" s="29" t="inlineStr">
        <is>
          <t>dart_EquityAtBeginningOfPeriod</t>
        </is>
      </c>
      <c r="K672" s="29" t="inlineStr">
        <is>
          <t>기초자본</t>
        </is>
      </c>
      <c r="L672" s="29" t="inlineStr">
        <is>
          <t>연결재무제표 [member]</t>
        </is>
      </c>
      <c r="M672" s="29" t="inlineStr">
        <is>
          <t>제 19 기</t>
        </is>
      </c>
      <c r="N672" s="29" t="inlineStr">
        <is>
          <t>140625984177.0</t>
        </is>
      </c>
      <c r="O672" s="29" t="inlineStr">
        <is>
          <t>173068584293.0</t>
        </is>
      </c>
      <c r="P672" s="29" t="inlineStr">
        <is>
          <t>KRW</t>
        </is>
      </c>
      <c r="Q672" s="29" t="inlineStr">
        <is>
          <t>3</t>
        </is>
      </c>
    </row>
    <row r="673" ht="24" customHeight="1">
      <c r="A673" s="24" t="inlineStr">
        <is>
          <t>OpenDART_fnlttSinglAcntAll</t>
        </is>
      </c>
      <c r="B673" s="24" t="inlineStr">
        <is>
          <t>00591441</t>
        </is>
      </c>
      <c r="C673" s="24" t="inlineStr">
        <is>
          <t>어보브반도체</t>
        </is>
      </c>
      <c r="D673" s="24" t="inlineStr">
        <is>
          <t>abov</t>
        </is>
      </c>
      <c r="E673" s="24" t="inlineStr">
        <is>
          <t>102120</t>
        </is>
      </c>
      <c r="F673" s="24" t="inlineStr">
        <is>
          <t>2024</t>
        </is>
      </c>
      <c r="G673" s="24" t="inlineStr">
        <is>
          <t>CFS</t>
        </is>
      </c>
      <c r="H673" s="24" t="inlineStr">
        <is>
          <t>SCE</t>
        </is>
      </c>
      <c r="I673" s="24" t="inlineStr">
        <is>
          <t>자본변동표</t>
        </is>
      </c>
      <c r="J673" s="24" t="inlineStr">
        <is>
          <t>dart_EquityAtBeginningOfPeriod</t>
        </is>
      </c>
      <c r="K673" s="24" t="inlineStr">
        <is>
          <t>기초자본</t>
        </is>
      </c>
      <c r="L673" s="24" t="inlineStr">
        <is>
          <t>자본 [구성요소]|지배기업의 소유주에게 귀속되는 지분 [구성요소]</t>
        </is>
      </c>
      <c r="M673" s="24" t="inlineStr">
        <is>
          <t>제 19 기</t>
        </is>
      </c>
      <c r="N673" s="24" t="inlineStr">
        <is>
          <t>104968188989.0</t>
        </is>
      </c>
      <c r="O673" s="24" t="inlineStr">
        <is>
          <t>120769541251.0</t>
        </is>
      </c>
      <c r="P673" s="24" t="inlineStr">
        <is>
          <t>KRW</t>
        </is>
      </c>
      <c r="Q673" s="24" t="inlineStr">
        <is>
          <t>3</t>
        </is>
      </c>
    </row>
    <row r="674" ht="24" customHeight="1">
      <c r="A674" s="29" t="inlineStr">
        <is>
          <t>OpenDART_fnlttSinglAcntAll</t>
        </is>
      </c>
      <c r="B674" s="29" t="inlineStr">
        <is>
          <t>00591441</t>
        </is>
      </c>
      <c r="C674" s="29" t="inlineStr">
        <is>
          <t>어보브반도체</t>
        </is>
      </c>
      <c r="D674" s="29" t="inlineStr">
        <is>
          <t>abov</t>
        </is>
      </c>
      <c r="E674" s="29" t="inlineStr">
        <is>
          <t>102120</t>
        </is>
      </c>
      <c r="F674" s="29" t="inlineStr">
        <is>
          <t>2024</t>
        </is>
      </c>
      <c r="G674" s="29" t="inlineStr">
        <is>
          <t>CFS</t>
        </is>
      </c>
      <c r="H674" s="29" t="inlineStr">
        <is>
          <t>SCE</t>
        </is>
      </c>
      <c r="I674" s="29" t="inlineStr">
        <is>
          <t>자본변동표</t>
        </is>
      </c>
      <c r="J674" s="29" t="inlineStr">
        <is>
          <t>dart_EquityAtBeginningOfPeriod</t>
        </is>
      </c>
      <c r="K674" s="29" t="inlineStr">
        <is>
          <t>기초자본</t>
        </is>
      </c>
      <c r="L674" s="29" t="inlineStr">
        <is>
          <t>자본 [구성요소]|지배기업의 소유주에게 귀속되는 지분 [구성요소]|기타자본구성요소 [구성요소]</t>
        </is>
      </c>
      <c r="M674" s="29" t="inlineStr">
        <is>
          <t>제 19 기</t>
        </is>
      </c>
      <c r="N674" s="29" t="inlineStr">
        <is>
          <t>-6481281732.0</t>
        </is>
      </c>
      <c r="O674" s="29" t="inlineStr">
        <is>
          <t>-7414053960.0</t>
        </is>
      </c>
      <c r="P674" s="29" t="inlineStr">
        <is>
          <t>KRW</t>
        </is>
      </c>
      <c r="Q674" s="29" t="inlineStr">
        <is>
          <t>3</t>
        </is>
      </c>
    </row>
    <row r="675" ht="24" customHeight="1">
      <c r="A675" s="24" t="inlineStr">
        <is>
          <t>OpenDART_fnlttSinglAcntAll</t>
        </is>
      </c>
      <c r="B675" s="24" t="inlineStr">
        <is>
          <t>00591441</t>
        </is>
      </c>
      <c r="C675" s="24" t="inlineStr">
        <is>
          <t>어보브반도체</t>
        </is>
      </c>
      <c r="D675" s="24" t="inlineStr">
        <is>
          <t>abov</t>
        </is>
      </c>
      <c r="E675" s="24" t="inlineStr">
        <is>
          <t>102120</t>
        </is>
      </c>
      <c r="F675" s="24" t="inlineStr">
        <is>
          <t>2024</t>
        </is>
      </c>
      <c r="G675" s="24" t="inlineStr">
        <is>
          <t>CFS</t>
        </is>
      </c>
      <c r="H675" s="24" t="inlineStr">
        <is>
          <t>SCE</t>
        </is>
      </c>
      <c r="I675" s="24" t="inlineStr">
        <is>
          <t>자본변동표</t>
        </is>
      </c>
      <c r="J675" s="24" t="inlineStr">
        <is>
          <t>dart_EquityAtBeginningOfPeriod</t>
        </is>
      </c>
      <c r="K675" s="24" t="inlineStr">
        <is>
          <t>기초자본</t>
        </is>
      </c>
      <c r="L675" s="24" t="inlineStr">
        <is>
          <t>자본 [구성요소]|지배기업의 소유주에게 귀속되는 지분 [구성요소]|기타포괄손익누계액 [구성요소]</t>
        </is>
      </c>
      <c r="M675" s="24" t="inlineStr">
        <is>
          <t>제 19 기</t>
        </is>
      </c>
      <c r="N675" s="24" t="inlineStr">
        <is>
          <t>-922346725.0</t>
        </is>
      </c>
      <c r="O675" s="24" t="inlineStr">
        <is>
          <t>-676650161.0</t>
        </is>
      </c>
      <c r="P675" s="24" t="inlineStr">
        <is>
          <t>KRW</t>
        </is>
      </c>
      <c r="Q675" s="24" t="inlineStr">
        <is>
          <t>3</t>
        </is>
      </c>
    </row>
    <row r="676" ht="24" customHeight="1">
      <c r="A676" s="29" t="inlineStr">
        <is>
          <t>OpenDART_fnlttSinglAcntAll</t>
        </is>
      </c>
      <c r="B676" s="29" t="inlineStr">
        <is>
          <t>00591441</t>
        </is>
      </c>
      <c r="C676" s="29" t="inlineStr">
        <is>
          <t>어보브반도체</t>
        </is>
      </c>
      <c r="D676" s="29" t="inlineStr">
        <is>
          <t>abov</t>
        </is>
      </c>
      <c r="E676" s="29" t="inlineStr">
        <is>
          <t>102120</t>
        </is>
      </c>
      <c r="F676" s="29" t="inlineStr">
        <is>
          <t>2024</t>
        </is>
      </c>
      <c r="G676" s="29" t="inlineStr">
        <is>
          <t>CFS</t>
        </is>
      </c>
      <c r="H676" s="29" t="inlineStr">
        <is>
          <t>SCE</t>
        </is>
      </c>
      <c r="I676" s="29" t="inlineStr">
        <is>
          <t>자본변동표</t>
        </is>
      </c>
      <c r="J676" s="29" t="inlineStr">
        <is>
          <t>dart_EquityAtBeginningOfPeriod</t>
        </is>
      </c>
      <c r="K676" s="29" t="inlineStr">
        <is>
          <t>기초자본</t>
        </is>
      </c>
      <c r="L676" s="29" t="inlineStr">
        <is>
          <t>자본 [구성요소]|지배기업의 소유주에게 귀속되는 지분 [구성요소]|이익잉여금 [구성요소]</t>
        </is>
      </c>
      <c r="M676" s="29" t="inlineStr">
        <is>
          <t>제 19 기</t>
        </is>
      </c>
      <c r="N676" s="29" t="inlineStr">
        <is>
          <t>77059442795.0</t>
        </is>
      </c>
      <c r="O676" s="29" t="inlineStr">
        <is>
          <t>93547870721.0</t>
        </is>
      </c>
      <c r="P676" s="29" t="inlineStr">
        <is>
          <t>KRW</t>
        </is>
      </c>
      <c r="Q676" s="29" t="inlineStr">
        <is>
          <t>3</t>
        </is>
      </c>
    </row>
    <row r="677" ht="24" customHeight="1">
      <c r="A677" s="24" t="inlineStr">
        <is>
          <t>OpenDART_fnlttSinglAcntAll</t>
        </is>
      </c>
      <c r="B677" s="24" t="inlineStr">
        <is>
          <t>00591441</t>
        </is>
      </c>
      <c r="C677" s="24" t="inlineStr">
        <is>
          <t>어보브반도체</t>
        </is>
      </c>
      <c r="D677" s="24" t="inlineStr">
        <is>
          <t>abov</t>
        </is>
      </c>
      <c r="E677" s="24" t="inlineStr">
        <is>
          <t>102120</t>
        </is>
      </c>
      <c r="F677" s="24" t="inlineStr">
        <is>
          <t>2024</t>
        </is>
      </c>
      <c r="G677" s="24" t="inlineStr">
        <is>
          <t>CFS</t>
        </is>
      </c>
      <c r="H677" s="24" t="inlineStr">
        <is>
          <t>SCE</t>
        </is>
      </c>
      <c r="I677" s="24" t="inlineStr">
        <is>
          <t>자본변동표</t>
        </is>
      </c>
      <c r="J677" s="24" t="inlineStr">
        <is>
          <t>dart_EquityAtBeginningOfPeriod</t>
        </is>
      </c>
      <c r="K677" s="24" t="inlineStr">
        <is>
          <t>기초자본</t>
        </is>
      </c>
      <c r="L677" s="24" t="inlineStr">
        <is>
          <t>자본 [구성요소]|지배기업의 소유주에게 귀속되는 지분 [구성요소]|자본잉여금 [구성요소]</t>
        </is>
      </c>
      <c r="M677" s="24" t="inlineStr">
        <is>
          <t>제 19 기</t>
        </is>
      </c>
      <c r="N677" s="24" t="inlineStr">
        <is>
          <t>26421998151.0</t>
        </is>
      </c>
      <c r="O677" s="24" t="inlineStr">
        <is>
          <t>26421998151.0</t>
        </is>
      </c>
      <c r="P677" s="24" t="inlineStr">
        <is>
          <t>KRW</t>
        </is>
      </c>
      <c r="Q677" s="24" t="inlineStr">
        <is>
          <t>3</t>
        </is>
      </c>
    </row>
    <row r="678" ht="24" customHeight="1">
      <c r="A678" s="29" t="inlineStr">
        <is>
          <t>OpenDART_fnlttSinglAcntAll</t>
        </is>
      </c>
      <c r="B678" s="29" t="inlineStr">
        <is>
          <t>00591441</t>
        </is>
      </c>
      <c r="C678" s="29" t="inlineStr">
        <is>
          <t>어보브반도체</t>
        </is>
      </c>
      <c r="D678" s="29" t="inlineStr">
        <is>
          <t>abov</t>
        </is>
      </c>
      <c r="E678" s="29" t="inlineStr">
        <is>
          <t>102120</t>
        </is>
      </c>
      <c r="F678" s="29" t="inlineStr">
        <is>
          <t>2024</t>
        </is>
      </c>
      <c r="G678" s="29" t="inlineStr">
        <is>
          <t>CFS</t>
        </is>
      </c>
      <c r="H678" s="29" t="inlineStr">
        <is>
          <t>SCE</t>
        </is>
      </c>
      <c r="I678" s="29" t="inlineStr">
        <is>
          <t>자본변동표</t>
        </is>
      </c>
      <c r="J678" s="29" t="inlineStr">
        <is>
          <t>dart_EquityAtBeginningOfPeriod</t>
        </is>
      </c>
      <c r="K678" s="29" t="inlineStr">
        <is>
          <t>기초자본</t>
        </is>
      </c>
      <c r="L678" s="29" t="inlineStr">
        <is>
          <t>자본 [구성요소]|지배기업의 소유주에게 귀속되는 지분 [구성요소]|자본금 [구성요소]</t>
        </is>
      </c>
      <c r="M678" s="29" t="inlineStr">
        <is>
          <t>제 19 기</t>
        </is>
      </c>
      <c r="N678" s="29" t="inlineStr">
        <is>
          <t>8890376500.0</t>
        </is>
      </c>
      <c r="O678" s="29" t="inlineStr">
        <is>
          <t>8890376500.0</t>
        </is>
      </c>
      <c r="P678" s="29" t="inlineStr">
        <is>
          <t>KRW</t>
        </is>
      </c>
      <c r="Q678" s="29" t="inlineStr">
        <is>
          <t>3</t>
        </is>
      </c>
    </row>
    <row r="679" ht="24" customHeight="1">
      <c r="A679" s="24" t="inlineStr">
        <is>
          <t>OpenDART_fnlttSinglAcntAll</t>
        </is>
      </c>
      <c r="B679" s="24" t="inlineStr">
        <is>
          <t>00591441</t>
        </is>
      </c>
      <c r="C679" s="24" t="inlineStr">
        <is>
          <t>어보브반도체</t>
        </is>
      </c>
      <c r="D679" s="24" t="inlineStr">
        <is>
          <t>abov</t>
        </is>
      </c>
      <c r="E679" s="24" t="inlineStr">
        <is>
          <t>102120</t>
        </is>
      </c>
      <c r="F679" s="24" t="inlineStr">
        <is>
          <t>2024</t>
        </is>
      </c>
      <c r="G679" s="24" t="inlineStr">
        <is>
          <t>CFS</t>
        </is>
      </c>
      <c r="H679" s="24" t="inlineStr">
        <is>
          <t>SCE</t>
        </is>
      </c>
      <c r="I679" s="24" t="inlineStr">
        <is>
          <t>자본변동표</t>
        </is>
      </c>
      <c r="J679" s="24" t="inlineStr">
        <is>
          <t>dart_IncreaseDecreaseThroughBusinessCombinations</t>
        </is>
      </c>
      <c r="K679" s="24" t="inlineStr">
        <is>
          <t>사업결합</t>
        </is>
      </c>
      <c r="L679" s="24" t="inlineStr">
        <is>
          <t>연결재무제표 [member]</t>
        </is>
      </c>
      <c r="M679" s="24" t="inlineStr">
        <is>
          <t>제 19 기</t>
        </is>
      </c>
      <c r="N679" s="24" t="inlineStr">
        <is>
          <t>해당 없음</t>
        </is>
      </c>
      <c r="O679" s="24" t="inlineStr">
        <is>
          <t>해당 없음</t>
        </is>
      </c>
      <c r="P679" s="24" t="inlineStr">
        <is>
          <t>KRW</t>
        </is>
      </c>
      <c r="Q679" s="24" t="inlineStr">
        <is>
          <t>4</t>
        </is>
      </c>
    </row>
    <row r="680" ht="24" customHeight="1">
      <c r="A680" s="29" t="inlineStr">
        <is>
          <t>OpenDART_fnlttSinglAcntAll</t>
        </is>
      </c>
      <c r="B680" s="29" t="inlineStr">
        <is>
          <t>00591441</t>
        </is>
      </c>
      <c r="C680" s="29" t="inlineStr">
        <is>
          <t>어보브반도체</t>
        </is>
      </c>
      <c r="D680" s="29" t="inlineStr">
        <is>
          <t>abov</t>
        </is>
      </c>
      <c r="E680" s="29" t="inlineStr">
        <is>
          <t>102120</t>
        </is>
      </c>
      <c r="F680" s="29" t="inlineStr">
        <is>
          <t>2024</t>
        </is>
      </c>
      <c r="G680" s="29" t="inlineStr">
        <is>
          <t>CFS</t>
        </is>
      </c>
      <c r="H680" s="29" t="inlineStr">
        <is>
          <t>SCE</t>
        </is>
      </c>
      <c r="I680" s="29" t="inlineStr">
        <is>
          <t>자본변동표</t>
        </is>
      </c>
      <c r="J680" s="29" t="inlineStr">
        <is>
          <t>dart_IncreaseDecreaseThroughBusinessCombinations</t>
        </is>
      </c>
      <c r="K680" s="29" t="inlineStr">
        <is>
          <t>사업결합</t>
        </is>
      </c>
      <c r="L680" s="29" t="inlineStr">
        <is>
          <t>자본 [구성요소]|비지배지분 [구성요소]</t>
        </is>
      </c>
      <c r="M680" s="29" t="inlineStr">
        <is>
          <t>제 19 기</t>
        </is>
      </c>
      <c r="N680" s="29" t="inlineStr">
        <is>
          <t>해당 없음</t>
        </is>
      </c>
      <c r="O680" s="29" t="inlineStr">
        <is>
          <t>해당 없음</t>
        </is>
      </c>
      <c r="P680" s="29" t="inlineStr">
        <is>
          <t>KRW</t>
        </is>
      </c>
      <c r="Q680" s="29" t="inlineStr">
        <is>
          <t>4</t>
        </is>
      </c>
    </row>
    <row r="681" ht="24" customHeight="1">
      <c r="A681" s="24" t="inlineStr">
        <is>
          <t>OpenDART_fnlttSinglAcntAll</t>
        </is>
      </c>
      <c r="B681" s="24" t="inlineStr">
        <is>
          <t>00591441</t>
        </is>
      </c>
      <c r="C681" s="24" t="inlineStr">
        <is>
          <t>어보브반도체</t>
        </is>
      </c>
      <c r="D681" s="24" t="inlineStr">
        <is>
          <t>abov</t>
        </is>
      </c>
      <c r="E681" s="24" t="inlineStr">
        <is>
          <t>102120</t>
        </is>
      </c>
      <c r="F681" s="24" t="inlineStr">
        <is>
          <t>2024</t>
        </is>
      </c>
      <c r="G681" s="24" t="inlineStr">
        <is>
          <t>CFS</t>
        </is>
      </c>
      <c r="H681" s="24" t="inlineStr">
        <is>
          <t>SCE</t>
        </is>
      </c>
      <c r="I681" s="24" t="inlineStr">
        <is>
          <t>자본변동표</t>
        </is>
      </c>
      <c r="J681" s="24" t="inlineStr">
        <is>
          <t>dart_SubscriptionOnNewStocks</t>
        </is>
      </c>
      <c r="K681" s="24" t="inlineStr">
        <is>
          <t>종속기업 유상증자</t>
        </is>
      </c>
      <c r="L681" s="24" t="inlineStr">
        <is>
          <t>연결재무제표 [member]</t>
        </is>
      </c>
      <c r="M681" s="24" t="inlineStr">
        <is>
          <t>제 19 기</t>
        </is>
      </c>
      <c r="N681" s="24" t="inlineStr">
        <is>
          <t>28978742058.0</t>
        </is>
      </c>
      <c r="O681" s="24" t="inlineStr">
        <is>
          <t>해당 없음</t>
        </is>
      </c>
      <c r="P681" s="24" t="inlineStr">
        <is>
          <t>KRW</t>
        </is>
      </c>
      <c r="Q681" s="24" t="inlineStr">
        <is>
          <t>5</t>
        </is>
      </c>
    </row>
    <row r="682" ht="24" customHeight="1">
      <c r="A682" s="29" t="inlineStr">
        <is>
          <t>OpenDART_fnlttSinglAcntAll</t>
        </is>
      </c>
      <c r="B682" s="29" t="inlineStr">
        <is>
          <t>00591441</t>
        </is>
      </c>
      <c r="C682" s="29" t="inlineStr">
        <is>
          <t>어보브반도체</t>
        </is>
      </c>
      <c r="D682" s="29" t="inlineStr">
        <is>
          <t>abov</t>
        </is>
      </c>
      <c r="E682" s="29" t="inlineStr">
        <is>
          <t>102120</t>
        </is>
      </c>
      <c r="F682" s="29" t="inlineStr">
        <is>
          <t>2024</t>
        </is>
      </c>
      <c r="G682" s="29" t="inlineStr">
        <is>
          <t>CFS</t>
        </is>
      </c>
      <c r="H682" s="29" t="inlineStr">
        <is>
          <t>SCE</t>
        </is>
      </c>
      <c r="I682" s="29" t="inlineStr">
        <is>
          <t>자본변동표</t>
        </is>
      </c>
      <c r="J682" s="29" t="inlineStr">
        <is>
          <t>dart_SubscriptionOnNewStocks</t>
        </is>
      </c>
      <c r="K682" s="29" t="inlineStr">
        <is>
          <t>종속기업 유상증자</t>
        </is>
      </c>
      <c r="L682" s="29" t="inlineStr">
        <is>
          <t>자본 [구성요소]|비지배지분 [구성요소]</t>
        </is>
      </c>
      <c r="M682" s="29" t="inlineStr">
        <is>
          <t>제 19 기</t>
        </is>
      </c>
      <c r="N682" s="29" t="inlineStr">
        <is>
          <t>28978742058.0</t>
        </is>
      </c>
      <c r="O682" s="29" t="inlineStr">
        <is>
          <t>해당 없음</t>
        </is>
      </c>
      <c r="P682" s="29" t="inlineStr">
        <is>
          <t>KRW</t>
        </is>
      </c>
      <c r="Q682" s="29" t="inlineStr">
        <is>
          <t>5</t>
        </is>
      </c>
    </row>
    <row r="683" ht="24" customHeight="1">
      <c r="A683" s="24" t="inlineStr">
        <is>
          <t>OpenDART_fnlttSinglAcntAll</t>
        </is>
      </c>
      <c r="B683" s="24" t="inlineStr">
        <is>
          <t>00591441</t>
        </is>
      </c>
      <c r="C683" s="24" t="inlineStr">
        <is>
          <t>어보브반도체</t>
        </is>
      </c>
      <c r="D683" s="24" t="inlineStr">
        <is>
          <t>abov</t>
        </is>
      </c>
      <c r="E683" s="24" t="inlineStr">
        <is>
          <t>102120</t>
        </is>
      </c>
      <c r="F683" s="24" t="inlineStr">
        <is>
          <t>2024</t>
        </is>
      </c>
      <c r="G683" s="24" t="inlineStr">
        <is>
          <t>CFS</t>
        </is>
      </c>
      <c r="H683" s="24" t="inlineStr">
        <is>
          <t>SCE</t>
        </is>
      </c>
      <c r="I683" s="24" t="inlineStr">
        <is>
          <t>자본변동표</t>
        </is>
      </c>
      <c r="J683" s="24" t="inlineStr">
        <is>
          <t>-표준계정코드 미사용-</t>
        </is>
      </c>
      <c r="K683" s="24" t="inlineStr">
        <is>
          <t>자기주식의 취득</t>
        </is>
      </c>
      <c r="L683" s="24" t="inlineStr">
        <is>
          <t>자본 [구성요소]|지배기업의 소유주에게 귀속되는 지분 [구성요소]</t>
        </is>
      </c>
      <c r="M683" s="24" t="inlineStr">
        <is>
          <t>제 19 기</t>
        </is>
      </c>
      <c r="N683" s="24" t="inlineStr">
        <is>
          <t>해당 없음</t>
        </is>
      </c>
      <c r="O683" s="24" t="inlineStr">
        <is>
          <t>해당 없음</t>
        </is>
      </c>
      <c r="P683" s="24" t="inlineStr">
        <is>
          <t>KRW</t>
        </is>
      </c>
      <c r="Q683" s="24" t="inlineStr">
        <is>
          <t>6</t>
        </is>
      </c>
    </row>
    <row r="684" ht="24" customHeight="1">
      <c r="A684" s="29" t="inlineStr">
        <is>
          <t>OpenDART_fnlttSinglAcntAll</t>
        </is>
      </c>
      <c r="B684" s="29" t="inlineStr">
        <is>
          <t>00591441</t>
        </is>
      </c>
      <c r="C684" s="29" t="inlineStr">
        <is>
          <t>어보브반도체</t>
        </is>
      </c>
      <c r="D684" s="29" t="inlineStr">
        <is>
          <t>abov</t>
        </is>
      </c>
      <c r="E684" s="29" t="inlineStr">
        <is>
          <t>102120</t>
        </is>
      </c>
      <c r="F684" s="29" t="inlineStr">
        <is>
          <t>2024</t>
        </is>
      </c>
      <c r="G684" s="29" t="inlineStr">
        <is>
          <t>CFS</t>
        </is>
      </c>
      <c r="H684" s="29" t="inlineStr">
        <is>
          <t>SCE</t>
        </is>
      </c>
      <c r="I684" s="29" t="inlineStr">
        <is>
          <t>자본변동표</t>
        </is>
      </c>
      <c r="J684" s="29" t="inlineStr">
        <is>
          <t>-표준계정코드 미사용-</t>
        </is>
      </c>
      <c r="K684" s="29" t="inlineStr">
        <is>
          <t>자기주식의 취득</t>
        </is>
      </c>
      <c r="L684" s="29" t="inlineStr">
        <is>
          <t>연결재무제표 [member]</t>
        </is>
      </c>
      <c r="M684" s="29" t="inlineStr">
        <is>
          <t>제 19 기</t>
        </is>
      </c>
      <c r="N684" s="29" t="inlineStr">
        <is>
          <t>해당 없음</t>
        </is>
      </c>
      <c r="O684" s="29" t="inlineStr">
        <is>
          <t>해당 없음</t>
        </is>
      </c>
      <c r="P684" s="29" t="inlineStr">
        <is>
          <t>KRW</t>
        </is>
      </c>
      <c r="Q684" s="29" t="inlineStr">
        <is>
          <t>6</t>
        </is>
      </c>
    </row>
    <row r="685" ht="24" customHeight="1">
      <c r="A685" s="24" t="inlineStr">
        <is>
          <t>OpenDART_fnlttSinglAcntAll</t>
        </is>
      </c>
      <c r="B685" s="24" t="inlineStr">
        <is>
          <t>00591441</t>
        </is>
      </c>
      <c r="C685" s="24" t="inlineStr">
        <is>
          <t>어보브반도체</t>
        </is>
      </c>
      <c r="D685" s="24" t="inlineStr">
        <is>
          <t>abov</t>
        </is>
      </c>
      <c r="E685" s="24" t="inlineStr">
        <is>
          <t>102120</t>
        </is>
      </c>
      <c r="F685" s="24" t="inlineStr">
        <is>
          <t>2024</t>
        </is>
      </c>
      <c r="G685" s="24" t="inlineStr">
        <is>
          <t>CFS</t>
        </is>
      </c>
      <c r="H685" s="24" t="inlineStr">
        <is>
          <t>SCE</t>
        </is>
      </c>
      <c r="I685" s="24" t="inlineStr">
        <is>
          <t>자본변동표</t>
        </is>
      </c>
      <c r="J685" s="24" t="inlineStr">
        <is>
          <t>-표준계정코드 미사용-</t>
        </is>
      </c>
      <c r="K685" s="24" t="inlineStr">
        <is>
          <t>자기주식의 취득</t>
        </is>
      </c>
      <c r="L685" s="24" t="inlineStr">
        <is>
          <t>자본 [구성요소]|지배기업의 소유주에게 귀속되는 지분 [구성요소]|기타자본구성요소 [구성요소]</t>
        </is>
      </c>
      <c r="M685" s="24" t="inlineStr">
        <is>
          <t>제 19 기</t>
        </is>
      </c>
      <c r="N685" s="24" t="inlineStr">
        <is>
          <t>해당 없음</t>
        </is>
      </c>
      <c r="O685" s="24" t="inlineStr">
        <is>
          <t>해당 없음</t>
        </is>
      </c>
      <c r="P685" s="24" t="inlineStr">
        <is>
          <t>KRW</t>
        </is>
      </c>
      <c r="Q685" s="24" t="inlineStr">
        <is>
          <t>6</t>
        </is>
      </c>
    </row>
    <row r="686" ht="24" customHeight="1">
      <c r="A686" s="29" t="inlineStr">
        <is>
          <t>OpenDART_fnlttSinglAcntAll</t>
        </is>
      </c>
      <c r="B686" s="29" t="inlineStr">
        <is>
          <t>00591441</t>
        </is>
      </c>
      <c r="C686" s="29" t="inlineStr">
        <is>
          <t>어보브반도체</t>
        </is>
      </c>
      <c r="D686" s="29" t="inlineStr">
        <is>
          <t>abov</t>
        </is>
      </c>
      <c r="E686" s="29" t="inlineStr">
        <is>
          <t>102120</t>
        </is>
      </c>
      <c r="F686" s="29" t="inlineStr">
        <is>
          <t>2024</t>
        </is>
      </c>
      <c r="G686" s="29" t="inlineStr">
        <is>
          <t>CFS</t>
        </is>
      </c>
      <c r="H686" s="29" t="inlineStr">
        <is>
          <t>SCE</t>
        </is>
      </c>
      <c r="I686" s="29" t="inlineStr">
        <is>
          <t>자본변동표</t>
        </is>
      </c>
      <c r="J686" s="29" t="inlineStr">
        <is>
          <t>-표준계정코드 미사용-</t>
        </is>
      </c>
      <c r="K686" s="29" t="inlineStr">
        <is>
          <t>교환권 대가</t>
        </is>
      </c>
      <c r="L686" s="29" t="inlineStr">
        <is>
          <t>연결재무제표 [member]</t>
        </is>
      </c>
      <c r="M686" s="29" t="inlineStr">
        <is>
          <t>제 19 기</t>
        </is>
      </c>
      <c r="N686" s="29" t="inlineStr">
        <is>
          <t>1265148130.0</t>
        </is>
      </c>
      <c r="O686" s="29" t="inlineStr">
        <is>
          <t>해당 없음</t>
        </is>
      </c>
      <c r="P686" s="29" t="inlineStr">
        <is>
          <t>KRW</t>
        </is>
      </c>
      <c r="Q686" s="29" t="inlineStr">
        <is>
          <t>7</t>
        </is>
      </c>
    </row>
    <row r="687" ht="24" customHeight="1">
      <c r="A687" s="24" t="inlineStr">
        <is>
          <t>OpenDART_fnlttSinglAcntAll</t>
        </is>
      </c>
      <c r="B687" s="24" t="inlineStr">
        <is>
          <t>00591441</t>
        </is>
      </c>
      <c r="C687" s="24" t="inlineStr">
        <is>
          <t>어보브반도체</t>
        </is>
      </c>
      <c r="D687" s="24" t="inlineStr">
        <is>
          <t>abov</t>
        </is>
      </c>
      <c r="E687" s="24" t="inlineStr">
        <is>
          <t>102120</t>
        </is>
      </c>
      <c r="F687" s="24" t="inlineStr">
        <is>
          <t>2024</t>
        </is>
      </c>
      <c r="G687" s="24" t="inlineStr">
        <is>
          <t>CFS</t>
        </is>
      </c>
      <c r="H687" s="24" t="inlineStr">
        <is>
          <t>SCE</t>
        </is>
      </c>
      <c r="I687" s="24" t="inlineStr">
        <is>
          <t>자본변동표</t>
        </is>
      </c>
      <c r="J687" s="24" t="inlineStr">
        <is>
          <t>-표준계정코드 미사용-</t>
        </is>
      </c>
      <c r="K687" s="24" t="inlineStr">
        <is>
          <t>교환권 대가</t>
        </is>
      </c>
      <c r="L687" s="24" t="inlineStr">
        <is>
          <t>자본 [구성요소]|비지배지분 [구성요소]</t>
        </is>
      </c>
      <c r="M687" s="24" t="inlineStr">
        <is>
          <t>제 19 기</t>
        </is>
      </c>
      <c r="N687" s="24" t="inlineStr">
        <is>
          <t>632571712.0</t>
        </is>
      </c>
      <c r="O687" s="24" t="inlineStr">
        <is>
          <t>해당 없음</t>
        </is>
      </c>
      <c r="P687" s="24" t="inlineStr">
        <is>
          <t>KRW</t>
        </is>
      </c>
      <c r="Q687" s="24" t="inlineStr">
        <is>
          <t>7</t>
        </is>
      </c>
    </row>
    <row r="688" ht="24" customHeight="1">
      <c r="A688" s="29" t="inlineStr">
        <is>
          <t>OpenDART_fnlttSinglAcntAll</t>
        </is>
      </c>
      <c r="B688" s="29" t="inlineStr">
        <is>
          <t>00591441</t>
        </is>
      </c>
      <c r="C688" s="29" t="inlineStr">
        <is>
          <t>어보브반도체</t>
        </is>
      </c>
      <c r="D688" s="29" t="inlineStr">
        <is>
          <t>abov</t>
        </is>
      </c>
      <c r="E688" s="29" t="inlineStr">
        <is>
          <t>102120</t>
        </is>
      </c>
      <c r="F688" s="29" t="inlineStr">
        <is>
          <t>2024</t>
        </is>
      </c>
      <c r="G688" s="29" t="inlineStr">
        <is>
          <t>CFS</t>
        </is>
      </c>
      <c r="H688" s="29" t="inlineStr">
        <is>
          <t>SCE</t>
        </is>
      </c>
      <c r="I688" s="29" t="inlineStr">
        <is>
          <t>자본변동표</t>
        </is>
      </c>
      <c r="J688" s="29" t="inlineStr">
        <is>
          <t>-표준계정코드 미사용-</t>
        </is>
      </c>
      <c r="K688" s="29" t="inlineStr">
        <is>
          <t>교환권 대가</t>
        </is>
      </c>
      <c r="L688" s="29" t="inlineStr">
        <is>
          <t>자본 [구성요소]|지배기업의 소유주에게 귀속되는 지분 [구성요소]</t>
        </is>
      </c>
      <c r="M688" s="29" t="inlineStr">
        <is>
          <t>제 19 기</t>
        </is>
      </c>
      <c r="N688" s="29" t="inlineStr">
        <is>
          <t>632576418.0</t>
        </is>
      </c>
      <c r="O688" s="29" t="inlineStr">
        <is>
          <t>해당 없음</t>
        </is>
      </c>
      <c r="P688" s="29" t="inlineStr">
        <is>
          <t>KRW</t>
        </is>
      </c>
      <c r="Q688" s="29" t="inlineStr">
        <is>
          <t>7</t>
        </is>
      </c>
    </row>
    <row r="689" ht="24" customHeight="1">
      <c r="A689" s="24" t="inlineStr">
        <is>
          <t>OpenDART_fnlttSinglAcntAll</t>
        </is>
      </c>
      <c r="B689" s="24" t="inlineStr">
        <is>
          <t>00591441</t>
        </is>
      </c>
      <c r="C689" s="24" t="inlineStr">
        <is>
          <t>어보브반도체</t>
        </is>
      </c>
      <c r="D689" s="24" t="inlineStr">
        <is>
          <t>abov</t>
        </is>
      </c>
      <c r="E689" s="24" t="inlineStr">
        <is>
          <t>102120</t>
        </is>
      </c>
      <c r="F689" s="24" t="inlineStr">
        <is>
          <t>2024</t>
        </is>
      </c>
      <c r="G689" s="24" t="inlineStr">
        <is>
          <t>CFS</t>
        </is>
      </c>
      <c r="H689" s="24" t="inlineStr">
        <is>
          <t>SCE</t>
        </is>
      </c>
      <c r="I689" s="24" t="inlineStr">
        <is>
          <t>자본변동표</t>
        </is>
      </c>
      <c r="J689" s="24" t="inlineStr">
        <is>
          <t>-표준계정코드 미사용-</t>
        </is>
      </c>
      <c r="K689" s="24" t="inlineStr">
        <is>
          <t>교환권 대가</t>
        </is>
      </c>
      <c r="L689" s="24" t="inlineStr">
        <is>
          <t>자본 [구성요소]|지배기업의 소유주에게 귀속되는 지분 [구성요소]|기타자본구성요소 [구성요소]</t>
        </is>
      </c>
      <c r="M689" s="24" t="inlineStr">
        <is>
          <t>제 19 기</t>
        </is>
      </c>
      <c r="N689" s="24" t="inlineStr">
        <is>
          <t>632576418.0</t>
        </is>
      </c>
      <c r="O689" s="24" t="inlineStr">
        <is>
          <t>해당 없음</t>
        </is>
      </c>
      <c r="P689" s="24" t="inlineStr">
        <is>
          <t>KRW</t>
        </is>
      </c>
      <c r="Q689" s="24" t="inlineStr">
        <is>
          <t>7</t>
        </is>
      </c>
    </row>
    <row r="690" ht="24" customHeight="1">
      <c r="A690" s="29" t="inlineStr">
        <is>
          <t>OpenDART_fnlttSinglAcntAll</t>
        </is>
      </c>
      <c r="B690" s="29" t="inlineStr">
        <is>
          <t>00591441</t>
        </is>
      </c>
      <c r="C690" s="29" t="inlineStr">
        <is>
          <t>어보브반도체</t>
        </is>
      </c>
      <c r="D690" s="29" t="inlineStr">
        <is>
          <t>abov</t>
        </is>
      </c>
      <c r="E690" s="29" t="inlineStr">
        <is>
          <t>102120</t>
        </is>
      </c>
      <c r="F690" s="29" t="inlineStr">
        <is>
          <t>2024</t>
        </is>
      </c>
      <c r="G690" s="29" t="inlineStr">
        <is>
          <t>CFS</t>
        </is>
      </c>
      <c r="H690" s="29" t="inlineStr">
        <is>
          <t>SCE</t>
        </is>
      </c>
      <c r="I690" s="29" t="inlineStr">
        <is>
          <t>자본변동표</t>
        </is>
      </c>
      <c r="J690" s="29" t="inlineStr">
        <is>
          <t>-표준계정코드 미사용-</t>
        </is>
      </c>
      <c r="K690" s="29" t="inlineStr">
        <is>
          <t>금융자산의 재분류</t>
        </is>
      </c>
      <c r="L690" s="29" t="inlineStr">
        <is>
          <t>자본 [구성요소]|지배기업의 소유주에게 귀속되는 지분 [구성요소]|기타포괄손익누계액 [구성요소]</t>
        </is>
      </c>
      <c r="M690" s="29" t="inlineStr">
        <is>
          <t>제 19 기</t>
        </is>
      </c>
      <c r="N690" s="29" t="inlineStr">
        <is>
          <t>해당 없음</t>
        </is>
      </c>
      <c r="O690" s="29" t="inlineStr">
        <is>
          <t>해당 없음</t>
        </is>
      </c>
      <c r="P690" s="29" t="inlineStr">
        <is>
          <t>KRW</t>
        </is>
      </c>
      <c r="Q690" s="29" t="inlineStr">
        <is>
          <t>8</t>
        </is>
      </c>
    </row>
    <row r="691" ht="24" customHeight="1">
      <c r="A691" s="24" t="inlineStr">
        <is>
          <t>OpenDART_fnlttSinglAcntAll</t>
        </is>
      </c>
      <c r="B691" s="24" t="inlineStr">
        <is>
          <t>00591441</t>
        </is>
      </c>
      <c r="C691" s="24" t="inlineStr">
        <is>
          <t>어보브반도체</t>
        </is>
      </c>
      <c r="D691" s="24" t="inlineStr">
        <is>
          <t>abov</t>
        </is>
      </c>
      <c r="E691" s="24" t="inlineStr">
        <is>
          <t>102120</t>
        </is>
      </c>
      <c r="F691" s="24" t="inlineStr">
        <is>
          <t>2024</t>
        </is>
      </c>
      <c r="G691" s="24" t="inlineStr">
        <is>
          <t>CFS</t>
        </is>
      </c>
      <c r="H691" s="24" t="inlineStr">
        <is>
          <t>SCE</t>
        </is>
      </c>
      <c r="I691" s="24" t="inlineStr">
        <is>
          <t>자본변동표</t>
        </is>
      </c>
      <c r="J691" s="24" t="inlineStr">
        <is>
          <t>-표준계정코드 미사용-</t>
        </is>
      </c>
      <c r="K691" s="24" t="inlineStr">
        <is>
          <t>금융자산의 재분류</t>
        </is>
      </c>
      <c r="L691" s="24" t="inlineStr">
        <is>
          <t>자본 [구성요소]|지배기업의 소유주에게 귀속되는 지분 [구성요소]|이익잉여금 [구성요소]</t>
        </is>
      </c>
      <c r="M691" s="24" t="inlineStr">
        <is>
          <t>제 19 기</t>
        </is>
      </c>
      <c r="N691" s="24" t="inlineStr">
        <is>
          <t>해당 없음</t>
        </is>
      </c>
      <c r="O691" s="24" t="inlineStr">
        <is>
          <t>해당 없음</t>
        </is>
      </c>
      <c r="P691" s="24" t="inlineStr">
        <is>
          <t>KRW</t>
        </is>
      </c>
      <c r="Q691" s="24" t="inlineStr">
        <is>
          <t>8</t>
        </is>
      </c>
    </row>
    <row r="692" ht="24" customHeight="1">
      <c r="A692" s="29" t="inlineStr">
        <is>
          <t>OpenDART_fnlttSinglAcntAll</t>
        </is>
      </c>
      <c r="B692" s="29" t="inlineStr">
        <is>
          <t>00591441</t>
        </is>
      </c>
      <c r="C692" s="29" t="inlineStr">
        <is>
          <t>어보브반도체</t>
        </is>
      </c>
      <c r="D692" s="29" t="inlineStr">
        <is>
          <t>abov</t>
        </is>
      </c>
      <c r="E692" s="29" t="inlineStr">
        <is>
          <t>102120</t>
        </is>
      </c>
      <c r="F692" s="29" t="inlineStr">
        <is>
          <t>2024</t>
        </is>
      </c>
      <c r="G692" s="29" t="inlineStr">
        <is>
          <t>CFS</t>
        </is>
      </c>
      <c r="H692" s="29" t="inlineStr">
        <is>
          <t>SCE</t>
        </is>
      </c>
      <c r="I692" s="29" t="inlineStr">
        <is>
          <t>자본변동표</t>
        </is>
      </c>
      <c r="J692" s="29" t="inlineStr">
        <is>
          <t>-표준계정코드 미사용-</t>
        </is>
      </c>
      <c r="K692" s="29" t="inlineStr">
        <is>
          <t>전환권 및 신주인수권대가</t>
        </is>
      </c>
      <c r="L692" s="29" t="inlineStr">
        <is>
          <t>연결재무제표 [member]</t>
        </is>
      </c>
      <c r="M692" s="29" t="inlineStr">
        <is>
          <t>제 19 기</t>
        </is>
      </c>
      <c r="N692" s="29" t="inlineStr">
        <is>
          <t>해당 없음</t>
        </is>
      </c>
      <c r="O692" s="29" t="inlineStr">
        <is>
          <t>4882167012.0</t>
        </is>
      </c>
      <c r="P692" s="29" t="inlineStr">
        <is>
          <t>KRW</t>
        </is>
      </c>
      <c r="Q692" s="29" t="inlineStr">
        <is>
          <t>9</t>
        </is>
      </c>
    </row>
    <row r="693" ht="24" customHeight="1">
      <c r="A693" s="24" t="inlineStr">
        <is>
          <t>OpenDART_fnlttSinglAcntAll</t>
        </is>
      </c>
      <c r="B693" s="24" t="inlineStr">
        <is>
          <t>00591441</t>
        </is>
      </c>
      <c r="C693" s="24" t="inlineStr">
        <is>
          <t>어보브반도체</t>
        </is>
      </c>
      <c r="D693" s="24" t="inlineStr">
        <is>
          <t>abov</t>
        </is>
      </c>
      <c r="E693" s="24" t="inlineStr">
        <is>
          <t>102120</t>
        </is>
      </c>
      <c r="F693" s="24" t="inlineStr">
        <is>
          <t>2024</t>
        </is>
      </c>
      <c r="G693" s="24" t="inlineStr">
        <is>
          <t>CFS</t>
        </is>
      </c>
      <c r="H693" s="24" t="inlineStr">
        <is>
          <t>SCE</t>
        </is>
      </c>
      <c r="I693" s="24" t="inlineStr">
        <is>
          <t>자본변동표</t>
        </is>
      </c>
      <c r="J693" s="24" t="inlineStr">
        <is>
          <t>-표준계정코드 미사용-</t>
        </is>
      </c>
      <c r="K693" s="24" t="inlineStr">
        <is>
          <t>전환권 및 신주인수권대가</t>
        </is>
      </c>
      <c r="L693" s="24" t="inlineStr">
        <is>
          <t>자본 [구성요소]|비지배지분 [구성요소]</t>
        </is>
      </c>
      <c r="M693" s="24" t="inlineStr">
        <is>
          <t>제 19 기</t>
        </is>
      </c>
      <c r="N693" s="24" t="inlineStr">
        <is>
          <t>해당 없음</t>
        </is>
      </c>
      <c r="O693" s="24" t="inlineStr">
        <is>
          <t>4882167012.0</t>
        </is>
      </c>
      <c r="P693" s="24" t="inlineStr">
        <is>
          <t>KRW</t>
        </is>
      </c>
      <c r="Q693" s="24" t="inlineStr">
        <is>
          <t>9</t>
        </is>
      </c>
    </row>
    <row r="694" ht="24" customHeight="1">
      <c r="A694" s="29" t="inlineStr">
        <is>
          <t>OpenDART_fnlttSinglAcntAll</t>
        </is>
      </c>
      <c r="B694" s="29" t="inlineStr">
        <is>
          <t>00591441</t>
        </is>
      </c>
      <c r="C694" s="29" t="inlineStr">
        <is>
          <t>어보브반도체</t>
        </is>
      </c>
      <c r="D694" s="29" t="inlineStr">
        <is>
          <t>abov</t>
        </is>
      </c>
      <c r="E694" s="29" t="inlineStr">
        <is>
          <t>102120</t>
        </is>
      </c>
      <c r="F694" s="29" t="inlineStr">
        <is>
          <t>2024</t>
        </is>
      </c>
      <c r="G694" s="29" t="inlineStr">
        <is>
          <t>CFS</t>
        </is>
      </c>
      <c r="H694" s="29" t="inlineStr">
        <is>
          <t>SCE</t>
        </is>
      </c>
      <c r="I694" s="29" t="inlineStr">
        <is>
          <t>자본변동표</t>
        </is>
      </c>
      <c r="J694" s="29" t="inlineStr">
        <is>
          <t>-표준계정코드 미사용-</t>
        </is>
      </c>
      <c r="K694" s="29" t="inlineStr">
        <is>
          <t>전환권 및 신주인수권대가 소멸</t>
        </is>
      </c>
      <c r="L694" s="29" t="inlineStr">
        <is>
          <t>자본 [구성요소]|비지배지분 [구성요소]</t>
        </is>
      </c>
      <c r="M694" s="29" t="inlineStr">
        <is>
          <t>제 19 기</t>
        </is>
      </c>
      <c r="N694" s="29" t="inlineStr">
        <is>
          <t>-4458578646.0</t>
        </is>
      </c>
      <c r="O694" s="29" t="inlineStr">
        <is>
          <t>해당 없음</t>
        </is>
      </c>
      <c r="P694" s="29" t="inlineStr">
        <is>
          <t>KRW</t>
        </is>
      </c>
      <c r="Q694" s="29" t="inlineStr">
        <is>
          <t>10</t>
        </is>
      </c>
    </row>
    <row r="695" ht="24" customHeight="1">
      <c r="A695" s="24" t="inlineStr">
        <is>
          <t>OpenDART_fnlttSinglAcntAll</t>
        </is>
      </c>
      <c r="B695" s="24" t="inlineStr">
        <is>
          <t>00591441</t>
        </is>
      </c>
      <c r="C695" s="24" t="inlineStr">
        <is>
          <t>어보브반도체</t>
        </is>
      </c>
      <c r="D695" s="24" t="inlineStr">
        <is>
          <t>abov</t>
        </is>
      </c>
      <c r="E695" s="24" t="inlineStr">
        <is>
          <t>102120</t>
        </is>
      </c>
      <c r="F695" s="24" t="inlineStr">
        <is>
          <t>2024</t>
        </is>
      </c>
      <c r="G695" s="24" t="inlineStr">
        <is>
          <t>CFS</t>
        </is>
      </c>
      <c r="H695" s="24" t="inlineStr">
        <is>
          <t>SCE</t>
        </is>
      </c>
      <c r="I695" s="24" t="inlineStr">
        <is>
          <t>자본변동표</t>
        </is>
      </c>
      <c r="J695" s="24" t="inlineStr">
        <is>
          <t>-표준계정코드 미사용-</t>
        </is>
      </c>
      <c r="K695" s="24" t="inlineStr">
        <is>
          <t>전환권 및 신주인수권대가 소멸</t>
        </is>
      </c>
      <c r="L695" s="24" t="inlineStr">
        <is>
          <t>자본 [구성요소]|지배기업의 소유주에게 귀속되는 지분 [구성요소]</t>
        </is>
      </c>
      <c r="M695" s="24" t="inlineStr">
        <is>
          <t>제 19 기</t>
        </is>
      </c>
      <c r="N695" s="24" t="inlineStr">
        <is>
          <t>4458578646.0</t>
        </is>
      </c>
      <c r="O695" s="24" t="inlineStr">
        <is>
          <t>해당 없음</t>
        </is>
      </c>
      <c r="P695" s="24" t="inlineStr">
        <is>
          <t>KRW</t>
        </is>
      </c>
      <c r="Q695" s="24" t="inlineStr">
        <is>
          <t>10</t>
        </is>
      </c>
    </row>
    <row r="696" ht="24" customHeight="1">
      <c r="A696" s="29" t="inlineStr">
        <is>
          <t>OpenDART_fnlttSinglAcntAll</t>
        </is>
      </c>
      <c r="B696" s="29" t="inlineStr">
        <is>
          <t>00591441</t>
        </is>
      </c>
      <c r="C696" s="29" t="inlineStr">
        <is>
          <t>어보브반도체</t>
        </is>
      </c>
      <c r="D696" s="29" t="inlineStr">
        <is>
          <t>abov</t>
        </is>
      </c>
      <c r="E696" s="29" t="inlineStr">
        <is>
          <t>102120</t>
        </is>
      </c>
      <c r="F696" s="29" t="inlineStr">
        <is>
          <t>2024</t>
        </is>
      </c>
      <c r="G696" s="29" t="inlineStr">
        <is>
          <t>CFS</t>
        </is>
      </c>
      <c r="H696" s="29" t="inlineStr">
        <is>
          <t>SCE</t>
        </is>
      </c>
      <c r="I696" s="29" t="inlineStr">
        <is>
          <t>자본변동표</t>
        </is>
      </c>
      <c r="J696" s="29" t="inlineStr">
        <is>
          <t>-표준계정코드 미사용-</t>
        </is>
      </c>
      <c r="K696" s="29" t="inlineStr">
        <is>
          <t>전환권 및 신주인수권대가 소멸</t>
        </is>
      </c>
      <c r="L696" s="29" t="inlineStr">
        <is>
          <t>자본 [구성요소]|지배기업의 소유주에게 귀속되는 지분 [구성요소]|기타자본구성요소 [구성요소]</t>
        </is>
      </c>
      <c r="M696" s="29" t="inlineStr">
        <is>
          <t>제 19 기</t>
        </is>
      </c>
      <c r="N696" s="29" t="inlineStr">
        <is>
          <t>4458578646.0</t>
        </is>
      </c>
      <c r="O696" s="29" t="inlineStr">
        <is>
          <t>해당 없음</t>
        </is>
      </c>
      <c r="P696" s="29" t="inlineStr">
        <is>
          <t>KRW</t>
        </is>
      </c>
      <c r="Q696" s="29" t="inlineStr">
        <is>
          <t>10</t>
        </is>
      </c>
    </row>
    <row r="697" ht="24" customHeight="1">
      <c r="A697" s="24" t="inlineStr">
        <is>
          <t>OpenDART_fnlttSinglAcntAll</t>
        </is>
      </c>
      <c r="B697" s="24" t="inlineStr">
        <is>
          <t>00591441</t>
        </is>
      </c>
      <c r="C697" s="24" t="inlineStr">
        <is>
          <t>어보브반도체</t>
        </is>
      </c>
      <c r="D697" s="24" t="inlineStr">
        <is>
          <t>abov</t>
        </is>
      </c>
      <c r="E697" s="24" t="inlineStr">
        <is>
          <t>102120</t>
        </is>
      </c>
      <c r="F697" s="24" t="inlineStr">
        <is>
          <t>2024</t>
        </is>
      </c>
      <c r="G697" s="24" t="inlineStr">
        <is>
          <t>CFS</t>
        </is>
      </c>
      <c r="H697" s="24" t="inlineStr">
        <is>
          <t>SCE</t>
        </is>
      </c>
      <c r="I697" s="24" t="inlineStr">
        <is>
          <t>자본변동표</t>
        </is>
      </c>
      <c r="J697" s="24" t="inlineStr">
        <is>
          <t>-표준계정코드 미사용-</t>
        </is>
      </c>
      <c r="K697" s="24" t="inlineStr">
        <is>
          <t>기타포괄손익-공정가치 측정 금융자산 평가손익</t>
        </is>
      </c>
      <c r="L697" s="24" t="inlineStr">
        <is>
          <t>연결재무제표 [member]</t>
        </is>
      </c>
      <c r="M697" s="24" t="inlineStr">
        <is>
          <t>제 19 기</t>
        </is>
      </c>
      <c r="N697" s="24" t="inlineStr">
        <is>
          <t>해당 없음</t>
        </is>
      </c>
      <c r="O697" s="24" t="inlineStr">
        <is>
          <t>-855737255.0</t>
        </is>
      </c>
      <c r="P697" s="24" t="inlineStr">
        <is>
          <t>KRW</t>
        </is>
      </c>
      <c r="Q697" s="24" t="inlineStr">
        <is>
          <t>11</t>
        </is>
      </c>
    </row>
    <row r="698" ht="24" customHeight="1">
      <c r="A698" s="29" t="inlineStr">
        <is>
          <t>OpenDART_fnlttSinglAcntAll</t>
        </is>
      </c>
      <c r="B698" s="29" t="inlineStr">
        <is>
          <t>00591441</t>
        </is>
      </c>
      <c r="C698" s="29" t="inlineStr">
        <is>
          <t>어보브반도체</t>
        </is>
      </c>
      <c r="D698" s="29" t="inlineStr">
        <is>
          <t>abov</t>
        </is>
      </c>
      <c r="E698" s="29" t="inlineStr">
        <is>
          <t>102120</t>
        </is>
      </c>
      <c r="F698" s="29" t="inlineStr">
        <is>
          <t>2024</t>
        </is>
      </c>
      <c r="G698" s="29" t="inlineStr">
        <is>
          <t>CFS</t>
        </is>
      </c>
      <c r="H698" s="29" t="inlineStr">
        <is>
          <t>SCE</t>
        </is>
      </c>
      <c r="I698" s="29" t="inlineStr">
        <is>
          <t>자본변동표</t>
        </is>
      </c>
      <c r="J698" s="29" t="inlineStr">
        <is>
          <t>-표준계정코드 미사용-</t>
        </is>
      </c>
      <c r="K698" s="29" t="inlineStr">
        <is>
          <t>기타포괄손익-공정가치 측정 금융자산 평가손익</t>
        </is>
      </c>
      <c r="L698" s="29" t="inlineStr">
        <is>
          <t>자본 [구성요소]|비지배지분 [구성요소]</t>
        </is>
      </c>
      <c r="M698" s="29" t="inlineStr">
        <is>
          <t>제 19 기</t>
        </is>
      </c>
      <c r="N698" s="29" t="inlineStr">
        <is>
          <t>해당 없음</t>
        </is>
      </c>
      <c r="O698" s="29" t="inlineStr">
        <is>
          <t>-624493320.0</t>
        </is>
      </c>
      <c r="P698" s="29" t="inlineStr">
        <is>
          <t>KRW</t>
        </is>
      </c>
      <c r="Q698" s="29" t="inlineStr">
        <is>
          <t>11</t>
        </is>
      </c>
    </row>
    <row r="699" ht="24" customHeight="1">
      <c r="A699" s="24" t="inlineStr">
        <is>
          <t>OpenDART_fnlttSinglAcntAll</t>
        </is>
      </c>
      <c r="B699" s="24" t="inlineStr">
        <is>
          <t>00591441</t>
        </is>
      </c>
      <c r="C699" s="24" t="inlineStr">
        <is>
          <t>어보브반도체</t>
        </is>
      </c>
      <c r="D699" s="24" t="inlineStr">
        <is>
          <t>abov</t>
        </is>
      </c>
      <c r="E699" s="24" t="inlineStr">
        <is>
          <t>102120</t>
        </is>
      </c>
      <c r="F699" s="24" t="inlineStr">
        <is>
          <t>2024</t>
        </is>
      </c>
      <c r="G699" s="24" t="inlineStr">
        <is>
          <t>CFS</t>
        </is>
      </c>
      <c r="H699" s="24" t="inlineStr">
        <is>
          <t>SCE</t>
        </is>
      </c>
      <c r="I699" s="24" t="inlineStr">
        <is>
          <t>자본변동표</t>
        </is>
      </c>
      <c r="J699" s="24" t="inlineStr">
        <is>
          <t>-표준계정코드 미사용-</t>
        </is>
      </c>
      <c r="K699" s="24" t="inlineStr">
        <is>
          <t>기타포괄손익-공정가치 측정 금융자산 평가손익</t>
        </is>
      </c>
      <c r="L699" s="24" t="inlineStr">
        <is>
          <t>자본 [구성요소]|지배기업의 소유주에게 귀속되는 지분 [구성요소]</t>
        </is>
      </c>
      <c r="M699" s="24" t="inlineStr">
        <is>
          <t>제 19 기</t>
        </is>
      </c>
      <c r="N699" s="24" t="inlineStr">
        <is>
          <t>해당 없음</t>
        </is>
      </c>
      <c r="O699" s="24" t="inlineStr">
        <is>
          <t>-231243935.0</t>
        </is>
      </c>
      <c r="P699" s="24" t="inlineStr">
        <is>
          <t>KRW</t>
        </is>
      </c>
      <c r="Q699" s="24" t="inlineStr">
        <is>
          <t>11</t>
        </is>
      </c>
    </row>
    <row r="700" ht="24" customHeight="1">
      <c r="A700" s="29" t="inlineStr">
        <is>
          <t>OpenDART_fnlttSinglAcntAll</t>
        </is>
      </c>
      <c r="B700" s="29" t="inlineStr">
        <is>
          <t>00591441</t>
        </is>
      </c>
      <c r="C700" s="29" t="inlineStr">
        <is>
          <t>어보브반도체</t>
        </is>
      </c>
      <c r="D700" s="29" t="inlineStr">
        <is>
          <t>abov</t>
        </is>
      </c>
      <c r="E700" s="29" t="inlineStr">
        <is>
          <t>102120</t>
        </is>
      </c>
      <c r="F700" s="29" t="inlineStr">
        <is>
          <t>2024</t>
        </is>
      </c>
      <c r="G700" s="29" t="inlineStr">
        <is>
          <t>CFS</t>
        </is>
      </c>
      <c r="H700" s="29" t="inlineStr">
        <is>
          <t>SCE</t>
        </is>
      </c>
      <c r="I700" s="29" t="inlineStr">
        <is>
          <t>자본변동표</t>
        </is>
      </c>
      <c r="J700" s="29" t="inlineStr">
        <is>
          <t>-표준계정코드 미사용-</t>
        </is>
      </c>
      <c r="K700" s="29" t="inlineStr">
        <is>
          <t>기타포괄손익-공정가치 측정 금융자산 평가손익</t>
        </is>
      </c>
      <c r="L700" s="29" t="inlineStr">
        <is>
          <t>자본 [구성요소]|지배기업의 소유주에게 귀속되는 지분 [구성요소]|기타포괄손익누계액 [구성요소]</t>
        </is>
      </c>
      <c r="M700" s="29" t="inlineStr">
        <is>
          <t>제 19 기</t>
        </is>
      </c>
      <c r="N700" s="29" t="inlineStr">
        <is>
          <t>해당 없음</t>
        </is>
      </c>
      <c r="O700" s="29" t="inlineStr">
        <is>
          <t>-231243935.0</t>
        </is>
      </c>
      <c r="P700" s="29" t="inlineStr">
        <is>
          <t>KRW</t>
        </is>
      </c>
      <c r="Q700" s="29" t="inlineStr">
        <is>
          <t>11</t>
        </is>
      </c>
    </row>
    <row r="701" ht="24" customHeight="1">
      <c r="A701" s="24" t="inlineStr">
        <is>
          <t>OpenDART_fnlttSinglAcntAll</t>
        </is>
      </c>
      <c r="B701" s="24" t="inlineStr">
        <is>
          <t>00591441</t>
        </is>
      </c>
      <c r="C701" s="24" t="inlineStr">
        <is>
          <t>어보브반도체</t>
        </is>
      </c>
      <c r="D701" s="24" t="inlineStr">
        <is>
          <t>abov</t>
        </is>
      </c>
      <c r="E701" s="24" t="inlineStr">
        <is>
          <t>102120</t>
        </is>
      </c>
      <c r="F701" s="24" t="inlineStr">
        <is>
          <t>2024</t>
        </is>
      </c>
      <c r="G701" s="24" t="inlineStr">
        <is>
          <t>CFS</t>
        </is>
      </c>
      <c r="H701" s="24" t="inlineStr">
        <is>
          <t>SCE</t>
        </is>
      </c>
      <c r="I701" s="24" t="inlineStr">
        <is>
          <t>자본변동표</t>
        </is>
      </c>
      <c r="J701" s="24" t="inlineStr">
        <is>
          <t>-표준계정코드 미사용-</t>
        </is>
      </c>
      <c r="K701" s="24" t="inlineStr">
        <is>
          <t>유상증자</t>
        </is>
      </c>
      <c r="L701" s="24" t="inlineStr">
        <is>
          <t>연결재무제표 [member]</t>
        </is>
      </c>
      <c r="M701" s="24" t="inlineStr">
        <is>
          <t>제 19 기</t>
        </is>
      </c>
      <c r="N701" s="24" t="inlineStr">
        <is>
          <t>해당 없음</t>
        </is>
      </c>
      <c r="O701" s="24" t="inlineStr">
        <is>
          <t>해당 없음</t>
        </is>
      </c>
      <c r="P701" s="24" t="inlineStr">
        <is>
          <t>KRW</t>
        </is>
      </c>
      <c r="Q701" s="24" t="inlineStr">
        <is>
          <t>12</t>
        </is>
      </c>
    </row>
    <row r="702" ht="24" customHeight="1">
      <c r="A702" s="29" t="inlineStr">
        <is>
          <t>OpenDART_fnlttSinglAcntAll</t>
        </is>
      </c>
      <c r="B702" s="29" t="inlineStr">
        <is>
          <t>00591441</t>
        </is>
      </c>
      <c r="C702" s="29" t="inlineStr">
        <is>
          <t>어보브반도체</t>
        </is>
      </c>
      <c r="D702" s="29" t="inlineStr">
        <is>
          <t>abov</t>
        </is>
      </c>
      <c r="E702" s="29" t="inlineStr">
        <is>
          <t>102120</t>
        </is>
      </c>
      <c r="F702" s="29" t="inlineStr">
        <is>
          <t>2024</t>
        </is>
      </c>
      <c r="G702" s="29" t="inlineStr">
        <is>
          <t>CFS</t>
        </is>
      </c>
      <c r="H702" s="29" t="inlineStr">
        <is>
          <t>SCE</t>
        </is>
      </c>
      <c r="I702" s="29" t="inlineStr">
        <is>
          <t>자본변동표</t>
        </is>
      </c>
      <c r="J702" s="29" t="inlineStr">
        <is>
          <t>-표준계정코드 미사용-</t>
        </is>
      </c>
      <c r="K702" s="29" t="inlineStr">
        <is>
          <t>유상증자</t>
        </is>
      </c>
      <c r="L702" s="29" t="inlineStr">
        <is>
          <t>자본 [구성요소]|지배기업의 소유주에게 귀속되는 지분 [구성요소]</t>
        </is>
      </c>
      <c r="M702" s="29" t="inlineStr">
        <is>
          <t>제 19 기</t>
        </is>
      </c>
      <c r="N702" s="29" t="inlineStr">
        <is>
          <t>해당 없음</t>
        </is>
      </c>
      <c r="O702" s="29" t="inlineStr">
        <is>
          <t>해당 없음</t>
        </is>
      </c>
      <c r="P702" s="29" t="inlineStr">
        <is>
          <t>KRW</t>
        </is>
      </c>
      <c r="Q702" s="29" t="inlineStr">
        <is>
          <t>12</t>
        </is>
      </c>
    </row>
    <row r="703" ht="24" customHeight="1">
      <c r="A703" s="24" t="inlineStr">
        <is>
          <t>OpenDART_fnlttSinglAcntAll</t>
        </is>
      </c>
      <c r="B703" s="24" t="inlineStr">
        <is>
          <t>00591441</t>
        </is>
      </c>
      <c r="C703" s="24" t="inlineStr">
        <is>
          <t>어보브반도체</t>
        </is>
      </c>
      <c r="D703" s="24" t="inlineStr">
        <is>
          <t>abov</t>
        </is>
      </c>
      <c r="E703" s="24" t="inlineStr">
        <is>
          <t>102120</t>
        </is>
      </c>
      <c r="F703" s="24" t="inlineStr">
        <is>
          <t>2024</t>
        </is>
      </c>
      <c r="G703" s="24" t="inlineStr">
        <is>
          <t>CFS</t>
        </is>
      </c>
      <c r="H703" s="24" t="inlineStr">
        <is>
          <t>SCE</t>
        </is>
      </c>
      <c r="I703" s="24" t="inlineStr">
        <is>
          <t>자본변동표</t>
        </is>
      </c>
      <c r="J703" s="24" t="inlineStr">
        <is>
          <t>-표준계정코드 미사용-</t>
        </is>
      </c>
      <c r="K703" s="24" t="inlineStr">
        <is>
          <t>유상증자</t>
        </is>
      </c>
      <c r="L703" s="24" t="inlineStr">
        <is>
          <t>자본 [구성요소]|지배기업의 소유주에게 귀속되는 지분 [구성요소]|자본잉여금 [구성요소]</t>
        </is>
      </c>
      <c r="M703" s="24" t="inlineStr">
        <is>
          <t>제 19 기</t>
        </is>
      </c>
      <c r="N703" s="24" t="inlineStr">
        <is>
          <t>해당 없음</t>
        </is>
      </c>
      <c r="O703" s="24" t="inlineStr">
        <is>
          <t>해당 없음</t>
        </is>
      </c>
      <c r="P703" s="24" t="inlineStr">
        <is>
          <t>KRW</t>
        </is>
      </c>
      <c r="Q703" s="24" t="inlineStr">
        <is>
          <t>12</t>
        </is>
      </c>
    </row>
    <row r="704" ht="24" customHeight="1">
      <c r="A704" s="29" t="inlineStr">
        <is>
          <t>OpenDART_fnlttSinglAcntAll</t>
        </is>
      </c>
      <c r="B704" s="29" t="inlineStr">
        <is>
          <t>00591441</t>
        </is>
      </c>
      <c r="C704" s="29" t="inlineStr">
        <is>
          <t>어보브반도체</t>
        </is>
      </c>
      <c r="D704" s="29" t="inlineStr">
        <is>
          <t>abov</t>
        </is>
      </c>
      <c r="E704" s="29" t="inlineStr">
        <is>
          <t>102120</t>
        </is>
      </c>
      <c r="F704" s="29" t="inlineStr">
        <is>
          <t>2024</t>
        </is>
      </c>
      <c r="G704" s="29" t="inlineStr">
        <is>
          <t>CFS</t>
        </is>
      </c>
      <c r="H704" s="29" t="inlineStr">
        <is>
          <t>SCE</t>
        </is>
      </c>
      <c r="I704" s="29" t="inlineStr">
        <is>
          <t>자본변동표</t>
        </is>
      </c>
      <c r="J704" s="29" t="inlineStr">
        <is>
          <t>-표준계정코드 미사용-</t>
        </is>
      </c>
      <c r="K704" s="29" t="inlineStr">
        <is>
          <t>유상증자</t>
        </is>
      </c>
      <c r="L704" s="29" t="inlineStr">
        <is>
          <t>자본 [구성요소]|지배기업의 소유주에게 귀속되는 지분 [구성요소]|자본금 [구성요소]</t>
        </is>
      </c>
      <c r="M704" s="29" t="inlineStr">
        <is>
          <t>제 19 기</t>
        </is>
      </c>
      <c r="N704" s="29" t="inlineStr">
        <is>
          <t>해당 없음</t>
        </is>
      </c>
      <c r="O704" s="29" t="inlineStr">
        <is>
          <t>해당 없음</t>
        </is>
      </c>
      <c r="P704" s="29" t="inlineStr">
        <is>
          <t>KRW</t>
        </is>
      </c>
      <c r="Q704" s="29" t="inlineStr">
        <is>
          <t>12</t>
        </is>
      </c>
    </row>
    <row r="705" ht="24" customHeight="1">
      <c r="A705" s="24" t="inlineStr">
        <is>
          <t>OpenDART_fnlttSinglAcntAll</t>
        </is>
      </c>
      <c r="B705" s="24" t="inlineStr">
        <is>
          <t>00591441</t>
        </is>
      </c>
      <c r="C705" s="24" t="inlineStr">
        <is>
          <t>어보브반도체</t>
        </is>
      </c>
      <c r="D705" s="24" t="inlineStr">
        <is>
          <t>abov</t>
        </is>
      </c>
      <c r="E705" s="24" t="inlineStr">
        <is>
          <t>102120</t>
        </is>
      </c>
      <c r="F705" s="24" t="inlineStr">
        <is>
          <t>2024</t>
        </is>
      </c>
      <c r="G705" s="24" t="inlineStr">
        <is>
          <t>CFS</t>
        </is>
      </c>
      <c r="H705" s="24" t="inlineStr">
        <is>
          <t>SCE</t>
        </is>
      </c>
      <c r="I705" s="24" t="inlineStr">
        <is>
          <t>자본변동표</t>
        </is>
      </c>
      <c r="J705" s="24" t="inlineStr">
        <is>
          <t>-표준계정코드 미사용-</t>
        </is>
      </c>
      <c r="K705" s="24" t="inlineStr">
        <is>
          <t>순확정급여부채의 재측정요소</t>
        </is>
      </c>
      <c r="L705" s="24" t="inlineStr">
        <is>
          <t>자본 [구성요소]|지배기업의 소유주에게 귀속되는 지분 [구성요소]|이익잉여금 [구성요소]</t>
        </is>
      </c>
      <c r="M705" s="24" t="inlineStr">
        <is>
          <t>제 19 기</t>
        </is>
      </c>
      <c r="N705" s="24" t="inlineStr">
        <is>
          <t>751870946.0</t>
        </is>
      </c>
      <c r="O705" s="24" t="inlineStr">
        <is>
          <t>-643869713.0</t>
        </is>
      </c>
      <c r="P705" s="24" t="inlineStr">
        <is>
          <t>KRW</t>
        </is>
      </c>
      <c r="Q705" s="24" t="inlineStr">
        <is>
          <t>13</t>
        </is>
      </c>
    </row>
    <row r="706" ht="24" customHeight="1">
      <c r="A706" s="29" t="inlineStr">
        <is>
          <t>OpenDART_fnlttSinglAcntAll</t>
        </is>
      </c>
      <c r="B706" s="29" t="inlineStr">
        <is>
          <t>00591441</t>
        </is>
      </c>
      <c r="C706" s="29" t="inlineStr">
        <is>
          <t>어보브반도체</t>
        </is>
      </c>
      <c r="D706" s="29" t="inlineStr">
        <is>
          <t>abov</t>
        </is>
      </c>
      <c r="E706" s="29" t="inlineStr">
        <is>
          <t>102120</t>
        </is>
      </c>
      <c r="F706" s="29" t="inlineStr">
        <is>
          <t>2024</t>
        </is>
      </c>
      <c r="G706" s="29" t="inlineStr">
        <is>
          <t>CFS</t>
        </is>
      </c>
      <c r="H706" s="29" t="inlineStr">
        <is>
          <t>SCE</t>
        </is>
      </c>
      <c r="I706" s="29" t="inlineStr">
        <is>
          <t>자본변동표</t>
        </is>
      </c>
      <c r="J706" s="29" t="inlineStr">
        <is>
          <t>-표준계정코드 미사용-</t>
        </is>
      </c>
      <c r="K706" s="29" t="inlineStr">
        <is>
          <t>순확정급여부채의 재측정요소</t>
        </is>
      </c>
      <c r="L706" s="29" t="inlineStr">
        <is>
          <t>자본 [구성요소]|지배기업의 소유주에게 귀속되는 지분 [구성요소]</t>
        </is>
      </c>
      <c r="M706" s="29" t="inlineStr">
        <is>
          <t>제 19 기</t>
        </is>
      </c>
      <c r="N706" s="29" t="inlineStr">
        <is>
          <t>751870946.0</t>
        </is>
      </c>
      <c r="O706" s="29" t="inlineStr">
        <is>
          <t>-643869713.0</t>
        </is>
      </c>
      <c r="P706" s="29" t="inlineStr">
        <is>
          <t>KRW</t>
        </is>
      </c>
      <c r="Q706" s="29" t="inlineStr">
        <is>
          <t>13</t>
        </is>
      </c>
    </row>
    <row r="707" ht="24" customHeight="1">
      <c r="A707" s="24" t="inlineStr">
        <is>
          <t>OpenDART_fnlttSinglAcntAll</t>
        </is>
      </c>
      <c r="B707" s="24" t="inlineStr">
        <is>
          <t>00591441</t>
        </is>
      </c>
      <c r="C707" s="24" t="inlineStr">
        <is>
          <t>어보브반도체</t>
        </is>
      </c>
      <c r="D707" s="24" t="inlineStr">
        <is>
          <t>abov</t>
        </is>
      </c>
      <c r="E707" s="24" t="inlineStr">
        <is>
          <t>102120</t>
        </is>
      </c>
      <c r="F707" s="24" t="inlineStr">
        <is>
          <t>2024</t>
        </is>
      </c>
      <c r="G707" s="24" t="inlineStr">
        <is>
          <t>CFS</t>
        </is>
      </c>
      <c r="H707" s="24" t="inlineStr">
        <is>
          <t>SCE</t>
        </is>
      </c>
      <c r="I707" s="24" t="inlineStr">
        <is>
          <t>자본변동표</t>
        </is>
      </c>
      <c r="J707" s="24" t="inlineStr">
        <is>
          <t>-표준계정코드 미사용-</t>
        </is>
      </c>
      <c r="K707" s="24" t="inlineStr">
        <is>
          <t>순확정급여부채의 재측정요소</t>
        </is>
      </c>
      <c r="L707" s="24" t="inlineStr">
        <is>
          <t>연결재무제표 [member]</t>
        </is>
      </c>
      <c r="M707" s="24" t="inlineStr">
        <is>
          <t>제 19 기</t>
        </is>
      </c>
      <c r="N707" s="24" t="inlineStr">
        <is>
          <t>751870946.0</t>
        </is>
      </c>
      <c r="O707" s="24" t="inlineStr">
        <is>
          <t>-643869713.0</t>
        </is>
      </c>
      <c r="P707" s="24" t="inlineStr">
        <is>
          <t>KRW</t>
        </is>
      </c>
      <c r="Q707" s="24" t="inlineStr">
        <is>
          <t>13</t>
        </is>
      </c>
    </row>
    <row r="708" ht="24" customHeight="1">
      <c r="A708" s="29" t="inlineStr">
        <is>
          <t>OpenDART_fnlttSinglAcntAll</t>
        </is>
      </c>
      <c r="B708" s="29" t="inlineStr">
        <is>
          <t>00591441</t>
        </is>
      </c>
      <c r="C708" s="29" t="inlineStr">
        <is>
          <t>어보브반도체</t>
        </is>
      </c>
      <c r="D708" s="29" t="inlineStr">
        <is>
          <t>abov</t>
        </is>
      </c>
      <c r="E708" s="29" t="inlineStr">
        <is>
          <t>102120</t>
        </is>
      </c>
      <c r="F708" s="29" t="inlineStr">
        <is>
          <t>2024</t>
        </is>
      </c>
      <c r="G708" s="29" t="inlineStr">
        <is>
          <t>CFS</t>
        </is>
      </c>
      <c r="H708" s="29" t="inlineStr">
        <is>
          <t>SCE</t>
        </is>
      </c>
      <c r="I708" s="29" t="inlineStr">
        <is>
          <t>자본변동표</t>
        </is>
      </c>
      <c r="J708" s="29" t="inlineStr">
        <is>
          <t>-표준계정코드 미사용-</t>
        </is>
      </c>
      <c r="K708" s="29" t="inlineStr">
        <is>
          <t>종속기업의 전환권 및 신주인수권  전환청구</t>
        </is>
      </c>
      <c r="L708" s="29" t="inlineStr">
        <is>
          <t>자본 [구성요소]|비지배지분 [구성요소]</t>
        </is>
      </c>
      <c r="M708" s="29" t="inlineStr">
        <is>
          <t>제 19 기</t>
        </is>
      </c>
      <c r="N708" s="29" t="inlineStr">
        <is>
          <t>2115315529.0</t>
        </is>
      </c>
      <c r="O708" s="29" t="inlineStr">
        <is>
          <t>해당 없음</t>
        </is>
      </c>
      <c r="P708" s="29" t="inlineStr">
        <is>
          <t>KRW</t>
        </is>
      </c>
      <c r="Q708" s="29" t="inlineStr">
        <is>
          <t>14</t>
        </is>
      </c>
    </row>
    <row r="709" ht="24" customHeight="1">
      <c r="A709" s="24" t="inlineStr">
        <is>
          <t>OpenDART_fnlttSinglAcntAll</t>
        </is>
      </c>
      <c r="B709" s="24" t="inlineStr">
        <is>
          <t>00591441</t>
        </is>
      </c>
      <c r="C709" s="24" t="inlineStr">
        <is>
          <t>어보브반도체</t>
        </is>
      </c>
      <c r="D709" s="24" t="inlineStr">
        <is>
          <t>abov</t>
        </is>
      </c>
      <c r="E709" s="24" t="inlineStr">
        <is>
          <t>102120</t>
        </is>
      </c>
      <c r="F709" s="24" t="inlineStr">
        <is>
          <t>2024</t>
        </is>
      </c>
      <c r="G709" s="24" t="inlineStr">
        <is>
          <t>CFS</t>
        </is>
      </c>
      <c r="H709" s="24" t="inlineStr">
        <is>
          <t>SCE</t>
        </is>
      </c>
      <c r="I709" s="24" t="inlineStr">
        <is>
          <t>자본변동표</t>
        </is>
      </c>
      <c r="J709" s="24" t="inlineStr">
        <is>
          <t>-표준계정코드 미사용-</t>
        </is>
      </c>
      <c r="K709" s="24" t="inlineStr">
        <is>
          <t>종속기업의 전환권 및 신주인수권  전환청구</t>
        </is>
      </c>
      <c r="L709" s="24" t="inlineStr">
        <is>
          <t>연결재무제표 [member]</t>
        </is>
      </c>
      <c r="M709" s="24" t="inlineStr">
        <is>
          <t>제 19 기</t>
        </is>
      </c>
      <c r="N709" s="24" t="inlineStr">
        <is>
          <t>2115315529.0</t>
        </is>
      </c>
      <c r="O709" s="24" t="inlineStr">
        <is>
          <t>해당 없음</t>
        </is>
      </c>
      <c r="P709" s="24" t="inlineStr">
        <is>
          <t>KRW</t>
        </is>
      </c>
      <c r="Q709" s="24" t="inlineStr">
        <is>
          <t>14</t>
        </is>
      </c>
    </row>
    <row r="710" ht="24" customHeight="1">
      <c r="A710" s="29" t="inlineStr">
        <is>
          <t>OpenDART_fnlttSinglAcntAll</t>
        </is>
      </c>
      <c r="B710" s="29" t="inlineStr">
        <is>
          <t>00591441</t>
        </is>
      </c>
      <c r="C710" s="29" t="inlineStr">
        <is>
          <t>어보브반도체</t>
        </is>
      </c>
      <c r="D710" s="29" t="inlineStr">
        <is>
          <t>abov</t>
        </is>
      </c>
      <c r="E710" s="29" t="inlineStr">
        <is>
          <t>102120</t>
        </is>
      </c>
      <c r="F710" s="29" t="inlineStr">
        <is>
          <t>2024</t>
        </is>
      </c>
      <c r="G710" s="29" t="inlineStr">
        <is>
          <t>CFS</t>
        </is>
      </c>
      <c r="H710" s="29" t="inlineStr">
        <is>
          <t>SCE</t>
        </is>
      </c>
      <c r="I710" s="29" t="inlineStr">
        <is>
          <t>자본변동표</t>
        </is>
      </c>
      <c r="J710" s="29" t="inlineStr">
        <is>
          <t>ifrs-full_DividendsPaidClassifiedAsFinancingActivities</t>
        </is>
      </c>
      <c r="K710" s="29" t="inlineStr">
        <is>
          <t>배당금 지급</t>
        </is>
      </c>
      <c r="L710" s="29" t="inlineStr">
        <is>
          <t>연결재무제표 [member]</t>
        </is>
      </c>
      <c r="M710" s="29" t="inlineStr">
        <is>
          <t>제 19 기</t>
        </is>
      </c>
      <c r="N710" s="29" t="inlineStr">
        <is>
          <t>-1649875400.0</t>
        </is>
      </c>
      <c r="O710" s="29" t="inlineStr">
        <is>
          <t>-3299750800.0</t>
        </is>
      </c>
      <c r="P710" s="29" t="inlineStr">
        <is>
          <t>KRW</t>
        </is>
      </c>
      <c r="Q710" s="29" t="inlineStr">
        <is>
          <t>15</t>
        </is>
      </c>
    </row>
    <row r="711" ht="24" customHeight="1">
      <c r="A711" s="24" t="inlineStr">
        <is>
          <t>OpenDART_fnlttSinglAcntAll</t>
        </is>
      </c>
      <c r="B711" s="24" t="inlineStr">
        <is>
          <t>00591441</t>
        </is>
      </c>
      <c r="C711" s="24" t="inlineStr">
        <is>
          <t>어보브반도체</t>
        </is>
      </c>
      <c r="D711" s="24" t="inlineStr">
        <is>
          <t>abov</t>
        </is>
      </c>
      <c r="E711" s="24" t="inlineStr">
        <is>
          <t>102120</t>
        </is>
      </c>
      <c r="F711" s="24" t="inlineStr">
        <is>
          <t>2024</t>
        </is>
      </c>
      <c r="G711" s="24" t="inlineStr">
        <is>
          <t>CFS</t>
        </is>
      </c>
      <c r="H711" s="24" t="inlineStr">
        <is>
          <t>SCE</t>
        </is>
      </c>
      <c r="I711" s="24" t="inlineStr">
        <is>
          <t>자본변동표</t>
        </is>
      </c>
      <c r="J711" s="24" t="inlineStr">
        <is>
          <t>ifrs-full_DividendsPaidClassifiedAsFinancingActivities</t>
        </is>
      </c>
      <c r="K711" s="24" t="inlineStr">
        <is>
          <t>배당금 지급</t>
        </is>
      </c>
      <c r="L711" s="24" t="inlineStr">
        <is>
          <t>자본 [구성요소]|지배기업의 소유주에게 귀속되는 지분 [구성요소]</t>
        </is>
      </c>
      <c r="M711" s="24" t="inlineStr">
        <is>
          <t>제 19 기</t>
        </is>
      </c>
      <c r="N711" s="24" t="inlineStr">
        <is>
          <t>-1649875400.0</t>
        </is>
      </c>
      <c r="O711" s="24" t="inlineStr">
        <is>
          <t>-3299750800.0</t>
        </is>
      </c>
      <c r="P711" s="24" t="inlineStr">
        <is>
          <t>KRW</t>
        </is>
      </c>
      <c r="Q711" s="24" t="inlineStr">
        <is>
          <t>15</t>
        </is>
      </c>
    </row>
    <row r="712" ht="24" customHeight="1">
      <c r="A712" s="29" t="inlineStr">
        <is>
          <t>OpenDART_fnlttSinglAcntAll</t>
        </is>
      </c>
      <c r="B712" s="29" t="inlineStr">
        <is>
          <t>00591441</t>
        </is>
      </c>
      <c r="C712" s="29" t="inlineStr">
        <is>
          <t>어보브반도체</t>
        </is>
      </c>
      <c r="D712" s="29" t="inlineStr">
        <is>
          <t>abov</t>
        </is>
      </c>
      <c r="E712" s="29" t="inlineStr">
        <is>
          <t>102120</t>
        </is>
      </c>
      <c r="F712" s="29" t="inlineStr">
        <is>
          <t>2024</t>
        </is>
      </c>
      <c r="G712" s="29" t="inlineStr">
        <is>
          <t>CFS</t>
        </is>
      </c>
      <c r="H712" s="29" t="inlineStr">
        <is>
          <t>SCE</t>
        </is>
      </c>
      <c r="I712" s="29" t="inlineStr">
        <is>
          <t>자본변동표</t>
        </is>
      </c>
      <c r="J712" s="29" t="inlineStr">
        <is>
          <t>ifrs-full_DividendsPaidClassifiedAsFinancingActivities</t>
        </is>
      </c>
      <c r="K712" s="29" t="inlineStr">
        <is>
          <t>배당금 지급</t>
        </is>
      </c>
      <c r="L712" s="29" t="inlineStr">
        <is>
          <t>자본 [구성요소]|지배기업의 소유주에게 귀속되는 지분 [구성요소]|이익잉여금 [구성요소]</t>
        </is>
      </c>
      <c r="M712" s="29" t="inlineStr">
        <is>
          <t>제 19 기</t>
        </is>
      </c>
      <c r="N712" s="29" t="inlineStr">
        <is>
          <t>-1649875400.0</t>
        </is>
      </c>
      <c r="O712" s="29" t="inlineStr">
        <is>
          <t>-3299750800.0</t>
        </is>
      </c>
      <c r="P712" s="29" t="inlineStr">
        <is>
          <t>KRW</t>
        </is>
      </c>
      <c r="Q712" s="29" t="inlineStr">
        <is>
          <t>15</t>
        </is>
      </c>
    </row>
    <row r="713" ht="24" customHeight="1">
      <c r="A713" s="24" t="inlineStr">
        <is>
          <t>OpenDART_fnlttSinglAcntAll</t>
        </is>
      </c>
      <c r="B713" s="24" t="inlineStr">
        <is>
          <t>00591441</t>
        </is>
      </c>
      <c r="C713" s="24" t="inlineStr">
        <is>
          <t>어보브반도체</t>
        </is>
      </c>
      <c r="D713" s="24" t="inlineStr">
        <is>
          <t>abov</t>
        </is>
      </c>
      <c r="E713" s="24" t="inlineStr">
        <is>
          <t>102120</t>
        </is>
      </c>
      <c r="F713" s="24" t="inlineStr">
        <is>
          <t>2024</t>
        </is>
      </c>
      <c r="G713" s="24" t="inlineStr">
        <is>
          <t>CFS</t>
        </is>
      </c>
      <c r="H713" s="24" t="inlineStr">
        <is>
          <t>SCE</t>
        </is>
      </c>
      <c r="I713" s="24" t="inlineStr">
        <is>
          <t>자본변동표</t>
        </is>
      </c>
      <c r="J713" s="24" t="inlineStr">
        <is>
          <t>ifrs-full_Equity</t>
        </is>
      </c>
      <c r="K713" s="24" t="inlineStr">
        <is>
          <t>자본총계</t>
        </is>
      </c>
      <c r="L713" s="24" t="inlineStr">
        <is>
          <t>자본 [구성요소]|지배기업의 소유주에게 귀속되는 지분 [구성요소]|이익잉여금 [구성요소]</t>
        </is>
      </c>
      <c r="M713" s="24" t="inlineStr">
        <is>
          <t>제 19 기</t>
        </is>
      </c>
      <c r="N713" s="24" t="inlineStr">
        <is>
          <t>78812188232.0</t>
        </is>
      </c>
      <c r="O713" s="24" t="inlineStr">
        <is>
          <t>77059442795.0</t>
        </is>
      </c>
      <c r="P713" s="24" t="inlineStr">
        <is>
          <t>KRW</t>
        </is>
      </c>
      <c r="Q713" s="24" t="inlineStr">
        <is>
          <t>16</t>
        </is>
      </c>
    </row>
    <row r="714" ht="24" customHeight="1">
      <c r="A714" s="29" t="inlineStr">
        <is>
          <t>OpenDART_fnlttSinglAcntAll</t>
        </is>
      </c>
      <c r="B714" s="29" t="inlineStr">
        <is>
          <t>00591441</t>
        </is>
      </c>
      <c r="C714" s="29" t="inlineStr">
        <is>
          <t>어보브반도체</t>
        </is>
      </c>
      <c r="D714" s="29" t="inlineStr">
        <is>
          <t>abov</t>
        </is>
      </c>
      <c r="E714" s="29" t="inlineStr">
        <is>
          <t>102120</t>
        </is>
      </c>
      <c r="F714" s="29" t="inlineStr">
        <is>
          <t>2024</t>
        </is>
      </c>
      <c r="G714" s="29" t="inlineStr">
        <is>
          <t>CFS</t>
        </is>
      </c>
      <c r="H714" s="29" t="inlineStr">
        <is>
          <t>SCE</t>
        </is>
      </c>
      <c r="I714" s="29" t="inlineStr">
        <is>
          <t>자본변동표</t>
        </is>
      </c>
      <c r="J714" s="29" t="inlineStr">
        <is>
          <t>ifrs-full_Equity</t>
        </is>
      </c>
      <c r="K714" s="29" t="inlineStr">
        <is>
          <t>자본총계</t>
        </is>
      </c>
      <c r="L714" s="29" t="inlineStr">
        <is>
          <t>자본 [구성요소]|지배기업의 소유주에게 귀속되는 지분 [구성요소]|기타포괄손익누계액 [구성요소]</t>
        </is>
      </c>
      <c r="M714" s="29" t="inlineStr">
        <is>
          <t>제 19 기</t>
        </is>
      </c>
      <c r="N714" s="29" t="inlineStr">
        <is>
          <t>-1299411201.0</t>
        </is>
      </c>
      <c r="O714" s="29" t="inlineStr">
        <is>
          <t>-922346725.0</t>
        </is>
      </c>
      <c r="P714" s="29" t="inlineStr">
        <is>
          <t>KRW</t>
        </is>
      </c>
      <c r="Q714" s="29" t="inlineStr">
        <is>
          <t>16</t>
        </is>
      </c>
    </row>
    <row r="715" ht="24" customHeight="1">
      <c r="A715" s="24" t="inlineStr">
        <is>
          <t>OpenDART_fnlttSinglAcntAll</t>
        </is>
      </c>
      <c r="B715" s="24" t="inlineStr">
        <is>
          <t>00591441</t>
        </is>
      </c>
      <c r="C715" s="24" t="inlineStr">
        <is>
          <t>어보브반도체</t>
        </is>
      </c>
      <c r="D715" s="24" t="inlineStr">
        <is>
          <t>abov</t>
        </is>
      </c>
      <c r="E715" s="24" t="inlineStr">
        <is>
          <t>102120</t>
        </is>
      </c>
      <c r="F715" s="24" t="inlineStr">
        <is>
          <t>2024</t>
        </is>
      </c>
      <c r="G715" s="24" t="inlineStr">
        <is>
          <t>CFS</t>
        </is>
      </c>
      <c r="H715" s="24" t="inlineStr">
        <is>
          <t>SCE</t>
        </is>
      </c>
      <c r="I715" s="24" t="inlineStr">
        <is>
          <t>자본변동표</t>
        </is>
      </c>
      <c r="J715" s="24" t="inlineStr">
        <is>
          <t>ifrs-full_Equity</t>
        </is>
      </c>
      <c r="K715" s="24" t="inlineStr">
        <is>
          <t>자본총계</t>
        </is>
      </c>
      <c r="L715" s="24" t="inlineStr">
        <is>
          <t>자본 [구성요소]|지배기업의 소유주에게 귀속되는 지분 [구성요소]|기타자본구성요소 [구성요소]</t>
        </is>
      </c>
      <c r="M715" s="24" t="inlineStr">
        <is>
          <t>제 19 기</t>
        </is>
      </c>
      <c r="N715" s="24" t="inlineStr">
        <is>
          <t>-763718620.0</t>
        </is>
      </c>
      <c r="O715" s="24" t="inlineStr">
        <is>
          <t>-6481281732.0</t>
        </is>
      </c>
      <c r="P715" s="24" t="inlineStr">
        <is>
          <t>KRW</t>
        </is>
      </c>
      <c r="Q715" s="24" t="inlineStr">
        <is>
          <t>16</t>
        </is>
      </c>
    </row>
    <row r="716" ht="24" customHeight="1">
      <c r="A716" s="29" t="inlineStr">
        <is>
          <t>OpenDART_fnlttSinglAcntAll</t>
        </is>
      </c>
      <c r="B716" s="29" t="inlineStr">
        <is>
          <t>00591441</t>
        </is>
      </c>
      <c r="C716" s="29" t="inlineStr">
        <is>
          <t>어보브반도체</t>
        </is>
      </c>
      <c r="D716" s="29" t="inlineStr">
        <is>
          <t>abov</t>
        </is>
      </c>
      <c r="E716" s="29" t="inlineStr">
        <is>
          <t>102120</t>
        </is>
      </c>
      <c r="F716" s="29" t="inlineStr">
        <is>
          <t>2024</t>
        </is>
      </c>
      <c r="G716" s="29" t="inlineStr">
        <is>
          <t>CFS</t>
        </is>
      </c>
      <c r="H716" s="29" t="inlineStr">
        <is>
          <t>SCE</t>
        </is>
      </c>
      <c r="I716" s="29" t="inlineStr">
        <is>
          <t>자본변동표</t>
        </is>
      </c>
      <c r="J716" s="29" t="inlineStr">
        <is>
          <t>ifrs-full_Equity</t>
        </is>
      </c>
      <c r="K716" s="29" t="inlineStr">
        <is>
          <t>자본총계</t>
        </is>
      </c>
      <c r="L716" s="29" t="inlineStr">
        <is>
          <t>자본 [구성요소]|지배기업의 소유주에게 귀속되는 지분 [구성요소]</t>
        </is>
      </c>
      <c r="M716" s="29" t="inlineStr">
        <is>
          <t>제 19 기</t>
        </is>
      </c>
      <c r="N716" s="29" t="inlineStr">
        <is>
          <t>112061433062.0</t>
        </is>
      </c>
      <c r="O716" s="29" t="inlineStr">
        <is>
          <t>104968188989.0</t>
        </is>
      </c>
      <c r="P716" s="29" t="inlineStr">
        <is>
          <t>KRW</t>
        </is>
      </c>
      <c r="Q716" s="29" t="inlineStr">
        <is>
          <t>16</t>
        </is>
      </c>
    </row>
    <row r="717" ht="24" customHeight="1">
      <c r="A717" s="24" t="inlineStr">
        <is>
          <t>OpenDART_fnlttSinglAcntAll</t>
        </is>
      </c>
      <c r="B717" s="24" t="inlineStr">
        <is>
          <t>00591441</t>
        </is>
      </c>
      <c r="C717" s="24" t="inlineStr">
        <is>
          <t>어보브반도체</t>
        </is>
      </c>
      <c r="D717" s="24" t="inlineStr">
        <is>
          <t>abov</t>
        </is>
      </c>
      <c r="E717" s="24" t="inlineStr">
        <is>
          <t>102120</t>
        </is>
      </c>
      <c r="F717" s="24" t="inlineStr">
        <is>
          <t>2024</t>
        </is>
      </c>
      <c r="G717" s="24" t="inlineStr">
        <is>
          <t>CFS</t>
        </is>
      </c>
      <c r="H717" s="24" t="inlineStr">
        <is>
          <t>SCE</t>
        </is>
      </c>
      <c r="I717" s="24" t="inlineStr">
        <is>
          <t>자본변동표</t>
        </is>
      </c>
      <c r="J717" s="24" t="inlineStr">
        <is>
          <t>ifrs-full_Equity</t>
        </is>
      </c>
      <c r="K717" s="24" t="inlineStr">
        <is>
          <t>자본총계</t>
        </is>
      </c>
      <c r="L717" s="24" t="inlineStr">
        <is>
          <t>자본 [구성요소]|비지배지분 [구성요소]</t>
        </is>
      </c>
      <c r="M717" s="24" t="inlineStr">
        <is>
          <t>제 19 기</t>
        </is>
      </c>
      <c r="N717" s="24" t="inlineStr">
        <is>
          <t>42519475092.0</t>
        </is>
      </c>
      <c r="O717" s="24" t="inlineStr">
        <is>
          <t>35657795188.0</t>
        </is>
      </c>
      <c r="P717" s="24" t="inlineStr">
        <is>
          <t>KRW</t>
        </is>
      </c>
      <c r="Q717" s="24" t="inlineStr">
        <is>
          <t>16</t>
        </is>
      </c>
    </row>
    <row r="718" ht="24" customHeight="1">
      <c r="A718" s="29" t="inlineStr">
        <is>
          <t>OpenDART_fnlttSinglAcntAll</t>
        </is>
      </c>
      <c r="B718" s="29" t="inlineStr">
        <is>
          <t>00591441</t>
        </is>
      </c>
      <c r="C718" s="29" t="inlineStr">
        <is>
          <t>어보브반도체</t>
        </is>
      </c>
      <c r="D718" s="29" t="inlineStr">
        <is>
          <t>abov</t>
        </is>
      </c>
      <c r="E718" s="29" t="inlineStr">
        <is>
          <t>102120</t>
        </is>
      </c>
      <c r="F718" s="29" t="inlineStr">
        <is>
          <t>2024</t>
        </is>
      </c>
      <c r="G718" s="29" t="inlineStr">
        <is>
          <t>CFS</t>
        </is>
      </c>
      <c r="H718" s="29" t="inlineStr">
        <is>
          <t>SCE</t>
        </is>
      </c>
      <c r="I718" s="29" t="inlineStr">
        <is>
          <t>자본변동표</t>
        </is>
      </c>
      <c r="J718" s="29" t="inlineStr">
        <is>
          <t>ifrs-full_Equity</t>
        </is>
      </c>
      <c r="K718" s="29" t="inlineStr">
        <is>
          <t>자본총계</t>
        </is>
      </c>
      <c r="L718" s="29" t="inlineStr">
        <is>
          <t>연결재무제표 [member]</t>
        </is>
      </c>
      <c r="M718" s="29" t="inlineStr">
        <is>
          <t>제 19 기</t>
        </is>
      </c>
      <c r="N718" s="29" t="inlineStr">
        <is>
          <t>154580908154.0</t>
        </is>
      </c>
      <c r="O718" s="29" t="inlineStr">
        <is>
          <t>140625984177.0</t>
        </is>
      </c>
      <c r="P718" s="29" t="inlineStr">
        <is>
          <t>KRW</t>
        </is>
      </c>
      <c r="Q718" s="29" t="inlineStr">
        <is>
          <t>16</t>
        </is>
      </c>
    </row>
    <row r="719" ht="24" customHeight="1">
      <c r="A719" s="24" t="inlineStr">
        <is>
          <t>OpenDART_fnlttSinglAcntAll</t>
        </is>
      </c>
      <c r="B719" s="24" t="inlineStr">
        <is>
          <t>00591441</t>
        </is>
      </c>
      <c r="C719" s="24" t="inlineStr">
        <is>
          <t>어보브반도체</t>
        </is>
      </c>
      <c r="D719" s="24" t="inlineStr">
        <is>
          <t>abov</t>
        </is>
      </c>
      <c r="E719" s="24" t="inlineStr">
        <is>
          <t>102120</t>
        </is>
      </c>
      <c r="F719" s="24" t="inlineStr">
        <is>
          <t>2024</t>
        </is>
      </c>
      <c r="G719" s="24" t="inlineStr">
        <is>
          <t>CFS</t>
        </is>
      </c>
      <c r="H719" s="24" t="inlineStr">
        <is>
          <t>SCE</t>
        </is>
      </c>
      <c r="I719" s="24" t="inlineStr">
        <is>
          <t>자본변동표</t>
        </is>
      </c>
      <c r="J719" s="24" t="inlineStr">
        <is>
          <t>ifrs-full_Equity</t>
        </is>
      </c>
      <c r="K719" s="24" t="inlineStr">
        <is>
          <t>자본총계</t>
        </is>
      </c>
      <c r="L719" s="24" t="inlineStr">
        <is>
          <t>자본 [구성요소]|지배기업의 소유주에게 귀속되는 지분 [구성요소]|자본금 [구성요소]</t>
        </is>
      </c>
      <c r="M719" s="24" t="inlineStr">
        <is>
          <t>제 19 기</t>
        </is>
      </c>
      <c r="N719" s="24" t="inlineStr">
        <is>
          <t>8890376500.0</t>
        </is>
      </c>
      <c r="O719" s="24" t="inlineStr">
        <is>
          <t>8890376500.0</t>
        </is>
      </c>
      <c r="P719" s="24" t="inlineStr">
        <is>
          <t>KRW</t>
        </is>
      </c>
      <c r="Q719" s="24" t="inlineStr">
        <is>
          <t>16</t>
        </is>
      </c>
    </row>
    <row r="720" ht="24" customHeight="1">
      <c r="A720" s="29" t="inlineStr">
        <is>
          <t>OpenDART_fnlttSinglAcntAll</t>
        </is>
      </c>
      <c r="B720" s="29" t="inlineStr">
        <is>
          <t>00591441</t>
        </is>
      </c>
      <c r="C720" s="29" t="inlineStr">
        <is>
          <t>어보브반도체</t>
        </is>
      </c>
      <c r="D720" s="29" t="inlineStr">
        <is>
          <t>abov</t>
        </is>
      </c>
      <c r="E720" s="29" t="inlineStr">
        <is>
          <t>102120</t>
        </is>
      </c>
      <c r="F720" s="29" t="inlineStr">
        <is>
          <t>2024</t>
        </is>
      </c>
      <c r="G720" s="29" t="inlineStr">
        <is>
          <t>CFS</t>
        </is>
      </c>
      <c r="H720" s="29" t="inlineStr">
        <is>
          <t>SCE</t>
        </is>
      </c>
      <c r="I720" s="29" t="inlineStr">
        <is>
          <t>자본변동표</t>
        </is>
      </c>
      <c r="J720" s="29" t="inlineStr">
        <is>
          <t>ifrs-full_Equity</t>
        </is>
      </c>
      <c r="K720" s="29" t="inlineStr">
        <is>
          <t>자본총계</t>
        </is>
      </c>
      <c r="L720" s="29" t="inlineStr">
        <is>
          <t>자본 [구성요소]|지배기업의 소유주에게 귀속되는 지분 [구성요소]|자본잉여금 [구성요소]</t>
        </is>
      </c>
      <c r="M720" s="29" t="inlineStr">
        <is>
          <t>제 19 기</t>
        </is>
      </c>
      <c r="N720" s="29" t="inlineStr">
        <is>
          <t>26421998151.0</t>
        </is>
      </c>
      <c r="O720" s="29" t="inlineStr">
        <is>
          <t>26421998151.0</t>
        </is>
      </c>
      <c r="P720" s="29" t="inlineStr">
        <is>
          <t>KRW</t>
        </is>
      </c>
      <c r="Q720" s="29" t="inlineStr">
        <is>
          <t>16</t>
        </is>
      </c>
    </row>
    <row r="721" ht="24" customHeight="1">
      <c r="A721" s="24" t="inlineStr">
        <is>
          <t>OpenDART_fnlttSinglAcntAll</t>
        </is>
      </c>
      <c r="B721" s="24" t="inlineStr">
        <is>
          <t>00591441</t>
        </is>
      </c>
      <c r="C721" s="24" t="inlineStr">
        <is>
          <t>어보브반도체</t>
        </is>
      </c>
      <c r="D721" s="24" t="inlineStr">
        <is>
          <t>abov</t>
        </is>
      </c>
      <c r="E721" s="24" t="inlineStr">
        <is>
          <t>102120</t>
        </is>
      </c>
      <c r="F721" s="24" t="inlineStr">
        <is>
          <t>2024</t>
        </is>
      </c>
      <c r="G721" s="24" t="inlineStr">
        <is>
          <t>CFS</t>
        </is>
      </c>
      <c r="H721" s="24" t="inlineStr">
        <is>
          <t>SCE</t>
        </is>
      </c>
      <c r="I721" s="24" t="inlineStr">
        <is>
          <t>자본변동표</t>
        </is>
      </c>
      <c r="J721" s="24" t="inlineStr">
        <is>
          <t>ifrs-full_IncreaseDecreaseThroughSharebasedPaymentTransactions</t>
        </is>
      </c>
      <c r="K721" s="24" t="inlineStr">
        <is>
          <t>주식매입선택권</t>
        </is>
      </c>
      <c r="L721" s="24" t="inlineStr">
        <is>
          <t>자본 [구성요소]|비지배지분 [구성요소]</t>
        </is>
      </c>
      <c r="M721" s="24" t="inlineStr">
        <is>
          <t>제 19 기</t>
        </is>
      </c>
      <c r="N721" s="24" t="inlineStr">
        <is>
          <t>339230139.0</t>
        </is>
      </c>
      <c r="O721" s="24" t="inlineStr">
        <is>
          <t>해당 없음</t>
        </is>
      </c>
      <c r="P721" s="24" t="inlineStr">
        <is>
          <t>KRW</t>
        </is>
      </c>
      <c r="Q721" s="24" t="inlineStr">
        <is>
          <t>17</t>
        </is>
      </c>
    </row>
    <row r="722" ht="24" customHeight="1">
      <c r="A722" s="29" t="inlineStr">
        <is>
          <t>OpenDART_fnlttSinglAcntAll</t>
        </is>
      </c>
      <c r="B722" s="29" t="inlineStr">
        <is>
          <t>00591441</t>
        </is>
      </c>
      <c r="C722" s="29" t="inlineStr">
        <is>
          <t>어보브반도체</t>
        </is>
      </c>
      <c r="D722" s="29" t="inlineStr">
        <is>
          <t>abov</t>
        </is>
      </c>
      <c r="E722" s="29" t="inlineStr">
        <is>
          <t>102120</t>
        </is>
      </c>
      <c r="F722" s="29" t="inlineStr">
        <is>
          <t>2024</t>
        </is>
      </c>
      <c r="G722" s="29" t="inlineStr">
        <is>
          <t>CFS</t>
        </is>
      </c>
      <c r="H722" s="29" t="inlineStr">
        <is>
          <t>SCE</t>
        </is>
      </c>
      <c r="I722" s="29" t="inlineStr">
        <is>
          <t>자본변동표</t>
        </is>
      </c>
      <c r="J722" s="29" t="inlineStr">
        <is>
          <t>ifrs-full_IncreaseDecreaseThroughSharebasedPaymentTransactions</t>
        </is>
      </c>
      <c r="K722" s="29" t="inlineStr">
        <is>
          <t>주식매입선택권</t>
        </is>
      </c>
      <c r="L722" s="29" t="inlineStr">
        <is>
          <t>연결재무제표 [member]</t>
        </is>
      </c>
      <c r="M722" s="29" t="inlineStr">
        <is>
          <t>제 19 기</t>
        </is>
      </c>
      <c r="N722" s="29" t="inlineStr">
        <is>
          <t>965638187.0</t>
        </is>
      </c>
      <c r="O722" s="29" t="inlineStr">
        <is>
          <t>932772228.0</t>
        </is>
      </c>
      <c r="P722" s="29" t="inlineStr">
        <is>
          <t>KRW</t>
        </is>
      </c>
      <c r="Q722" s="29" t="inlineStr">
        <is>
          <t>17</t>
        </is>
      </c>
    </row>
    <row r="723" ht="24" customHeight="1">
      <c r="A723" s="24" t="inlineStr">
        <is>
          <t>OpenDART_fnlttSinglAcntAll</t>
        </is>
      </c>
      <c r="B723" s="24" t="inlineStr">
        <is>
          <t>00591441</t>
        </is>
      </c>
      <c r="C723" s="24" t="inlineStr">
        <is>
          <t>어보브반도체</t>
        </is>
      </c>
      <c r="D723" s="24" t="inlineStr">
        <is>
          <t>abov</t>
        </is>
      </c>
      <c r="E723" s="24" t="inlineStr">
        <is>
          <t>102120</t>
        </is>
      </c>
      <c r="F723" s="24" t="inlineStr">
        <is>
          <t>2024</t>
        </is>
      </c>
      <c r="G723" s="24" t="inlineStr">
        <is>
          <t>CFS</t>
        </is>
      </c>
      <c r="H723" s="24" t="inlineStr">
        <is>
          <t>SCE</t>
        </is>
      </c>
      <c r="I723" s="24" t="inlineStr">
        <is>
          <t>자본변동표</t>
        </is>
      </c>
      <c r="J723" s="24" t="inlineStr">
        <is>
          <t>ifrs-full_IncreaseDecreaseThroughSharebasedPaymentTransactions</t>
        </is>
      </c>
      <c r="K723" s="24" t="inlineStr">
        <is>
          <t>주식매입선택권</t>
        </is>
      </c>
      <c r="L723" s="24" t="inlineStr">
        <is>
          <t>자본 [구성요소]|지배기업의 소유주에게 귀속되는 지분 [구성요소]</t>
        </is>
      </c>
      <c r="M723" s="24" t="inlineStr">
        <is>
          <t>제 19 기</t>
        </is>
      </c>
      <c r="N723" s="24" t="inlineStr">
        <is>
          <t>626408048.0</t>
        </is>
      </c>
      <c r="O723" s="24" t="inlineStr">
        <is>
          <t>932772228.0</t>
        </is>
      </c>
      <c r="P723" s="24" t="inlineStr">
        <is>
          <t>KRW</t>
        </is>
      </c>
      <c r="Q723" s="24" t="inlineStr">
        <is>
          <t>17</t>
        </is>
      </c>
    </row>
    <row r="724" ht="24" customHeight="1">
      <c r="A724" s="29" t="inlineStr">
        <is>
          <t>OpenDART_fnlttSinglAcntAll</t>
        </is>
      </c>
      <c r="B724" s="29" t="inlineStr">
        <is>
          <t>00591441</t>
        </is>
      </c>
      <c r="C724" s="29" t="inlineStr">
        <is>
          <t>어보브반도체</t>
        </is>
      </c>
      <c r="D724" s="29" t="inlineStr">
        <is>
          <t>abov</t>
        </is>
      </c>
      <c r="E724" s="29" t="inlineStr">
        <is>
          <t>102120</t>
        </is>
      </c>
      <c r="F724" s="29" t="inlineStr">
        <is>
          <t>2024</t>
        </is>
      </c>
      <c r="G724" s="29" t="inlineStr">
        <is>
          <t>CFS</t>
        </is>
      </c>
      <c r="H724" s="29" t="inlineStr">
        <is>
          <t>SCE</t>
        </is>
      </c>
      <c r="I724" s="29" t="inlineStr">
        <is>
          <t>자본변동표</t>
        </is>
      </c>
      <c r="J724" s="29" t="inlineStr">
        <is>
          <t>ifrs-full_IncreaseDecreaseThroughSharebasedPaymentTransactions</t>
        </is>
      </c>
      <c r="K724" s="29" t="inlineStr">
        <is>
          <t>주식매입선택권</t>
        </is>
      </c>
      <c r="L724" s="29" t="inlineStr">
        <is>
          <t>자본 [구성요소]|지배기업의 소유주에게 귀속되는 지분 [구성요소]|기타자본구성요소 [구성요소]</t>
        </is>
      </c>
      <c r="M724" s="29" t="inlineStr">
        <is>
          <t>제 19 기</t>
        </is>
      </c>
      <c r="N724" s="29" t="inlineStr">
        <is>
          <t>626408048.0</t>
        </is>
      </c>
      <c r="O724" s="29" t="inlineStr">
        <is>
          <t>932772228.0</t>
        </is>
      </c>
      <c r="P724" s="29" t="inlineStr">
        <is>
          <t>KRW</t>
        </is>
      </c>
      <c r="Q724" s="29" t="inlineStr">
        <is>
          <t>17</t>
        </is>
      </c>
    </row>
    <row r="725" ht="24" customHeight="1">
      <c r="A725" s="24" t="inlineStr">
        <is>
          <t>OpenDART_fnlttSinglAcntAll</t>
        </is>
      </c>
      <c r="B725" s="24" t="inlineStr">
        <is>
          <t>00591441</t>
        </is>
      </c>
      <c r="C725" s="24" t="inlineStr">
        <is>
          <t>어보브반도체</t>
        </is>
      </c>
      <c r="D725" s="24" t="inlineStr">
        <is>
          <t>abov</t>
        </is>
      </c>
      <c r="E725" s="24" t="inlineStr">
        <is>
          <t>102120</t>
        </is>
      </c>
      <c r="F725" s="24" t="inlineStr">
        <is>
          <t>2024</t>
        </is>
      </c>
      <c r="G725" s="24" t="inlineStr">
        <is>
          <t>CFS</t>
        </is>
      </c>
      <c r="H725" s="24" t="inlineStr">
        <is>
          <t>SCE</t>
        </is>
      </c>
      <c r="I725" s="24" t="inlineStr">
        <is>
          <t>자본변동표</t>
        </is>
      </c>
      <c r="J725" s="24" t="inlineStr">
        <is>
          <t>ifrs-full_OtherComprehensiveIncomeNetOfTaxExchangeDifferencesOnTranslation</t>
        </is>
      </c>
      <c r="K725" s="24" t="inlineStr">
        <is>
          <t>해외사업환산손익</t>
        </is>
      </c>
      <c r="L725" s="24" t="inlineStr">
        <is>
          <t>자본 [구성요소]|지배기업의 소유주에게 귀속되는 지분 [구성요소]</t>
        </is>
      </c>
      <c r="M725" s="24" t="inlineStr">
        <is>
          <t>제 19 기</t>
        </is>
      </c>
      <c r="N725" s="24" t="inlineStr">
        <is>
          <t>-378560060.0</t>
        </is>
      </c>
      <c r="O725" s="24" t="inlineStr">
        <is>
          <t>-1504064.0</t>
        </is>
      </c>
      <c r="P725" s="24" t="inlineStr">
        <is>
          <t>KRW</t>
        </is>
      </c>
      <c r="Q725" s="24" t="inlineStr">
        <is>
          <t>18</t>
        </is>
      </c>
    </row>
    <row r="726" ht="24" customHeight="1">
      <c r="A726" s="29" t="inlineStr">
        <is>
          <t>OpenDART_fnlttSinglAcntAll</t>
        </is>
      </c>
      <c r="B726" s="29" t="inlineStr">
        <is>
          <t>00591441</t>
        </is>
      </c>
      <c r="C726" s="29" t="inlineStr">
        <is>
          <t>어보브반도체</t>
        </is>
      </c>
      <c r="D726" s="29" t="inlineStr">
        <is>
          <t>abov</t>
        </is>
      </c>
      <c r="E726" s="29" t="inlineStr">
        <is>
          <t>102120</t>
        </is>
      </c>
      <c r="F726" s="29" t="inlineStr">
        <is>
          <t>2024</t>
        </is>
      </c>
      <c r="G726" s="29" t="inlineStr">
        <is>
          <t>CFS</t>
        </is>
      </c>
      <c r="H726" s="29" t="inlineStr">
        <is>
          <t>SCE</t>
        </is>
      </c>
      <c r="I726" s="29" t="inlineStr">
        <is>
          <t>자본변동표</t>
        </is>
      </c>
      <c r="J726" s="29" t="inlineStr">
        <is>
          <t>ifrs-full_OtherComprehensiveIncomeNetOfTaxExchangeDifferencesOnTranslation</t>
        </is>
      </c>
      <c r="K726" s="29" t="inlineStr">
        <is>
          <t>해외사업환산손익</t>
        </is>
      </c>
      <c r="L726" s="29" t="inlineStr">
        <is>
          <t>연결재무제표 [member]</t>
        </is>
      </c>
      <c r="M726" s="29" t="inlineStr">
        <is>
          <t>제 19 기</t>
        </is>
      </c>
      <c r="N726" s="29" t="inlineStr">
        <is>
          <t>-378560060.0</t>
        </is>
      </c>
      <c r="O726" s="29" t="inlineStr">
        <is>
          <t>-1504064.0</t>
        </is>
      </c>
      <c r="P726" s="29" t="inlineStr">
        <is>
          <t>KRW</t>
        </is>
      </c>
      <c r="Q726" s="29" t="inlineStr">
        <is>
          <t>18</t>
        </is>
      </c>
    </row>
    <row r="727" ht="24" customHeight="1">
      <c r="A727" s="24" t="inlineStr">
        <is>
          <t>OpenDART_fnlttSinglAcntAll</t>
        </is>
      </c>
      <c r="B727" s="24" t="inlineStr">
        <is>
          <t>00591441</t>
        </is>
      </c>
      <c r="C727" s="24" t="inlineStr">
        <is>
          <t>어보브반도체</t>
        </is>
      </c>
      <c r="D727" s="24" t="inlineStr">
        <is>
          <t>abov</t>
        </is>
      </c>
      <c r="E727" s="24" t="inlineStr">
        <is>
          <t>102120</t>
        </is>
      </c>
      <c r="F727" s="24" t="inlineStr">
        <is>
          <t>2024</t>
        </is>
      </c>
      <c r="G727" s="24" t="inlineStr">
        <is>
          <t>CFS</t>
        </is>
      </c>
      <c r="H727" s="24" t="inlineStr">
        <is>
          <t>SCE</t>
        </is>
      </c>
      <c r="I727" s="24" t="inlineStr">
        <is>
          <t>자본변동표</t>
        </is>
      </c>
      <c r="J727" s="24" t="inlineStr">
        <is>
          <t>ifrs-full_OtherComprehensiveIncomeNetOfTaxExchangeDifferencesOnTranslation</t>
        </is>
      </c>
      <c r="K727" s="24" t="inlineStr">
        <is>
          <t>해외사업환산손익</t>
        </is>
      </c>
      <c r="L727" s="24" t="inlineStr">
        <is>
          <t>자본 [구성요소]|지배기업의 소유주에게 귀속되는 지분 [구성요소]|기타포괄손익누계액 [구성요소]</t>
        </is>
      </c>
      <c r="M727" s="24" t="inlineStr">
        <is>
          <t>제 19 기</t>
        </is>
      </c>
      <c r="N727" s="24" t="inlineStr">
        <is>
          <t>-378560060.0</t>
        </is>
      </c>
      <c r="O727" s="24" t="inlineStr">
        <is>
          <t>-1504064.0</t>
        </is>
      </c>
      <c r="P727" s="24" t="inlineStr">
        <is>
          <t>KRW</t>
        </is>
      </c>
      <c r="Q727" s="24" t="inlineStr">
        <is>
          <t>18</t>
        </is>
      </c>
    </row>
    <row r="728" ht="24" customHeight="1">
      <c r="A728" s="29" t="inlineStr">
        <is>
          <t>OpenDART_fnlttSinglAcntAll</t>
        </is>
      </c>
      <c r="B728" s="29" t="inlineStr">
        <is>
          <t>00591441</t>
        </is>
      </c>
      <c r="C728" s="29" t="inlineStr">
        <is>
          <t>어보브반도체</t>
        </is>
      </c>
      <c r="D728" s="29" t="inlineStr">
        <is>
          <t>abov</t>
        </is>
      </c>
      <c r="E728" s="29" t="inlineStr">
        <is>
          <t>102120</t>
        </is>
      </c>
      <c r="F728" s="29" t="inlineStr">
        <is>
          <t>2024</t>
        </is>
      </c>
      <c r="G728" s="29" t="inlineStr">
        <is>
          <t>CFS</t>
        </is>
      </c>
      <c r="H728" s="29" t="inlineStr">
        <is>
          <t>SCE</t>
        </is>
      </c>
      <c r="I728" s="29" t="inlineStr">
        <is>
          <t>자본변동표</t>
        </is>
      </c>
      <c r="J728" s="29" t="inlineStr">
        <is>
          <t>ifrs-full_ProfitLoss</t>
        </is>
      </c>
      <c r="K728" s="29" t="inlineStr">
        <is>
          <t>당기순이익(손실)</t>
        </is>
      </c>
      <c r="L728" s="29" t="inlineStr">
        <is>
          <t>연결재무제표 [member]</t>
        </is>
      </c>
      <c r="M728" s="29" t="inlineStr">
        <is>
          <t>제 19 기</t>
        </is>
      </c>
      <c r="N728" s="29" t="inlineStr">
        <is>
          <t>-18094850997.0</t>
        </is>
      </c>
      <c r="O728" s="29" t="inlineStr">
        <is>
          <t>-33443728959.0</t>
        </is>
      </c>
      <c r="P728" s="29" t="inlineStr">
        <is>
          <t>KRW</t>
        </is>
      </c>
      <c r="Q728" s="29" t="inlineStr">
        <is>
          <t>19</t>
        </is>
      </c>
    </row>
    <row r="729" ht="24" customHeight="1">
      <c r="A729" s="24" t="inlineStr">
        <is>
          <t>OpenDART_fnlttSinglAcntAll</t>
        </is>
      </c>
      <c r="B729" s="24" t="inlineStr">
        <is>
          <t>00591441</t>
        </is>
      </c>
      <c r="C729" s="24" t="inlineStr">
        <is>
          <t>어보브반도체</t>
        </is>
      </c>
      <c r="D729" s="24" t="inlineStr">
        <is>
          <t>abov</t>
        </is>
      </c>
      <c r="E729" s="24" t="inlineStr">
        <is>
          <t>102120</t>
        </is>
      </c>
      <c r="F729" s="24" t="inlineStr">
        <is>
          <t>2024</t>
        </is>
      </c>
      <c r="G729" s="24" t="inlineStr">
        <is>
          <t>CFS</t>
        </is>
      </c>
      <c r="H729" s="24" t="inlineStr">
        <is>
          <t>SCE</t>
        </is>
      </c>
      <c r="I729" s="24" t="inlineStr">
        <is>
          <t>자본변동표</t>
        </is>
      </c>
      <c r="J729" s="24" t="inlineStr">
        <is>
          <t>ifrs-full_ProfitLoss</t>
        </is>
      </c>
      <c r="K729" s="24" t="inlineStr">
        <is>
          <t>당기순이익(손실)</t>
        </is>
      </c>
      <c r="L729" s="24" t="inlineStr">
        <is>
          <t>자본 [구성요소]|비지배지분 [구성요소]</t>
        </is>
      </c>
      <c r="M729" s="24" t="inlineStr">
        <is>
          <t>제 19 기</t>
        </is>
      </c>
      <c r="N729" s="24" t="inlineStr">
        <is>
          <t>-20745600888.0</t>
        </is>
      </c>
      <c r="O729" s="24" t="inlineStr">
        <is>
          <t>-20898921546.0</t>
        </is>
      </c>
      <c r="P729" s="24" t="inlineStr">
        <is>
          <t>KRW</t>
        </is>
      </c>
      <c r="Q729" s="24" t="inlineStr">
        <is>
          <t>19</t>
        </is>
      </c>
    </row>
    <row r="730" ht="24" customHeight="1">
      <c r="A730" s="29" t="inlineStr">
        <is>
          <t>OpenDART_fnlttSinglAcntAll</t>
        </is>
      </c>
      <c r="B730" s="29" t="inlineStr">
        <is>
          <t>00591441</t>
        </is>
      </c>
      <c r="C730" s="29" t="inlineStr">
        <is>
          <t>어보브반도체</t>
        </is>
      </c>
      <c r="D730" s="29" t="inlineStr">
        <is>
          <t>abov</t>
        </is>
      </c>
      <c r="E730" s="29" t="inlineStr">
        <is>
          <t>102120</t>
        </is>
      </c>
      <c r="F730" s="29" t="inlineStr">
        <is>
          <t>2024</t>
        </is>
      </c>
      <c r="G730" s="29" t="inlineStr">
        <is>
          <t>CFS</t>
        </is>
      </c>
      <c r="H730" s="29" t="inlineStr">
        <is>
          <t>SCE</t>
        </is>
      </c>
      <c r="I730" s="29" t="inlineStr">
        <is>
          <t>자본변동표</t>
        </is>
      </c>
      <c r="J730" s="29" t="inlineStr">
        <is>
          <t>ifrs-full_ProfitLoss</t>
        </is>
      </c>
      <c r="K730" s="29" t="inlineStr">
        <is>
          <t>당기순이익(손실)</t>
        </is>
      </c>
      <c r="L730" s="29" t="inlineStr">
        <is>
          <t>자본 [구성요소]|지배기업의 소유주에게 귀속되는 지분 [구성요소]</t>
        </is>
      </c>
      <c r="M730" s="29" t="inlineStr">
        <is>
          <t>제 19 기</t>
        </is>
      </c>
      <c r="N730" s="29" t="inlineStr">
        <is>
          <t>2650749891.0</t>
        </is>
      </c>
      <c r="O730" s="29" t="inlineStr">
        <is>
          <t>-12544807413.0</t>
        </is>
      </c>
      <c r="P730" s="29" t="inlineStr">
        <is>
          <t>KRW</t>
        </is>
      </c>
      <c r="Q730" s="29" t="inlineStr">
        <is>
          <t>19</t>
        </is>
      </c>
    </row>
    <row r="731" ht="24" customHeight="1">
      <c r="A731" s="24" t="inlineStr">
        <is>
          <t>OpenDART_fnlttSinglAcntAll</t>
        </is>
      </c>
      <c r="B731" s="24" t="inlineStr">
        <is>
          <t>00591441</t>
        </is>
      </c>
      <c r="C731" s="24" t="inlineStr">
        <is>
          <t>어보브반도체</t>
        </is>
      </c>
      <c r="D731" s="24" t="inlineStr">
        <is>
          <t>abov</t>
        </is>
      </c>
      <c r="E731" s="24" t="inlineStr">
        <is>
          <t>102120</t>
        </is>
      </c>
      <c r="F731" s="24" t="inlineStr">
        <is>
          <t>2024</t>
        </is>
      </c>
      <c r="G731" s="24" t="inlineStr">
        <is>
          <t>CFS</t>
        </is>
      </c>
      <c r="H731" s="24" t="inlineStr">
        <is>
          <t>SCE</t>
        </is>
      </c>
      <c r="I731" s="24" t="inlineStr">
        <is>
          <t>자본변동표</t>
        </is>
      </c>
      <c r="J731" s="24" t="inlineStr">
        <is>
          <t>ifrs-full_ProfitLoss</t>
        </is>
      </c>
      <c r="K731" s="24" t="inlineStr">
        <is>
          <t>당기순이익(손실)</t>
        </is>
      </c>
      <c r="L731" s="24" t="inlineStr">
        <is>
          <t>자본 [구성요소]|지배기업의 소유주에게 귀속되는 지분 [구성요소]|이익잉여금 [구성요소]</t>
        </is>
      </c>
      <c r="M731" s="24" t="inlineStr">
        <is>
          <t>제 19 기</t>
        </is>
      </c>
      <c r="N731" s="24" t="inlineStr">
        <is>
          <t>2650749891.0</t>
        </is>
      </c>
      <c r="O731" s="24" t="inlineStr">
        <is>
          <t>-12544807413.0</t>
        </is>
      </c>
      <c r="P731" s="24" t="inlineStr">
        <is>
          <t>KRW</t>
        </is>
      </c>
      <c r="Q731" s="24" t="inlineStr">
        <is>
          <t>19</t>
        </is>
      </c>
    </row>
    <row r="732" ht="24" customHeight="1">
      <c r="A732" s="29" t="inlineStr">
        <is>
          <t>OpenDART_fnlttSinglAcntAll</t>
        </is>
      </c>
      <c r="B732" s="29" t="inlineStr">
        <is>
          <t>00591441</t>
        </is>
      </c>
      <c r="C732" s="29" t="inlineStr">
        <is>
          <t>어보브반도체</t>
        </is>
      </c>
      <c r="D732" s="29" t="inlineStr">
        <is>
          <t>abov</t>
        </is>
      </c>
      <c r="E732" s="29" t="inlineStr">
        <is>
          <t>102120</t>
        </is>
      </c>
      <c r="F732" s="29" t="inlineStr">
        <is>
          <t>2024</t>
        </is>
      </c>
      <c r="G732" s="29" t="inlineStr">
        <is>
          <t>CFS</t>
        </is>
      </c>
      <c r="H732" s="29" t="inlineStr">
        <is>
          <t>SCE</t>
        </is>
      </c>
      <c r="I732" s="29" t="inlineStr">
        <is>
          <t>자본변동표</t>
        </is>
      </c>
      <c r="J732" s="29" t="inlineStr">
        <is>
          <t>ifrs-full_ShareOfOtherComprehensiveIncomeOfAssociatesAndJointVenturesAccountedForUsingEquityMethod</t>
        </is>
      </c>
      <c r="K732" s="29" t="inlineStr">
        <is>
          <t>지분법자본변동</t>
        </is>
      </c>
      <c r="L732" s="29" t="inlineStr">
        <is>
          <t>자본 [구성요소]|지배기업의 소유주에게 귀속되는 지분 [구성요소]</t>
        </is>
      </c>
      <c r="M732" s="29" t="inlineStr">
        <is>
          <t>제 19 기</t>
        </is>
      </c>
      <c r="N732" s="29" t="inlineStr">
        <is>
          <t>1495584.0</t>
        </is>
      </c>
      <c r="O732" s="29" t="inlineStr">
        <is>
          <t>-12948565.0</t>
        </is>
      </c>
      <c r="P732" s="29" t="inlineStr">
        <is>
          <t>KRW</t>
        </is>
      </c>
      <c r="Q732" s="29" t="inlineStr">
        <is>
          <t>20</t>
        </is>
      </c>
    </row>
    <row r="733" ht="24" customHeight="1">
      <c r="A733" s="24" t="inlineStr">
        <is>
          <t>OpenDART_fnlttSinglAcntAll</t>
        </is>
      </c>
      <c r="B733" s="24" t="inlineStr">
        <is>
          <t>00591441</t>
        </is>
      </c>
      <c r="C733" s="24" t="inlineStr">
        <is>
          <t>어보브반도체</t>
        </is>
      </c>
      <c r="D733" s="24" t="inlineStr">
        <is>
          <t>abov</t>
        </is>
      </c>
      <c r="E733" s="24" t="inlineStr">
        <is>
          <t>102120</t>
        </is>
      </c>
      <c r="F733" s="24" t="inlineStr">
        <is>
          <t>2024</t>
        </is>
      </c>
      <c r="G733" s="24" t="inlineStr">
        <is>
          <t>CFS</t>
        </is>
      </c>
      <c r="H733" s="24" t="inlineStr">
        <is>
          <t>SCE</t>
        </is>
      </c>
      <c r="I733" s="24" t="inlineStr">
        <is>
          <t>자본변동표</t>
        </is>
      </c>
      <c r="J733" s="24" t="inlineStr">
        <is>
          <t>ifrs-full_ShareOfOtherComprehensiveIncomeOfAssociatesAndJointVenturesAccountedForUsingEquityMethod</t>
        </is>
      </c>
      <c r="K733" s="24" t="inlineStr">
        <is>
          <t>지분법자본변동</t>
        </is>
      </c>
      <c r="L733" s="24" t="inlineStr">
        <is>
          <t>연결재무제표 [member]</t>
        </is>
      </c>
      <c r="M733" s="24" t="inlineStr">
        <is>
          <t>제 19 기</t>
        </is>
      </c>
      <c r="N733" s="24" t="inlineStr">
        <is>
          <t>1495584.0</t>
        </is>
      </c>
      <c r="O733" s="24" t="inlineStr">
        <is>
          <t>-12948565.0</t>
        </is>
      </c>
      <c r="P733" s="24" t="inlineStr">
        <is>
          <t>KRW</t>
        </is>
      </c>
      <c r="Q733" s="24" t="inlineStr">
        <is>
          <t>20</t>
        </is>
      </c>
    </row>
    <row r="734" ht="24" customHeight="1">
      <c r="A734" s="29" t="inlineStr">
        <is>
          <t>OpenDART_fnlttSinglAcntAll</t>
        </is>
      </c>
      <c r="B734" s="29" t="inlineStr">
        <is>
          <t>00591441</t>
        </is>
      </c>
      <c r="C734" s="29" t="inlineStr">
        <is>
          <t>어보브반도체</t>
        </is>
      </c>
      <c r="D734" s="29" t="inlineStr">
        <is>
          <t>abov</t>
        </is>
      </c>
      <c r="E734" s="29" t="inlineStr">
        <is>
          <t>102120</t>
        </is>
      </c>
      <c r="F734" s="29" t="inlineStr">
        <is>
          <t>2024</t>
        </is>
      </c>
      <c r="G734" s="29" t="inlineStr">
        <is>
          <t>CFS</t>
        </is>
      </c>
      <c r="H734" s="29" t="inlineStr">
        <is>
          <t>SCE</t>
        </is>
      </c>
      <c r="I734" s="29" t="inlineStr">
        <is>
          <t>자본변동표</t>
        </is>
      </c>
      <c r="J734" s="29" t="inlineStr">
        <is>
          <t>ifrs-full_ShareOfOtherComprehensiveIncomeOfAssociatesAndJointVenturesAccountedForUsingEquityMethod</t>
        </is>
      </c>
      <c r="K734" s="29" t="inlineStr">
        <is>
          <t>지분법자본변동</t>
        </is>
      </c>
      <c r="L734" s="29" t="inlineStr">
        <is>
          <t>자본 [구성요소]|지배기업의 소유주에게 귀속되는 지분 [구성요소]|기타포괄손익누계액 [구성요소]</t>
        </is>
      </c>
      <c r="M734" s="29" t="inlineStr">
        <is>
          <t>제 19 기</t>
        </is>
      </c>
      <c r="N734" s="29" t="inlineStr">
        <is>
          <t>1495584.0</t>
        </is>
      </c>
      <c r="O734" s="29" t="inlineStr">
        <is>
          <t>-12948565.0</t>
        </is>
      </c>
      <c r="P734" s="29" t="inlineStr">
        <is>
          <t>KRW</t>
        </is>
      </c>
      <c r="Q734" s="29" t="inlineStr">
        <is>
          <t>20</t>
        </is>
      </c>
    </row>
    <row r="735" ht="24" customHeight="1">
      <c r="A735" s="24" t="inlineStr">
        <is>
          <t>OpenDART_fnlttSinglAcntAll</t>
        </is>
      </c>
      <c r="B735" s="24" t="inlineStr">
        <is>
          <t>00591441</t>
        </is>
      </c>
      <c r="C735" s="24" t="inlineStr">
        <is>
          <t>어보브반도체</t>
        </is>
      </c>
      <c r="D735" s="24" t="inlineStr">
        <is>
          <t>abov</t>
        </is>
      </c>
      <c r="E735" s="24" t="inlineStr">
        <is>
          <t>102120</t>
        </is>
      </c>
      <c r="F735" s="24" t="inlineStr">
        <is>
          <t>2025</t>
        </is>
      </c>
      <c r="G735" s="24" t="inlineStr">
        <is>
          <t>CFS</t>
        </is>
      </c>
      <c r="H735" s="24" t="inlineStr">
        <is>
          <t>BS</t>
        </is>
      </c>
      <c r="I735" s="24" t="inlineStr">
        <is>
          <t>재무상태표</t>
        </is>
      </c>
      <c r="J735" s="24" t="inlineStr">
        <is>
          <t>ifrs-full_Assets</t>
        </is>
      </c>
      <c r="K735" s="24" t="inlineStr">
        <is>
          <t>자산총계</t>
        </is>
      </c>
      <c r="L735" s="24" t="inlineStr">
        <is>
          <t>-</t>
        </is>
      </c>
      <c r="M735" s="24" t="inlineStr">
        <is>
          <t>제 20 기</t>
        </is>
      </c>
      <c r="N735" s="24" t="inlineStr">
        <is>
          <t>286055183481.0</t>
        </is>
      </c>
      <c r="O735" s="24" t="inlineStr">
        <is>
          <t>293081773182.0</t>
        </is>
      </c>
      <c r="P735" s="24" t="inlineStr">
        <is>
          <t>KRW</t>
        </is>
      </c>
      <c r="Q735" s="24" t="inlineStr">
        <is>
          <t>7</t>
        </is>
      </c>
    </row>
    <row r="736" ht="24" customHeight="1">
      <c r="A736" s="29" t="inlineStr">
        <is>
          <t>OpenDART_fnlttSinglAcntAll</t>
        </is>
      </c>
      <c r="B736" s="29" t="inlineStr">
        <is>
          <t>00591441</t>
        </is>
      </c>
      <c r="C736" s="29" t="inlineStr">
        <is>
          <t>어보브반도체</t>
        </is>
      </c>
      <c r="D736" s="29" t="inlineStr">
        <is>
          <t>abov</t>
        </is>
      </c>
      <c r="E736" s="29" t="inlineStr">
        <is>
          <t>102120</t>
        </is>
      </c>
      <c r="F736" s="29" t="inlineStr">
        <is>
          <t>2025</t>
        </is>
      </c>
      <c r="G736" s="29" t="inlineStr">
        <is>
          <t>CFS</t>
        </is>
      </c>
      <c r="H736" s="29" t="inlineStr">
        <is>
          <t>BS</t>
        </is>
      </c>
      <c r="I736" s="29" t="inlineStr">
        <is>
          <t>재무상태표</t>
        </is>
      </c>
      <c r="J736" s="29" t="inlineStr">
        <is>
          <t>ifrs-full_CurrentAssets</t>
        </is>
      </c>
      <c r="K736" s="29" t="inlineStr">
        <is>
          <t>유동자산</t>
        </is>
      </c>
      <c r="L736" s="29" t="inlineStr">
        <is>
          <t>-</t>
        </is>
      </c>
      <c r="M736" s="29" t="inlineStr">
        <is>
          <t>제 20 기</t>
        </is>
      </c>
      <c r="N736" s="29" t="inlineStr">
        <is>
          <t>124868618492.0</t>
        </is>
      </c>
      <c r="O736" s="29" t="inlineStr">
        <is>
          <t>126223672324.0</t>
        </is>
      </c>
      <c r="P736" s="29" t="inlineStr">
        <is>
          <t>KRW</t>
        </is>
      </c>
      <c r="Q736" s="29" t="inlineStr">
        <is>
          <t>8</t>
        </is>
      </c>
    </row>
    <row r="737" ht="24" customHeight="1">
      <c r="A737" s="24" t="inlineStr">
        <is>
          <t>OpenDART_fnlttSinglAcntAll</t>
        </is>
      </c>
      <c r="B737" s="24" t="inlineStr">
        <is>
          <t>00591441</t>
        </is>
      </c>
      <c r="C737" s="24" t="inlineStr">
        <is>
          <t>어보브반도체</t>
        </is>
      </c>
      <c r="D737" s="24" t="inlineStr">
        <is>
          <t>abov</t>
        </is>
      </c>
      <c r="E737" s="24" t="inlineStr">
        <is>
          <t>102120</t>
        </is>
      </c>
      <c r="F737" s="24" t="inlineStr">
        <is>
          <t>2025</t>
        </is>
      </c>
      <c r="G737" s="24" t="inlineStr">
        <is>
          <t>CFS</t>
        </is>
      </c>
      <c r="H737" s="24" t="inlineStr">
        <is>
          <t>BS</t>
        </is>
      </c>
      <c r="I737" s="24" t="inlineStr">
        <is>
          <t>재무상태표</t>
        </is>
      </c>
      <c r="J737" s="24" t="inlineStr">
        <is>
          <t>dart_ShortTermTradeReceivable</t>
        </is>
      </c>
      <c r="K737" s="24" t="inlineStr">
        <is>
          <t>매출채권</t>
        </is>
      </c>
      <c r="L737" s="24" t="inlineStr">
        <is>
          <t>-</t>
        </is>
      </c>
      <c r="M737" s="24" t="inlineStr">
        <is>
          <t>제 20 기</t>
        </is>
      </c>
      <c r="N737" s="24" t="inlineStr">
        <is>
          <t>24693288950.0</t>
        </is>
      </c>
      <c r="O737" s="24" t="inlineStr">
        <is>
          <t>19469185970.0</t>
        </is>
      </c>
      <c r="P737" s="24" t="inlineStr">
        <is>
          <t>KRW</t>
        </is>
      </c>
      <c r="Q737" s="24" t="inlineStr">
        <is>
          <t>9</t>
        </is>
      </c>
    </row>
    <row r="738" ht="24" customHeight="1">
      <c r="A738" s="29" t="inlineStr">
        <is>
          <t>OpenDART_fnlttSinglAcntAll</t>
        </is>
      </c>
      <c r="B738" s="29" t="inlineStr">
        <is>
          <t>00591441</t>
        </is>
      </c>
      <c r="C738" s="29" t="inlineStr">
        <is>
          <t>어보브반도체</t>
        </is>
      </c>
      <c r="D738" s="29" t="inlineStr">
        <is>
          <t>abov</t>
        </is>
      </c>
      <c r="E738" s="29" t="inlineStr">
        <is>
          <t>102120</t>
        </is>
      </c>
      <c r="F738" s="29" t="inlineStr">
        <is>
          <t>2025</t>
        </is>
      </c>
      <c r="G738" s="29" t="inlineStr">
        <is>
          <t>CFS</t>
        </is>
      </c>
      <c r="H738" s="29" t="inlineStr">
        <is>
          <t>BS</t>
        </is>
      </c>
      <c r="I738" s="29" t="inlineStr">
        <is>
          <t>재무상태표</t>
        </is>
      </c>
      <c r="J738" s="29" t="inlineStr">
        <is>
          <t>-표준계정코드 미사용-</t>
        </is>
      </c>
      <c r="K738" s="29" t="inlineStr">
        <is>
          <t>당기손익공정가치측정금융자산</t>
        </is>
      </c>
      <c r="L738" s="29" t="inlineStr">
        <is>
          <t>-</t>
        </is>
      </c>
      <c r="M738" s="29" t="inlineStr">
        <is>
          <t>제 20 기</t>
        </is>
      </c>
      <c r="N738" s="29" t="inlineStr">
        <is>
          <t>26072905857.0</t>
        </is>
      </c>
      <c r="O738" s="29" t="inlineStr">
        <is>
          <t>31332217948.0</t>
        </is>
      </c>
      <c r="P738" s="29" t="inlineStr">
        <is>
          <t>KRW</t>
        </is>
      </c>
      <c r="Q738" s="29" t="inlineStr">
        <is>
          <t>10</t>
        </is>
      </c>
    </row>
    <row r="739" ht="24" customHeight="1">
      <c r="A739" s="24" t="inlineStr">
        <is>
          <t>OpenDART_fnlttSinglAcntAll</t>
        </is>
      </c>
      <c r="B739" s="24" t="inlineStr">
        <is>
          <t>00591441</t>
        </is>
      </c>
      <c r="C739" s="24" t="inlineStr">
        <is>
          <t>어보브반도체</t>
        </is>
      </c>
      <c r="D739" s="24" t="inlineStr">
        <is>
          <t>abov</t>
        </is>
      </c>
      <c r="E739" s="24" t="inlineStr">
        <is>
          <t>102120</t>
        </is>
      </c>
      <c r="F739" s="24" t="inlineStr">
        <is>
          <t>2025</t>
        </is>
      </c>
      <c r="G739" s="24" t="inlineStr">
        <is>
          <t>CFS</t>
        </is>
      </c>
      <c r="H739" s="24" t="inlineStr">
        <is>
          <t>BS</t>
        </is>
      </c>
      <c r="I739" s="24" t="inlineStr">
        <is>
          <t>재무상태표</t>
        </is>
      </c>
      <c r="J739" s="24" t="inlineStr">
        <is>
          <t>ifrs-full_CashAndCashEquivalents</t>
        </is>
      </c>
      <c r="K739" s="24" t="inlineStr">
        <is>
          <t>현금 및 현금성자산</t>
        </is>
      </c>
      <c r="L739" s="24" t="inlineStr">
        <is>
          <t>-</t>
        </is>
      </c>
      <c r="M739" s="24" t="inlineStr">
        <is>
          <t>제 20 기</t>
        </is>
      </c>
      <c r="N739" s="24" t="inlineStr">
        <is>
          <t>18270298972.0</t>
        </is>
      </c>
      <c r="O739" s="24" t="inlineStr">
        <is>
          <t>30971849914.0</t>
        </is>
      </c>
      <c r="P739" s="24" t="inlineStr">
        <is>
          <t>KRW</t>
        </is>
      </c>
      <c r="Q739" s="24" t="inlineStr">
        <is>
          <t>11</t>
        </is>
      </c>
    </row>
    <row r="740" ht="24" customHeight="1">
      <c r="A740" s="29" t="inlineStr">
        <is>
          <t>OpenDART_fnlttSinglAcntAll</t>
        </is>
      </c>
      <c r="B740" s="29" t="inlineStr">
        <is>
          <t>00591441</t>
        </is>
      </c>
      <c r="C740" s="29" t="inlineStr">
        <is>
          <t>어보브반도체</t>
        </is>
      </c>
      <c r="D740" s="29" t="inlineStr">
        <is>
          <t>abov</t>
        </is>
      </c>
      <c r="E740" s="29" t="inlineStr">
        <is>
          <t>102120</t>
        </is>
      </c>
      <c r="F740" s="29" t="inlineStr">
        <is>
          <t>2025</t>
        </is>
      </c>
      <c r="G740" s="29" t="inlineStr">
        <is>
          <t>CFS</t>
        </is>
      </c>
      <c r="H740" s="29" t="inlineStr">
        <is>
          <t>BS</t>
        </is>
      </c>
      <c r="I740" s="29" t="inlineStr">
        <is>
          <t>재무상태표</t>
        </is>
      </c>
      <c r="J740" s="29" t="inlineStr">
        <is>
          <t>ifrs-full_CurrentTaxAssets</t>
        </is>
      </c>
      <c r="K740" s="29" t="inlineStr">
        <is>
          <t>당기법인세자산</t>
        </is>
      </c>
      <c r="L740" s="29" t="inlineStr">
        <is>
          <t>-</t>
        </is>
      </c>
      <c r="M740" s="29" t="inlineStr">
        <is>
          <t>제 20 기</t>
        </is>
      </c>
      <c r="N740" s="29" t="inlineStr">
        <is>
          <t>해당 없음</t>
        </is>
      </c>
      <c r="O740" s="29" t="inlineStr">
        <is>
          <t>해당 없음</t>
        </is>
      </c>
      <c r="P740" s="29" t="inlineStr">
        <is>
          <t>KRW</t>
        </is>
      </c>
      <c r="Q740" s="29" t="inlineStr">
        <is>
          <t>12</t>
        </is>
      </c>
    </row>
    <row r="741" ht="24" customHeight="1">
      <c r="A741" s="24" t="inlineStr">
        <is>
          <t>OpenDART_fnlttSinglAcntAll</t>
        </is>
      </c>
      <c r="B741" s="24" t="inlineStr">
        <is>
          <t>00591441</t>
        </is>
      </c>
      <c r="C741" s="24" t="inlineStr">
        <is>
          <t>어보브반도체</t>
        </is>
      </c>
      <c r="D741" s="24" t="inlineStr">
        <is>
          <t>abov</t>
        </is>
      </c>
      <c r="E741" s="24" t="inlineStr">
        <is>
          <t>102120</t>
        </is>
      </c>
      <c r="F741" s="24" t="inlineStr">
        <is>
          <t>2025</t>
        </is>
      </c>
      <c r="G741" s="24" t="inlineStr">
        <is>
          <t>CFS</t>
        </is>
      </c>
      <c r="H741" s="24" t="inlineStr">
        <is>
          <t>BS</t>
        </is>
      </c>
      <c r="I741" s="24" t="inlineStr">
        <is>
          <t>재무상태표</t>
        </is>
      </c>
      <c r="J741" s="24" t="inlineStr">
        <is>
          <t>ifrs-full_Inventories</t>
        </is>
      </c>
      <c r="K741" s="24" t="inlineStr">
        <is>
          <t>재고자산</t>
        </is>
      </c>
      <c r="L741" s="24" t="inlineStr">
        <is>
          <t>-</t>
        </is>
      </c>
      <c r="M741" s="24" t="inlineStr">
        <is>
          <t>제 20 기</t>
        </is>
      </c>
      <c r="N741" s="24" t="inlineStr">
        <is>
          <t>38066028275.0</t>
        </is>
      </c>
      <c r="O741" s="24" t="inlineStr">
        <is>
          <t>24015622719.0</t>
        </is>
      </c>
      <c r="P741" s="24" t="inlineStr">
        <is>
          <t>KRW</t>
        </is>
      </c>
      <c r="Q741" s="24" t="inlineStr">
        <is>
          <t>13</t>
        </is>
      </c>
    </row>
    <row r="742" ht="24" customHeight="1">
      <c r="A742" s="29" t="inlineStr">
        <is>
          <t>OpenDART_fnlttSinglAcntAll</t>
        </is>
      </c>
      <c r="B742" s="29" t="inlineStr">
        <is>
          <t>00591441</t>
        </is>
      </c>
      <c r="C742" s="29" t="inlineStr">
        <is>
          <t>어보브반도체</t>
        </is>
      </c>
      <c r="D742" s="29" t="inlineStr">
        <is>
          <t>abov</t>
        </is>
      </c>
      <c r="E742" s="29" t="inlineStr">
        <is>
          <t>102120</t>
        </is>
      </c>
      <c r="F742" s="29" t="inlineStr">
        <is>
          <t>2025</t>
        </is>
      </c>
      <c r="G742" s="29" t="inlineStr">
        <is>
          <t>CFS</t>
        </is>
      </c>
      <c r="H742" s="29" t="inlineStr">
        <is>
          <t>BS</t>
        </is>
      </c>
      <c r="I742" s="29" t="inlineStr">
        <is>
          <t>재무상태표</t>
        </is>
      </c>
      <c r="J742" s="29" t="inlineStr">
        <is>
          <t>ifrs-full_NoncurrentAssetsOrDisposalGroupsClassifiedAsHeldForSale</t>
        </is>
      </c>
      <c r="K742" s="29" t="inlineStr">
        <is>
          <t>매각예정비유동자산</t>
        </is>
      </c>
      <c r="L742" s="29" t="inlineStr">
        <is>
          <t>-</t>
        </is>
      </c>
      <c r="M742" s="29" t="inlineStr">
        <is>
          <t>제 20 기</t>
        </is>
      </c>
      <c r="N742" s="29" t="inlineStr">
        <is>
          <t>해당 없음</t>
        </is>
      </c>
      <c r="O742" s="29" t="inlineStr">
        <is>
          <t>2626009965.0</t>
        </is>
      </c>
      <c r="P742" s="29" t="inlineStr">
        <is>
          <t>KRW</t>
        </is>
      </c>
      <c r="Q742" s="29" t="inlineStr">
        <is>
          <t>14</t>
        </is>
      </c>
    </row>
    <row r="743" ht="24" customHeight="1">
      <c r="A743" s="24" t="inlineStr">
        <is>
          <t>OpenDART_fnlttSinglAcntAll</t>
        </is>
      </c>
      <c r="B743" s="24" t="inlineStr">
        <is>
          <t>00591441</t>
        </is>
      </c>
      <c r="C743" s="24" t="inlineStr">
        <is>
          <t>어보브반도체</t>
        </is>
      </c>
      <c r="D743" s="24" t="inlineStr">
        <is>
          <t>abov</t>
        </is>
      </c>
      <c r="E743" s="24" t="inlineStr">
        <is>
          <t>102120</t>
        </is>
      </c>
      <c r="F743" s="24" t="inlineStr">
        <is>
          <t>2025</t>
        </is>
      </c>
      <c r="G743" s="24" t="inlineStr">
        <is>
          <t>CFS</t>
        </is>
      </c>
      <c r="H743" s="24" t="inlineStr">
        <is>
          <t>BS</t>
        </is>
      </c>
      <c r="I743" s="24" t="inlineStr">
        <is>
          <t>재무상태표</t>
        </is>
      </c>
      <c r="J743" s="24" t="inlineStr">
        <is>
          <t>ifrs-full_OtherCurrentAssets</t>
        </is>
      </c>
      <c r="K743" s="24" t="inlineStr">
        <is>
          <t>기타유동자산</t>
        </is>
      </c>
      <c r="L743" s="24" t="inlineStr">
        <is>
          <t>-</t>
        </is>
      </c>
      <c r="M743" s="24" t="inlineStr">
        <is>
          <t>제 20 기</t>
        </is>
      </c>
      <c r="N743" s="24" t="inlineStr">
        <is>
          <t>2939369856.0</t>
        </is>
      </c>
      <c r="O743" s="24" t="inlineStr">
        <is>
          <t>3048368561.0</t>
        </is>
      </c>
      <c r="P743" s="24" t="inlineStr">
        <is>
          <t>KRW</t>
        </is>
      </c>
      <c r="Q743" s="24" t="inlineStr">
        <is>
          <t>15</t>
        </is>
      </c>
    </row>
    <row r="744" ht="24" customHeight="1">
      <c r="A744" s="29" t="inlineStr">
        <is>
          <t>OpenDART_fnlttSinglAcntAll</t>
        </is>
      </c>
      <c r="B744" s="29" t="inlineStr">
        <is>
          <t>00591441</t>
        </is>
      </c>
      <c r="C744" s="29" t="inlineStr">
        <is>
          <t>어보브반도체</t>
        </is>
      </c>
      <c r="D744" s="29" t="inlineStr">
        <is>
          <t>abov</t>
        </is>
      </c>
      <c r="E744" s="29" t="inlineStr">
        <is>
          <t>102120</t>
        </is>
      </c>
      <c r="F744" s="29" t="inlineStr">
        <is>
          <t>2025</t>
        </is>
      </c>
      <c r="G744" s="29" t="inlineStr">
        <is>
          <t>CFS</t>
        </is>
      </c>
      <c r="H744" s="29" t="inlineStr">
        <is>
          <t>BS</t>
        </is>
      </c>
      <c r="I744" s="29" t="inlineStr">
        <is>
          <t>재무상태표</t>
        </is>
      </c>
      <c r="J744" s="29" t="inlineStr">
        <is>
          <t>ifrs-full_OtherCurrentFinancialAssets</t>
        </is>
      </c>
      <c r="K744" s="29" t="inlineStr">
        <is>
          <t>기타유동금융자산</t>
        </is>
      </c>
      <c r="L744" s="29" t="inlineStr">
        <is>
          <t>-</t>
        </is>
      </c>
      <c r="M744" s="29" t="inlineStr">
        <is>
          <t>제 20 기</t>
        </is>
      </c>
      <c r="N744" s="29" t="inlineStr">
        <is>
          <t>6776811386.0</t>
        </is>
      </c>
      <c r="O744" s="29" t="inlineStr">
        <is>
          <t>10723491611.0</t>
        </is>
      </c>
      <c r="P744" s="29" t="inlineStr">
        <is>
          <t>KRW</t>
        </is>
      </c>
      <c r="Q744" s="29" t="inlineStr">
        <is>
          <t>16</t>
        </is>
      </c>
    </row>
    <row r="745" ht="24" customHeight="1">
      <c r="A745" s="24" t="inlineStr">
        <is>
          <t>OpenDART_fnlttSinglAcntAll</t>
        </is>
      </c>
      <c r="B745" s="24" t="inlineStr">
        <is>
          <t>00591441</t>
        </is>
      </c>
      <c r="C745" s="24" t="inlineStr">
        <is>
          <t>어보브반도체</t>
        </is>
      </c>
      <c r="D745" s="24" t="inlineStr">
        <is>
          <t>abov</t>
        </is>
      </c>
      <c r="E745" s="24" t="inlineStr">
        <is>
          <t>102120</t>
        </is>
      </c>
      <c r="F745" s="24" t="inlineStr">
        <is>
          <t>2025</t>
        </is>
      </c>
      <c r="G745" s="24" t="inlineStr">
        <is>
          <t>CFS</t>
        </is>
      </c>
      <c r="H745" s="24" t="inlineStr">
        <is>
          <t>BS</t>
        </is>
      </c>
      <c r="I745" s="24" t="inlineStr">
        <is>
          <t>재무상태표</t>
        </is>
      </c>
      <c r="J745" s="24" t="inlineStr">
        <is>
          <t>ifrs-full_OtherReceivables</t>
        </is>
      </c>
      <c r="K745" s="24" t="inlineStr">
        <is>
          <t>기타채권</t>
        </is>
      </c>
      <c r="L745" s="24" t="inlineStr">
        <is>
          <t>-</t>
        </is>
      </c>
      <c r="M745" s="24" t="inlineStr">
        <is>
          <t>제 20 기</t>
        </is>
      </c>
      <c r="N745" s="24" t="inlineStr">
        <is>
          <t>8049915196.0</t>
        </is>
      </c>
      <c r="O745" s="24" t="inlineStr">
        <is>
          <t>4036925636.0</t>
        </is>
      </c>
      <c r="P745" s="24" t="inlineStr">
        <is>
          <t>KRW</t>
        </is>
      </c>
      <c r="Q745" s="24" t="inlineStr">
        <is>
          <t>17</t>
        </is>
      </c>
    </row>
    <row r="746" ht="24" customHeight="1">
      <c r="A746" s="29" t="inlineStr">
        <is>
          <t>OpenDART_fnlttSinglAcntAll</t>
        </is>
      </c>
      <c r="B746" s="29" t="inlineStr">
        <is>
          <t>00591441</t>
        </is>
      </c>
      <c r="C746" s="29" t="inlineStr">
        <is>
          <t>어보브반도체</t>
        </is>
      </c>
      <c r="D746" s="29" t="inlineStr">
        <is>
          <t>abov</t>
        </is>
      </c>
      <c r="E746" s="29" t="inlineStr">
        <is>
          <t>102120</t>
        </is>
      </c>
      <c r="F746" s="29" t="inlineStr">
        <is>
          <t>2025</t>
        </is>
      </c>
      <c r="G746" s="29" t="inlineStr">
        <is>
          <t>CFS</t>
        </is>
      </c>
      <c r="H746" s="29" t="inlineStr">
        <is>
          <t>BS</t>
        </is>
      </c>
      <c r="I746" s="29" t="inlineStr">
        <is>
          <t>재무상태표</t>
        </is>
      </c>
      <c r="J746" s="29" t="inlineStr">
        <is>
          <t>ifrs-full_NoncurrentAssets</t>
        </is>
      </c>
      <c r="K746" s="29" t="inlineStr">
        <is>
          <t>비유동자산</t>
        </is>
      </c>
      <c r="L746" s="29" t="inlineStr">
        <is>
          <t>-</t>
        </is>
      </c>
      <c r="M746" s="29" t="inlineStr">
        <is>
          <t>제 20 기</t>
        </is>
      </c>
      <c r="N746" s="29" t="inlineStr">
        <is>
          <t>161186564989.0</t>
        </is>
      </c>
      <c r="O746" s="29" t="inlineStr">
        <is>
          <t>166858100858.0</t>
        </is>
      </c>
      <c r="P746" s="29" t="inlineStr">
        <is>
          <t>KRW</t>
        </is>
      </c>
      <c r="Q746" s="29" t="inlineStr">
        <is>
          <t>18</t>
        </is>
      </c>
    </row>
    <row r="747" ht="24" customHeight="1">
      <c r="A747" s="24" t="inlineStr">
        <is>
          <t>OpenDART_fnlttSinglAcntAll</t>
        </is>
      </c>
      <c r="B747" s="24" t="inlineStr">
        <is>
          <t>00591441</t>
        </is>
      </c>
      <c r="C747" s="24" t="inlineStr">
        <is>
          <t>어보브반도체</t>
        </is>
      </c>
      <c r="D747" s="24" t="inlineStr">
        <is>
          <t>abov</t>
        </is>
      </c>
      <c r="E747" s="24" t="inlineStr">
        <is>
          <t>102120</t>
        </is>
      </c>
      <c r="F747" s="24" t="inlineStr">
        <is>
          <t>2025</t>
        </is>
      </c>
      <c r="G747" s="24" t="inlineStr">
        <is>
          <t>CFS</t>
        </is>
      </c>
      <c r="H747" s="24" t="inlineStr">
        <is>
          <t>BS</t>
        </is>
      </c>
      <c r="I747" s="24" t="inlineStr">
        <is>
          <t>재무상태표</t>
        </is>
      </c>
      <c r="J747" s="24" t="inlineStr">
        <is>
          <t>ifrs-full_DeferredTaxAssets</t>
        </is>
      </c>
      <c r="K747" s="24" t="inlineStr">
        <is>
          <t>이연법인세자산</t>
        </is>
      </c>
      <c r="L747" s="24" t="inlineStr">
        <is>
          <t>-</t>
        </is>
      </c>
      <c r="M747" s="24" t="inlineStr">
        <is>
          <t>제 20 기</t>
        </is>
      </c>
      <c r="N747" s="24" t="inlineStr">
        <is>
          <t>8033710283.0</t>
        </is>
      </c>
      <c r="O747" s="24" t="inlineStr">
        <is>
          <t>7376561176.0</t>
        </is>
      </c>
      <c r="P747" s="24" t="inlineStr">
        <is>
          <t>KRW</t>
        </is>
      </c>
      <c r="Q747" s="24" t="inlineStr">
        <is>
          <t>19</t>
        </is>
      </c>
    </row>
    <row r="748" ht="24" customHeight="1">
      <c r="A748" s="29" t="inlineStr">
        <is>
          <t>OpenDART_fnlttSinglAcntAll</t>
        </is>
      </c>
      <c r="B748" s="29" t="inlineStr">
        <is>
          <t>00591441</t>
        </is>
      </c>
      <c r="C748" s="29" t="inlineStr">
        <is>
          <t>어보브반도체</t>
        </is>
      </c>
      <c r="D748" s="29" t="inlineStr">
        <is>
          <t>abov</t>
        </is>
      </c>
      <c r="E748" s="29" t="inlineStr">
        <is>
          <t>102120</t>
        </is>
      </c>
      <c r="F748" s="29" t="inlineStr">
        <is>
          <t>2025</t>
        </is>
      </c>
      <c r="G748" s="29" t="inlineStr">
        <is>
          <t>CFS</t>
        </is>
      </c>
      <c r="H748" s="29" t="inlineStr">
        <is>
          <t>BS</t>
        </is>
      </c>
      <c r="I748" s="29" t="inlineStr">
        <is>
          <t>재무상태표</t>
        </is>
      </c>
      <c r="J748" s="29" t="inlineStr">
        <is>
          <t>ifrs-full_IntangibleAssetsOtherThanGoodwill</t>
        </is>
      </c>
      <c r="K748" s="29" t="inlineStr">
        <is>
          <t>무형자산</t>
        </is>
      </c>
      <c r="L748" s="29" t="inlineStr">
        <is>
          <t>-</t>
        </is>
      </c>
      <c r="M748" s="29" t="inlineStr">
        <is>
          <t>제 20 기</t>
        </is>
      </c>
      <c r="N748" s="29" t="inlineStr">
        <is>
          <t>14340376931.0</t>
        </is>
      </c>
      <c r="O748" s="29" t="inlineStr">
        <is>
          <t>16263804150.0</t>
        </is>
      </c>
      <c r="P748" s="29" t="inlineStr">
        <is>
          <t>KRW</t>
        </is>
      </c>
      <c r="Q748" s="29" t="inlineStr">
        <is>
          <t>20</t>
        </is>
      </c>
    </row>
    <row r="749" ht="24" customHeight="1">
      <c r="A749" s="24" t="inlineStr">
        <is>
          <t>OpenDART_fnlttSinglAcntAll</t>
        </is>
      </c>
      <c r="B749" s="24" t="inlineStr">
        <is>
          <t>00591441</t>
        </is>
      </c>
      <c r="C749" s="24" t="inlineStr">
        <is>
          <t>어보브반도체</t>
        </is>
      </c>
      <c r="D749" s="24" t="inlineStr">
        <is>
          <t>abov</t>
        </is>
      </c>
      <c r="E749" s="24" t="inlineStr">
        <is>
          <t>102120</t>
        </is>
      </c>
      <c r="F749" s="24" t="inlineStr">
        <is>
          <t>2025</t>
        </is>
      </c>
      <c r="G749" s="24" t="inlineStr">
        <is>
          <t>CFS</t>
        </is>
      </c>
      <c r="H749" s="24" t="inlineStr">
        <is>
          <t>BS</t>
        </is>
      </c>
      <c r="I749" s="24" t="inlineStr">
        <is>
          <t>재무상태표</t>
        </is>
      </c>
      <c r="J749" s="24" t="inlineStr">
        <is>
          <t>ifrs-full_InvestmentsInAssociates</t>
        </is>
      </c>
      <c r="K749" s="24" t="inlineStr">
        <is>
          <t>관계기업투자주식</t>
        </is>
      </c>
      <c r="L749" s="24" t="inlineStr">
        <is>
          <t>-</t>
        </is>
      </c>
      <c r="M749" s="24" t="inlineStr">
        <is>
          <t>제 20 기</t>
        </is>
      </c>
      <c r="N749" s="24" t="inlineStr">
        <is>
          <t>7176731226.0</t>
        </is>
      </c>
      <c r="O749" s="24" t="inlineStr">
        <is>
          <t>6998988878.0</t>
        </is>
      </c>
      <c r="P749" s="24" t="inlineStr">
        <is>
          <t>KRW</t>
        </is>
      </c>
      <c r="Q749" s="24" t="inlineStr">
        <is>
          <t>21</t>
        </is>
      </c>
    </row>
    <row r="750" ht="24" customHeight="1">
      <c r="A750" s="29" t="inlineStr">
        <is>
          <t>OpenDART_fnlttSinglAcntAll</t>
        </is>
      </c>
      <c r="B750" s="29" t="inlineStr">
        <is>
          <t>00591441</t>
        </is>
      </c>
      <c r="C750" s="29" t="inlineStr">
        <is>
          <t>어보브반도체</t>
        </is>
      </c>
      <c r="D750" s="29" t="inlineStr">
        <is>
          <t>abov</t>
        </is>
      </c>
      <c r="E750" s="29" t="inlineStr">
        <is>
          <t>102120</t>
        </is>
      </c>
      <c r="F750" s="29" t="inlineStr">
        <is>
          <t>2025</t>
        </is>
      </c>
      <c r="G750" s="29" t="inlineStr">
        <is>
          <t>CFS</t>
        </is>
      </c>
      <c r="H750" s="29" t="inlineStr">
        <is>
          <t>BS</t>
        </is>
      </c>
      <c r="I750" s="29" t="inlineStr">
        <is>
          <t>재무상태표</t>
        </is>
      </c>
      <c r="J750" s="29" t="inlineStr">
        <is>
          <t>ifrs-full_NoncurrentFinancialAssetsAtFairValueThroughProfitOrLossDesignatedUponInitialRecognition</t>
        </is>
      </c>
      <c r="K750" s="29" t="inlineStr">
        <is>
          <t>당기손익공정가치측정금융자산</t>
        </is>
      </c>
      <c r="L750" s="29" t="inlineStr">
        <is>
          <t>-</t>
        </is>
      </c>
      <c r="M750" s="29" t="inlineStr">
        <is>
          <t>제 20 기</t>
        </is>
      </c>
      <c r="N750" s="29" t="inlineStr">
        <is>
          <t>14828000549.0</t>
        </is>
      </c>
      <c r="O750" s="29" t="inlineStr">
        <is>
          <t>5445564186.0</t>
        </is>
      </c>
      <c r="P750" s="29" t="inlineStr">
        <is>
          <t>KRW</t>
        </is>
      </c>
      <c r="Q750" s="29" t="inlineStr">
        <is>
          <t>22</t>
        </is>
      </c>
    </row>
    <row r="751" ht="24" customHeight="1">
      <c r="A751" s="24" t="inlineStr">
        <is>
          <t>OpenDART_fnlttSinglAcntAll</t>
        </is>
      </c>
      <c r="B751" s="24" t="inlineStr">
        <is>
          <t>00591441</t>
        </is>
      </c>
      <c r="C751" s="24" t="inlineStr">
        <is>
          <t>어보브반도체</t>
        </is>
      </c>
      <c r="D751" s="24" t="inlineStr">
        <is>
          <t>abov</t>
        </is>
      </c>
      <c r="E751" s="24" t="inlineStr">
        <is>
          <t>102120</t>
        </is>
      </c>
      <c r="F751" s="24" t="inlineStr">
        <is>
          <t>2025</t>
        </is>
      </c>
      <c r="G751" s="24" t="inlineStr">
        <is>
          <t>CFS</t>
        </is>
      </c>
      <c r="H751" s="24" t="inlineStr">
        <is>
          <t>BS</t>
        </is>
      </c>
      <c r="I751" s="24" t="inlineStr">
        <is>
          <t>재무상태표</t>
        </is>
      </c>
      <c r="J751" s="24" t="inlineStr">
        <is>
          <t>ifrs-full_NoncurrentFinancialAssetsMeasuredAtFairValueThroughOtherComprehensiveIncome</t>
        </is>
      </c>
      <c r="K751" s="24" t="inlineStr">
        <is>
          <t>기타포괄손익공정가치측정금융자산</t>
        </is>
      </c>
      <c r="L751" s="24" t="inlineStr">
        <is>
          <t>-</t>
        </is>
      </c>
      <c r="M751" s="24" t="inlineStr">
        <is>
          <t>제 20 기</t>
        </is>
      </c>
      <c r="N751" s="24" t="inlineStr">
        <is>
          <t>1063449200.0</t>
        </is>
      </c>
      <c r="O751" s="24" t="inlineStr">
        <is>
          <t>1397943525.0</t>
        </is>
      </c>
      <c r="P751" s="24" t="inlineStr">
        <is>
          <t>KRW</t>
        </is>
      </c>
      <c r="Q751" s="24" t="inlineStr">
        <is>
          <t>23</t>
        </is>
      </c>
    </row>
    <row r="752" ht="24" customHeight="1">
      <c r="A752" s="29" t="inlineStr">
        <is>
          <t>OpenDART_fnlttSinglAcntAll</t>
        </is>
      </c>
      <c r="B752" s="29" t="inlineStr">
        <is>
          <t>00591441</t>
        </is>
      </c>
      <c r="C752" s="29" t="inlineStr">
        <is>
          <t>어보브반도체</t>
        </is>
      </c>
      <c r="D752" s="29" t="inlineStr">
        <is>
          <t>abov</t>
        </is>
      </c>
      <c r="E752" s="29" t="inlineStr">
        <is>
          <t>102120</t>
        </is>
      </c>
      <c r="F752" s="29" t="inlineStr">
        <is>
          <t>2025</t>
        </is>
      </c>
      <c r="G752" s="29" t="inlineStr">
        <is>
          <t>CFS</t>
        </is>
      </c>
      <c r="H752" s="29" t="inlineStr">
        <is>
          <t>BS</t>
        </is>
      </c>
      <c r="I752" s="29" t="inlineStr">
        <is>
          <t>재무상태표</t>
        </is>
      </c>
      <c r="J752" s="29" t="inlineStr">
        <is>
          <t>ifrs-full_OtherNoncurrentAssets</t>
        </is>
      </c>
      <c r="K752" s="29" t="inlineStr">
        <is>
          <t>기타비유동자산</t>
        </is>
      </c>
      <c r="L752" s="29" t="inlineStr">
        <is>
          <t>-</t>
        </is>
      </c>
      <c r="M752" s="29" t="inlineStr">
        <is>
          <t>제 20 기</t>
        </is>
      </c>
      <c r="N752" s="29" t="inlineStr">
        <is>
          <t>316005962.0</t>
        </is>
      </c>
      <c r="O752" s="29" t="inlineStr">
        <is>
          <t>365893281.0</t>
        </is>
      </c>
      <c r="P752" s="29" t="inlineStr">
        <is>
          <t>KRW</t>
        </is>
      </c>
      <c r="Q752" s="29" t="inlineStr">
        <is>
          <t>24</t>
        </is>
      </c>
    </row>
    <row r="753" ht="24" customHeight="1">
      <c r="A753" s="24" t="inlineStr">
        <is>
          <t>OpenDART_fnlttSinglAcntAll</t>
        </is>
      </c>
      <c r="B753" s="24" t="inlineStr">
        <is>
          <t>00591441</t>
        </is>
      </c>
      <c r="C753" s="24" t="inlineStr">
        <is>
          <t>어보브반도체</t>
        </is>
      </c>
      <c r="D753" s="24" t="inlineStr">
        <is>
          <t>abov</t>
        </is>
      </c>
      <c r="E753" s="24" t="inlineStr">
        <is>
          <t>102120</t>
        </is>
      </c>
      <c r="F753" s="24" t="inlineStr">
        <is>
          <t>2025</t>
        </is>
      </c>
      <c r="G753" s="24" t="inlineStr">
        <is>
          <t>CFS</t>
        </is>
      </c>
      <c r="H753" s="24" t="inlineStr">
        <is>
          <t>BS</t>
        </is>
      </c>
      <c r="I753" s="24" t="inlineStr">
        <is>
          <t>재무상태표</t>
        </is>
      </c>
      <c r="J753" s="24" t="inlineStr">
        <is>
          <t>ifrs-full_OtherNoncurrentFinancialAssets</t>
        </is>
      </c>
      <c r="K753" s="24" t="inlineStr">
        <is>
          <t>기타비유동금융자산</t>
        </is>
      </c>
      <c r="L753" s="24" t="inlineStr">
        <is>
          <t>-</t>
        </is>
      </c>
      <c r="M753" s="24" t="inlineStr">
        <is>
          <t>제 20 기</t>
        </is>
      </c>
      <c r="N753" s="24" t="inlineStr">
        <is>
          <t>1824655830.0</t>
        </is>
      </c>
      <c r="O753" s="24" t="inlineStr">
        <is>
          <t>1835415867.0</t>
        </is>
      </c>
      <c r="P753" s="24" t="inlineStr">
        <is>
          <t>KRW</t>
        </is>
      </c>
      <c r="Q753" s="24" t="inlineStr">
        <is>
          <t>25</t>
        </is>
      </c>
    </row>
    <row r="754" ht="24" customHeight="1">
      <c r="A754" s="29" t="inlineStr">
        <is>
          <t>OpenDART_fnlttSinglAcntAll</t>
        </is>
      </c>
      <c r="B754" s="29" t="inlineStr">
        <is>
          <t>00591441</t>
        </is>
      </c>
      <c r="C754" s="29" t="inlineStr">
        <is>
          <t>어보브반도체</t>
        </is>
      </c>
      <c r="D754" s="29" t="inlineStr">
        <is>
          <t>abov</t>
        </is>
      </c>
      <c r="E754" s="29" t="inlineStr">
        <is>
          <t>102120</t>
        </is>
      </c>
      <c r="F754" s="29" t="inlineStr">
        <is>
          <t>2025</t>
        </is>
      </c>
      <c r="G754" s="29" t="inlineStr">
        <is>
          <t>CFS</t>
        </is>
      </c>
      <c r="H754" s="29" t="inlineStr">
        <is>
          <t>BS</t>
        </is>
      </c>
      <c r="I754" s="29" t="inlineStr">
        <is>
          <t>재무상태표</t>
        </is>
      </c>
      <c r="J754" s="29" t="inlineStr">
        <is>
          <t>ifrs-full_PropertyPlantAndEquipment</t>
        </is>
      </c>
      <c r="K754" s="29" t="inlineStr">
        <is>
          <t>유형자산</t>
        </is>
      </c>
      <c r="L754" s="29" t="inlineStr">
        <is>
          <t>-</t>
        </is>
      </c>
      <c r="M754" s="29" t="inlineStr">
        <is>
          <t>제 20 기</t>
        </is>
      </c>
      <c r="N754" s="29" t="inlineStr">
        <is>
          <t>110938356950.0</t>
        </is>
      </c>
      <c r="O754" s="29" t="inlineStr">
        <is>
          <t>125339745810.0</t>
        </is>
      </c>
      <c r="P754" s="29" t="inlineStr">
        <is>
          <t>KRW</t>
        </is>
      </c>
      <c r="Q754" s="29" t="inlineStr">
        <is>
          <t>26</t>
        </is>
      </c>
    </row>
    <row r="755" ht="24" customHeight="1">
      <c r="A755" s="24" t="inlineStr">
        <is>
          <t>OpenDART_fnlttSinglAcntAll</t>
        </is>
      </c>
      <c r="B755" s="24" t="inlineStr">
        <is>
          <t>00591441</t>
        </is>
      </c>
      <c r="C755" s="24" t="inlineStr">
        <is>
          <t>어보브반도체</t>
        </is>
      </c>
      <c r="D755" s="24" t="inlineStr">
        <is>
          <t>abov</t>
        </is>
      </c>
      <c r="E755" s="24" t="inlineStr">
        <is>
          <t>102120</t>
        </is>
      </c>
      <c r="F755" s="24" t="inlineStr">
        <is>
          <t>2025</t>
        </is>
      </c>
      <c r="G755" s="24" t="inlineStr">
        <is>
          <t>CFS</t>
        </is>
      </c>
      <c r="H755" s="24" t="inlineStr">
        <is>
          <t>BS</t>
        </is>
      </c>
      <c r="I755" s="24" t="inlineStr">
        <is>
          <t>재무상태표</t>
        </is>
      </c>
      <c r="J755" s="24" t="inlineStr">
        <is>
          <t>ifrs-full_RecognisedAssetsDefinedBenefitPlan</t>
        </is>
      </c>
      <c r="K755" s="24" t="inlineStr">
        <is>
          <t>순확정급여자산</t>
        </is>
      </c>
      <c r="L755" s="24" t="inlineStr">
        <is>
          <t>-</t>
        </is>
      </c>
      <c r="M755" s="24" t="inlineStr">
        <is>
          <t>제 20 기</t>
        </is>
      </c>
      <c r="N755" s="24" t="inlineStr">
        <is>
          <t>1075078044.0</t>
        </is>
      </c>
      <c r="O755" s="24" t="inlineStr">
        <is>
          <t>41800312.0</t>
        </is>
      </c>
      <c r="P755" s="24" t="inlineStr">
        <is>
          <t>KRW</t>
        </is>
      </c>
      <c r="Q755" s="24" t="inlineStr">
        <is>
          <t>27</t>
        </is>
      </c>
    </row>
    <row r="756" ht="24" customHeight="1">
      <c r="A756" s="29" t="inlineStr">
        <is>
          <t>OpenDART_fnlttSinglAcntAll</t>
        </is>
      </c>
      <c r="B756" s="29" t="inlineStr">
        <is>
          <t>00591441</t>
        </is>
      </c>
      <c r="C756" s="29" t="inlineStr">
        <is>
          <t>어보브반도체</t>
        </is>
      </c>
      <c r="D756" s="29" t="inlineStr">
        <is>
          <t>abov</t>
        </is>
      </c>
      <c r="E756" s="29" t="inlineStr">
        <is>
          <t>102120</t>
        </is>
      </c>
      <c r="F756" s="29" t="inlineStr">
        <is>
          <t>2025</t>
        </is>
      </c>
      <c r="G756" s="29" t="inlineStr">
        <is>
          <t>CFS</t>
        </is>
      </c>
      <c r="H756" s="29" t="inlineStr">
        <is>
          <t>BS</t>
        </is>
      </c>
      <c r="I756" s="29" t="inlineStr">
        <is>
          <t>재무상태표</t>
        </is>
      </c>
      <c r="J756" s="29" t="inlineStr">
        <is>
          <t>ifrs-full_RightofuseAssets</t>
        </is>
      </c>
      <c r="K756" s="29" t="inlineStr">
        <is>
          <t>사용권자산</t>
        </is>
      </c>
      <c r="L756" s="29" t="inlineStr">
        <is>
          <t>-</t>
        </is>
      </c>
      <c r="M756" s="29" t="inlineStr">
        <is>
          <t>제 20 기</t>
        </is>
      </c>
      <c r="N756" s="29" t="inlineStr">
        <is>
          <t>1590200014.0</t>
        </is>
      </c>
      <c r="O756" s="29" t="inlineStr">
        <is>
          <t>1792383673.0</t>
        </is>
      </c>
      <c r="P756" s="29" t="inlineStr">
        <is>
          <t>KRW</t>
        </is>
      </c>
      <c r="Q756" s="29" t="inlineStr">
        <is>
          <t>28</t>
        </is>
      </c>
    </row>
    <row r="757" ht="24" customHeight="1">
      <c r="A757" s="24" t="inlineStr">
        <is>
          <t>OpenDART_fnlttSinglAcntAll</t>
        </is>
      </c>
      <c r="B757" s="24" t="inlineStr">
        <is>
          <t>00591441</t>
        </is>
      </c>
      <c r="C757" s="24" t="inlineStr">
        <is>
          <t>어보브반도체</t>
        </is>
      </c>
      <c r="D757" s="24" t="inlineStr">
        <is>
          <t>abov</t>
        </is>
      </c>
      <c r="E757" s="24" t="inlineStr">
        <is>
          <t>102120</t>
        </is>
      </c>
      <c r="F757" s="24" t="inlineStr">
        <is>
          <t>2025</t>
        </is>
      </c>
      <c r="G757" s="24" t="inlineStr">
        <is>
          <t>CFS</t>
        </is>
      </c>
      <c r="H757" s="24" t="inlineStr">
        <is>
          <t>BS</t>
        </is>
      </c>
      <c r="I757" s="24" t="inlineStr">
        <is>
          <t>재무상태표</t>
        </is>
      </c>
      <c r="J757" s="24" t="inlineStr">
        <is>
          <t>ifrs-full_Equity</t>
        </is>
      </c>
      <c r="K757" s="24" t="inlineStr">
        <is>
          <t>자본총계</t>
        </is>
      </c>
      <c r="L757" s="24" t="inlineStr">
        <is>
          <t>-</t>
        </is>
      </c>
      <c r="M757" s="24" t="inlineStr">
        <is>
          <t>제 20 기</t>
        </is>
      </c>
      <c r="N757" s="24" t="inlineStr">
        <is>
          <t>154442539418.0</t>
        </is>
      </c>
      <c r="O757" s="24" t="inlineStr">
        <is>
          <t>154580908154.0</t>
        </is>
      </c>
      <c r="P757" s="24" t="inlineStr">
        <is>
          <t>KRW</t>
        </is>
      </c>
      <c r="Q757" s="24" t="inlineStr">
        <is>
          <t>30</t>
        </is>
      </c>
    </row>
    <row r="758" ht="24" customHeight="1">
      <c r="A758" s="29" t="inlineStr">
        <is>
          <t>OpenDART_fnlttSinglAcntAll</t>
        </is>
      </c>
      <c r="B758" s="29" t="inlineStr">
        <is>
          <t>00591441</t>
        </is>
      </c>
      <c r="C758" s="29" t="inlineStr">
        <is>
          <t>어보브반도체</t>
        </is>
      </c>
      <c r="D758" s="29" t="inlineStr">
        <is>
          <t>abov</t>
        </is>
      </c>
      <c r="E758" s="29" t="inlineStr">
        <is>
          <t>102120</t>
        </is>
      </c>
      <c r="F758" s="29" t="inlineStr">
        <is>
          <t>2025</t>
        </is>
      </c>
      <c r="G758" s="29" t="inlineStr">
        <is>
          <t>CFS</t>
        </is>
      </c>
      <c r="H758" s="29" t="inlineStr">
        <is>
          <t>BS</t>
        </is>
      </c>
      <c r="I758" s="29" t="inlineStr">
        <is>
          <t>재무상태표</t>
        </is>
      </c>
      <c r="J758" s="29" t="inlineStr">
        <is>
          <t>ifrs-full_EquityAttributableToOwnersOfParent</t>
        </is>
      </c>
      <c r="K758" s="29" t="inlineStr">
        <is>
          <t>지배기업의 소유주에게 귀속되는 자본</t>
        </is>
      </c>
      <c r="L758" s="29" t="inlineStr">
        <is>
          <t>-</t>
        </is>
      </c>
      <c r="M758" s="29" t="inlineStr">
        <is>
          <t>제 20 기</t>
        </is>
      </c>
      <c r="N758" s="29" t="inlineStr">
        <is>
          <t>118874829136.0</t>
        </is>
      </c>
      <c r="O758" s="29" t="inlineStr">
        <is>
          <t>112061433062.0</t>
        </is>
      </c>
      <c r="P758" s="29" t="inlineStr">
        <is>
          <t>KRW</t>
        </is>
      </c>
      <c r="Q758" s="29" t="inlineStr">
        <is>
          <t>31</t>
        </is>
      </c>
    </row>
    <row r="759" ht="24" customHeight="1">
      <c r="A759" s="24" t="inlineStr">
        <is>
          <t>OpenDART_fnlttSinglAcntAll</t>
        </is>
      </c>
      <c r="B759" s="24" t="inlineStr">
        <is>
          <t>00591441</t>
        </is>
      </c>
      <c r="C759" s="24" t="inlineStr">
        <is>
          <t>어보브반도체</t>
        </is>
      </c>
      <c r="D759" s="24" t="inlineStr">
        <is>
          <t>abov</t>
        </is>
      </c>
      <c r="E759" s="24" t="inlineStr">
        <is>
          <t>102120</t>
        </is>
      </c>
      <c r="F759" s="24" t="inlineStr">
        <is>
          <t>2025</t>
        </is>
      </c>
      <c r="G759" s="24" t="inlineStr">
        <is>
          <t>CFS</t>
        </is>
      </c>
      <c r="H759" s="24" t="inlineStr">
        <is>
          <t>BS</t>
        </is>
      </c>
      <c r="I759" s="24" t="inlineStr">
        <is>
          <t>재무상태표</t>
        </is>
      </c>
      <c r="J759" s="24" t="inlineStr">
        <is>
          <t>dart_CapitalSurplus</t>
        </is>
      </c>
      <c r="K759" s="24" t="inlineStr">
        <is>
          <t>자본잉여금</t>
        </is>
      </c>
      <c r="L759" s="24" t="inlineStr">
        <is>
          <t>-</t>
        </is>
      </c>
      <c r="M759" s="24" t="inlineStr">
        <is>
          <t>제 20 기</t>
        </is>
      </c>
      <c r="N759" s="24" t="inlineStr">
        <is>
          <t>26421998151.0</t>
        </is>
      </c>
      <c r="O759" s="24" t="inlineStr">
        <is>
          <t>26421998151.0</t>
        </is>
      </c>
      <c r="P759" s="24" t="inlineStr">
        <is>
          <t>KRW</t>
        </is>
      </c>
      <c r="Q759" s="24" t="inlineStr">
        <is>
          <t>32</t>
        </is>
      </c>
    </row>
    <row r="760" ht="24" customHeight="1">
      <c r="A760" s="29" t="inlineStr">
        <is>
          <t>OpenDART_fnlttSinglAcntAll</t>
        </is>
      </c>
      <c r="B760" s="29" t="inlineStr">
        <is>
          <t>00591441</t>
        </is>
      </c>
      <c r="C760" s="29" t="inlineStr">
        <is>
          <t>어보브반도체</t>
        </is>
      </c>
      <c r="D760" s="29" t="inlineStr">
        <is>
          <t>abov</t>
        </is>
      </c>
      <c r="E760" s="29" t="inlineStr">
        <is>
          <t>102120</t>
        </is>
      </c>
      <c r="F760" s="29" t="inlineStr">
        <is>
          <t>2025</t>
        </is>
      </c>
      <c r="G760" s="29" t="inlineStr">
        <is>
          <t>CFS</t>
        </is>
      </c>
      <c r="H760" s="29" t="inlineStr">
        <is>
          <t>BS</t>
        </is>
      </c>
      <c r="I760" s="29" t="inlineStr">
        <is>
          <t>재무상태표</t>
        </is>
      </c>
      <c r="J760" s="29" t="inlineStr">
        <is>
          <t>dart_OtherCapitalAdjustments</t>
        </is>
      </c>
      <c r="K760" s="29" t="inlineStr">
        <is>
          <t>기타자본항목</t>
        </is>
      </c>
      <c r="L760" s="29" t="inlineStr">
        <is>
          <t>-</t>
        </is>
      </c>
      <c r="M760" s="29" t="inlineStr">
        <is>
          <t>제 20 기</t>
        </is>
      </c>
      <c r="N760" s="29" t="inlineStr">
        <is>
          <t>-1285743621.0</t>
        </is>
      </c>
      <c r="O760" s="29" t="inlineStr">
        <is>
          <t>-763718620.0</t>
        </is>
      </c>
      <c r="P760" s="29" t="inlineStr">
        <is>
          <t>KRW</t>
        </is>
      </c>
      <c r="Q760" s="29" t="inlineStr">
        <is>
          <t>33</t>
        </is>
      </c>
    </row>
    <row r="761" ht="24" customHeight="1">
      <c r="A761" s="24" t="inlineStr">
        <is>
          <t>OpenDART_fnlttSinglAcntAll</t>
        </is>
      </c>
      <c r="B761" s="24" t="inlineStr">
        <is>
          <t>00591441</t>
        </is>
      </c>
      <c r="C761" s="24" t="inlineStr">
        <is>
          <t>어보브반도체</t>
        </is>
      </c>
      <c r="D761" s="24" t="inlineStr">
        <is>
          <t>abov</t>
        </is>
      </c>
      <c r="E761" s="24" t="inlineStr">
        <is>
          <t>102120</t>
        </is>
      </c>
      <c r="F761" s="24" t="inlineStr">
        <is>
          <t>2025</t>
        </is>
      </c>
      <c r="G761" s="24" t="inlineStr">
        <is>
          <t>CFS</t>
        </is>
      </c>
      <c r="H761" s="24" t="inlineStr">
        <is>
          <t>BS</t>
        </is>
      </c>
      <c r="I761" s="24" t="inlineStr">
        <is>
          <t>재무상태표</t>
        </is>
      </c>
      <c r="J761" s="24" t="inlineStr">
        <is>
          <t>dart_OtherComprehensiveIncomeLossAccumulatedAmount</t>
        </is>
      </c>
      <c r="K761" s="24" t="inlineStr">
        <is>
          <t>기타포괄손익누계액</t>
        </is>
      </c>
      <c r="L761" s="24" t="inlineStr">
        <is>
          <t>-</t>
        </is>
      </c>
      <c r="M761" s="24" t="inlineStr">
        <is>
          <t>제 20 기</t>
        </is>
      </c>
      <c r="N761" s="24" t="inlineStr">
        <is>
          <t>-1497074663.0</t>
        </is>
      </c>
      <c r="O761" s="24" t="inlineStr">
        <is>
          <t>-1299411201.0</t>
        </is>
      </c>
      <c r="P761" s="24" t="inlineStr">
        <is>
          <t>KRW</t>
        </is>
      </c>
      <c r="Q761" s="24" t="inlineStr">
        <is>
          <t>34</t>
        </is>
      </c>
    </row>
    <row r="762" ht="24" customHeight="1">
      <c r="A762" s="29" t="inlineStr">
        <is>
          <t>OpenDART_fnlttSinglAcntAll</t>
        </is>
      </c>
      <c r="B762" s="29" t="inlineStr">
        <is>
          <t>00591441</t>
        </is>
      </c>
      <c r="C762" s="29" t="inlineStr">
        <is>
          <t>어보브반도체</t>
        </is>
      </c>
      <c r="D762" s="29" t="inlineStr">
        <is>
          <t>abov</t>
        </is>
      </c>
      <c r="E762" s="29" t="inlineStr">
        <is>
          <t>102120</t>
        </is>
      </c>
      <c r="F762" s="29" t="inlineStr">
        <is>
          <t>2025</t>
        </is>
      </c>
      <c r="G762" s="29" t="inlineStr">
        <is>
          <t>CFS</t>
        </is>
      </c>
      <c r="H762" s="29" t="inlineStr">
        <is>
          <t>BS</t>
        </is>
      </c>
      <c r="I762" s="29" t="inlineStr">
        <is>
          <t>재무상태표</t>
        </is>
      </c>
      <c r="J762" s="29" t="inlineStr">
        <is>
          <t>ifrs-full_IssuedCapital</t>
        </is>
      </c>
      <c r="K762" s="29" t="inlineStr">
        <is>
          <t>자본금</t>
        </is>
      </c>
      <c r="L762" s="29" t="inlineStr">
        <is>
          <t>-</t>
        </is>
      </c>
      <c r="M762" s="29" t="inlineStr">
        <is>
          <t>제 20 기</t>
        </is>
      </c>
      <c r="N762" s="29" t="inlineStr">
        <is>
          <t>8890376500.0</t>
        </is>
      </c>
      <c r="O762" s="29" t="inlineStr">
        <is>
          <t>8890376500.0</t>
        </is>
      </c>
      <c r="P762" s="29" t="inlineStr">
        <is>
          <t>KRW</t>
        </is>
      </c>
      <c r="Q762" s="29" t="inlineStr">
        <is>
          <t>35</t>
        </is>
      </c>
    </row>
    <row r="763" ht="24" customHeight="1">
      <c r="A763" s="24" t="inlineStr">
        <is>
          <t>OpenDART_fnlttSinglAcntAll</t>
        </is>
      </c>
      <c r="B763" s="24" t="inlineStr">
        <is>
          <t>00591441</t>
        </is>
      </c>
      <c r="C763" s="24" t="inlineStr">
        <is>
          <t>어보브반도체</t>
        </is>
      </c>
      <c r="D763" s="24" t="inlineStr">
        <is>
          <t>abov</t>
        </is>
      </c>
      <c r="E763" s="24" t="inlineStr">
        <is>
          <t>102120</t>
        </is>
      </c>
      <c r="F763" s="24" t="inlineStr">
        <is>
          <t>2025</t>
        </is>
      </c>
      <c r="G763" s="24" t="inlineStr">
        <is>
          <t>CFS</t>
        </is>
      </c>
      <c r="H763" s="24" t="inlineStr">
        <is>
          <t>BS</t>
        </is>
      </c>
      <c r="I763" s="24" t="inlineStr">
        <is>
          <t>재무상태표</t>
        </is>
      </c>
      <c r="J763" s="24" t="inlineStr">
        <is>
          <t>ifrs-full_RetainedEarnings</t>
        </is>
      </c>
      <c r="K763" s="24" t="inlineStr">
        <is>
          <t>이익잉여금(결손금)</t>
        </is>
      </c>
      <c r="L763" s="24" t="inlineStr">
        <is>
          <t>-</t>
        </is>
      </c>
      <c r="M763" s="24" t="inlineStr">
        <is>
          <t>제 20 기</t>
        </is>
      </c>
      <c r="N763" s="24" t="inlineStr">
        <is>
          <t>86345272769.0</t>
        </is>
      </c>
      <c r="O763" s="24" t="inlineStr">
        <is>
          <t>78812188232.0</t>
        </is>
      </c>
      <c r="P763" s="24" t="inlineStr">
        <is>
          <t>KRW</t>
        </is>
      </c>
      <c r="Q763" s="24" t="inlineStr">
        <is>
          <t>36</t>
        </is>
      </c>
    </row>
    <row r="764" ht="24" customHeight="1">
      <c r="A764" s="29" t="inlineStr">
        <is>
          <t>OpenDART_fnlttSinglAcntAll</t>
        </is>
      </c>
      <c r="B764" s="29" t="inlineStr">
        <is>
          <t>00591441</t>
        </is>
      </c>
      <c r="C764" s="29" t="inlineStr">
        <is>
          <t>어보브반도체</t>
        </is>
      </c>
      <c r="D764" s="29" t="inlineStr">
        <is>
          <t>abov</t>
        </is>
      </c>
      <c r="E764" s="29" t="inlineStr">
        <is>
          <t>102120</t>
        </is>
      </c>
      <c r="F764" s="29" t="inlineStr">
        <is>
          <t>2025</t>
        </is>
      </c>
      <c r="G764" s="29" t="inlineStr">
        <is>
          <t>CFS</t>
        </is>
      </c>
      <c r="H764" s="29" t="inlineStr">
        <is>
          <t>BS</t>
        </is>
      </c>
      <c r="I764" s="29" t="inlineStr">
        <is>
          <t>재무상태표</t>
        </is>
      </c>
      <c r="J764" s="29" t="inlineStr">
        <is>
          <t>ifrs-full_NoncontrollingInterests</t>
        </is>
      </c>
      <c r="K764" s="29" t="inlineStr">
        <is>
          <t>비지배지분</t>
        </is>
      </c>
      <c r="L764" s="29" t="inlineStr">
        <is>
          <t>-</t>
        </is>
      </c>
      <c r="M764" s="29" t="inlineStr">
        <is>
          <t>제 20 기</t>
        </is>
      </c>
      <c r="N764" s="29" t="inlineStr">
        <is>
          <t>35567710282.0</t>
        </is>
      </c>
      <c r="O764" s="29" t="inlineStr">
        <is>
          <t>42519475092.0</t>
        </is>
      </c>
      <c r="P764" s="29" t="inlineStr">
        <is>
          <t>KRW</t>
        </is>
      </c>
      <c r="Q764" s="29" t="inlineStr">
        <is>
          <t>37</t>
        </is>
      </c>
    </row>
    <row r="765" ht="24" customHeight="1">
      <c r="A765" s="24" t="inlineStr">
        <is>
          <t>OpenDART_fnlttSinglAcntAll</t>
        </is>
      </c>
      <c r="B765" s="24" t="inlineStr">
        <is>
          <t>00591441</t>
        </is>
      </c>
      <c r="C765" s="24" t="inlineStr">
        <is>
          <t>어보브반도체</t>
        </is>
      </c>
      <c r="D765" s="24" t="inlineStr">
        <is>
          <t>abov</t>
        </is>
      </c>
      <c r="E765" s="24" t="inlineStr">
        <is>
          <t>102120</t>
        </is>
      </c>
      <c r="F765" s="24" t="inlineStr">
        <is>
          <t>2025</t>
        </is>
      </c>
      <c r="G765" s="24" t="inlineStr">
        <is>
          <t>CFS</t>
        </is>
      </c>
      <c r="H765" s="24" t="inlineStr">
        <is>
          <t>BS</t>
        </is>
      </c>
      <c r="I765" s="24" t="inlineStr">
        <is>
          <t>재무상태표</t>
        </is>
      </c>
      <c r="J765" s="24" t="inlineStr">
        <is>
          <t>ifrs-full_EquityAndLiabilities</t>
        </is>
      </c>
      <c r="K765" s="24" t="inlineStr">
        <is>
          <t>자본과부채총계</t>
        </is>
      </c>
      <c r="L765" s="24" t="inlineStr">
        <is>
          <t>-</t>
        </is>
      </c>
      <c r="M765" s="24" t="inlineStr">
        <is>
          <t>제 20 기</t>
        </is>
      </c>
      <c r="N765" s="24" t="inlineStr">
        <is>
          <t>286055183481.0</t>
        </is>
      </c>
      <c r="O765" s="24" t="inlineStr">
        <is>
          <t>293081773182.0</t>
        </is>
      </c>
      <c r="P765" s="24" t="inlineStr">
        <is>
          <t>KRW</t>
        </is>
      </c>
      <c r="Q765" s="24" t="inlineStr">
        <is>
          <t>38</t>
        </is>
      </c>
    </row>
    <row r="766" ht="24" customHeight="1">
      <c r="A766" s="29" t="inlineStr">
        <is>
          <t>OpenDART_fnlttSinglAcntAll</t>
        </is>
      </c>
      <c r="B766" s="29" t="inlineStr">
        <is>
          <t>00591441</t>
        </is>
      </c>
      <c r="C766" s="29" t="inlineStr">
        <is>
          <t>어보브반도체</t>
        </is>
      </c>
      <c r="D766" s="29" t="inlineStr">
        <is>
          <t>abov</t>
        </is>
      </c>
      <c r="E766" s="29" t="inlineStr">
        <is>
          <t>102120</t>
        </is>
      </c>
      <c r="F766" s="29" t="inlineStr">
        <is>
          <t>2025</t>
        </is>
      </c>
      <c r="G766" s="29" t="inlineStr">
        <is>
          <t>CFS</t>
        </is>
      </c>
      <c r="H766" s="29" t="inlineStr">
        <is>
          <t>BS</t>
        </is>
      </c>
      <c r="I766" s="29" t="inlineStr">
        <is>
          <t>재무상태표</t>
        </is>
      </c>
      <c r="J766" s="29" t="inlineStr">
        <is>
          <t>ifrs-full_CurrentLiabilities</t>
        </is>
      </c>
      <c r="K766" s="29" t="inlineStr">
        <is>
          <t>유동부채</t>
        </is>
      </c>
      <c r="L766" s="29" t="inlineStr">
        <is>
          <t>-</t>
        </is>
      </c>
      <c r="M766" s="29" t="inlineStr">
        <is>
          <t>제 20 기</t>
        </is>
      </c>
      <c r="N766" s="29" t="inlineStr">
        <is>
          <t>115769326906.0</t>
        </is>
      </c>
      <c r="O766" s="29" t="inlineStr">
        <is>
          <t>112038701012.0</t>
        </is>
      </c>
      <c r="P766" s="29" t="inlineStr">
        <is>
          <t>KRW</t>
        </is>
      </c>
      <c r="Q766" s="29" t="inlineStr">
        <is>
          <t>40</t>
        </is>
      </c>
    </row>
    <row r="767" ht="24" customHeight="1">
      <c r="A767" s="24" t="inlineStr">
        <is>
          <t>OpenDART_fnlttSinglAcntAll</t>
        </is>
      </c>
      <c r="B767" s="24" t="inlineStr">
        <is>
          <t>00591441</t>
        </is>
      </c>
      <c r="C767" s="24" t="inlineStr">
        <is>
          <t>어보브반도체</t>
        </is>
      </c>
      <c r="D767" s="24" t="inlineStr">
        <is>
          <t>abov</t>
        </is>
      </c>
      <c r="E767" s="24" t="inlineStr">
        <is>
          <t>102120</t>
        </is>
      </c>
      <c r="F767" s="24" t="inlineStr">
        <is>
          <t>2025</t>
        </is>
      </c>
      <c r="G767" s="24" t="inlineStr">
        <is>
          <t>CFS</t>
        </is>
      </c>
      <c r="H767" s="24" t="inlineStr">
        <is>
          <t>BS</t>
        </is>
      </c>
      <c r="I767" s="24" t="inlineStr">
        <is>
          <t>재무상태표</t>
        </is>
      </c>
      <c r="J767" s="24" t="inlineStr">
        <is>
          <t>dart_CurrentFinancialLiabilitiesHeldForTrading</t>
        </is>
      </c>
      <c r="K767" s="24" t="inlineStr">
        <is>
          <t>유동금융부채</t>
        </is>
      </c>
      <c r="L767" s="24" t="inlineStr">
        <is>
          <t>-</t>
        </is>
      </c>
      <c r="M767" s="24" t="inlineStr">
        <is>
          <t>제 20 기</t>
        </is>
      </c>
      <c r="N767" s="24" t="inlineStr">
        <is>
          <t>160824825.0</t>
        </is>
      </c>
      <c r="O767" s="24" t="inlineStr">
        <is>
          <t>765861881.0</t>
        </is>
      </c>
      <c r="P767" s="24" t="inlineStr">
        <is>
          <t>KRW</t>
        </is>
      </c>
      <c r="Q767" s="24" t="inlineStr">
        <is>
          <t>41</t>
        </is>
      </c>
    </row>
    <row r="768" ht="24" customHeight="1">
      <c r="A768" s="29" t="inlineStr">
        <is>
          <t>OpenDART_fnlttSinglAcntAll</t>
        </is>
      </c>
      <c r="B768" s="29" t="inlineStr">
        <is>
          <t>00591441</t>
        </is>
      </c>
      <c r="C768" s="29" t="inlineStr">
        <is>
          <t>어보브반도체</t>
        </is>
      </c>
      <c r="D768" s="29" t="inlineStr">
        <is>
          <t>abov</t>
        </is>
      </c>
      <c r="E768" s="29" t="inlineStr">
        <is>
          <t>102120</t>
        </is>
      </c>
      <c r="F768" s="29" t="inlineStr">
        <is>
          <t>2025</t>
        </is>
      </c>
      <c r="G768" s="29" t="inlineStr">
        <is>
          <t>CFS</t>
        </is>
      </c>
      <c r="H768" s="29" t="inlineStr">
        <is>
          <t>BS</t>
        </is>
      </c>
      <c r="I768" s="29" t="inlineStr">
        <is>
          <t>재무상태표</t>
        </is>
      </c>
      <c r="J768" s="29" t="inlineStr">
        <is>
          <t>-표준계정코드 미사용-</t>
        </is>
      </c>
      <c r="K768" s="29" t="inlineStr">
        <is>
          <t>유동성 전환사채, 신주인수권부사채, 교환사채</t>
        </is>
      </c>
      <c r="L768" s="29" t="inlineStr">
        <is>
          <t>-</t>
        </is>
      </c>
      <c r="M768" s="29" t="inlineStr">
        <is>
          <t>제 20 기</t>
        </is>
      </c>
      <c r="N768" s="29" t="inlineStr">
        <is>
          <t>19871714057.0</t>
        </is>
      </c>
      <c r="O768" s="29" t="inlineStr">
        <is>
          <t>1622362059.0</t>
        </is>
      </c>
      <c r="P768" s="29" t="inlineStr">
        <is>
          <t>KRW</t>
        </is>
      </c>
      <c r="Q768" s="29" t="inlineStr">
        <is>
          <t>42</t>
        </is>
      </c>
    </row>
    <row r="769" ht="24" customHeight="1">
      <c r="A769" s="24" t="inlineStr">
        <is>
          <t>OpenDART_fnlttSinglAcntAll</t>
        </is>
      </c>
      <c r="B769" s="24" t="inlineStr">
        <is>
          <t>00591441</t>
        </is>
      </c>
      <c r="C769" s="24" t="inlineStr">
        <is>
          <t>어보브반도체</t>
        </is>
      </c>
      <c r="D769" s="24" t="inlineStr">
        <is>
          <t>abov</t>
        </is>
      </c>
      <c r="E769" s="24" t="inlineStr">
        <is>
          <t>102120</t>
        </is>
      </c>
      <c r="F769" s="24" t="inlineStr">
        <is>
          <t>2025</t>
        </is>
      </c>
      <c r="G769" s="24" t="inlineStr">
        <is>
          <t>CFS</t>
        </is>
      </c>
      <c r="H769" s="24" t="inlineStr">
        <is>
          <t>BS</t>
        </is>
      </c>
      <c r="I769" s="24" t="inlineStr">
        <is>
          <t>재무상태표</t>
        </is>
      </c>
      <c r="J769" s="24" t="inlineStr">
        <is>
          <t>ifrs-full_CurrentLeaseLiabilities</t>
        </is>
      </c>
      <c r="K769" s="24" t="inlineStr">
        <is>
          <t>유동성리스부채</t>
        </is>
      </c>
      <c r="L769" s="24" t="inlineStr">
        <is>
          <t>-</t>
        </is>
      </c>
      <c r="M769" s="24" t="inlineStr">
        <is>
          <t>제 20 기</t>
        </is>
      </c>
      <c r="N769" s="24" t="inlineStr">
        <is>
          <t>965663149.0</t>
        </is>
      </c>
      <c r="O769" s="24" t="inlineStr">
        <is>
          <t>903511924.0</t>
        </is>
      </c>
      <c r="P769" s="24" t="inlineStr">
        <is>
          <t>KRW</t>
        </is>
      </c>
      <c r="Q769" s="24" t="inlineStr">
        <is>
          <t>43</t>
        </is>
      </c>
    </row>
    <row r="770" ht="24" customHeight="1">
      <c r="A770" s="29" t="inlineStr">
        <is>
          <t>OpenDART_fnlttSinglAcntAll</t>
        </is>
      </c>
      <c r="B770" s="29" t="inlineStr">
        <is>
          <t>00591441</t>
        </is>
      </c>
      <c r="C770" s="29" t="inlineStr">
        <is>
          <t>어보브반도체</t>
        </is>
      </c>
      <c r="D770" s="29" t="inlineStr">
        <is>
          <t>abov</t>
        </is>
      </c>
      <c r="E770" s="29" t="inlineStr">
        <is>
          <t>102120</t>
        </is>
      </c>
      <c r="F770" s="29" t="inlineStr">
        <is>
          <t>2025</t>
        </is>
      </c>
      <c r="G770" s="29" t="inlineStr">
        <is>
          <t>CFS</t>
        </is>
      </c>
      <c r="H770" s="29" t="inlineStr">
        <is>
          <t>BS</t>
        </is>
      </c>
      <c r="I770" s="29" t="inlineStr">
        <is>
          <t>재무상태표</t>
        </is>
      </c>
      <c r="J770" s="29" t="inlineStr">
        <is>
          <t>ifrs-full_CurrentPortionOfLongtermBorrowings</t>
        </is>
      </c>
      <c r="K770" s="29" t="inlineStr">
        <is>
          <t>유동성장기차입금</t>
        </is>
      </c>
      <c r="L770" s="29" t="inlineStr">
        <is>
          <t>-</t>
        </is>
      </c>
      <c r="M770" s="29" t="inlineStr">
        <is>
          <t>제 20 기</t>
        </is>
      </c>
      <c r="N770" s="29" t="inlineStr">
        <is>
          <t>2931200000.0</t>
        </is>
      </c>
      <c r="O770" s="29" t="inlineStr">
        <is>
          <t>18900057154.0</t>
        </is>
      </c>
      <c r="P770" s="29" t="inlineStr">
        <is>
          <t>KRW</t>
        </is>
      </c>
      <c r="Q770" s="29" t="inlineStr">
        <is>
          <t>44</t>
        </is>
      </c>
    </row>
    <row r="771" ht="24" customHeight="1">
      <c r="A771" s="24" t="inlineStr">
        <is>
          <t>OpenDART_fnlttSinglAcntAll</t>
        </is>
      </c>
      <c r="B771" s="24" t="inlineStr">
        <is>
          <t>00591441</t>
        </is>
      </c>
      <c r="C771" s="24" t="inlineStr">
        <is>
          <t>어보브반도체</t>
        </is>
      </c>
      <c r="D771" s="24" t="inlineStr">
        <is>
          <t>abov</t>
        </is>
      </c>
      <c r="E771" s="24" t="inlineStr">
        <is>
          <t>102120</t>
        </is>
      </c>
      <c r="F771" s="24" t="inlineStr">
        <is>
          <t>2025</t>
        </is>
      </c>
      <c r="G771" s="24" t="inlineStr">
        <is>
          <t>CFS</t>
        </is>
      </c>
      <c r="H771" s="24" t="inlineStr">
        <is>
          <t>BS</t>
        </is>
      </c>
      <c r="I771" s="24" t="inlineStr">
        <is>
          <t>재무상태표</t>
        </is>
      </c>
      <c r="J771" s="24" t="inlineStr">
        <is>
          <t>ifrs-full_CurrentTaxLiabilities</t>
        </is>
      </c>
      <c r="K771" s="24" t="inlineStr">
        <is>
          <t>당기법인세부채</t>
        </is>
      </c>
      <c r="L771" s="24" t="inlineStr">
        <is>
          <t>-</t>
        </is>
      </c>
      <c r="M771" s="24" t="inlineStr">
        <is>
          <t>제 20 기</t>
        </is>
      </c>
      <c r="N771" s="24" t="inlineStr">
        <is>
          <t>1970355065.0</t>
        </is>
      </c>
      <c r="O771" s="24" t="inlineStr">
        <is>
          <t>2248965728.0</t>
        </is>
      </c>
      <c r="P771" s="24" t="inlineStr">
        <is>
          <t>KRW</t>
        </is>
      </c>
      <c r="Q771" s="24" t="inlineStr">
        <is>
          <t>45</t>
        </is>
      </c>
    </row>
    <row r="772" ht="24" customHeight="1">
      <c r="A772" s="29" t="inlineStr">
        <is>
          <t>OpenDART_fnlttSinglAcntAll</t>
        </is>
      </c>
      <c r="B772" s="29" t="inlineStr">
        <is>
          <t>00591441</t>
        </is>
      </c>
      <c r="C772" s="29" t="inlineStr">
        <is>
          <t>어보브반도체</t>
        </is>
      </c>
      <c r="D772" s="29" t="inlineStr">
        <is>
          <t>abov</t>
        </is>
      </c>
      <c r="E772" s="29" t="inlineStr">
        <is>
          <t>102120</t>
        </is>
      </c>
      <c r="F772" s="29" t="inlineStr">
        <is>
          <t>2025</t>
        </is>
      </c>
      <c r="G772" s="29" t="inlineStr">
        <is>
          <t>CFS</t>
        </is>
      </c>
      <c r="H772" s="29" t="inlineStr">
        <is>
          <t>BS</t>
        </is>
      </c>
      <c r="I772" s="29" t="inlineStr">
        <is>
          <t>재무상태표</t>
        </is>
      </c>
      <c r="J772" s="29" t="inlineStr">
        <is>
          <t>ifrs-full_OtherCurrentLiabilities</t>
        </is>
      </c>
      <c r="K772" s="29" t="inlineStr">
        <is>
          <t>기타유동부채</t>
        </is>
      </c>
      <c r="L772" s="29" t="inlineStr">
        <is>
          <t>-</t>
        </is>
      </c>
      <c r="M772" s="29" t="inlineStr">
        <is>
          <t>제 20 기</t>
        </is>
      </c>
      <c r="N772" s="29" t="inlineStr">
        <is>
          <t>1508584785.0</t>
        </is>
      </c>
      <c r="O772" s="29" t="inlineStr">
        <is>
          <t>1025092052.0</t>
        </is>
      </c>
      <c r="P772" s="29" t="inlineStr">
        <is>
          <t>KRW</t>
        </is>
      </c>
      <c r="Q772" s="29" t="inlineStr">
        <is>
          <t>46</t>
        </is>
      </c>
    </row>
    <row r="773" ht="24" customHeight="1">
      <c r="A773" s="24" t="inlineStr">
        <is>
          <t>OpenDART_fnlttSinglAcntAll</t>
        </is>
      </c>
      <c r="B773" s="24" t="inlineStr">
        <is>
          <t>00591441</t>
        </is>
      </c>
      <c r="C773" s="24" t="inlineStr">
        <is>
          <t>어보브반도체</t>
        </is>
      </c>
      <c r="D773" s="24" t="inlineStr">
        <is>
          <t>abov</t>
        </is>
      </c>
      <c r="E773" s="24" t="inlineStr">
        <is>
          <t>102120</t>
        </is>
      </c>
      <c r="F773" s="24" t="inlineStr">
        <is>
          <t>2025</t>
        </is>
      </c>
      <c r="G773" s="24" t="inlineStr">
        <is>
          <t>CFS</t>
        </is>
      </c>
      <c r="H773" s="24" t="inlineStr">
        <is>
          <t>BS</t>
        </is>
      </c>
      <c r="I773" s="24" t="inlineStr">
        <is>
          <t>재무상태표</t>
        </is>
      </c>
      <c r="J773" s="24" t="inlineStr">
        <is>
          <t>ifrs-full_OtherNonfinancialLiabilities</t>
        </is>
      </c>
      <c r="K773" s="24" t="inlineStr">
        <is>
          <t>기타채무</t>
        </is>
      </c>
      <c r="L773" s="24" t="inlineStr">
        <is>
          <t>-</t>
        </is>
      </c>
      <c r="M773" s="24" t="inlineStr">
        <is>
          <t>제 20 기</t>
        </is>
      </c>
      <c r="N773" s="24" t="inlineStr">
        <is>
          <t>11831144892.0</t>
        </is>
      </c>
      <c r="O773" s="24" t="inlineStr">
        <is>
          <t>11730719815.0</t>
        </is>
      </c>
      <c r="P773" s="24" t="inlineStr">
        <is>
          <t>KRW</t>
        </is>
      </c>
      <c r="Q773" s="24" t="inlineStr">
        <is>
          <t>47</t>
        </is>
      </c>
    </row>
    <row r="774" ht="24" customHeight="1">
      <c r="A774" s="29" t="inlineStr">
        <is>
          <t>OpenDART_fnlttSinglAcntAll</t>
        </is>
      </c>
      <c r="B774" s="29" t="inlineStr">
        <is>
          <t>00591441</t>
        </is>
      </c>
      <c r="C774" s="29" t="inlineStr">
        <is>
          <t>어보브반도체</t>
        </is>
      </c>
      <c r="D774" s="29" t="inlineStr">
        <is>
          <t>abov</t>
        </is>
      </c>
      <c r="E774" s="29" t="inlineStr">
        <is>
          <t>102120</t>
        </is>
      </c>
      <c r="F774" s="29" t="inlineStr">
        <is>
          <t>2025</t>
        </is>
      </c>
      <c r="G774" s="29" t="inlineStr">
        <is>
          <t>CFS</t>
        </is>
      </c>
      <c r="H774" s="29" t="inlineStr">
        <is>
          <t>BS</t>
        </is>
      </c>
      <c r="I774" s="29" t="inlineStr">
        <is>
          <t>재무상태표</t>
        </is>
      </c>
      <c r="J774" s="29" t="inlineStr">
        <is>
          <t>ifrs-full_ShorttermBorrowings</t>
        </is>
      </c>
      <c r="K774" s="29" t="inlineStr">
        <is>
          <t>단기차입금</t>
        </is>
      </c>
      <c r="L774" s="29" t="inlineStr">
        <is>
          <t>-</t>
        </is>
      </c>
      <c r="M774" s="29" t="inlineStr">
        <is>
          <t>제 20 기</t>
        </is>
      </c>
      <c r="N774" s="29" t="inlineStr">
        <is>
          <t>57797746598.0</t>
        </is>
      </c>
      <c r="O774" s="29" t="inlineStr">
        <is>
          <t>66031000000.0</t>
        </is>
      </c>
      <c r="P774" s="29" t="inlineStr">
        <is>
          <t>KRW</t>
        </is>
      </c>
      <c r="Q774" s="29" t="inlineStr">
        <is>
          <t>48</t>
        </is>
      </c>
    </row>
    <row r="775" ht="24" customHeight="1">
      <c r="A775" s="24" t="inlineStr">
        <is>
          <t>OpenDART_fnlttSinglAcntAll</t>
        </is>
      </c>
      <c r="B775" s="24" t="inlineStr">
        <is>
          <t>00591441</t>
        </is>
      </c>
      <c r="C775" s="24" t="inlineStr">
        <is>
          <t>어보브반도체</t>
        </is>
      </c>
      <c r="D775" s="24" t="inlineStr">
        <is>
          <t>abov</t>
        </is>
      </c>
      <c r="E775" s="24" t="inlineStr">
        <is>
          <t>102120</t>
        </is>
      </c>
      <c r="F775" s="24" t="inlineStr">
        <is>
          <t>2025</t>
        </is>
      </c>
      <c r="G775" s="24" t="inlineStr">
        <is>
          <t>CFS</t>
        </is>
      </c>
      <c r="H775" s="24" t="inlineStr">
        <is>
          <t>BS</t>
        </is>
      </c>
      <c r="I775" s="24" t="inlineStr">
        <is>
          <t>재무상태표</t>
        </is>
      </c>
      <c r="J775" s="24" t="inlineStr">
        <is>
          <t>ifrs-full_TradeAndOtherCurrentPayables</t>
        </is>
      </c>
      <c r="K775" s="24" t="inlineStr">
        <is>
          <t>매입채무</t>
        </is>
      </c>
      <c r="L775" s="24" t="inlineStr">
        <is>
          <t>-</t>
        </is>
      </c>
      <c r="M775" s="24" t="inlineStr">
        <is>
          <t>제 20 기</t>
        </is>
      </c>
      <c r="N775" s="24" t="inlineStr">
        <is>
          <t>18732093535.0</t>
        </is>
      </c>
      <c r="O775" s="24" t="inlineStr">
        <is>
          <t>8811130399.0</t>
        </is>
      </c>
      <c r="P775" s="24" t="inlineStr">
        <is>
          <t>KRW</t>
        </is>
      </c>
      <c r="Q775" s="24" t="inlineStr">
        <is>
          <t>49</t>
        </is>
      </c>
    </row>
    <row r="776" ht="24" customHeight="1">
      <c r="A776" s="29" t="inlineStr">
        <is>
          <t>OpenDART_fnlttSinglAcntAll</t>
        </is>
      </c>
      <c r="B776" s="29" t="inlineStr">
        <is>
          <t>00591441</t>
        </is>
      </c>
      <c r="C776" s="29" t="inlineStr">
        <is>
          <t>어보브반도체</t>
        </is>
      </c>
      <c r="D776" s="29" t="inlineStr">
        <is>
          <t>abov</t>
        </is>
      </c>
      <c r="E776" s="29" t="inlineStr">
        <is>
          <t>102120</t>
        </is>
      </c>
      <c r="F776" s="29" t="inlineStr">
        <is>
          <t>2025</t>
        </is>
      </c>
      <c r="G776" s="29" t="inlineStr">
        <is>
          <t>CFS</t>
        </is>
      </c>
      <c r="H776" s="29" t="inlineStr">
        <is>
          <t>BS</t>
        </is>
      </c>
      <c r="I776" s="29" t="inlineStr">
        <is>
          <t>재무상태표</t>
        </is>
      </c>
      <c r="J776" s="29" t="inlineStr">
        <is>
          <t>ifrs-full_Liabilities</t>
        </is>
      </c>
      <c r="K776" s="29" t="inlineStr">
        <is>
          <t>부채총계</t>
        </is>
      </c>
      <c r="L776" s="29" t="inlineStr">
        <is>
          <t>-</t>
        </is>
      </c>
      <c r="M776" s="29" t="inlineStr">
        <is>
          <t>제 20 기</t>
        </is>
      </c>
      <c r="N776" s="29" t="inlineStr">
        <is>
          <t>131612644063.0</t>
        </is>
      </c>
      <c r="O776" s="29" t="inlineStr">
        <is>
          <t>138500865028.0</t>
        </is>
      </c>
      <c r="P776" s="29" t="inlineStr">
        <is>
          <t>KRW</t>
        </is>
      </c>
      <c r="Q776" s="29" t="inlineStr">
        <is>
          <t>50</t>
        </is>
      </c>
    </row>
    <row r="777" ht="24" customHeight="1">
      <c r="A777" s="24" t="inlineStr">
        <is>
          <t>OpenDART_fnlttSinglAcntAll</t>
        </is>
      </c>
      <c r="B777" s="24" t="inlineStr">
        <is>
          <t>00591441</t>
        </is>
      </c>
      <c r="C777" s="24" t="inlineStr">
        <is>
          <t>어보브반도체</t>
        </is>
      </c>
      <c r="D777" s="24" t="inlineStr">
        <is>
          <t>abov</t>
        </is>
      </c>
      <c r="E777" s="24" t="inlineStr">
        <is>
          <t>102120</t>
        </is>
      </c>
      <c r="F777" s="24" t="inlineStr">
        <is>
          <t>2025</t>
        </is>
      </c>
      <c r="G777" s="24" t="inlineStr">
        <is>
          <t>CFS</t>
        </is>
      </c>
      <c r="H777" s="24" t="inlineStr">
        <is>
          <t>BS</t>
        </is>
      </c>
      <c r="I777" s="24" t="inlineStr">
        <is>
          <t>재무상태표</t>
        </is>
      </c>
      <c r="J777" s="24" t="inlineStr">
        <is>
          <t>ifrs-full_NoncurrentLiabilities</t>
        </is>
      </c>
      <c r="K777" s="24" t="inlineStr">
        <is>
          <t>비유동부채</t>
        </is>
      </c>
      <c r="L777" s="24" t="inlineStr">
        <is>
          <t>-</t>
        </is>
      </c>
      <c r="M777" s="24" t="inlineStr">
        <is>
          <t>제 20 기</t>
        </is>
      </c>
      <c r="N777" s="24" t="inlineStr">
        <is>
          <t>15843317157.0</t>
        </is>
      </c>
      <c r="O777" s="24" t="inlineStr">
        <is>
          <t>26462164016.0</t>
        </is>
      </c>
      <c r="P777" s="24" t="inlineStr">
        <is>
          <t>KRW</t>
        </is>
      </c>
      <c r="Q777" s="24" t="inlineStr">
        <is>
          <t>51</t>
        </is>
      </c>
    </row>
    <row r="778" ht="24" customHeight="1">
      <c r="A778" s="29" t="inlineStr">
        <is>
          <t>OpenDART_fnlttSinglAcntAll</t>
        </is>
      </c>
      <c r="B778" s="29" t="inlineStr">
        <is>
          <t>00591441</t>
        </is>
      </c>
      <c r="C778" s="29" t="inlineStr">
        <is>
          <t>어보브반도체</t>
        </is>
      </c>
      <c r="D778" s="29" t="inlineStr">
        <is>
          <t>abov</t>
        </is>
      </c>
      <c r="E778" s="29" t="inlineStr">
        <is>
          <t>102120</t>
        </is>
      </c>
      <c r="F778" s="29" t="inlineStr">
        <is>
          <t>2025</t>
        </is>
      </c>
      <c r="G778" s="29" t="inlineStr">
        <is>
          <t>CFS</t>
        </is>
      </c>
      <c r="H778" s="29" t="inlineStr">
        <is>
          <t>BS</t>
        </is>
      </c>
      <c r="I778" s="29" t="inlineStr">
        <is>
          <t>재무상태표</t>
        </is>
      </c>
      <c r="J778" s="29" t="inlineStr">
        <is>
          <t>dart_LongTermBorrowingsGross</t>
        </is>
      </c>
      <c r="K778" s="29" t="inlineStr">
        <is>
          <t>장기차입금</t>
        </is>
      </c>
      <c r="L778" s="29" t="inlineStr">
        <is>
          <t>-</t>
        </is>
      </c>
      <c r="M778" s="29" t="inlineStr">
        <is>
          <t>제 20 기</t>
        </is>
      </c>
      <c r="N778" s="29" t="inlineStr">
        <is>
          <t>13125000000.0</t>
        </is>
      </c>
      <c r="O778" s="29" t="inlineStr">
        <is>
          <t>5514510000.0</t>
        </is>
      </c>
      <c r="P778" s="29" t="inlineStr">
        <is>
          <t>KRW</t>
        </is>
      </c>
      <c r="Q778" s="29" t="inlineStr">
        <is>
          <t>52</t>
        </is>
      </c>
    </row>
    <row r="779" ht="24" customHeight="1">
      <c r="A779" s="24" t="inlineStr">
        <is>
          <t>OpenDART_fnlttSinglAcntAll</t>
        </is>
      </c>
      <c r="B779" s="24" t="inlineStr">
        <is>
          <t>00591441</t>
        </is>
      </c>
      <c r="C779" s="24" t="inlineStr">
        <is>
          <t>어보브반도체</t>
        </is>
      </c>
      <c r="D779" s="24" t="inlineStr">
        <is>
          <t>abov</t>
        </is>
      </c>
      <c r="E779" s="24" t="inlineStr">
        <is>
          <t>102120</t>
        </is>
      </c>
      <c r="F779" s="24" t="inlineStr">
        <is>
          <t>2025</t>
        </is>
      </c>
      <c r="G779" s="24" t="inlineStr">
        <is>
          <t>CFS</t>
        </is>
      </c>
      <c r="H779" s="24" t="inlineStr">
        <is>
          <t>BS</t>
        </is>
      </c>
      <c r="I779" s="24" t="inlineStr">
        <is>
          <t>재무상태표</t>
        </is>
      </c>
      <c r="J779" s="24" t="inlineStr">
        <is>
          <t>dart_PresentValueOfDefinedBenefitObligation</t>
        </is>
      </c>
      <c r="K779" s="24" t="inlineStr">
        <is>
          <t>순확정급여채무</t>
        </is>
      </c>
      <c r="L779" s="24" t="inlineStr">
        <is>
          <t>-</t>
        </is>
      </c>
      <c r="M779" s="24" t="inlineStr">
        <is>
          <t>제 20 기</t>
        </is>
      </c>
      <c r="N779" s="24" t="inlineStr">
        <is>
          <t>해당 없음</t>
        </is>
      </c>
      <c r="O779" s="24" t="inlineStr">
        <is>
          <t>해당 없음</t>
        </is>
      </c>
      <c r="P779" s="24" t="inlineStr">
        <is>
          <t>KRW</t>
        </is>
      </c>
      <c r="Q779" s="24" t="inlineStr">
        <is>
          <t>53</t>
        </is>
      </c>
    </row>
    <row r="780" ht="24" customHeight="1">
      <c r="A780" s="29" t="inlineStr">
        <is>
          <t>OpenDART_fnlttSinglAcntAll</t>
        </is>
      </c>
      <c r="B780" s="29" t="inlineStr">
        <is>
          <t>00591441</t>
        </is>
      </c>
      <c r="C780" s="29" t="inlineStr">
        <is>
          <t>어보브반도체</t>
        </is>
      </c>
      <c r="D780" s="29" t="inlineStr">
        <is>
          <t>abov</t>
        </is>
      </c>
      <c r="E780" s="29" t="inlineStr">
        <is>
          <t>102120</t>
        </is>
      </c>
      <c r="F780" s="29" t="inlineStr">
        <is>
          <t>2025</t>
        </is>
      </c>
      <c r="G780" s="29" t="inlineStr">
        <is>
          <t>CFS</t>
        </is>
      </c>
      <c r="H780" s="29" t="inlineStr">
        <is>
          <t>BS</t>
        </is>
      </c>
      <c r="I780" s="29" t="inlineStr">
        <is>
          <t>재무상태표</t>
        </is>
      </c>
      <c r="J780" s="29" t="inlineStr">
        <is>
          <t>-표준계정코드 미사용-</t>
        </is>
      </c>
      <c r="K780" s="29" t="inlineStr">
        <is>
          <t>전환사채, 신주인수권부사채, 교환사채</t>
        </is>
      </c>
      <c r="L780" s="29" t="inlineStr">
        <is>
          <t>-</t>
        </is>
      </c>
      <c r="M780" s="29" t="inlineStr">
        <is>
          <t>제 20 기</t>
        </is>
      </c>
      <c r="N780" s="29" t="inlineStr">
        <is>
          <t>해당 없음</t>
        </is>
      </c>
      <c r="O780" s="29" t="inlineStr">
        <is>
          <t>18686111082.0</t>
        </is>
      </c>
      <c r="P780" s="29" t="inlineStr">
        <is>
          <t>KRW</t>
        </is>
      </c>
      <c r="Q780" s="29" t="inlineStr">
        <is>
          <t>54</t>
        </is>
      </c>
    </row>
    <row r="781" ht="24" customHeight="1">
      <c r="A781" s="24" t="inlineStr">
        <is>
          <t>OpenDART_fnlttSinglAcntAll</t>
        </is>
      </c>
      <c r="B781" s="24" t="inlineStr">
        <is>
          <t>00591441</t>
        </is>
      </c>
      <c r="C781" s="24" t="inlineStr">
        <is>
          <t>어보브반도체</t>
        </is>
      </c>
      <c r="D781" s="24" t="inlineStr">
        <is>
          <t>abov</t>
        </is>
      </c>
      <c r="E781" s="24" t="inlineStr">
        <is>
          <t>102120</t>
        </is>
      </c>
      <c r="F781" s="24" t="inlineStr">
        <is>
          <t>2025</t>
        </is>
      </c>
      <c r="G781" s="24" t="inlineStr">
        <is>
          <t>CFS</t>
        </is>
      </c>
      <c r="H781" s="24" t="inlineStr">
        <is>
          <t>BS</t>
        </is>
      </c>
      <c r="I781" s="24" t="inlineStr">
        <is>
          <t>재무상태표</t>
        </is>
      </c>
      <c r="J781" s="24" t="inlineStr">
        <is>
          <t>ifrs-full_NoncurrentLeaseLiabilities</t>
        </is>
      </c>
      <c r="K781" s="24" t="inlineStr">
        <is>
          <t>비유동리스부채</t>
        </is>
      </c>
      <c r="L781" s="24" t="inlineStr">
        <is>
          <t>-</t>
        </is>
      </c>
      <c r="M781" s="24" t="inlineStr">
        <is>
          <t>제 20 기</t>
        </is>
      </c>
      <c r="N781" s="24" t="inlineStr">
        <is>
          <t>551819973.0</t>
        </is>
      </c>
      <c r="O781" s="24" t="inlineStr">
        <is>
          <t>815477176.0</t>
        </is>
      </c>
      <c r="P781" s="24" t="inlineStr">
        <is>
          <t>KRW</t>
        </is>
      </c>
      <c r="Q781" s="24" t="inlineStr">
        <is>
          <t>55</t>
        </is>
      </c>
    </row>
    <row r="782" ht="24" customHeight="1">
      <c r="A782" s="29" t="inlineStr">
        <is>
          <t>OpenDART_fnlttSinglAcntAll</t>
        </is>
      </c>
      <c r="B782" s="29" t="inlineStr">
        <is>
          <t>00591441</t>
        </is>
      </c>
      <c r="C782" s="29" t="inlineStr">
        <is>
          <t>어보브반도체</t>
        </is>
      </c>
      <c r="D782" s="29" t="inlineStr">
        <is>
          <t>abov</t>
        </is>
      </c>
      <c r="E782" s="29" t="inlineStr">
        <is>
          <t>102120</t>
        </is>
      </c>
      <c r="F782" s="29" t="inlineStr">
        <is>
          <t>2025</t>
        </is>
      </c>
      <c r="G782" s="29" t="inlineStr">
        <is>
          <t>CFS</t>
        </is>
      </c>
      <c r="H782" s="29" t="inlineStr">
        <is>
          <t>BS</t>
        </is>
      </c>
      <c r="I782" s="29" t="inlineStr">
        <is>
          <t>재무상태표</t>
        </is>
      </c>
      <c r="J782" s="29" t="inlineStr">
        <is>
          <t>ifrs-full_OtherNoncurrentFinancialLiabilities</t>
        </is>
      </c>
      <c r="K782" s="29" t="inlineStr">
        <is>
          <t>기타비유동금융부채</t>
        </is>
      </c>
      <c r="L782" s="29" t="inlineStr">
        <is>
          <t>-</t>
        </is>
      </c>
      <c r="M782" s="29" t="inlineStr">
        <is>
          <t>제 20 기</t>
        </is>
      </c>
      <c r="N782" s="29" t="inlineStr">
        <is>
          <t>1541567482.0</t>
        </is>
      </c>
      <c r="O782" s="29" t="inlineStr">
        <is>
          <t>948418255.0</t>
        </is>
      </c>
      <c r="P782" s="29" t="inlineStr">
        <is>
          <t>KRW</t>
        </is>
      </c>
      <c r="Q782" s="29" t="inlineStr">
        <is>
          <t>56</t>
        </is>
      </c>
    </row>
    <row r="783" ht="24" customHeight="1">
      <c r="A783" s="24" t="inlineStr">
        <is>
          <t>OpenDART_fnlttSinglAcntAll</t>
        </is>
      </c>
      <c r="B783" s="24" t="inlineStr">
        <is>
          <t>00591441</t>
        </is>
      </c>
      <c r="C783" s="24" t="inlineStr">
        <is>
          <t>어보브반도체</t>
        </is>
      </c>
      <c r="D783" s="24" t="inlineStr">
        <is>
          <t>abov</t>
        </is>
      </c>
      <c r="E783" s="24" t="inlineStr">
        <is>
          <t>102120</t>
        </is>
      </c>
      <c r="F783" s="24" t="inlineStr">
        <is>
          <t>2025</t>
        </is>
      </c>
      <c r="G783" s="24" t="inlineStr">
        <is>
          <t>CFS</t>
        </is>
      </c>
      <c r="H783" s="24" t="inlineStr">
        <is>
          <t>BS</t>
        </is>
      </c>
      <c r="I783" s="24" t="inlineStr">
        <is>
          <t>재무상태표</t>
        </is>
      </c>
      <c r="J783" s="24" t="inlineStr">
        <is>
          <t>ifrs-full_OtherNoncurrentLiabilities</t>
        </is>
      </c>
      <c r="K783" s="24" t="inlineStr">
        <is>
          <t>기타비유동부채</t>
        </is>
      </c>
      <c r="L783" s="24" t="inlineStr">
        <is>
          <t>-</t>
        </is>
      </c>
      <c r="M783" s="24" t="inlineStr">
        <is>
          <t>제 20 기</t>
        </is>
      </c>
      <c r="N783" s="24" t="inlineStr">
        <is>
          <t>624929702.0</t>
        </is>
      </c>
      <c r="O783" s="24" t="inlineStr">
        <is>
          <t>497647503.0</t>
        </is>
      </c>
      <c r="P783" s="24" t="inlineStr">
        <is>
          <t>KRW</t>
        </is>
      </c>
      <c r="Q783" s="24" t="inlineStr">
        <is>
          <t>57</t>
        </is>
      </c>
    </row>
    <row r="784" ht="24" customHeight="1">
      <c r="A784" s="29" t="inlineStr">
        <is>
          <t>OpenDART_fnlttSinglAcntAll</t>
        </is>
      </c>
      <c r="B784" s="29" t="inlineStr">
        <is>
          <t>00591441</t>
        </is>
      </c>
      <c r="C784" s="29" t="inlineStr">
        <is>
          <t>어보브반도체</t>
        </is>
      </c>
      <c r="D784" s="29" t="inlineStr">
        <is>
          <t>abov</t>
        </is>
      </c>
      <c r="E784" s="29" t="inlineStr">
        <is>
          <t>102120</t>
        </is>
      </c>
      <c r="F784" s="29" t="inlineStr">
        <is>
          <t>2025</t>
        </is>
      </c>
      <c r="G784" s="29" t="inlineStr">
        <is>
          <t>CFS</t>
        </is>
      </c>
      <c r="H784" s="29" t="inlineStr">
        <is>
          <t>CIS</t>
        </is>
      </c>
      <c r="I784" s="29" t="inlineStr">
        <is>
          <t>포괄손익계산서</t>
        </is>
      </c>
      <c r="J784" s="29" t="inlineStr">
        <is>
          <t>dart_OperatingIncomeLoss</t>
        </is>
      </c>
      <c r="K784" s="29" t="inlineStr">
        <is>
          <t>영업이익(손실)</t>
        </is>
      </c>
      <c r="L784" s="29" t="inlineStr">
        <is>
          <t>-</t>
        </is>
      </c>
      <c r="M784" s="29" t="inlineStr">
        <is>
          <t>제 20 기</t>
        </is>
      </c>
      <c r="N784" s="29" t="inlineStr">
        <is>
          <t>10148185090.0</t>
        </is>
      </c>
      <c r="O784" s="29" t="inlineStr">
        <is>
          <t>-5100374191.0</t>
        </is>
      </c>
      <c r="P784" s="29" t="inlineStr">
        <is>
          <t>KRW</t>
        </is>
      </c>
      <c r="Q784" s="29" t="inlineStr">
        <is>
          <t>6</t>
        </is>
      </c>
    </row>
    <row r="785" ht="24" customHeight="1">
      <c r="A785" s="24" t="inlineStr">
        <is>
          <t>OpenDART_fnlttSinglAcntAll</t>
        </is>
      </c>
      <c r="B785" s="24" t="inlineStr">
        <is>
          <t>00591441</t>
        </is>
      </c>
      <c r="C785" s="24" t="inlineStr">
        <is>
          <t>어보브반도체</t>
        </is>
      </c>
      <c r="D785" s="24" t="inlineStr">
        <is>
          <t>abov</t>
        </is>
      </c>
      <c r="E785" s="24" t="inlineStr">
        <is>
          <t>102120</t>
        </is>
      </c>
      <c r="F785" s="24" t="inlineStr">
        <is>
          <t>2025</t>
        </is>
      </c>
      <c r="G785" s="24" t="inlineStr">
        <is>
          <t>CFS</t>
        </is>
      </c>
      <c r="H785" s="24" t="inlineStr">
        <is>
          <t>CIS</t>
        </is>
      </c>
      <c r="I785" s="24" t="inlineStr">
        <is>
          <t>포괄손익계산서</t>
        </is>
      </c>
      <c r="J785" s="24" t="inlineStr">
        <is>
          <t>dart_OtherGains</t>
        </is>
      </c>
      <c r="K785" s="24" t="inlineStr">
        <is>
          <t>기타수익</t>
        </is>
      </c>
      <c r="L785" s="24" t="inlineStr">
        <is>
          <t>-</t>
        </is>
      </c>
      <c r="M785" s="24" t="inlineStr">
        <is>
          <t>제 20 기</t>
        </is>
      </c>
      <c r="N785" s="24" t="inlineStr">
        <is>
          <t>4513470370.0</t>
        </is>
      </c>
      <c r="O785" s="24" t="inlineStr">
        <is>
          <t>1574023230.0</t>
        </is>
      </c>
      <c r="P785" s="24" t="inlineStr">
        <is>
          <t>KRW</t>
        </is>
      </c>
      <c r="Q785" s="24" t="inlineStr">
        <is>
          <t>7</t>
        </is>
      </c>
    </row>
    <row r="786" ht="24" customHeight="1">
      <c r="A786" s="29" t="inlineStr">
        <is>
          <t>OpenDART_fnlttSinglAcntAll</t>
        </is>
      </c>
      <c r="B786" s="29" t="inlineStr">
        <is>
          <t>00591441</t>
        </is>
      </c>
      <c r="C786" s="29" t="inlineStr">
        <is>
          <t>어보브반도체</t>
        </is>
      </c>
      <c r="D786" s="29" t="inlineStr">
        <is>
          <t>abov</t>
        </is>
      </c>
      <c r="E786" s="29" t="inlineStr">
        <is>
          <t>102120</t>
        </is>
      </c>
      <c r="F786" s="29" t="inlineStr">
        <is>
          <t>2025</t>
        </is>
      </c>
      <c r="G786" s="29" t="inlineStr">
        <is>
          <t>CFS</t>
        </is>
      </c>
      <c r="H786" s="29" t="inlineStr">
        <is>
          <t>CIS</t>
        </is>
      </c>
      <c r="I786" s="29" t="inlineStr">
        <is>
          <t>포괄손익계산서</t>
        </is>
      </c>
      <c r="J786" s="29" t="inlineStr">
        <is>
          <t>dart_OtherLosses</t>
        </is>
      </c>
      <c r="K786" s="29" t="inlineStr">
        <is>
          <t>기타비용</t>
        </is>
      </c>
      <c r="L786" s="29" t="inlineStr">
        <is>
          <t>-</t>
        </is>
      </c>
      <c r="M786" s="29" t="inlineStr">
        <is>
          <t>제 20 기</t>
        </is>
      </c>
      <c r="N786" s="29" t="inlineStr">
        <is>
          <t>6200560551.0</t>
        </is>
      </c>
      <c r="O786" s="29" t="inlineStr">
        <is>
          <t>7073835763.0</t>
        </is>
      </c>
      <c r="P786" s="29" t="inlineStr">
        <is>
          <t>KRW</t>
        </is>
      </c>
      <c r="Q786" s="29" t="inlineStr">
        <is>
          <t>8</t>
        </is>
      </c>
    </row>
    <row r="787" ht="24" customHeight="1">
      <c r="A787" s="24" t="inlineStr">
        <is>
          <t>OpenDART_fnlttSinglAcntAll</t>
        </is>
      </c>
      <c r="B787" s="24" t="inlineStr">
        <is>
          <t>00591441</t>
        </is>
      </c>
      <c r="C787" s="24" t="inlineStr">
        <is>
          <t>어보브반도체</t>
        </is>
      </c>
      <c r="D787" s="24" t="inlineStr">
        <is>
          <t>abov</t>
        </is>
      </c>
      <c r="E787" s="24" t="inlineStr">
        <is>
          <t>102120</t>
        </is>
      </c>
      <c r="F787" s="24" t="inlineStr">
        <is>
          <t>2025</t>
        </is>
      </c>
      <c r="G787" s="24" t="inlineStr">
        <is>
          <t>CFS</t>
        </is>
      </c>
      <c r="H787" s="24" t="inlineStr">
        <is>
          <t>CIS</t>
        </is>
      </c>
      <c r="I787" s="24" t="inlineStr">
        <is>
          <t>포괄손익계산서</t>
        </is>
      </c>
      <c r="J787" s="24" t="inlineStr">
        <is>
          <t>dart_ProfitsOfAssociatesAndJointVenturesAccountedForUsingEquityMethod</t>
        </is>
      </c>
      <c r="K787" s="24" t="inlineStr">
        <is>
          <t>지분법손익</t>
        </is>
      </c>
      <c r="L787" s="24" t="inlineStr">
        <is>
          <t>-</t>
        </is>
      </c>
      <c r="M787" s="24" t="inlineStr">
        <is>
          <t>제 20 기</t>
        </is>
      </c>
      <c r="N787" s="24" t="inlineStr">
        <is>
          <t>267398698.0</t>
        </is>
      </c>
      <c r="O787" s="24" t="inlineStr">
        <is>
          <t>480149147.0</t>
        </is>
      </c>
      <c r="P787" s="24" t="inlineStr">
        <is>
          <t>KRW</t>
        </is>
      </c>
      <c r="Q787" s="24" t="inlineStr">
        <is>
          <t>9</t>
        </is>
      </c>
    </row>
    <row r="788" ht="24" customHeight="1">
      <c r="A788" s="29" t="inlineStr">
        <is>
          <t>OpenDART_fnlttSinglAcntAll</t>
        </is>
      </c>
      <c r="B788" s="29" t="inlineStr">
        <is>
          <t>00591441</t>
        </is>
      </c>
      <c r="C788" s="29" t="inlineStr">
        <is>
          <t>어보브반도체</t>
        </is>
      </c>
      <c r="D788" s="29" t="inlineStr">
        <is>
          <t>abov</t>
        </is>
      </c>
      <c r="E788" s="29" t="inlineStr">
        <is>
          <t>102120</t>
        </is>
      </c>
      <c r="F788" s="29" t="inlineStr">
        <is>
          <t>2025</t>
        </is>
      </c>
      <c r="G788" s="29" t="inlineStr">
        <is>
          <t>CFS</t>
        </is>
      </c>
      <c r="H788" s="29" t="inlineStr">
        <is>
          <t>CIS</t>
        </is>
      </c>
      <c r="I788" s="29" t="inlineStr">
        <is>
          <t>포괄손익계산서</t>
        </is>
      </c>
      <c r="J788" s="29" t="inlineStr">
        <is>
          <t>dart_TotalSellingGeneralAdministrativeExpenses</t>
        </is>
      </c>
      <c r="K788" s="29" t="inlineStr">
        <is>
          <t>판매비와관리비</t>
        </is>
      </c>
      <c r="L788" s="29" t="inlineStr">
        <is>
          <t>-</t>
        </is>
      </c>
      <c r="M788" s="29" t="inlineStr">
        <is>
          <t>제 20 기</t>
        </is>
      </c>
      <c r="N788" s="29" t="inlineStr">
        <is>
          <t>28829336698.0</t>
        </is>
      </c>
      <c r="O788" s="29" t="inlineStr">
        <is>
          <t>25527484469.0</t>
        </is>
      </c>
      <c r="P788" s="29" t="inlineStr">
        <is>
          <t>KRW</t>
        </is>
      </c>
      <c r="Q788" s="29" t="inlineStr">
        <is>
          <t>10</t>
        </is>
      </c>
    </row>
    <row r="789" ht="24" customHeight="1">
      <c r="A789" s="24" t="inlineStr">
        <is>
          <t>OpenDART_fnlttSinglAcntAll</t>
        </is>
      </c>
      <c r="B789" s="24" t="inlineStr">
        <is>
          <t>00591441</t>
        </is>
      </c>
      <c r="C789" s="24" t="inlineStr">
        <is>
          <t>어보브반도체</t>
        </is>
      </c>
      <c r="D789" s="24" t="inlineStr">
        <is>
          <t>abov</t>
        </is>
      </c>
      <c r="E789" s="24" t="inlineStr">
        <is>
          <t>102120</t>
        </is>
      </c>
      <c r="F789" s="24" t="inlineStr">
        <is>
          <t>2025</t>
        </is>
      </c>
      <c r="G789" s="24" t="inlineStr">
        <is>
          <t>CFS</t>
        </is>
      </c>
      <c r="H789" s="24" t="inlineStr">
        <is>
          <t>CIS</t>
        </is>
      </c>
      <c r="I789" s="24" t="inlineStr">
        <is>
          <t>포괄손익계산서</t>
        </is>
      </c>
      <c r="J789" s="24" t="inlineStr">
        <is>
          <t>ifrs-full_ComprehensiveIncome</t>
        </is>
      </c>
      <c r="K789" s="24" t="inlineStr">
        <is>
          <t>총포괄손익</t>
        </is>
      </c>
      <c r="L789" s="24" t="inlineStr">
        <is>
          <t>-</t>
        </is>
      </c>
      <c r="M789" s="24" t="inlineStr">
        <is>
          <t>제 20 기</t>
        </is>
      </c>
      <c r="N789" s="24" t="inlineStr">
        <is>
          <t>1660545445.0</t>
        </is>
      </c>
      <c r="O789" s="24" t="inlineStr">
        <is>
          <t>-17720044527.0</t>
        </is>
      </c>
      <c r="P789" s="24" t="inlineStr">
        <is>
          <t>KRW</t>
        </is>
      </c>
      <c r="Q789" s="24" t="inlineStr">
        <is>
          <t>11</t>
        </is>
      </c>
    </row>
    <row r="790" ht="24" customHeight="1">
      <c r="A790" s="29" t="inlineStr">
        <is>
          <t>OpenDART_fnlttSinglAcntAll</t>
        </is>
      </c>
      <c r="B790" s="29" t="inlineStr">
        <is>
          <t>00591441</t>
        </is>
      </c>
      <c r="C790" s="29" t="inlineStr">
        <is>
          <t>어보브반도체</t>
        </is>
      </c>
      <c r="D790" s="29" t="inlineStr">
        <is>
          <t>abov</t>
        </is>
      </c>
      <c r="E790" s="29" t="inlineStr">
        <is>
          <t>102120</t>
        </is>
      </c>
      <c r="F790" s="29" t="inlineStr">
        <is>
          <t>2025</t>
        </is>
      </c>
      <c r="G790" s="29" t="inlineStr">
        <is>
          <t>CFS</t>
        </is>
      </c>
      <c r="H790" s="29" t="inlineStr">
        <is>
          <t>CIS</t>
        </is>
      </c>
      <c r="I790" s="29" t="inlineStr">
        <is>
          <t>포괄손익계산서</t>
        </is>
      </c>
      <c r="J790" s="29" t="inlineStr">
        <is>
          <t>ifrs-full_ComprehensiveIncomeAttributableToNoncontrollingInterests</t>
        </is>
      </c>
      <c r="K790" s="29" t="inlineStr">
        <is>
          <t>비지배지분</t>
        </is>
      </c>
      <c r="L790" s="29" t="inlineStr">
        <is>
          <t>-</t>
        </is>
      </c>
      <c r="M790" s="29" t="inlineStr">
        <is>
          <t>제 20 기</t>
        </is>
      </c>
      <c r="N790" s="29" t="inlineStr">
        <is>
          <t>-8149688730.0</t>
        </is>
      </c>
      <c r="O790" s="29" t="inlineStr">
        <is>
          <t>-20745600888.0</t>
        </is>
      </c>
      <c r="P790" s="29" t="inlineStr">
        <is>
          <t>KRW</t>
        </is>
      </c>
      <c r="Q790" s="29" t="inlineStr">
        <is>
          <t>13</t>
        </is>
      </c>
    </row>
    <row r="791" ht="24" customHeight="1">
      <c r="A791" s="24" t="inlineStr">
        <is>
          <t>OpenDART_fnlttSinglAcntAll</t>
        </is>
      </c>
      <c r="B791" s="24" t="inlineStr">
        <is>
          <t>00591441</t>
        </is>
      </c>
      <c r="C791" s="24" t="inlineStr">
        <is>
          <t>어보브반도체</t>
        </is>
      </c>
      <c r="D791" s="24" t="inlineStr">
        <is>
          <t>abov</t>
        </is>
      </c>
      <c r="E791" s="24" t="inlineStr">
        <is>
          <t>102120</t>
        </is>
      </c>
      <c r="F791" s="24" t="inlineStr">
        <is>
          <t>2025</t>
        </is>
      </c>
      <c r="G791" s="24" t="inlineStr">
        <is>
          <t>CFS</t>
        </is>
      </c>
      <c r="H791" s="24" t="inlineStr">
        <is>
          <t>CIS</t>
        </is>
      </c>
      <c r="I791" s="24" t="inlineStr">
        <is>
          <t>포괄손익계산서</t>
        </is>
      </c>
      <c r="J791" s="24" t="inlineStr">
        <is>
          <t>ifrs-full_ComprehensiveIncomeAttributableToOwnersOfParent</t>
        </is>
      </c>
      <c r="K791" s="24" t="inlineStr">
        <is>
          <t>지배기업의 소유지분</t>
        </is>
      </c>
      <c r="L791" s="24" t="inlineStr">
        <is>
          <t>-</t>
        </is>
      </c>
      <c r="M791" s="24" t="inlineStr">
        <is>
          <t>제 20 기</t>
        </is>
      </c>
      <c r="N791" s="24" t="inlineStr">
        <is>
          <t>9810234175.0</t>
        </is>
      </c>
      <c r="O791" s="24" t="inlineStr">
        <is>
          <t>3025556361.0</t>
        </is>
      </c>
      <c r="P791" s="24" t="inlineStr">
        <is>
          <t>KRW</t>
        </is>
      </c>
      <c r="Q791" s="24" t="inlineStr">
        <is>
          <t>14</t>
        </is>
      </c>
    </row>
    <row r="792" ht="24" customHeight="1">
      <c r="A792" s="29" t="inlineStr">
        <is>
          <t>OpenDART_fnlttSinglAcntAll</t>
        </is>
      </c>
      <c r="B792" s="29" t="inlineStr">
        <is>
          <t>00591441</t>
        </is>
      </c>
      <c r="C792" s="29" t="inlineStr">
        <is>
          <t>어보브반도체</t>
        </is>
      </c>
      <c r="D792" s="29" t="inlineStr">
        <is>
          <t>abov</t>
        </is>
      </c>
      <c r="E792" s="29" t="inlineStr">
        <is>
          <t>102120</t>
        </is>
      </c>
      <c r="F792" s="29" t="inlineStr">
        <is>
          <t>2025</t>
        </is>
      </c>
      <c r="G792" s="29" t="inlineStr">
        <is>
          <t>CFS</t>
        </is>
      </c>
      <c r="H792" s="29" t="inlineStr">
        <is>
          <t>CIS</t>
        </is>
      </c>
      <c r="I792" s="29" t="inlineStr">
        <is>
          <t>포괄손익계산서</t>
        </is>
      </c>
      <c r="J792" s="29" t="inlineStr">
        <is>
          <t>ifrs-full_CostOfSales</t>
        </is>
      </c>
      <c r="K792" s="29" t="inlineStr">
        <is>
          <t>매출원가</t>
        </is>
      </c>
      <c r="L792" s="29" t="inlineStr">
        <is>
          <t>-</t>
        </is>
      </c>
      <c r="M792" s="29" t="inlineStr">
        <is>
          <t>제 20 기</t>
        </is>
      </c>
      <c r="N792" s="29" t="inlineStr">
        <is>
          <t>205146122011.0</t>
        </is>
      </c>
      <c r="O792" s="29" t="inlineStr">
        <is>
          <t>211689500727.0</t>
        </is>
      </c>
      <c r="P792" s="29" t="inlineStr">
        <is>
          <t>KRW</t>
        </is>
      </c>
      <c r="Q792" s="29" t="inlineStr">
        <is>
          <t>15</t>
        </is>
      </c>
    </row>
    <row r="793" ht="24" customHeight="1">
      <c r="A793" s="24" t="inlineStr">
        <is>
          <t>OpenDART_fnlttSinglAcntAll</t>
        </is>
      </c>
      <c r="B793" s="24" t="inlineStr">
        <is>
          <t>00591441</t>
        </is>
      </c>
      <c r="C793" s="24" t="inlineStr">
        <is>
          <t>어보브반도체</t>
        </is>
      </c>
      <c r="D793" s="24" t="inlineStr">
        <is>
          <t>abov</t>
        </is>
      </c>
      <c r="E793" s="24" t="inlineStr">
        <is>
          <t>102120</t>
        </is>
      </c>
      <c r="F793" s="24" t="inlineStr">
        <is>
          <t>2025</t>
        </is>
      </c>
      <c r="G793" s="24" t="inlineStr">
        <is>
          <t>CFS</t>
        </is>
      </c>
      <c r="H793" s="24" t="inlineStr">
        <is>
          <t>CIS</t>
        </is>
      </c>
      <c r="I793" s="24" t="inlineStr">
        <is>
          <t>포괄손익계산서</t>
        </is>
      </c>
      <c r="J793" s="24" t="inlineStr">
        <is>
          <t>dart_CostOfSalesFromSaleOfGoodsProduct</t>
        </is>
      </c>
      <c r="K793" s="24" t="inlineStr">
        <is>
          <t>제품매출원가</t>
        </is>
      </c>
      <c r="L793" s="24" t="inlineStr">
        <is>
          <t>-</t>
        </is>
      </c>
      <c r="M793" s="24" t="inlineStr">
        <is>
          <t>제 20 기</t>
        </is>
      </c>
      <c r="N793" s="24" t="inlineStr">
        <is>
          <t>204640668034.0</t>
        </is>
      </c>
      <c r="O793" s="24" t="inlineStr">
        <is>
          <t>210489875959.0</t>
        </is>
      </c>
      <c r="P793" s="24" t="inlineStr">
        <is>
          <t>KRW</t>
        </is>
      </c>
      <c r="Q793" s="24" t="inlineStr">
        <is>
          <t>16</t>
        </is>
      </c>
    </row>
    <row r="794" ht="24" customHeight="1">
      <c r="A794" s="29" t="inlineStr">
        <is>
          <t>OpenDART_fnlttSinglAcntAll</t>
        </is>
      </c>
      <c r="B794" s="29" t="inlineStr">
        <is>
          <t>00591441</t>
        </is>
      </c>
      <c r="C794" s="29" t="inlineStr">
        <is>
          <t>어보브반도체</t>
        </is>
      </c>
      <c r="D794" s="29" t="inlineStr">
        <is>
          <t>abov</t>
        </is>
      </c>
      <c r="E794" s="29" t="inlineStr">
        <is>
          <t>102120</t>
        </is>
      </c>
      <c r="F794" s="29" t="inlineStr">
        <is>
          <t>2025</t>
        </is>
      </c>
      <c r="G794" s="29" t="inlineStr">
        <is>
          <t>CFS</t>
        </is>
      </c>
      <c r="H794" s="29" t="inlineStr">
        <is>
          <t>CIS</t>
        </is>
      </c>
      <c r="I794" s="29" t="inlineStr">
        <is>
          <t>포괄손익계산서</t>
        </is>
      </c>
      <c r="J794" s="29" t="inlineStr">
        <is>
          <t>ifrs-full_CostOfMerchandiseSold</t>
        </is>
      </c>
      <c r="K794" s="29" t="inlineStr">
        <is>
          <t>상품매출원가</t>
        </is>
      </c>
      <c r="L794" s="29" t="inlineStr">
        <is>
          <t>-</t>
        </is>
      </c>
      <c r="M794" s="29" t="inlineStr">
        <is>
          <t>제 20 기</t>
        </is>
      </c>
      <c r="N794" s="29" t="inlineStr">
        <is>
          <t>505453977.0</t>
        </is>
      </c>
      <c r="O794" s="29" t="inlineStr">
        <is>
          <t>1199624768.0</t>
        </is>
      </c>
      <c r="P794" s="29" t="inlineStr">
        <is>
          <t>KRW</t>
        </is>
      </c>
      <c r="Q794" s="29" t="inlineStr">
        <is>
          <t>17</t>
        </is>
      </c>
    </row>
    <row r="795" ht="24" customHeight="1">
      <c r="A795" s="24" t="inlineStr">
        <is>
          <t>OpenDART_fnlttSinglAcntAll</t>
        </is>
      </c>
      <c r="B795" s="24" t="inlineStr">
        <is>
          <t>00591441</t>
        </is>
      </c>
      <c r="C795" s="24" t="inlineStr">
        <is>
          <t>어보브반도체</t>
        </is>
      </c>
      <c r="D795" s="24" t="inlineStr">
        <is>
          <t>abov</t>
        </is>
      </c>
      <c r="E795" s="24" t="inlineStr">
        <is>
          <t>102120</t>
        </is>
      </c>
      <c r="F795" s="24" t="inlineStr">
        <is>
          <t>2025</t>
        </is>
      </c>
      <c r="G795" s="24" t="inlineStr">
        <is>
          <t>CFS</t>
        </is>
      </c>
      <c r="H795" s="24" t="inlineStr">
        <is>
          <t>CIS</t>
        </is>
      </c>
      <c r="I795" s="24" t="inlineStr">
        <is>
          <t>포괄손익계산서</t>
        </is>
      </c>
      <c r="J795" s="24" t="inlineStr">
        <is>
          <t>ifrs-full_BasicEarningsLossPerShare</t>
        </is>
      </c>
      <c r="K795" s="24" t="inlineStr">
        <is>
          <t>기본주당이익(손실)</t>
        </is>
      </c>
      <c r="L795" s="24" t="inlineStr">
        <is>
          <t>-</t>
        </is>
      </c>
      <c r="M795" s="24" t="inlineStr">
        <is>
          <t>제 20 기</t>
        </is>
      </c>
      <c r="N795" s="24" t="inlineStr">
        <is>
          <t>613.0</t>
        </is>
      </c>
      <c r="O795" s="24" t="inlineStr">
        <is>
          <t>161.0</t>
        </is>
      </c>
      <c r="P795" s="24" t="inlineStr">
        <is>
          <t>KRW</t>
        </is>
      </c>
      <c r="Q795" s="24" t="inlineStr">
        <is>
          <t>19</t>
        </is>
      </c>
    </row>
    <row r="796" ht="24" customHeight="1">
      <c r="A796" s="29" t="inlineStr">
        <is>
          <t>OpenDART_fnlttSinglAcntAll</t>
        </is>
      </c>
      <c r="B796" s="29" t="inlineStr">
        <is>
          <t>00591441</t>
        </is>
      </c>
      <c r="C796" s="29" t="inlineStr">
        <is>
          <t>어보브반도체</t>
        </is>
      </c>
      <c r="D796" s="29" t="inlineStr">
        <is>
          <t>abov</t>
        </is>
      </c>
      <c r="E796" s="29" t="inlineStr">
        <is>
          <t>102120</t>
        </is>
      </c>
      <c r="F796" s="29" t="inlineStr">
        <is>
          <t>2025</t>
        </is>
      </c>
      <c r="G796" s="29" t="inlineStr">
        <is>
          <t>CFS</t>
        </is>
      </c>
      <c r="H796" s="29" t="inlineStr">
        <is>
          <t>CIS</t>
        </is>
      </c>
      <c r="I796" s="29" t="inlineStr">
        <is>
          <t>포괄손익계산서</t>
        </is>
      </c>
      <c r="J796" s="29" t="inlineStr">
        <is>
          <t>ifrs-full_DilutedEarningsLossPerShare</t>
        </is>
      </c>
      <c r="K796" s="29" t="inlineStr">
        <is>
          <t>희석주당이익(손실)</t>
        </is>
      </c>
      <c r="L796" s="29" t="inlineStr">
        <is>
          <t>-</t>
        </is>
      </c>
      <c r="M796" s="29" t="inlineStr">
        <is>
          <t>제 20 기</t>
        </is>
      </c>
      <c r="N796" s="29" t="inlineStr">
        <is>
          <t>613.0</t>
        </is>
      </c>
      <c r="O796" s="29" t="inlineStr">
        <is>
          <t>160.0</t>
        </is>
      </c>
      <c r="P796" s="29" t="inlineStr">
        <is>
          <t>KRW</t>
        </is>
      </c>
      <c r="Q796" s="29" t="inlineStr">
        <is>
          <t>20</t>
        </is>
      </c>
    </row>
    <row r="797" ht="24" customHeight="1">
      <c r="A797" s="24" t="inlineStr">
        <is>
          <t>OpenDART_fnlttSinglAcntAll</t>
        </is>
      </c>
      <c r="B797" s="24" t="inlineStr">
        <is>
          <t>00591441</t>
        </is>
      </c>
      <c r="C797" s="24" t="inlineStr">
        <is>
          <t>어보브반도체</t>
        </is>
      </c>
      <c r="D797" s="24" t="inlineStr">
        <is>
          <t>abov</t>
        </is>
      </c>
      <c r="E797" s="24" t="inlineStr">
        <is>
          <t>102120</t>
        </is>
      </c>
      <c r="F797" s="24" t="inlineStr">
        <is>
          <t>2025</t>
        </is>
      </c>
      <c r="G797" s="24" t="inlineStr">
        <is>
          <t>CFS</t>
        </is>
      </c>
      <c r="H797" s="24" t="inlineStr">
        <is>
          <t>CIS</t>
        </is>
      </c>
      <c r="I797" s="24" t="inlineStr">
        <is>
          <t>포괄손익계산서</t>
        </is>
      </c>
      <c r="J797" s="24" t="inlineStr">
        <is>
          <t>ifrs-full_FinanceCosts</t>
        </is>
      </c>
      <c r="K797" s="24" t="inlineStr">
        <is>
          <t>금융비용</t>
        </is>
      </c>
      <c r="L797" s="24" t="inlineStr">
        <is>
          <t>-</t>
        </is>
      </c>
      <c r="M797" s="24" t="inlineStr">
        <is>
          <t>제 20 기</t>
        </is>
      </c>
      <c r="N797" s="24" t="inlineStr">
        <is>
          <t>9472056334.0</t>
        </is>
      </c>
      <c r="O797" s="24" t="inlineStr">
        <is>
          <t>12296554645.0</t>
        </is>
      </c>
      <c r="P797" s="24" t="inlineStr">
        <is>
          <t>KRW</t>
        </is>
      </c>
      <c r="Q797" s="24" t="inlineStr">
        <is>
          <t>21</t>
        </is>
      </c>
    </row>
    <row r="798" ht="24" customHeight="1">
      <c r="A798" s="29" t="inlineStr">
        <is>
          <t>OpenDART_fnlttSinglAcntAll</t>
        </is>
      </c>
      <c r="B798" s="29" t="inlineStr">
        <is>
          <t>00591441</t>
        </is>
      </c>
      <c r="C798" s="29" t="inlineStr">
        <is>
          <t>어보브반도체</t>
        </is>
      </c>
      <c r="D798" s="29" t="inlineStr">
        <is>
          <t>abov</t>
        </is>
      </c>
      <c r="E798" s="29" t="inlineStr">
        <is>
          <t>102120</t>
        </is>
      </c>
      <c r="F798" s="29" t="inlineStr">
        <is>
          <t>2025</t>
        </is>
      </c>
      <c r="G798" s="29" t="inlineStr">
        <is>
          <t>CFS</t>
        </is>
      </c>
      <c r="H798" s="29" t="inlineStr">
        <is>
          <t>CIS</t>
        </is>
      </c>
      <c r="I798" s="29" t="inlineStr">
        <is>
          <t>포괄손익계산서</t>
        </is>
      </c>
      <c r="J798" s="29" t="inlineStr">
        <is>
          <t>ifrs-full_FinanceIncome</t>
        </is>
      </c>
      <c r="K798" s="29" t="inlineStr">
        <is>
          <t>금융수익</t>
        </is>
      </c>
      <c r="L798" s="29" t="inlineStr">
        <is>
          <t>-</t>
        </is>
      </c>
      <c r="M798" s="29" t="inlineStr">
        <is>
          <t>제 20 기</t>
        </is>
      </c>
      <c r="N798" s="29" t="inlineStr">
        <is>
          <t>5350629669.0</t>
        </is>
      </c>
      <c r="O798" s="29" t="inlineStr">
        <is>
          <t>6443915391.0</t>
        </is>
      </c>
      <c r="P798" s="29" t="inlineStr">
        <is>
          <t>KRW</t>
        </is>
      </c>
      <c r="Q798" s="29" t="inlineStr">
        <is>
          <t>22</t>
        </is>
      </c>
    </row>
    <row r="799" ht="24" customHeight="1">
      <c r="A799" s="24" t="inlineStr">
        <is>
          <t>OpenDART_fnlttSinglAcntAll</t>
        </is>
      </c>
      <c r="B799" s="24" t="inlineStr">
        <is>
          <t>00591441</t>
        </is>
      </c>
      <c r="C799" s="24" t="inlineStr">
        <is>
          <t>어보브반도체</t>
        </is>
      </c>
      <c r="D799" s="24" t="inlineStr">
        <is>
          <t>abov</t>
        </is>
      </c>
      <c r="E799" s="24" t="inlineStr">
        <is>
          <t>102120</t>
        </is>
      </c>
      <c r="F799" s="24" t="inlineStr">
        <is>
          <t>2025</t>
        </is>
      </c>
      <c r="G799" s="24" t="inlineStr">
        <is>
          <t>CFS</t>
        </is>
      </c>
      <c r="H799" s="24" t="inlineStr">
        <is>
          <t>CIS</t>
        </is>
      </c>
      <c r="I799" s="24" t="inlineStr">
        <is>
          <t>포괄손익계산서</t>
        </is>
      </c>
      <c r="J799" s="24" t="inlineStr">
        <is>
          <t>ifrs-full_GrossProfit</t>
        </is>
      </c>
      <c r="K799" s="24" t="inlineStr">
        <is>
          <t>매출총이익</t>
        </is>
      </c>
      <c r="L799" s="24" t="inlineStr">
        <is>
          <t>-</t>
        </is>
      </c>
      <c r="M799" s="24" t="inlineStr">
        <is>
          <t>제 20 기</t>
        </is>
      </c>
      <c r="N799" s="24" t="inlineStr">
        <is>
          <t>38977521788.0</t>
        </is>
      </c>
      <c r="O799" s="24" t="inlineStr">
        <is>
          <t>20427110278.0</t>
        </is>
      </c>
      <c r="P799" s="24" t="inlineStr">
        <is>
          <t>KRW</t>
        </is>
      </c>
      <c r="Q799" s="24" t="inlineStr">
        <is>
          <t>23</t>
        </is>
      </c>
    </row>
    <row r="800" ht="24" customHeight="1">
      <c r="A800" s="29" t="inlineStr">
        <is>
          <t>OpenDART_fnlttSinglAcntAll</t>
        </is>
      </c>
      <c r="B800" s="29" t="inlineStr">
        <is>
          <t>00591441</t>
        </is>
      </c>
      <c r="C800" s="29" t="inlineStr">
        <is>
          <t>어보브반도체</t>
        </is>
      </c>
      <c r="D800" s="29" t="inlineStr">
        <is>
          <t>abov</t>
        </is>
      </c>
      <c r="E800" s="29" t="inlineStr">
        <is>
          <t>102120</t>
        </is>
      </c>
      <c r="F800" s="29" t="inlineStr">
        <is>
          <t>2025</t>
        </is>
      </c>
      <c r="G800" s="29" t="inlineStr">
        <is>
          <t>CFS</t>
        </is>
      </c>
      <c r="H800" s="29" t="inlineStr">
        <is>
          <t>CIS</t>
        </is>
      </c>
      <c r="I800" s="29" t="inlineStr">
        <is>
          <t>포괄손익계산서</t>
        </is>
      </c>
      <c r="J800" s="29" t="inlineStr">
        <is>
          <t>ifrs-full_IncomeTaxExpenseContinuingOperations</t>
        </is>
      </c>
      <c r="K800" s="29" t="inlineStr">
        <is>
          <t>법인세비용(수익)</t>
        </is>
      </c>
      <c r="L800" s="29" t="inlineStr">
        <is>
          <t>-</t>
        </is>
      </c>
      <c r="M800" s="29" t="inlineStr">
        <is>
          <t>제 20 기</t>
        </is>
      </c>
      <c r="N800" s="29" t="inlineStr">
        <is>
          <t>2647643973.0</t>
        </is>
      </c>
      <c r="O800" s="29" t="inlineStr">
        <is>
          <t>2122174166.0</t>
        </is>
      </c>
      <c r="P800" s="29" t="inlineStr">
        <is>
          <t>KRW</t>
        </is>
      </c>
      <c r="Q800" s="29" t="inlineStr">
        <is>
          <t>24</t>
        </is>
      </c>
    </row>
    <row r="801" ht="24" customHeight="1">
      <c r="A801" s="24" t="inlineStr">
        <is>
          <t>OpenDART_fnlttSinglAcntAll</t>
        </is>
      </c>
      <c r="B801" s="24" t="inlineStr">
        <is>
          <t>00591441</t>
        </is>
      </c>
      <c r="C801" s="24" t="inlineStr">
        <is>
          <t>어보브반도체</t>
        </is>
      </c>
      <c r="D801" s="24" t="inlineStr">
        <is>
          <t>abov</t>
        </is>
      </c>
      <c r="E801" s="24" t="inlineStr">
        <is>
          <t>102120</t>
        </is>
      </c>
      <c r="F801" s="24" t="inlineStr">
        <is>
          <t>2025</t>
        </is>
      </c>
      <c r="G801" s="24" t="inlineStr">
        <is>
          <t>CFS</t>
        </is>
      </c>
      <c r="H801" s="24" t="inlineStr">
        <is>
          <t>CIS</t>
        </is>
      </c>
      <c r="I801" s="24" t="inlineStr">
        <is>
          <t>포괄손익계산서</t>
        </is>
      </c>
      <c r="J801" s="24" t="inlineStr">
        <is>
          <t>ifrs-full_OtherComprehensiveIncome</t>
        </is>
      </c>
      <c r="K801" s="24" t="inlineStr">
        <is>
          <t>기타포괄손익</t>
        </is>
      </c>
      <c r="L801" s="24" t="inlineStr">
        <is>
          <t>-</t>
        </is>
      </c>
      <c r="M801" s="24" t="inlineStr">
        <is>
          <t>제 20 기</t>
        </is>
      </c>
      <c r="N801" s="24" t="inlineStr">
        <is>
          <t>-298877524.0</t>
        </is>
      </c>
      <c r="O801" s="24" t="inlineStr">
        <is>
          <t>374806470.0</t>
        </is>
      </c>
      <c r="P801" s="24" t="inlineStr">
        <is>
          <t>KRW</t>
        </is>
      </c>
      <c r="Q801" s="24" t="inlineStr">
        <is>
          <t>25</t>
        </is>
      </c>
    </row>
    <row r="802" ht="24" customHeight="1">
      <c r="A802" s="29" t="inlineStr">
        <is>
          <t>OpenDART_fnlttSinglAcntAll</t>
        </is>
      </c>
      <c r="B802" s="29" t="inlineStr">
        <is>
          <t>00591441</t>
        </is>
      </c>
      <c r="C802" s="29" t="inlineStr">
        <is>
          <t>어보브반도체</t>
        </is>
      </c>
      <c r="D802" s="29" t="inlineStr">
        <is>
          <t>abov</t>
        </is>
      </c>
      <c r="E802" s="29" t="inlineStr">
        <is>
          <t>102120</t>
        </is>
      </c>
      <c r="F802" s="29" t="inlineStr">
        <is>
          <t>2025</t>
        </is>
      </c>
      <c r="G802" s="29" t="inlineStr">
        <is>
          <t>CFS</t>
        </is>
      </c>
      <c r="H802" s="29" t="inlineStr">
        <is>
          <t>CIS</t>
        </is>
      </c>
      <c r="I802" s="29" t="inlineStr">
        <is>
          <t>포괄손익계산서</t>
        </is>
      </c>
      <c r="J802" s="29" t="inlineStr">
        <is>
          <t>ifrs-full_OtherComprehensiveIncomeThatWillBeReclassifiedToProfitOrLossNetOfTax</t>
        </is>
      </c>
      <c r="K802" s="29" t="inlineStr">
        <is>
          <t>당기손익으로 재분류될 수 있는 항목</t>
        </is>
      </c>
      <c r="L802" s="29" t="inlineStr">
        <is>
          <t>-</t>
        </is>
      </c>
      <c r="M802" s="29" t="inlineStr">
        <is>
          <t>제 20 기</t>
        </is>
      </c>
      <c r="N802" s="29" t="inlineStr">
        <is>
          <t>65491731.0</t>
        </is>
      </c>
      <c r="O802" s="29" t="inlineStr">
        <is>
          <t>-378560060.0</t>
        </is>
      </c>
      <c r="P802" s="29" t="inlineStr">
        <is>
          <t>KRW</t>
        </is>
      </c>
      <c r="Q802" s="29" t="inlineStr">
        <is>
          <t>26</t>
        </is>
      </c>
    </row>
    <row r="803" ht="24" customHeight="1">
      <c r="A803" s="24" t="inlineStr">
        <is>
          <t>OpenDART_fnlttSinglAcntAll</t>
        </is>
      </c>
      <c r="B803" s="24" t="inlineStr">
        <is>
          <t>00591441</t>
        </is>
      </c>
      <c r="C803" s="24" t="inlineStr">
        <is>
          <t>어보브반도체</t>
        </is>
      </c>
      <c r="D803" s="24" t="inlineStr">
        <is>
          <t>abov</t>
        </is>
      </c>
      <c r="E803" s="24" t="inlineStr">
        <is>
          <t>102120</t>
        </is>
      </c>
      <c r="F803" s="24" t="inlineStr">
        <is>
          <t>2025</t>
        </is>
      </c>
      <c r="G803" s="24" t="inlineStr">
        <is>
          <t>CFS</t>
        </is>
      </c>
      <c r="H803" s="24" t="inlineStr">
        <is>
          <t>CIS</t>
        </is>
      </c>
      <c r="I803" s="24" t="inlineStr">
        <is>
          <t>포괄손익계산서</t>
        </is>
      </c>
      <c r="J803" s="24" t="inlineStr">
        <is>
          <t>ifrs-full_GainsLossesOnExchangeDifferencesOnTranslationNetOfTax</t>
        </is>
      </c>
      <c r="K803" s="24" t="inlineStr">
        <is>
          <t>해외사업장환산외환차이(세후기타포괄손익)</t>
        </is>
      </c>
      <c r="L803" s="24" t="inlineStr">
        <is>
          <t>-</t>
        </is>
      </c>
      <c r="M803" s="24" t="inlineStr">
        <is>
          <t>제 20 기</t>
        </is>
      </c>
      <c r="N803" s="24" t="inlineStr">
        <is>
          <t>65491731.0</t>
        </is>
      </c>
      <c r="O803" s="24" t="inlineStr">
        <is>
          <t>-378560060.0</t>
        </is>
      </c>
      <c r="P803" s="24" t="inlineStr">
        <is>
          <t>KRW</t>
        </is>
      </c>
      <c r="Q803" s="24" t="inlineStr">
        <is>
          <t>27</t>
        </is>
      </c>
    </row>
    <row r="804" ht="24" customHeight="1">
      <c r="A804" s="29" t="inlineStr">
        <is>
          <t>OpenDART_fnlttSinglAcntAll</t>
        </is>
      </c>
      <c r="B804" s="29" t="inlineStr">
        <is>
          <t>00591441</t>
        </is>
      </c>
      <c r="C804" s="29" t="inlineStr">
        <is>
          <t>어보브반도체</t>
        </is>
      </c>
      <c r="D804" s="29" t="inlineStr">
        <is>
          <t>abov</t>
        </is>
      </c>
      <c r="E804" s="29" t="inlineStr">
        <is>
          <t>102120</t>
        </is>
      </c>
      <c r="F804" s="29" t="inlineStr">
        <is>
          <t>2025</t>
        </is>
      </c>
      <c r="G804" s="29" t="inlineStr">
        <is>
          <t>CFS</t>
        </is>
      </c>
      <c r="H804" s="29" t="inlineStr">
        <is>
          <t>CIS</t>
        </is>
      </c>
      <c r="I804" s="29" t="inlineStr">
        <is>
          <t>포괄손익계산서</t>
        </is>
      </c>
      <c r="J804" s="29" t="inlineStr">
        <is>
          <t>ifrs-full_OtherComprehensiveIncomeThatWillNotBeReclassifiedToProfitOrLossNetOfTax</t>
        </is>
      </c>
      <c r="K804" s="29" t="inlineStr">
        <is>
          <t>당기손익으로 재분류되지 않는 항목</t>
        </is>
      </c>
      <c r="L804" s="29" t="inlineStr">
        <is>
          <t>-</t>
        </is>
      </c>
      <c r="M804" s="29" t="inlineStr">
        <is>
          <t>제 20 기</t>
        </is>
      </c>
      <c r="N804" s="29" t="inlineStr">
        <is>
          <t>-364369255.0</t>
        </is>
      </c>
      <c r="O804" s="29" t="inlineStr">
        <is>
          <t>753366530.0</t>
        </is>
      </c>
      <c r="P804" s="29" t="inlineStr">
        <is>
          <t>KRW</t>
        </is>
      </c>
      <c r="Q804" s="29" t="inlineStr">
        <is>
          <t>28</t>
        </is>
      </c>
    </row>
    <row r="805" ht="24" customHeight="1">
      <c r="A805" s="24" t="inlineStr">
        <is>
          <t>OpenDART_fnlttSinglAcntAll</t>
        </is>
      </c>
      <c r="B805" s="24" t="inlineStr">
        <is>
          <t>00591441</t>
        </is>
      </c>
      <c r="C805" s="24" t="inlineStr">
        <is>
          <t>어보브반도체</t>
        </is>
      </c>
      <c r="D805" s="24" t="inlineStr">
        <is>
          <t>abov</t>
        </is>
      </c>
      <c r="E805" s="24" t="inlineStr">
        <is>
          <t>102120</t>
        </is>
      </c>
      <c r="F805" s="24" t="inlineStr">
        <is>
          <t>2025</t>
        </is>
      </c>
      <c r="G805" s="24" t="inlineStr">
        <is>
          <t>CFS</t>
        </is>
      </c>
      <c r="H805" s="24" t="inlineStr">
        <is>
          <t>CIS</t>
        </is>
      </c>
      <c r="I805" s="24" t="inlineStr">
        <is>
          <t>포괄손익계산서</t>
        </is>
      </c>
      <c r="J805" s="24" t="inlineStr">
        <is>
          <t>-표준계정코드 미사용-</t>
        </is>
      </c>
      <c r="K805" s="24" t="inlineStr">
        <is>
          <t>기타포괄손익공정가치측정평가손익</t>
        </is>
      </c>
      <c r="L805" s="24" t="inlineStr">
        <is>
          <t>-</t>
        </is>
      </c>
      <c r="M805" s="24" t="inlineStr">
        <is>
          <t>제 20 기</t>
        </is>
      </c>
      <c r="N805" s="24" t="inlineStr">
        <is>
          <t>-263498843.0</t>
        </is>
      </c>
      <c r="O805" s="24" t="inlineStr">
        <is>
          <t>해당 없음</t>
        </is>
      </c>
      <c r="P805" s="24" t="inlineStr">
        <is>
          <t>KRW</t>
        </is>
      </c>
      <c r="Q805" s="24" t="inlineStr">
        <is>
          <t>29</t>
        </is>
      </c>
    </row>
    <row r="806" ht="24" customHeight="1">
      <c r="A806" s="29" t="inlineStr">
        <is>
          <t>OpenDART_fnlttSinglAcntAll</t>
        </is>
      </c>
      <c r="B806" s="29" t="inlineStr">
        <is>
          <t>00591441</t>
        </is>
      </c>
      <c r="C806" s="29" t="inlineStr">
        <is>
          <t>어보브반도체</t>
        </is>
      </c>
      <c r="D806" s="29" t="inlineStr">
        <is>
          <t>abov</t>
        </is>
      </c>
      <c r="E806" s="29" t="inlineStr">
        <is>
          <t>102120</t>
        </is>
      </c>
      <c r="F806" s="29" t="inlineStr">
        <is>
          <t>2025</t>
        </is>
      </c>
      <c r="G806" s="29" t="inlineStr">
        <is>
          <t>CFS</t>
        </is>
      </c>
      <c r="H806" s="29" t="inlineStr">
        <is>
          <t>CIS</t>
        </is>
      </c>
      <c r="I806" s="29" t="inlineStr">
        <is>
          <t>포괄손익계산서</t>
        </is>
      </c>
      <c r="J806" s="29" t="inlineStr">
        <is>
          <t>-표준계정코드 미사용-</t>
        </is>
      </c>
      <c r="K806" s="29" t="inlineStr">
        <is>
          <t>순확정급여부채(자산)의 재측정요소</t>
        </is>
      </c>
      <c r="L806" s="29" t="inlineStr">
        <is>
          <t>-</t>
        </is>
      </c>
      <c r="M806" s="29" t="inlineStr">
        <is>
          <t>제 20 기</t>
        </is>
      </c>
      <c r="N806" s="29" t="inlineStr">
        <is>
          <t>-101214062.0</t>
        </is>
      </c>
      <c r="O806" s="29" t="inlineStr">
        <is>
          <t>751870946.0</t>
        </is>
      </c>
      <c r="P806" s="29" t="inlineStr">
        <is>
          <t>KRW</t>
        </is>
      </c>
      <c r="Q806" s="29" t="inlineStr">
        <is>
          <t>30</t>
        </is>
      </c>
    </row>
    <row r="807" ht="24" customHeight="1">
      <c r="A807" s="24" t="inlineStr">
        <is>
          <t>OpenDART_fnlttSinglAcntAll</t>
        </is>
      </c>
      <c r="B807" s="24" t="inlineStr">
        <is>
          <t>00591441</t>
        </is>
      </c>
      <c r="C807" s="24" t="inlineStr">
        <is>
          <t>어보브반도체</t>
        </is>
      </c>
      <c r="D807" s="24" t="inlineStr">
        <is>
          <t>abov</t>
        </is>
      </c>
      <c r="E807" s="24" t="inlineStr">
        <is>
          <t>102120</t>
        </is>
      </c>
      <c r="F807" s="24" t="inlineStr">
        <is>
          <t>2025</t>
        </is>
      </c>
      <c r="G807" s="24" t="inlineStr">
        <is>
          <t>CFS</t>
        </is>
      </c>
      <c r="H807" s="24" t="inlineStr">
        <is>
          <t>CIS</t>
        </is>
      </c>
      <c r="I807" s="24" t="inlineStr">
        <is>
          <t>포괄손익계산서</t>
        </is>
      </c>
      <c r="J807" s="24" t="inlineStr">
        <is>
          <t>-표준계정코드 미사용-</t>
        </is>
      </c>
      <c r="K807" s="24" t="inlineStr">
        <is>
          <t>지분법 자본변동</t>
        </is>
      </c>
      <c r="L807" s="24" t="inlineStr">
        <is>
          <t>-</t>
        </is>
      </c>
      <c r="M807" s="24" t="inlineStr">
        <is>
          <t>제 20 기</t>
        </is>
      </c>
      <c r="N807" s="24" t="inlineStr">
        <is>
          <t>343650.0</t>
        </is>
      </c>
      <c r="O807" s="24" t="inlineStr">
        <is>
          <t>1495584.0</t>
        </is>
      </c>
      <c r="P807" s="24" t="inlineStr">
        <is>
          <t>KRW</t>
        </is>
      </c>
      <c r="Q807" s="24" t="inlineStr">
        <is>
          <t>31</t>
        </is>
      </c>
    </row>
    <row r="808" ht="24" customHeight="1">
      <c r="A808" s="29" t="inlineStr">
        <is>
          <t>OpenDART_fnlttSinglAcntAll</t>
        </is>
      </c>
      <c r="B808" s="29" t="inlineStr">
        <is>
          <t>00591441</t>
        </is>
      </c>
      <c r="C808" s="29" t="inlineStr">
        <is>
          <t>어보브반도체</t>
        </is>
      </c>
      <c r="D808" s="29" t="inlineStr">
        <is>
          <t>abov</t>
        </is>
      </c>
      <c r="E808" s="29" t="inlineStr">
        <is>
          <t>102120</t>
        </is>
      </c>
      <c r="F808" s="29" t="inlineStr">
        <is>
          <t>2025</t>
        </is>
      </c>
      <c r="G808" s="29" t="inlineStr">
        <is>
          <t>CFS</t>
        </is>
      </c>
      <c r="H808" s="29" t="inlineStr">
        <is>
          <t>CIS</t>
        </is>
      </c>
      <c r="I808" s="29" t="inlineStr">
        <is>
          <t>포괄손익계산서</t>
        </is>
      </c>
      <c r="J808" s="29" t="inlineStr">
        <is>
          <t>ifrs-full_ProfitLoss</t>
        </is>
      </c>
      <c r="K808" s="29" t="inlineStr">
        <is>
          <t>당기순이익(손실)</t>
        </is>
      </c>
      <c r="L808" s="29" t="inlineStr">
        <is>
          <t>-</t>
        </is>
      </c>
      <c r="M808" s="29" t="inlineStr">
        <is>
          <t>제 20 기</t>
        </is>
      </c>
      <c r="N808" s="29" t="inlineStr">
        <is>
          <t>1959422969.0</t>
        </is>
      </c>
      <c r="O808" s="29" t="inlineStr">
        <is>
          <t>-18094850997.0</t>
        </is>
      </c>
      <c r="P808" s="29" t="inlineStr">
        <is>
          <t>KRW</t>
        </is>
      </c>
      <c r="Q808" s="29" t="inlineStr">
        <is>
          <t>32</t>
        </is>
      </c>
    </row>
    <row r="809" ht="24" customHeight="1">
      <c r="A809" s="24" t="inlineStr">
        <is>
          <t>OpenDART_fnlttSinglAcntAll</t>
        </is>
      </c>
      <c r="B809" s="24" t="inlineStr">
        <is>
          <t>00591441</t>
        </is>
      </c>
      <c r="C809" s="24" t="inlineStr">
        <is>
          <t>어보브반도체</t>
        </is>
      </c>
      <c r="D809" s="24" t="inlineStr">
        <is>
          <t>abov</t>
        </is>
      </c>
      <c r="E809" s="24" t="inlineStr">
        <is>
          <t>102120</t>
        </is>
      </c>
      <c r="F809" s="24" t="inlineStr">
        <is>
          <t>2025</t>
        </is>
      </c>
      <c r="G809" s="24" t="inlineStr">
        <is>
          <t>CFS</t>
        </is>
      </c>
      <c r="H809" s="24" t="inlineStr">
        <is>
          <t>CIS</t>
        </is>
      </c>
      <c r="I809" s="24" t="inlineStr">
        <is>
          <t>포괄손익계산서</t>
        </is>
      </c>
      <c r="J809" s="24" t="inlineStr">
        <is>
          <t>ifrs-full_ProfitLossAttributableToNoncontrollingInterests</t>
        </is>
      </c>
      <c r="K809" s="24" t="inlineStr">
        <is>
          <t>비지배지분</t>
        </is>
      </c>
      <c r="L809" s="24" t="inlineStr">
        <is>
          <t>-</t>
        </is>
      </c>
      <c r="M809" s="24" t="inlineStr">
        <is>
          <t>제 20 기</t>
        </is>
      </c>
      <c r="N809" s="24" t="inlineStr">
        <is>
          <t>-8149688730.0</t>
        </is>
      </c>
      <c r="O809" s="24" t="inlineStr">
        <is>
          <t>-20745600888.0</t>
        </is>
      </c>
      <c r="P809" s="24" t="inlineStr">
        <is>
          <t>KRW</t>
        </is>
      </c>
      <c r="Q809" s="24" t="inlineStr">
        <is>
          <t>34</t>
        </is>
      </c>
    </row>
    <row r="810" ht="24" customHeight="1">
      <c r="A810" s="29" t="inlineStr">
        <is>
          <t>OpenDART_fnlttSinglAcntAll</t>
        </is>
      </c>
      <c r="B810" s="29" t="inlineStr">
        <is>
          <t>00591441</t>
        </is>
      </c>
      <c r="C810" s="29" t="inlineStr">
        <is>
          <t>어보브반도체</t>
        </is>
      </c>
      <c r="D810" s="29" t="inlineStr">
        <is>
          <t>abov</t>
        </is>
      </c>
      <c r="E810" s="29" t="inlineStr">
        <is>
          <t>102120</t>
        </is>
      </c>
      <c r="F810" s="29" t="inlineStr">
        <is>
          <t>2025</t>
        </is>
      </c>
      <c r="G810" s="29" t="inlineStr">
        <is>
          <t>CFS</t>
        </is>
      </c>
      <c r="H810" s="29" t="inlineStr">
        <is>
          <t>CIS</t>
        </is>
      </c>
      <c r="I810" s="29" t="inlineStr">
        <is>
          <t>포괄손익계산서</t>
        </is>
      </c>
      <c r="J810" s="29" t="inlineStr">
        <is>
          <t>ifrs-full_ProfitLossAttributableToOwnersOfParent</t>
        </is>
      </c>
      <c r="K810" s="29" t="inlineStr">
        <is>
          <t>지배기업의 소유지분</t>
        </is>
      </c>
      <c r="L810" s="29" t="inlineStr">
        <is>
          <t>-</t>
        </is>
      </c>
      <c r="M810" s="29" t="inlineStr">
        <is>
          <t>제 20 기</t>
        </is>
      </c>
      <c r="N810" s="29" t="inlineStr">
        <is>
          <t>10109111699.0</t>
        </is>
      </c>
      <c r="O810" s="29" t="inlineStr">
        <is>
          <t>2650749891.0</t>
        </is>
      </c>
      <c r="P810" s="29" t="inlineStr">
        <is>
          <t>KRW</t>
        </is>
      </c>
      <c r="Q810" s="29" t="inlineStr">
        <is>
          <t>35</t>
        </is>
      </c>
    </row>
    <row r="811" ht="24" customHeight="1">
      <c r="A811" s="24" t="inlineStr">
        <is>
          <t>OpenDART_fnlttSinglAcntAll</t>
        </is>
      </c>
      <c r="B811" s="24" t="inlineStr">
        <is>
          <t>00591441</t>
        </is>
      </c>
      <c r="C811" s="24" t="inlineStr">
        <is>
          <t>어보브반도체</t>
        </is>
      </c>
      <c r="D811" s="24" t="inlineStr">
        <is>
          <t>abov</t>
        </is>
      </c>
      <c r="E811" s="24" t="inlineStr">
        <is>
          <t>102120</t>
        </is>
      </c>
      <c r="F811" s="24" t="inlineStr">
        <is>
          <t>2025</t>
        </is>
      </c>
      <c r="G811" s="24" t="inlineStr">
        <is>
          <t>CFS</t>
        </is>
      </c>
      <c r="H811" s="24" t="inlineStr">
        <is>
          <t>CIS</t>
        </is>
      </c>
      <c r="I811" s="24" t="inlineStr">
        <is>
          <t>포괄손익계산서</t>
        </is>
      </c>
      <c r="J811" s="24" t="inlineStr">
        <is>
          <t>ifrs-full_ProfitLossBeforeTax</t>
        </is>
      </c>
      <c r="K811" s="24" t="inlineStr">
        <is>
          <t>법인세비용차감전순이익(손실)</t>
        </is>
      </c>
      <c r="L811" s="24" t="inlineStr">
        <is>
          <t>-</t>
        </is>
      </c>
      <c r="M811" s="24" t="inlineStr">
        <is>
          <t>제 20 기</t>
        </is>
      </c>
      <c r="N811" s="24" t="inlineStr">
        <is>
          <t>4607066942.0</t>
        </is>
      </c>
      <c r="O811" s="24" t="inlineStr">
        <is>
          <t>-15972676831.0</t>
        </is>
      </c>
      <c r="P811" s="24" t="inlineStr">
        <is>
          <t>KRW</t>
        </is>
      </c>
      <c r="Q811" s="24" t="inlineStr">
        <is>
          <t>36</t>
        </is>
      </c>
    </row>
    <row r="812" ht="24" customHeight="1">
      <c r="A812" s="29" t="inlineStr">
        <is>
          <t>OpenDART_fnlttSinglAcntAll</t>
        </is>
      </c>
      <c r="B812" s="29" t="inlineStr">
        <is>
          <t>00591441</t>
        </is>
      </c>
      <c r="C812" s="29" t="inlineStr">
        <is>
          <t>어보브반도체</t>
        </is>
      </c>
      <c r="D812" s="29" t="inlineStr">
        <is>
          <t>abov</t>
        </is>
      </c>
      <c r="E812" s="29" t="inlineStr">
        <is>
          <t>102120</t>
        </is>
      </c>
      <c r="F812" s="29" t="inlineStr">
        <is>
          <t>2025</t>
        </is>
      </c>
      <c r="G812" s="29" t="inlineStr">
        <is>
          <t>CFS</t>
        </is>
      </c>
      <c r="H812" s="29" t="inlineStr">
        <is>
          <t>CIS</t>
        </is>
      </c>
      <c r="I812" s="29" t="inlineStr">
        <is>
          <t>포괄손익계산서</t>
        </is>
      </c>
      <c r="J812" s="29" t="inlineStr">
        <is>
          <t>ifrs-full_Revenue</t>
        </is>
      </c>
      <c r="K812" s="29" t="inlineStr">
        <is>
          <t>수익(매출액)</t>
        </is>
      </c>
      <c r="L812" s="29" t="inlineStr">
        <is>
          <t>-</t>
        </is>
      </c>
      <c r="M812" s="29" t="inlineStr">
        <is>
          <t>제 20 기</t>
        </is>
      </c>
      <c r="N812" s="29" t="inlineStr">
        <is>
          <t>244123643799.0</t>
        </is>
      </c>
      <c r="O812" s="29" t="inlineStr">
        <is>
          <t>232116611005.0</t>
        </is>
      </c>
      <c r="P812" s="29" t="inlineStr">
        <is>
          <t>KRW</t>
        </is>
      </c>
      <c r="Q812" s="29" t="inlineStr">
        <is>
          <t>37</t>
        </is>
      </c>
    </row>
    <row r="813" ht="24" customHeight="1">
      <c r="A813" s="24" t="inlineStr">
        <is>
          <t>OpenDART_fnlttSinglAcntAll</t>
        </is>
      </c>
      <c r="B813" s="24" t="inlineStr">
        <is>
          <t>00591441</t>
        </is>
      </c>
      <c r="C813" s="24" t="inlineStr">
        <is>
          <t>어보브반도체</t>
        </is>
      </c>
      <c r="D813" s="24" t="inlineStr">
        <is>
          <t>abov</t>
        </is>
      </c>
      <c r="E813" s="24" t="inlineStr">
        <is>
          <t>102120</t>
        </is>
      </c>
      <c r="F813" s="24" t="inlineStr">
        <is>
          <t>2025</t>
        </is>
      </c>
      <c r="G813" s="24" t="inlineStr">
        <is>
          <t>CFS</t>
        </is>
      </c>
      <c r="H813" s="24" t="inlineStr">
        <is>
          <t>CIS</t>
        </is>
      </c>
      <c r="I813" s="24" t="inlineStr">
        <is>
          <t>포괄손익계산서</t>
        </is>
      </c>
      <c r="J813" s="24" t="inlineStr">
        <is>
          <t>dart_RevenueFromSaleOfGoodsMerchandise</t>
        </is>
      </c>
      <c r="K813" s="24" t="inlineStr">
        <is>
          <t>상품매출액</t>
        </is>
      </c>
      <c r="L813" s="24" t="inlineStr">
        <is>
          <t>-</t>
        </is>
      </c>
      <c r="M813" s="24" t="inlineStr">
        <is>
          <t>제 20 기</t>
        </is>
      </c>
      <c r="N813" s="24" t="inlineStr">
        <is>
          <t>566079722.0</t>
        </is>
      </c>
      <c r="O813" s="24" t="inlineStr">
        <is>
          <t>1263963724.0</t>
        </is>
      </c>
      <c r="P813" s="24" t="inlineStr">
        <is>
          <t>KRW</t>
        </is>
      </c>
      <c r="Q813" s="24" t="inlineStr">
        <is>
          <t>38</t>
        </is>
      </c>
    </row>
    <row r="814" ht="24" customHeight="1">
      <c r="A814" s="29" t="inlineStr">
        <is>
          <t>OpenDART_fnlttSinglAcntAll</t>
        </is>
      </c>
      <c r="B814" s="29" t="inlineStr">
        <is>
          <t>00591441</t>
        </is>
      </c>
      <c r="C814" s="29" t="inlineStr">
        <is>
          <t>어보브반도체</t>
        </is>
      </c>
      <c r="D814" s="29" t="inlineStr">
        <is>
          <t>abov</t>
        </is>
      </c>
      <c r="E814" s="29" t="inlineStr">
        <is>
          <t>102120</t>
        </is>
      </c>
      <c r="F814" s="29" t="inlineStr">
        <is>
          <t>2025</t>
        </is>
      </c>
      <c r="G814" s="29" t="inlineStr">
        <is>
          <t>CFS</t>
        </is>
      </c>
      <c r="H814" s="29" t="inlineStr">
        <is>
          <t>CIS</t>
        </is>
      </c>
      <c r="I814" s="29" t="inlineStr">
        <is>
          <t>포괄손익계산서</t>
        </is>
      </c>
      <c r="J814" s="29" t="inlineStr">
        <is>
          <t>dart_RevenueFromSaleOfGoodsProduct</t>
        </is>
      </c>
      <c r="K814" s="29" t="inlineStr">
        <is>
          <t>제품매출액</t>
        </is>
      </c>
      <c r="L814" s="29" t="inlineStr">
        <is>
          <t>-</t>
        </is>
      </c>
      <c r="M814" s="29" t="inlineStr">
        <is>
          <t>제 20 기</t>
        </is>
      </c>
      <c r="N814" s="29" t="inlineStr">
        <is>
          <t>243557564077.0</t>
        </is>
      </c>
      <c r="O814" s="29" t="inlineStr">
        <is>
          <t>230852647281.0</t>
        </is>
      </c>
      <c r="P814" s="29" t="inlineStr">
        <is>
          <t>KRW</t>
        </is>
      </c>
      <c r="Q814" s="29" t="inlineStr">
        <is>
          <t>39</t>
        </is>
      </c>
    </row>
    <row r="815" ht="24" customHeight="1">
      <c r="A815" s="24" t="inlineStr">
        <is>
          <t>OpenDART_fnlttSinglAcntAll</t>
        </is>
      </c>
      <c r="B815" s="24" t="inlineStr">
        <is>
          <t>00591441</t>
        </is>
      </c>
      <c r="C815" s="24" t="inlineStr">
        <is>
          <t>어보브반도체</t>
        </is>
      </c>
      <c r="D815" s="24" t="inlineStr">
        <is>
          <t>abov</t>
        </is>
      </c>
      <c r="E815" s="24" t="inlineStr">
        <is>
          <t>102120</t>
        </is>
      </c>
      <c r="F815" s="24" t="inlineStr">
        <is>
          <t>2025</t>
        </is>
      </c>
      <c r="G815" s="24" t="inlineStr">
        <is>
          <t>CFS</t>
        </is>
      </c>
      <c r="H815" s="24" t="inlineStr">
        <is>
          <t>CF</t>
        </is>
      </c>
      <c r="I815" s="24" t="inlineStr">
        <is>
          <t>현금흐름표</t>
        </is>
      </c>
      <c r="J815" s="24" t="inlineStr">
        <is>
          <t>dart_CashAndCashEquivalentsAtBeginningOfPeriodCf</t>
        </is>
      </c>
      <c r="K815" s="24" t="inlineStr">
        <is>
          <t>기초현금및현금성자산</t>
        </is>
      </c>
      <c r="L815" s="24" t="inlineStr">
        <is>
          <t>-</t>
        </is>
      </c>
      <c r="M815" s="24" t="inlineStr">
        <is>
          <t>제 20 기</t>
        </is>
      </c>
      <c r="N815" s="24" t="inlineStr">
        <is>
          <t>30971849914.0</t>
        </is>
      </c>
      <c r="O815" s="24" t="inlineStr">
        <is>
          <t>43417473689.0</t>
        </is>
      </c>
      <c r="P815" s="24" t="inlineStr">
        <is>
          <t>KRW</t>
        </is>
      </c>
      <c r="Q815" s="24" t="inlineStr">
        <is>
          <t>2</t>
        </is>
      </c>
    </row>
    <row r="816" ht="24" customHeight="1">
      <c r="A816" s="29" t="inlineStr">
        <is>
          <t>OpenDART_fnlttSinglAcntAll</t>
        </is>
      </c>
      <c r="B816" s="29" t="inlineStr">
        <is>
          <t>00591441</t>
        </is>
      </c>
      <c r="C816" s="29" t="inlineStr">
        <is>
          <t>어보브반도체</t>
        </is>
      </c>
      <c r="D816" s="29" t="inlineStr">
        <is>
          <t>abov</t>
        </is>
      </c>
      <c r="E816" s="29" t="inlineStr">
        <is>
          <t>102120</t>
        </is>
      </c>
      <c r="F816" s="29" t="inlineStr">
        <is>
          <t>2025</t>
        </is>
      </c>
      <c r="G816" s="29" t="inlineStr">
        <is>
          <t>CFS</t>
        </is>
      </c>
      <c r="H816" s="29" t="inlineStr">
        <is>
          <t>CF</t>
        </is>
      </c>
      <c r="I816" s="29" t="inlineStr">
        <is>
          <t>현금흐름표</t>
        </is>
      </c>
      <c r="J816" s="29" t="inlineStr">
        <is>
          <t>dart_CashAndCashEquivalentsAtEndOfPeriodCf</t>
        </is>
      </c>
      <c r="K816" s="29" t="inlineStr">
        <is>
          <t>기말현금및현금성자산</t>
        </is>
      </c>
      <c r="L816" s="29" t="inlineStr">
        <is>
          <t>-</t>
        </is>
      </c>
      <c r="M816" s="29" t="inlineStr">
        <is>
          <t>제 20 기</t>
        </is>
      </c>
      <c r="N816" s="29" t="inlineStr">
        <is>
          <t>18270298972.0</t>
        </is>
      </c>
      <c r="O816" s="29" t="inlineStr">
        <is>
          <t>30971849914.0</t>
        </is>
      </c>
      <c r="P816" s="29" t="inlineStr">
        <is>
          <t>KRW</t>
        </is>
      </c>
      <c r="Q816" s="29" t="inlineStr">
        <is>
          <t>3</t>
        </is>
      </c>
    </row>
    <row r="817" ht="24" customHeight="1">
      <c r="A817" s="24" t="inlineStr">
        <is>
          <t>OpenDART_fnlttSinglAcntAll</t>
        </is>
      </c>
      <c r="B817" s="24" t="inlineStr">
        <is>
          <t>00591441</t>
        </is>
      </c>
      <c r="C817" s="24" t="inlineStr">
        <is>
          <t>어보브반도체</t>
        </is>
      </c>
      <c r="D817" s="24" t="inlineStr">
        <is>
          <t>abov</t>
        </is>
      </c>
      <c r="E817" s="24" t="inlineStr">
        <is>
          <t>102120</t>
        </is>
      </c>
      <c r="F817" s="24" t="inlineStr">
        <is>
          <t>2025</t>
        </is>
      </c>
      <c r="G817" s="24" t="inlineStr">
        <is>
          <t>CFS</t>
        </is>
      </c>
      <c r="H817" s="24" t="inlineStr">
        <is>
          <t>CF</t>
        </is>
      </c>
      <c r="I817" s="24" t="inlineStr">
        <is>
          <t>현금흐름표</t>
        </is>
      </c>
      <c r="J817" s="24" t="inlineStr">
        <is>
          <t>ifrs-full_CashFlowsFromUsedInFinancingActivities</t>
        </is>
      </c>
      <c r="K817" s="24" t="inlineStr">
        <is>
          <t>재무활동현금흐름</t>
        </is>
      </c>
      <c r="L817" s="24" t="inlineStr">
        <is>
          <t>-</t>
        </is>
      </c>
      <c r="M817" s="24" t="inlineStr">
        <is>
          <t>제 20 기</t>
        </is>
      </c>
      <c r="N817" s="24" t="inlineStr">
        <is>
          <t>-22620331823.0</t>
        </is>
      </c>
      <c r="O817" s="24" t="inlineStr">
        <is>
          <t>18424858639.0</t>
        </is>
      </c>
      <c r="P817" s="24" t="inlineStr">
        <is>
          <t>KRW</t>
        </is>
      </c>
      <c r="Q817" s="24" t="inlineStr">
        <is>
          <t>8</t>
        </is>
      </c>
    </row>
    <row r="818" ht="24" customHeight="1">
      <c r="A818" s="29" t="inlineStr">
        <is>
          <t>OpenDART_fnlttSinglAcntAll</t>
        </is>
      </c>
      <c r="B818" s="29" t="inlineStr">
        <is>
          <t>00591441</t>
        </is>
      </c>
      <c r="C818" s="29" t="inlineStr">
        <is>
          <t>어보브반도체</t>
        </is>
      </c>
      <c r="D818" s="29" t="inlineStr">
        <is>
          <t>abov</t>
        </is>
      </c>
      <c r="E818" s="29" t="inlineStr">
        <is>
          <t>102120</t>
        </is>
      </c>
      <c r="F818" s="29" t="inlineStr">
        <is>
          <t>2025</t>
        </is>
      </c>
      <c r="G818" s="29" t="inlineStr">
        <is>
          <t>CFS</t>
        </is>
      </c>
      <c r="H818" s="29" t="inlineStr">
        <is>
          <t>CF</t>
        </is>
      </c>
      <c r="I818" s="29" t="inlineStr">
        <is>
          <t>현금흐름표</t>
        </is>
      </c>
      <c r="J818" s="29" t="inlineStr">
        <is>
          <t>dart_PaymentForStockIssueCost</t>
        </is>
      </c>
      <c r="K818" s="29" t="inlineStr">
        <is>
          <t>유상증자 거래비용</t>
        </is>
      </c>
      <c r="L818" s="29" t="inlineStr">
        <is>
          <t>-</t>
        </is>
      </c>
      <c r="M818" s="29" t="inlineStr">
        <is>
          <t>제 20 기</t>
        </is>
      </c>
      <c r="N818" s="29" t="inlineStr">
        <is>
          <t>53752000.0</t>
        </is>
      </c>
      <c r="O818" s="29" t="inlineStr">
        <is>
          <t>665274396.0</t>
        </is>
      </c>
      <c r="P818" s="29" t="inlineStr">
        <is>
          <t>KRW</t>
        </is>
      </c>
      <c r="Q818" s="29" t="inlineStr">
        <is>
          <t>9</t>
        </is>
      </c>
    </row>
    <row r="819" ht="24" customHeight="1">
      <c r="A819" s="24" t="inlineStr">
        <is>
          <t>OpenDART_fnlttSinglAcntAll</t>
        </is>
      </c>
      <c r="B819" s="24" t="inlineStr">
        <is>
          <t>00591441</t>
        </is>
      </c>
      <c r="C819" s="24" t="inlineStr">
        <is>
          <t>어보브반도체</t>
        </is>
      </c>
      <c r="D819" s="24" t="inlineStr">
        <is>
          <t>abov</t>
        </is>
      </c>
      <c r="E819" s="24" t="inlineStr">
        <is>
          <t>102120</t>
        </is>
      </c>
      <c r="F819" s="24" t="inlineStr">
        <is>
          <t>2025</t>
        </is>
      </c>
      <c r="G819" s="24" t="inlineStr">
        <is>
          <t>CFS</t>
        </is>
      </c>
      <c r="H819" s="24" t="inlineStr">
        <is>
          <t>CF</t>
        </is>
      </c>
      <c r="I819" s="24" t="inlineStr">
        <is>
          <t>현금흐름표</t>
        </is>
      </c>
      <c r="J819" s="24" t="inlineStr">
        <is>
          <t>dart_ProceedsFromBondWithWarrant</t>
        </is>
      </c>
      <c r="K819" s="24" t="inlineStr">
        <is>
          <t>신주인수권부사채의 발행</t>
        </is>
      </c>
      <c r="L819" s="24" t="inlineStr">
        <is>
          <t>-</t>
        </is>
      </c>
      <c r="M819" s="24" t="inlineStr">
        <is>
          <t>제 20 기</t>
        </is>
      </c>
      <c r="N819" s="24" t="inlineStr">
        <is>
          <t>해당 없음</t>
        </is>
      </c>
      <c r="O819" s="24" t="inlineStr">
        <is>
          <t>해당 없음</t>
        </is>
      </c>
      <c r="P819" s="24" t="inlineStr">
        <is>
          <t>KRW</t>
        </is>
      </c>
      <c r="Q819" s="24" t="inlineStr">
        <is>
          <t>10</t>
        </is>
      </c>
    </row>
    <row r="820" ht="24" customHeight="1">
      <c r="A820" s="29" t="inlineStr">
        <is>
          <t>OpenDART_fnlttSinglAcntAll</t>
        </is>
      </c>
      <c r="B820" s="29" t="inlineStr">
        <is>
          <t>00591441</t>
        </is>
      </c>
      <c r="C820" s="29" t="inlineStr">
        <is>
          <t>어보브반도체</t>
        </is>
      </c>
      <c r="D820" s="29" t="inlineStr">
        <is>
          <t>abov</t>
        </is>
      </c>
      <c r="E820" s="29" t="inlineStr">
        <is>
          <t>102120</t>
        </is>
      </c>
      <c r="F820" s="29" t="inlineStr">
        <is>
          <t>2025</t>
        </is>
      </c>
      <c r="G820" s="29" t="inlineStr">
        <is>
          <t>CFS</t>
        </is>
      </c>
      <c r="H820" s="29" t="inlineStr">
        <is>
          <t>CF</t>
        </is>
      </c>
      <c r="I820" s="29" t="inlineStr">
        <is>
          <t>현금흐름표</t>
        </is>
      </c>
      <c r="J820" s="29" t="inlineStr">
        <is>
          <t>dart_ProceedsFromConvertibleBonds</t>
        </is>
      </c>
      <c r="K820" s="29" t="inlineStr">
        <is>
          <t>전환사채의 발행</t>
        </is>
      </c>
      <c r="L820" s="29" t="inlineStr">
        <is>
          <t>-</t>
        </is>
      </c>
      <c r="M820" s="29" t="inlineStr">
        <is>
          <t>제 20 기</t>
        </is>
      </c>
      <c r="N820" s="29" t="inlineStr">
        <is>
          <t>해당 없음</t>
        </is>
      </c>
      <c r="O820" s="29" t="inlineStr">
        <is>
          <t>해당 없음</t>
        </is>
      </c>
      <c r="P820" s="29" t="inlineStr">
        <is>
          <t>KRW</t>
        </is>
      </c>
      <c r="Q820" s="29" t="inlineStr">
        <is>
          <t>11</t>
        </is>
      </c>
    </row>
    <row r="821" ht="24" customHeight="1">
      <c r="A821" s="24" t="inlineStr">
        <is>
          <t>OpenDART_fnlttSinglAcntAll</t>
        </is>
      </c>
      <c r="B821" s="24" t="inlineStr">
        <is>
          <t>00591441</t>
        </is>
      </c>
      <c r="C821" s="24" t="inlineStr">
        <is>
          <t>어보브반도체</t>
        </is>
      </c>
      <c r="D821" s="24" t="inlineStr">
        <is>
          <t>abov</t>
        </is>
      </c>
      <c r="E821" s="24" t="inlineStr">
        <is>
          <t>102120</t>
        </is>
      </c>
      <c r="F821" s="24" t="inlineStr">
        <is>
          <t>2025</t>
        </is>
      </c>
      <c r="G821" s="24" t="inlineStr">
        <is>
          <t>CFS</t>
        </is>
      </c>
      <c r="H821" s="24" t="inlineStr">
        <is>
          <t>CF</t>
        </is>
      </c>
      <c r="I821" s="24" t="inlineStr">
        <is>
          <t>현금흐름표</t>
        </is>
      </c>
      <c r="J821" s="24" t="inlineStr">
        <is>
          <t>dart_ProceedsFromExchangeableBond</t>
        </is>
      </c>
      <c r="K821" s="24" t="inlineStr">
        <is>
          <t>교환사채의 발행</t>
        </is>
      </c>
      <c r="L821" s="24" t="inlineStr">
        <is>
          <t>-</t>
        </is>
      </c>
      <c r="M821" s="24" t="inlineStr">
        <is>
          <t>제 20 기</t>
        </is>
      </c>
      <c r="N821" s="24" t="inlineStr">
        <is>
          <t>해당 없음</t>
        </is>
      </c>
      <c r="O821" s="24" t="inlineStr">
        <is>
          <t>19987660000.0</t>
        </is>
      </c>
      <c r="P821" s="24" t="inlineStr">
        <is>
          <t>KRW</t>
        </is>
      </c>
      <c r="Q821" s="24" t="inlineStr">
        <is>
          <t>12</t>
        </is>
      </c>
    </row>
    <row r="822" ht="24" customHeight="1">
      <c r="A822" s="29" t="inlineStr">
        <is>
          <t>OpenDART_fnlttSinglAcntAll</t>
        </is>
      </c>
      <c r="B822" s="29" t="inlineStr">
        <is>
          <t>00591441</t>
        </is>
      </c>
      <c r="C822" s="29" t="inlineStr">
        <is>
          <t>어보브반도체</t>
        </is>
      </c>
      <c r="D822" s="29" t="inlineStr">
        <is>
          <t>abov</t>
        </is>
      </c>
      <c r="E822" s="29" t="inlineStr">
        <is>
          <t>102120</t>
        </is>
      </c>
      <c r="F822" s="29" t="inlineStr">
        <is>
          <t>2025</t>
        </is>
      </c>
      <c r="G822" s="29" t="inlineStr">
        <is>
          <t>CFS</t>
        </is>
      </c>
      <c r="H822" s="29" t="inlineStr">
        <is>
          <t>CF</t>
        </is>
      </c>
      <c r="I822" s="29" t="inlineStr">
        <is>
          <t>현금흐름표</t>
        </is>
      </c>
      <c r="J822" s="29" t="inlineStr">
        <is>
          <t>dart_ProceedsFromLongTermBorrowings</t>
        </is>
      </c>
      <c r="K822" s="29" t="inlineStr">
        <is>
          <t>장기차입금의 차입</t>
        </is>
      </c>
      <c r="L822" s="29" t="inlineStr">
        <is>
          <t>-</t>
        </is>
      </c>
      <c r="M822" s="29" t="inlineStr">
        <is>
          <t>제 20 기</t>
        </is>
      </c>
      <c r="N822" s="29" t="inlineStr">
        <is>
          <t>12000000000.0</t>
        </is>
      </c>
      <c r="O822" s="29" t="inlineStr">
        <is>
          <t>2400000000.0</t>
        </is>
      </c>
      <c r="P822" s="29" t="inlineStr">
        <is>
          <t>KRW</t>
        </is>
      </c>
      <c r="Q822" s="29" t="inlineStr">
        <is>
          <t>13</t>
        </is>
      </c>
    </row>
    <row r="823" ht="24" customHeight="1">
      <c r="A823" s="24" t="inlineStr">
        <is>
          <t>OpenDART_fnlttSinglAcntAll</t>
        </is>
      </c>
      <c r="B823" s="24" t="inlineStr">
        <is>
          <t>00591441</t>
        </is>
      </c>
      <c r="C823" s="24" t="inlineStr">
        <is>
          <t>어보브반도체</t>
        </is>
      </c>
      <c r="D823" s="24" t="inlineStr">
        <is>
          <t>abov</t>
        </is>
      </c>
      <c r="E823" s="24" t="inlineStr">
        <is>
          <t>102120</t>
        </is>
      </c>
      <c r="F823" s="24" t="inlineStr">
        <is>
          <t>2025</t>
        </is>
      </c>
      <c r="G823" s="24" t="inlineStr">
        <is>
          <t>CFS</t>
        </is>
      </c>
      <c r="H823" s="24" t="inlineStr">
        <is>
          <t>CF</t>
        </is>
      </c>
      <c r="I823" s="24" t="inlineStr">
        <is>
          <t>현금흐름표</t>
        </is>
      </c>
      <c r="J823" s="24" t="inlineStr">
        <is>
          <t>dart_ProceedsFromShortTermBorrowings</t>
        </is>
      </c>
      <c r="K823" s="24" t="inlineStr">
        <is>
          <t>단기차입금의 차입</t>
        </is>
      </c>
      <c r="L823" s="24" t="inlineStr">
        <is>
          <t>-</t>
        </is>
      </c>
      <c r="M823" s="24" t="inlineStr">
        <is>
          <t>제 20 기</t>
        </is>
      </c>
      <c r="N823" s="24" t="inlineStr">
        <is>
          <t>15000000000.0</t>
        </is>
      </c>
      <c r="O823" s="24" t="inlineStr">
        <is>
          <t>20700000000.0</t>
        </is>
      </c>
      <c r="P823" s="24" t="inlineStr">
        <is>
          <t>KRW</t>
        </is>
      </c>
      <c r="Q823" s="24" t="inlineStr">
        <is>
          <t>14</t>
        </is>
      </c>
    </row>
    <row r="824" ht="24" customHeight="1">
      <c r="A824" s="29" t="inlineStr">
        <is>
          <t>OpenDART_fnlttSinglAcntAll</t>
        </is>
      </c>
      <c r="B824" s="29" t="inlineStr">
        <is>
          <t>00591441</t>
        </is>
      </c>
      <c r="C824" s="29" t="inlineStr">
        <is>
          <t>어보브반도체</t>
        </is>
      </c>
      <c r="D824" s="29" t="inlineStr">
        <is>
          <t>abov</t>
        </is>
      </c>
      <c r="E824" s="29" t="inlineStr">
        <is>
          <t>102120</t>
        </is>
      </c>
      <c r="F824" s="29" t="inlineStr">
        <is>
          <t>2025</t>
        </is>
      </c>
      <c r="G824" s="29" t="inlineStr">
        <is>
          <t>CFS</t>
        </is>
      </c>
      <c r="H824" s="29" t="inlineStr">
        <is>
          <t>CF</t>
        </is>
      </c>
      <c r="I824" s="29" t="inlineStr">
        <is>
          <t>현금흐름표</t>
        </is>
      </c>
      <c r="J824" s="29" t="inlineStr">
        <is>
          <t>dart_RepaymentsOfBondWithWarrant</t>
        </is>
      </c>
      <c r="K824" s="29" t="inlineStr">
        <is>
          <t>신주인수권부사채의 상환</t>
        </is>
      </c>
      <c r="L824" s="29" t="inlineStr">
        <is>
          <t>-</t>
        </is>
      </c>
      <c r="M824" s="29" t="inlineStr">
        <is>
          <t>제 20 기</t>
        </is>
      </c>
      <c r="N824" s="29" t="inlineStr">
        <is>
          <t>875000000.0</t>
        </is>
      </c>
      <c r="O824" s="29" t="inlineStr">
        <is>
          <t>2000000000.0</t>
        </is>
      </c>
      <c r="P824" s="29" t="inlineStr">
        <is>
          <t>KRW</t>
        </is>
      </c>
      <c r="Q824" s="29" t="inlineStr">
        <is>
          <t>15</t>
        </is>
      </c>
    </row>
    <row r="825" ht="24" customHeight="1">
      <c r="A825" s="24" t="inlineStr">
        <is>
          <t>OpenDART_fnlttSinglAcntAll</t>
        </is>
      </c>
      <c r="B825" s="24" t="inlineStr">
        <is>
          <t>00591441</t>
        </is>
      </c>
      <c r="C825" s="24" t="inlineStr">
        <is>
          <t>어보브반도체</t>
        </is>
      </c>
      <c r="D825" s="24" t="inlineStr">
        <is>
          <t>abov</t>
        </is>
      </c>
      <c r="E825" s="24" t="inlineStr">
        <is>
          <t>102120</t>
        </is>
      </c>
      <c r="F825" s="24" t="inlineStr">
        <is>
          <t>2025</t>
        </is>
      </c>
      <c r="G825" s="24" t="inlineStr">
        <is>
          <t>CFS</t>
        </is>
      </c>
      <c r="H825" s="24" t="inlineStr">
        <is>
          <t>CF</t>
        </is>
      </c>
      <c r="I825" s="24" t="inlineStr">
        <is>
          <t>현금흐름표</t>
        </is>
      </c>
      <c r="J825" s="24" t="inlineStr">
        <is>
          <t>dart_RepaymentsOfConvertibleBonds</t>
        </is>
      </c>
      <c r="K825" s="24" t="inlineStr">
        <is>
          <t>전환사채의 상환</t>
        </is>
      </c>
      <c r="L825" s="24" t="inlineStr">
        <is>
          <t>-</t>
        </is>
      </c>
      <c r="M825" s="24" t="inlineStr">
        <is>
          <t>제 20 기</t>
        </is>
      </c>
      <c r="N825" s="24" t="inlineStr">
        <is>
          <t>1200000000.0</t>
        </is>
      </c>
      <c r="O825" s="24" t="inlineStr">
        <is>
          <t>9000000000.0</t>
        </is>
      </c>
      <c r="P825" s="24" t="inlineStr">
        <is>
          <t>KRW</t>
        </is>
      </c>
      <c r="Q825" s="24" t="inlineStr">
        <is>
          <t>16</t>
        </is>
      </c>
    </row>
    <row r="826" ht="24" customHeight="1">
      <c r="A826" s="29" t="inlineStr">
        <is>
          <t>OpenDART_fnlttSinglAcntAll</t>
        </is>
      </c>
      <c r="B826" s="29" t="inlineStr">
        <is>
          <t>00591441</t>
        </is>
      </c>
      <c r="C826" s="29" t="inlineStr">
        <is>
          <t>어보브반도체</t>
        </is>
      </c>
      <c r="D826" s="29" t="inlineStr">
        <is>
          <t>abov</t>
        </is>
      </c>
      <c r="E826" s="29" t="inlineStr">
        <is>
          <t>102120</t>
        </is>
      </c>
      <c r="F826" s="29" t="inlineStr">
        <is>
          <t>2025</t>
        </is>
      </c>
      <c r="G826" s="29" t="inlineStr">
        <is>
          <t>CFS</t>
        </is>
      </c>
      <c r="H826" s="29" t="inlineStr">
        <is>
          <t>CF</t>
        </is>
      </c>
      <c r="I826" s="29" t="inlineStr">
        <is>
          <t>현금흐름표</t>
        </is>
      </c>
      <c r="J826" s="29" t="inlineStr">
        <is>
          <t>dart_RepaymentsOfLongTermBorrowings</t>
        </is>
      </c>
      <c r="K826" s="29" t="inlineStr">
        <is>
          <t>장기차입금의 상환</t>
        </is>
      </c>
      <c r="L826" s="29" t="inlineStr">
        <is>
          <t>-</t>
        </is>
      </c>
      <c r="M826" s="29" t="inlineStr">
        <is>
          <t>제 20 기</t>
        </is>
      </c>
      <c r="N826" s="29" t="inlineStr">
        <is>
          <t>해당 없음</t>
        </is>
      </c>
      <c r="O826" s="29" t="inlineStr">
        <is>
          <t>150000000.0</t>
        </is>
      </c>
      <c r="P826" s="29" t="inlineStr">
        <is>
          <t>KRW</t>
        </is>
      </c>
      <c r="Q826" s="29" t="inlineStr">
        <is>
          <t>17</t>
        </is>
      </c>
    </row>
    <row r="827" ht="24" customHeight="1">
      <c r="A827" s="24" t="inlineStr">
        <is>
          <t>OpenDART_fnlttSinglAcntAll</t>
        </is>
      </c>
      <c r="B827" s="24" t="inlineStr">
        <is>
          <t>00591441</t>
        </is>
      </c>
      <c r="C827" s="24" t="inlineStr">
        <is>
          <t>어보브반도체</t>
        </is>
      </c>
      <c r="D827" s="24" t="inlineStr">
        <is>
          <t>abov</t>
        </is>
      </c>
      <c r="E827" s="24" t="inlineStr">
        <is>
          <t>102120</t>
        </is>
      </c>
      <c r="F827" s="24" t="inlineStr">
        <is>
          <t>2025</t>
        </is>
      </c>
      <c r="G827" s="24" t="inlineStr">
        <is>
          <t>CFS</t>
        </is>
      </c>
      <c r="H827" s="24" t="inlineStr">
        <is>
          <t>CF</t>
        </is>
      </c>
      <c r="I827" s="24" t="inlineStr">
        <is>
          <t>현금흐름표</t>
        </is>
      </c>
      <c r="J827" s="24" t="inlineStr">
        <is>
          <t>dart_RepaymentsOfShortTermBorrowings</t>
        </is>
      </c>
      <c r="K827" s="24" t="inlineStr">
        <is>
          <t>단기차입금의 상환</t>
        </is>
      </c>
      <c r="L827" s="24" t="inlineStr">
        <is>
          <t>-</t>
        </is>
      </c>
      <c r="M827" s="24" t="inlineStr">
        <is>
          <t>제 20 기</t>
        </is>
      </c>
      <c r="N827" s="24" t="inlineStr">
        <is>
          <t>34629000000.0</t>
        </is>
      </c>
      <c r="O827" s="24" t="inlineStr">
        <is>
          <t>24261124962.0</t>
        </is>
      </c>
      <c r="P827" s="24" t="inlineStr">
        <is>
          <t>KRW</t>
        </is>
      </c>
      <c r="Q827" s="24" t="inlineStr">
        <is>
          <t>18</t>
        </is>
      </c>
    </row>
    <row r="828" ht="24" customHeight="1">
      <c r="A828" s="29" t="inlineStr">
        <is>
          <t>OpenDART_fnlttSinglAcntAll</t>
        </is>
      </c>
      <c r="B828" s="29" t="inlineStr">
        <is>
          <t>00591441</t>
        </is>
      </c>
      <c r="C828" s="29" t="inlineStr">
        <is>
          <t>어보브반도체</t>
        </is>
      </c>
      <c r="D828" s="29" t="inlineStr">
        <is>
          <t>abov</t>
        </is>
      </c>
      <c r="E828" s="29" t="inlineStr">
        <is>
          <t>102120</t>
        </is>
      </c>
      <c r="F828" s="29" t="inlineStr">
        <is>
          <t>2025</t>
        </is>
      </c>
      <c r="G828" s="29" t="inlineStr">
        <is>
          <t>CFS</t>
        </is>
      </c>
      <c r="H828" s="29" t="inlineStr">
        <is>
          <t>CF</t>
        </is>
      </c>
      <c r="I828" s="29" t="inlineStr">
        <is>
          <t>현금흐름표</t>
        </is>
      </c>
      <c r="J828" s="29" t="inlineStr">
        <is>
          <t>ifrs-full_DividendsPaidClassifiedAsFinancingActivities</t>
        </is>
      </c>
      <c r="K828" s="29" t="inlineStr">
        <is>
          <t>배당금의 지급</t>
        </is>
      </c>
      <c r="L828" s="29" t="inlineStr">
        <is>
          <t>-</t>
        </is>
      </c>
      <c r="M828" s="29" t="inlineStr">
        <is>
          <t>제 20 기</t>
        </is>
      </c>
      <c r="N828" s="29" t="inlineStr">
        <is>
          <t>2474813100.0</t>
        </is>
      </c>
      <c r="O828" s="29" t="inlineStr">
        <is>
          <t>1649875400.0</t>
        </is>
      </c>
      <c r="P828" s="29" t="inlineStr">
        <is>
          <t>KRW</t>
        </is>
      </c>
      <c r="Q828" s="29" t="inlineStr">
        <is>
          <t>19</t>
        </is>
      </c>
    </row>
    <row r="829" ht="24" customHeight="1">
      <c r="A829" s="24" t="inlineStr">
        <is>
          <t>OpenDART_fnlttSinglAcntAll</t>
        </is>
      </c>
      <c r="B829" s="24" t="inlineStr">
        <is>
          <t>00591441</t>
        </is>
      </c>
      <c r="C829" s="24" t="inlineStr">
        <is>
          <t>어보브반도체</t>
        </is>
      </c>
      <c r="D829" s="24" t="inlineStr">
        <is>
          <t>abov</t>
        </is>
      </c>
      <c r="E829" s="24" t="inlineStr">
        <is>
          <t>102120</t>
        </is>
      </c>
      <c r="F829" s="24" t="inlineStr">
        <is>
          <t>2025</t>
        </is>
      </c>
      <c r="G829" s="24" t="inlineStr">
        <is>
          <t>CFS</t>
        </is>
      </c>
      <c r="H829" s="24" t="inlineStr">
        <is>
          <t>CF</t>
        </is>
      </c>
      <c r="I829" s="24" t="inlineStr">
        <is>
          <t>현금흐름표</t>
        </is>
      </c>
      <c r="J829" s="24" t="inlineStr">
        <is>
          <t>ifrs-full_PaymentsOfLeaseLiabilitiesClassifiedAsFinancingActivities</t>
        </is>
      </c>
      <c r="K829" s="24" t="inlineStr">
        <is>
          <t>리스부채의 감소</t>
        </is>
      </c>
      <c r="L829" s="24" t="inlineStr">
        <is>
          <t>-</t>
        </is>
      </c>
      <c r="M829" s="24" t="inlineStr">
        <is>
          <t>제 20 기</t>
        </is>
      </c>
      <c r="N829" s="24" t="inlineStr">
        <is>
          <t>1396039569.0</t>
        </is>
      </c>
      <c r="O829" s="24" t="inlineStr">
        <is>
          <t>3255583475.0</t>
        </is>
      </c>
      <c r="P829" s="24" t="inlineStr">
        <is>
          <t>KRW</t>
        </is>
      </c>
      <c r="Q829" s="24" t="inlineStr">
        <is>
          <t>20</t>
        </is>
      </c>
    </row>
    <row r="830" ht="24" customHeight="1">
      <c r="A830" s="29" t="inlineStr">
        <is>
          <t>OpenDART_fnlttSinglAcntAll</t>
        </is>
      </c>
      <c r="B830" s="29" t="inlineStr">
        <is>
          <t>00591441</t>
        </is>
      </c>
      <c r="C830" s="29" t="inlineStr">
        <is>
          <t>어보브반도체</t>
        </is>
      </c>
      <c r="D830" s="29" t="inlineStr">
        <is>
          <t>abov</t>
        </is>
      </c>
      <c r="E830" s="29" t="inlineStr">
        <is>
          <t>102120</t>
        </is>
      </c>
      <c r="F830" s="29" t="inlineStr">
        <is>
          <t>2025</t>
        </is>
      </c>
      <c r="G830" s="29" t="inlineStr">
        <is>
          <t>CFS</t>
        </is>
      </c>
      <c r="H830" s="29" t="inlineStr">
        <is>
          <t>CF</t>
        </is>
      </c>
      <c r="I830" s="29" t="inlineStr">
        <is>
          <t>현금흐름표</t>
        </is>
      </c>
      <c r="J830" s="29" t="inlineStr">
        <is>
          <t>ifrs-full_ProceedsFromIssuingShares</t>
        </is>
      </c>
      <c r="K830" s="29" t="inlineStr">
        <is>
          <t>자본금 증자</t>
        </is>
      </c>
      <c r="L830" s="29" t="inlineStr">
        <is>
          <t>-</t>
        </is>
      </c>
      <c r="M830" s="29" t="inlineStr">
        <is>
          <t>제 20 기</t>
        </is>
      </c>
      <c r="N830" s="29" t="inlineStr">
        <is>
          <t>해당 없음</t>
        </is>
      </c>
      <c r="O830" s="29" t="inlineStr">
        <is>
          <t>29384211304.0</t>
        </is>
      </c>
      <c r="P830" s="29" t="inlineStr">
        <is>
          <t>KRW</t>
        </is>
      </c>
      <c r="Q830" s="29" t="inlineStr">
        <is>
          <t>21</t>
        </is>
      </c>
    </row>
    <row r="831" ht="24" customHeight="1">
      <c r="A831" s="24" t="inlineStr">
        <is>
          <t>OpenDART_fnlttSinglAcntAll</t>
        </is>
      </c>
      <c r="B831" s="24" t="inlineStr">
        <is>
          <t>00591441</t>
        </is>
      </c>
      <c r="C831" s="24" t="inlineStr">
        <is>
          <t>어보브반도체</t>
        </is>
      </c>
      <c r="D831" s="24" t="inlineStr">
        <is>
          <t>abov</t>
        </is>
      </c>
      <c r="E831" s="24" t="inlineStr">
        <is>
          <t>102120</t>
        </is>
      </c>
      <c r="F831" s="24" t="inlineStr">
        <is>
          <t>2025</t>
        </is>
      </c>
      <c r="G831" s="24" t="inlineStr">
        <is>
          <t>CFS</t>
        </is>
      </c>
      <c r="H831" s="24" t="inlineStr">
        <is>
          <t>CF</t>
        </is>
      </c>
      <c r="I831" s="24" t="inlineStr">
        <is>
          <t>현금흐름표</t>
        </is>
      </c>
      <c r="J831" s="24" t="inlineStr">
        <is>
          <t>ifrs-full_RepaymentsOfCurrentBorrowings</t>
        </is>
      </c>
      <c r="K831" s="24" t="inlineStr">
        <is>
          <t>유동성장기차입금의 상환</t>
        </is>
      </c>
      <c r="L831" s="24" t="inlineStr">
        <is>
          <t>-</t>
        </is>
      </c>
      <c r="M831" s="24" t="inlineStr">
        <is>
          <t>제 20 기</t>
        </is>
      </c>
      <c r="N831" s="24" t="inlineStr">
        <is>
          <t>8991727154.0</t>
        </is>
      </c>
      <c r="O831" s="24" t="inlineStr">
        <is>
          <t>13065154432.0</t>
        </is>
      </c>
      <c r="P831" s="24" t="inlineStr">
        <is>
          <t>KRW</t>
        </is>
      </c>
      <c r="Q831" s="24" t="inlineStr">
        <is>
          <t>22</t>
        </is>
      </c>
    </row>
    <row r="832" ht="24" customHeight="1">
      <c r="A832" s="29" t="inlineStr">
        <is>
          <t>OpenDART_fnlttSinglAcntAll</t>
        </is>
      </c>
      <c r="B832" s="29" t="inlineStr">
        <is>
          <t>00591441</t>
        </is>
      </c>
      <c r="C832" s="29" t="inlineStr">
        <is>
          <t>어보브반도체</t>
        </is>
      </c>
      <c r="D832" s="29" t="inlineStr">
        <is>
          <t>abov</t>
        </is>
      </c>
      <c r="E832" s="29" t="inlineStr">
        <is>
          <t>102120</t>
        </is>
      </c>
      <c r="F832" s="29" t="inlineStr">
        <is>
          <t>2025</t>
        </is>
      </c>
      <c r="G832" s="29" t="inlineStr">
        <is>
          <t>CFS</t>
        </is>
      </c>
      <c r="H832" s="29" t="inlineStr">
        <is>
          <t>CF</t>
        </is>
      </c>
      <c r="I832" s="29" t="inlineStr">
        <is>
          <t>현금흐름표</t>
        </is>
      </c>
      <c r="J832" s="29" t="inlineStr">
        <is>
          <t>ifrs-full_CashFlowsFromUsedInInvestingActivities</t>
        </is>
      </c>
      <c r="K832" s="29" t="inlineStr">
        <is>
          <t>투자활동현금흐름</t>
        </is>
      </c>
      <c r="L832" s="29" t="inlineStr">
        <is>
          <t>-</t>
        </is>
      </c>
      <c r="M832" s="29" t="inlineStr">
        <is>
          <t>제 20 기</t>
        </is>
      </c>
      <c r="N832" s="29" t="inlineStr">
        <is>
          <t>-4623250849.0</t>
        </is>
      </c>
      <c r="O832" s="29" t="inlineStr">
        <is>
          <t>-58751841871.0</t>
        </is>
      </c>
      <c r="P832" s="29" t="inlineStr">
        <is>
          <t>KRW</t>
        </is>
      </c>
      <c r="Q832" s="29" t="inlineStr">
        <is>
          <t>23</t>
        </is>
      </c>
    </row>
    <row r="833" ht="24" customHeight="1">
      <c r="A833" s="24" t="inlineStr">
        <is>
          <t>OpenDART_fnlttSinglAcntAll</t>
        </is>
      </c>
      <c r="B833" s="24" t="inlineStr">
        <is>
          <t>00591441</t>
        </is>
      </c>
      <c r="C833" s="24" t="inlineStr">
        <is>
          <t>어보브반도체</t>
        </is>
      </c>
      <c r="D833" s="24" t="inlineStr">
        <is>
          <t>abov</t>
        </is>
      </c>
      <c r="E833" s="24" t="inlineStr">
        <is>
          <t>102120</t>
        </is>
      </c>
      <c r="F833" s="24" t="inlineStr">
        <is>
          <t>2025</t>
        </is>
      </c>
      <c r="G833" s="24" t="inlineStr">
        <is>
          <t>CFS</t>
        </is>
      </c>
      <c r="H833" s="24" t="inlineStr">
        <is>
          <t>CF</t>
        </is>
      </c>
      <c r="I833" s="24" t="inlineStr">
        <is>
          <t>현금흐름표</t>
        </is>
      </c>
      <c r="J833" s="24" t="inlineStr">
        <is>
          <t>dart_DecreaseInGuaranteeDeposits</t>
        </is>
      </c>
      <c r="K833" s="24" t="inlineStr">
        <is>
          <t>임차보증금의 감소</t>
        </is>
      </c>
      <c r="L833" s="24" t="inlineStr">
        <is>
          <t>-</t>
        </is>
      </c>
      <c r="M833" s="24" t="inlineStr">
        <is>
          <t>제 20 기</t>
        </is>
      </c>
      <c r="N833" s="24" t="inlineStr">
        <is>
          <t>460000000.0</t>
        </is>
      </c>
      <c r="O833" s="24" t="inlineStr">
        <is>
          <t>792448500.0</t>
        </is>
      </c>
      <c r="P833" s="24" t="inlineStr">
        <is>
          <t>KRW</t>
        </is>
      </c>
      <c r="Q833" s="24" t="inlineStr">
        <is>
          <t>24</t>
        </is>
      </c>
    </row>
    <row r="834" ht="24" customHeight="1">
      <c r="A834" s="29" t="inlineStr">
        <is>
          <t>OpenDART_fnlttSinglAcntAll</t>
        </is>
      </c>
      <c r="B834" s="29" t="inlineStr">
        <is>
          <t>00591441</t>
        </is>
      </c>
      <c r="C834" s="29" t="inlineStr">
        <is>
          <t>어보브반도체</t>
        </is>
      </c>
      <c r="D834" s="29" t="inlineStr">
        <is>
          <t>abov</t>
        </is>
      </c>
      <c r="E834" s="29" t="inlineStr">
        <is>
          <t>102120</t>
        </is>
      </c>
      <c r="F834" s="29" t="inlineStr">
        <is>
          <t>2025</t>
        </is>
      </c>
      <c r="G834" s="29" t="inlineStr">
        <is>
          <t>CFS</t>
        </is>
      </c>
      <c r="H834" s="29" t="inlineStr">
        <is>
          <t>CF</t>
        </is>
      </c>
      <c r="I834" s="29" t="inlineStr">
        <is>
          <t>현금흐름표</t>
        </is>
      </c>
      <c r="J834" s="29" t="inlineStr">
        <is>
          <t>dart_DecreaseInGuaranteeDepositsAsFinancialActivities</t>
        </is>
      </c>
      <c r="K834" s="29" t="inlineStr">
        <is>
          <t>임대보증금의 감소</t>
        </is>
      </c>
      <c r="L834" s="29" t="inlineStr">
        <is>
          <t>-</t>
        </is>
      </c>
      <c r="M834" s="29" t="inlineStr">
        <is>
          <t>제 20 기</t>
        </is>
      </c>
      <c r="N834" s="29" t="inlineStr">
        <is>
          <t>10000000.0</t>
        </is>
      </c>
      <c r="O834" s="29" t="inlineStr">
        <is>
          <t>해당 없음</t>
        </is>
      </c>
      <c r="P834" s="29" t="inlineStr">
        <is>
          <t>KRW</t>
        </is>
      </c>
      <c r="Q834" s="29" t="inlineStr">
        <is>
          <t>25</t>
        </is>
      </c>
    </row>
    <row r="835" ht="24" customHeight="1">
      <c r="A835" s="24" t="inlineStr">
        <is>
          <t>OpenDART_fnlttSinglAcntAll</t>
        </is>
      </c>
      <c r="B835" s="24" t="inlineStr">
        <is>
          <t>00591441</t>
        </is>
      </c>
      <c r="C835" s="24" t="inlineStr">
        <is>
          <t>어보브반도체</t>
        </is>
      </c>
      <c r="D835" s="24" t="inlineStr">
        <is>
          <t>abov</t>
        </is>
      </c>
      <c r="E835" s="24" t="inlineStr">
        <is>
          <t>102120</t>
        </is>
      </c>
      <c r="F835" s="24" t="inlineStr">
        <is>
          <t>2025</t>
        </is>
      </c>
      <c r="G835" s="24" t="inlineStr">
        <is>
          <t>CFS</t>
        </is>
      </c>
      <c r="H835" s="24" t="inlineStr">
        <is>
          <t>CF</t>
        </is>
      </c>
      <c r="I835" s="24" t="inlineStr">
        <is>
          <t>현금흐름표</t>
        </is>
      </c>
      <c r="J835" s="24" t="inlineStr">
        <is>
          <t>dart_DecreaseInLoans</t>
        </is>
      </c>
      <c r="K835" s="24" t="inlineStr">
        <is>
          <t>대여금의 감소</t>
        </is>
      </c>
      <c r="L835" s="24" t="inlineStr">
        <is>
          <t>-</t>
        </is>
      </c>
      <c r="M835" s="24" t="inlineStr">
        <is>
          <t>제 20 기</t>
        </is>
      </c>
      <c r="N835" s="24" t="inlineStr">
        <is>
          <t>329999900.0</t>
        </is>
      </c>
      <c r="O835" s="24" t="inlineStr">
        <is>
          <t>5000100.0</t>
        </is>
      </c>
      <c r="P835" s="24" t="inlineStr">
        <is>
          <t>KRW</t>
        </is>
      </c>
      <c r="Q835" s="24" t="inlineStr">
        <is>
          <t>26</t>
        </is>
      </c>
    </row>
    <row r="836" ht="24" customHeight="1">
      <c r="A836" s="29" t="inlineStr">
        <is>
          <t>OpenDART_fnlttSinglAcntAll</t>
        </is>
      </c>
      <c r="B836" s="29" t="inlineStr">
        <is>
          <t>00591441</t>
        </is>
      </c>
      <c r="C836" s="29" t="inlineStr">
        <is>
          <t>어보브반도체</t>
        </is>
      </c>
      <c r="D836" s="29" t="inlineStr">
        <is>
          <t>abov</t>
        </is>
      </c>
      <c r="E836" s="29" t="inlineStr">
        <is>
          <t>102120</t>
        </is>
      </c>
      <c r="F836" s="29" t="inlineStr">
        <is>
          <t>2025</t>
        </is>
      </c>
      <c r="G836" s="29" t="inlineStr">
        <is>
          <t>CFS</t>
        </is>
      </c>
      <c r="H836" s="29" t="inlineStr">
        <is>
          <t>CF</t>
        </is>
      </c>
      <c r="I836" s="29" t="inlineStr">
        <is>
          <t>현금흐름표</t>
        </is>
      </c>
      <c r="J836" s="29" t="inlineStr">
        <is>
          <t>dart_IncreaseInGuaranteeDeposits</t>
        </is>
      </c>
      <c r="K836" s="29" t="inlineStr">
        <is>
          <t>임차보증금의 증가</t>
        </is>
      </c>
      <c r="L836" s="29" t="inlineStr">
        <is>
          <t>-</t>
        </is>
      </c>
      <c r="M836" s="29" t="inlineStr">
        <is>
          <t>제 20 기</t>
        </is>
      </c>
      <c r="N836" s="29" t="inlineStr">
        <is>
          <t>63107634.0</t>
        </is>
      </c>
      <c r="O836" s="29" t="inlineStr">
        <is>
          <t>152561385.0</t>
        </is>
      </c>
      <c r="P836" s="29" t="inlineStr">
        <is>
          <t>KRW</t>
        </is>
      </c>
      <c r="Q836" s="29" t="inlineStr">
        <is>
          <t>27</t>
        </is>
      </c>
    </row>
    <row r="837" ht="24" customHeight="1">
      <c r="A837" s="24" t="inlineStr">
        <is>
          <t>OpenDART_fnlttSinglAcntAll</t>
        </is>
      </c>
      <c r="B837" s="24" t="inlineStr">
        <is>
          <t>00591441</t>
        </is>
      </c>
      <c r="C837" s="24" t="inlineStr">
        <is>
          <t>어보브반도체</t>
        </is>
      </c>
      <c r="D837" s="24" t="inlineStr">
        <is>
          <t>abov</t>
        </is>
      </c>
      <c r="E837" s="24" t="inlineStr">
        <is>
          <t>102120</t>
        </is>
      </c>
      <c r="F837" s="24" t="inlineStr">
        <is>
          <t>2025</t>
        </is>
      </c>
      <c r="G837" s="24" t="inlineStr">
        <is>
          <t>CFS</t>
        </is>
      </c>
      <c r="H837" s="24" t="inlineStr">
        <is>
          <t>CF</t>
        </is>
      </c>
      <c r="I837" s="24" t="inlineStr">
        <is>
          <t>현금흐름표</t>
        </is>
      </c>
      <c r="J837" s="24" t="inlineStr">
        <is>
          <t>dart_IncreaseInGuaranteeDepositsAsFinancialActivities</t>
        </is>
      </c>
      <c r="K837" s="24" t="inlineStr">
        <is>
          <t>임대보증금의 증가</t>
        </is>
      </c>
      <c r="L837" s="24" t="inlineStr">
        <is>
          <t>-</t>
        </is>
      </c>
      <c r="M837" s="24" t="inlineStr">
        <is>
          <t>제 20 기</t>
        </is>
      </c>
      <c r="N837" s="24" t="inlineStr">
        <is>
          <t>20000000.0</t>
        </is>
      </c>
      <c r="O837" s="24" t="inlineStr">
        <is>
          <t>해당 없음</t>
        </is>
      </c>
      <c r="P837" s="24" t="inlineStr">
        <is>
          <t>KRW</t>
        </is>
      </c>
      <c r="Q837" s="24" t="inlineStr">
        <is>
          <t>28</t>
        </is>
      </c>
    </row>
    <row r="838" ht="24" customHeight="1">
      <c r="A838" s="29" t="inlineStr">
        <is>
          <t>OpenDART_fnlttSinglAcntAll</t>
        </is>
      </c>
      <c r="B838" s="29" t="inlineStr">
        <is>
          <t>00591441</t>
        </is>
      </c>
      <c r="C838" s="29" t="inlineStr">
        <is>
          <t>어보브반도체</t>
        </is>
      </c>
      <c r="D838" s="29" t="inlineStr">
        <is>
          <t>abov</t>
        </is>
      </c>
      <c r="E838" s="29" t="inlineStr">
        <is>
          <t>102120</t>
        </is>
      </c>
      <c r="F838" s="29" t="inlineStr">
        <is>
          <t>2025</t>
        </is>
      </c>
      <c r="G838" s="29" t="inlineStr">
        <is>
          <t>CFS</t>
        </is>
      </c>
      <c r="H838" s="29" t="inlineStr">
        <is>
          <t>CF</t>
        </is>
      </c>
      <c r="I838" s="29" t="inlineStr">
        <is>
          <t>현금흐름표</t>
        </is>
      </c>
      <c r="J838" s="29" t="inlineStr">
        <is>
          <t>dart_IncreaseInLoans</t>
        </is>
      </c>
      <c r="K838" s="29" t="inlineStr">
        <is>
          <t>대여금의 증가</t>
        </is>
      </c>
      <c r="L838" s="29" t="inlineStr">
        <is>
          <t>-</t>
        </is>
      </c>
      <c r="M838" s="29" t="inlineStr">
        <is>
          <t>제 20 기</t>
        </is>
      </c>
      <c r="N838" s="29" t="inlineStr">
        <is>
          <t>1000000000.0</t>
        </is>
      </c>
      <c r="O838" s="29" t="inlineStr">
        <is>
          <t>318393901.0</t>
        </is>
      </c>
      <c r="P838" s="29" t="inlineStr">
        <is>
          <t>KRW</t>
        </is>
      </c>
      <c r="Q838" s="29" t="inlineStr">
        <is>
          <t>29</t>
        </is>
      </c>
    </row>
    <row r="839" ht="24" customHeight="1">
      <c r="A839" s="24" t="inlineStr">
        <is>
          <t>OpenDART_fnlttSinglAcntAll</t>
        </is>
      </c>
      <c r="B839" s="24" t="inlineStr">
        <is>
          <t>00591441</t>
        </is>
      </c>
      <c r="C839" s="24" t="inlineStr">
        <is>
          <t>어보브반도체</t>
        </is>
      </c>
      <c r="D839" s="24" t="inlineStr">
        <is>
          <t>abov</t>
        </is>
      </c>
      <c r="E839" s="24" t="inlineStr">
        <is>
          <t>102120</t>
        </is>
      </c>
      <c r="F839" s="24" t="inlineStr">
        <is>
          <t>2025</t>
        </is>
      </c>
      <c r="G839" s="24" t="inlineStr">
        <is>
          <t>CFS</t>
        </is>
      </c>
      <c r="H839" s="24" t="inlineStr">
        <is>
          <t>CF</t>
        </is>
      </c>
      <c r="I839" s="24" t="inlineStr">
        <is>
          <t>현금흐름표</t>
        </is>
      </c>
      <c r="J839" s="24" t="inlineStr">
        <is>
          <t>dart_ProceedsFromSalesOfAvailableForSaleFinancialAssets</t>
        </is>
      </c>
      <c r="K839" s="24" t="inlineStr">
        <is>
          <t>당기손익공정가치측정금융자산 처분</t>
        </is>
      </c>
      <c r="L839" s="24" t="inlineStr">
        <is>
          <t>-</t>
        </is>
      </c>
      <c r="M839" s="24" t="inlineStr">
        <is>
          <t>제 20 기</t>
        </is>
      </c>
      <c r="N839" s="24" t="inlineStr">
        <is>
          <t>57848822723.0</t>
        </is>
      </c>
      <c r="O839" s="24" t="inlineStr">
        <is>
          <t>50000000.0</t>
        </is>
      </c>
      <c r="P839" s="24" t="inlineStr">
        <is>
          <t>KRW</t>
        </is>
      </c>
      <c r="Q839" s="24" t="inlineStr">
        <is>
          <t>30</t>
        </is>
      </c>
    </row>
    <row r="840" ht="24" customHeight="1">
      <c r="A840" s="29" t="inlineStr">
        <is>
          <t>OpenDART_fnlttSinglAcntAll</t>
        </is>
      </c>
      <c r="B840" s="29" t="inlineStr">
        <is>
          <t>00591441</t>
        </is>
      </c>
      <c r="C840" s="29" t="inlineStr">
        <is>
          <t>어보브반도체</t>
        </is>
      </c>
      <c r="D840" s="29" t="inlineStr">
        <is>
          <t>abov</t>
        </is>
      </c>
      <c r="E840" s="29" t="inlineStr">
        <is>
          <t>102120</t>
        </is>
      </c>
      <c r="F840" s="29" t="inlineStr">
        <is>
          <t>2025</t>
        </is>
      </c>
      <c r="G840" s="29" t="inlineStr">
        <is>
          <t>CFS</t>
        </is>
      </c>
      <c r="H840" s="29" t="inlineStr">
        <is>
          <t>CF</t>
        </is>
      </c>
      <c r="I840" s="29" t="inlineStr">
        <is>
          <t>현금흐름표</t>
        </is>
      </c>
      <c r="J840" s="29" t="inlineStr">
        <is>
          <t>dart_ProceedsFromSalesOfLongTermFinancialInstruments</t>
        </is>
      </c>
      <c r="K840" s="29" t="inlineStr">
        <is>
          <t>장단기금융상품의 처분</t>
        </is>
      </c>
      <c r="L840" s="29" t="inlineStr">
        <is>
          <t>-</t>
        </is>
      </c>
      <c r="M840" s="29" t="inlineStr">
        <is>
          <t>제 20 기</t>
        </is>
      </c>
      <c r="N840" s="29" t="inlineStr">
        <is>
          <t>14000000000.0</t>
        </is>
      </c>
      <c r="O840" s="29" t="inlineStr">
        <is>
          <t>8000000000.0</t>
        </is>
      </c>
      <c r="P840" s="29" t="inlineStr">
        <is>
          <t>KRW</t>
        </is>
      </c>
      <c r="Q840" s="29" t="inlineStr">
        <is>
          <t>31</t>
        </is>
      </c>
    </row>
    <row r="841" ht="24" customHeight="1">
      <c r="A841" s="24" t="inlineStr">
        <is>
          <t>OpenDART_fnlttSinglAcntAll</t>
        </is>
      </c>
      <c r="B841" s="24" t="inlineStr">
        <is>
          <t>00591441</t>
        </is>
      </c>
      <c r="C841" s="24" t="inlineStr">
        <is>
          <t>어보브반도체</t>
        </is>
      </c>
      <c r="D841" s="24" t="inlineStr">
        <is>
          <t>abov</t>
        </is>
      </c>
      <c r="E841" s="24" t="inlineStr">
        <is>
          <t>102120</t>
        </is>
      </c>
      <c r="F841" s="24" t="inlineStr">
        <is>
          <t>2025</t>
        </is>
      </c>
      <c r="G841" s="24" t="inlineStr">
        <is>
          <t>CFS</t>
        </is>
      </c>
      <c r="H841" s="24" t="inlineStr">
        <is>
          <t>CF</t>
        </is>
      </c>
      <c r="I841" s="24" t="inlineStr">
        <is>
          <t>현금흐름표</t>
        </is>
      </c>
      <c r="J841" s="24" t="inlineStr">
        <is>
          <t>dart_PurchaseOfFinancialAssetsAtAmortisedCostClassifiedAsInvestingActivities</t>
        </is>
      </c>
      <c r="K841" s="24" t="inlineStr">
        <is>
          <t>유동성상각후원가측정금융자산 취득</t>
        </is>
      </c>
      <c r="L841" s="24" t="inlineStr">
        <is>
          <t>-</t>
        </is>
      </c>
      <c r="M841" s="24" t="inlineStr">
        <is>
          <t>제 20 기</t>
        </is>
      </c>
      <c r="N841" s="24" t="inlineStr">
        <is>
          <t>2783076000.0</t>
        </is>
      </c>
      <c r="O841" s="24" t="inlineStr">
        <is>
          <t>해당 없음</t>
        </is>
      </c>
      <c r="P841" s="24" t="inlineStr">
        <is>
          <t>KRW</t>
        </is>
      </c>
      <c r="Q841" s="24" t="inlineStr">
        <is>
          <t>32</t>
        </is>
      </c>
    </row>
    <row r="842" ht="24" customHeight="1">
      <c r="A842" s="29" t="inlineStr">
        <is>
          <t>OpenDART_fnlttSinglAcntAll</t>
        </is>
      </c>
      <c r="B842" s="29" t="inlineStr">
        <is>
          <t>00591441</t>
        </is>
      </c>
      <c r="C842" s="29" t="inlineStr">
        <is>
          <t>어보브반도체</t>
        </is>
      </c>
      <c r="D842" s="29" t="inlineStr">
        <is>
          <t>abov</t>
        </is>
      </c>
      <c r="E842" s="29" t="inlineStr">
        <is>
          <t>102120</t>
        </is>
      </c>
      <c r="F842" s="29" t="inlineStr">
        <is>
          <t>2025</t>
        </is>
      </c>
      <c r="G842" s="29" t="inlineStr">
        <is>
          <t>CFS</t>
        </is>
      </c>
      <c r="H842" s="29" t="inlineStr">
        <is>
          <t>CF</t>
        </is>
      </c>
      <c r="I842" s="29" t="inlineStr">
        <is>
          <t>현금흐름표</t>
        </is>
      </c>
      <c r="J842" s="29" t="inlineStr">
        <is>
          <t>dart_PurchaseOfFinancialInstruments</t>
        </is>
      </c>
      <c r="K842" s="29" t="inlineStr">
        <is>
          <t>장단기금융상품의 취득</t>
        </is>
      </c>
      <c r="L842" s="29" t="inlineStr">
        <is>
          <t>-</t>
        </is>
      </c>
      <c r="M842" s="29" t="inlineStr">
        <is>
          <t>제 20 기</t>
        </is>
      </c>
      <c r="N842" s="29" t="inlineStr">
        <is>
          <t>7298829151.0</t>
        </is>
      </c>
      <c r="O842" s="29" t="inlineStr">
        <is>
          <t>18000000000.0</t>
        </is>
      </c>
      <c r="P842" s="29" t="inlineStr">
        <is>
          <t>KRW</t>
        </is>
      </c>
      <c r="Q842" s="29" t="inlineStr">
        <is>
          <t>33</t>
        </is>
      </c>
    </row>
    <row r="843" ht="24" customHeight="1">
      <c r="A843" s="24" t="inlineStr">
        <is>
          <t>OpenDART_fnlttSinglAcntAll</t>
        </is>
      </c>
      <c r="B843" s="24" t="inlineStr">
        <is>
          <t>00591441</t>
        </is>
      </c>
      <c r="C843" s="24" t="inlineStr">
        <is>
          <t>어보브반도체</t>
        </is>
      </c>
      <c r="D843" s="24" t="inlineStr">
        <is>
          <t>abov</t>
        </is>
      </c>
      <c r="E843" s="24" t="inlineStr">
        <is>
          <t>102120</t>
        </is>
      </c>
      <c r="F843" s="24" t="inlineStr">
        <is>
          <t>2025</t>
        </is>
      </c>
      <c r="G843" s="24" t="inlineStr">
        <is>
          <t>CFS</t>
        </is>
      </c>
      <c r="H843" s="24" t="inlineStr">
        <is>
          <t>CF</t>
        </is>
      </c>
      <c r="I843" s="24" t="inlineStr">
        <is>
          <t>현금흐름표</t>
        </is>
      </c>
      <c r="J843" s="24" t="inlineStr">
        <is>
          <t>-표준계정코드 미사용-</t>
        </is>
      </c>
      <c r="K843" s="24" t="inlineStr">
        <is>
          <t>국고보조금의 증가</t>
        </is>
      </c>
      <c r="L843" s="24" t="inlineStr">
        <is>
          <t>-</t>
        </is>
      </c>
      <c r="M843" s="24" t="inlineStr">
        <is>
          <t>제 20 기</t>
        </is>
      </c>
      <c r="N843" s="24" t="inlineStr">
        <is>
          <t>865849381.0</t>
        </is>
      </c>
      <c r="O843" s="24" t="inlineStr">
        <is>
          <t>155760911.0</t>
        </is>
      </c>
      <c r="P843" s="24" t="inlineStr">
        <is>
          <t>KRW</t>
        </is>
      </c>
      <c r="Q843" s="24" t="inlineStr">
        <is>
          <t>34</t>
        </is>
      </c>
    </row>
    <row r="844" ht="24" customHeight="1">
      <c r="A844" s="29" t="inlineStr">
        <is>
          <t>OpenDART_fnlttSinglAcntAll</t>
        </is>
      </c>
      <c r="B844" s="29" t="inlineStr">
        <is>
          <t>00591441</t>
        </is>
      </c>
      <c r="C844" s="29" t="inlineStr">
        <is>
          <t>어보브반도체</t>
        </is>
      </c>
      <c r="D844" s="29" t="inlineStr">
        <is>
          <t>abov</t>
        </is>
      </c>
      <c r="E844" s="29" t="inlineStr">
        <is>
          <t>102120</t>
        </is>
      </c>
      <c r="F844" s="29" t="inlineStr">
        <is>
          <t>2025</t>
        </is>
      </c>
      <c r="G844" s="29" t="inlineStr">
        <is>
          <t>CFS</t>
        </is>
      </c>
      <c r="H844" s="29" t="inlineStr">
        <is>
          <t>CF</t>
        </is>
      </c>
      <c r="I844" s="29" t="inlineStr">
        <is>
          <t>현금흐름표</t>
        </is>
      </c>
      <c r="J844" s="29" t="inlineStr">
        <is>
          <t>ifrs-full_ProceedsFromSalesOfIntangibleAssetsClassifiedAsInvestingActivities</t>
        </is>
      </c>
      <c r="K844" s="29" t="inlineStr">
        <is>
          <t>무형자산의 처분</t>
        </is>
      </c>
      <c r="L844" s="29" t="inlineStr">
        <is>
          <t>-</t>
        </is>
      </c>
      <c r="M844" s="29" t="inlineStr">
        <is>
          <t>제 20 기</t>
        </is>
      </c>
      <c r="N844" s="29" t="inlineStr">
        <is>
          <t>해당 없음</t>
        </is>
      </c>
      <c r="O844" s="29" t="inlineStr">
        <is>
          <t>해당 없음</t>
        </is>
      </c>
      <c r="P844" s="29" t="inlineStr">
        <is>
          <t>KRW</t>
        </is>
      </c>
      <c r="Q844" s="29" t="inlineStr">
        <is>
          <t>35</t>
        </is>
      </c>
    </row>
    <row r="845" ht="24" customHeight="1">
      <c r="A845" s="24" t="inlineStr">
        <is>
          <t>OpenDART_fnlttSinglAcntAll</t>
        </is>
      </c>
      <c r="B845" s="24" t="inlineStr">
        <is>
          <t>00591441</t>
        </is>
      </c>
      <c r="C845" s="24" t="inlineStr">
        <is>
          <t>어보브반도체</t>
        </is>
      </c>
      <c r="D845" s="24" t="inlineStr">
        <is>
          <t>abov</t>
        </is>
      </c>
      <c r="E845" s="24" t="inlineStr">
        <is>
          <t>102120</t>
        </is>
      </c>
      <c r="F845" s="24" t="inlineStr">
        <is>
          <t>2025</t>
        </is>
      </c>
      <c r="G845" s="24" t="inlineStr">
        <is>
          <t>CFS</t>
        </is>
      </c>
      <c r="H845" s="24" t="inlineStr">
        <is>
          <t>CF</t>
        </is>
      </c>
      <c r="I845" s="24" t="inlineStr">
        <is>
          <t>현금흐름표</t>
        </is>
      </c>
      <c r="J845" s="24" t="inlineStr">
        <is>
          <t>ifrs-full_ProceedsFromSalesOfInterestsInAssociates</t>
        </is>
      </c>
      <c r="K845" s="24" t="inlineStr">
        <is>
          <t>관계기업 투자주식의 처분</t>
        </is>
      </c>
      <c r="L845" s="24" t="inlineStr">
        <is>
          <t>-</t>
        </is>
      </c>
      <c r="M845" s="24" t="inlineStr">
        <is>
          <t>제 20 기</t>
        </is>
      </c>
      <c r="N845" s="24" t="inlineStr">
        <is>
          <t>105538398.0</t>
        </is>
      </c>
      <c r="O845" s="24" t="inlineStr">
        <is>
          <t>해당 없음</t>
        </is>
      </c>
      <c r="P845" s="24" t="inlineStr">
        <is>
          <t>KRW</t>
        </is>
      </c>
      <c r="Q845" s="24" t="inlineStr">
        <is>
          <t>36</t>
        </is>
      </c>
    </row>
    <row r="846" ht="24" customHeight="1">
      <c r="A846" s="29" t="inlineStr">
        <is>
          <t>OpenDART_fnlttSinglAcntAll</t>
        </is>
      </c>
      <c r="B846" s="29" t="inlineStr">
        <is>
          <t>00591441</t>
        </is>
      </c>
      <c r="C846" s="29" t="inlineStr">
        <is>
          <t>어보브반도체</t>
        </is>
      </c>
      <c r="D846" s="29" t="inlineStr">
        <is>
          <t>abov</t>
        </is>
      </c>
      <c r="E846" s="29" t="inlineStr">
        <is>
          <t>102120</t>
        </is>
      </c>
      <c r="F846" s="29" t="inlineStr">
        <is>
          <t>2025</t>
        </is>
      </c>
      <c r="G846" s="29" t="inlineStr">
        <is>
          <t>CFS</t>
        </is>
      </c>
      <c r="H846" s="29" t="inlineStr">
        <is>
          <t>CF</t>
        </is>
      </c>
      <c r="I846" s="29" t="inlineStr">
        <is>
          <t>현금흐름표</t>
        </is>
      </c>
      <c r="J846" s="29" t="inlineStr">
        <is>
          <t>ifrs-full_ProceedsFromSalesOfPropertyPlantAndEquipmentClassifiedAsInvestingActivities</t>
        </is>
      </c>
      <c r="K846" s="29" t="inlineStr">
        <is>
          <t>유형자산의 처분</t>
        </is>
      </c>
      <c r="L846" s="29" t="inlineStr">
        <is>
          <t>-</t>
        </is>
      </c>
      <c r="M846" s="29" t="inlineStr">
        <is>
          <t>제 20 기</t>
        </is>
      </c>
      <c r="N846" s="29" t="inlineStr">
        <is>
          <t>9964792206.0</t>
        </is>
      </c>
      <c r="O846" s="29" t="inlineStr">
        <is>
          <t>694630010.0</t>
        </is>
      </c>
      <c r="P846" s="29" t="inlineStr">
        <is>
          <t>KRW</t>
        </is>
      </c>
      <c r="Q846" s="29" t="inlineStr">
        <is>
          <t>37</t>
        </is>
      </c>
    </row>
    <row r="847" ht="24" customHeight="1">
      <c r="A847" s="24" t="inlineStr">
        <is>
          <t>OpenDART_fnlttSinglAcntAll</t>
        </is>
      </c>
      <c r="B847" s="24" t="inlineStr">
        <is>
          <t>00591441</t>
        </is>
      </c>
      <c r="C847" s="24" t="inlineStr">
        <is>
          <t>어보브반도체</t>
        </is>
      </c>
      <c r="D847" s="24" t="inlineStr">
        <is>
          <t>abov</t>
        </is>
      </c>
      <c r="E847" s="24" t="inlineStr">
        <is>
          <t>102120</t>
        </is>
      </c>
      <c r="F847" s="24" t="inlineStr">
        <is>
          <t>2025</t>
        </is>
      </c>
      <c r="G847" s="24" t="inlineStr">
        <is>
          <t>CFS</t>
        </is>
      </c>
      <c r="H847" s="24" t="inlineStr">
        <is>
          <t>CF</t>
        </is>
      </c>
      <c r="I847" s="24" t="inlineStr">
        <is>
          <t>현금흐름표</t>
        </is>
      </c>
      <c r="J847" s="24" t="inlineStr">
        <is>
          <t>ifrs-full_PurchaseOfAvailableforsaleFinancialAssets</t>
        </is>
      </c>
      <c r="K847" s="24" t="inlineStr">
        <is>
          <t>당기손익공정가치측정금융자산 취득</t>
        </is>
      </c>
      <c r="L847" s="24" t="inlineStr">
        <is>
          <t>-</t>
        </is>
      </c>
      <c r="M847" s="24" t="inlineStr">
        <is>
          <t>제 20 기</t>
        </is>
      </c>
      <c r="N847" s="24" t="inlineStr">
        <is>
          <t>61811900874.0</t>
        </is>
      </c>
      <c r="O847" s="24" t="inlineStr">
        <is>
          <t>31352838112.0</t>
        </is>
      </c>
      <c r="P847" s="24" t="inlineStr">
        <is>
          <t>KRW</t>
        </is>
      </c>
      <c r="Q847" s="24" t="inlineStr">
        <is>
          <t>38</t>
        </is>
      </c>
    </row>
    <row r="848" ht="24" customHeight="1">
      <c r="A848" s="29" t="inlineStr">
        <is>
          <t>OpenDART_fnlttSinglAcntAll</t>
        </is>
      </c>
      <c r="B848" s="29" t="inlineStr">
        <is>
          <t>00591441</t>
        </is>
      </c>
      <c r="C848" s="29" t="inlineStr">
        <is>
          <t>어보브반도체</t>
        </is>
      </c>
      <c r="D848" s="29" t="inlineStr">
        <is>
          <t>abov</t>
        </is>
      </c>
      <c r="E848" s="29" t="inlineStr">
        <is>
          <t>102120</t>
        </is>
      </c>
      <c r="F848" s="29" t="inlineStr">
        <is>
          <t>2025</t>
        </is>
      </c>
      <c r="G848" s="29" t="inlineStr">
        <is>
          <t>CFS</t>
        </is>
      </c>
      <c r="H848" s="29" t="inlineStr">
        <is>
          <t>CF</t>
        </is>
      </c>
      <c r="I848" s="29" t="inlineStr">
        <is>
          <t>현금흐름표</t>
        </is>
      </c>
      <c r="J848" s="29" t="inlineStr">
        <is>
          <t>ifrs-full_PurchaseOfIntangibleAssetsClassifiedAsInvestingActivities</t>
        </is>
      </c>
      <c r="K848" s="29" t="inlineStr">
        <is>
          <t>무형자산의 취득</t>
        </is>
      </c>
      <c r="L848" s="29" t="inlineStr">
        <is>
          <t>-</t>
        </is>
      </c>
      <c r="M848" s="29" t="inlineStr">
        <is>
          <t>제 20 기</t>
        </is>
      </c>
      <c r="N848" s="29" t="inlineStr">
        <is>
          <t>7978306727.0</t>
        </is>
      </c>
      <c r="O848" s="29" t="inlineStr">
        <is>
          <t>5423181131.0</t>
        </is>
      </c>
      <c r="P848" s="29" t="inlineStr">
        <is>
          <t>KRW</t>
        </is>
      </c>
      <c r="Q848" s="29" t="inlineStr">
        <is>
          <t>39</t>
        </is>
      </c>
    </row>
    <row r="849" ht="24" customHeight="1">
      <c r="A849" s="24" t="inlineStr">
        <is>
          <t>OpenDART_fnlttSinglAcntAll</t>
        </is>
      </c>
      <c r="B849" s="24" t="inlineStr">
        <is>
          <t>00591441</t>
        </is>
      </c>
      <c r="C849" s="24" t="inlineStr">
        <is>
          <t>어보브반도체</t>
        </is>
      </c>
      <c r="D849" s="24" t="inlineStr">
        <is>
          <t>abov</t>
        </is>
      </c>
      <c r="E849" s="24" t="inlineStr">
        <is>
          <t>102120</t>
        </is>
      </c>
      <c r="F849" s="24" t="inlineStr">
        <is>
          <t>2025</t>
        </is>
      </c>
      <c r="G849" s="24" t="inlineStr">
        <is>
          <t>CFS</t>
        </is>
      </c>
      <c r="H849" s="24" t="inlineStr">
        <is>
          <t>CF</t>
        </is>
      </c>
      <c r="I849" s="24" t="inlineStr">
        <is>
          <t>현금흐름표</t>
        </is>
      </c>
      <c r="J849" s="24" t="inlineStr">
        <is>
          <t>ifrs-full_PurchaseOfInterestsInAssociates</t>
        </is>
      </c>
      <c r="K849" s="24" t="inlineStr">
        <is>
          <t>관계기업 투자주식의 취득</t>
        </is>
      </c>
      <c r="L849" s="24" t="inlineStr">
        <is>
          <t>-</t>
        </is>
      </c>
      <c r="M849" s="24" t="inlineStr">
        <is>
          <t>제 20 기</t>
        </is>
      </c>
      <c r="N849" s="24" t="inlineStr">
        <is>
          <t>해당 없음</t>
        </is>
      </c>
      <c r="O849" s="24" t="inlineStr">
        <is>
          <t>해당 없음</t>
        </is>
      </c>
      <c r="P849" s="24" t="inlineStr">
        <is>
          <t>KRW</t>
        </is>
      </c>
      <c r="Q849" s="24" t="inlineStr">
        <is>
          <t>40</t>
        </is>
      </c>
    </row>
    <row r="850" ht="24" customHeight="1">
      <c r="A850" s="29" t="inlineStr">
        <is>
          <t>OpenDART_fnlttSinglAcntAll</t>
        </is>
      </c>
      <c r="B850" s="29" t="inlineStr">
        <is>
          <t>00591441</t>
        </is>
      </c>
      <c r="C850" s="29" t="inlineStr">
        <is>
          <t>어보브반도체</t>
        </is>
      </c>
      <c r="D850" s="29" t="inlineStr">
        <is>
          <t>abov</t>
        </is>
      </c>
      <c r="E850" s="29" t="inlineStr">
        <is>
          <t>102120</t>
        </is>
      </c>
      <c r="F850" s="29" t="inlineStr">
        <is>
          <t>2025</t>
        </is>
      </c>
      <c r="G850" s="29" t="inlineStr">
        <is>
          <t>CFS</t>
        </is>
      </c>
      <c r="H850" s="29" t="inlineStr">
        <is>
          <t>CF</t>
        </is>
      </c>
      <c r="I850" s="29" t="inlineStr">
        <is>
          <t>현금흐름표</t>
        </is>
      </c>
      <c r="J850" s="29" t="inlineStr">
        <is>
          <t>ifrs-full_PurchaseOfPropertyPlantAndEquipmentClassifiedAsInvestingActivities</t>
        </is>
      </c>
      <c r="K850" s="29" t="inlineStr">
        <is>
          <t>유형자산의 취득</t>
        </is>
      </c>
      <c r="L850" s="29" t="inlineStr">
        <is>
          <t>-</t>
        </is>
      </c>
      <c r="M850" s="29" t="inlineStr">
        <is>
          <t>제 20 기</t>
        </is>
      </c>
      <c r="N850" s="29" t="inlineStr">
        <is>
          <t>7273033071.0</t>
        </is>
      </c>
      <c r="O850" s="29" t="inlineStr">
        <is>
          <t>13202706863.0</t>
        </is>
      </c>
      <c r="P850" s="29" t="inlineStr">
        <is>
          <t>KRW</t>
        </is>
      </c>
      <c r="Q850" s="29" t="inlineStr">
        <is>
          <t>41</t>
        </is>
      </c>
    </row>
    <row r="851" ht="24" customHeight="1">
      <c r="A851" s="24" t="inlineStr">
        <is>
          <t>OpenDART_fnlttSinglAcntAll</t>
        </is>
      </c>
      <c r="B851" s="24" t="inlineStr">
        <is>
          <t>00591441</t>
        </is>
      </c>
      <c r="C851" s="24" t="inlineStr">
        <is>
          <t>어보브반도체</t>
        </is>
      </c>
      <c r="D851" s="24" t="inlineStr">
        <is>
          <t>abov</t>
        </is>
      </c>
      <c r="E851" s="24" t="inlineStr">
        <is>
          <t>102120</t>
        </is>
      </c>
      <c r="F851" s="24" t="inlineStr">
        <is>
          <t>2025</t>
        </is>
      </c>
      <c r="G851" s="24" t="inlineStr">
        <is>
          <t>CFS</t>
        </is>
      </c>
      <c r="H851" s="24" t="inlineStr">
        <is>
          <t>CF</t>
        </is>
      </c>
      <c r="I851" s="24" t="inlineStr">
        <is>
          <t>현금흐름표</t>
        </is>
      </c>
      <c r="J851" s="24" t="inlineStr">
        <is>
          <t>ifrs-full_CashFlowsFromUsedInOperatingActivities</t>
        </is>
      </c>
      <c r="K851" s="24" t="inlineStr">
        <is>
          <t>영업활동현금흐름</t>
        </is>
      </c>
      <c r="L851" s="24" t="inlineStr">
        <is>
          <t>-</t>
        </is>
      </c>
      <c r="M851" s="24" t="inlineStr">
        <is>
          <t>제 20 기</t>
        </is>
      </c>
      <c r="N851" s="24" t="inlineStr">
        <is>
          <t>14728643363.0</t>
        </is>
      </c>
      <c r="O851" s="24" t="inlineStr">
        <is>
          <t>26999461471.0</t>
        </is>
      </c>
      <c r="P851" s="24" t="inlineStr">
        <is>
          <t>KRW</t>
        </is>
      </c>
      <c r="Q851" s="24" t="inlineStr">
        <is>
          <t>42</t>
        </is>
      </c>
    </row>
    <row r="852" ht="24" customHeight="1">
      <c r="A852" s="29" t="inlineStr">
        <is>
          <t>OpenDART_fnlttSinglAcntAll</t>
        </is>
      </c>
      <c r="B852" s="29" t="inlineStr">
        <is>
          <t>00591441</t>
        </is>
      </c>
      <c r="C852" s="29" t="inlineStr">
        <is>
          <t>어보브반도체</t>
        </is>
      </c>
      <c r="D852" s="29" t="inlineStr">
        <is>
          <t>abov</t>
        </is>
      </c>
      <c r="E852" s="29" t="inlineStr">
        <is>
          <t>102120</t>
        </is>
      </c>
      <c r="F852" s="29" t="inlineStr">
        <is>
          <t>2025</t>
        </is>
      </c>
      <c r="G852" s="29" t="inlineStr">
        <is>
          <t>CFS</t>
        </is>
      </c>
      <c r="H852" s="29" t="inlineStr">
        <is>
          <t>CF</t>
        </is>
      </c>
      <c r="I852" s="29" t="inlineStr">
        <is>
          <t>현금흐름표</t>
        </is>
      </c>
      <c r="J852" s="29" t="inlineStr">
        <is>
          <t>dart_AdjustmentsForAssetsLiabilitiesOfOperatingActivities</t>
        </is>
      </c>
      <c r="K852" s="29" t="inlineStr">
        <is>
          <t>영업활동으로 인한 자산 부채의 변동</t>
        </is>
      </c>
      <c r="L852" s="29" t="inlineStr">
        <is>
          <t>-</t>
        </is>
      </c>
      <c r="M852" s="29" t="inlineStr">
        <is>
          <t>제 20 기</t>
        </is>
      </c>
      <c r="N852" s="29" t="inlineStr">
        <is>
          <t>-11069643259.0</t>
        </is>
      </c>
      <c r="O852" s="29" t="inlineStr">
        <is>
          <t>7102931772.0</t>
        </is>
      </c>
      <c r="P852" s="29" t="inlineStr">
        <is>
          <t>KRW</t>
        </is>
      </c>
      <c r="Q852" s="29" t="inlineStr">
        <is>
          <t>43</t>
        </is>
      </c>
    </row>
    <row r="853" ht="24" customHeight="1">
      <c r="A853" s="24" t="inlineStr">
        <is>
          <t>OpenDART_fnlttSinglAcntAll</t>
        </is>
      </c>
      <c r="B853" s="24" t="inlineStr">
        <is>
          <t>00591441</t>
        </is>
      </c>
      <c r="C853" s="24" t="inlineStr">
        <is>
          <t>어보브반도체</t>
        </is>
      </c>
      <c r="D853" s="24" t="inlineStr">
        <is>
          <t>abov</t>
        </is>
      </c>
      <c r="E853" s="24" t="inlineStr">
        <is>
          <t>102120</t>
        </is>
      </c>
      <c r="F853" s="24" t="inlineStr">
        <is>
          <t>2025</t>
        </is>
      </c>
      <c r="G853" s="24" t="inlineStr">
        <is>
          <t>CFS</t>
        </is>
      </c>
      <c r="H853" s="24" t="inlineStr">
        <is>
          <t>CF</t>
        </is>
      </c>
      <c r="I853" s="24" t="inlineStr">
        <is>
          <t>현금흐름표</t>
        </is>
      </c>
      <c r="J853" s="24" t="inlineStr">
        <is>
          <t>ifrs-full_AdjustmentsForReconcileProfitLoss</t>
        </is>
      </c>
      <c r="K853" s="24" t="inlineStr">
        <is>
          <t>조정</t>
        </is>
      </c>
      <c r="L853" s="24" t="inlineStr">
        <is>
          <t>-</t>
        </is>
      </c>
      <c r="M853" s="24" t="inlineStr">
        <is>
          <t>제 20 기</t>
        </is>
      </c>
      <c r="N853" s="24" t="inlineStr">
        <is>
          <t>29349432477.0</t>
        </is>
      </c>
      <c r="O853" s="24" t="inlineStr">
        <is>
          <t>41071542534.0</t>
        </is>
      </c>
      <c r="P853" s="24" t="inlineStr">
        <is>
          <t>KRW</t>
        </is>
      </c>
      <c r="Q853" s="24" t="inlineStr">
        <is>
          <t>44</t>
        </is>
      </c>
    </row>
    <row r="854" ht="24" customHeight="1">
      <c r="A854" s="29" t="inlineStr">
        <is>
          <t>OpenDART_fnlttSinglAcntAll</t>
        </is>
      </c>
      <c r="B854" s="29" t="inlineStr">
        <is>
          <t>00591441</t>
        </is>
      </c>
      <c r="C854" s="29" t="inlineStr">
        <is>
          <t>어보브반도체</t>
        </is>
      </c>
      <c r="D854" s="29" t="inlineStr">
        <is>
          <t>abov</t>
        </is>
      </c>
      <c r="E854" s="29" t="inlineStr">
        <is>
          <t>102120</t>
        </is>
      </c>
      <c r="F854" s="29" t="inlineStr">
        <is>
          <t>2025</t>
        </is>
      </c>
      <c r="G854" s="29" t="inlineStr">
        <is>
          <t>CFS</t>
        </is>
      </c>
      <c r="H854" s="29" t="inlineStr">
        <is>
          <t>CF</t>
        </is>
      </c>
      <c r="I854" s="29" t="inlineStr">
        <is>
          <t>현금흐름표</t>
        </is>
      </c>
      <c r="J854" s="29" t="inlineStr">
        <is>
          <t>ifrs-full_DividendsReceivedClassifiedAsOperatingActivities</t>
        </is>
      </c>
      <c r="K854" s="29" t="inlineStr">
        <is>
          <t>배당금 수취</t>
        </is>
      </c>
      <c r="L854" s="29" t="inlineStr">
        <is>
          <t>-</t>
        </is>
      </c>
      <c r="M854" s="29" t="inlineStr">
        <is>
          <t>제 20 기</t>
        </is>
      </c>
      <c r="N854" s="29" t="inlineStr">
        <is>
          <t>90000000.0</t>
        </is>
      </c>
      <c r="O854" s="29" t="inlineStr">
        <is>
          <t>해당 없음</t>
        </is>
      </c>
      <c r="P854" s="29" t="inlineStr">
        <is>
          <t>KRW</t>
        </is>
      </c>
      <c r="Q854" s="29" t="inlineStr">
        <is>
          <t>45</t>
        </is>
      </c>
    </row>
    <row r="855" ht="24" customHeight="1">
      <c r="A855" s="24" t="inlineStr">
        <is>
          <t>OpenDART_fnlttSinglAcntAll</t>
        </is>
      </c>
      <c r="B855" s="24" t="inlineStr">
        <is>
          <t>00591441</t>
        </is>
      </c>
      <c r="C855" s="24" t="inlineStr">
        <is>
          <t>어보브반도체</t>
        </is>
      </c>
      <c r="D855" s="24" t="inlineStr">
        <is>
          <t>abov</t>
        </is>
      </c>
      <c r="E855" s="24" t="inlineStr">
        <is>
          <t>102120</t>
        </is>
      </c>
      <c r="F855" s="24" t="inlineStr">
        <is>
          <t>2025</t>
        </is>
      </c>
      <c r="G855" s="24" t="inlineStr">
        <is>
          <t>CFS</t>
        </is>
      </c>
      <c r="H855" s="24" t="inlineStr">
        <is>
          <t>CF</t>
        </is>
      </c>
      <c r="I855" s="24" t="inlineStr">
        <is>
          <t>현금흐름표</t>
        </is>
      </c>
      <c r="J855" s="24" t="inlineStr">
        <is>
          <t>ifrs-full_IncomeTaxesPaidRefundClassifiedAsOperatingActivities</t>
        </is>
      </c>
      <c r="K855" s="24" t="inlineStr">
        <is>
          <t>법인세의 환급(납부)</t>
        </is>
      </c>
      <c r="L855" s="24" t="inlineStr">
        <is>
          <t>-</t>
        </is>
      </c>
      <c r="M855" s="24" t="inlineStr">
        <is>
          <t>제 20 기</t>
        </is>
      </c>
      <c r="N855" s="24" t="inlineStr">
        <is>
          <t>3219696799.0</t>
        </is>
      </c>
      <c r="O855" s="24" t="inlineStr">
        <is>
          <t>-299560406.0</t>
        </is>
      </c>
      <c r="P855" s="24" t="inlineStr">
        <is>
          <t>KRW</t>
        </is>
      </c>
      <c r="Q855" s="24" t="inlineStr">
        <is>
          <t>46</t>
        </is>
      </c>
    </row>
    <row r="856" ht="24" customHeight="1">
      <c r="A856" s="29" t="inlineStr">
        <is>
          <t>OpenDART_fnlttSinglAcntAll</t>
        </is>
      </c>
      <c r="B856" s="29" t="inlineStr">
        <is>
          <t>00591441</t>
        </is>
      </c>
      <c r="C856" s="29" t="inlineStr">
        <is>
          <t>어보브반도체</t>
        </is>
      </c>
      <c r="D856" s="29" t="inlineStr">
        <is>
          <t>abov</t>
        </is>
      </c>
      <c r="E856" s="29" t="inlineStr">
        <is>
          <t>102120</t>
        </is>
      </c>
      <c r="F856" s="29" t="inlineStr">
        <is>
          <t>2025</t>
        </is>
      </c>
      <c r="G856" s="29" t="inlineStr">
        <is>
          <t>CFS</t>
        </is>
      </c>
      <c r="H856" s="29" t="inlineStr">
        <is>
          <t>CF</t>
        </is>
      </c>
      <c r="I856" s="29" t="inlineStr">
        <is>
          <t>현금흐름표</t>
        </is>
      </c>
      <c r="J856" s="29" t="inlineStr">
        <is>
          <t>ifrs-full_InterestPaidClassifiedAsOperatingActivities</t>
        </is>
      </c>
      <c r="K856" s="29" t="inlineStr">
        <is>
          <t>이자지급</t>
        </is>
      </c>
      <c r="L856" s="29" t="inlineStr">
        <is>
          <t>-</t>
        </is>
      </c>
      <c r="M856" s="29" t="inlineStr">
        <is>
          <t>제 20 기</t>
        </is>
      </c>
      <c r="N856" s="29" t="inlineStr">
        <is>
          <t>3899053145.0</t>
        </is>
      </c>
      <c r="O856" s="29" t="inlineStr">
        <is>
          <t>5423290784.0</t>
        </is>
      </c>
      <c r="P856" s="29" t="inlineStr">
        <is>
          <t>KRW</t>
        </is>
      </c>
      <c r="Q856" s="29" t="inlineStr">
        <is>
          <t>47</t>
        </is>
      </c>
    </row>
    <row r="857" ht="24" customHeight="1">
      <c r="A857" s="24" t="inlineStr">
        <is>
          <t>OpenDART_fnlttSinglAcntAll</t>
        </is>
      </c>
      <c r="B857" s="24" t="inlineStr">
        <is>
          <t>00591441</t>
        </is>
      </c>
      <c r="C857" s="24" t="inlineStr">
        <is>
          <t>어보브반도체</t>
        </is>
      </c>
      <c r="D857" s="24" t="inlineStr">
        <is>
          <t>abov</t>
        </is>
      </c>
      <c r="E857" s="24" t="inlineStr">
        <is>
          <t>102120</t>
        </is>
      </c>
      <c r="F857" s="24" t="inlineStr">
        <is>
          <t>2025</t>
        </is>
      </c>
      <c r="G857" s="24" t="inlineStr">
        <is>
          <t>CFS</t>
        </is>
      </c>
      <c r="H857" s="24" t="inlineStr">
        <is>
          <t>CF</t>
        </is>
      </c>
      <c r="I857" s="24" t="inlineStr">
        <is>
          <t>현금흐름표</t>
        </is>
      </c>
      <c r="J857" s="24" t="inlineStr">
        <is>
          <t>ifrs-full_InterestReceivedClassifiedAsOperatingActivities</t>
        </is>
      </c>
      <c r="K857" s="24" t="inlineStr">
        <is>
          <t>이자수취</t>
        </is>
      </c>
      <c r="L857" s="24" t="inlineStr">
        <is>
          <t>-</t>
        </is>
      </c>
      <c r="M857" s="24" t="inlineStr">
        <is>
          <t>제 20 기</t>
        </is>
      </c>
      <c r="N857" s="24" t="inlineStr">
        <is>
          <t>1518181120.0</t>
        </is>
      </c>
      <c r="O857" s="24" t="inlineStr">
        <is>
          <t>2043568540.0</t>
        </is>
      </c>
      <c r="P857" s="24" t="inlineStr">
        <is>
          <t>KRW</t>
        </is>
      </c>
      <c r="Q857" s="24" t="inlineStr">
        <is>
          <t>48</t>
        </is>
      </c>
    </row>
    <row r="858" ht="24" customHeight="1">
      <c r="A858" s="29" t="inlineStr">
        <is>
          <t>OpenDART_fnlttSinglAcntAll</t>
        </is>
      </c>
      <c r="B858" s="29" t="inlineStr">
        <is>
          <t>00591441</t>
        </is>
      </c>
      <c r="C858" s="29" t="inlineStr">
        <is>
          <t>어보브반도체</t>
        </is>
      </c>
      <c r="D858" s="29" t="inlineStr">
        <is>
          <t>abov</t>
        </is>
      </c>
      <c r="E858" s="29" t="inlineStr">
        <is>
          <t>102120</t>
        </is>
      </c>
      <c r="F858" s="29" t="inlineStr">
        <is>
          <t>2025</t>
        </is>
      </c>
      <c r="G858" s="29" t="inlineStr">
        <is>
          <t>CFS</t>
        </is>
      </c>
      <c r="H858" s="29" t="inlineStr">
        <is>
          <t>CF</t>
        </is>
      </c>
      <c r="I858" s="29" t="inlineStr">
        <is>
          <t>현금흐름표</t>
        </is>
      </c>
      <c r="J858" s="29" t="inlineStr">
        <is>
          <t>ifrs-full_ProfitLoss</t>
        </is>
      </c>
      <c r="K858" s="29" t="inlineStr">
        <is>
          <t>당기순이익(손실)</t>
        </is>
      </c>
      <c r="L858" s="29" t="inlineStr">
        <is>
          <t>-</t>
        </is>
      </c>
      <c r="M858" s="29" t="inlineStr">
        <is>
          <t>제 20 기</t>
        </is>
      </c>
      <c r="N858" s="29" t="inlineStr">
        <is>
          <t>1959422969.0</t>
        </is>
      </c>
      <c r="O858" s="29" t="inlineStr">
        <is>
          <t>-18094850997.0</t>
        </is>
      </c>
      <c r="P858" s="29" t="inlineStr">
        <is>
          <t>KRW</t>
        </is>
      </c>
      <c r="Q858" s="29" t="inlineStr">
        <is>
          <t>49</t>
        </is>
      </c>
    </row>
    <row r="859" ht="24" customHeight="1">
      <c r="A859" s="24" t="inlineStr">
        <is>
          <t>OpenDART_fnlttSinglAcntAll</t>
        </is>
      </c>
      <c r="B859" s="24" t="inlineStr">
        <is>
          <t>00591441</t>
        </is>
      </c>
      <c r="C859" s="24" t="inlineStr">
        <is>
          <t>어보브반도체</t>
        </is>
      </c>
      <c r="D859" s="24" t="inlineStr">
        <is>
          <t>abov</t>
        </is>
      </c>
      <c r="E859" s="24" t="inlineStr">
        <is>
          <t>102120</t>
        </is>
      </c>
      <c r="F859" s="24" t="inlineStr">
        <is>
          <t>2025</t>
        </is>
      </c>
      <c r="G859" s="24" t="inlineStr">
        <is>
          <t>CFS</t>
        </is>
      </c>
      <c r="H859" s="24" t="inlineStr">
        <is>
          <t>CF</t>
        </is>
      </c>
      <c r="I859" s="24" t="inlineStr">
        <is>
          <t>현금흐름표</t>
        </is>
      </c>
      <c r="J859" s="24" t="inlineStr">
        <is>
          <t>ifrs-full_EffectOfExchangeRateChangesOnCashAndCashEquivalents</t>
        </is>
      </c>
      <c r="K859" s="24" t="inlineStr">
        <is>
          <t>현금및현금성자산에 대한 환율변동효과</t>
        </is>
      </c>
      <c r="L859" s="24" t="inlineStr">
        <is>
          <t>-</t>
        </is>
      </c>
      <c r="M859" s="24" t="inlineStr">
        <is>
          <t>제 20 기</t>
        </is>
      </c>
      <c r="N859" s="24" t="inlineStr">
        <is>
          <t>-186611633.0</t>
        </is>
      </c>
      <c r="O859" s="24" t="inlineStr">
        <is>
          <t>881897986.0</t>
        </is>
      </c>
      <c r="P859" s="24" t="inlineStr">
        <is>
          <t>KRW</t>
        </is>
      </c>
      <c r="Q859" s="24" t="inlineStr">
        <is>
          <t>50</t>
        </is>
      </c>
    </row>
    <row r="860" ht="24" customHeight="1">
      <c r="A860" s="29" t="inlineStr">
        <is>
          <t>OpenDART_fnlttSinglAcntAll</t>
        </is>
      </c>
      <c r="B860" s="29" t="inlineStr">
        <is>
          <t>00591441</t>
        </is>
      </c>
      <c r="C860" s="29" t="inlineStr">
        <is>
          <t>어보브반도체</t>
        </is>
      </c>
      <c r="D860" s="29" t="inlineStr">
        <is>
          <t>abov</t>
        </is>
      </c>
      <c r="E860" s="29" t="inlineStr">
        <is>
          <t>102120</t>
        </is>
      </c>
      <c r="F860" s="29" t="inlineStr">
        <is>
          <t>2025</t>
        </is>
      </c>
      <c r="G860" s="29" t="inlineStr">
        <is>
          <t>CFS</t>
        </is>
      </c>
      <c r="H860" s="29" t="inlineStr">
        <is>
          <t>CF</t>
        </is>
      </c>
      <c r="I860" s="29" t="inlineStr">
        <is>
          <t>현금흐름표</t>
        </is>
      </c>
      <c r="J860" s="29" t="inlineStr">
        <is>
          <t>ifrs-full_IncreaseDecreaseInCashAndCashEquivalentsBeforeEffectOfExchangeRateChanges</t>
        </is>
      </c>
      <c r="K860" s="29" t="inlineStr">
        <is>
          <t>현금및현금성자산의 증감</t>
        </is>
      </c>
      <c r="L860" s="29" t="inlineStr">
        <is>
          <t>-</t>
        </is>
      </c>
      <c r="M860" s="29" t="inlineStr">
        <is>
          <t>제 20 기</t>
        </is>
      </c>
      <c r="N860" s="29" t="inlineStr">
        <is>
          <t>-12514939309.0</t>
        </is>
      </c>
      <c r="O860" s="29" t="inlineStr">
        <is>
          <t>-13327521761.0</t>
        </is>
      </c>
      <c r="P860" s="29" t="inlineStr">
        <is>
          <t>KRW</t>
        </is>
      </c>
      <c r="Q860" s="29" t="inlineStr">
        <is>
          <t>51</t>
        </is>
      </c>
    </row>
    <row r="861" ht="24" customHeight="1">
      <c r="A861" s="24" t="inlineStr">
        <is>
          <t>OpenDART_fnlttSinglAcntAll</t>
        </is>
      </c>
      <c r="B861" s="24" t="inlineStr">
        <is>
          <t>00591441</t>
        </is>
      </c>
      <c r="C861" s="24" t="inlineStr">
        <is>
          <t>어보브반도체</t>
        </is>
      </c>
      <c r="D861" s="24" t="inlineStr">
        <is>
          <t>abov</t>
        </is>
      </c>
      <c r="E861" s="24" t="inlineStr">
        <is>
          <t>102120</t>
        </is>
      </c>
      <c r="F861" s="24" t="inlineStr">
        <is>
          <t>2025</t>
        </is>
      </c>
      <c r="G861" s="24" t="inlineStr">
        <is>
          <t>CFS</t>
        </is>
      </c>
      <c r="H861" s="24" t="inlineStr">
        <is>
          <t>SCE</t>
        </is>
      </c>
      <c r="I861" s="24" t="inlineStr">
        <is>
          <t>자본변동표</t>
        </is>
      </c>
      <c r="J861" s="24" t="inlineStr">
        <is>
          <t>dart_EquityAtBeginningOfPeriod</t>
        </is>
      </c>
      <c r="K861" s="24" t="inlineStr">
        <is>
          <t>기초자본</t>
        </is>
      </c>
      <c r="L861" s="24" t="inlineStr">
        <is>
          <t>연결재무제표 [member]</t>
        </is>
      </c>
      <c r="M861" s="24" t="inlineStr">
        <is>
          <t>제 20 기</t>
        </is>
      </c>
      <c r="N861" s="24" t="inlineStr">
        <is>
          <t>154580908154.0</t>
        </is>
      </c>
      <c r="O861" s="24" t="inlineStr">
        <is>
          <t>140625984177.0</t>
        </is>
      </c>
      <c r="P861" s="24" t="inlineStr">
        <is>
          <t>KRW</t>
        </is>
      </c>
      <c r="Q861" s="24" t="inlineStr">
        <is>
          <t>3</t>
        </is>
      </c>
    </row>
    <row r="862" ht="24" customHeight="1">
      <c r="A862" s="29" t="inlineStr">
        <is>
          <t>OpenDART_fnlttSinglAcntAll</t>
        </is>
      </c>
      <c r="B862" s="29" t="inlineStr">
        <is>
          <t>00591441</t>
        </is>
      </c>
      <c r="C862" s="29" t="inlineStr">
        <is>
          <t>어보브반도체</t>
        </is>
      </c>
      <c r="D862" s="29" t="inlineStr">
        <is>
          <t>abov</t>
        </is>
      </c>
      <c r="E862" s="29" t="inlineStr">
        <is>
          <t>102120</t>
        </is>
      </c>
      <c r="F862" s="29" t="inlineStr">
        <is>
          <t>2025</t>
        </is>
      </c>
      <c r="G862" s="29" t="inlineStr">
        <is>
          <t>CFS</t>
        </is>
      </c>
      <c r="H862" s="29" t="inlineStr">
        <is>
          <t>SCE</t>
        </is>
      </c>
      <c r="I862" s="29" t="inlineStr">
        <is>
          <t>자본변동표</t>
        </is>
      </c>
      <c r="J862" s="29" t="inlineStr">
        <is>
          <t>dart_EquityAtBeginningOfPeriod</t>
        </is>
      </c>
      <c r="K862" s="29" t="inlineStr">
        <is>
          <t>기초자본</t>
        </is>
      </c>
      <c r="L862" s="29" t="inlineStr">
        <is>
          <t>자본 [구성요소]|비지배지분 [구성요소]</t>
        </is>
      </c>
      <c r="M862" s="29" t="inlineStr">
        <is>
          <t>제 20 기</t>
        </is>
      </c>
      <c r="N862" s="29" t="inlineStr">
        <is>
          <t>42519475092.0</t>
        </is>
      </c>
      <c r="O862" s="29" t="inlineStr">
        <is>
          <t>35657795188.0</t>
        </is>
      </c>
      <c r="P862" s="29" t="inlineStr">
        <is>
          <t>KRW</t>
        </is>
      </c>
      <c r="Q862" s="29" t="inlineStr">
        <is>
          <t>3</t>
        </is>
      </c>
    </row>
    <row r="863" ht="24" customHeight="1">
      <c r="A863" s="24" t="inlineStr">
        <is>
          <t>OpenDART_fnlttSinglAcntAll</t>
        </is>
      </c>
      <c r="B863" s="24" t="inlineStr">
        <is>
          <t>00591441</t>
        </is>
      </c>
      <c r="C863" s="24" t="inlineStr">
        <is>
          <t>어보브반도체</t>
        </is>
      </c>
      <c r="D863" s="24" t="inlineStr">
        <is>
          <t>abov</t>
        </is>
      </c>
      <c r="E863" s="24" t="inlineStr">
        <is>
          <t>102120</t>
        </is>
      </c>
      <c r="F863" s="24" t="inlineStr">
        <is>
          <t>2025</t>
        </is>
      </c>
      <c r="G863" s="24" t="inlineStr">
        <is>
          <t>CFS</t>
        </is>
      </c>
      <c r="H863" s="24" t="inlineStr">
        <is>
          <t>SCE</t>
        </is>
      </c>
      <c r="I863" s="24" t="inlineStr">
        <is>
          <t>자본변동표</t>
        </is>
      </c>
      <c r="J863" s="24" t="inlineStr">
        <is>
          <t>dart_EquityAtBeginningOfPeriod</t>
        </is>
      </c>
      <c r="K863" s="24" t="inlineStr">
        <is>
          <t>기초자본</t>
        </is>
      </c>
      <c r="L863" s="24" t="inlineStr">
        <is>
          <t>자본 [구성요소]|지배기업의 소유주에게 귀속되는 지분 [구성요소]</t>
        </is>
      </c>
      <c r="M863" s="24" t="inlineStr">
        <is>
          <t>제 20 기</t>
        </is>
      </c>
      <c r="N863" s="24" t="inlineStr">
        <is>
          <t>112061433062.0</t>
        </is>
      </c>
      <c r="O863" s="24" t="inlineStr">
        <is>
          <t>104968188989.0</t>
        </is>
      </c>
      <c r="P863" s="24" t="inlineStr">
        <is>
          <t>KRW</t>
        </is>
      </c>
      <c r="Q863" s="24" t="inlineStr">
        <is>
          <t>3</t>
        </is>
      </c>
    </row>
    <row r="864" ht="24" customHeight="1">
      <c r="A864" s="29" t="inlineStr">
        <is>
          <t>OpenDART_fnlttSinglAcntAll</t>
        </is>
      </c>
      <c r="B864" s="29" t="inlineStr">
        <is>
          <t>00591441</t>
        </is>
      </c>
      <c r="C864" s="29" t="inlineStr">
        <is>
          <t>어보브반도체</t>
        </is>
      </c>
      <c r="D864" s="29" t="inlineStr">
        <is>
          <t>abov</t>
        </is>
      </c>
      <c r="E864" s="29" t="inlineStr">
        <is>
          <t>102120</t>
        </is>
      </c>
      <c r="F864" s="29" t="inlineStr">
        <is>
          <t>2025</t>
        </is>
      </c>
      <c r="G864" s="29" t="inlineStr">
        <is>
          <t>CFS</t>
        </is>
      </c>
      <c r="H864" s="29" t="inlineStr">
        <is>
          <t>SCE</t>
        </is>
      </c>
      <c r="I864" s="29" t="inlineStr">
        <is>
          <t>자본변동표</t>
        </is>
      </c>
      <c r="J864" s="29" t="inlineStr">
        <is>
          <t>dart_EquityAtBeginningOfPeriod</t>
        </is>
      </c>
      <c r="K864" s="29" t="inlineStr">
        <is>
          <t>기초자본</t>
        </is>
      </c>
      <c r="L864" s="29" t="inlineStr">
        <is>
          <t>자본 [구성요소]|지배기업의 소유주에게 귀속되는 지분 [구성요소]|기타자본구성요소 [구성요소]</t>
        </is>
      </c>
      <c r="M864" s="29" t="inlineStr">
        <is>
          <t>제 20 기</t>
        </is>
      </c>
      <c r="N864" s="29" t="inlineStr">
        <is>
          <t>-763718620.0</t>
        </is>
      </c>
      <c r="O864" s="29" t="inlineStr">
        <is>
          <t>-6481281732.0</t>
        </is>
      </c>
      <c r="P864" s="29" t="inlineStr">
        <is>
          <t>KRW</t>
        </is>
      </c>
      <c r="Q864" s="29" t="inlineStr">
        <is>
          <t>3</t>
        </is>
      </c>
    </row>
    <row r="865" ht="24" customHeight="1">
      <c r="A865" s="24" t="inlineStr">
        <is>
          <t>OpenDART_fnlttSinglAcntAll</t>
        </is>
      </c>
      <c r="B865" s="24" t="inlineStr">
        <is>
          <t>00591441</t>
        </is>
      </c>
      <c r="C865" s="24" t="inlineStr">
        <is>
          <t>어보브반도체</t>
        </is>
      </c>
      <c r="D865" s="24" t="inlineStr">
        <is>
          <t>abov</t>
        </is>
      </c>
      <c r="E865" s="24" t="inlineStr">
        <is>
          <t>102120</t>
        </is>
      </c>
      <c r="F865" s="24" t="inlineStr">
        <is>
          <t>2025</t>
        </is>
      </c>
      <c r="G865" s="24" t="inlineStr">
        <is>
          <t>CFS</t>
        </is>
      </c>
      <c r="H865" s="24" t="inlineStr">
        <is>
          <t>SCE</t>
        </is>
      </c>
      <c r="I865" s="24" t="inlineStr">
        <is>
          <t>자본변동표</t>
        </is>
      </c>
      <c r="J865" s="24" t="inlineStr">
        <is>
          <t>dart_EquityAtBeginningOfPeriod</t>
        </is>
      </c>
      <c r="K865" s="24" t="inlineStr">
        <is>
          <t>기초자본</t>
        </is>
      </c>
      <c r="L865" s="24" t="inlineStr">
        <is>
          <t>자본 [구성요소]|지배기업의 소유주에게 귀속되는 지분 [구성요소]|기타포괄손익누계액 [구성요소]</t>
        </is>
      </c>
      <c r="M865" s="24" t="inlineStr">
        <is>
          <t>제 20 기</t>
        </is>
      </c>
      <c r="N865" s="24" t="inlineStr">
        <is>
          <t>-1299411201.0</t>
        </is>
      </c>
      <c r="O865" s="24" t="inlineStr">
        <is>
          <t>-922346725.0</t>
        </is>
      </c>
      <c r="P865" s="24" t="inlineStr">
        <is>
          <t>KRW</t>
        </is>
      </c>
      <c r="Q865" s="24" t="inlineStr">
        <is>
          <t>3</t>
        </is>
      </c>
    </row>
    <row r="866" ht="24" customHeight="1">
      <c r="A866" s="29" t="inlineStr">
        <is>
          <t>OpenDART_fnlttSinglAcntAll</t>
        </is>
      </c>
      <c r="B866" s="29" t="inlineStr">
        <is>
          <t>00591441</t>
        </is>
      </c>
      <c r="C866" s="29" t="inlineStr">
        <is>
          <t>어보브반도체</t>
        </is>
      </c>
      <c r="D866" s="29" t="inlineStr">
        <is>
          <t>abov</t>
        </is>
      </c>
      <c r="E866" s="29" t="inlineStr">
        <is>
          <t>102120</t>
        </is>
      </c>
      <c r="F866" s="29" t="inlineStr">
        <is>
          <t>2025</t>
        </is>
      </c>
      <c r="G866" s="29" t="inlineStr">
        <is>
          <t>CFS</t>
        </is>
      </c>
      <c r="H866" s="29" t="inlineStr">
        <is>
          <t>SCE</t>
        </is>
      </c>
      <c r="I866" s="29" t="inlineStr">
        <is>
          <t>자본변동표</t>
        </is>
      </c>
      <c r="J866" s="29" t="inlineStr">
        <is>
          <t>dart_EquityAtBeginningOfPeriod</t>
        </is>
      </c>
      <c r="K866" s="29" t="inlineStr">
        <is>
          <t>기초자본</t>
        </is>
      </c>
      <c r="L866" s="29" t="inlineStr">
        <is>
          <t>자본 [구성요소]|지배기업의 소유주에게 귀속되는 지분 [구성요소]|이익잉여금 [구성요소]</t>
        </is>
      </c>
      <c r="M866" s="29" t="inlineStr">
        <is>
          <t>제 20 기</t>
        </is>
      </c>
      <c r="N866" s="29" t="inlineStr">
        <is>
          <t>78812188232.0</t>
        </is>
      </c>
      <c r="O866" s="29" t="inlineStr">
        <is>
          <t>77059442795.0</t>
        </is>
      </c>
      <c r="P866" s="29" t="inlineStr">
        <is>
          <t>KRW</t>
        </is>
      </c>
      <c r="Q866" s="29" t="inlineStr">
        <is>
          <t>3</t>
        </is>
      </c>
    </row>
    <row r="867" ht="24" customHeight="1">
      <c r="A867" s="24" t="inlineStr">
        <is>
          <t>OpenDART_fnlttSinglAcntAll</t>
        </is>
      </c>
      <c r="B867" s="24" t="inlineStr">
        <is>
          <t>00591441</t>
        </is>
      </c>
      <c r="C867" s="24" t="inlineStr">
        <is>
          <t>어보브반도체</t>
        </is>
      </c>
      <c r="D867" s="24" t="inlineStr">
        <is>
          <t>abov</t>
        </is>
      </c>
      <c r="E867" s="24" t="inlineStr">
        <is>
          <t>102120</t>
        </is>
      </c>
      <c r="F867" s="24" t="inlineStr">
        <is>
          <t>2025</t>
        </is>
      </c>
      <c r="G867" s="24" t="inlineStr">
        <is>
          <t>CFS</t>
        </is>
      </c>
      <c r="H867" s="24" t="inlineStr">
        <is>
          <t>SCE</t>
        </is>
      </c>
      <c r="I867" s="24" t="inlineStr">
        <is>
          <t>자본변동표</t>
        </is>
      </c>
      <c r="J867" s="24" t="inlineStr">
        <is>
          <t>dart_EquityAtBeginningOfPeriod</t>
        </is>
      </c>
      <c r="K867" s="24" t="inlineStr">
        <is>
          <t>기초자본</t>
        </is>
      </c>
      <c r="L867" s="24" t="inlineStr">
        <is>
          <t>자본 [구성요소]|지배기업의 소유주에게 귀속되는 지분 [구성요소]|자본잉여금 [구성요소]</t>
        </is>
      </c>
      <c r="M867" s="24" t="inlineStr">
        <is>
          <t>제 20 기</t>
        </is>
      </c>
      <c r="N867" s="24" t="inlineStr">
        <is>
          <t>26421998151.0</t>
        </is>
      </c>
      <c r="O867" s="24" t="inlineStr">
        <is>
          <t>26421998151.0</t>
        </is>
      </c>
      <c r="P867" s="24" t="inlineStr">
        <is>
          <t>KRW</t>
        </is>
      </c>
      <c r="Q867" s="24" t="inlineStr">
        <is>
          <t>3</t>
        </is>
      </c>
    </row>
    <row r="868" ht="24" customHeight="1">
      <c r="A868" s="29" t="inlineStr">
        <is>
          <t>OpenDART_fnlttSinglAcntAll</t>
        </is>
      </c>
      <c r="B868" s="29" t="inlineStr">
        <is>
          <t>00591441</t>
        </is>
      </c>
      <c r="C868" s="29" t="inlineStr">
        <is>
          <t>어보브반도체</t>
        </is>
      </c>
      <c r="D868" s="29" t="inlineStr">
        <is>
          <t>abov</t>
        </is>
      </c>
      <c r="E868" s="29" t="inlineStr">
        <is>
          <t>102120</t>
        </is>
      </c>
      <c r="F868" s="29" t="inlineStr">
        <is>
          <t>2025</t>
        </is>
      </c>
      <c r="G868" s="29" t="inlineStr">
        <is>
          <t>CFS</t>
        </is>
      </c>
      <c r="H868" s="29" t="inlineStr">
        <is>
          <t>SCE</t>
        </is>
      </c>
      <c r="I868" s="29" t="inlineStr">
        <is>
          <t>자본변동표</t>
        </is>
      </c>
      <c r="J868" s="29" t="inlineStr">
        <is>
          <t>dart_EquityAtBeginningOfPeriod</t>
        </is>
      </c>
      <c r="K868" s="29" t="inlineStr">
        <is>
          <t>기초자본</t>
        </is>
      </c>
      <c r="L868" s="29" t="inlineStr">
        <is>
          <t>자본 [구성요소]|지배기업의 소유주에게 귀속되는 지분 [구성요소]|자본금 [구성요소]</t>
        </is>
      </c>
      <c r="M868" s="29" t="inlineStr">
        <is>
          <t>제 20 기</t>
        </is>
      </c>
      <c r="N868" s="29" t="inlineStr">
        <is>
          <t>8890376500.0</t>
        </is>
      </c>
      <c r="O868" s="29" t="inlineStr">
        <is>
          <t>8890376500.0</t>
        </is>
      </c>
      <c r="P868" s="29" t="inlineStr">
        <is>
          <t>KRW</t>
        </is>
      </c>
      <c r="Q868" s="29" t="inlineStr">
        <is>
          <t>3</t>
        </is>
      </c>
    </row>
    <row r="869" ht="24" customHeight="1">
      <c r="A869" s="24" t="inlineStr">
        <is>
          <t>OpenDART_fnlttSinglAcntAll</t>
        </is>
      </c>
      <c r="B869" s="24" t="inlineStr">
        <is>
          <t>00591441</t>
        </is>
      </c>
      <c r="C869" s="24" t="inlineStr">
        <is>
          <t>어보브반도체</t>
        </is>
      </c>
      <c r="D869" s="24" t="inlineStr">
        <is>
          <t>abov</t>
        </is>
      </c>
      <c r="E869" s="24" t="inlineStr">
        <is>
          <t>102120</t>
        </is>
      </c>
      <c r="F869" s="24" t="inlineStr">
        <is>
          <t>2025</t>
        </is>
      </c>
      <c r="G869" s="24" t="inlineStr">
        <is>
          <t>CFS</t>
        </is>
      </c>
      <c r="H869" s="24" t="inlineStr">
        <is>
          <t>SCE</t>
        </is>
      </c>
      <c r="I869" s="24" t="inlineStr">
        <is>
          <t>자본변동표</t>
        </is>
      </c>
      <c r="J869" s="24" t="inlineStr">
        <is>
          <t>dart_OtherComprehensiveIncomeNetOfTaxChangeInFairValueOfFinancialAssetsMeasuredAtFairValueThroughOtherComprehensiveIncome</t>
        </is>
      </c>
      <c r="K869" s="24" t="inlineStr">
        <is>
          <t>기타포괄손익-공정가치측정금융자산평가손익</t>
        </is>
      </c>
      <c r="L869" s="24" t="inlineStr">
        <is>
          <t>연결재무제표 [member]</t>
        </is>
      </c>
      <c r="M869" s="24" t="inlineStr">
        <is>
          <t>제 20 기</t>
        </is>
      </c>
      <c r="N869" s="24" t="inlineStr">
        <is>
          <t>-263498843.0</t>
        </is>
      </c>
      <c r="O869" s="24" t="inlineStr">
        <is>
          <t>해당 없음</t>
        </is>
      </c>
      <c r="P869" s="24" t="inlineStr">
        <is>
          <t>KRW</t>
        </is>
      </c>
      <c r="Q869" s="24" t="inlineStr">
        <is>
          <t>4</t>
        </is>
      </c>
    </row>
    <row r="870" ht="24" customHeight="1">
      <c r="A870" s="29" t="inlineStr">
        <is>
          <t>OpenDART_fnlttSinglAcntAll</t>
        </is>
      </c>
      <c r="B870" s="29" t="inlineStr">
        <is>
          <t>00591441</t>
        </is>
      </c>
      <c r="C870" s="29" t="inlineStr">
        <is>
          <t>어보브반도체</t>
        </is>
      </c>
      <c r="D870" s="29" t="inlineStr">
        <is>
          <t>abov</t>
        </is>
      </c>
      <c r="E870" s="29" t="inlineStr">
        <is>
          <t>102120</t>
        </is>
      </c>
      <c r="F870" s="29" t="inlineStr">
        <is>
          <t>2025</t>
        </is>
      </c>
      <c r="G870" s="29" t="inlineStr">
        <is>
          <t>CFS</t>
        </is>
      </c>
      <c r="H870" s="29" t="inlineStr">
        <is>
          <t>SCE</t>
        </is>
      </c>
      <c r="I870" s="29" t="inlineStr">
        <is>
          <t>자본변동표</t>
        </is>
      </c>
      <c r="J870" s="29" t="inlineStr">
        <is>
          <t>dart_OtherComprehensiveIncomeNetOfTaxChangeInFairValueOfFinancialAssetsMeasuredAtFairValueThroughOtherComprehensiveIncome</t>
        </is>
      </c>
      <c r="K870" s="29" t="inlineStr">
        <is>
          <t>기타포괄손익-공정가치측정금융자산평가손익</t>
        </is>
      </c>
      <c r="L870" s="29" t="inlineStr">
        <is>
          <t>자본 [구성요소]|지배기업의 소유주에게 귀속되는 지분 [구성요소]</t>
        </is>
      </c>
      <c r="M870" s="29" t="inlineStr">
        <is>
          <t>제 20 기</t>
        </is>
      </c>
      <c r="N870" s="29" t="inlineStr">
        <is>
          <t>-263498843.0</t>
        </is>
      </c>
      <c r="O870" s="29" t="inlineStr">
        <is>
          <t>해당 없음</t>
        </is>
      </c>
      <c r="P870" s="29" t="inlineStr">
        <is>
          <t>KRW</t>
        </is>
      </c>
      <c r="Q870" s="29" t="inlineStr">
        <is>
          <t>4</t>
        </is>
      </c>
    </row>
    <row r="871" ht="24" customHeight="1">
      <c r="A871" s="24" t="inlineStr">
        <is>
          <t>OpenDART_fnlttSinglAcntAll</t>
        </is>
      </c>
      <c r="B871" s="24" t="inlineStr">
        <is>
          <t>00591441</t>
        </is>
      </c>
      <c r="C871" s="24" t="inlineStr">
        <is>
          <t>어보브반도체</t>
        </is>
      </c>
      <c r="D871" s="24" t="inlineStr">
        <is>
          <t>abov</t>
        </is>
      </c>
      <c r="E871" s="24" t="inlineStr">
        <is>
          <t>102120</t>
        </is>
      </c>
      <c r="F871" s="24" t="inlineStr">
        <is>
          <t>2025</t>
        </is>
      </c>
      <c r="G871" s="24" t="inlineStr">
        <is>
          <t>CFS</t>
        </is>
      </c>
      <c r="H871" s="24" t="inlineStr">
        <is>
          <t>SCE</t>
        </is>
      </c>
      <c r="I871" s="24" t="inlineStr">
        <is>
          <t>자본변동표</t>
        </is>
      </c>
      <c r="J871" s="24" t="inlineStr">
        <is>
          <t>dart_OtherComprehensiveIncomeNetOfTaxChangeInFairValueOfFinancialAssetsMeasuredAtFairValueThroughOtherComprehensiveIncome</t>
        </is>
      </c>
      <c r="K871" s="24" t="inlineStr">
        <is>
          <t>기타포괄손익-공정가치측정금융자산평가손익</t>
        </is>
      </c>
      <c r="L871" s="24" t="inlineStr">
        <is>
          <t>자본 [구성요소]|비지배지분 [구성요소]</t>
        </is>
      </c>
      <c r="M871" s="24" t="inlineStr">
        <is>
          <t>제 20 기</t>
        </is>
      </c>
      <c r="N871" s="24" t="inlineStr">
        <is>
          <t>해당 없음</t>
        </is>
      </c>
      <c r="O871" s="24" t="inlineStr">
        <is>
          <t>해당 없음</t>
        </is>
      </c>
      <c r="P871" s="24" t="inlineStr">
        <is>
          <t>KRW</t>
        </is>
      </c>
      <c r="Q871" s="24" t="inlineStr">
        <is>
          <t>4</t>
        </is>
      </c>
    </row>
    <row r="872" ht="24" customHeight="1">
      <c r="A872" s="29" t="inlineStr">
        <is>
          <t>OpenDART_fnlttSinglAcntAll</t>
        </is>
      </c>
      <c r="B872" s="29" t="inlineStr">
        <is>
          <t>00591441</t>
        </is>
      </c>
      <c r="C872" s="29" t="inlineStr">
        <is>
          <t>어보브반도체</t>
        </is>
      </c>
      <c r="D872" s="29" t="inlineStr">
        <is>
          <t>abov</t>
        </is>
      </c>
      <c r="E872" s="29" t="inlineStr">
        <is>
          <t>102120</t>
        </is>
      </c>
      <c r="F872" s="29" t="inlineStr">
        <is>
          <t>2025</t>
        </is>
      </c>
      <c r="G872" s="29" t="inlineStr">
        <is>
          <t>CFS</t>
        </is>
      </c>
      <c r="H872" s="29" t="inlineStr">
        <is>
          <t>SCE</t>
        </is>
      </c>
      <c r="I872" s="29" t="inlineStr">
        <is>
          <t>자본변동표</t>
        </is>
      </c>
      <c r="J872" s="29" t="inlineStr">
        <is>
          <t>dart_OtherComprehensiveIncomeNetOfTaxChangeInFairValueOfFinancialAssetsMeasuredAtFairValueThroughOtherComprehensiveIncome</t>
        </is>
      </c>
      <c r="K872" s="29" t="inlineStr">
        <is>
          <t>기타포괄손익-공정가치측정금융자산평가손익</t>
        </is>
      </c>
      <c r="L872" s="29" t="inlineStr">
        <is>
          <t>자본 [구성요소]|지배기업의 소유주에게 귀속되는 지분 [구성요소]|기타포괄손익누계액 [구성요소]</t>
        </is>
      </c>
      <c r="M872" s="29" t="inlineStr">
        <is>
          <t>제 20 기</t>
        </is>
      </c>
      <c r="N872" s="29" t="inlineStr">
        <is>
          <t>-263498843.0</t>
        </is>
      </c>
      <c r="O872" s="29" t="inlineStr">
        <is>
          <t>해당 없음</t>
        </is>
      </c>
      <c r="P872" s="29" t="inlineStr">
        <is>
          <t>KRW</t>
        </is>
      </c>
      <c r="Q872" s="29" t="inlineStr">
        <is>
          <t>4</t>
        </is>
      </c>
    </row>
    <row r="873" ht="24" customHeight="1">
      <c r="A873" s="24" t="inlineStr">
        <is>
          <t>OpenDART_fnlttSinglAcntAll</t>
        </is>
      </c>
      <c r="B873" s="24" t="inlineStr">
        <is>
          <t>00591441</t>
        </is>
      </c>
      <c r="C873" s="24" t="inlineStr">
        <is>
          <t>어보브반도체</t>
        </is>
      </c>
      <c r="D873" s="24" t="inlineStr">
        <is>
          <t>abov</t>
        </is>
      </c>
      <c r="E873" s="24" t="inlineStr">
        <is>
          <t>102120</t>
        </is>
      </c>
      <c r="F873" s="24" t="inlineStr">
        <is>
          <t>2025</t>
        </is>
      </c>
      <c r="G873" s="24" t="inlineStr">
        <is>
          <t>CFS</t>
        </is>
      </c>
      <c r="H873" s="24" t="inlineStr">
        <is>
          <t>SCE</t>
        </is>
      </c>
      <c r="I873" s="24" t="inlineStr">
        <is>
          <t>자본변동표</t>
        </is>
      </c>
      <c r="J873" s="24" t="inlineStr">
        <is>
          <t>dart_ProceedsFromPaidinCapitalIncrease</t>
        </is>
      </c>
      <c r="K873" s="24" t="inlineStr">
        <is>
          <t>종속기업의 유상증자</t>
        </is>
      </c>
      <c r="L873" s="24" t="inlineStr">
        <is>
          <t>연결재무제표 [member]</t>
        </is>
      </c>
      <c r="M873" s="24" t="inlineStr">
        <is>
          <t>제 20 기</t>
        </is>
      </c>
      <c r="N873" s="24" t="inlineStr">
        <is>
          <t>해당 없음</t>
        </is>
      </c>
      <c r="O873" s="24" t="inlineStr">
        <is>
          <t>28978742058.0</t>
        </is>
      </c>
      <c r="P873" s="24" t="inlineStr">
        <is>
          <t>KRW</t>
        </is>
      </c>
      <c r="Q873" s="24" t="inlineStr">
        <is>
          <t>5</t>
        </is>
      </c>
    </row>
    <row r="874" ht="24" customHeight="1">
      <c r="A874" s="29" t="inlineStr">
        <is>
          <t>OpenDART_fnlttSinglAcntAll</t>
        </is>
      </c>
      <c r="B874" s="29" t="inlineStr">
        <is>
          <t>00591441</t>
        </is>
      </c>
      <c r="C874" s="29" t="inlineStr">
        <is>
          <t>어보브반도체</t>
        </is>
      </c>
      <c r="D874" s="29" t="inlineStr">
        <is>
          <t>abov</t>
        </is>
      </c>
      <c r="E874" s="29" t="inlineStr">
        <is>
          <t>102120</t>
        </is>
      </c>
      <c r="F874" s="29" t="inlineStr">
        <is>
          <t>2025</t>
        </is>
      </c>
      <c r="G874" s="29" t="inlineStr">
        <is>
          <t>CFS</t>
        </is>
      </c>
      <c r="H874" s="29" t="inlineStr">
        <is>
          <t>SCE</t>
        </is>
      </c>
      <c r="I874" s="29" t="inlineStr">
        <is>
          <t>자본변동표</t>
        </is>
      </c>
      <c r="J874" s="29" t="inlineStr">
        <is>
          <t>dart_ProceedsFromPaidinCapitalIncrease</t>
        </is>
      </c>
      <c r="K874" s="29" t="inlineStr">
        <is>
          <t>종속기업의 유상증자</t>
        </is>
      </c>
      <c r="L874" s="29" t="inlineStr">
        <is>
          <t>자본 [구성요소]|비지배지분 [구성요소]</t>
        </is>
      </c>
      <c r="M874" s="29" t="inlineStr">
        <is>
          <t>제 20 기</t>
        </is>
      </c>
      <c r="N874" s="29" t="inlineStr">
        <is>
          <t>해당 없음</t>
        </is>
      </c>
      <c r="O874" s="29" t="inlineStr">
        <is>
          <t>28978742058.0</t>
        </is>
      </c>
      <c r="P874" s="29" t="inlineStr">
        <is>
          <t>KRW</t>
        </is>
      </c>
      <c r="Q874" s="29" t="inlineStr">
        <is>
          <t>5</t>
        </is>
      </c>
    </row>
    <row r="875" ht="24" customHeight="1">
      <c r="A875" s="24" t="inlineStr">
        <is>
          <t>OpenDART_fnlttSinglAcntAll</t>
        </is>
      </c>
      <c r="B875" s="24" t="inlineStr">
        <is>
          <t>00591441</t>
        </is>
      </c>
      <c r="C875" s="24" t="inlineStr">
        <is>
          <t>어보브반도체</t>
        </is>
      </c>
      <c r="D875" s="24" t="inlineStr">
        <is>
          <t>abov</t>
        </is>
      </c>
      <c r="E875" s="24" t="inlineStr">
        <is>
          <t>102120</t>
        </is>
      </c>
      <c r="F875" s="24" t="inlineStr">
        <is>
          <t>2025</t>
        </is>
      </c>
      <c r="G875" s="24" t="inlineStr">
        <is>
          <t>CFS</t>
        </is>
      </c>
      <c r="H875" s="24" t="inlineStr">
        <is>
          <t>SCE</t>
        </is>
      </c>
      <c r="I875" s="24" t="inlineStr">
        <is>
          <t>자본변동표</t>
        </is>
      </c>
      <c r="J875" s="24" t="inlineStr">
        <is>
          <t>-표준계정코드 미사용-</t>
        </is>
      </c>
      <c r="K875" s="24" t="inlineStr">
        <is>
          <t>교환권 대가</t>
        </is>
      </c>
      <c r="L875" s="24" t="inlineStr">
        <is>
          <t>연결재무제표 [member]</t>
        </is>
      </c>
      <c r="M875" s="24" t="inlineStr">
        <is>
          <t>제 20 기</t>
        </is>
      </c>
      <c r="N875" s="24" t="inlineStr">
        <is>
          <t>해당 없음</t>
        </is>
      </c>
      <c r="O875" s="24" t="inlineStr">
        <is>
          <t>1265148130.0</t>
        </is>
      </c>
      <c r="P875" s="24" t="inlineStr">
        <is>
          <t>KRW</t>
        </is>
      </c>
      <c r="Q875" s="24" t="inlineStr">
        <is>
          <t>6</t>
        </is>
      </c>
    </row>
    <row r="876" ht="24" customHeight="1">
      <c r="A876" s="29" t="inlineStr">
        <is>
          <t>OpenDART_fnlttSinglAcntAll</t>
        </is>
      </c>
      <c r="B876" s="29" t="inlineStr">
        <is>
          <t>00591441</t>
        </is>
      </c>
      <c r="C876" s="29" t="inlineStr">
        <is>
          <t>어보브반도체</t>
        </is>
      </c>
      <c r="D876" s="29" t="inlineStr">
        <is>
          <t>abov</t>
        </is>
      </c>
      <c r="E876" s="29" t="inlineStr">
        <is>
          <t>102120</t>
        </is>
      </c>
      <c r="F876" s="29" t="inlineStr">
        <is>
          <t>2025</t>
        </is>
      </c>
      <c r="G876" s="29" t="inlineStr">
        <is>
          <t>CFS</t>
        </is>
      </c>
      <c r="H876" s="29" t="inlineStr">
        <is>
          <t>SCE</t>
        </is>
      </c>
      <c r="I876" s="29" t="inlineStr">
        <is>
          <t>자본변동표</t>
        </is>
      </c>
      <c r="J876" s="29" t="inlineStr">
        <is>
          <t>-표준계정코드 미사용-</t>
        </is>
      </c>
      <c r="K876" s="29" t="inlineStr">
        <is>
          <t>교환권 대가</t>
        </is>
      </c>
      <c r="L876" s="29" t="inlineStr">
        <is>
          <t>자본 [구성요소]|비지배지분 [구성요소]</t>
        </is>
      </c>
      <c r="M876" s="29" t="inlineStr">
        <is>
          <t>제 20 기</t>
        </is>
      </c>
      <c r="N876" s="29" t="inlineStr">
        <is>
          <t>해당 없음</t>
        </is>
      </c>
      <c r="O876" s="29" t="inlineStr">
        <is>
          <t>632571712.0</t>
        </is>
      </c>
      <c r="P876" s="29" t="inlineStr">
        <is>
          <t>KRW</t>
        </is>
      </c>
      <c r="Q876" s="29" t="inlineStr">
        <is>
          <t>6</t>
        </is>
      </c>
    </row>
    <row r="877" ht="24" customHeight="1">
      <c r="A877" s="24" t="inlineStr">
        <is>
          <t>OpenDART_fnlttSinglAcntAll</t>
        </is>
      </c>
      <c r="B877" s="24" t="inlineStr">
        <is>
          <t>00591441</t>
        </is>
      </c>
      <c r="C877" s="24" t="inlineStr">
        <is>
          <t>어보브반도체</t>
        </is>
      </c>
      <c r="D877" s="24" t="inlineStr">
        <is>
          <t>abov</t>
        </is>
      </c>
      <c r="E877" s="24" t="inlineStr">
        <is>
          <t>102120</t>
        </is>
      </c>
      <c r="F877" s="24" t="inlineStr">
        <is>
          <t>2025</t>
        </is>
      </c>
      <c r="G877" s="24" t="inlineStr">
        <is>
          <t>CFS</t>
        </is>
      </c>
      <c r="H877" s="24" t="inlineStr">
        <is>
          <t>SCE</t>
        </is>
      </c>
      <c r="I877" s="24" t="inlineStr">
        <is>
          <t>자본변동표</t>
        </is>
      </c>
      <c r="J877" s="24" t="inlineStr">
        <is>
          <t>-표준계정코드 미사용-</t>
        </is>
      </c>
      <c r="K877" s="24" t="inlineStr">
        <is>
          <t>교환권 대가</t>
        </is>
      </c>
      <c r="L877" s="24" t="inlineStr">
        <is>
          <t>자본 [구성요소]|지배기업의 소유주에게 귀속되는 지분 [구성요소]</t>
        </is>
      </c>
      <c r="M877" s="24" t="inlineStr">
        <is>
          <t>제 20 기</t>
        </is>
      </c>
      <c r="N877" s="24" t="inlineStr">
        <is>
          <t>해당 없음</t>
        </is>
      </c>
      <c r="O877" s="24" t="inlineStr">
        <is>
          <t>632576418.0</t>
        </is>
      </c>
      <c r="P877" s="24" t="inlineStr">
        <is>
          <t>KRW</t>
        </is>
      </c>
      <c r="Q877" s="24" t="inlineStr">
        <is>
          <t>6</t>
        </is>
      </c>
    </row>
    <row r="878" ht="24" customHeight="1">
      <c r="A878" s="29" t="inlineStr">
        <is>
          <t>OpenDART_fnlttSinglAcntAll</t>
        </is>
      </c>
      <c r="B878" s="29" t="inlineStr">
        <is>
          <t>00591441</t>
        </is>
      </c>
      <c r="C878" s="29" t="inlineStr">
        <is>
          <t>어보브반도체</t>
        </is>
      </c>
      <c r="D878" s="29" t="inlineStr">
        <is>
          <t>abov</t>
        </is>
      </c>
      <c r="E878" s="29" t="inlineStr">
        <is>
          <t>102120</t>
        </is>
      </c>
      <c r="F878" s="29" t="inlineStr">
        <is>
          <t>2025</t>
        </is>
      </c>
      <c r="G878" s="29" t="inlineStr">
        <is>
          <t>CFS</t>
        </is>
      </c>
      <c r="H878" s="29" t="inlineStr">
        <is>
          <t>SCE</t>
        </is>
      </c>
      <c r="I878" s="29" t="inlineStr">
        <is>
          <t>자본변동표</t>
        </is>
      </c>
      <c r="J878" s="29" t="inlineStr">
        <is>
          <t>-표준계정코드 미사용-</t>
        </is>
      </c>
      <c r="K878" s="29" t="inlineStr">
        <is>
          <t>교환권 대가</t>
        </is>
      </c>
      <c r="L878" s="29" t="inlineStr">
        <is>
          <t>자본 [구성요소]|지배기업의 소유주에게 귀속되는 지분 [구성요소]|기타자본구성요소 [구성요소]</t>
        </is>
      </c>
      <c r="M878" s="29" t="inlineStr">
        <is>
          <t>제 20 기</t>
        </is>
      </c>
      <c r="N878" s="29" t="inlineStr">
        <is>
          <t>해당 없음</t>
        </is>
      </c>
      <c r="O878" s="29" t="inlineStr">
        <is>
          <t>632576418.0</t>
        </is>
      </c>
      <c r="P878" s="29" t="inlineStr">
        <is>
          <t>KRW</t>
        </is>
      </c>
      <c r="Q878" s="29" t="inlineStr">
        <is>
          <t>6</t>
        </is>
      </c>
    </row>
    <row r="879" ht="24" customHeight="1">
      <c r="A879" s="24" t="inlineStr">
        <is>
          <t>OpenDART_fnlttSinglAcntAll</t>
        </is>
      </c>
      <c r="B879" s="24" t="inlineStr">
        <is>
          <t>00591441</t>
        </is>
      </c>
      <c r="C879" s="24" t="inlineStr">
        <is>
          <t>어보브반도체</t>
        </is>
      </c>
      <c r="D879" s="24" t="inlineStr">
        <is>
          <t>abov</t>
        </is>
      </c>
      <c r="E879" s="24" t="inlineStr">
        <is>
          <t>102120</t>
        </is>
      </c>
      <c r="F879" s="24" t="inlineStr">
        <is>
          <t>2025</t>
        </is>
      </c>
      <c r="G879" s="24" t="inlineStr">
        <is>
          <t>CFS</t>
        </is>
      </c>
      <c r="H879" s="24" t="inlineStr">
        <is>
          <t>SCE</t>
        </is>
      </c>
      <c r="I879" s="24" t="inlineStr">
        <is>
          <t>자본변동표</t>
        </is>
      </c>
      <c r="J879" s="24" t="inlineStr">
        <is>
          <t>-표준계정코드 미사용-</t>
        </is>
      </c>
      <c r="K879" s="24" t="inlineStr">
        <is>
          <t>전환권 및 신주인수권대가</t>
        </is>
      </c>
      <c r="L879" s="24" t="inlineStr">
        <is>
          <t>연결재무제표 [member]</t>
        </is>
      </c>
      <c r="M879" s="24" t="inlineStr">
        <is>
          <t>제 20 기</t>
        </is>
      </c>
      <c r="N879" s="24" t="inlineStr">
        <is>
          <t>해당 없음</t>
        </is>
      </c>
      <c r="O879" s="24" t="inlineStr">
        <is>
          <t>해당 없음</t>
        </is>
      </c>
      <c r="P879" s="24" t="inlineStr">
        <is>
          <t>KRW</t>
        </is>
      </c>
      <c r="Q879" s="24" t="inlineStr">
        <is>
          <t>7</t>
        </is>
      </c>
    </row>
    <row r="880" ht="24" customHeight="1">
      <c r="A880" s="29" t="inlineStr">
        <is>
          <t>OpenDART_fnlttSinglAcntAll</t>
        </is>
      </c>
      <c r="B880" s="29" t="inlineStr">
        <is>
          <t>00591441</t>
        </is>
      </c>
      <c r="C880" s="29" t="inlineStr">
        <is>
          <t>어보브반도체</t>
        </is>
      </c>
      <c r="D880" s="29" t="inlineStr">
        <is>
          <t>abov</t>
        </is>
      </c>
      <c r="E880" s="29" t="inlineStr">
        <is>
          <t>102120</t>
        </is>
      </c>
      <c r="F880" s="29" t="inlineStr">
        <is>
          <t>2025</t>
        </is>
      </c>
      <c r="G880" s="29" t="inlineStr">
        <is>
          <t>CFS</t>
        </is>
      </c>
      <c r="H880" s="29" t="inlineStr">
        <is>
          <t>SCE</t>
        </is>
      </c>
      <c r="I880" s="29" t="inlineStr">
        <is>
          <t>자본변동표</t>
        </is>
      </c>
      <c r="J880" s="29" t="inlineStr">
        <is>
          <t>-표준계정코드 미사용-</t>
        </is>
      </c>
      <c r="K880" s="29" t="inlineStr">
        <is>
          <t>전환권 및 신주인수권대가</t>
        </is>
      </c>
      <c r="L880" s="29" t="inlineStr">
        <is>
          <t>자본 [구성요소]|비지배지분 [구성요소]</t>
        </is>
      </c>
      <c r="M880" s="29" t="inlineStr">
        <is>
          <t>제 20 기</t>
        </is>
      </c>
      <c r="N880" s="29" t="inlineStr">
        <is>
          <t>해당 없음</t>
        </is>
      </c>
      <c r="O880" s="29" t="inlineStr">
        <is>
          <t>해당 없음</t>
        </is>
      </c>
      <c r="P880" s="29" t="inlineStr">
        <is>
          <t>KRW</t>
        </is>
      </c>
      <c r="Q880" s="29" t="inlineStr">
        <is>
          <t>7</t>
        </is>
      </c>
    </row>
    <row r="881" ht="24" customHeight="1">
      <c r="A881" s="24" t="inlineStr">
        <is>
          <t>OpenDART_fnlttSinglAcntAll</t>
        </is>
      </c>
      <c r="B881" s="24" t="inlineStr">
        <is>
          <t>00591441</t>
        </is>
      </c>
      <c r="C881" s="24" t="inlineStr">
        <is>
          <t>어보브반도체</t>
        </is>
      </c>
      <c r="D881" s="24" t="inlineStr">
        <is>
          <t>abov</t>
        </is>
      </c>
      <c r="E881" s="24" t="inlineStr">
        <is>
          <t>102120</t>
        </is>
      </c>
      <c r="F881" s="24" t="inlineStr">
        <is>
          <t>2025</t>
        </is>
      </c>
      <c r="G881" s="24" t="inlineStr">
        <is>
          <t>CFS</t>
        </is>
      </c>
      <c r="H881" s="24" t="inlineStr">
        <is>
          <t>SCE</t>
        </is>
      </c>
      <c r="I881" s="24" t="inlineStr">
        <is>
          <t>자본변동표</t>
        </is>
      </c>
      <c r="J881" s="24" t="inlineStr">
        <is>
          <t>-표준계정코드 미사용-</t>
        </is>
      </c>
      <c r="K881" s="24" t="inlineStr">
        <is>
          <t>전환권 및 신주인수권대가 소멸</t>
        </is>
      </c>
      <c r="L881" s="24" t="inlineStr">
        <is>
          <t>자본 [구성요소]|비지배지분 [구성요소]</t>
        </is>
      </c>
      <c r="M881" s="24" t="inlineStr">
        <is>
          <t>제 20 기</t>
        </is>
      </c>
      <c r="N881" s="24" t="inlineStr">
        <is>
          <t>-633156034.0</t>
        </is>
      </c>
      <c r="O881" s="24" t="inlineStr">
        <is>
          <t>-4458578646.0</t>
        </is>
      </c>
      <c r="P881" s="24" t="inlineStr">
        <is>
          <t>KRW</t>
        </is>
      </c>
      <c r="Q881" s="24" t="inlineStr">
        <is>
          <t>8</t>
        </is>
      </c>
    </row>
    <row r="882" ht="24" customHeight="1">
      <c r="A882" s="29" t="inlineStr">
        <is>
          <t>OpenDART_fnlttSinglAcntAll</t>
        </is>
      </c>
      <c r="B882" s="29" t="inlineStr">
        <is>
          <t>00591441</t>
        </is>
      </c>
      <c r="C882" s="29" t="inlineStr">
        <is>
          <t>어보브반도체</t>
        </is>
      </c>
      <c r="D882" s="29" t="inlineStr">
        <is>
          <t>abov</t>
        </is>
      </c>
      <c r="E882" s="29" t="inlineStr">
        <is>
          <t>102120</t>
        </is>
      </c>
      <c r="F882" s="29" t="inlineStr">
        <is>
          <t>2025</t>
        </is>
      </c>
      <c r="G882" s="29" t="inlineStr">
        <is>
          <t>CFS</t>
        </is>
      </c>
      <c r="H882" s="29" t="inlineStr">
        <is>
          <t>SCE</t>
        </is>
      </c>
      <c r="I882" s="29" t="inlineStr">
        <is>
          <t>자본변동표</t>
        </is>
      </c>
      <c r="J882" s="29" t="inlineStr">
        <is>
          <t>-표준계정코드 미사용-</t>
        </is>
      </c>
      <c r="K882" s="29" t="inlineStr">
        <is>
          <t>전환권 및 신주인수권대가 소멸</t>
        </is>
      </c>
      <c r="L882" s="29" t="inlineStr">
        <is>
          <t>자본 [구성요소]|지배기업의 소유주에게 귀속되는 지분 [구성요소]</t>
        </is>
      </c>
      <c r="M882" s="29" t="inlineStr">
        <is>
          <t>제 20 기</t>
        </is>
      </c>
      <c r="N882" s="29" t="inlineStr">
        <is>
          <t>633156034.0</t>
        </is>
      </c>
      <c r="O882" s="29" t="inlineStr">
        <is>
          <t>4458578646.0</t>
        </is>
      </c>
      <c r="P882" s="29" t="inlineStr">
        <is>
          <t>KRW</t>
        </is>
      </c>
      <c r="Q882" s="29" t="inlineStr">
        <is>
          <t>8</t>
        </is>
      </c>
    </row>
    <row r="883" ht="24" customHeight="1">
      <c r="A883" s="24" t="inlineStr">
        <is>
          <t>OpenDART_fnlttSinglAcntAll</t>
        </is>
      </c>
      <c r="B883" s="24" t="inlineStr">
        <is>
          <t>00591441</t>
        </is>
      </c>
      <c r="C883" s="24" t="inlineStr">
        <is>
          <t>어보브반도체</t>
        </is>
      </c>
      <c r="D883" s="24" t="inlineStr">
        <is>
          <t>abov</t>
        </is>
      </c>
      <c r="E883" s="24" t="inlineStr">
        <is>
          <t>102120</t>
        </is>
      </c>
      <c r="F883" s="24" t="inlineStr">
        <is>
          <t>2025</t>
        </is>
      </c>
      <c r="G883" s="24" t="inlineStr">
        <is>
          <t>CFS</t>
        </is>
      </c>
      <c r="H883" s="24" t="inlineStr">
        <is>
          <t>SCE</t>
        </is>
      </c>
      <c r="I883" s="24" t="inlineStr">
        <is>
          <t>자본변동표</t>
        </is>
      </c>
      <c r="J883" s="24" t="inlineStr">
        <is>
          <t>-표준계정코드 미사용-</t>
        </is>
      </c>
      <c r="K883" s="24" t="inlineStr">
        <is>
          <t>전환권 및 신주인수권대가 소멸</t>
        </is>
      </c>
      <c r="L883" s="24" t="inlineStr">
        <is>
          <t>자본 [구성요소]|지배기업의 소유주에게 귀속되는 지분 [구성요소]|기타자본구성요소 [구성요소]</t>
        </is>
      </c>
      <c r="M883" s="24" t="inlineStr">
        <is>
          <t>제 20 기</t>
        </is>
      </c>
      <c r="N883" s="24" t="inlineStr">
        <is>
          <t>633156034.0</t>
        </is>
      </c>
      <c r="O883" s="24" t="inlineStr">
        <is>
          <t>4458578646.0</t>
        </is>
      </c>
      <c r="P883" s="24" t="inlineStr">
        <is>
          <t>KRW</t>
        </is>
      </c>
      <c r="Q883" s="24" t="inlineStr">
        <is>
          <t>8</t>
        </is>
      </c>
    </row>
    <row r="884" ht="24" customHeight="1">
      <c r="A884" s="29" t="inlineStr">
        <is>
          <t>OpenDART_fnlttSinglAcntAll</t>
        </is>
      </c>
      <c r="B884" s="29" t="inlineStr">
        <is>
          <t>00591441</t>
        </is>
      </c>
      <c r="C884" s="29" t="inlineStr">
        <is>
          <t>어보브반도체</t>
        </is>
      </c>
      <c r="D884" s="29" t="inlineStr">
        <is>
          <t>abov</t>
        </is>
      </c>
      <c r="E884" s="29" t="inlineStr">
        <is>
          <t>102120</t>
        </is>
      </c>
      <c r="F884" s="29" t="inlineStr">
        <is>
          <t>2025</t>
        </is>
      </c>
      <c r="G884" s="29" t="inlineStr">
        <is>
          <t>CFS</t>
        </is>
      </c>
      <c r="H884" s="29" t="inlineStr">
        <is>
          <t>SCE</t>
        </is>
      </c>
      <c r="I884" s="29" t="inlineStr">
        <is>
          <t>자본변동표</t>
        </is>
      </c>
      <c r="J884" s="29" t="inlineStr">
        <is>
          <t>-표준계정코드 미사용-</t>
        </is>
      </c>
      <c r="K884" s="29" t="inlineStr">
        <is>
          <t>순확정급여부채의 재측정요소</t>
        </is>
      </c>
      <c r="L884" s="29" t="inlineStr">
        <is>
          <t>연결재무제표 [member]</t>
        </is>
      </c>
      <c r="M884" s="29" t="inlineStr">
        <is>
          <t>제 20 기</t>
        </is>
      </c>
      <c r="N884" s="29" t="inlineStr">
        <is>
          <t>-101214062.0</t>
        </is>
      </c>
      <c r="O884" s="29" t="inlineStr">
        <is>
          <t>751870946.0</t>
        </is>
      </c>
      <c r="P884" s="29" t="inlineStr">
        <is>
          <t>KRW</t>
        </is>
      </c>
      <c r="Q884" s="29" t="inlineStr">
        <is>
          <t>9</t>
        </is>
      </c>
    </row>
    <row r="885" ht="24" customHeight="1">
      <c r="A885" s="24" t="inlineStr">
        <is>
          <t>OpenDART_fnlttSinglAcntAll</t>
        </is>
      </c>
      <c r="B885" s="24" t="inlineStr">
        <is>
          <t>00591441</t>
        </is>
      </c>
      <c r="C885" s="24" t="inlineStr">
        <is>
          <t>어보브반도체</t>
        </is>
      </c>
      <c r="D885" s="24" t="inlineStr">
        <is>
          <t>abov</t>
        </is>
      </c>
      <c r="E885" s="24" t="inlineStr">
        <is>
          <t>102120</t>
        </is>
      </c>
      <c r="F885" s="24" t="inlineStr">
        <is>
          <t>2025</t>
        </is>
      </c>
      <c r="G885" s="24" t="inlineStr">
        <is>
          <t>CFS</t>
        </is>
      </c>
      <c r="H885" s="24" t="inlineStr">
        <is>
          <t>SCE</t>
        </is>
      </c>
      <c r="I885" s="24" t="inlineStr">
        <is>
          <t>자본변동표</t>
        </is>
      </c>
      <c r="J885" s="24" t="inlineStr">
        <is>
          <t>-표준계정코드 미사용-</t>
        </is>
      </c>
      <c r="K885" s="24" t="inlineStr">
        <is>
          <t>순확정급여부채의 재측정요소</t>
        </is>
      </c>
      <c r="L885" s="24" t="inlineStr">
        <is>
          <t>자본 [구성요소]|지배기업의 소유주에게 귀속되는 지분 [구성요소]</t>
        </is>
      </c>
      <c r="M885" s="24" t="inlineStr">
        <is>
          <t>제 20 기</t>
        </is>
      </c>
      <c r="N885" s="24" t="inlineStr">
        <is>
          <t>-101214062.0</t>
        </is>
      </c>
      <c r="O885" s="24" t="inlineStr">
        <is>
          <t>751870946.0</t>
        </is>
      </c>
      <c r="P885" s="24" t="inlineStr">
        <is>
          <t>KRW</t>
        </is>
      </c>
      <c r="Q885" s="24" t="inlineStr">
        <is>
          <t>9</t>
        </is>
      </c>
    </row>
    <row r="886" ht="24" customHeight="1">
      <c r="A886" s="29" t="inlineStr">
        <is>
          <t>OpenDART_fnlttSinglAcntAll</t>
        </is>
      </c>
      <c r="B886" s="29" t="inlineStr">
        <is>
          <t>00591441</t>
        </is>
      </c>
      <c r="C886" s="29" t="inlineStr">
        <is>
          <t>어보브반도체</t>
        </is>
      </c>
      <c r="D886" s="29" t="inlineStr">
        <is>
          <t>abov</t>
        </is>
      </c>
      <c r="E886" s="29" t="inlineStr">
        <is>
          <t>102120</t>
        </is>
      </c>
      <c r="F886" s="29" t="inlineStr">
        <is>
          <t>2025</t>
        </is>
      </c>
      <c r="G886" s="29" t="inlineStr">
        <is>
          <t>CFS</t>
        </is>
      </c>
      <c r="H886" s="29" t="inlineStr">
        <is>
          <t>SCE</t>
        </is>
      </c>
      <c r="I886" s="29" t="inlineStr">
        <is>
          <t>자본변동표</t>
        </is>
      </c>
      <c r="J886" s="29" t="inlineStr">
        <is>
          <t>-표준계정코드 미사용-</t>
        </is>
      </c>
      <c r="K886" s="29" t="inlineStr">
        <is>
          <t>순확정급여부채의 재측정요소</t>
        </is>
      </c>
      <c r="L886" s="29" t="inlineStr">
        <is>
          <t>자본 [구성요소]|지배기업의 소유주에게 귀속되는 지분 [구성요소]|이익잉여금 [구성요소]</t>
        </is>
      </c>
      <c r="M886" s="29" t="inlineStr">
        <is>
          <t>제 20 기</t>
        </is>
      </c>
      <c r="N886" s="29" t="inlineStr">
        <is>
          <t>-101214062.0</t>
        </is>
      </c>
      <c r="O886" s="29" t="inlineStr">
        <is>
          <t>751870946.0</t>
        </is>
      </c>
      <c r="P886" s="29" t="inlineStr">
        <is>
          <t>KRW</t>
        </is>
      </c>
      <c r="Q886" s="29" t="inlineStr">
        <is>
          <t>9</t>
        </is>
      </c>
    </row>
    <row r="887" ht="24" customHeight="1">
      <c r="A887" s="24" t="inlineStr">
        <is>
          <t>OpenDART_fnlttSinglAcntAll</t>
        </is>
      </c>
      <c r="B887" s="24" t="inlineStr">
        <is>
          <t>00591441</t>
        </is>
      </c>
      <c r="C887" s="24" t="inlineStr">
        <is>
          <t>어보브반도체</t>
        </is>
      </c>
      <c r="D887" s="24" t="inlineStr">
        <is>
          <t>abov</t>
        </is>
      </c>
      <c r="E887" s="24" t="inlineStr">
        <is>
          <t>102120</t>
        </is>
      </c>
      <c r="F887" s="24" t="inlineStr">
        <is>
          <t>2025</t>
        </is>
      </c>
      <c r="G887" s="24" t="inlineStr">
        <is>
          <t>CFS</t>
        </is>
      </c>
      <c r="H887" s="24" t="inlineStr">
        <is>
          <t>SCE</t>
        </is>
      </c>
      <c r="I887" s="24" t="inlineStr">
        <is>
          <t>자본변동표</t>
        </is>
      </c>
      <c r="J887" s="24" t="inlineStr">
        <is>
          <t>ifrs-full_DividendsPaid</t>
        </is>
      </c>
      <c r="K887" s="24" t="inlineStr">
        <is>
          <t>배당금의 지급</t>
        </is>
      </c>
      <c r="L887" s="24" t="inlineStr">
        <is>
          <t>연결재무제표 [member]</t>
        </is>
      </c>
      <c r="M887" s="24" t="inlineStr">
        <is>
          <t>제 20 기</t>
        </is>
      </c>
      <c r="N887" s="24" t="inlineStr">
        <is>
          <t>-2474813100.0</t>
        </is>
      </c>
      <c r="O887" s="24" t="inlineStr">
        <is>
          <t>-1649875400.0</t>
        </is>
      </c>
      <c r="P887" s="24" t="inlineStr">
        <is>
          <t>KRW</t>
        </is>
      </c>
      <c r="Q887" s="24" t="inlineStr">
        <is>
          <t>10</t>
        </is>
      </c>
    </row>
    <row r="888" ht="24" customHeight="1">
      <c r="A888" s="29" t="inlineStr">
        <is>
          <t>OpenDART_fnlttSinglAcntAll</t>
        </is>
      </c>
      <c r="B888" s="29" t="inlineStr">
        <is>
          <t>00591441</t>
        </is>
      </c>
      <c r="C888" s="29" t="inlineStr">
        <is>
          <t>어보브반도체</t>
        </is>
      </c>
      <c r="D888" s="29" t="inlineStr">
        <is>
          <t>abov</t>
        </is>
      </c>
      <c r="E888" s="29" t="inlineStr">
        <is>
          <t>102120</t>
        </is>
      </c>
      <c r="F888" s="29" t="inlineStr">
        <is>
          <t>2025</t>
        </is>
      </c>
      <c r="G888" s="29" t="inlineStr">
        <is>
          <t>CFS</t>
        </is>
      </c>
      <c r="H888" s="29" t="inlineStr">
        <is>
          <t>SCE</t>
        </is>
      </c>
      <c r="I888" s="29" t="inlineStr">
        <is>
          <t>자본변동표</t>
        </is>
      </c>
      <c r="J888" s="29" t="inlineStr">
        <is>
          <t>ifrs-full_DividendsPaid</t>
        </is>
      </c>
      <c r="K888" s="29" t="inlineStr">
        <is>
          <t>배당금의 지급</t>
        </is>
      </c>
      <c r="L888" s="29" t="inlineStr">
        <is>
          <t>자본 [구성요소]|지배기업의 소유주에게 귀속되는 지분 [구성요소]</t>
        </is>
      </c>
      <c r="M888" s="29" t="inlineStr">
        <is>
          <t>제 20 기</t>
        </is>
      </c>
      <c r="N888" s="29" t="inlineStr">
        <is>
          <t>-2474813100.0</t>
        </is>
      </c>
      <c r="O888" s="29" t="inlineStr">
        <is>
          <t>-1649875400.0</t>
        </is>
      </c>
      <c r="P888" s="29" t="inlineStr">
        <is>
          <t>KRW</t>
        </is>
      </c>
      <c r="Q888" s="29" t="inlineStr">
        <is>
          <t>10</t>
        </is>
      </c>
    </row>
    <row r="889" ht="24" customHeight="1">
      <c r="A889" s="24" t="inlineStr">
        <is>
          <t>OpenDART_fnlttSinglAcntAll</t>
        </is>
      </c>
      <c r="B889" s="24" t="inlineStr">
        <is>
          <t>00591441</t>
        </is>
      </c>
      <c r="C889" s="24" t="inlineStr">
        <is>
          <t>어보브반도체</t>
        </is>
      </c>
      <c r="D889" s="24" t="inlineStr">
        <is>
          <t>abov</t>
        </is>
      </c>
      <c r="E889" s="24" t="inlineStr">
        <is>
          <t>102120</t>
        </is>
      </c>
      <c r="F889" s="24" t="inlineStr">
        <is>
          <t>2025</t>
        </is>
      </c>
      <c r="G889" s="24" t="inlineStr">
        <is>
          <t>CFS</t>
        </is>
      </c>
      <c r="H889" s="24" t="inlineStr">
        <is>
          <t>SCE</t>
        </is>
      </c>
      <c r="I889" s="24" t="inlineStr">
        <is>
          <t>자본변동표</t>
        </is>
      </c>
      <c r="J889" s="24" t="inlineStr">
        <is>
          <t>ifrs-full_DividendsPaid</t>
        </is>
      </c>
      <c r="K889" s="24" t="inlineStr">
        <is>
          <t>배당금의 지급</t>
        </is>
      </c>
      <c r="L889" s="24" t="inlineStr">
        <is>
          <t>자본 [구성요소]|지배기업의 소유주에게 귀속되는 지분 [구성요소]|이익잉여금 [구성요소]</t>
        </is>
      </c>
      <c r="M889" s="24" t="inlineStr">
        <is>
          <t>제 20 기</t>
        </is>
      </c>
      <c r="N889" s="24" t="inlineStr">
        <is>
          <t>-2474813100.0</t>
        </is>
      </c>
      <c r="O889" s="24" t="inlineStr">
        <is>
          <t>-1649875400.0</t>
        </is>
      </c>
      <c r="P889" s="24" t="inlineStr">
        <is>
          <t>KRW</t>
        </is>
      </c>
      <c r="Q889" s="24" t="inlineStr">
        <is>
          <t>10</t>
        </is>
      </c>
    </row>
    <row r="890" ht="24" customHeight="1">
      <c r="A890" s="29" t="inlineStr">
        <is>
          <t>OpenDART_fnlttSinglAcntAll</t>
        </is>
      </c>
      <c r="B890" s="29" t="inlineStr">
        <is>
          <t>00591441</t>
        </is>
      </c>
      <c r="C890" s="29" t="inlineStr">
        <is>
          <t>어보브반도체</t>
        </is>
      </c>
      <c r="D890" s="29" t="inlineStr">
        <is>
          <t>abov</t>
        </is>
      </c>
      <c r="E890" s="29" t="inlineStr">
        <is>
          <t>102120</t>
        </is>
      </c>
      <c r="F890" s="29" t="inlineStr">
        <is>
          <t>2025</t>
        </is>
      </c>
      <c r="G890" s="29" t="inlineStr">
        <is>
          <t>CFS</t>
        </is>
      </c>
      <c r="H890" s="29" t="inlineStr">
        <is>
          <t>SCE</t>
        </is>
      </c>
      <c r="I890" s="29" t="inlineStr">
        <is>
          <t>자본변동표</t>
        </is>
      </c>
      <c r="J890" s="29" t="inlineStr">
        <is>
          <t>ifrs-full_Equity</t>
        </is>
      </c>
      <c r="K890" s="29" t="inlineStr">
        <is>
          <t>자본총계</t>
        </is>
      </c>
      <c r="L890" s="29" t="inlineStr">
        <is>
          <t>연결재무제표 [member]</t>
        </is>
      </c>
      <c r="M890" s="29" t="inlineStr">
        <is>
          <t>제 20 기</t>
        </is>
      </c>
      <c r="N890" s="29" t="inlineStr">
        <is>
          <t>154442539418.0</t>
        </is>
      </c>
      <c r="O890" s="29" t="inlineStr">
        <is>
          <t>154580908154.0</t>
        </is>
      </c>
      <c r="P890" s="29" t="inlineStr">
        <is>
          <t>KRW</t>
        </is>
      </c>
      <c r="Q890" s="29" t="inlineStr">
        <is>
          <t>11</t>
        </is>
      </c>
    </row>
    <row r="891" ht="24" customHeight="1">
      <c r="A891" s="24" t="inlineStr">
        <is>
          <t>OpenDART_fnlttSinglAcntAll</t>
        </is>
      </c>
      <c r="B891" s="24" t="inlineStr">
        <is>
          <t>00591441</t>
        </is>
      </c>
      <c r="C891" s="24" t="inlineStr">
        <is>
          <t>어보브반도체</t>
        </is>
      </c>
      <c r="D891" s="24" t="inlineStr">
        <is>
          <t>abov</t>
        </is>
      </c>
      <c r="E891" s="24" t="inlineStr">
        <is>
          <t>102120</t>
        </is>
      </c>
      <c r="F891" s="24" t="inlineStr">
        <is>
          <t>2025</t>
        </is>
      </c>
      <c r="G891" s="24" t="inlineStr">
        <is>
          <t>CFS</t>
        </is>
      </c>
      <c r="H891" s="24" t="inlineStr">
        <is>
          <t>SCE</t>
        </is>
      </c>
      <c r="I891" s="24" t="inlineStr">
        <is>
          <t>자본변동표</t>
        </is>
      </c>
      <c r="J891" s="24" t="inlineStr">
        <is>
          <t>ifrs-full_Equity</t>
        </is>
      </c>
      <c r="K891" s="24" t="inlineStr">
        <is>
          <t>자본총계</t>
        </is>
      </c>
      <c r="L891" s="24" t="inlineStr">
        <is>
          <t>자본 [구성요소]|비지배지분 [구성요소]</t>
        </is>
      </c>
      <c r="M891" s="24" t="inlineStr">
        <is>
          <t>제 20 기</t>
        </is>
      </c>
      <c r="N891" s="24" t="inlineStr">
        <is>
          <t>35567710282.0</t>
        </is>
      </c>
      <c r="O891" s="24" t="inlineStr">
        <is>
          <t>42519475092.0</t>
        </is>
      </c>
      <c r="P891" s="24" t="inlineStr">
        <is>
          <t>KRW</t>
        </is>
      </c>
      <c r="Q891" s="24" t="inlineStr">
        <is>
          <t>11</t>
        </is>
      </c>
    </row>
    <row r="892" ht="24" customHeight="1">
      <c r="A892" s="29" t="inlineStr">
        <is>
          <t>OpenDART_fnlttSinglAcntAll</t>
        </is>
      </c>
      <c r="B892" s="29" t="inlineStr">
        <is>
          <t>00591441</t>
        </is>
      </c>
      <c r="C892" s="29" t="inlineStr">
        <is>
          <t>어보브반도체</t>
        </is>
      </c>
      <c r="D892" s="29" t="inlineStr">
        <is>
          <t>abov</t>
        </is>
      </c>
      <c r="E892" s="29" t="inlineStr">
        <is>
          <t>102120</t>
        </is>
      </c>
      <c r="F892" s="29" t="inlineStr">
        <is>
          <t>2025</t>
        </is>
      </c>
      <c r="G892" s="29" t="inlineStr">
        <is>
          <t>CFS</t>
        </is>
      </c>
      <c r="H892" s="29" t="inlineStr">
        <is>
          <t>SCE</t>
        </is>
      </c>
      <c r="I892" s="29" t="inlineStr">
        <is>
          <t>자본변동표</t>
        </is>
      </c>
      <c r="J892" s="29" t="inlineStr">
        <is>
          <t>ifrs-full_Equity</t>
        </is>
      </c>
      <c r="K892" s="29" t="inlineStr">
        <is>
          <t>자본총계</t>
        </is>
      </c>
      <c r="L892" s="29" t="inlineStr">
        <is>
          <t>자본 [구성요소]|지배기업의 소유주에게 귀속되는 지분 [구성요소]</t>
        </is>
      </c>
      <c r="M892" s="29" t="inlineStr">
        <is>
          <t>제 20 기</t>
        </is>
      </c>
      <c r="N892" s="29" t="inlineStr">
        <is>
          <t>118874829136.0</t>
        </is>
      </c>
      <c r="O892" s="29" t="inlineStr">
        <is>
          <t>112061433062.0</t>
        </is>
      </c>
      <c r="P892" s="29" t="inlineStr">
        <is>
          <t>KRW</t>
        </is>
      </c>
      <c r="Q892" s="29" t="inlineStr">
        <is>
          <t>11</t>
        </is>
      </c>
    </row>
    <row r="893" ht="24" customHeight="1">
      <c r="A893" s="24" t="inlineStr">
        <is>
          <t>OpenDART_fnlttSinglAcntAll</t>
        </is>
      </c>
      <c r="B893" s="24" t="inlineStr">
        <is>
          <t>00591441</t>
        </is>
      </c>
      <c r="C893" s="24" t="inlineStr">
        <is>
          <t>어보브반도체</t>
        </is>
      </c>
      <c r="D893" s="24" t="inlineStr">
        <is>
          <t>abov</t>
        </is>
      </c>
      <c r="E893" s="24" t="inlineStr">
        <is>
          <t>102120</t>
        </is>
      </c>
      <c r="F893" s="24" t="inlineStr">
        <is>
          <t>2025</t>
        </is>
      </c>
      <c r="G893" s="24" t="inlineStr">
        <is>
          <t>CFS</t>
        </is>
      </c>
      <c r="H893" s="24" t="inlineStr">
        <is>
          <t>SCE</t>
        </is>
      </c>
      <c r="I893" s="24" t="inlineStr">
        <is>
          <t>자본변동표</t>
        </is>
      </c>
      <c r="J893" s="24" t="inlineStr">
        <is>
          <t>ifrs-full_Equity</t>
        </is>
      </c>
      <c r="K893" s="24" t="inlineStr">
        <is>
          <t>자본총계</t>
        </is>
      </c>
      <c r="L893" s="24" t="inlineStr">
        <is>
          <t>자본 [구성요소]|지배기업의 소유주에게 귀속되는 지분 [구성요소]|기타자본구성요소 [구성요소]</t>
        </is>
      </c>
      <c r="M893" s="24" t="inlineStr">
        <is>
          <t>제 20 기</t>
        </is>
      </c>
      <c r="N893" s="24" t="inlineStr">
        <is>
          <t>-1285743621.0</t>
        </is>
      </c>
      <c r="O893" s="24" t="inlineStr">
        <is>
          <t>-763718620.0</t>
        </is>
      </c>
      <c r="P893" s="24" t="inlineStr">
        <is>
          <t>KRW</t>
        </is>
      </c>
      <c r="Q893" s="24" t="inlineStr">
        <is>
          <t>11</t>
        </is>
      </c>
    </row>
    <row r="894" ht="24" customHeight="1">
      <c r="A894" s="29" t="inlineStr">
        <is>
          <t>OpenDART_fnlttSinglAcntAll</t>
        </is>
      </c>
      <c r="B894" s="29" t="inlineStr">
        <is>
          <t>00591441</t>
        </is>
      </c>
      <c r="C894" s="29" t="inlineStr">
        <is>
          <t>어보브반도체</t>
        </is>
      </c>
      <c r="D894" s="29" t="inlineStr">
        <is>
          <t>abov</t>
        </is>
      </c>
      <c r="E894" s="29" t="inlineStr">
        <is>
          <t>102120</t>
        </is>
      </c>
      <c r="F894" s="29" t="inlineStr">
        <is>
          <t>2025</t>
        </is>
      </c>
      <c r="G894" s="29" t="inlineStr">
        <is>
          <t>CFS</t>
        </is>
      </c>
      <c r="H894" s="29" t="inlineStr">
        <is>
          <t>SCE</t>
        </is>
      </c>
      <c r="I894" s="29" t="inlineStr">
        <is>
          <t>자본변동표</t>
        </is>
      </c>
      <c r="J894" s="29" t="inlineStr">
        <is>
          <t>ifrs-full_Equity</t>
        </is>
      </c>
      <c r="K894" s="29" t="inlineStr">
        <is>
          <t>자본총계</t>
        </is>
      </c>
      <c r="L894" s="29" t="inlineStr">
        <is>
          <t>자본 [구성요소]|지배기업의 소유주에게 귀속되는 지분 [구성요소]|기타포괄손익누계액 [구성요소]</t>
        </is>
      </c>
      <c r="M894" s="29" t="inlineStr">
        <is>
          <t>제 20 기</t>
        </is>
      </c>
      <c r="N894" s="29" t="inlineStr">
        <is>
          <t>-1497074663.0</t>
        </is>
      </c>
      <c r="O894" s="29" t="inlineStr">
        <is>
          <t>-1299411201.0</t>
        </is>
      </c>
      <c r="P894" s="29" t="inlineStr">
        <is>
          <t>KRW</t>
        </is>
      </c>
      <c r="Q894" s="29" t="inlineStr">
        <is>
          <t>11</t>
        </is>
      </c>
    </row>
    <row r="895" ht="24" customHeight="1">
      <c r="A895" s="24" t="inlineStr">
        <is>
          <t>OpenDART_fnlttSinglAcntAll</t>
        </is>
      </c>
      <c r="B895" s="24" t="inlineStr">
        <is>
          <t>00591441</t>
        </is>
      </c>
      <c r="C895" s="24" t="inlineStr">
        <is>
          <t>어보브반도체</t>
        </is>
      </c>
      <c r="D895" s="24" t="inlineStr">
        <is>
          <t>abov</t>
        </is>
      </c>
      <c r="E895" s="24" t="inlineStr">
        <is>
          <t>102120</t>
        </is>
      </c>
      <c r="F895" s="24" t="inlineStr">
        <is>
          <t>2025</t>
        </is>
      </c>
      <c r="G895" s="24" t="inlineStr">
        <is>
          <t>CFS</t>
        </is>
      </c>
      <c r="H895" s="24" t="inlineStr">
        <is>
          <t>SCE</t>
        </is>
      </c>
      <c r="I895" s="24" t="inlineStr">
        <is>
          <t>자본변동표</t>
        </is>
      </c>
      <c r="J895" s="24" t="inlineStr">
        <is>
          <t>ifrs-full_Equity</t>
        </is>
      </c>
      <c r="K895" s="24" t="inlineStr">
        <is>
          <t>자본총계</t>
        </is>
      </c>
      <c r="L895" s="24" t="inlineStr">
        <is>
          <t>자본 [구성요소]|지배기업의 소유주에게 귀속되는 지분 [구성요소]|이익잉여금 [구성요소]</t>
        </is>
      </c>
      <c r="M895" s="24" t="inlineStr">
        <is>
          <t>제 20 기</t>
        </is>
      </c>
      <c r="N895" s="24" t="inlineStr">
        <is>
          <t>86345272769.0</t>
        </is>
      </c>
      <c r="O895" s="24" t="inlineStr">
        <is>
          <t>78812188232.0</t>
        </is>
      </c>
      <c r="P895" s="24" t="inlineStr">
        <is>
          <t>KRW</t>
        </is>
      </c>
      <c r="Q895" s="24" t="inlineStr">
        <is>
          <t>11</t>
        </is>
      </c>
    </row>
    <row r="896" ht="24" customHeight="1">
      <c r="A896" s="29" t="inlineStr">
        <is>
          <t>OpenDART_fnlttSinglAcntAll</t>
        </is>
      </c>
      <c r="B896" s="29" t="inlineStr">
        <is>
          <t>00591441</t>
        </is>
      </c>
      <c r="C896" s="29" t="inlineStr">
        <is>
          <t>어보브반도체</t>
        </is>
      </c>
      <c r="D896" s="29" t="inlineStr">
        <is>
          <t>abov</t>
        </is>
      </c>
      <c r="E896" s="29" t="inlineStr">
        <is>
          <t>102120</t>
        </is>
      </c>
      <c r="F896" s="29" t="inlineStr">
        <is>
          <t>2025</t>
        </is>
      </c>
      <c r="G896" s="29" t="inlineStr">
        <is>
          <t>CFS</t>
        </is>
      </c>
      <c r="H896" s="29" t="inlineStr">
        <is>
          <t>SCE</t>
        </is>
      </c>
      <c r="I896" s="29" t="inlineStr">
        <is>
          <t>자본변동표</t>
        </is>
      </c>
      <c r="J896" s="29" t="inlineStr">
        <is>
          <t>ifrs-full_Equity</t>
        </is>
      </c>
      <c r="K896" s="29" t="inlineStr">
        <is>
          <t>자본총계</t>
        </is>
      </c>
      <c r="L896" s="29" t="inlineStr">
        <is>
          <t>자본 [구성요소]|지배기업의 소유주에게 귀속되는 지분 [구성요소]|자본금 [구성요소]</t>
        </is>
      </c>
      <c r="M896" s="29" t="inlineStr">
        <is>
          <t>제 20 기</t>
        </is>
      </c>
      <c r="N896" s="29" t="inlineStr">
        <is>
          <t>8890376500.0</t>
        </is>
      </c>
      <c r="O896" s="29" t="inlineStr">
        <is>
          <t>8890376500.0</t>
        </is>
      </c>
      <c r="P896" s="29" t="inlineStr">
        <is>
          <t>KRW</t>
        </is>
      </c>
      <c r="Q896" s="29" t="inlineStr">
        <is>
          <t>11</t>
        </is>
      </c>
    </row>
    <row r="897" ht="24" customHeight="1">
      <c r="A897" s="24" t="inlineStr">
        <is>
          <t>OpenDART_fnlttSinglAcntAll</t>
        </is>
      </c>
      <c r="B897" s="24" t="inlineStr">
        <is>
          <t>00591441</t>
        </is>
      </c>
      <c r="C897" s="24" t="inlineStr">
        <is>
          <t>어보브반도체</t>
        </is>
      </c>
      <c r="D897" s="24" t="inlineStr">
        <is>
          <t>abov</t>
        </is>
      </c>
      <c r="E897" s="24" t="inlineStr">
        <is>
          <t>102120</t>
        </is>
      </c>
      <c r="F897" s="24" t="inlineStr">
        <is>
          <t>2025</t>
        </is>
      </c>
      <c r="G897" s="24" t="inlineStr">
        <is>
          <t>CFS</t>
        </is>
      </c>
      <c r="H897" s="24" t="inlineStr">
        <is>
          <t>SCE</t>
        </is>
      </c>
      <c r="I897" s="24" t="inlineStr">
        <is>
          <t>자본변동표</t>
        </is>
      </c>
      <c r="J897" s="24" t="inlineStr">
        <is>
          <t>ifrs-full_Equity</t>
        </is>
      </c>
      <c r="K897" s="24" t="inlineStr">
        <is>
          <t>자본총계</t>
        </is>
      </c>
      <c r="L897" s="24" t="inlineStr">
        <is>
          <t>자본 [구성요소]|지배기업의 소유주에게 귀속되는 지분 [구성요소]|자본잉여금 [구성요소]</t>
        </is>
      </c>
      <c r="M897" s="24" t="inlineStr">
        <is>
          <t>제 20 기</t>
        </is>
      </c>
      <c r="N897" s="24" t="inlineStr">
        <is>
          <t>26421998151.0</t>
        </is>
      </c>
      <c r="O897" s="24" t="inlineStr">
        <is>
          <t>26421998151.0</t>
        </is>
      </c>
      <c r="P897" s="24" t="inlineStr">
        <is>
          <t>KRW</t>
        </is>
      </c>
      <c r="Q897" s="24" t="inlineStr">
        <is>
          <t>11</t>
        </is>
      </c>
    </row>
    <row r="898" ht="24" customHeight="1">
      <c r="A898" s="29" t="inlineStr">
        <is>
          <t>OpenDART_fnlttSinglAcntAll</t>
        </is>
      </c>
      <c r="B898" s="29" t="inlineStr">
        <is>
          <t>00591441</t>
        </is>
      </c>
      <c r="C898" s="29" t="inlineStr">
        <is>
          <t>어보브반도체</t>
        </is>
      </c>
      <c r="D898" s="29" t="inlineStr">
        <is>
          <t>abov</t>
        </is>
      </c>
      <c r="E898" s="29" t="inlineStr">
        <is>
          <t>102120</t>
        </is>
      </c>
      <c r="F898" s="29" t="inlineStr">
        <is>
          <t>2025</t>
        </is>
      </c>
      <c r="G898" s="29" t="inlineStr">
        <is>
          <t>CFS</t>
        </is>
      </c>
      <c r="H898" s="29" t="inlineStr">
        <is>
          <t>SCE</t>
        </is>
      </c>
      <c r="I898" s="29" t="inlineStr">
        <is>
          <t>자본변동표</t>
        </is>
      </c>
      <c r="J898" s="29" t="inlineStr">
        <is>
          <t>ifrs-full_IncreaseDecreaseThroughChangesInOwnershipInterestsInSubsidiariesThatDoNotResultInLossOfControl</t>
        </is>
      </c>
      <c r="K898" s="29" t="inlineStr">
        <is>
          <t>지분율 변동에 따른 지배 및 비지배지분 조정</t>
        </is>
      </c>
      <c r="L898" s="29" t="inlineStr">
        <is>
          <t>자본 [구성요소]|비지배지분 [구성요소]</t>
        </is>
      </c>
      <c r="M898" s="29" t="inlineStr">
        <is>
          <t>제 20 기</t>
        </is>
      </c>
      <c r="N898" s="29" t="inlineStr">
        <is>
          <t>1365121620.0</t>
        </is>
      </c>
      <c r="O898" s="29" t="inlineStr">
        <is>
          <t>해당 없음</t>
        </is>
      </c>
      <c r="P898" s="29" t="inlineStr">
        <is>
          <t>KRW</t>
        </is>
      </c>
      <c r="Q898" s="29" t="inlineStr">
        <is>
          <t>12</t>
        </is>
      </c>
    </row>
    <row r="899" ht="24" customHeight="1">
      <c r="A899" s="24" t="inlineStr">
        <is>
          <t>OpenDART_fnlttSinglAcntAll</t>
        </is>
      </c>
      <c r="B899" s="24" t="inlineStr">
        <is>
          <t>00591441</t>
        </is>
      </c>
      <c r="C899" s="24" t="inlineStr">
        <is>
          <t>어보브반도체</t>
        </is>
      </c>
      <c r="D899" s="24" t="inlineStr">
        <is>
          <t>abov</t>
        </is>
      </c>
      <c r="E899" s="24" t="inlineStr">
        <is>
          <t>102120</t>
        </is>
      </c>
      <c r="F899" s="24" t="inlineStr">
        <is>
          <t>2025</t>
        </is>
      </c>
      <c r="G899" s="24" t="inlineStr">
        <is>
          <t>CFS</t>
        </is>
      </c>
      <c r="H899" s="24" t="inlineStr">
        <is>
          <t>SCE</t>
        </is>
      </c>
      <c r="I899" s="24" t="inlineStr">
        <is>
          <t>자본변동표</t>
        </is>
      </c>
      <c r="J899" s="24" t="inlineStr">
        <is>
          <t>ifrs-full_IncreaseDecreaseThroughChangesInOwnershipInterestsInSubsidiariesThatDoNotResultInLossOfControl</t>
        </is>
      </c>
      <c r="K899" s="24" t="inlineStr">
        <is>
          <t>지분율 변동에 따른 지배 및 비지배지분 조정</t>
        </is>
      </c>
      <c r="L899" s="24" t="inlineStr">
        <is>
          <t>자본 [구성요소]|지배기업의 소유주에게 귀속되는 지분 [구성요소]</t>
        </is>
      </c>
      <c r="M899" s="24" t="inlineStr">
        <is>
          <t>제 20 기</t>
        </is>
      </c>
      <c r="N899" s="24" t="inlineStr">
        <is>
          <t>-1365121620.0</t>
        </is>
      </c>
      <c r="O899" s="24" t="inlineStr">
        <is>
          <t>해당 없음</t>
        </is>
      </c>
      <c r="P899" s="24" t="inlineStr">
        <is>
          <t>KRW</t>
        </is>
      </c>
      <c r="Q899" s="24" t="inlineStr">
        <is>
          <t>12</t>
        </is>
      </c>
    </row>
    <row r="900" ht="24" customHeight="1">
      <c r="A900" s="29" t="inlineStr">
        <is>
          <t>OpenDART_fnlttSinglAcntAll</t>
        </is>
      </c>
      <c r="B900" s="29" t="inlineStr">
        <is>
          <t>00591441</t>
        </is>
      </c>
      <c r="C900" s="29" t="inlineStr">
        <is>
          <t>어보브반도체</t>
        </is>
      </c>
      <c r="D900" s="29" t="inlineStr">
        <is>
          <t>abov</t>
        </is>
      </c>
      <c r="E900" s="29" t="inlineStr">
        <is>
          <t>102120</t>
        </is>
      </c>
      <c r="F900" s="29" t="inlineStr">
        <is>
          <t>2025</t>
        </is>
      </c>
      <c r="G900" s="29" t="inlineStr">
        <is>
          <t>CFS</t>
        </is>
      </c>
      <c r="H900" s="29" t="inlineStr">
        <is>
          <t>SCE</t>
        </is>
      </c>
      <c r="I900" s="29" t="inlineStr">
        <is>
          <t>자본변동표</t>
        </is>
      </c>
      <c r="J900" s="29" t="inlineStr">
        <is>
          <t>ifrs-full_IncreaseDecreaseThroughChangesInOwnershipInterestsInSubsidiariesThatDoNotResultInLossOfControl</t>
        </is>
      </c>
      <c r="K900" s="29" t="inlineStr">
        <is>
          <t>지분율 변동에 따른 지배 및 비지배지분 조정</t>
        </is>
      </c>
      <c r="L900" s="29" t="inlineStr">
        <is>
          <t>자본 [구성요소]|지배기업의 소유주에게 귀속되는 지분 [구성요소]|기타자본구성요소 [구성요소]</t>
        </is>
      </c>
      <c r="M900" s="29" t="inlineStr">
        <is>
          <t>제 20 기</t>
        </is>
      </c>
      <c r="N900" s="29" t="inlineStr">
        <is>
          <t>-1365121620.0</t>
        </is>
      </c>
      <c r="O900" s="29" t="inlineStr">
        <is>
          <t>해당 없음</t>
        </is>
      </c>
      <c r="P900" s="29" t="inlineStr">
        <is>
          <t>KRW</t>
        </is>
      </c>
      <c r="Q900" s="29" t="inlineStr">
        <is>
          <t>12</t>
        </is>
      </c>
    </row>
    <row r="901" ht="24" customHeight="1">
      <c r="A901" s="24" t="inlineStr">
        <is>
          <t>OpenDART_fnlttSinglAcntAll</t>
        </is>
      </c>
      <c r="B901" s="24" t="inlineStr">
        <is>
          <t>00591441</t>
        </is>
      </c>
      <c r="C901" s="24" t="inlineStr">
        <is>
          <t>어보브반도체</t>
        </is>
      </c>
      <c r="D901" s="24" t="inlineStr">
        <is>
          <t>abov</t>
        </is>
      </c>
      <c r="E901" s="24" t="inlineStr">
        <is>
          <t>102120</t>
        </is>
      </c>
      <c r="F901" s="24" t="inlineStr">
        <is>
          <t>2025</t>
        </is>
      </c>
      <c r="G901" s="24" t="inlineStr">
        <is>
          <t>CFS</t>
        </is>
      </c>
      <c r="H901" s="24" t="inlineStr">
        <is>
          <t>SCE</t>
        </is>
      </c>
      <c r="I901" s="24" t="inlineStr">
        <is>
          <t>자본변동표</t>
        </is>
      </c>
      <c r="J901" s="24" t="inlineStr">
        <is>
          <t>ifrs-full_IncreaseDecreaseThroughExerciseOfOptions</t>
        </is>
      </c>
      <c r="K901" s="24" t="inlineStr">
        <is>
          <t>종속기업의 전환권 및 신주인수권 전환청구</t>
        </is>
      </c>
      <c r="L901" s="24" t="inlineStr">
        <is>
          <t>연결재무제표 [member]</t>
        </is>
      </c>
      <c r="M901" s="24" t="inlineStr">
        <is>
          <t>제 20 기</t>
        </is>
      </c>
      <c r="N901" s="24" t="inlineStr">
        <is>
          <t>해당 없음</t>
        </is>
      </c>
      <c r="O901" s="24" t="inlineStr">
        <is>
          <t>2115315529.0</t>
        </is>
      </c>
      <c r="P901" s="24" t="inlineStr">
        <is>
          <t>KRW</t>
        </is>
      </c>
      <c r="Q901" s="24" t="inlineStr">
        <is>
          <t>13</t>
        </is>
      </c>
    </row>
    <row r="902" ht="24" customHeight="1">
      <c r="A902" s="29" t="inlineStr">
        <is>
          <t>OpenDART_fnlttSinglAcntAll</t>
        </is>
      </c>
      <c r="B902" s="29" t="inlineStr">
        <is>
          <t>00591441</t>
        </is>
      </c>
      <c r="C902" s="29" t="inlineStr">
        <is>
          <t>어보브반도체</t>
        </is>
      </c>
      <c r="D902" s="29" t="inlineStr">
        <is>
          <t>abov</t>
        </is>
      </c>
      <c r="E902" s="29" t="inlineStr">
        <is>
          <t>102120</t>
        </is>
      </c>
      <c r="F902" s="29" t="inlineStr">
        <is>
          <t>2025</t>
        </is>
      </c>
      <c r="G902" s="29" t="inlineStr">
        <is>
          <t>CFS</t>
        </is>
      </c>
      <c r="H902" s="29" t="inlineStr">
        <is>
          <t>SCE</t>
        </is>
      </c>
      <c r="I902" s="29" t="inlineStr">
        <is>
          <t>자본변동표</t>
        </is>
      </c>
      <c r="J902" s="29" t="inlineStr">
        <is>
          <t>ifrs-full_IncreaseDecreaseThroughExerciseOfOptions</t>
        </is>
      </c>
      <c r="K902" s="29" t="inlineStr">
        <is>
          <t>종속기업의 전환권 및 신주인수권 전환청구</t>
        </is>
      </c>
      <c r="L902" s="29" t="inlineStr">
        <is>
          <t>자본 [구성요소]|비지배지분 [구성요소]</t>
        </is>
      </c>
      <c r="M902" s="29" t="inlineStr">
        <is>
          <t>제 20 기</t>
        </is>
      </c>
      <c r="N902" s="29" t="inlineStr">
        <is>
          <t>해당 없음</t>
        </is>
      </c>
      <c r="O902" s="29" t="inlineStr">
        <is>
          <t>2115315529.0</t>
        </is>
      </c>
      <c r="P902" s="29" t="inlineStr">
        <is>
          <t>KRW</t>
        </is>
      </c>
      <c r="Q902" s="29" t="inlineStr">
        <is>
          <t>13</t>
        </is>
      </c>
    </row>
    <row r="903" ht="24" customHeight="1">
      <c r="A903" s="24" t="inlineStr">
        <is>
          <t>OpenDART_fnlttSinglAcntAll</t>
        </is>
      </c>
      <c r="B903" s="24" t="inlineStr">
        <is>
          <t>00591441</t>
        </is>
      </c>
      <c r="C903" s="24" t="inlineStr">
        <is>
          <t>어보브반도체</t>
        </is>
      </c>
      <c r="D903" s="24" t="inlineStr">
        <is>
          <t>abov</t>
        </is>
      </c>
      <c r="E903" s="24" t="inlineStr">
        <is>
          <t>102120</t>
        </is>
      </c>
      <c r="F903" s="24" t="inlineStr">
        <is>
          <t>2025</t>
        </is>
      </c>
      <c r="G903" s="24" t="inlineStr">
        <is>
          <t>CFS</t>
        </is>
      </c>
      <c r="H903" s="24" t="inlineStr">
        <is>
          <t>SCE</t>
        </is>
      </c>
      <c r="I903" s="24" t="inlineStr">
        <is>
          <t>자본변동표</t>
        </is>
      </c>
      <c r="J903" s="24" t="inlineStr">
        <is>
          <t>ifrs-full_IncreaseDecreaseThroughSharebasedPaymentTransactions</t>
        </is>
      </c>
      <c r="K903" s="24" t="inlineStr">
        <is>
          <t>주식매입선택권</t>
        </is>
      </c>
      <c r="L903" s="24" t="inlineStr">
        <is>
          <t>연결재무제표 [member]</t>
        </is>
      </c>
      <c r="M903" s="24" t="inlineStr">
        <is>
          <t>제 20 기</t>
        </is>
      </c>
      <c r="N903" s="24" t="inlineStr">
        <is>
          <t>675898919.0</t>
        </is>
      </c>
      <c r="O903" s="24" t="inlineStr">
        <is>
          <t>965638187.0</t>
        </is>
      </c>
      <c r="P903" s="24" t="inlineStr">
        <is>
          <t>KRW</t>
        </is>
      </c>
      <c r="Q903" s="24" t="inlineStr">
        <is>
          <t>14</t>
        </is>
      </c>
    </row>
    <row r="904" ht="24" customHeight="1">
      <c r="A904" s="29" t="inlineStr">
        <is>
          <t>OpenDART_fnlttSinglAcntAll</t>
        </is>
      </c>
      <c r="B904" s="29" t="inlineStr">
        <is>
          <t>00591441</t>
        </is>
      </c>
      <c r="C904" s="29" t="inlineStr">
        <is>
          <t>어보브반도체</t>
        </is>
      </c>
      <c r="D904" s="29" t="inlineStr">
        <is>
          <t>abov</t>
        </is>
      </c>
      <c r="E904" s="29" t="inlineStr">
        <is>
          <t>102120</t>
        </is>
      </c>
      <c r="F904" s="29" t="inlineStr">
        <is>
          <t>2025</t>
        </is>
      </c>
      <c r="G904" s="29" t="inlineStr">
        <is>
          <t>CFS</t>
        </is>
      </c>
      <c r="H904" s="29" t="inlineStr">
        <is>
          <t>SCE</t>
        </is>
      </c>
      <c r="I904" s="29" t="inlineStr">
        <is>
          <t>자본변동표</t>
        </is>
      </c>
      <c r="J904" s="29" t="inlineStr">
        <is>
          <t>ifrs-full_IncreaseDecreaseThroughSharebasedPaymentTransactions</t>
        </is>
      </c>
      <c r="K904" s="29" t="inlineStr">
        <is>
          <t>주식매입선택권</t>
        </is>
      </c>
      <c r="L904" s="29" t="inlineStr">
        <is>
          <t>자본 [구성요소]|지배기업의 소유주에게 귀속되는 지분 [구성요소]|기타자본구성요소 [구성요소]</t>
        </is>
      </c>
      <c r="M904" s="29" t="inlineStr">
        <is>
          <t>제 20 기</t>
        </is>
      </c>
      <c r="N904" s="29" t="inlineStr">
        <is>
          <t>209940585.0</t>
        </is>
      </c>
      <c r="O904" s="29" t="inlineStr">
        <is>
          <t>626408048.0</t>
        </is>
      </c>
      <c r="P904" s="29" t="inlineStr">
        <is>
          <t>KRW</t>
        </is>
      </c>
      <c r="Q904" s="29" t="inlineStr">
        <is>
          <t>14</t>
        </is>
      </c>
    </row>
    <row r="905" ht="24" customHeight="1">
      <c r="A905" s="24" t="inlineStr">
        <is>
          <t>OpenDART_fnlttSinglAcntAll</t>
        </is>
      </c>
      <c r="B905" s="24" t="inlineStr">
        <is>
          <t>00591441</t>
        </is>
      </c>
      <c r="C905" s="24" t="inlineStr">
        <is>
          <t>어보브반도체</t>
        </is>
      </c>
      <c r="D905" s="24" t="inlineStr">
        <is>
          <t>abov</t>
        </is>
      </c>
      <c r="E905" s="24" t="inlineStr">
        <is>
          <t>102120</t>
        </is>
      </c>
      <c r="F905" s="24" t="inlineStr">
        <is>
          <t>2025</t>
        </is>
      </c>
      <c r="G905" s="24" t="inlineStr">
        <is>
          <t>CFS</t>
        </is>
      </c>
      <c r="H905" s="24" t="inlineStr">
        <is>
          <t>SCE</t>
        </is>
      </c>
      <c r="I905" s="24" t="inlineStr">
        <is>
          <t>자본변동표</t>
        </is>
      </c>
      <c r="J905" s="24" t="inlineStr">
        <is>
          <t>ifrs-full_IncreaseDecreaseThroughSharebasedPaymentTransactions</t>
        </is>
      </c>
      <c r="K905" s="24" t="inlineStr">
        <is>
          <t>주식매입선택권</t>
        </is>
      </c>
      <c r="L905" s="24" t="inlineStr">
        <is>
          <t>자본 [구성요소]|지배기업의 소유주에게 귀속되는 지분 [구성요소]</t>
        </is>
      </c>
      <c r="M905" s="24" t="inlineStr">
        <is>
          <t>제 20 기</t>
        </is>
      </c>
      <c r="N905" s="24" t="inlineStr">
        <is>
          <t>209940585.0</t>
        </is>
      </c>
      <c r="O905" s="24" t="inlineStr">
        <is>
          <t>626408048.0</t>
        </is>
      </c>
      <c r="P905" s="24" t="inlineStr">
        <is>
          <t>KRW</t>
        </is>
      </c>
      <c r="Q905" s="24" t="inlineStr">
        <is>
          <t>14</t>
        </is>
      </c>
    </row>
    <row r="906" ht="24" customHeight="1">
      <c r="A906" s="29" t="inlineStr">
        <is>
          <t>OpenDART_fnlttSinglAcntAll</t>
        </is>
      </c>
      <c r="B906" s="29" t="inlineStr">
        <is>
          <t>00591441</t>
        </is>
      </c>
      <c r="C906" s="29" t="inlineStr">
        <is>
          <t>어보브반도체</t>
        </is>
      </c>
      <c r="D906" s="29" t="inlineStr">
        <is>
          <t>abov</t>
        </is>
      </c>
      <c r="E906" s="29" t="inlineStr">
        <is>
          <t>102120</t>
        </is>
      </c>
      <c r="F906" s="29" t="inlineStr">
        <is>
          <t>2025</t>
        </is>
      </c>
      <c r="G906" s="29" t="inlineStr">
        <is>
          <t>CFS</t>
        </is>
      </c>
      <c r="H906" s="29" t="inlineStr">
        <is>
          <t>SCE</t>
        </is>
      </c>
      <c r="I906" s="29" t="inlineStr">
        <is>
          <t>자본변동표</t>
        </is>
      </c>
      <c r="J906" s="29" t="inlineStr">
        <is>
          <t>ifrs-full_IncreaseDecreaseThroughSharebasedPaymentTransactions</t>
        </is>
      </c>
      <c r="K906" s="29" t="inlineStr">
        <is>
          <t>주식매입선택권</t>
        </is>
      </c>
      <c r="L906" s="29" t="inlineStr">
        <is>
          <t>자본 [구성요소]|비지배지분 [구성요소]</t>
        </is>
      </c>
      <c r="M906" s="29" t="inlineStr">
        <is>
          <t>제 20 기</t>
        </is>
      </c>
      <c r="N906" s="29" t="inlineStr">
        <is>
          <t>465958334.0</t>
        </is>
      </c>
      <c r="O906" s="29" t="inlineStr">
        <is>
          <t>339230139.0</t>
        </is>
      </c>
      <c r="P906" s="29" t="inlineStr">
        <is>
          <t>KRW</t>
        </is>
      </c>
      <c r="Q906" s="29" t="inlineStr">
        <is>
          <t>14</t>
        </is>
      </c>
    </row>
    <row r="907" ht="24" customHeight="1">
      <c r="A907" s="24" t="inlineStr">
        <is>
          <t>OpenDART_fnlttSinglAcntAll</t>
        </is>
      </c>
      <c r="B907" s="24" t="inlineStr">
        <is>
          <t>00591441</t>
        </is>
      </c>
      <c r="C907" s="24" t="inlineStr">
        <is>
          <t>어보브반도체</t>
        </is>
      </c>
      <c r="D907" s="24" t="inlineStr">
        <is>
          <t>abov</t>
        </is>
      </c>
      <c r="E907" s="24" t="inlineStr">
        <is>
          <t>102120</t>
        </is>
      </c>
      <c r="F907" s="24" t="inlineStr">
        <is>
          <t>2025</t>
        </is>
      </c>
      <c r="G907" s="24" t="inlineStr">
        <is>
          <t>CFS</t>
        </is>
      </c>
      <c r="H907" s="24" t="inlineStr">
        <is>
          <t>SCE</t>
        </is>
      </c>
      <c r="I907" s="24" t="inlineStr">
        <is>
          <t>자본변동표</t>
        </is>
      </c>
      <c r="J907" s="24" t="inlineStr">
        <is>
          <t>ifrs-full_OtherComprehensiveIncomeNetOfTaxExchangeDifferencesOnTranslation</t>
        </is>
      </c>
      <c r="K907" s="24" t="inlineStr">
        <is>
          <t>해외사업환산손익</t>
        </is>
      </c>
      <c r="L907" s="24" t="inlineStr">
        <is>
          <t>연결재무제표 [member]</t>
        </is>
      </c>
      <c r="M907" s="24" t="inlineStr">
        <is>
          <t>제 20 기</t>
        </is>
      </c>
      <c r="N907" s="24" t="inlineStr">
        <is>
          <t>65491731.0</t>
        </is>
      </c>
      <c r="O907" s="24" t="inlineStr">
        <is>
          <t>-378560060.0</t>
        </is>
      </c>
      <c r="P907" s="24" t="inlineStr">
        <is>
          <t>KRW</t>
        </is>
      </c>
      <c r="Q907" s="24" t="inlineStr">
        <is>
          <t>15</t>
        </is>
      </c>
    </row>
    <row r="908" ht="24" customHeight="1">
      <c r="A908" s="29" t="inlineStr">
        <is>
          <t>OpenDART_fnlttSinglAcntAll</t>
        </is>
      </c>
      <c r="B908" s="29" t="inlineStr">
        <is>
          <t>00591441</t>
        </is>
      </c>
      <c r="C908" s="29" t="inlineStr">
        <is>
          <t>어보브반도체</t>
        </is>
      </c>
      <c r="D908" s="29" t="inlineStr">
        <is>
          <t>abov</t>
        </is>
      </c>
      <c r="E908" s="29" t="inlineStr">
        <is>
          <t>102120</t>
        </is>
      </c>
      <c r="F908" s="29" t="inlineStr">
        <is>
          <t>2025</t>
        </is>
      </c>
      <c r="G908" s="29" t="inlineStr">
        <is>
          <t>CFS</t>
        </is>
      </c>
      <c r="H908" s="29" t="inlineStr">
        <is>
          <t>SCE</t>
        </is>
      </c>
      <c r="I908" s="29" t="inlineStr">
        <is>
          <t>자본변동표</t>
        </is>
      </c>
      <c r="J908" s="29" t="inlineStr">
        <is>
          <t>ifrs-full_OtherComprehensiveIncomeNetOfTaxExchangeDifferencesOnTranslation</t>
        </is>
      </c>
      <c r="K908" s="29" t="inlineStr">
        <is>
          <t>해외사업환산손익</t>
        </is>
      </c>
      <c r="L908" s="29" t="inlineStr">
        <is>
          <t>자본 [구성요소]|지배기업의 소유주에게 귀속되는 지분 [구성요소]</t>
        </is>
      </c>
      <c r="M908" s="29" t="inlineStr">
        <is>
          <t>제 20 기</t>
        </is>
      </c>
      <c r="N908" s="29" t="inlineStr">
        <is>
          <t>65491731.0</t>
        </is>
      </c>
      <c r="O908" s="29" t="inlineStr">
        <is>
          <t>-378560060.0</t>
        </is>
      </c>
      <c r="P908" s="29" t="inlineStr">
        <is>
          <t>KRW</t>
        </is>
      </c>
      <c r="Q908" s="29" t="inlineStr">
        <is>
          <t>15</t>
        </is>
      </c>
    </row>
    <row r="909" ht="24" customHeight="1">
      <c r="A909" s="24" t="inlineStr">
        <is>
          <t>OpenDART_fnlttSinglAcntAll</t>
        </is>
      </c>
      <c r="B909" s="24" t="inlineStr">
        <is>
          <t>00591441</t>
        </is>
      </c>
      <c r="C909" s="24" t="inlineStr">
        <is>
          <t>어보브반도체</t>
        </is>
      </c>
      <c r="D909" s="24" t="inlineStr">
        <is>
          <t>abov</t>
        </is>
      </c>
      <c r="E909" s="24" t="inlineStr">
        <is>
          <t>102120</t>
        </is>
      </c>
      <c r="F909" s="24" t="inlineStr">
        <is>
          <t>2025</t>
        </is>
      </c>
      <c r="G909" s="24" t="inlineStr">
        <is>
          <t>CFS</t>
        </is>
      </c>
      <c r="H909" s="24" t="inlineStr">
        <is>
          <t>SCE</t>
        </is>
      </c>
      <c r="I909" s="24" t="inlineStr">
        <is>
          <t>자본변동표</t>
        </is>
      </c>
      <c r="J909" s="24" t="inlineStr">
        <is>
          <t>ifrs-full_OtherComprehensiveIncomeNetOfTaxExchangeDifferencesOnTranslation</t>
        </is>
      </c>
      <c r="K909" s="24" t="inlineStr">
        <is>
          <t>해외사업환산손익</t>
        </is>
      </c>
      <c r="L909" s="24" t="inlineStr">
        <is>
          <t>자본 [구성요소]|지배기업의 소유주에게 귀속되는 지분 [구성요소]|기타포괄손익누계액 [구성요소]</t>
        </is>
      </c>
      <c r="M909" s="24" t="inlineStr">
        <is>
          <t>제 20 기</t>
        </is>
      </c>
      <c r="N909" s="24" t="inlineStr">
        <is>
          <t>65491731.0</t>
        </is>
      </c>
      <c r="O909" s="24" t="inlineStr">
        <is>
          <t>-378560060.0</t>
        </is>
      </c>
      <c r="P909" s="24" t="inlineStr">
        <is>
          <t>KRW</t>
        </is>
      </c>
      <c r="Q909" s="24" t="inlineStr">
        <is>
          <t>15</t>
        </is>
      </c>
    </row>
    <row r="910" ht="24" customHeight="1">
      <c r="A910" s="29" t="inlineStr">
        <is>
          <t>OpenDART_fnlttSinglAcntAll</t>
        </is>
      </c>
      <c r="B910" s="29" t="inlineStr">
        <is>
          <t>00591441</t>
        </is>
      </c>
      <c r="C910" s="29" t="inlineStr">
        <is>
          <t>어보브반도체</t>
        </is>
      </c>
      <c r="D910" s="29" t="inlineStr">
        <is>
          <t>abov</t>
        </is>
      </c>
      <c r="E910" s="29" t="inlineStr">
        <is>
          <t>102120</t>
        </is>
      </c>
      <c r="F910" s="29" t="inlineStr">
        <is>
          <t>2025</t>
        </is>
      </c>
      <c r="G910" s="29" t="inlineStr">
        <is>
          <t>CFS</t>
        </is>
      </c>
      <c r="H910" s="29" t="inlineStr">
        <is>
          <t>SCE</t>
        </is>
      </c>
      <c r="I910" s="29" t="inlineStr">
        <is>
          <t>자본변동표</t>
        </is>
      </c>
      <c r="J910" s="29" t="inlineStr">
        <is>
          <t>ifrs-full_ProfitLoss</t>
        </is>
      </c>
      <c r="K910" s="29" t="inlineStr">
        <is>
          <t>당기순이익(손실)</t>
        </is>
      </c>
      <c r="L910" s="29" t="inlineStr">
        <is>
          <t>연결재무제표 [member]</t>
        </is>
      </c>
      <c r="M910" s="29" t="inlineStr">
        <is>
          <t>제 20 기</t>
        </is>
      </c>
      <c r="N910" s="29" t="inlineStr">
        <is>
          <t>1959422969.0</t>
        </is>
      </c>
      <c r="O910" s="29" t="inlineStr">
        <is>
          <t>-18094850997.0</t>
        </is>
      </c>
      <c r="P910" s="29" t="inlineStr">
        <is>
          <t>KRW</t>
        </is>
      </c>
      <c r="Q910" s="29" t="inlineStr">
        <is>
          <t>16</t>
        </is>
      </c>
    </row>
    <row r="911" ht="24" customHeight="1">
      <c r="A911" s="24" t="inlineStr">
        <is>
          <t>OpenDART_fnlttSinglAcntAll</t>
        </is>
      </c>
      <c r="B911" s="24" t="inlineStr">
        <is>
          <t>00591441</t>
        </is>
      </c>
      <c r="C911" s="24" t="inlineStr">
        <is>
          <t>어보브반도체</t>
        </is>
      </c>
      <c r="D911" s="24" t="inlineStr">
        <is>
          <t>abov</t>
        </is>
      </c>
      <c r="E911" s="24" t="inlineStr">
        <is>
          <t>102120</t>
        </is>
      </c>
      <c r="F911" s="24" t="inlineStr">
        <is>
          <t>2025</t>
        </is>
      </c>
      <c r="G911" s="24" t="inlineStr">
        <is>
          <t>CFS</t>
        </is>
      </c>
      <c r="H911" s="24" t="inlineStr">
        <is>
          <t>SCE</t>
        </is>
      </c>
      <c r="I911" s="24" t="inlineStr">
        <is>
          <t>자본변동표</t>
        </is>
      </c>
      <c r="J911" s="24" t="inlineStr">
        <is>
          <t>ifrs-full_ProfitLoss</t>
        </is>
      </c>
      <c r="K911" s="24" t="inlineStr">
        <is>
          <t>당기순이익(손실)</t>
        </is>
      </c>
      <c r="L911" s="24" t="inlineStr">
        <is>
          <t>자본 [구성요소]|비지배지분 [구성요소]</t>
        </is>
      </c>
      <c r="M911" s="24" t="inlineStr">
        <is>
          <t>제 20 기</t>
        </is>
      </c>
      <c r="N911" s="24" t="inlineStr">
        <is>
          <t>-8149688730.0</t>
        </is>
      </c>
      <c r="O911" s="24" t="inlineStr">
        <is>
          <t>-20745600888.0</t>
        </is>
      </c>
      <c r="P911" s="24" t="inlineStr">
        <is>
          <t>KRW</t>
        </is>
      </c>
      <c r="Q911" s="24" t="inlineStr">
        <is>
          <t>16</t>
        </is>
      </c>
    </row>
    <row r="912" ht="24" customHeight="1">
      <c r="A912" s="29" t="inlineStr">
        <is>
          <t>OpenDART_fnlttSinglAcntAll</t>
        </is>
      </c>
      <c r="B912" s="29" t="inlineStr">
        <is>
          <t>00591441</t>
        </is>
      </c>
      <c r="C912" s="29" t="inlineStr">
        <is>
          <t>어보브반도체</t>
        </is>
      </c>
      <c r="D912" s="29" t="inlineStr">
        <is>
          <t>abov</t>
        </is>
      </c>
      <c r="E912" s="29" t="inlineStr">
        <is>
          <t>102120</t>
        </is>
      </c>
      <c r="F912" s="29" t="inlineStr">
        <is>
          <t>2025</t>
        </is>
      </c>
      <c r="G912" s="29" t="inlineStr">
        <is>
          <t>CFS</t>
        </is>
      </c>
      <c r="H912" s="29" t="inlineStr">
        <is>
          <t>SCE</t>
        </is>
      </c>
      <c r="I912" s="29" t="inlineStr">
        <is>
          <t>자본변동표</t>
        </is>
      </c>
      <c r="J912" s="29" t="inlineStr">
        <is>
          <t>ifrs-full_ProfitLoss</t>
        </is>
      </c>
      <c r="K912" s="29" t="inlineStr">
        <is>
          <t>당기순이익(손실)</t>
        </is>
      </c>
      <c r="L912" s="29" t="inlineStr">
        <is>
          <t>자본 [구성요소]|지배기업의 소유주에게 귀속되는 지분 [구성요소]|이익잉여금 [구성요소]</t>
        </is>
      </c>
      <c r="M912" s="29" t="inlineStr">
        <is>
          <t>제 20 기</t>
        </is>
      </c>
      <c r="N912" s="29" t="inlineStr">
        <is>
          <t>10109111699.0</t>
        </is>
      </c>
      <c r="O912" s="29" t="inlineStr">
        <is>
          <t>2650749891.0</t>
        </is>
      </c>
      <c r="P912" s="29" t="inlineStr">
        <is>
          <t>KRW</t>
        </is>
      </c>
      <c r="Q912" s="29" t="inlineStr">
        <is>
          <t>16</t>
        </is>
      </c>
    </row>
    <row r="913" ht="24" customHeight="1">
      <c r="A913" s="24" t="inlineStr">
        <is>
          <t>OpenDART_fnlttSinglAcntAll</t>
        </is>
      </c>
      <c r="B913" s="24" t="inlineStr">
        <is>
          <t>00591441</t>
        </is>
      </c>
      <c r="C913" s="24" t="inlineStr">
        <is>
          <t>어보브반도체</t>
        </is>
      </c>
      <c r="D913" s="24" t="inlineStr">
        <is>
          <t>abov</t>
        </is>
      </c>
      <c r="E913" s="24" t="inlineStr">
        <is>
          <t>102120</t>
        </is>
      </c>
      <c r="F913" s="24" t="inlineStr">
        <is>
          <t>2025</t>
        </is>
      </c>
      <c r="G913" s="24" t="inlineStr">
        <is>
          <t>CFS</t>
        </is>
      </c>
      <c r="H913" s="24" t="inlineStr">
        <is>
          <t>SCE</t>
        </is>
      </c>
      <c r="I913" s="24" t="inlineStr">
        <is>
          <t>자본변동표</t>
        </is>
      </c>
      <c r="J913" s="24" t="inlineStr">
        <is>
          <t>ifrs-full_ProfitLoss</t>
        </is>
      </c>
      <c r="K913" s="24" t="inlineStr">
        <is>
          <t>당기순이익(손실)</t>
        </is>
      </c>
      <c r="L913" s="24" t="inlineStr">
        <is>
          <t>자본 [구성요소]|지배기업의 소유주에게 귀속되는 지분 [구성요소]</t>
        </is>
      </c>
      <c r="M913" s="24" t="inlineStr">
        <is>
          <t>제 20 기</t>
        </is>
      </c>
      <c r="N913" s="24" t="inlineStr">
        <is>
          <t>10109111699.0</t>
        </is>
      </c>
      <c r="O913" s="24" t="inlineStr">
        <is>
          <t>2650749891.0</t>
        </is>
      </c>
      <c r="P913" s="24" t="inlineStr">
        <is>
          <t>KRW</t>
        </is>
      </c>
      <c r="Q913" s="24" t="inlineStr">
        <is>
          <t>16</t>
        </is>
      </c>
    </row>
    <row r="914" ht="24" customHeight="1">
      <c r="A914" s="29" t="inlineStr">
        <is>
          <t>OpenDART_fnlttSinglAcntAll</t>
        </is>
      </c>
      <c r="B914" s="29" t="inlineStr">
        <is>
          <t>00591441</t>
        </is>
      </c>
      <c r="C914" s="29" t="inlineStr">
        <is>
          <t>어보브반도체</t>
        </is>
      </c>
      <c r="D914" s="29" t="inlineStr">
        <is>
          <t>abov</t>
        </is>
      </c>
      <c r="E914" s="29" t="inlineStr">
        <is>
          <t>102120</t>
        </is>
      </c>
      <c r="F914" s="29" t="inlineStr">
        <is>
          <t>2025</t>
        </is>
      </c>
      <c r="G914" s="29" t="inlineStr">
        <is>
          <t>CFS</t>
        </is>
      </c>
      <c r="H914" s="29" t="inlineStr">
        <is>
          <t>SCE</t>
        </is>
      </c>
      <c r="I914" s="29" t="inlineStr">
        <is>
          <t>자본변동표</t>
        </is>
      </c>
      <c r="J914" s="29" t="inlineStr">
        <is>
          <t>ifrs-full_ShareOfOtherComprehensiveIncomeOfAssociatesAndJointVenturesAccountedForUsingEquityMethod</t>
        </is>
      </c>
      <c r="K914" s="29" t="inlineStr">
        <is>
          <t>지분법자본변동</t>
        </is>
      </c>
      <c r="L914" s="29" t="inlineStr">
        <is>
          <t>자본 [구성요소]|지배기업의 소유주에게 귀속되는 지분 [구성요소]</t>
        </is>
      </c>
      <c r="M914" s="29" t="inlineStr">
        <is>
          <t>제 20 기</t>
        </is>
      </c>
      <c r="N914" s="29" t="inlineStr">
        <is>
          <t>343650.0</t>
        </is>
      </c>
      <c r="O914" s="29" t="inlineStr">
        <is>
          <t>1495584.0</t>
        </is>
      </c>
      <c r="P914" s="29" t="inlineStr">
        <is>
          <t>KRW</t>
        </is>
      </c>
      <c r="Q914" s="29" t="inlineStr">
        <is>
          <t>18</t>
        </is>
      </c>
    </row>
    <row r="915" ht="24" customHeight="1">
      <c r="A915" s="24" t="inlineStr">
        <is>
          <t>OpenDART_fnlttSinglAcntAll</t>
        </is>
      </c>
      <c r="B915" s="24" t="inlineStr">
        <is>
          <t>00591441</t>
        </is>
      </c>
      <c r="C915" s="24" t="inlineStr">
        <is>
          <t>어보브반도체</t>
        </is>
      </c>
      <c r="D915" s="24" t="inlineStr">
        <is>
          <t>abov</t>
        </is>
      </c>
      <c r="E915" s="24" t="inlineStr">
        <is>
          <t>102120</t>
        </is>
      </c>
      <c r="F915" s="24" t="inlineStr">
        <is>
          <t>2025</t>
        </is>
      </c>
      <c r="G915" s="24" t="inlineStr">
        <is>
          <t>CFS</t>
        </is>
      </c>
      <c r="H915" s="24" t="inlineStr">
        <is>
          <t>SCE</t>
        </is>
      </c>
      <c r="I915" s="24" t="inlineStr">
        <is>
          <t>자본변동표</t>
        </is>
      </c>
      <c r="J915" s="24" t="inlineStr">
        <is>
          <t>ifrs-full_ShareOfOtherComprehensiveIncomeOfAssociatesAndJointVenturesAccountedForUsingEquityMethod</t>
        </is>
      </c>
      <c r="K915" s="24" t="inlineStr">
        <is>
          <t>지분법자본변동</t>
        </is>
      </c>
      <c r="L915" s="24" t="inlineStr">
        <is>
          <t>연결재무제표 [member]</t>
        </is>
      </c>
      <c r="M915" s="24" t="inlineStr">
        <is>
          <t>제 20 기</t>
        </is>
      </c>
      <c r="N915" s="24" t="inlineStr">
        <is>
          <t>343650.0</t>
        </is>
      </c>
      <c r="O915" s="24" t="inlineStr">
        <is>
          <t>1495584.0</t>
        </is>
      </c>
      <c r="P915" s="24" t="inlineStr">
        <is>
          <t>KRW</t>
        </is>
      </c>
      <c r="Q915" s="24" t="inlineStr">
        <is>
          <t>18</t>
        </is>
      </c>
    </row>
    <row r="916" ht="24" customHeight="1">
      <c r="A916" s="29" t="inlineStr">
        <is>
          <t>OpenDART_fnlttSinglAcntAll</t>
        </is>
      </c>
      <c r="B916" s="29" t="inlineStr">
        <is>
          <t>00591441</t>
        </is>
      </c>
      <c r="C916" s="29" t="inlineStr">
        <is>
          <t>어보브반도체</t>
        </is>
      </c>
      <c r="D916" s="29" t="inlineStr">
        <is>
          <t>abov</t>
        </is>
      </c>
      <c r="E916" s="29" t="inlineStr">
        <is>
          <t>102120</t>
        </is>
      </c>
      <c r="F916" s="29" t="inlineStr">
        <is>
          <t>2025</t>
        </is>
      </c>
      <c r="G916" s="29" t="inlineStr">
        <is>
          <t>CFS</t>
        </is>
      </c>
      <c r="H916" s="29" t="inlineStr">
        <is>
          <t>SCE</t>
        </is>
      </c>
      <c r="I916" s="29" t="inlineStr">
        <is>
          <t>자본변동표</t>
        </is>
      </c>
      <c r="J916" s="29" t="inlineStr">
        <is>
          <t>ifrs-full_ShareOfOtherComprehensiveIncomeOfAssociatesAndJointVenturesAccountedForUsingEquityMethod</t>
        </is>
      </c>
      <c r="K916" s="29" t="inlineStr">
        <is>
          <t>지분법자본변동</t>
        </is>
      </c>
      <c r="L916" s="29" t="inlineStr">
        <is>
          <t>자본 [구성요소]|지배기업의 소유주에게 귀속되는 지분 [구성요소]|기타포괄손익누계액 [구성요소]</t>
        </is>
      </c>
      <c r="M916" s="29" t="inlineStr">
        <is>
          <t>제 20 기</t>
        </is>
      </c>
      <c r="N916" s="29" t="inlineStr">
        <is>
          <t>343650.0</t>
        </is>
      </c>
      <c r="O916" s="29" t="inlineStr">
        <is>
          <t>1495584.0</t>
        </is>
      </c>
      <c r="P916" s="29" t="inlineStr">
        <is>
          <t>KRW</t>
        </is>
      </c>
      <c r="Q916" s="29" t="inlineStr">
        <is>
          <t>18</t>
        </is>
      </c>
    </row>
  </sheetData>
  <autoFilter ref="A2:Q916"/>
  <mergeCells count="1"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7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3" customWidth="1" min="31" max="31"/>
  </cols>
  <sheetData>
    <row r="1" ht="30" customHeight="1">
      <c r="A1" s="16" t="inlineStr">
        <is>
          <t>주가 데이터·기술적 지표</t>
        </is>
      </c>
    </row>
    <row r="2" ht="28" customHeight="1">
      <c r="A2" s="17" t="inlineStr">
        <is>
          <t>Valuation Agent 전용 주가 intake: 종가·이동평균·수익률·MDD·롤링 변동성</t>
        </is>
      </c>
    </row>
    <row r="3" ht="24" customHeight="1"/>
    <row r="4" ht="24" customHeight="1">
      <c r="A4" s="22" t="inlineStr">
        <is>
          <t>주가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데이터 행 수</t>
        </is>
      </c>
      <c r="B6" s="30" t="n">
        <v>1221</v>
      </c>
      <c r="C6" s="24" t="inlineStr">
        <is>
          <t>valuation_price_history.csv 기준</t>
        </is>
      </c>
    </row>
    <row r="7" ht="24" customHeight="1">
      <c r="A7" s="29" t="inlineStr">
        <is>
          <t>수집 시작일</t>
        </is>
      </c>
      <c r="B7" s="29" t="inlineStr">
        <is>
          <t>2021-05-20</t>
        </is>
      </c>
      <c r="C7" s="29" t="inlineStr">
        <is>
          <t>가격 데이터 시작</t>
        </is>
      </c>
    </row>
    <row r="8" ht="24" customHeight="1">
      <c r="A8" s="24" t="inlineStr">
        <is>
          <t>수집 종료일</t>
        </is>
      </c>
      <c r="B8" s="24" t="inlineStr">
        <is>
          <t>2026-05-20</t>
        </is>
      </c>
      <c r="C8" s="24" t="inlineStr">
        <is>
          <t>가격 데이터 종료</t>
        </is>
      </c>
    </row>
    <row r="9" ht="24" customHeight="1">
      <c r="A9" s="29" t="inlineStr">
        <is>
          <t>현재가</t>
        </is>
      </c>
      <c r="B9" s="31" t="n">
        <v>11890</v>
      </c>
      <c r="C9" s="29" t="inlineStr">
        <is>
          <t>최근 종가</t>
        </is>
      </c>
    </row>
    <row r="10" ht="24" customHeight="1">
      <c r="A10" s="24" t="inlineStr">
        <is>
          <t>1년 수익률</t>
        </is>
      </c>
      <c r="B10" s="30" t="n">
        <v>0.1174812030075187</v>
      </c>
      <c r="C10" s="24" t="inlineStr">
        <is>
          <t>최근 약 1년</t>
        </is>
      </c>
    </row>
    <row r="11" ht="24" customHeight="1">
      <c r="A11" s="29" t="inlineStr">
        <is>
          <t>연환산 변동성</t>
        </is>
      </c>
      <c r="B11" s="31" t="n">
        <v>0.5895368669727092</v>
      </c>
      <c r="C11" s="29" t="inlineStr">
        <is>
          <t>일수익률 × √252</t>
        </is>
      </c>
    </row>
    <row r="12" ht="24" customHeight="1">
      <c r="A12" s="24" t="inlineStr">
        <is>
          <t>MDD</t>
        </is>
      </c>
      <c r="B12" s="30" t="n">
        <v>-0.7125827814569536</v>
      </c>
      <c r="C12" s="24" t="inlineStr">
        <is>
          <t>기간 중 최대 낙폭</t>
        </is>
      </c>
    </row>
    <row r="13" ht="24" customHeight="1">
      <c r="A13" s="29" t="inlineStr">
        <is>
          <t>52주 고가</t>
        </is>
      </c>
      <c r="B13" s="31" t="n">
        <v>15250</v>
      </c>
      <c r="C13" s="29" t="inlineStr">
        <is>
          <t>최근 252거래일</t>
        </is>
      </c>
    </row>
    <row r="14" ht="24" customHeight="1">
      <c r="A14" s="24" t="inlineStr">
        <is>
          <t>52주 저가</t>
        </is>
      </c>
      <c r="B14" s="30" t="n">
        <v>9900</v>
      </c>
      <c r="C14" s="24" t="inlineStr">
        <is>
          <t>최근 252거래일</t>
        </is>
      </c>
    </row>
    <row r="15" ht="24" customHeight="1">
      <c r="A15" s="29" t="inlineStr">
        <is>
          <t>발행주식 수</t>
        </is>
      </c>
      <c r="B15" s="31" t="n">
        <v>17780753</v>
      </c>
      <c r="C15" s="29" t="inlineStr">
        <is>
          <t>DART stockTotqySttus</t>
        </is>
      </c>
    </row>
    <row r="16" ht="24" customHeight="1">
      <c r="A16" s="24" t="inlineStr">
        <is>
          <t>시가총액</t>
        </is>
      </c>
      <c r="B16" s="30" t="n">
        <v>211413153170</v>
      </c>
      <c r="C16" s="24" t="inlineStr">
        <is>
          <t>현재가 × 발행주식 수</t>
        </is>
      </c>
    </row>
    <row r="17" ht="24" customHeight="1">
      <c r="A17" s="22" t="inlineStr">
        <is>
          <t>최근 주가 원천 데이터</t>
        </is>
      </c>
      <c r="B17" s="32" t="n"/>
      <c r="C17" s="32" t="n"/>
      <c r="D17" s="32" t="n"/>
      <c r="E17" s="32" t="n"/>
      <c r="F17" s="33" t="n"/>
    </row>
    <row r="18" ht="24" customHeight="1">
      <c r="A18" s="25" t="inlineStr">
        <is>
          <t>일자</t>
        </is>
      </c>
      <c r="B18" s="34" t="inlineStr">
        <is>
          <t>시가</t>
        </is>
      </c>
      <c r="C18" s="25" t="inlineStr">
        <is>
          <t>고가</t>
        </is>
      </c>
      <c r="D18" s="25" t="inlineStr">
        <is>
          <t>저가</t>
        </is>
      </c>
      <c r="E18" s="25" t="inlineStr">
        <is>
          <t>종가</t>
        </is>
      </c>
      <c r="F18" s="25" t="inlineStr">
        <is>
          <t>수정종가</t>
        </is>
      </c>
      <c r="G18" s="25" t="inlineStr">
        <is>
          <t>거래량</t>
        </is>
      </c>
      <c r="H18" s="25" t="inlineStr">
        <is>
          <t>일수익률</t>
        </is>
      </c>
      <c r="I18" s="25" t="inlineStr">
        <is>
          <t>드로다운</t>
        </is>
      </c>
      <c r="J18" s="25" t="inlineStr">
        <is>
          <t>20일선</t>
        </is>
      </c>
      <c r="K18" s="25" t="inlineStr">
        <is>
          <t>60일선</t>
        </is>
      </c>
      <c r="L18" s="25" t="inlineStr">
        <is>
          <t>120일선</t>
        </is>
      </c>
      <c r="M18" s="25" t="inlineStr">
        <is>
          <t>20일 변동성</t>
        </is>
      </c>
      <c r="N18" s="25" t="inlineStr">
        <is>
          <t>60일 변동성</t>
        </is>
      </c>
      <c r="O18" s="25" t="inlineStr">
        <is>
          <t>20일 수익률</t>
        </is>
      </c>
      <c r="P18" s="25" t="inlineStr">
        <is>
          <t>60일 수익률</t>
        </is>
      </c>
      <c r="Q18" s="25" t="inlineStr">
        <is>
          <t>120일 수익률</t>
        </is>
      </c>
      <c r="R18" s="25" t="inlineStr">
        <is>
          <t>20일선 괴리</t>
        </is>
      </c>
      <c r="S18" s="25" t="inlineStr">
        <is>
          <t>60일선 괴리</t>
        </is>
      </c>
      <c r="T18" s="25" t="inlineStr">
        <is>
          <t>120일선 괴리</t>
        </is>
      </c>
      <c r="U18" s="25" t="inlineStr">
        <is>
          <t>52주 고가</t>
        </is>
      </c>
      <c r="V18" s="25" t="inlineStr">
        <is>
          <t>52주 저가</t>
        </is>
      </c>
      <c r="W18" s="25" t="inlineStr">
        <is>
          <t>52주 고가 대비</t>
        </is>
      </c>
      <c r="X18" s="25" t="inlineStr">
        <is>
          <t>52주 저가 대비</t>
        </is>
      </c>
      <c r="Y18" s="25" t="inlineStr">
        <is>
          <t>발행주식 수</t>
        </is>
      </c>
      <c r="Z18" s="25" t="inlineStr">
        <is>
          <t>시가총액</t>
        </is>
      </c>
      <c r="AA18" s="25" t="inlineStr">
        <is>
          <t>거래대금</t>
        </is>
      </c>
      <c r="AB18" s="25" t="inlineStr">
        <is>
          <t>20일 평균 거래대금</t>
        </is>
      </c>
      <c r="AC18" s="25" t="inlineStr">
        <is>
          <t>거래회전율</t>
        </is>
      </c>
      <c r="AD18" s="25" t="inlineStr">
        <is>
          <t>출처</t>
        </is>
      </c>
      <c r="AE18" s="25" t="inlineStr">
        <is>
          <t>티커</t>
        </is>
      </c>
    </row>
    <row r="19" ht="24" customHeight="1">
      <c r="A19" s="24" t="inlineStr">
        <is>
          <t>2023-07-03</t>
        </is>
      </c>
      <c r="B19" s="30" t="n">
        <v>10800</v>
      </c>
      <c r="C19" s="30" t="n">
        <v>11090</v>
      </c>
      <c r="D19" s="30" t="n">
        <v>10800</v>
      </c>
      <c r="E19" s="30" t="n">
        <v>11030</v>
      </c>
      <c r="F19" s="30" t="n">
        <v>10882.93359375</v>
      </c>
      <c r="G19" s="30" t="n">
        <v>265831</v>
      </c>
      <c r="H19" s="35" t="n">
        <v>0.02795899347623476</v>
      </c>
      <c r="I19" s="35" t="n">
        <v>-0.3149068322981367</v>
      </c>
      <c r="J19" s="30" t="n">
        <v>10619</v>
      </c>
      <c r="K19" s="30" t="n">
        <v>10437.83333333333</v>
      </c>
      <c r="L19" s="30" t="n">
        <v>10236.5</v>
      </c>
      <c r="M19" s="35" t="n">
        <v>0.3216479703572156</v>
      </c>
      <c r="N19" s="35" t="n">
        <v>0.3488423475083409</v>
      </c>
      <c r="O19" s="35" t="n">
        <v>0.068798449612403</v>
      </c>
      <c r="P19" s="35" t="n">
        <v>0.0009074410163338875</v>
      </c>
      <c r="Q19" s="35" t="n">
        <v>0.3178016726403823</v>
      </c>
      <c r="R19" s="35" t="n">
        <v>0.03870420943591668</v>
      </c>
      <c r="S19" s="35" t="n">
        <v>0.05673271911475886</v>
      </c>
      <c r="T19" s="35" t="n">
        <v>0.0775167293508523</v>
      </c>
      <c r="U19" s="30" t="n">
        <v>13350</v>
      </c>
      <c r="V19" s="30" t="n">
        <v>8000</v>
      </c>
      <c r="W19" s="35" t="n">
        <v>-0.1737827715355805</v>
      </c>
      <c r="X19" s="35" t="n">
        <v>0.3787499999999999</v>
      </c>
      <c r="Y19" s="30" t="n">
        <v>17780753</v>
      </c>
      <c r="Z19" s="30" t="n">
        <v>196121705590</v>
      </c>
      <c r="AA19" s="30" t="n">
        <v>2932115930</v>
      </c>
      <c r="AB19" s="30" t="n">
        <v>2390242407.5</v>
      </c>
      <c r="AC19" s="35" t="n">
        <v>0.01495049169177481</v>
      </c>
      <c r="AD19" s="24" t="inlineStr">
        <is>
          <t>yfinance_download</t>
        </is>
      </c>
      <c r="AE19" s="24" t="inlineStr">
        <is>
          <t>102120.KQ</t>
        </is>
      </c>
    </row>
    <row r="20" ht="24" customHeight="1">
      <c r="A20" s="29" t="inlineStr">
        <is>
          <t>2023-07-04</t>
        </is>
      </c>
      <c r="B20" s="31" t="n">
        <v>10990</v>
      </c>
      <c r="C20" s="31" t="n">
        <v>11250</v>
      </c>
      <c r="D20" s="31" t="n">
        <v>10860</v>
      </c>
      <c r="E20" s="31" t="n">
        <v>11200</v>
      </c>
      <c r="F20" s="31" t="n">
        <v>11050.6669921875</v>
      </c>
      <c r="G20" s="31" t="n">
        <v>235651</v>
      </c>
      <c r="H20" s="36" t="n">
        <v>0.01541251133272903</v>
      </c>
      <c r="I20" s="36" t="n">
        <v>-0.3043478260869565</v>
      </c>
      <c r="J20" s="31" t="n">
        <v>10668.5</v>
      </c>
      <c r="K20" s="31" t="n">
        <v>10439.83333333333</v>
      </c>
      <c r="L20" s="31" t="n">
        <v>10258.33333333333</v>
      </c>
      <c r="M20" s="36" t="n">
        <v>0.3197064832283835</v>
      </c>
      <c r="N20" s="36" t="n">
        <v>0.3500722536465732</v>
      </c>
      <c r="O20" s="36" t="n">
        <v>0.09696376101860915</v>
      </c>
      <c r="P20" s="36" t="n">
        <v>0.01083032490974722</v>
      </c>
      <c r="Q20" s="36" t="n">
        <v>0.3053613053613053</v>
      </c>
      <c r="R20" s="36" t="n">
        <v>0.04981956226273598</v>
      </c>
      <c r="S20" s="36" t="n">
        <v>0.07281406152716352</v>
      </c>
      <c r="T20" s="36" t="n">
        <v>0.0917952883834281</v>
      </c>
      <c r="U20" s="31" t="n">
        <v>13350</v>
      </c>
      <c r="V20" s="31" t="n">
        <v>8000</v>
      </c>
      <c r="W20" s="36" t="n">
        <v>-0.1610486891385767</v>
      </c>
      <c r="X20" s="36" t="n">
        <v>0.3999999999999999</v>
      </c>
      <c r="Y20" s="31" t="n">
        <v>17780753</v>
      </c>
      <c r="Z20" s="31" t="n">
        <v>199144433600</v>
      </c>
      <c r="AA20" s="31" t="n">
        <v>2639291200</v>
      </c>
      <c r="AB20" s="31" t="n">
        <v>2459140818.5</v>
      </c>
      <c r="AC20" s="36" t="n">
        <v>0.0132531507523894</v>
      </c>
      <c r="AD20" s="29" t="inlineStr">
        <is>
          <t>yfinance_download</t>
        </is>
      </c>
      <c r="AE20" s="29" t="inlineStr">
        <is>
          <t>102120.KQ</t>
        </is>
      </c>
    </row>
    <row r="21" ht="24" customHeight="1">
      <c r="A21" s="24" t="inlineStr">
        <is>
          <t>2023-07-05</t>
        </is>
      </c>
      <c r="B21" s="30" t="n">
        <v>11300</v>
      </c>
      <c r="C21" s="30" t="n">
        <v>11420</v>
      </c>
      <c r="D21" s="30" t="n">
        <v>10800</v>
      </c>
      <c r="E21" s="30" t="n">
        <v>10800</v>
      </c>
      <c r="F21" s="30" t="n">
        <v>10656</v>
      </c>
      <c r="G21" s="30" t="n">
        <v>351137</v>
      </c>
      <c r="H21" s="35" t="n">
        <v>-0.0357142857142857</v>
      </c>
      <c r="I21" s="35" t="n">
        <v>-0.3291925465838509</v>
      </c>
      <c r="J21" s="30" t="n">
        <v>10701</v>
      </c>
      <c r="K21" s="30" t="n">
        <v>10441.5</v>
      </c>
      <c r="L21" s="30" t="n">
        <v>10275.5</v>
      </c>
      <c r="M21" s="35" t="n">
        <v>0.3491464288302533</v>
      </c>
      <c r="N21" s="35" t="n">
        <v>0.3506844479403809</v>
      </c>
      <c r="O21" s="35" t="n">
        <v>0.06403940886699511</v>
      </c>
      <c r="P21" s="35" t="n">
        <v>0.009345794392523255</v>
      </c>
      <c r="Q21" s="35" t="n">
        <v>0.2356979405034325</v>
      </c>
      <c r="R21" s="35" t="n">
        <v>0.00925147182506314</v>
      </c>
      <c r="S21" s="35" t="n">
        <v>0.03433414739261598</v>
      </c>
      <c r="T21" s="35" t="n">
        <v>0.05104374482993523</v>
      </c>
      <c r="U21" s="30" t="n">
        <v>13350</v>
      </c>
      <c r="V21" s="30" t="n">
        <v>8000</v>
      </c>
      <c r="W21" s="35" t="n">
        <v>-0.1910112359550562</v>
      </c>
      <c r="X21" s="35" t="n">
        <v>0.3500000000000001</v>
      </c>
      <c r="Y21" s="30" t="n">
        <v>17780753</v>
      </c>
      <c r="Z21" s="30" t="n">
        <v>192032132400</v>
      </c>
      <c r="AA21" s="30" t="n">
        <v>3792279600</v>
      </c>
      <c r="AB21" s="30" t="n">
        <v>2586915923.5</v>
      </c>
      <c r="AC21" s="35" t="n">
        <v>0.01974815127345844</v>
      </c>
      <c r="AD21" s="24" t="inlineStr">
        <is>
          <t>yfinance_download</t>
        </is>
      </c>
      <c r="AE21" s="24" t="inlineStr">
        <is>
          <t>102120.KQ</t>
        </is>
      </c>
    </row>
    <row r="22" ht="24" customHeight="1">
      <c r="A22" s="29" t="inlineStr">
        <is>
          <t>2023-07-06</t>
        </is>
      </c>
      <c r="B22" s="31" t="n">
        <v>10760</v>
      </c>
      <c r="C22" s="31" t="n">
        <v>10910</v>
      </c>
      <c r="D22" s="31" t="n">
        <v>10420</v>
      </c>
      <c r="E22" s="31" t="n">
        <v>10450</v>
      </c>
      <c r="F22" s="31" t="n">
        <v>10310.6669921875</v>
      </c>
      <c r="G22" s="31" t="n">
        <v>204166</v>
      </c>
      <c r="H22" s="36" t="n">
        <v>-0.03240740740740744</v>
      </c>
      <c r="I22" s="36" t="n">
        <v>-0.3509316770186336</v>
      </c>
      <c r="J22" s="31" t="n">
        <v>10713.5</v>
      </c>
      <c r="K22" s="31" t="n">
        <v>10425.66666666667</v>
      </c>
      <c r="L22" s="31" t="n">
        <v>10289.66666666667</v>
      </c>
      <c r="M22" s="36" t="n">
        <v>0.3713373962060308</v>
      </c>
      <c r="N22" s="36" t="n">
        <v>0.3298973977700466</v>
      </c>
      <c r="O22" s="36" t="n">
        <v>0.02450980392156854</v>
      </c>
      <c r="P22" s="36" t="n">
        <v>-0.08333333333333337</v>
      </c>
      <c r="Q22" s="36" t="n">
        <v>0.1942857142857144</v>
      </c>
      <c r="R22" s="36" t="n">
        <v>-0.02459513697671167</v>
      </c>
      <c r="S22" s="36" t="n">
        <v>0.002333983438309373</v>
      </c>
      <c r="T22" s="36" t="n">
        <v>0.01558197544462092</v>
      </c>
      <c r="U22" s="31" t="n">
        <v>13350</v>
      </c>
      <c r="V22" s="31" t="n">
        <v>8000</v>
      </c>
      <c r="W22" s="36" t="n">
        <v>-0.2172284644194756</v>
      </c>
      <c r="X22" s="36" t="n">
        <v>0.3062499999999999</v>
      </c>
      <c r="Y22" s="31" t="n">
        <v>17780753</v>
      </c>
      <c r="Z22" s="31" t="n">
        <v>185808868850</v>
      </c>
      <c r="AA22" s="31" t="n">
        <v>2133534700</v>
      </c>
      <c r="AB22" s="31" t="n">
        <v>2644183348.5</v>
      </c>
      <c r="AC22" s="36" t="n">
        <v>0.01148241584594308</v>
      </c>
      <c r="AD22" s="29" t="inlineStr">
        <is>
          <t>yfinance_download</t>
        </is>
      </c>
      <c r="AE22" s="29" t="inlineStr">
        <is>
          <t>102120.KQ</t>
        </is>
      </c>
    </row>
    <row r="23" ht="24" customHeight="1">
      <c r="A23" s="24" t="inlineStr">
        <is>
          <t>2023-07-07</t>
        </is>
      </c>
      <c r="B23" s="30" t="n">
        <v>10450</v>
      </c>
      <c r="C23" s="30" t="n">
        <v>10530</v>
      </c>
      <c r="D23" s="30" t="n">
        <v>10280</v>
      </c>
      <c r="E23" s="30" t="n">
        <v>10290</v>
      </c>
      <c r="F23" s="30" t="n">
        <v>10152.7998046875</v>
      </c>
      <c r="G23" s="30" t="n">
        <v>175501</v>
      </c>
      <c r="H23" s="35" t="n">
        <v>-0.01531100478468894</v>
      </c>
      <c r="I23" s="35" t="n">
        <v>-0.3608695652173913</v>
      </c>
      <c r="J23" s="30" t="n">
        <v>10712.5</v>
      </c>
      <c r="K23" s="30" t="n">
        <v>10411.66666666667</v>
      </c>
      <c r="L23" s="30" t="n">
        <v>10301.66666666667</v>
      </c>
      <c r="M23" s="35" t="n">
        <v>0.3741984755353995</v>
      </c>
      <c r="N23" s="35" t="n">
        <v>0.3279042890432579</v>
      </c>
      <c r="O23" s="35" t="n">
        <v>-0.001939864209505315</v>
      </c>
      <c r="P23" s="35" t="n">
        <v>-0.07547169811320753</v>
      </c>
      <c r="Q23" s="35" t="n">
        <v>0.1627118644067798</v>
      </c>
      <c r="R23" s="35" t="n">
        <v>-0.03943990665110853</v>
      </c>
      <c r="S23" s="35" t="n">
        <v>-0.01168560909236427</v>
      </c>
      <c r="T23" s="35" t="n">
        <v>-0.001132502831256987</v>
      </c>
      <c r="U23" s="30" t="n">
        <v>13350</v>
      </c>
      <c r="V23" s="30" t="n">
        <v>8000</v>
      </c>
      <c r="W23" s="35" t="n">
        <v>-0.2292134831460674</v>
      </c>
      <c r="X23" s="35" t="n">
        <v>0.2862499999999999</v>
      </c>
      <c r="Y23" s="30" t="n">
        <v>17780753</v>
      </c>
      <c r="Z23" s="30" t="n">
        <v>182963948370</v>
      </c>
      <c r="AA23" s="30" t="n">
        <v>1805905290</v>
      </c>
      <c r="AB23" s="30" t="n">
        <v>2662473573</v>
      </c>
      <c r="AC23" s="35" t="n">
        <v>0.009870279397053656</v>
      </c>
      <c r="AD23" s="24" t="inlineStr">
        <is>
          <t>yfinance_download</t>
        </is>
      </c>
      <c r="AE23" s="24" t="inlineStr">
        <is>
          <t>102120.KQ</t>
        </is>
      </c>
    </row>
    <row r="24" ht="24" customHeight="1">
      <c r="A24" s="29" t="inlineStr">
        <is>
          <t>2023-07-10</t>
        </is>
      </c>
      <c r="B24" s="31" t="n">
        <v>10290</v>
      </c>
      <c r="C24" s="31" t="n">
        <v>10290</v>
      </c>
      <c r="D24" s="31" t="n">
        <v>10000</v>
      </c>
      <c r="E24" s="31" t="n">
        <v>10000</v>
      </c>
      <c r="F24" s="31" t="n">
        <v>9866.6669921875</v>
      </c>
      <c r="G24" s="31" t="n">
        <v>176154</v>
      </c>
      <c r="H24" s="36" t="n">
        <v>-0.02818270165208936</v>
      </c>
      <c r="I24" s="36" t="n">
        <v>-0.3788819875776398</v>
      </c>
      <c r="J24" s="31" t="n">
        <v>10684</v>
      </c>
      <c r="K24" s="31" t="n">
        <v>10387</v>
      </c>
      <c r="L24" s="31" t="n">
        <v>10311.25</v>
      </c>
      <c r="M24" s="36" t="n">
        <v>0.3747903601716536</v>
      </c>
      <c r="N24" s="36" t="n">
        <v>0.325388223376677</v>
      </c>
      <c r="O24" s="36" t="n">
        <v>-0.05392620624408706</v>
      </c>
      <c r="P24" s="36" t="n">
        <v>-0.1289198606271778</v>
      </c>
      <c r="Q24" s="36" t="n">
        <v>0.1299435028248588</v>
      </c>
      <c r="R24" s="36" t="n">
        <v>-0.06402096593036311</v>
      </c>
      <c r="S24" s="36" t="n">
        <v>-0.03725811110041399</v>
      </c>
      <c r="T24" s="36" t="n">
        <v>-0.0301854770275185</v>
      </c>
      <c r="U24" s="31" t="n">
        <v>13350</v>
      </c>
      <c r="V24" s="31" t="n">
        <v>8000</v>
      </c>
      <c r="W24" s="36" t="n">
        <v>-0.2509363295880149</v>
      </c>
      <c r="X24" s="36" t="n">
        <v>0.25</v>
      </c>
      <c r="Y24" s="31" t="n">
        <v>17780753</v>
      </c>
      <c r="Z24" s="31" t="n">
        <v>177807530000</v>
      </c>
      <c r="AA24" s="31" t="n">
        <v>1761540000</v>
      </c>
      <c r="AB24" s="31" t="n">
        <v>2642137254</v>
      </c>
      <c r="AC24" s="36" t="n">
        <v>0.009907004500877999</v>
      </c>
      <c r="AD24" s="29" t="inlineStr">
        <is>
          <t>yfinance_download</t>
        </is>
      </c>
      <c r="AE24" s="29" t="inlineStr">
        <is>
          <t>102120.KQ</t>
        </is>
      </c>
    </row>
    <row r="25" ht="24" customHeight="1">
      <c r="A25" s="24" t="inlineStr">
        <is>
          <t>2023-07-12</t>
        </is>
      </c>
      <c r="B25" s="30" t="n">
        <v>10160</v>
      </c>
      <c r="C25" s="30" t="n">
        <v>10350</v>
      </c>
      <c r="D25" s="30" t="n">
        <v>10140</v>
      </c>
      <c r="E25" s="30" t="n">
        <v>10320</v>
      </c>
      <c r="F25" s="30" t="n">
        <v>10182.400390625</v>
      </c>
      <c r="G25" s="30" t="n">
        <v>85120</v>
      </c>
      <c r="H25" s="35" t="n">
        <v>0.03200000000000003</v>
      </c>
      <c r="I25" s="35" t="n">
        <v>-0.3590062111801242</v>
      </c>
      <c r="J25" s="30" t="n">
        <v>10663</v>
      </c>
      <c r="K25" s="30" t="n">
        <v>10367.5</v>
      </c>
      <c r="L25" s="30" t="n">
        <v>10323.41666666667</v>
      </c>
      <c r="M25" s="35" t="n">
        <v>0.3892400706465494</v>
      </c>
      <c r="N25" s="35" t="n">
        <v>0.3327690593816004</v>
      </c>
      <c r="O25" s="35" t="n">
        <v>-0.03910614525139666</v>
      </c>
      <c r="P25" s="35" t="n">
        <v>-0.1018276762402088</v>
      </c>
      <c r="Q25" s="35" t="n">
        <v>0.1647855530474041</v>
      </c>
      <c r="R25" s="35" t="n">
        <v>-0.03216730751195729</v>
      </c>
      <c r="S25" s="35" t="n">
        <v>-0.004581625271280476</v>
      </c>
      <c r="T25" s="35" t="n">
        <v>-0.0003309627787957403</v>
      </c>
      <c r="U25" s="30" t="n">
        <v>13350</v>
      </c>
      <c r="V25" s="30" t="n">
        <v>8000</v>
      </c>
      <c r="W25" s="35" t="n">
        <v>-0.2269662921348314</v>
      </c>
      <c r="X25" s="35" t="n">
        <v>0.29</v>
      </c>
      <c r="Y25" s="30" t="n">
        <v>17780753</v>
      </c>
      <c r="Z25" s="30" t="n">
        <v>183497370960</v>
      </c>
      <c r="AA25" s="30" t="n">
        <v>878438400</v>
      </c>
      <c r="AB25" s="30" t="n">
        <v>2432588193</v>
      </c>
      <c r="AC25" s="35" t="n">
        <v>0.004787198832355412</v>
      </c>
      <c r="AD25" s="24" t="inlineStr">
        <is>
          <t>yfinance_download</t>
        </is>
      </c>
      <c r="AE25" s="24" t="inlineStr">
        <is>
          <t>102120.KQ</t>
        </is>
      </c>
    </row>
    <row r="26" ht="24" customHeight="1">
      <c r="A26" s="29" t="inlineStr">
        <is>
          <t>2023-07-13</t>
        </is>
      </c>
      <c r="B26" s="31" t="n">
        <v>10360</v>
      </c>
      <c r="C26" s="31" t="n">
        <v>10850</v>
      </c>
      <c r="D26" s="31" t="n">
        <v>10360</v>
      </c>
      <c r="E26" s="31" t="n">
        <v>10710</v>
      </c>
      <c r="F26" s="31" t="n">
        <v>10567.2001953125</v>
      </c>
      <c r="G26" s="31" t="n">
        <v>408057</v>
      </c>
      <c r="H26" s="36" t="n">
        <v>0.03779069767441867</v>
      </c>
      <c r="I26" s="36" t="n">
        <v>-0.3347826086956521</v>
      </c>
      <c r="J26" s="31" t="n">
        <v>10674.5</v>
      </c>
      <c r="K26" s="31" t="n">
        <v>10358.16666666667</v>
      </c>
      <c r="L26" s="31" t="n">
        <v>10338.83333333333</v>
      </c>
      <c r="M26" s="36" t="n">
        <v>0.4036547270777603</v>
      </c>
      <c r="N26" s="36" t="n">
        <v>0.3402992556474639</v>
      </c>
      <c r="O26" s="36" t="n">
        <v>0.02194656488549618</v>
      </c>
      <c r="P26" s="36" t="n">
        <v>-0.0496894409937888</v>
      </c>
      <c r="Q26" s="36" t="n">
        <v>0.2088036117381489</v>
      </c>
      <c r="R26" s="36" t="n">
        <v>0.003325682701765809</v>
      </c>
      <c r="S26" s="36" t="n">
        <v>0.03396675730904763</v>
      </c>
      <c r="T26" s="36" t="n">
        <v>0.03590024664291591</v>
      </c>
      <c r="U26" s="31" t="n">
        <v>13350</v>
      </c>
      <c r="V26" s="31" t="n">
        <v>8000</v>
      </c>
      <c r="W26" s="36" t="n">
        <v>-0.197752808988764</v>
      </c>
      <c r="X26" s="36" t="n">
        <v>0.3387500000000001</v>
      </c>
      <c r="Y26" s="31" t="n">
        <v>17780753</v>
      </c>
      <c r="Z26" s="31" t="n">
        <v>190431864630</v>
      </c>
      <c r="AA26" s="31" t="n">
        <v>4370290470</v>
      </c>
      <c r="AB26" s="31" t="n">
        <v>2529516376.5</v>
      </c>
      <c r="AC26" s="36" t="n">
        <v>0.02294936553024498</v>
      </c>
      <c r="AD26" s="29" t="inlineStr">
        <is>
          <t>yfinance_download</t>
        </is>
      </c>
      <c r="AE26" s="29" t="inlineStr">
        <is>
          <t>102120.KQ</t>
        </is>
      </c>
    </row>
    <row r="27" ht="24" customHeight="1">
      <c r="A27" s="24" t="inlineStr">
        <is>
          <t>2023-07-14</t>
        </is>
      </c>
      <c r="B27" s="30" t="n">
        <v>10730</v>
      </c>
      <c r="C27" s="30" t="n">
        <v>11000</v>
      </c>
      <c r="D27" s="30" t="n">
        <v>10620</v>
      </c>
      <c r="E27" s="30" t="n">
        <v>10730</v>
      </c>
      <c r="F27" s="30" t="n">
        <v>10586.93359375</v>
      </c>
      <c r="G27" s="30" t="n">
        <v>367045</v>
      </c>
      <c r="H27" s="35" t="n">
        <v>0.001867413632119508</v>
      </c>
      <c r="I27" s="35" t="n">
        <v>-0.3335403726708075</v>
      </c>
      <c r="J27" s="30" t="n">
        <v>10660</v>
      </c>
      <c r="K27" s="30" t="n">
        <v>10349.16666666667</v>
      </c>
      <c r="L27" s="30" t="n">
        <v>10355.16666666667</v>
      </c>
      <c r="M27" s="35" t="n">
        <v>0.3577251580847863</v>
      </c>
      <c r="N27" s="35" t="n">
        <v>0.3403354028834883</v>
      </c>
      <c r="O27" s="35" t="n">
        <v>-0.02631578947368418</v>
      </c>
      <c r="P27" s="35" t="n">
        <v>-0.0479148181011535</v>
      </c>
      <c r="Q27" s="35" t="n">
        <v>0.2234891676168758</v>
      </c>
      <c r="R27" s="35" t="n">
        <v>0.006566604127579811</v>
      </c>
      <c r="S27" s="35" t="n">
        <v>0.03679845398180204</v>
      </c>
      <c r="T27" s="35" t="n">
        <v>0.0361977112874412</v>
      </c>
      <c r="U27" s="30" t="n">
        <v>13350</v>
      </c>
      <c r="V27" s="30" t="n">
        <v>8000</v>
      </c>
      <c r="W27" s="35" t="n">
        <v>-0.19625468164794</v>
      </c>
      <c r="X27" s="35" t="n">
        <v>0.3412500000000001</v>
      </c>
      <c r="Y27" s="30" t="n">
        <v>17780753</v>
      </c>
      <c r="Z27" s="30" t="n">
        <v>190787479690</v>
      </c>
      <c r="AA27" s="30" t="n">
        <v>3938392850</v>
      </c>
      <c r="AB27" s="30" t="n">
        <v>2373814753</v>
      </c>
      <c r="AC27" s="35" t="n">
        <v>0.0206428265439602</v>
      </c>
      <c r="AD27" s="24" t="inlineStr">
        <is>
          <t>yfinance_download</t>
        </is>
      </c>
      <c r="AE27" s="24" t="inlineStr">
        <is>
          <t>102120.KQ</t>
        </is>
      </c>
    </row>
    <row r="28" ht="24" customHeight="1">
      <c r="A28" s="29" t="inlineStr">
        <is>
          <t>2023-07-17</t>
        </is>
      </c>
      <c r="B28" s="31" t="n">
        <v>10730</v>
      </c>
      <c r="C28" s="31" t="n">
        <v>11220</v>
      </c>
      <c r="D28" s="31" t="n">
        <v>10630</v>
      </c>
      <c r="E28" s="31" t="n">
        <v>10950</v>
      </c>
      <c r="F28" s="31" t="n">
        <v>10804</v>
      </c>
      <c r="G28" s="31" t="n">
        <v>516489</v>
      </c>
      <c r="H28" s="36" t="n">
        <v>0.02050326188257223</v>
      </c>
      <c r="I28" s="36" t="n">
        <v>-0.3198757763975155</v>
      </c>
      <c r="J28" s="31" t="n">
        <v>10670</v>
      </c>
      <c r="K28" s="31" t="n">
        <v>10349.16666666667</v>
      </c>
      <c r="L28" s="31" t="n">
        <v>10372.16666666667</v>
      </c>
      <c r="M28" s="36" t="n">
        <v>0.3543175750597562</v>
      </c>
      <c r="N28" s="36" t="n">
        <v>0.338020305586047</v>
      </c>
      <c r="O28" s="36" t="n">
        <v>0.01860465116279064</v>
      </c>
      <c r="P28" s="36" t="n">
        <v>0</v>
      </c>
      <c r="Q28" s="36" t="n">
        <v>0.228956228956229</v>
      </c>
      <c r="R28" s="36" t="n">
        <v>0.02624179943767579</v>
      </c>
      <c r="S28" s="36" t="n">
        <v>0.05805620420323709</v>
      </c>
      <c r="T28" s="36" t="n">
        <v>0.05570999309048252</v>
      </c>
      <c r="U28" s="31" t="n">
        <v>13350</v>
      </c>
      <c r="V28" s="31" t="n">
        <v>8000</v>
      </c>
      <c r="W28" s="36" t="n">
        <v>-0.1797752808988764</v>
      </c>
      <c r="X28" s="36" t="n">
        <v>0.3687499999999999</v>
      </c>
      <c r="Y28" s="31" t="n">
        <v>17780753</v>
      </c>
      <c r="Z28" s="31" t="n">
        <v>194699245350</v>
      </c>
      <c r="AA28" s="31" t="n">
        <v>5655554550</v>
      </c>
      <c r="AB28" s="31" t="n">
        <v>2531214155.5</v>
      </c>
      <c r="AC28" s="36" t="n">
        <v>0.02904764494507066</v>
      </c>
      <c r="AD28" s="29" t="inlineStr">
        <is>
          <t>yfinance_download</t>
        </is>
      </c>
      <c r="AE28" s="29" t="inlineStr">
        <is>
          <t>102120.KQ</t>
        </is>
      </c>
    </row>
    <row r="29" ht="24" customHeight="1">
      <c r="A29" s="24" t="inlineStr">
        <is>
          <t>2023-07-18</t>
        </is>
      </c>
      <c r="B29" s="30" t="n">
        <v>10960</v>
      </c>
      <c r="C29" s="30" t="n">
        <v>11080</v>
      </c>
      <c r="D29" s="30" t="n">
        <v>10750</v>
      </c>
      <c r="E29" s="30" t="n">
        <v>10880</v>
      </c>
      <c r="F29" s="30" t="n">
        <v>10734.93359375</v>
      </c>
      <c r="G29" s="30" t="n">
        <v>227110</v>
      </c>
      <c r="H29" s="35" t="n">
        <v>-0.006392694063926951</v>
      </c>
      <c r="I29" s="35" t="n">
        <v>-0.324223602484472</v>
      </c>
      <c r="J29" s="30" t="n">
        <v>10684.5</v>
      </c>
      <c r="K29" s="30" t="n">
        <v>10351.83333333333</v>
      </c>
      <c r="L29" s="30" t="n">
        <v>10389</v>
      </c>
      <c r="M29" s="35" t="n">
        <v>0.350479724814388</v>
      </c>
      <c r="N29" s="35" t="n">
        <v>0.3354175972478001</v>
      </c>
      <c r="O29" s="35" t="n">
        <v>0.02738432483474984</v>
      </c>
      <c r="P29" s="35" t="n">
        <v>0.0149253731343284</v>
      </c>
      <c r="Q29" s="35" t="n">
        <v>0.2279909706546275</v>
      </c>
      <c r="R29" s="35" t="n">
        <v>0.01829753381066035</v>
      </c>
      <c r="S29" s="35" t="n">
        <v>0.05102155817810039</v>
      </c>
      <c r="T29" s="35" t="n">
        <v>0.04726152661468852</v>
      </c>
      <c r="U29" s="30" t="n">
        <v>13350</v>
      </c>
      <c r="V29" s="30" t="n">
        <v>8000</v>
      </c>
      <c r="W29" s="35" t="n">
        <v>-0.1850187265917603</v>
      </c>
      <c r="X29" s="35" t="n">
        <v>0.3600000000000001</v>
      </c>
      <c r="Y29" s="30" t="n">
        <v>17780753</v>
      </c>
      <c r="Z29" s="30" t="n">
        <v>193454592640</v>
      </c>
      <c r="AA29" s="30" t="n">
        <v>2470956800</v>
      </c>
      <c r="AB29" s="30" t="n">
        <v>2580859151</v>
      </c>
      <c r="AC29" s="35" t="n">
        <v>0.01277279989210806</v>
      </c>
      <c r="AD29" s="24" t="inlineStr">
        <is>
          <t>yfinance_download</t>
        </is>
      </c>
      <c r="AE29" s="24" t="inlineStr">
        <is>
          <t>102120.KQ</t>
        </is>
      </c>
    </row>
    <row r="30" ht="24" customHeight="1">
      <c r="A30" s="29" t="inlineStr">
        <is>
          <t>2023-07-19</t>
        </is>
      </c>
      <c r="B30" s="31" t="n">
        <v>10970</v>
      </c>
      <c r="C30" s="31" t="n">
        <v>11340</v>
      </c>
      <c r="D30" s="31" t="n">
        <v>10810</v>
      </c>
      <c r="E30" s="31" t="n">
        <v>11120</v>
      </c>
      <c r="F30" s="31" t="n">
        <v>10971.7333984375</v>
      </c>
      <c r="G30" s="31" t="n">
        <v>982410</v>
      </c>
      <c r="H30" s="36" t="n">
        <v>0.02205882352941169</v>
      </c>
      <c r="I30" s="36" t="n">
        <v>-0.3093167701863354</v>
      </c>
      <c r="J30" s="31" t="n">
        <v>10706</v>
      </c>
      <c r="K30" s="31" t="n">
        <v>10356.33333333333</v>
      </c>
      <c r="L30" s="31" t="n">
        <v>10406.25</v>
      </c>
      <c r="M30" s="36" t="n">
        <v>0.3570318275230303</v>
      </c>
      <c r="N30" s="36" t="n">
        <v>0.3375035585462537</v>
      </c>
      <c r="O30" s="36" t="n">
        <v>0.04022450888681006</v>
      </c>
      <c r="P30" s="36" t="n">
        <v>0.02488479262672816</v>
      </c>
      <c r="Q30" s="36" t="n">
        <v>0.2287292817679558</v>
      </c>
      <c r="R30" s="36" t="n">
        <v>0.0386699047263217</v>
      </c>
      <c r="S30" s="36" t="n">
        <v>0.07373909684894908</v>
      </c>
      <c r="T30" s="36" t="n">
        <v>0.06858858858858863</v>
      </c>
      <c r="U30" s="31" t="n">
        <v>13350</v>
      </c>
      <c r="V30" s="31" t="n">
        <v>8000</v>
      </c>
      <c r="W30" s="36" t="n">
        <v>-0.1670411985018727</v>
      </c>
      <c r="X30" s="36" t="n">
        <v>0.3899999999999999</v>
      </c>
      <c r="Y30" s="31" t="n">
        <v>17780753</v>
      </c>
      <c r="Z30" s="31" t="n">
        <v>197721973360</v>
      </c>
      <c r="AA30" s="31" t="n">
        <v>10924399200</v>
      </c>
      <c r="AB30" s="31" t="n">
        <v>3046799883.5</v>
      </c>
      <c r="AC30" s="36" t="n">
        <v>0.05525131584697229</v>
      </c>
      <c r="AD30" s="29" t="inlineStr">
        <is>
          <t>yfinance_download</t>
        </is>
      </c>
      <c r="AE30" s="29" t="inlineStr">
        <is>
          <t>102120.KQ</t>
        </is>
      </c>
    </row>
    <row r="31" ht="24" customHeight="1">
      <c r="A31" s="24" t="inlineStr">
        <is>
          <t>2023-07-20</t>
        </is>
      </c>
      <c r="B31" s="30" t="n">
        <v>11120</v>
      </c>
      <c r="C31" s="30" t="n">
        <v>11130</v>
      </c>
      <c r="D31" s="30" t="n">
        <v>10740</v>
      </c>
      <c r="E31" s="30" t="n">
        <v>10990</v>
      </c>
      <c r="F31" s="30" t="n">
        <v>10843.466796875</v>
      </c>
      <c r="G31" s="30" t="n">
        <v>283227</v>
      </c>
      <c r="H31" s="35" t="n">
        <v>-0.01169064748201443</v>
      </c>
      <c r="I31" s="35" t="n">
        <v>-0.3173913043478261</v>
      </c>
      <c r="J31" s="30" t="n">
        <v>10722</v>
      </c>
      <c r="K31" s="30" t="n">
        <v>10364.5</v>
      </c>
      <c r="L31" s="30" t="n">
        <v>10420.5</v>
      </c>
      <c r="M31" s="35" t="n">
        <v>0.3602093519731289</v>
      </c>
      <c r="N31" s="35" t="n">
        <v>0.3315221022618574</v>
      </c>
      <c r="O31" s="35" t="n">
        <v>0.02999062792877227</v>
      </c>
      <c r="P31" s="35" t="n">
        <v>0.04666666666666663</v>
      </c>
      <c r="Q31" s="35" t="n">
        <v>0.1842672413793103</v>
      </c>
      <c r="R31" s="35" t="n">
        <v>0.02499533669091591</v>
      </c>
      <c r="S31" s="35" t="n">
        <v>0.06035023397173034</v>
      </c>
      <c r="T31" s="35" t="n">
        <v>0.0546518881051774</v>
      </c>
      <c r="U31" s="30" t="n">
        <v>13350</v>
      </c>
      <c r="V31" s="30" t="n">
        <v>8000</v>
      </c>
      <c r="W31" s="35" t="n">
        <v>-0.1767790262172285</v>
      </c>
      <c r="X31" s="35" t="n">
        <v>0.37375</v>
      </c>
      <c r="Y31" s="30" t="n">
        <v>17780753</v>
      </c>
      <c r="Z31" s="30" t="n">
        <v>195410475470</v>
      </c>
      <c r="AA31" s="30" t="n">
        <v>3112664730</v>
      </c>
      <c r="AB31" s="30" t="n">
        <v>2937874738</v>
      </c>
      <c r="AC31" s="35" t="n">
        <v>0.01592885295690233</v>
      </c>
      <c r="AD31" s="24" t="inlineStr">
        <is>
          <t>yfinance_download</t>
        </is>
      </c>
      <c r="AE31" s="24" t="inlineStr">
        <is>
          <t>102120.KQ</t>
        </is>
      </c>
    </row>
    <row r="32" ht="24" customHeight="1">
      <c r="A32" s="29" t="inlineStr">
        <is>
          <t>2023-07-21</t>
        </is>
      </c>
      <c r="B32" s="31" t="n">
        <v>10720</v>
      </c>
      <c r="C32" s="31" t="n">
        <v>10720</v>
      </c>
      <c r="D32" s="31" t="n">
        <v>10510</v>
      </c>
      <c r="E32" s="31" t="n">
        <v>10520</v>
      </c>
      <c r="F32" s="31" t="n">
        <v>10379.7333984375</v>
      </c>
      <c r="G32" s="31" t="n">
        <v>210720</v>
      </c>
      <c r="H32" s="36" t="n">
        <v>-0.0427661510464058</v>
      </c>
      <c r="I32" s="36" t="n">
        <v>-0.346583850931677</v>
      </c>
      <c r="J32" s="31" t="n">
        <v>10729</v>
      </c>
      <c r="K32" s="31" t="n">
        <v>10363.16666666667</v>
      </c>
      <c r="L32" s="31" t="n">
        <v>10431.25</v>
      </c>
      <c r="M32" s="36" t="n">
        <v>0.3804762865155889</v>
      </c>
      <c r="N32" s="36" t="n">
        <v>0.3428871221715967</v>
      </c>
      <c r="O32" s="36" t="n">
        <v>0.01348747591522148</v>
      </c>
      <c r="P32" s="36" t="n">
        <v>-0.007547169811320753</v>
      </c>
      <c r="Q32" s="36" t="n">
        <v>0.1397616468039002</v>
      </c>
      <c r="R32" s="36" t="n">
        <v>-0.01947991425109519</v>
      </c>
      <c r="S32" s="36" t="n">
        <v>0.01513372682095238</v>
      </c>
      <c r="T32" s="36" t="n">
        <v>0.008508088675853731</v>
      </c>
      <c r="U32" s="31" t="n">
        <v>13350</v>
      </c>
      <c r="V32" s="31" t="n">
        <v>8000</v>
      </c>
      <c r="W32" s="36" t="n">
        <v>-0.2119850187265918</v>
      </c>
      <c r="X32" s="36" t="n">
        <v>0.3149999999999999</v>
      </c>
      <c r="Y32" s="31" t="n">
        <v>17780753</v>
      </c>
      <c r="Z32" s="31" t="n">
        <v>187053521560</v>
      </c>
      <c r="AA32" s="31" t="n">
        <v>2216774400</v>
      </c>
      <c r="AB32" s="31" t="n">
        <v>2955391030</v>
      </c>
      <c r="AC32" s="36" t="n">
        <v>0.01185101665829338</v>
      </c>
      <c r="AD32" s="29" t="inlineStr">
        <is>
          <t>yfinance_download</t>
        </is>
      </c>
      <c r="AE32" s="29" t="inlineStr">
        <is>
          <t>102120.KQ</t>
        </is>
      </c>
    </row>
    <row r="33" ht="24" customHeight="1">
      <c r="A33" s="24" t="inlineStr">
        <is>
          <t>2023-07-24</t>
        </is>
      </c>
      <c r="B33" s="30" t="n">
        <v>10570</v>
      </c>
      <c r="C33" s="30" t="n">
        <v>10630</v>
      </c>
      <c r="D33" s="30" t="n">
        <v>10360</v>
      </c>
      <c r="E33" s="30" t="n">
        <v>10520</v>
      </c>
      <c r="F33" s="30" t="n">
        <v>10379.7333984375</v>
      </c>
      <c r="G33" s="30" t="n">
        <v>203992</v>
      </c>
      <c r="H33" s="35" t="n">
        <v>0</v>
      </c>
      <c r="I33" s="35" t="n">
        <v>-0.346583850931677</v>
      </c>
      <c r="J33" s="30" t="n">
        <v>10728</v>
      </c>
      <c r="K33" s="30" t="n">
        <v>10368.5</v>
      </c>
      <c r="L33" s="30" t="n">
        <v>10440.08333333333</v>
      </c>
      <c r="M33" s="35" t="n">
        <v>0.376615460031119</v>
      </c>
      <c r="N33" s="35" t="n">
        <v>0.3336991104341555</v>
      </c>
      <c r="O33" s="35" t="n">
        <v>-0.00189753320683117</v>
      </c>
      <c r="P33" s="35" t="n">
        <v>0.03137254901960795</v>
      </c>
      <c r="Q33" s="35" t="n">
        <v>0.1120507399577166</v>
      </c>
      <c r="R33" s="35" t="n">
        <v>-0.01938851603281133</v>
      </c>
      <c r="S33" s="35" t="n">
        <v>0.0146115638713411</v>
      </c>
      <c r="T33" s="35" t="n">
        <v>0.007654792027522062</v>
      </c>
      <c r="U33" s="30" t="n">
        <v>13350</v>
      </c>
      <c r="V33" s="30" t="n">
        <v>8000</v>
      </c>
      <c r="W33" s="35" t="n">
        <v>-0.2119850187265918</v>
      </c>
      <c r="X33" s="35" t="n">
        <v>0.3149999999999999</v>
      </c>
      <c r="Y33" s="30" t="n">
        <v>17780753</v>
      </c>
      <c r="Z33" s="30" t="n">
        <v>187053521560</v>
      </c>
      <c r="AA33" s="30" t="n">
        <v>2145995840</v>
      </c>
      <c r="AB33" s="30" t="n">
        <v>2992347916</v>
      </c>
      <c r="AC33" s="35" t="n">
        <v>0.0114726299836683</v>
      </c>
      <c r="AD33" s="24" t="inlineStr">
        <is>
          <t>yfinance_download</t>
        </is>
      </c>
      <c r="AE33" s="24" t="inlineStr">
        <is>
          <t>102120.KQ</t>
        </is>
      </c>
    </row>
    <row r="34" ht="24" customHeight="1">
      <c r="A34" s="29" t="inlineStr">
        <is>
          <t>2023-07-25</t>
        </is>
      </c>
      <c r="B34" s="31" t="n">
        <v>10540</v>
      </c>
      <c r="C34" s="31" t="n">
        <v>10600</v>
      </c>
      <c r="D34" s="31" t="n">
        <v>10090</v>
      </c>
      <c r="E34" s="31" t="n">
        <v>10150</v>
      </c>
      <c r="F34" s="31" t="n">
        <v>10014.6669921875</v>
      </c>
      <c r="G34" s="31" t="n">
        <v>273228</v>
      </c>
      <c r="H34" s="36" t="n">
        <v>-0.03517110266159695</v>
      </c>
      <c r="I34" s="36" t="n">
        <v>-0.3695652173913043</v>
      </c>
      <c r="J34" s="31" t="n">
        <v>10693</v>
      </c>
      <c r="K34" s="31" t="n">
        <v>10368.83333333333</v>
      </c>
      <c r="L34" s="31" t="n">
        <v>10446.66666666667</v>
      </c>
      <c r="M34" s="36" t="n">
        <v>0.3798722657093996</v>
      </c>
      <c r="N34" s="36" t="n">
        <v>0.341404736594902</v>
      </c>
      <c r="O34" s="36" t="n">
        <v>-0.06451612903225812</v>
      </c>
      <c r="P34" s="36" t="n">
        <v>0.001974333662388972</v>
      </c>
      <c r="Q34" s="36" t="n">
        <v>0.08440170940170932</v>
      </c>
      <c r="R34" s="36" t="n">
        <v>-0.05078088469091935</v>
      </c>
      <c r="S34" s="36" t="n">
        <v>-0.02110491376400436</v>
      </c>
      <c r="T34" s="36" t="n">
        <v>-0.02839821314613911</v>
      </c>
      <c r="U34" s="31" t="n">
        <v>13350</v>
      </c>
      <c r="V34" s="31" t="n">
        <v>8000</v>
      </c>
      <c r="W34" s="36" t="n">
        <v>-0.2397003745318352</v>
      </c>
      <c r="X34" s="36" t="n">
        <v>0.26875</v>
      </c>
      <c r="Y34" s="31" t="n">
        <v>17780753</v>
      </c>
      <c r="Z34" s="31" t="n">
        <v>180474642950</v>
      </c>
      <c r="AA34" s="31" t="n">
        <v>2773264200</v>
      </c>
      <c r="AB34" s="31" t="n">
        <v>3023961771</v>
      </c>
      <c r="AC34" s="36" t="n">
        <v>0.01536650331962881</v>
      </c>
      <c r="AD34" s="29" t="inlineStr">
        <is>
          <t>yfinance_download</t>
        </is>
      </c>
      <c r="AE34" s="29" t="inlineStr">
        <is>
          <t>102120.KQ</t>
        </is>
      </c>
    </row>
    <row r="35" ht="24" customHeight="1">
      <c r="A35" s="24" t="inlineStr">
        <is>
          <t>2023-07-26</t>
        </is>
      </c>
      <c r="B35" s="30" t="n">
        <v>10150</v>
      </c>
      <c r="C35" s="30" t="n">
        <v>10230</v>
      </c>
      <c r="D35" s="30" t="n">
        <v>9520</v>
      </c>
      <c r="E35" s="30" t="n">
        <v>9570</v>
      </c>
      <c r="F35" s="30" t="n">
        <v>9442.400390625</v>
      </c>
      <c r="G35" s="30" t="n">
        <v>380807</v>
      </c>
      <c r="H35" s="35" t="n">
        <v>-0.05714285714285716</v>
      </c>
      <c r="I35" s="35" t="n">
        <v>-0.4055900621118013</v>
      </c>
      <c r="J35" s="30" t="n">
        <v>10628.5</v>
      </c>
      <c r="K35" s="30" t="n">
        <v>10359</v>
      </c>
      <c r="L35" s="30" t="n">
        <v>10448.33333333333</v>
      </c>
      <c r="M35" s="35" t="n">
        <v>0.4250376259926702</v>
      </c>
      <c r="N35" s="35" t="n">
        <v>0.3610297565441047</v>
      </c>
      <c r="O35" s="35" t="n">
        <v>-0.1187845303867403</v>
      </c>
      <c r="P35" s="35" t="n">
        <v>-0.05807086614173229</v>
      </c>
      <c r="Q35" s="35" t="n">
        <v>0.02134471718249742</v>
      </c>
      <c r="R35" s="35" t="n">
        <v>-0.09959072305593453</v>
      </c>
      <c r="S35" s="35" t="n">
        <v>-0.0761656530553142</v>
      </c>
      <c r="T35" s="35" t="n">
        <v>-0.08406444408996661</v>
      </c>
      <c r="U35" s="30" t="n">
        <v>13350</v>
      </c>
      <c r="V35" s="30" t="n">
        <v>8000</v>
      </c>
      <c r="W35" s="35" t="n">
        <v>-0.2831460674157303</v>
      </c>
      <c r="X35" s="35" t="n">
        <v>0.19625</v>
      </c>
      <c r="Y35" s="30" t="n">
        <v>17780753</v>
      </c>
      <c r="Z35" s="30" t="n">
        <v>170161806210</v>
      </c>
      <c r="AA35" s="30" t="n">
        <v>3644322990</v>
      </c>
      <c r="AB35" s="30" t="n">
        <v>3126740278.5</v>
      </c>
      <c r="AC35" s="35" t="n">
        <v>0.02141680951307293</v>
      </c>
      <c r="AD35" s="24" t="inlineStr">
        <is>
          <t>yfinance_download</t>
        </is>
      </c>
      <c r="AE35" s="24" t="inlineStr">
        <is>
          <t>102120.KQ</t>
        </is>
      </c>
    </row>
    <row r="36" ht="24" customHeight="1">
      <c r="A36" s="29" t="inlineStr">
        <is>
          <t>2023-07-27</t>
        </is>
      </c>
      <c r="B36" s="31" t="n">
        <v>9470</v>
      </c>
      <c r="C36" s="31" t="n">
        <v>10280</v>
      </c>
      <c r="D36" s="31" t="n">
        <v>9470</v>
      </c>
      <c r="E36" s="31" t="n">
        <v>10160</v>
      </c>
      <c r="F36" s="31" t="n">
        <v>10024.533203125</v>
      </c>
      <c r="G36" s="31" t="n">
        <v>247014</v>
      </c>
      <c r="H36" s="36" t="n">
        <v>0.06165099268547536</v>
      </c>
      <c r="I36" s="36" t="n">
        <v>-0.368944099378882</v>
      </c>
      <c r="J36" s="31" t="n">
        <v>10596.5</v>
      </c>
      <c r="K36" s="31" t="n">
        <v>10358.66666666667</v>
      </c>
      <c r="L36" s="31" t="n">
        <v>10454.91666666667</v>
      </c>
      <c r="M36" s="36" t="n">
        <v>0.4881494449241606</v>
      </c>
      <c r="N36" s="36" t="n">
        <v>0.3829947173008232</v>
      </c>
      <c r="O36" s="36" t="n">
        <v>-0.05925925925925923</v>
      </c>
      <c r="P36" s="36" t="n">
        <v>-0.001964636542239662</v>
      </c>
      <c r="Q36" s="36" t="n">
        <v>0.08431163287086441</v>
      </c>
      <c r="R36" s="36" t="n">
        <v>-0.04119284669466339</v>
      </c>
      <c r="S36" s="36" t="n">
        <v>-0.01917878748873725</v>
      </c>
      <c r="T36" s="36" t="n">
        <v>-0.02820841868658286</v>
      </c>
      <c r="U36" s="31" t="n">
        <v>13350</v>
      </c>
      <c r="V36" s="31" t="n">
        <v>8000</v>
      </c>
      <c r="W36" s="36" t="n">
        <v>-0.2389513108614232</v>
      </c>
      <c r="X36" s="36" t="n">
        <v>0.27</v>
      </c>
      <c r="Y36" s="31" t="n">
        <v>17780753</v>
      </c>
      <c r="Z36" s="31" t="n">
        <v>180652450480</v>
      </c>
      <c r="AA36" s="31" t="n">
        <v>2509662240</v>
      </c>
      <c r="AB36" s="31" t="n">
        <v>3153102070.5</v>
      </c>
      <c r="AC36" s="36" t="n">
        <v>0.01389221255140319</v>
      </c>
      <c r="AD36" s="29" t="inlineStr">
        <is>
          <t>yfinance_download</t>
        </is>
      </c>
      <c r="AE36" s="29" t="inlineStr">
        <is>
          <t>102120.KQ</t>
        </is>
      </c>
    </row>
    <row r="37" ht="24" customHeight="1">
      <c r="A37" s="24" t="inlineStr">
        <is>
          <t>2023-07-28</t>
        </is>
      </c>
      <c r="B37" s="30" t="n">
        <v>10190</v>
      </c>
      <c r="C37" s="30" t="n">
        <v>10380</v>
      </c>
      <c r="D37" s="30" t="n">
        <v>10010</v>
      </c>
      <c r="E37" s="30" t="n">
        <v>10370</v>
      </c>
      <c r="F37" s="30" t="n">
        <v>10231.7333984375</v>
      </c>
      <c r="G37" s="30" t="n">
        <v>130745</v>
      </c>
      <c r="H37" s="35" t="n">
        <v>0.02066929133858264</v>
      </c>
      <c r="I37" s="35" t="n">
        <v>-0.3559006211180125</v>
      </c>
      <c r="J37" s="30" t="n">
        <v>10574.5</v>
      </c>
      <c r="K37" s="30" t="n">
        <v>10365</v>
      </c>
      <c r="L37" s="30" t="n">
        <v>10461.91666666667</v>
      </c>
      <c r="M37" s="35" t="n">
        <v>0.4950234767842369</v>
      </c>
      <c r="N37" s="35" t="n">
        <v>0.383179991707872</v>
      </c>
      <c r="O37" s="35" t="n">
        <v>-0.04070305272895469</v>
      </c>
      <c r="P37" s="35" t="n">
        <v>0.03803803803803807</v>
      </c>
      <c r="Q37" s="35" t="n">
        <v>0.08814270724029383</v>
      </c>
      <c r="R37" s="35" t="n">
        <v>-0.01933897583810107</v>
      </c>
      <c r="S37" s="35" t="n">
        <v>0.0004823926676313928</v>
      </c>
      <c r="T37" s="35" t="n">
        <v>-0.008785834335645948</v>
      </c>
      <c r="U37" s="30" t="n">
        <v>13350</v>
      </c>
      <c r="V37" s="30" t="n">
        <v>8000</v>
      </c>
      <c r="W37" s="35" t="n">
        <v>-0.2232209737827715</v>
      </c>
      <c r="X37" s="35" t="n">
        <v>0.2962499999999999</v>
      </c>
      <c r="Y37" s="30" t="n">
        <v>17780753</v>
      </c>
      <c r="Z37" s="30" t="n">
        <v>184386408610</v>
      </c>
      <c r="AA37" s="30" t="n">
        <v>1355825650</v>
      </c>
      <c r="AB37" s="30" t="n">
        <v>3134823052</v>
      </c>
      <c r="AC37" s="35" t="n">
        <v>0.007353175650097609</v>
      </c>
      <c r="AD37" s="24" t="inlineStr">
        <is>
          <t>yfinance_download</t>
        </is>
      </c>
      <c r="AE37" s="24" t="inlineStr">
        <is>
          <t>102120.KQ</t>
        </is>
      </c>
    </row>
    <row r="38" ht="24" customHeight="1">
      <c r="A38" s="29" t="inlineStr">
        <is>
          <t>2023-07-31</t>
        </is>
      </c>
      <c r="B38" s="31" t="n">
        <v>10430</v>
      </c>
      <c r="C38" s="31" t="n">
        <v>10430</v>
      </c>
      <c r="D38" s="31" t="n">
        <v>10130</v>
      </c>
      <c r="E38" s="31" t="n">
        <v>10170</v>
      </c>
      <c r="F38" s="31" t="n">
        <v>10034.400390625</v>
      </c>
      <c r="G38" s="31" t="n">
        <v>149702</v>
      </c>
      <c r="H38" s="36" t="n">
        <v>-0.01928640308582452</v>
      </c>
      <c r="I38" s="36" t="n">
        <v>-0.3683229813664596</v>
      </c>
      <c r="J38" s="31" t="n">
        <v>10546.5</v>
      </c>
      <c r="K38" s="31" t="n">
        <v>10365.66666666667</v>
      </c>
      <c r="L38" s="31" t="n">
        <v>10467.5</v>
      </c>
      <c r="M38" s="36" t="n">
        <v>0.4986510959229112</v>
      </c>
      <c r="N38" s="36" t="n">
        <v>0.3843906109482864</v>
      </c>
      <c r="O38" s="36" t="n">
        <v>-0.05219012115563837</v>
      </c>
      <c r="P38" s="36" t="n">
        <v>0.003948667324777944</v>
      </c>
      <c r="Q38" s="36" t="n">
        <v>0.07052631578947377</v>
      </c>
      <c r="R38" s="36" t="n">
        <v>-0.03569904707722937</v>
      </c>
      <c r="S38" s="36" t="n">
        <v>-0.0188764189471653</v>
      </c>
      <c r="T38" s="36" t="n">
        <v>-0.02842130403630283</v>
      </c>
      <c r="U38" s="31" t="n">
        <v>13350</v>
      </c>
      <c r="V38" s="31" t="n">
        <v>8000</v>
      </c>
      <c r="W38" s="36" t="n">
        <v>-0.2382022471910112</v>
      </c>
      <c r="X38" s="36" t="n">
        <v>0.27125</v>
      </c>
      <c r="Y38" s="31" t="n">
        <v>17780753</v>
      </c>
      <c r="Z38" s="31" t="n">
        <v>180830258010</v>
      </c>
      <c r="AA38" s="31" t="n">
        <v>1522469340</v>
      </c>
      <c r="AB38" s="31" t="n">
        <v>3129183919</v>
      </c>
      <c r="AC38" s="36" t="n">
        <v>0.008419328472759282</v>
      </c>
      <c r="AD38" s="29" t="inlineStr">
        <is>
          <t>yfinance_download</t>
        </is>
      </c>
      <c r="AE38" s="29" t="inlineStr">
        <is>
          <t>102120.KQ</t>
        </is>
      </c>
    </row>
    <row r="39" ht="24" customHeight="1">
      <c r="A39" s="24" t="inlineStr">
        <is>
          <t>2023-08-01</t>
        </is>
      </c>
      <c r="B39" s="30" t="n">
        <v>10210</v>
      </c>
      <c r="C39" s="30" t="n">
        <v>10220</v>
      </c>
      <c r="D39" s="30" t="n">
        <v>9910</v>
      </c>
      <c r="E39" s="30" t="n">
        <v>10060</v>
      </c>
      <c r="F39" s="30" t="n">
        <v>9925.8671875</v>
      </c>
      <c r="G39" s="30" t="n">
        <v>262554</v>
      </c>
      <c r="H39" s="35" t="n">
        <v>-0.01081612586037362</v>
      </c>
      <c r="I39" s="35" t="n">
        <v>-0.3751552795031056</v>
      </c>
      <c r="J39" s="30" t="n">
        <v>10498</v>
      </c>
      <c r="K39" s="30" t="n">
        <v>10365.16666666667</v>
      </c>
      <c r="L39" s="30" t="n">
        <v>10472.25</v>
      </c>
      <c r="M39" s="35" t="n">
        <v>0.4863834817187229</v>
      </c>
      <c r="N39" s="35" t="n">
        <v>0.3849760665910351</v>
      </c>
      <c r="O39" s="35" t="n">
        <v>-0.0879419764279239</v>
      </c>
      <c r="P39" s="35" t="n">
        <v>-0.002973240832507384</v>
      </c>
      <c r="Q39" s="35" t="n">
        <v>0.06006322444678602</v>
      </c>
      <c r="R39" s="35" t="n">
        <v>-0.04172223280624876</v>
      </c>
      <c r="S39" s="35" t="n">
        <v>-0.02944155906803225</v>
      </c>
      <c r="T39" s="35" t="n">
        <v>-0.0393659433264103</v>
      </c>
      <c r="U39" s="30" t="n">
        <v>13350</v>
      </c>
      <c r="V39" s="30" t="n">
        <v>8000</v>
      </c>
      <c r="W39" s="35" t="n">
        <v>-0.2464419475655431</v>
      </c>
      <c r="X39" s="35" t="n">
        <v>0.2575000000000001</v>
      </c>
      <c r="Y39" s="30" t="n">
        <v>17780753</v>
      </c>
      <c r="Z39" s="30" t="n">
        <v>178874375180</v>
      </c>
      <c r="AA39" s="30" t="n">
        <v>2641293240</v>
      </c>
      <c r="AB39" s="30" t="n">
        <v>3114642784.5</v>
      </c>
      <c r="AC39" s="35" t="n">
        <v>0.01476619128559966</v>
      </c>
      <c r="AD39" s="24" t="inlineStr">
        <is>
          <t>yfinance_download</t>
        </is>
      </c>
      <c r="AE39" s="24" t="inlineStr">
        <is>
          <t>102120.KQ</t>
        </is>
      </c>
    </row>
    <row r="40" ht="24" customHeight="1">
      <c r="A40" s="29" t="inlineStr">
        <is>
          <t>2023-08-02</t>
        </is>
      </c>
      <c r="B40" s="31" t="n">
        <v>10070</v>
      </c>
      <c r="C40" s="31" t="n">
        <v>10140</v>
      </c>
      <c r="D40" s="31" t="n">
        <v>9700</v>
      </c>
      <c r="E40" s="31" t="n">
        <v>9800</v>
      </c>
      <c r="F40" s="31" t="n">
        <v>9669.3330078125</v>
      </c>
      <c r="G40" s="31" t="n">
        <v>216010</v>
      </c>
      <c r="H40" s="36" t="n">
        <v>-0.02584493041749503</v>
      </c>
      <c r="I40" s="36" t="n">
        <v>-0.3913043478260869</v>
      </c>
      <c r="J40" s="31" t="n">
        <v>10428</v>
      </c>
      <c r="K40" s="31" t="n">
        <v>10364.33333333333</v>
      </c>
      <c r="L40" s="31" t="n">
        <v>10473.5</v>
      </c>
      <c r="M40" s="36" t="n">
        <v>0.4864266298973041</v>
      </c>
      <c r="N40" s="36" t="n">
        <v>0.385547581096526</v>
      </c>
      <c r="O40" s="36" t="n">
        <v>-0.125</v>
      </c>
      <c r="P40" s="36" t="n">
        <v>-0.005076142131979711</v>
      </c>
      <c r="Q40" s="36" t="n">
        <v>0.01554404145077726</v>
      </c>
      <c r="R40" s="36" t="n">
        <v>-0.06022247794399693</v>
      </c>
      <c r="S40" s="36" t="n">
        <v>-0.05444955456212019</v>
      </c>
      <c r="T40" s="36" t="n">
        <v>-0.06430515109562229</v>
      </c>
      <c r="U40" s="31" t="n">
        <v>13350</v>
      </c>
      <c r="V40" s="31" t="n">
        <v>8000</v>
      </c>
      <c r="W40" s="36" t="n">
        <v>-0.2659176029962547</v>
      </c>
      <c r="X40" s="36" t="n">
        <v>0.2250000000000001</v>
      </c>
      <c r="Y40" s="31" t="n">
        <v>17780753</v>
      </c>
      <c r="Z40" s="31" t="n">
        <v>174251379400</v>
      </c>
      <c r="AA40" s="31" t="n">
        <v>2116898000</v>
      </c>
      <c r="AB40" s="31" t="n">
        <v>3088523124.5</v>
      </c>
      <c r="AC40" s="36" t="n">
        <v>0.01214852936768201</v>
      </c>
      <c r="AD40" s="29" t="inlineStr">
        <is>
          <t>yfinance_download</t>
        </is>
      </c>
      <c r="AE40" s="29" t="inlineStr">
        <is>
          <t>102120.KQ</t>
        </is>
      </c>
    </row>
    <row r="41" ht="24" customHeight="1">
      <c r="A41" s="24" t="inlineStr">
        <is>
          <t>2023-08-03</t>
        </is>
      </c>
      <c r="B41" s="30" t="n">
        <v>9730</v>
      </c>
      <c r="C41" s="30" t="n">
        <v>9800</v>
      </c>
      <c r="D41" s="30" t="n">
        <v>9560</v>
      </c>
      <c r="E41" s="30" t="n">
        <v>9770</v>
      </c>
      <c r="F41" s="30" t="n">
        <v>9639.7333984375</v>
      </c>
      <c r="G41" s="30" t="n">
        <v>129430</v>
      </c>
      <c r="H41" s="35" t="n">
        <v>-0.003061224489795955</v>
      </c>
      <c r="I41" s="35" t="n">
        <v>-0.393167701863354</v>
      </c>
      <c r="J41" s="30" t="n">
        <v>10376.5</v>
      </c>
      <c r="K41" s="30" t="n">
        <v>10360.66666666667</v>
      </c>
      <c r="L41" s="30" t="n">
        <v>10473.91666666667</v>
      </c>
      <c r="M41" s="35" t="n">
        <v>0.4738027681595397</v>
      </c>
      <c r="N41" s="35" t="n">
        <v>0.3844905730658615</v>
      </c>
      <c r="O41" s="35" t="n">
        <v>-0.09537037037037033</v>
      </c>
      <c r="P41" s="35" t="n">
        <v>-0.02202202202202197</v>
      </c>
      <c r="Q41" s="35" t="n">
        <v>0.005144032921810648</v>
      </c>
      <c r="R41" s="35" t="n">
        <v>-0.05844938081241269</v>
      </c>
      <c r="S41" s="35" t="n">
        <v>-0.05701048838556066</v>
      </c>
      <c r="T41" s="35" t="n">
        <v>-0.06720663234861202</v>
      </c>
      <c r="U41" s="30" t="n">
        <v>13350</v>
      </c>
      <c r="V41" s="30" t="n">
        <v>8000</v>
      </c>
      <c r="W41" s="35" t="n">
        <v>-0.2681647940074906</v>
      </c>
      <c r="X41" s="35" t="n">
        <v>0.2212499999999999</v>
      </c>
      <c r="Y41" s="30" t="n">
        <v>17780753</v>
      </c>
      <c r="Z41" s="30" t="n">
        <v>173717956810</v>
      </c>
      <c r="AA41" s="30" t="n">
        <v>1264531100</v>
      </c>
      <c r="AB41" s="30" t="n">
        <v>2962135699.5</v>
      </c>
      <c r="AC41" s="35" t="n">
        <v>0.007279219277158847</v>
      </c>
      <c r="AD41" s="24" t="inlineStr">
        <is>
          <t>yfinance_download</t>
        </is>
      </c>
      <c r="AE41" s="24" t="inlineStr">
        <is>
          <t>102120.KQ</t>
        </is>
      </c>
    </row>
    <row r="42" ht="24" customHeight="1">
      <c r="A42" s="29" t="inlineStr">
        <is>
          <t>2023-08-04</t>
        </is>
      </c>
      <c r="B42" s="31" t="n">
        <v>9760</v>
      </c>
      <c r="C42" s="31" t="n">
        <v>9800</v>
      </c>
      <c r="D42" s="31" t="n">
        <v>9630</v>
      </c>
      <c r="E42" s="31" t="n">
        <v>9710</v>
      </c>
      <c r="F42" s="31" t="n">
        <v>9580.533203125</v>
      </c>
      <c r="G42" s="31" t="n">
        <v>78123</v>
      </c>
      <c r="H42" s="36" t="n">
        <v>-0.0061412487205732</v>
      </c>
      <c r="I42" s="36" t="n">
        <v>-0.3968944099378882</v>
      </c>
      <c r="J42" s="31" t="n">
        <v>10339.5</v>
      </c>
      <c r="K42" s="31" t="n">
        <v>10359.16666666667</v>
      </c>
      <c r="L42" s="31" t="n">
        <v>10473.58333333333</v>
      </c>
      <c r="M42" s="36" t="n">
        <v>0.4623753993417556</v>
      </c>
      <c r="N42" s="36" t="n">
        <v>0.3826833038870555</v>
      </c>
      <c r="O42" s="36" t="n">
        <v>-0.07081339712918655</v>
      </c>
      <c r="P42" s="36" t="n">
        <v>-0.009183673469387754</v>
      </c>
      <c r="Q42" s="36" t="n">
        <v>-0.004102564102564155</v>
      </c>
      <c r="R42" s="36" t="n">
        <v>-0.0608830214226993</v>
      </c>
      <c r="S42" s="36" t="n">
        <v>-0.06266591585552239</v>
      </c>
      <c r="T42" s="36" t="n">
        <v>-0.07290564356356877</v>
      </c>
      <c r="U42" s="31" t="n">
        <v>13350</v>
      </c>
      <c r="V42" s="31" t="n">
        <v>8000</v>
      </c>
      <c r="W42" s="36" t="n">
        <v>-0.2726591760299626</v>
      </c>
      <c r="X42" s="36" t="n">
        <v>0.2137500000000001</v>
      </c>
      <c r="Y42" s="31" t="n">
        <v>17780753</v>
      </c>
      <c r="Z42" s="31" t="n">
        <v>172651111630</v>
      </c>
      <c r="AA42" s="31" t="n">
        <v>758574330</v>
      </c>
      <c r="AB42" s="31" t="n">
        <v>2893387681</v>
      </c>
      <c r="AC42" s="36" t="n">
        <v>0.004393683439615859</v>
      </c>
      <c r="AD42" s="29" t="inlineStr">
        <is>
          <t>yfinance_download</t>
        </is>
      </c>
      <c r="AE42" s="29" t="inlineStr">
        <is>
          <t>102120.KQ</t>
        </is>
      </c>
    </row>
    <row r="43" ht="24" customHeight="1">
      <c r="A43" s="24" t="inlineStr">
        <is>
          <t>2023-08-07</t>
        </is>
      </c>
      <c r="B43" s="30" t="n">
        <v>9520</v>
      </c>
      <c r="C43" s="30" t="n">
        <v>9740</v>
      </c>
      <c r="D43" s="30" t="n">
        <v>9500</v>
      </c>
      <c r="E43" s="30" t="n">
        <v>9640</v>
      </c>
      <c r="F43" s="30" t="n">
        <v>9511.466796875</v>
      </c>
      <c r="G43" s="30" t="n">
        <v>77885</v>
      </c>
      <c r="H43" s="35" t="n">
        <v>-0.007209062821833201</v>
      </c>
      <c r="I43" s="35" t="n">
        <v>-0.4012422360248448</v>
      </c>
      <c r="J43" s="30" t="n">
        <v>10307</v>
      </c>
      <c r="K43" s="30" t="n">
        <v>10359.33333333333</v>
      </c>
      <c r="L43" s="30" t="n">
        <v>10474.58333333333</v>
      </c>
      <c r="M43" s="35" t="n">
        <v>0.4604659275225301</v>
      </c>
      <c r="N43" s="35" t="n">
        <v>0.3812670564492106</v>
      </c>
      <c r="O43" s="35" t="n">
        <v>-0.06316812439261421</v>
      </c>
      <c r="P43" s="35" t="n">
        <v>0.001038421599169226</v>
      </c>
      <c r="Q43" s="35" t="n">
        <v>0.01260504201680668</v>
      </c>
      <c r="R43" s="35" t="n">
        <v>-0.06471330163966238</v>
      </c>
      <c r="S43" s="35" t="n">
        <v>-0.06943818778557187</v>
      </c>
      <c r="T43" s="35" t="n">
        <v>-0.07967699590278055</v>
      </c>
      <c r="U43" s="30" t="n">
        <v>13350</v>
      </c>
      <c r="V43" s="30" t="n">
        <v>8000</v>
      </c>
      <c r="W43" s="35" t="n">
        <v>-0.2779026217228464</v>
      </c>
      <c r="X43" s="35" t="n">
        <v>0.2050000000000001</v>
      </c>
      <c r="Y43" s="30" t="n">
        <v>17780753</v>
      </c>
      <c r="Z43" s="30" t="n">
        <v>171406458920</v>
      </c>
      <c r="AA43" s="30" t="n">
        <v>750811400</v>
      </c>
      <c r="AB43" s="30" t="n">
        <v>2840632986.5</v>
      </c>
      <c r="AC43" s="35" t="n">
        <v>0.00438029817972276</v>
      </c>
      <c r="AD43" s="24" t="inlineStr">
        <is>
          <t>yfinance_download</t>
        </is>
      </c>
      <c r="AE43" s="24" t="inlineStr">
        <is>
          <t>102120.KQ</t>
        </is>
      </c>
    </row>
    <row r="44" ht="24" customHeight="1">
      <c r="A44" s="29" t="inlineStr">
        <is>
          <t>2023-08-08</t>
        </is>
      </c>
      <c r="B44" s="31" t="n">
        <v>9680</v>
      </c>
      <c r="C44" s="31" t="n">
        <v>9720</v>
      </c>
      <c r="D44" s="31" t="n">
        <v>9400</v>
      </c>
      <c r="E44" s="31" t="n">
        <v>9480</v>
      </c>
      <c r="F44" s="31" t="n">
        <v>9353.6005859375</v>
      </c>
      <c r="G44" s="31" t="n">
        <v>120203</v>
      </c>
      <c r="H44" s="36" t="n">
        <v>-0.01659751037344404</v>
      </c>
      <c r="I44" s="36" t="n">
        <v>-0.4111801242236025</v>
      </c>
      <c r="J44" s="31" t="n">
        <v>10281</v>
      </c>
      <c r="K44" s="31" t="n">
        <v>10356</v>
      </c>
      <c r="L44" s="31" t="n">
        <v>10474.41666666667</v>
      </c>
      <c r="M44" s="36" t="n">
        <v>0.4538033451928533</v>
      </c>
      <c r="N44" s="36" t="n">
        <v>0.3826853157808822</v>
      </c>
      <c r="O44" s="36" t="n">
        <v>-0.05200000000000005</v>
      </c>
      <c r="P44" s="36" t="n">
        <v>-0.02066115702479343</v>
      </c>
      <c r="Q44" s="36" t="n">
        <v>-0.002105263157894721</v>
      </c>
      <c r="R44" s="36" t="n">
        <v>-0.07791070907499276</v>
      </c>
      <c r="S44" s="36" t="n">
        <v>-0.08458864426419466</v>
      </c>
      <c r="T44" s="36" t="n">
        <v>-0.09493766558201322</v>
      </c>
      <c r="U44" s="31" t="n">
        <v>13350</v>
      </c>
      <c r="V44" s="31" t="n">
        <v>8000</v>
      </c>
      <c r="W44" s="36" t="n">
        <v>-0.2898876404494382</v>
      </c>
      <c r="X44" s="36" t="n">
        <v>0.1850000000000001</v>
      </c>
      <c r="Y44" s="31" t="n">
        <v>17780753</v>
      </c>
      <c r="Z44" s="31" t="n">
        <v>168561538440</v>
      </c>
      <c r="AA44" s="31" t="n">
        <v>1139524440</v>
      </c>
      <c r="AB44" s="31" t="n">
        <v>2809532208.5</v>
      </c>
      <c r="AC44" s="36" t="n">
        <v>0.006760287373656223</v>
      </c>
      <c r="AD44" s="29" t="inlineStr">
        <is>
          <t>yfinance_download</t>
        </is>
      </c>
      <c r="AE44" s="29" t="inlineStr">
        <is>
          <t>102120.KQ</t>
        </is>
      </c>
    </row>
    <row r="45" ht="24" customHeight="1">
      <c r="A45" s="24" t="inlineStr">
        <is>
          <t>2023-08-09</t>
        </is>
      </c>
      <c r="B45" s="30" t="n">
        <v>9520</v>
      </c>
      <c r="C45" s="30" t="n">
        <v>9620</v>
      </c>
      <c r="D45" s="30" t="n">
        <v>9390</v>
      </c>
      <c r="E45" s="30" t="n">
        <v>9600</v>
      </c>
      <c r="F45" s="30" t="n">
        <v>9472</v>
      </c>
      <c r="G45" s="30" t="n">
        <v>52989</v>
      </c>
      <c r="H45" s="35" t="n">
        <v>0.01265822784810133</v>
      </c>
      <c r="I45" s="35" t="n">
        <v>-0.4037267080745341</v>
      </c>
      <c r="J45" s="30" t="n">
        <v>10245</v>
      </c>
      <c r="K45" s="30" t="n">
        <v>10355.5</v>
      </c>
      <c r="L45" s="30" t="n">
        <v>10464.58333333333</v>
      </c>
      <c r="M45" s="35" t="n">
        <v>0.4393902751506926</v>
      </c>
      <c r="N45" s="35" t="n">
        <v>0.3834129606896811</v>
      </c>
      <c r="O45" s="35" t="n">
        <v>-0.06976744186046513</v>
      </c>
      <c r="P45" s="35" t="n">
        <v>-0.003115264797507789</v>
      </c>
      <c r="Q45" s="35" t="n">
        <v>-0.1094619666048238</v>
      </c>
      <c r="R45" s="35" t="n">
        <v>-0.06295754026354317</v>
      </c>
      <c r="S45" s="35" t="n">
        <v>-0.07295639998068659</v>
      </c>
      <c r="T45" s="35" t="n">
        <v>-0.08261994823810481</v>
      </c>
      <c r="U45" s="30" t="n">
        <v>13350</v>
      </c>
      <c r="V45" s="30" t="n">
        <v>8000</v>
      </c>
      <c r="W45" s="35" t="n">
        <v>-0.2808988764044944</v>
      </c>
      <c r="X45" s="35" t="n">
        <v>0.2</v>
      </c>
      <c r="Y45" s="30" t="n">
        <v>17780753</v>
      </c>
      <c r="Z45" s="30" t="n">
        <v>170695228800</v>
      </c>
      <c r="AA45" s="30" t="n">
        <v>508694400</v>
      </c>
      <c r="AB45" s="30" t="n">
        <v>2791045008.5</v>
      </c>
      <c r="AC45" s="35" t="n">
        <v>0.00298013250619926</v>
      </c>
      <c r="AD45" s="24" t="inlineStr">
        <is>
          <t>yfinance_download</t>
        </is>
      </c>
      <c r="AE45" s="24" t="inlineStr">
        <is>
          <t>102120.KQ</t>
        </is>
      </c>
    </row>
    <row r="46" ht="24" customHeight="1">
      <c r="A46" s="29" t="inlineStr">
        <is>
          <t>2023-08-10</t>
        </is>
      </c>
      <c r="B46" s="31" t="n">
        <v>9550</v>
      </c>
      <c r="C46" s="31" t="n">
        <v>9580</v>
      </c>
      <c r="D46" s="31" t="n">
        <v>9370</v>
      </c>
      <c r="E46" s="31" t="n">
        <v>9440</v>
      </c>
      <c r="F46" s="31" t="n">
        <v>9314.1337890625</v>
      </c>
      <c r="G46" s="31" t="n">
        <v>80480</v>
      </c>
      <c r="H46" s="36" t="n">
        <v>-0.01666666666666672</v>
      </c>
      <c r="I46" s="36" t="n">
        <v>-0.4136645962732919</v>
      </c>
      <c r="J46" s="31" t="n">
        <v>10181.5</v>
      </c>
      <c r="K46" s="31" t="n">
        <v>10354.83333333333</v>
      </c>
      <c r="L46" s="31" t="n">
        <v>10451.08333333333</v>
      </c>
      <c r="M46" s="36" t="n">
        <v>0.4137035726244784</v>
      </c>
      <c r="N46" s="36" t="n">
        <v>0.3836114547142817</v>
      </c>
      <c r="O46" s="36" t="n">
        <v>-0.1185807656395892</v>
      </c>
      <c r="P46" s="36" t="n">
        <v>-0.00421940928270037</v>
      </c>
      <c r="Q46" s="36" t="n">
        <v>-0.1464737793851718</v>
      </c>
      <c r="R46" s="36" t="n">
        <v>-0.07282816873741593</v>
      </c>
      <c r="S46" s="36" t="n">
        <v>-0.08834843631798361</v>
      </c>
      <c r="T46" s="36" t="n">
        <v>-0.09674435664564285</v>
      </c>
      <c r="U46" s="31" t="n">
        <v>13350</v>
      </c>
      <c r="V46" s="31" t="n">
        <v>8000</v>
      </c>
      <c r="W46" s="36" t="n">
        <v>-0.2928838951310861</v>
      </c>
      <c r="X46" s="36" t="n">
        <v>0.1799999999999999</v>
      </c>
      <c r="Y46" s="31" t="n">
        <v>17780753</v>
      </c>
      <c r="Z46" s="31" t="n">
        <v>167850308320</v>
      </c>
      <c r="AA46" s="31" t="n">
        <v>759731200</v>
      </c>
      <c r="AB46" s="31" t="n">
        <v>2610517045</v>
      </c>
      <c r="AC46" s="36" t="n">
        <v>0.004526242505027768</v>
      </c>
      <c r="AD46" s="29" t="inlineStr">
        <is>
          <t>yfinance_download</t>
        </is>
      </c>
      <c r="AE46" s="29" t="inlineStr">
        <is>
          <t>102120.KQ</t>
        </is>
      </c>
    </row>
    <row r="47" ht="24" customHeight="1">
      <c r="A47" s="24" t="inlineStr">
        <is>
          <t>2023-08-11</t>
        </is>
      </c>
      <c r="B47" s="30" t="n">
        <v>9440</v>
      </c>
      <c r="C47" s="30" t="n">
        <v>9700</v>
      </c>
      <c r="D47" s="30" t="n">
        <v>9440</v>
      </c>
      <c r="E47" s="30" t="n">
        <v>9600</v>
      </c>
      <c r="F47" s="30" t="n">
        <v>9472</v>
      </c>
      <c r="G47" s="30" t="n">
        <v>64178</v>
      </c>
      <c r="H47" s="35" t="n">
        <v>0.01694915254237284</v>
      </c>
      <c r="I47" s="35" t="n">
        <v>-0.4037267080745341</v>
      </c>
      <c r="J47" s="30" t="n">
        <v>10125</v>
      </c>
      <c r="K47" s="30" t="n">
        <v>10358.33333333333</v>
      </c>
      <c r="L47" s="30" t="n">
        <v>10439.41666666667</v>
      </c>
      <c r="M47" s="35" t="n">
        <v>0.4208938805351354</v>
      </c>
      <c r="N47" s="35" t="n">
        <v>0.3845794085314622</v>
      </c>
      <c r="O47" s="35" t="n">
        <v>-0.1053122087604846</v>
      </c>
      <c r="P47" s="35" t="n">
        <v>0.02236421725239612</v>
      </c>
      <c r="Q47" s="35" t="n">
        <v>-0.1272727272727273</v>
      </c>
      <c r="R47" s="35" t="n">
        <v>-0.05185185185185182</v>
      </c>
      <c r="S47" s="35" t="n">
        <v>-0.07320997586484312</v>
      </c>
      <c r="T47" s="35" t="n">
        <v>-0.08040838808043227</v>
      </c>
      <c r="U47" s="30" t="n">
        <v>13350</v>
      </c>
      <c r="V47" s="30" t="n">
        <v>8000</v>
      </c>
      <c r="W47" s="35" t="n">
        <v>-0.2808988764044944</v>
      </c>
      <c r="X47" s="35" t="n">
        <v>0.2</v>
      </c>
      <c r="Y47" s="30" t="n">
        <v>17780753</v>
      </c>
      <c r="Z47" s="30" t="n">
        <v>170695228800</v>
      </c>
      <c r="AA47" s="30" t="n">
        <v>616108800</v>
      </c>
      <c r="AB47" s="30" t="n">
        <v>2444402842.5</v>
      </c>
      <c r="AC47" s="35" t="n">
        <v>0.003609408442938272</v>
      </c>
      <c r="AD47" s="24" t="inlineStr">
        <is>
          <t>yfinance_download</t>
        </is>
      </c>
      <c r="AE47" s="24" t="inlineStr">
        <is>
          <t>102120.KQ</t>
        </is>
      </c>
    </row>
    <row r="48" ht="24" customHeight="1">
      <c r="A48" s="29" t="inlineStr">
        <is>
          <t>2023-08-14</t>
        </is>
      </c>
      <c r="B48" s="31" t="n">
        <v>9600</v>
      </c>
      <c r="C48" s="31" t="n">
        <v>9620</v>
      </c>
      <c r="D48" s="31" t="n">
        <v>9380</v>
      </c>
      <c r="E48" s="31" t="n">
        <v>9400</v>
      </c>
      <c r="F48" s="31" t="n">
        <v>9274.6669921875</v>
      </c>
      <c r="G48" s="31" t="n">
        <v>58127</v>
      </c>
      <c r="H48" s="36" t="n">
        <v>-0.02083333333333337</v>
      </c>
      <c r="I48" s="36" t="n">
        <v>-0.4161490683229814</v>
      </c>
      <c r="J48" s="31" t="n">
        <v>10047.5</v>
      </c>
      <c r="K48" s="31" t="n">
        <v>10355.16666666667</v>
      </c>
      <c r="L48" s="31" t="n">
        <v>10428.58333333333</v>
      </c>
      <c r="M48" s="36" t="n">
        <v>0.4128938830442794</v>
      </c>
      <c r="N48" s="36" t="n">
        <v>0.3846131925101927</v>
      </c>
      <c r="O48" s="36" t="n">
        <v>-0.1415525114155252</v>
      </c>
      <c r="P48" s="36" t="n">
        <v>-0.01981230448383731</v>
      </c>
      <c r="Q48" s="36" t="n">
        <v>-0.1214953271028038</v>
      </c>
      <c r="R48" s="36" t="n">
        <v>-0.06444389151530228</v>
      </c>
      <c r="S48" s="36" t="n">
        <v>-0.09224058843411498</v>
      </c>
      <c r="T48" s="36" t="n">
        <v>-0.09863116594615762</v>
      </c>
      <c r="U48" s="31" t="n">
        <v>13350</v>
      </c>
      <c r="V48" s="31" t="n">
        <v>8000</v>
      </c>
      <c r="W48" s="36" t="n">
        <v>-0.295880149812734</v>
      </c>
      <c r="X48" s="36" t="n">
        <v>0.175</v>
      </c>
      <c r="Y48" s="31" t="n">
        <v>17780753</v>
      </c>
      <c r="Z48" s="31" t="n">
        <v>167139078200</v>
      </c>
      <c r="AA48" s="31" t="n">
        <v>546393800</v>
      </c>
      <c r="AB48" s="31" t="n">
        <v>2188944805</v>
      </c>
      <c r="AC48" s="36" t="n">
        <v>0.003269096646244397</v>
      </c>
      <c r="AD48" s="29" t="inlineStr">
        <is>
          <t>yfinance_download</t>
        </is>
      </c>
      <c r="AE48" s="29" t="inlineStr">
        <is>
          <t>102120.KQ</t>
        </is>
      </c>
    </row>
    <row r="49" ht="24" customHeight="1">
      <c r="A49" s="24" t="inlineStr">
        <is>
          <t>2023-08-16</t>
        </is>
      </c>
      <c r="B49" s="30" t="n">
        <v>9160</v>
      </c>
      <c r="C49" s="30" t="n">
        <v>9340</v>
      </c>
      <c r="D49" s="30" t="n">
        <v>8910</v>
      </c>
      <c r="E49" s="30" t="n">
        <v>8980</v>
      </c>
      <c r="F49" s="30" t="n">
        <v>8860.2666015625</v>
      </c>
      <c r="G49" s="30" t="n">
        <v>173356</v>
      </c>
      <c r="H49" s="35" t="n">
        <v>-0.0446808510638298</v>
      </c>
      <c r="I49" s="35" t="n">
        <v>-0.4422360248447205</v>
      </c>
      <c r="J49" s="30" t="n">
        <v>9952.5</v>
      </c>
      <c r="K49" s="30" t="n">
        <v>10338</v>
      </c>
      <c r="L49" s="30" t="n">
        <v>10415</v>
      </c>
      <c r="M49" s="35" t="n">
        <v>0.433647157974019</v>
      </c>
      <c r="N49" s="35" t="n">
        <v>0.3842783617928152</v>
      </c>
      <c r="O49" s="35" t="n">
        <v>-0.1746323529411765</v>
      </c>
      <c r="P49" s="35" t="n">
        <v>-0.1028971028971029</v>
      </c>
      <c r="Q49" s="35" t="n">
        <v>-0.1536286522148916</v>
      </c>
      <c r="R49" s="35" t="n">
        <v>-0.09771414217533281</v>
      </c>
      <c r="S49" s="35" t="n">
        <v>-0.1313600309537628</v>
      </c>
      <c r="T49" s="35" t="n">
        <v>-0.1377820451272204</v>
      </c>
      <c r="U49" s="30" t="n">
        <v>13350</v>
      </c>
      <c r="V49" s="30" t="n">
        <v>8000</v>
      </c>
      <c r="W49" s="35" t="n">
        <v>-0.3273408239700375</v>
      </c>
      <c r="X49" s="35" t="n">
        <v>0.1225000000000001</v>
      </c>
      <c r="Y49" s="30" t="n">
        <v>17780753</v>
      </c>
      <c r="Z49" s="30" t="n">
        <v>159671161940</v>
      </c>
      <c r="AA49" s="30" t="n">
        <v>1556736880</v>
      </c>
      <c r="AB49" s="30" t="n">
        <v>2143233809</v>
      </c>
      <c r="AC49" s="35" t="n">
        <v>0.009749643336252407</v>
      </c>
      <c r="AD49" s="24" t="inlineStr">
        <is>
          <t>yfinance_download</t>
        </is>
      </c>
      <c r="AE49" s="24" t="inlineStr">
        <is>
          <t>102120.KQ</t>
        </is>
      </c>
    </row>
    <row r="50" ht="24" customHeight="1">
      <c r="A50" s="29" t="inlineStr">
        <is>
          <t>2023-08-17</t>
        </is>
      </c>
      <c r="B50" s="31" t="n">
        <v>8850</v>
      </c>
      <c r="C50" s="31" t="n">
        <v>8980</v>
      </c>
      <c r="D50" s="31" t="n">
        <v>8580</v>
      </c>
      <c r="E50" s="31" t="n">
        <v>8900</v>
      </c>
      <c r="F50" s="31" t="n">
        <v>8781.3330078125</v>
      </c>
      <c r="G50" s="31" t="n">
        <v>119907</v>
      </c>
      <c r="H50" s="36" t="n">
        <v>-0.008908685968819552</v>
      </c>
      <c r="I50" s="36" t="n">
        <v>-0.4472049689440993</v>
      </c>
      <c r="J50" s="31" t="n">
        <v>9841.5</v>
      </c>
      <c r="K50" s="31" t="n">
        <v>10312.16666666667</v>
      </c>
      <c r="L50" s="31" t="n">
        <v>10400</v>
      </c>
      <c r="M50" s="36" t="n">
        <v>0.4176824447989166</v>
      </c>
      <c r="N50" s="36" t="n">
        <v>0.372653630224184</v>
      </c>
      <c r="O50" s="36" t="n">
        <v>-0.1996402877697842</v>
      </c>
      <c r="P50" s="36" t="n">
        <v>-0.1483253588516746</v>
      </c>
      <c r="Q50" s="36" t="n">
        <v>-0.1682242990654206</v>
      </c>
      <c r="R50" s="36" t="n">
        <v>-0.0956663110298227</v>
      </c>
      <c r="S50" s="36" t="n">
        <v>-0.1369418001389944</v>
      </c>
      <c r="T50" s="36" t="n">
        <v>-0.1442307692307693</v>
      </c>
      <c r="U50" s="31" t="n">
        <v>13350</v>
      </c>
      <c r="V50" s="31" t="n">
        <v>8000</v>
      </c>
      <c r="W50" s="36" t="n">
        <v>-0.3333333333333334</v>
      </c>
      <c r="X50" s="36" t="n">
        <v>0.1125</v>
      </c>
      <c r="Y50" s="31" t="n">
        <v>17780753</v>
      </c>
      <c r="Z50" s="31" t="n">
        <v>158248701700</v>
      </c>
      <c r="AA50" s="31" t="n">
        <v>1067172300</v>
      </c>
      <c r="AB50" s="31" t="n">
        <v>1650372464</v>
      </c>
      <c r="AC50" s="36" t="n">
        <v>0.006743640159671528</v>
      </c>
      <c r="AD50" s="29" t="inlineStr">
        <is>
          <t>yfinance_download</t>
        </is>
      </c>
      <c r="AE50" s="29" t="inlineStr">
        <is>
          <t>102120.KQ</t>
        </is>
      </c>
    </row>
    <row r="51" ht="24" customHeight="1">
      <c r="A51" s="24" t="inlineStr">
        <is>
          <t>2023-08-18</t>
        </is>
      </c>
      <c r="B51" s="30" t="n">
        <v>8900</v>
      </c>
      <c r="C51" s="30" t="n">
        <v>9140</v>
      </c>
      <c r="D51" s="30" t="n">
        <v>8630</v>
      </c>
      <c r="E51" s="30" t="n">
        <v>8970</v>
      </c>
      <c r="F51" s="30" t="n">
        <v>8850.400390625</v>
      </c>
      <c r="G51" s="30" t="n">
        <v>94305</v>
      </c>
      <c r="H51" s="35" t="n">
        <v>0.00786516853932584</v>
      </c>
      <c r="I51" s="35" t="n">
        <v>-0.4428571428571428</v>
      </c>
      <c r="J51" s="30" t="n">
        <v>9740.5</v>
      </c>
      <c r="K51" s="30" t="n">
        <v>10292</v>
      </c>
      <c r="L51" s="30" t="n">
        <v>10386.58333333333</v>
      </c>
      <c r="M51" s="35" t="n">
        <v>0.4228314220293115</v>
      </c>
      <c r="N51" s="35" t="n">
        <v>0.3699921799512374</v>
      </c>
      <c r="O51" s="35" t="n">
        <v>-0.183803457688808</v>
      </c>
      <c r="P51" s="35" t="n">
        <v>-0.118860510805501</v>
      </c>
      <c r="Q51" s="35" t="n">
        <v>-0.1521739130434783</v>
      </c>
      <c r="R51" s="35" t="n">
        <v>-0.07910271546635184</v>
      </c>
      <c r="S51" s="35" t="n">
        <v>-0.1284492809949476</v>
      </c>
      <c r="T51" s="35" t="n">
        <v>-0.1363858824284534</v>
      </c>
      <c r="U51" s="30" t="n">
        <v>13350</v>
      </c>
      <c r="V51" s="30" t="n">
        <v>8000</v>
      </c>
      <c r="W51" s="35" t="n">
        <v>-0.3280898876404494</v>
      </c>
      <c r="X51" s="35" t="n">
        <v>0.1212500000000001</v>
      </c>
      <c r="Y51" s="30" t="n">
        <v>17780753</v>
      </c>
      <c r="Z51" s="30" t="n">
        <v>159493354410</v>
      </c>
      <c r="AA51" s="30" t="n">
        <v>845915850</v>
      </c>
      <c r="AB51" s="30" t="n">
        <v>1537035020</v>
      </c>
      <c r="AC51" s="35" t="n">
        <v>0.005303768631171019</v>
      </c>
      <c r="AD51" s="24" t="inlineStr">
        <is>
          <t>yfinance_download</t>
        </is>
      </c>
      <c r="AE51" s="24" t="inlineStr">
        <is>
          <t>102120.KQ</t>
        </is>
      </c>
    </row>
    <row r="52" ht="24" customHeight="1">
      <c r="A52" s="29" t="inlineStr">
        <is>
          <t>2023-08-21</t>
        </is>
      </c>
      <c r="B52" s="31" t="n">
        <v>8870</v>
      </c>
      <c r="C52" s="31" t="n">
        <v>9100</v>
      </c>
      <c r="D52" s="31" t="n">
        <v>8870</v>
      </c>
      <c r="E52" s="31" t="n">
        <v>9050</v>
      </c>
      <c r="F52" s="31" t="n">
        <v>8929.3330078125</v>
      </c>
      <c r="G52" s="31" t="n">
        <v>68815</v>
      </c>
      <c r="H52" s="36" t="n">
        <v>0.008918617614269708</v>
      </c>
      <c r="I52" s="36" t="n">
        <v>-0.437888198757764</v>
      </c>
      <c r="J52" s="31" t="n">
        <v>9667</v>
      </c>
      <c r="K52" s="31" t="n">
        <v>10274.66666666667</v>
      </c>
      <c r="L52" s="31" t="n">
        <v>10374.08333333333</v>
      </c>
      <c r="M52" s="36" t="n">
        <v>0.4089039937418037</v>
      </c>
      <c r="N52" s="36" t="n">
        <v>0.3703468508034037</v>
      </c>
      <c r="O52" s="36" t="n">
        <v>-0.1397338403041825</v>
      </c>
      <c r="P52" s="36" t="n">
        <v>-0.1030723488602577</v>
      </c>
      <c r="Q52" s="36" t="n">
        <v>-0.1421800947867299</v>
      </c>
      <c r="R52" s="36" t="n">
        <v>-0.06382538533154025</v>
      </c>
      <c r="S52" s="36" t="n">
        <v>-0.1191928367505839</v>
      </c>
      <c r="T52" s="36" t="n">
        <v>-0.1276337668388372</v>
      </c>
      <c r="U52" s="31" t="n">
        <v>13350</v>
      </c>
      <c r="V52" s="31" t="n">
        <v>8000</v>
      </c>
      <c r="W52" s="36" t="n">
        <v>-0.3220973782771536</v>
      </c>
      <c r="X52" s="36" t="n">
        <v>0.1312500000000001</v>
      </c>
      <c r="Y52" s="31" t="n">
        <v>17780753</v>
      </c>
      <c r="Z52" s="31" t="n">
        <v>160915814650</v>
      </c>
      <c r="AA52" s="31" t="n">
        <v>622775750</v>
      </c>
      <c r="AB52" s="31" t="n">
        <v>1457335087.5</v>
      </c>
      <c r="AC52" s="36" t="n">
        <v>0.003870196048502558</v>
      </c>
      <c r="AD52" s="29" t="inlineStr">
        <is>
          <t>yfinance_download</t>
        </is>
      </c>
      <c r="AE52" s="29" t="inlineStr">
        <is>
          <t>102120.KQ</t>
        </is>
      </c>
    </row>
    <row r="53" ht="24" customHeight="1">
      <c r="A53" s="24" t="inlineStr">
        <is>
          <t>2023-08-22</t>
        </is>
      </c>
      <c r="B53" s="30" t="n">
        <v>9120</v>
      </c>
      <c r="C53" s="30" t="n">
        <v>9140</v>
      </c>
      <c r="D53" s="30" t="n">
        <v>8860</v>
      </c>
      <c r="E53" s="30" t="n">
        <v>8900</v>
      </c>
      <c r="F53" s="30" t="n">
        <v>8781.3330078125</v>
      </c>
      <c r="G53" s="30" t="n">
        <v>95894</v>
      </c>
      <c r="H53" s="35" t="n">
        <v>-0.01657458563535907</v>
      </c>
      <c r="I53" s="35" t="n">
        <v>-0.4472049689440993</v>
      </c>
      <c r="J53" s="30" t="n">
        <v>9586</v>
      </c>
      <c r="K53" s="30" t="n">
        <v>10256.33333333333</v>
      </c>
      <c r="L53" s="30" t="n">
        <v>10360.75</v>
      </c>
      <c r="M53" s="35" t="n">
        <v>0.4092750461975668</v>
      </c>
      <c r="N53" s="35" t="n">
        <v>0.3713289717200989</v>
      </c>
      <c r="O53" s="35" t="n">
        <v>-0.1539923954372624</v>
      </c>
      <c r="P53" s="35" t="n">
        <v>-0.11</v>
      </c>
      <c r="Q53" s="35" t="n">
        <v>-0.1523809523809524</v>
      </c>
      <c r="R53" s="35" t="n">
        <v>-0.07156269559774675</v>
      </c>
      <c r="S53" s="35" t="n">
        <v>-0.1322434918261888</v>
      </c>
      <c r="T53" s="35" t="n">
        <v>-0.1409888280288589</v>
      </c>
      <c r="U53" s="30" t="n">
        <v>13350</v>
      </c>
      <c r="V53" s="30" t="n">
        <v>8000</v>
      </c>
      <c r="W53" s="35" t="n">
        <v>-0.3333333333333334</v>
      </c>
      <c r="X53" s="35" t="n">
        <v>0.1125</v>
      </c>
      <c r="Y53" s="30" t="n">
        <v>17780753</v>
      </c>
      <c r="Z53" s="30" t="n">
        <v>158248701700</v>
      </c>
      <c r="AA53" s="30" t="n">
        <v>853456600</v>
      </c>
      <c r="AB53" s="30" t="n">
        <v>1392708125.5</v>
      </c>
      <c r="AC53" s="35" t="n">
        <v>0.00539313492516318</v>
      </c>
      <c r="AD53" s="24" t="inlineStr">
        <is>
          <t>yfinance_download</t>
        </is>
      </c>
      <c r="AE53" s="24" t="inlineStr">
        <is>
          <t>102120.KQ</t>
        </is>
      </c>
    </row>
    <row r="54" ht="24" customHeight="1">
      <c r="A54" s="29" t="inlineStr">
        <is>
          <t>2023-08-23</t>
        </is>
      </c>
      <c r="B54" s="31" t="n">
        <v>8900</v>
      </c>
      <c r="C54" s="31" t="n">
        <v>9020</v>
      </c>
      <c r="D54" s="31" t="n">
        <v>8790</v>
      </c>
      <c r="E54" s="31" t="n">
        <v>8940</v>
      </c>
      <c r="F54" s="31" t="n">
        <v>8820.7998046875</v>
      </c>
      <c r="G54" s="31" t="n">
        <v>57289</v>
      </c>
      <c r="H54" s="36" t="n">
        <v>0.004494382022471877</v>
      </c>
      <c r="I54" s="36" t="n">
        <v>-0.44472049689441</v>
      </c>
      <c r="J54" s="31" t="n">
        <v>9525.5</v>
      </c>
      <c r="K54" s="31" t="n">
        <v>10238</v>
      </c>
      <c r="L54" s="31" t="n">
        <v>10348.58333333333</v>
      </c>
      <c r="M54" s="36" t="n">
        <v>0.3984383925645141</v>
      </c>
      <c r="N54" s="36" t="n">
        <v>0.3713626040327027</v>
      </c>
      <c r="O54" s="36" t="n">
        <v>-0.1192118226600986</v>
      </c>
      <c r="P54" s="36" t="n">
        <v>-0.1095617529880478</v>
      </c>
      <c r="Q54" s="36" t="n">
        <v>-0.1403846153846153</v>
      </c>
      <c r="R54" s="36" t="n">
        <v>-0.0614665896803317</v>
      </c>
      <c r="S54" s="36" t="n">
        <v>-0.1267825747216254</v>
      </c>
      <c r="T54" s="36" t="n">
        <v>-0.1361136387428231</v>
      </c>
      <c r="U54" s="31" t="n">
        <v>13350</v>
      </c>
      <c r="V54" s="31" t="n">
        <v>8000</v>
      </c>
      <c r="W54" s="36" t="n">
        <v>-0.3303370786516854</v>
      </c>
      <c r="X54" s="36" t="n">
        <v>0.1174999999999999</v>
      </c>
      <c r="Y54" s="31" t="n">
        <v>17780753</v>
      </c>
      <c r="Z54" s="31" t="n">
        <v>158959931820</v>
      </c>
      <c r="AA54" s="31" t="n">
        <v>512163660</v>
      </c>
      <c r="AB54" s="31" t="n">
        <v>1279653098.5</v>
      </c>
      <c r="AC54" s="36" t="n">
        <v>0.00322196703367962</v>
      </c>
      <c r="AD54" s="29" t="inlineStr">
        <is>
          <t>yfinance_download</t>
        </is>
      </c>
      <c r="AE54" s="29" t="inlineStr">
        <is>
          <t>102120.KQ</t>
        </is>
      </c>
    </row>
    <row r="55" ht="24" customHeight="1">
      <c r="A55" s="24" t="inlineStr">
        <is>
          <t>2023-08-24</t>
        </is>
      </c>
      <c r="B55" s="30" t="n">
        <v>9070</v>
      </c>
      <c r="C55" s="30" t="n">
        <v>9300</v>
      </c>
      <c r="D55" s="30" t="n">
        <v>9040</v>
      </c>
      <c r="E55" s="30" t="n">
        <v>9150</v>
      </c>
      <c r="F55" s="30" t="n">
        <v>9028</v>
      </c>
      <c r="G55" s="30" t="n">
        <v>114574</v>
      </c>
      <c r="H55" s="35" t="n">
        <v>0.02348993288590595</v>
      </c>
      <c r="I55" s="35" t="n">
        <v>-0.4316770186335404</v>
      </c>
      <c r="J55" s="30" t="n">
        <v>9504.5</v>
      </c>
      <c r="K55" s="30" t="n">
        <v>10220</v>
      </c>
      <c r="L55" s="30" t="n">
        <v>10337.5</v>
      </c>
      <c r="M55" s="35" t="n">
        <v>0.3624148884803012</v>
      </c>
      <c r="N55" s="35" t="n">
        <v>0.3725596261275311</v>
      </c>
      <c r="O55" s="35" t="n">
        <v>-0.0438871473354232</v>
      </c>
      <c r="P55" s="35" t="n">
        <v>-0.1055718475073314</v>
      </c>
      <c r="Q55" s="35" t="n">
        <v>-0.1269083969465649</v>
      </c>
      <c r="R55" s="35" t="n">
        <v>-0.03729812194223792</v>
      </c>
      <c r="S55" s="35" t="n">
        <v>-0.1046966731898239</v>
      </c>
      <c r="T55" s="35" t="n">
        <v>-0.1148730350665055</v>
      </c>
      <c r="U55" s="30" t="n">
        <v>13150</v>
      </c>
      <c r="V55" s="30" t="n">
        <v>8000</v>
      </c>
      <c r="W55" s="35" t="n">
        <v>-0.3041825095057035</v>
      </c>
      <c r="X55" s="35" t="n">
        <v>0.14375</v>
      </c>
      <c r="Y55" s="30" t="n">
        <v>17780753</v>
      </c>
      <c r="Z55" s="30" t="n">
        <v>162693889950</v>
      </c>
      <c r="AA55" s="30" t="n">
        <v>1048352100</v>
      </c>
      <c r="AB55" s="30" t="n">
        <v>1149854554</v>
      </c>
      <c r="AC55" s="35" t="n">
        <v>0.006443709105008095</v>
      </c>
      <c r="AD55" s="24" t="inlineStr">
        <is>
          <t>yfinance_download</t>
        </is>
      </c>
      <c r="AE55" s="24" t="inlineStr">
        <is>
          <t>102120.KQ</t>
        </is>
      </c>
    </row>
    <row r="56" ht="24" customHeight="1">
      <c r="A56" s="29" t="inlineStr">
        <is>
          <t>2023-08-25</t>
        </is>
      </c>
      <c r="B56" s="31" t="n">
        <v>9010</v>
      </c>
      <c r="C56" s="31" t="n">
        <v>9050</v>
      </c>
      <c r="D56" s="31" t="n">
        <v>8910</v>
      </c>
      <c r="E56" s="31" t="n">
        <v>8960</v>
      </c>
      <c r="F56" s="31" t="n">
        <v>8840.533203125</v>
      </c>
      <c r="G56" s="31" t="n">
        <v>70943</v>
      </c>
      <c r="H56" s="36" t="n">
        <v>-0.02076502732240437</v>
      </c>
      <c r="I56" s="36" t="n">
        <v>-0.4434782608695652</v>
      </c>
      <c r="J56" s="31" t="n">
        <v>9444.5</v>
      </c>
      <c r="K56" s="31" t="n">
        <v>10194</v>
      </c>
      <c r="L56" s="31" t="n">
        <v>10323.5</v>
      </c>
      <c r="M56" s="36" t="n">
        <v>0.2788971686356189</v>
      </c>
      <c r="N56" s="36" t="n">
        <v>0.369286330547947</v>
      </c>
      <c r="O56" s="36" t="n">
        <v>-0.1181102362204725</v>
      </c>
      <c r="P56" s="36" t="n">
        <v>-0.1482889733840305</v>
      </c>
      <c r="Q56" s="36" t="n">
        <v>-0.1578947368421053</v>
      </c>
      <c r="R56" s="36" t="n">
        <v>-0.05129969823706915</v>
      </c>
      <c r="S56" s="36" t="n">
        <v>-0.121051598979792</v>
      </c>
      <c r="T56" s="36" t="n">
        <v>-0.1320772993655253</v>
      </c>
      <c r="U56" s="31" t="n">
        <v>12750</v>
      </c>
      <c r="V56" s="31" t="n">
        <v>8000</v>
      </c>
      <c r="W56" s="36" t="n">
        <v>-0.2972549019607843</v>
      </c>
      <c r="X56" s="36" t="n">
        <v>0.1200000000000001</v>
      </c>
      <c r="Y56" s="31" t="n">
        <v>17780753</v>
      </c>
      <c r="Z56" s="31" t="n">
        <v>159315546880</v>
      </c>
      <c r="AA56" s="31" t="n">
        <v>635649280</v>
      </c>
      <c r="AB56" s="31" t="n">
        <v>1056153906</v>
      </c>
      <c r="AC56" s="36" t="n">
        <v>0.003989876019311443</v>
      </c>
      <c r="AD56" s="29" t="inlineStr">
        <is>
          <t>yfinance_download</t>
        </is>
      </c>
      <c r="AE56" s="29" t="inlineStr">
        <is>
          <t>102120.KQ</t>
        </is>
      </c>
    </row>
    <row r="57" ht="24" customHeight="1">
      <c r="A57" s="24" t="inlineStr">
        <is>
          <t>2023-08-28</t>
        </is>
      </c>
      <c r="B57" s="30" t="n">
        <v>9000</v>
      </c>
      <c r="C57" s="30" t="n">
        <v>9490</v>
      </c>
      <c r="D57" s="30" t="n">
        <v>8980</v>
      </c>
      <c r="E57" s="30" t="n">
        <v>9160</v>
      </c>
      <c r="F57" s="30" t="n">
        <v>9037.8671875</v>
      </c>
      <c r="G57" s="30" t="n">
        <v>180730</v>
      </c>
      <c r="H57" s="35" t="n">
        <v>0.0223214285714286</v>
      </c>
      <c r="I57" s="35" t="n">
        <v>-0.431055900621118</v>
      </c>
      <c r="J57" s="30" t="n">
        <v>9384</v>
      </c>
      <c r="K57" s="30" t="n">
        <v>10174.5</v>
      </c>
      <c r="L57" s="30" t="n">
        <v>10310.5</v>
      </c>
      <c r="M57" s="35" t="n">
        <v>0.2810550431892497</v>
      </c>
      <c r="N57" s="35" t="n">
        <v>0.3712425845084596</v>
      </c>
      <c r="O57" s="35" t="n">
        <v>-0.1166827386692382</v>
      </c>
      <c r="P57" s="35" t="n">
        <v>-0.1132623426911907</v>
      </c>
      <c r="Q57" s="35" t="n">
        <v>-0.1455223880597015</v>
      </c>
      <c r="R57" s="35" t="n">
        <v>-0.02387041773231036</v>
      </c>
      <c r="S57" s="35" t="n">
        <v>-0.09971005946238143</v>
      </c>
      <c r="T57" s="35" t="n">
        <v>-0.1115852771446584</v>
      </c>
      <c r="U57" s="30" t="n">
        <v>12750</v>
      </c>
      <c r="V57" s="30" t="n">
        <v>8000</v>
      </c>
      <c r="W57" s="35" t="n">
        <v>-0.2815686274509804</v>
      </c>
      <c r="X57" s="35" t="n">
        <v>0.145</v>
      </c>
      <c r="Y57" s="30" t="n">
        <v>17780753</v>
      </c>
      <c r="Z57" s="30" t="n">
        <v>162871697480</v>
      </c>
      <c r="AA57" s="30" t="n">
        <v>1655486800</v>
      </c>
      <c r="AB57" s="30" t="n">
        <v>1071136963.5</v>
      </c>
      <c r="AC57" s="35" t="n">
        <v>0.01016436143058733</v>
      </c>
      <c r="AD57" s="24" t="inlineStr">
        <is>
          <t>yfinance_download</t>
        </is>
      </c>
      <c r="AE57" s="24" t="inlineStr">
        <is>
          <t>102120.KQ</t>
        </is>
      </c>
    </row>
    <row r="58" ht="24" customHeight="1">
      <c r="A58" s="29" t="inlineStr">
        <is>
          <t>2023-08-29</t>
        </is>
      </c>
      <c r="B58" s="31" t="n">
        <v>9390</v>
      </c>
      <c r="C58" s="31" t="n">
        <v>9590</v>
      </c>
      <c r="D58" s="31" t="n">
        <v>9270</v>
      </c>
      <c r="E58" s="31" t="n">
        <v>9390</v>
      </c>
      <c r="F58" s="31" t="n">
        <v>9264.7998046875</v>
      </c>
      <c r="G58" s="31" t="n">
        <v>226084</v>
      </c>
      <c r="H58" s="36" t="n">
        <v>0.02510917030567694</v>
      </c>
      <c r="I58" s="36" t="n">
        <v>-0.4167701863354037</v>
      </c>
      <c r="J58" s="31" t="n">
        <v>9345</v>
      </c>
      <c r="K58" s="31" t="n">
        <v>10158.33333333333</v>
      </c>
      <c r="L58" s="31" t="n">
        <v>10297.75</v>
      </c>
      <c r="M58" s="36" t="n">
        <v>0.2970183999982938</v>
      </c>
      <c r="N58" s="36" t="n">
        <v>0.3751952193827287</v>
      </c>
      <c r="O58" s="36" t="n">
        <v>-0.07669616519174038</v>
      </c>
      <c r="P58" s="36" t="n">
        <v>-0.09362934362934361</v>
      </c>
      <c r="Q58" s="36" t="n">
        <v>-0.1401098901098901</v>
      </c>
      <c r="R58" s="36" t="n">
        <v>0.004815409309791407</v>
      </c>
      <c r="S58" s="36" t="n">
        <v>-0.07563576702214936</v>
      </c>
      <c r="T58" s="36" t="n">
        <v>-0.08815032409992474</v>
      </c>
      <c r="U58" s="31" t="n">
        <v>12500</v>
      </c>
      <c r="V58" s="31" t="n">
        <v>8000</v>
      </c>
      <c r="W58" s="36" t="n">
        <v>-0.2488</v>
      </c>
      <c r="X58" s="36" t="n">
        <v>0.1737500000000001</v>
      </c>
      <c r="Y58" s="31" t="n">
        <v>17780753</v>
      </c>
      <c r="Z58" s="31" t="n">
        <v>166961270670</v>
      </c>
      <c r="AA58" s="31" t="n">
        <v>2122928760</v>
      </c>
      <c r="AB58" s="31" t="n">
        <v>1101159934.5</v>
      </c>
      <c r="AC58" s="36" t="n">
        <v>0.01271509704903949</v>
      </c>
      <c r="AD58" s="29" t="inlineStr">
        <is>
          <t>yfinance_download</t>
        </is>
      </c>
      <c r="AE58" s="29" t="inlineStr">
        <is>
          <t>102120.KQ</t>
        </is>
      </c>
    </row>
    <row r="59" ht="24" customHeight="1">
      <c r="A59" s="24" t="inlineStr">
        <is>
          <t>2023-08-30</t>
        </is>
      </c>
      <c r="B59" s="30" t="n">
        <v>9520</v>
      </c>
      <c r="C59" s="30" t="n">
        <v>9560</v>
      </c>
      <c r="D59" s="30" t="n">
        <v>9400</v>
      </c>
      <c r="E59" s="30" t="n">
        <v>9450</v>
      </c>
      <c r="F59" s="30" t="n">
        <v>9324</v>
      </c>
      <c r="G59" s="30" t="n">
        <v>106348</v>
      </c>
      <c r="H59" s="35" t="n">
        <v>0.006389776357827559</v>
      </c>
      <c r="I59" s="35" t="n">
        <v>-0.4130434782608695</v>
      </c>
      <c r="J59" s="30" t="n">
        <v>9314.5</v>
      </c>
      <c r="K59" s="30" t="n">
        <v>10143.83333333333</v>
      </c>
      <c r="L59" s="30" t="n">
        <v>10287.83333333333</v>
      </c>
      <c r="M59" s="35" t="n">
        <v>0.2979169995164618</v>
      </c>
      <c r="N59" s="35" t="n">
        <v>0.3754916878803</v>
      </c>
      <c r="O59" s="35" t="n">
        <v>-0.06063618290258455</v>
      </c>
      <c r="P59" s="35" t="n">
        <v>-0.08430232558139539</v>
      </c>
      <c r="Q59" s="35" t="n">
        <v>-0.1118421052631579</v>
      </c>
      <c r="R59" s="35" t="n">
        <v>0.01454721133716252</v>
      </c>
      <c r="S59" s="35" t="n">
        <v>-0.06839952023396811</v>
      </c>
      <c r="T59" s="35" t="n">
        <v>-0.08143924052683593</v>
      </c>
      <c r="U59" s="30" t="n">
        <v>12500</v>
      </c>
      <c r="V59" s="30" t="n">
        <v>8000</v>
      </c>
      <c r="W59" s="35" t="n">
        <v>-0.244</v>
      </c>
      <c r="X59" s="35" t="n">
        <v>0.1812499999999999</v>
      </c>
      <c r="Y59" s="30" t="n">
        <v>17780753</v>
      </c>
      <c r="Z59" s="30" t="n">
        <v>168028115850</v>
      </c>
      <c r="AA59" s="30" t="n">
        <v>1004988600</v>
      </c>
      <c r="AB59" s="30" t="n">
        <v>1019344702.5</v>
      </c>
      <c r="AC59" s="35" t="n">
        <v>0.005981074029879387</v>
      </c>
      <c r="AD59" s="24" t="inlineStr">
        <is>
          <t>yfinance_download</t>
        </is>
      </c>
      <c r="AE59" s="24" t="inlineStr">
        <is>
          <t>102120.KQ</t>
        </is>
      </c>
    </row>
    <row r="60" ht="24" customHeight="1">
      <c r="A60" s="29" t="inlineStr">
        <is>
          <t>2023-08-31</t>
        </is>
      </c>
      <c r="B60" s="31" t="n">
        <v>9480</v>
      </c>
      <c r="C60" s="31" t="n">
        <v>9510</v>
      </c>
      <c r="D60" s="31" t="n">
        <v>9150</v>
      </c>
      <c r="E60" s="31" t="n">
        <v>9220</v>
      </c>
      <c r="F60" s="31" t="n">
        <v>9097.06640625</v>
      </c>
      <c r="G60" s="31" t="n">
        <v>80622</v>
      </c>
      <c r="H60" s="36" t="n">
        <v>-0.02433862433862433</v>
      </c>
      <c r="I60" s="36" t="n">
        <v>-0.4273291925465839</v>
      </c>
      <c r="J60" s="31" t="n">
        <v>9285.5</v>
      </c>
      <c r="K60" s="31" t="n">
        <v>10127.33333333333</v>
      </c>
      <c r="L60" s="31" t="n">
        <v>10278.16666666667</v>
      </c>
      <c r="M60" s="36" t="n">
        <v>0.296426204637406</v>
      </c>
      <c r="N60" s="36" t="n">
        <v>0.3780030124298668</v>
      </c>
      <c r="O60" s="36" t="n">
        <v>-0.0591836734693878</v>
      </c>
      <c r="P60" s="36" t="n">
        <v>-0.09696376101860915</v>
      </c>
      <c r="Q60" s="36" t="n">
        <v>-0.1117533718689788</v>
      </c>
      <c r="R60" s="36" t="n">
        <v>-0.007054008938667811</v>
      </c>
      <c r="S60" s="36" t="n">
        <v>-0.08959252188796007</v>
      </c>
      <c r="T60" s="36" t="n">
        <v>-0.102952861243088</v>
      </c>
      <c r="U60" s="31" t="n">
        <v>12500</v>
      </c>
      <c r="V60" s="31" t="n">
        <v>8000</v>
      </c>
      <c r="W60" s="36" t="n">
        <v>-0.2624</v>
      </c>
      <c r="X60" s="36" t="n">
        <v>0.1525000000000001</v>
      </c>
      <c r="Y60" s="31" t="n">
        <v>17780753</v>
      </c>
      <c r="Z60" s="31" t="n">
        <v>163938542660</v>
      </c>
      <c r="AA60" s="31" t="n">
        <v>743334840</v>
      </c>
      <c r="AB60" s="31" t="n">
        <v>950666544.5</v>
      </c>
      <c r="AC60" s="36" t="n">
        <v>0.004534228668493398</v>
      </c>
      <c r="AD60" s="29" t="inlineStr">
        <is>
          <t>yfinance_download</t>
        </is>
      </c>
      <c r="AE60" s="29" t="inlineStr">
        <is>
          <t>102120.KQ</t>
        </is>
      </c>
    </row>
    <row r="61" ht="24" customHeight="1">
      <c r="A61" s="24" t="inlineStr">
        <is>
          <t>2023-09-01</t>
        </is>
      </c>
      <c r="B61" s="30" t="n">
        <v>9150</v>
      </c>
      <c r="C61" s="30" t="n">
        <v>9970</v>
      </c>
      <c r="D61" s="30" t="n">
        <v>9150</v>
      </c>
      <c r="E61" s="30" t="n">
        <v>9570</v>
      </c>
      <c r="F61" s="30" t="n">
        <v>9442.400390625</v>
      </c>
      <c r="G61" s="30" t="n">
        <v>413203</v>
      </c>
      <c r="H61" s="35" t="n">
        <v>0.03796095444685466</v>
      </c>
      <c r="I61" s="35" t="n">
        <v>-0.4055900621118013</v>
      </c>
      <c r="J61" s="30" t="n">
        <v>9275.5</v>
      </c>
      <c r="K61" s="30" t="n">
        <v>10117.66666666667</v>
      </c>
      <c r="L61" s="30" t="n">
        <v>10273.25</v>
      </c>
      <c r="M61" s="35" t="n">
        <v>0.3299602673008068</v>
      </c>
      <c r="N61" s="35" t="n">
        <v>0.3863787830115392</v>
      </c>
      <c r="O61" s="35" t="n">
        <v>-0.02047082906857722</v>
      </c>
      <c r="P61" s="35" t="n">
        <v>-0.05714285714285716</v>
      </c>
      <c r="Q61" s="35" t="n">
        <v>-0.05807086614173229</v>
      </c>
      <c r="R61" s="35" t="n">
        <v>0.03175030995633654</v>
      </c>
      <c r="S61" s="35" t="n">
        <v>-0.05412974005864324</v>
      </c>
      <c r="T61" s="35" t="n">
        <v>-0.06845448129851794</v>
      </c>
      <c r="U61" s="30" t="n">
        <v>12250</v>
      </c>
      <c r="V61" s="30" t="n">
        <v>8000</v>
      </c>
      <c r="W61" s="35" t="n">
        <v>-0.2187755102040816</v>
      </c>
      <c r="X61" s="35" t="n">
        <v>0.19625</v>
      </c>
      <c r="Y61" s="30" t="n">
        <v>17780753</v>
      </c>
      <c r="Z61" s="30" t="n">
        <v>170161806210</v>
      </c>
      <c r="AA61" s="30" t="n">
        <v>3954352710</v>
      </c>
      <c r="AB61" s="30" t="n">
        <v>1085157625</v>
      </c>
      <c r="AC61" s="35" t="n">
        <v>0.02323877959499241</v>
      </c>
      <c r="AD61" s="24" t="inlineStr">
        <is>
          <t>yfinance_download</t>
        </is>
      </c>
      <c r="AE61" s="24" t="inlineStr">
        <is>
          <t>102120.KQ</t>
        </is>
      </c>
    </row>
    <row r="62" ht="24" customHeight="1">
      <c r="A62" s="29" t="inlineStr">
        <is>
          <t>2023-09-04</t>
        </is>
      </c>
      <c r="B62" s="31" t="n">
        <v>9640</v>
      </c>
      <c r="C62" s="31" t="n">
        <v>9690</v>
      </c>
      <c r="D62" s="31" t="n">
        <v>9400</v>
      </c>
      <c r="E62" s="31" t="n">
        <v>9630</v>
      </c>
      <c r="F62" s="31" t="n">
        <v>9501.6005859375</v>
      </c>
      <c r="G62" s="31" t="n">
        <v>132555</v>
      </c>
      <c r="H62" s="36" t="n">
        <v>0.006269592476489061</v>
      </c>
      <c r="I62" s="36" t="n">
        <v>-0.401863354037267</v>
      </c>
      <c r="J62" s="31" t="n">
        <v>9271.5</v>
      </c>
      <c r="K62" s="31" t="n">
        <v>10108.16666666667</v>
      </c>
      <c r="L62" s="31" t="n">
        <v>10271.08333333333</v>
      </c>
      <c r="M62" s="36" t="n">
        <v>0.3302504017298162</v>
      </c>
      <c r="N62" s="36" t="n">
        <v>0.3864719760351924</v>
      </c>
      <c r="O62" s="36" t="n">
        <v>-0.008238928939237944</v>
      </c>
      <c r="P62" s="36" t="n">
        <v>-0.05588235294117649</v>
      </c>
      <c r="Q62" s="36" t="n">
        <v>-0.02628918099089994</v>
      </c>
      <c r="R62" s="36" t="n">
        <v>0.03866688238149174</v>
      </c>
      <c r="S62" s="36" t="n">
        <v>-0.04730498441853936</v>
      </c>
      <c r="T62" s="36" t="n">
        <v>-0.06241633063698249</v>
      </c>
      <c r="U62" s="31" t="n">
        <v>12250</v>
      </c>
      <c r="V62" s="31" t="n">
        <v>8000</v>
      </c>
      <c r="W62" s="36" t="n">
        <v>-0.2138775510204082</v>
      </c>
      <c r="X62" s="36" t="n">
        <v>0.2037500000000001</v>
      </c>
      <c r="Y62" s="31" t="n">
        <v>17780753</v>
      </c>
      <c r="Z62" s="31" t="n">
        <v>171228651390</v>
      </c>
      <c r="AA62" s="31" t="n">
        <v>1276504650</v>
      </c>
      <c r="AB62" s="31" t="n">
        <v>1111054141</v>
      </c>
      <c r="AC62" s="36" t="n">
        <v>0.007454971113990504</v>
      </c>
      <c r="AD62" s="29" t="inlineStr">
        <is>
          <t>yfinance_download</t>
        </is>
      </c>
      <c r="AE62" s="29" t="inlineStr">
        <is>
          <t>102120.KQ</t>
        </is>
      </c>
    </row>
    <row r="63" ht="24" customHeight="1">
      <c r="A63" s="24" t="inlineStr">
        <is>
          <t>2023-09-05</t>
        </is>
      </c>
      <c r="B63" s="30" t="n">
        <v>9560</v>
      </c>
      <c r="C63" s="30" t="n">
        <v>9700</v>
      </c>
      <c r="D63" s="30" t="n">
        <v>9400</v>
      </c>
      <c r="E63" s="30" t="n">
        <v>9540</v>
      </c>
      <c r="F63" s="30" t="n">
        <v>9412.7998046875</v>
      </c>
      <c r="G63" s="30" t="n">
        <v>70479</v>
      </c>
      <c r="H63" s="35" t="n">
        <v>-0.009345794392523366</v>
      </c>
      <c r="I63" s="35" t="n">
        <v>-0.4074534161490683</v>
      </c>
      <c r="J63" s="30" t="n">
        <v>9266.5</v>
      </c>
      <c r="K63" s="30" t="n">
        <v>10095.33333333333</v>
      </c>
      <c r="L63" s="30" t="n">
        <v>10268</v>
      </c>
      <c r="M63" s="35" t="n">
        <v>0.3309376170810928</v>
      </c>
      <c r="N63" s="35" t="n">
        <v>0.3861261547897199</v>
      </c>
      <c r="O63" s="35" t="n">
        <v>-0.01037344398340245</v>
      </c>
      <c r="P63" s="35" t="n">
        <v>-0.07468477206595536</v>
      </c>
      <c r="Q63" s="35" t="n">
        <v>-0.03733602421796167</v>
      </c>
      <c r="R63" s="35" t="n">
        <v>0.02951491933308148</v>
      </c>
      <c r="S63" s="35" t="n">
        <v>-0.05500891501023586</v>
      </c>
      <c r="T63" s="35" t="n">
        <v>-0.07089988313206075</v>
      </c>
      <c r="U63" s="30" t="n">
        <v>12250</v>
      </c>
      <c r="V63" s="30" t="n">
        <v>8000</v>
      </c>
      <c r="W63" s="35" t="n">
        <v>-0.2212244897959184</v>
      </c>
      <c r="X63" s="35" t="n">
        <v>0.1924999999999999</v>
      </c>
      <c r="Y63" s="30" t="n">
        <v>17780753</v>
      </c>
      <c r="Z63" s="30" t="n">
        <v>169628383620</v>
      </c>
      <c r="AA63" s="30" t="n">
        <v>672369660</v>
      </c>
      <c r="AB63" s="30" t="n">
        <v>1107132054</v>
      </c>
      <c r="AC63" s="35" t="n">
        <v>0.003963780386578679</v>
      </c>
      <c r="AD63" s="24" t="inlineStr">
        <is>
          <t>yfinance_download</t>
        </is>
      </c>
      <c r="AE63" s="24" t="inlineStr">
        <is>
          <t>102120.KQ</t>
        </is>
      </c>
    </row>
    <row r="64" ht="24" customHeight="1">
      <c r="A64" s="29" t="inlineStr">
        <is>
          <t>2023-09-06</t>
        </is>
      </c>
      <c r="B64" s="31" t="n">
        <v>9500</v>
      </c>
      <c r="C64" s="31" t="n">
        <v>9500</v>
      </c>
      <c r="D64" s="31" t="n">
        <v>9350</v>
      </c>
      <c r="E64" s="31" t="n">
        <v>9390</v>
      </c>
      <c r="F64" s="31" t="n">
        <v>9264.7998046875</v>
      </c>
      <c r="G64" s="31" t="n">
        <v>65812</v>
      </c>
      <c r="H64" s="36" t="n">
        <v>-0.01572327044025157</v>
      </c>
      <c r="I64" s="36" t="n">
        <v>-0.4167701863354037</v>
      </c>
      <c r="J64" s="31" t="n">
        <v>9262</v>
      </c>
      <c r="K64" s="31" t="n">
        <v>10075.66666666667</v>
      </c>
      <c r="L64" s="31" t="n">
        <v>10269.25</v>
      </c>
      <c r="M64" s="36" t="n">
        <v>0.3303811759192963</v>
      </c>
      <c r="N64" s="36" t="n">
        <v>0.3833577836733492</v>
      </c>
      <c r="O64" s="36" t="n">
        <v>-0.009493670886076</v>
      </c>
      <c r="P64" s="36" t="n">
        <v>-0.1116367076631978</v>
      </c>
      <c r="Q64" s="36" t="n">
        <v>0.01623376623376616</v>
      </c>
      <c r="R64" s="36" t="n">
        <v>0.01381990930684518</v>
      </c>
      <c r="S64" s="36" t="n">
        <v>-0.06805174182022689</v>
      </c>
      <c r="T64" s="36" t="n">
        <v>-0.08561968985076807</v>
      </c>
      <c r="U64" s="31" t="n">
        <v>12250</v>
      </c>
      <c r="V64" s="31" t="n">
        <v>8000</v>
      </c>
      <c r="W64" s="36" t="n">
        <v>-0.2334693877551021</v>
      </c>
      <c r="X64" s="36" t="n">
        <v>0.1737500000000001</v>
      </c>
      <c r="Y64" s="31" t="n">
        <v>17780753</v>
      </c>
      <c r="Z64" s="31" t="n">
        <v>166961270670</v>
      </c>
      <c r="AA64" s="31" t="n">
        <v>617974680</v>
      </c>
      <c r="AB64" s="31" t="n">
        <v>1081054566</v>
      </c>
      <c r="AC64" s="36" t="n">
        <v>0.003701305563380808</v>
      </c>
      <c r="AD64" s="29" t="inlineStr">
        <is>
          <t>yfinance_download</t>
        </is>
      </c>
      <c r="AE64" s="29" t="inlineStr">
        <is>
          <t>102120.KQ</t>
        </is>
      </c>
    </row>
    <row r="65" ht="24" customHeight="1">
      <c r="A65" s="24" t="inlineStr">
        <is>
          <t>2023-09-07</t>
        </is>
      </c>
      <c r="B65" s="30" t="n">
        <v>9310</v>
      </c>
      <c r="C65" s="30" t="n">
        <v>9490</v>
      </c>
      <c r="D65" s="30" t="n">
        <v>9300</v>
      </c>
      <c r="E65" s="30" t="n">
        <v>9370</v>
      </c>
      <c r="F65" s="30" t="n">
        <v>9245.06640625</v>
      </c>
      <c r="G65" s="30" t="n">
        <v>88668</v>
      </c>
      <c r="H65" s="35" t="n">
        <v>-0.002129925452609149</v>
      </c>
      <c r="I65" s="35" t="n">
        <v>-0.4180124223602485</v>
      </c>
      <c r="J65" s="30" t="n">
        <v>9250.5</v>
      </c>
      <c r="K65" s="30" t="n">
        <v>10052.83333333333</v>
      </c>
      <c r="L65" s="30" t="n">
        <v>10267.75</v>
      </c>
      <c r="M65" s="35" t="n">
        <v>0.3268571257669029</v>
      </c>
      <c r="N65" s="35" t="n">
        <v>0.381565229575547</v>
      </c>
      <c r="O65" s="35" t="n">
        <v>-0.0239583333333333</v>
      </c>
      <c r="P65" s="35" t="n">
        <v>-0.12756052141527</v>
      </c>
      <c r="Q65" s="35" t="n">
        <v>-0.01884816753926699</v>
      </c>
      <c r="R65" s="35" t="n">
        <v>0.01291822063672243</v>
      </c>
      <c r="S65" s="35" t="n">
        <v>-0.06792446573934385</v>
      </c>
      <c r="T65" s="35" t="n">
        <v>-0.08743395583258262</v>
      </c>
      <c r="U65" s="30" t="n">
        <v>12250</v>
      </c>
      <c r="V65" s="30" t="n">
        <v>8000</v>
      </c>
      <c r="W65" s="35" t="n">
        <v>-0.2351020408163266</v>
      </c>
      <c r="X65" s="35" t="n">
        <v>0.1712499999999999</v>
      </c>
      <c r="Y65" s="30" t="n">
        <v>17780753</v>
      </c>
      <c r="Z65" s="30" t="n">
        <v>166605655610</v>
      </c>
      <c r="AA65" s="30" t="n">
        <v>830819160</v>
      </c>
      <c r="AB65" s="30" t="n">
        <v>1097160804</v>
      </c>
      <c r="AC65" s="35" t="n">
        <v>0.004986740437820603</v>
      </c>
      <c r="AD65" s="24" t="inlineStr">
        <is>
          <t>yfinance_download</t>
        </is>
      </c>
      <c r="AE65" s="24" t="inlineStr">
        <is>
          <t>102120.KQ</t>
        </is>
      </c>
    </row>
    <row r="66" ht="24" customHeight="1">
      <c r="A66" s="29" t="inlineStr">
        <is>
          <t>2023-09-08</t>
        </is>
      </c>
      <c r="B66" s="31" t="n">
        <v>9350</v>
      </c>
      <c r="C66" s="31" t="n">
        <v>9450</v>
      </c>
      <c r="D66" s="31" t="n">
        <v>8600</v>
      </c>
      <c r="E66" s="31" t="n">
        <v>9130</v>
      </c>
      <c r="F66" s="31" t="n">
        <v>9008.2666015625</v>
      </c>
      <c r="G66" s="31" t="n">
        <v>155035</v>
      </c>
      <c r="H66" s="36" t="n">
        <v>-0.02561366061899684</v>
      </c>
      <c r="I66" s="36" t="n">
        <v>-0.4329192546583851</v>
      </c>
      <c r="J66" s="31" t="n">
        <v>9235</v>
      </c>
      <c r="K66" s="31" t="n">
        <v>10030.33333333333</v>
      </c>
      <c r="L66" s="31" t="n">
        <v>10259.25</v>
      </c>
      <c r="M66" s="36" t="n">
        <v>0.3340060180009701</v>
      </c>
      <c r="N66" s="36" t="n">
        <v>0.3819254175306495</v>
      </c>
      <c r="O66" s="36" t="n">
        <v>-0.03283898305084743</v>
      </c>
      <c r="P66" s="36" t="n">
        <v>-0.1288167938931297</v>
      </c>
      <c r="Q66" s="36" t="n">
        <v>-0.1004926108374384</v>
      </c>
      <c r="R66" s="36" t="n">
        <v>-0.01136978884677853</v>
      </c>
      <c r="S66" s="36" t="n">
        <v>-0.08976105812369151</v>
      </c>
      <c r="T66" s="36" t="n">
        <v>-0.1100713989814071</v>
      </c>
      <c r="U66" s="31" t="n">
        <v>12250</v>
      </c>
      <c r="V66" s="31" t="n">
        <v>8000</v>
      </c>
      <c r="W66" s="36" t="n">
        <v>-0.2546938775510204</v>
      </c>
      <c r="X66" s="36" t="n">
        <v>0.1412500000000001</v>
      </c>
      <c r="Y66" s="31" t="n">
        <v>17780753</v>
      </c>
      <c r="Z66" s="31" t="n">
        <v>162338274890</v>
      </c>
      <c r="AA66" s="31" t="n">
        <v>1415469550</v>
      </c>
      <c r="AB66" s="31" t="n">
        <v>1129947721.5</v>
      </c>
      <c r="AC66" s="36" t="n">
        <v>0.008719259527422713</v>
      </c>
      <c r="AD66" s="29" t="inlineStr">
        <is>
          <t>yfinance_download</t>
        </is>
      </c>
      <c r="AE66" s="29" t="inlineStr">
        <is>
          <t>102120.KQ</t>
        </is>
      </c>
    </row>
    <row r="67" ht="24" customHeight="1">
      <c r="A67" s="24" t="inlineStr">
        <is>
          <t>2023-09-11</t>
        </is>
      </c>
      <c r="B67" s="30" t="n">
        <v>9170</v>
      </c>
      <c r="C67" s="30" t="n">
        <v>9170</v>
      </c>
      <c r="D67" s="30" t="n">
        <v>9000</v>
      </c>
      <c r="E67" s="30" t="n">
        <v>9090</v>
      </c>
      <c r="F67" s="30" t="n">
        <v>8968.7998046875</v>
      </c>
      <c r="G67" s="30" t="n">
        <v>51936</v>
      </c>
      <c r="H67" s="35" t="n">
        <v>-0.004381161007667056</v>
      </c>
      <c r="I67" s="35" t="n">
        <v>-0.4354037267080745</v>
      </c>
      <c r="J67" s="30" t="n">
        <v>9209.5</v>
      </c>
      <c r="K67" s="30" t="n">
        <v>9998.166666666666</v>
      </c>
      <c r="L67" s="30" t="n">
        <v>10249.41666666667</v>
      </c>
      <c r="M67" s="35" t="n">
        <v>0.3269222665264596</v>
      </c>
      <c r="N67" s="35" t="n">
        <v>0.3652749552364372</v>
      </c>
      <c r="O67" s="35" t="n">
        <v>-0.05312499999999998</v>
      </c>
      <c r="P67" s="35" t="n">
        <v>-0.1751361161524501</v>
      </c>
      <c r="Q67" s="35" t="n">
        <v>-0.1148977604673808</v>
      </c>
      <c r="R67" s="35" t="n">
        <v>-0.0129757315815191</v>
      </c>
      <c r="S67" s="35" t="n">
        <v>-0.09083331944189765</v>
      </c>
      <c r="T67" s="35" t="n">
        <v>-0.1131202588765213</v>
      </c>
      <c r="U67" s="30" t="n">
        <v>12250</v>
      </c>
      <c r="V67" s="30" t="n">
        <v>8000</v>
      </c>
      <c r="W67" s="35" t="n">
        <v>-0.2579591836734694</v>
      </c>
      <c r="X67" s="35" t="n">
        <v>0.13625</v>
      </c>
      <c r="Y67" s="30" t="n">
        <v>17780753</v>
      </c>
      <c r="Z67" s="30" t="n">
        <v>161627044770</v>
      </c>
      <c r="AA67" s="30" t="n">
        <v>472098240</v>
      </c>
      <c r="AB67" s="30" t="n">
        <v>1122747193.5</v>
      </c>
      <c r="AC67" s="35" t="n">
        <v>0.002920911167260464</v>
      </c>
      <c r="AD67" s="24" t="inlineStr">
        <is>
          <t>yfinance_download</t>
        </is>
      </c>
      <c r="AE67" s="24" t="inlineStr">
        <is>
          <t>102120.KQ</t>
        </is>
      </c>
    </row>
    <row r="68" ht="24" customHeight="1">
      <c r="A68" s="29" t="inlineStr">
        <is>
          <t>2023-09-12</t>
        </is>
      </c>
      <c r="B68" s="31" t="n">
        <v>9130</v>
      </c>
      <c r="C68" s="31" t="n">
        <v>9160</v>
      </c>
      <c r="D68" s="31" t="n">
        <v>9010</v>
      </c>
      <c r="E68" s="31" t="n">
        <v>9080</v>
      </c>
      <c r="F68" s="31" t="n">
        <v>8958.93359375</v>
      </c>
      <c r="G68" s="31" t="n">
        <v>61058</v>
      </c>
      <c r="H68" s="36" t="n">
        <v>-0.001100110011001076</v>
      </c>
      <c r="I68" s="36" t="n">
        <v>-0.4360248447204969</v>
      </c>
      <c r="J68" s="31" t="n">
        <v>9193.5</v>
      </c>
      <c r="K68" s="31" t="n">
        <v>9970.333333333334</v>
      </c>
      <c r="L68" s="31" t="n">
        <v>10237.83333333333</v>
      </c>
      <c r="M68" s="36" t="n">
        <v>0.3196881088753983</v>
      </c>
      <c r="N68" s="36" t="n">
        <v>0.3625139793560799</v>
      </c>
      <c r="O68" s="36" t="n">
        <v>-0.03404255319148941</v>
      </c>
      <c r="P68" s="36" t="n">
        <v>-0.1553488372093024</v>
      </c>
      <c r="Q68" s="36" t="n">
        <v>-0.1327602674307545</v>
      </c>
      <c r="R68" s="36" t="n">
        <v>-0.01234567901234573</v>
      </c>
      <c r="S68" s="36" t="n">
        <v>-0.08929825147938886</v>
      </c>
      <c r="T68" s="36" t="n">
        <v>-0.1130935907662755</v>
      </c>
      <c r="U68" s="31" t="n">
        <v>12250</v>
      </c>
      <c r="V68" s="31" t="n">
        <v>8000</v>
      </c>
      <c r="W68" s="36" t="n">
        <v>-0.2587755102040816</v>
      </c>
      <c r="X68" s="36" t="n">
        <v>0.135</v>
      </c>
      <c r="Y68" s="31" t="n">
        <v>17780753</v>
      </c>
      <c r="Z68" s="31" t="n">
        <v>161449237240</v>
      </c>
      <c r="AA68" s="31" t="n">
        <v>554406640</v>
      </c>
      <c r="AB68" s="31" t="n">
        <v>1123147835.5</v>
      </c>
      <c r="AC68" s="36" t="n">
        <v>0.003433937809045545</v>
      </c>
      <c r="AD68" s="29" t="inlineStr">
        <is>
          <t>yfinance_download</t>
        </is>
      </c>
      <c r="AE68" s="29" t="inlineStr">
        <is>
          <t>102120.KQ</t>
        </is>
      </c>
    </row>
    <row r="69" ht="24" customHeight="1">
      <c r="A69" s="24" t="inlineStr">
        <is>
          <t>2023-09-13</t>
        </is>
      </c>
      <c r="B69" s="30" t="n">
        <v>9090</v>
      </c>
      <c r="C69" s="30" t="n">
        <v>9330</v>
      </c>
      <c r="D69" s="30" t="n">
        <v>9040</v>
      </c>
      <c r="E69" s="30" t="n">
        <v>9080</v>
      </c>
      <c r="F69" s="30" t="n">
        <v>8958.93359375</v>
      </c>
      <c r="G69" s="30" t="n">
        <v>75573</v>
      </c>
      <c r="H69" s="35" t="n">
        <v>0</v>
      </c>
      <c r="I69" s="35" t="n">
        <v>-0.4360248447204969</v>
      </c>
      <c r="J69" s="30" t="n">
        <v>9198.5</v>
      </c>
      <c r="K69" s="30" t="n">
        <v>9945.166666666666</v>
      </c>
      <c r="L69" s="30" t="n">
        <v>10228.16666666667</v>
      </c>
      <c r="M69" s="35" t="n">
        <v>0.2760799326913259</v>
      </c>
      <c r="N69" s="35" t="n">
        <v>0.3616339028788815</v>
      </c>
      <c r="O69" s="35" t="n">
        <v>0.01113585746102452</v>
      </c>
      <c r="P69" s="35" t="n">
        <v>-0.1425873465533523</v>
      </c>
      <c r="Q69" s="35" t="n">
        <v>-0.11328125</v>
      </c>
      <c r="R69" s="35" t="n">
        <v>-0.01288253519595584</v>
      </c>
      <c r="S69" s="35" t="n">
        <v>-0.08699368202309321</v>
      </c>
      <c r="T69" s="35" t="n">
        <v>-0.1122553732340432</v>
      </c>
      <c r="U69" s="30" t="n">
        <v>12250</v>
      </c>
      <c r="V69" s="30" t="n">
        <v>8000</v>
      </c>
      <c r="W69" s="35" t="n">
        <v>-0.2587755102040816</v>
      </c>
      <c r="X69" s="35" t="n">
        <v>0.135</v>
      </c>
      <c r="Y69" s="30" t="n">
        <v>17780753</v>
      </c>
      <c r="Z69" s="30" t="n">
        <v>161449237240</v>
      </c>
      <c r="AA69" s="30" t="n">
        <v>686202840</v>
      </c>
      <c r="AB69" s="30" t="n">
        <v>1079621133.5</v>
      </c>
      <c r="AC69" s="35" t="n">
        <v>0.004250269940761227</v>
      </c>
      <c r="AD69" s="24" t="inlineStr">
        <is>
          <t>yfinance_download</t>
        </is>
      </c>
      <c r="AE69" s="24" t="inlineStr">
        <is>
          <t>102120.KQ</t>
        </is>
      </c>
    </row>
    <row r="70" ht="24" customHeight="1">
      <c r="A70" s="29" t="inlineStr">
        <is>
          <t>2023-09-14</t>
        </is>
      </c>
      <c r="B70" s="31" t="n">
        <v>9100</v>
      </c>
      <c r="C70" s="31" t="n">
        <v>9330</v>
      </c>
      <c r="D70" s="31" t="n">
        <v>9100</v>
      </c>
      <c r="E70" s="31" t="n">
        <v>9300</v>
      </c>
      <c r="F70" s="31" t="n">
        <v>9176</v>
      </c>
      <c r="G70" s="31" t="n">
        <v>78081</v>
      </c>
      <c r="H70" s="36" t="n">
        <v>0.02422907488986792</v>
      </c>
      <c r="I70" s="36" t="n">
        <v>-0.422360248447205</v>
      </c>
      <c r="J70" s="31" t="n">
        <v>9218.5</v>
      </c>
      <c r="K70" s="31" t="n">
        <v>9922</v>
      </c>
      <c r="L70" s="31" t="n">
        <v>10218.83333333333</v>
      </c>
      <c r="M70" s="36" t="n">
        <v>0.2856795307034838</v>
      </c>
      <c r="N70" s="36" t="n">
        <v>0.3649400433870044</v>
      </c>
      <c r="O70" s="36" t="n">
        <v>0.04494382022471921</v>
      </c>
      <c r="P70" s="36" t="n">
        <v>-0.1300280636108513</v>
      </c>
      <c r="Q70" s="36" t="n">
        <v>-0.1074856046065259</v>
      </c>
      <c r="R70" s="36" t="n">
        <v>0.008840917719802555</v>
      </c>
      <c r="S70" s="36" t="n">
        <v>-0.06268897399717799</v>
      </c>
      <c r="T70" s="36" t="n">
        <v>-0.08991567856735116</v>
      </c>
      <c r="U70" s="31" t="n">
        <v>12150</v>
      </c>
      <c r="V70" s="31" t="n">
        <v>8000</v>
      </c>
      <c r="W70" s="36" t="n">
        <v>-0.2345679012345679</v>
      </c>
      <c r="X70" s="36" t="n">
        <v>0.1625000000000001</v>
      </c>
      <c r="Y70" s="31" t="n">
        <v>17780753</v>
      </c>
      <c r="Z70" s="31" t="n">
        <v>165361002900</v>
      </c>
      <c r="AA70" s="31" t="n">
        <v>726153300</v>
      </c>
      <c r="AB70" s="31" t="n">
        <v>1062570183.5</v>
      </c>
      <c r="AC70" s="36" t="n">
        <v>0.004391321334928842</v>
      </c>
      <c r="AD70" s="29" t="inlineStr">
        <is>
          <t>yfinance_download</t>
        </is>
      </c>
      <c r="AE70" s="29" t="inlineStr">
        <is>
          <t>102120.KQ</t>
        </is>
      </c>
    </row>
    <row r="71" ht="24" customHeight="1">
      <c r="A71" s="24" t="inlineStr">
        <is>
          <t>2023-09-15</t>
        </is>
      </c>
      <c r="B71" s="30" t="n">
        <v>9380</v>
      </c>
      <c r="C71" s="30" t="n">
        <v>9390</v>
      </c>
      <c r="D71" s="30" t="n">
        <v>9210</v>
      </c>
      <c r="E71" s="30" t="n">
        <v>9290</v>
      </c>
      <c r="F71" s="30" t="n">
        <v>9166.1337890625</v>
      </c>
      <c r="G71" s="30" t="n">
        <v>55233</v>
      </c>
      <c r="H71" s="35" t="n">
        <v>-0.001075268817204322</v>
      </c>
      <c r="I71" s="35" t="n">
        <v>-0.4229813664596274</v>
      </c>
      <c r="J71" s="30" t="n">
        <v>9234.5</v>
      </c>
      <c r="K71" s="30" t="n">
        <v>9899</v>
      </c>
      <c r="L71" s="30" t="n">
        <v>10209.08333333333</v>
      </c>
      <c r="M71" s="35" t="n">
        <v>0.2851541171882322</v>
      </c>
      <c r="N71" s="35" t="n">
        <v>0.3649454362673726</v>
      </c>
      <c r="O71" s="35" t="n">
        <v>0.03567447045707905</v>
      </c>
      <c r="P71" s="35" t="n">
        <v>-0.1293345829428304</v>
      </c>
      <c r="Q71" s="35" t="n">
        <v>-0.1118546845124283</v>
      </c>
      <c r="R71" s="35" t="n">
        <v>0.006010070929665989</v>
      </c>
      <c r="S71" s="35" t="n">
        <v>-0.06152136579452472</v>
      </c>
      <c r="T71" s="35" t="n">
        <v>-0.09002603890326433</v>
      </c>
      <c r="U71" s="30" t="n">
        <v>12100</v>
      </c>
      <c r="V71" s="30" t="n">
        <v>8000</v>
      </c>
      <c r="W71" s="35" t="n">
        <v>-0.2322314049586777</v>
      </c>
      <c r="X71" s="35" t="n">
        <v>0.1612499999999999</v>
      </c>
      <c r="Y71" s="30" t="n">
        <v>17780753</v>
      </c>
      <c r="Z71" s="30" t="n">
        <v>165183195370</v>
      </c>
      <c r="AA71" s="30" t="n">
        <v>513114570</v>
      </c>
      <c r="AB71" s="30" t="n">
        <v>1045930119.5</v>
      </c>
      <c r="AC71" s="35" t="n">
        <v>0.003106336385191336</v>
      </c>
      <c r="AD71" s="24" t="inlineStr">
        <is>
          <t>yfinance_download</t>
        </is>
      </c>
      <c r="AE71" s="24" t="inlineStr">
        <is>
          <t>102120.KQ</t>
        </is>
      </c>
    </row>
    <row r="72" ht="24" customHeight="1">
      <c r="A72" s="29" t="inlineStr">
        <is>
          <t>2023-09-18</t>
        </is>
      </c>
      <c r="B72" s="31" t="n">
        <v>9230</v>
      </c>
      <c r="C72" s="31" t="n">
        <v>9230</v>
      </c>
      <c r="D72" s="31" t="n">
        <v>9020</v>
      </c>
      <c r="E72" s="31" t="n">
        <v>9030</v>
      </c>
      <c r="F72" s="31" t="n">
        <v>8909.6005859375</v>
      </c>
      <c r="G72" s="31" t="n">
        <v>67566</v>
      </c>
      <c r="H72" s="36" t="n">
        <v>-0.02798708288482243</v>
      </c>
      <c r="I72" s="36" t="n">
        <v>-0.4391304347826087</v>
      </c>
      <c r="J72" s="31" t="n">
        <v>9233.5</v>
      </c>
      <c r="K72" s="31" t="n">
        <v>9876.5</v>
      </c>
      <c r="L72" s="31" t="n">
        <v>10192.41666666667</v>
      </c>
      <c r="M72" s="36" t="n">
        <v>0.3026715354340677</v>
      </c>
      <c r="N72" s="36" t="n">
        <v>0.365186811316338</v>
      </c>
      <c r="O72" s="36" t="n">
        <v>-0.002209944751381254</v>
      </c>
      <c r="P72" s="36" t="n">
        <v>-0.1300578034682081</v>
      </c>
      <c r="Q72" s="36" t="n">
        <v>-0.1813236627379873</v>
      </c>
      <c r="R72" s="36" t="n">
        <v>-0.02203931336979481</v>
      </c>
      <c r="S72" s="36" t="n">
        <v>-0.08570849997468744</v>
      </c>
      <c r="T72" s="36" t="n">
        <v>-0.1140472083002886</v>
      </c>
      <c r="U72" s="31" t="n">
        <v>11820</v>
      </c>
      <c r="V72" s="31" t="n">
        <v>8000</v>
      </c>
      <c r="W72" s="36" t="n">
        <v>-0.2360406091370558</v>
      </c>
      <c r="X72" s="36" t="n">
        <v>0.1287499999999999</v>
      </c>
      <c r="Y72" s="31" t="n">
        <v>17780753</v>
      </c>
      <c r="Z72" s="31" t="n">
        <v>160560199590</v>
      </c>
      <c r="AA72" s="31" t="n">
        <v>610120980</v>
      </c>
      <c r="AB72" s="31" t="n">
        <v>1045297381</v>
      </c>
      <c r="AC72" s="36" t="n">
        <v>0.003799951554357681</v>
      </c>
      <c r="AD72" s="29" t="inlineStr">
        <is>
          <t>yfinance_download</t>
        </is>
      </c>
      <c r="AE72" s="29" t="inlineStr">
        <is>
          <t>102120.KQ</t>
        </is>
      </c>
    </row>
    <row r="73" ht="24" customHeight="1">
      <c r="A73" s="24" t="inlineStr">
        <is>
          <t>2023-09-19</t>
        </is>
      </c>
      <c r="B73" s="30" t="n">
        <v>9030</v>
      </c>
      <c r="C73" s="30" t="n">
        <v>9080</v>
      </c>
      <c r="D73" s="30" t="n">
        <v>8910</v>
      </c>
      <c r="E73" s="30" t="n">
        <v>9030</v>
      </c>
      <c r="F73" s="30" t="n">
        <v>8909.6005859375</v>
      </c>
      <c r="G73" s="30" t="n">
        <v>55603</v>
      </c>
      <c r="H73" s="35" t="n">
        <v>0</v>
      </c>
      <c r="I73" s="35" t="n">
        <v>-0.4391304347826087</v>
      </c>
      <c r="J73" s="30" t="n">
        <v>9240</v>
      </c>
      <c r="K73" s="30" t="n">
        <v>9851.333333333334</v>
      </c>
      <c r="L73" s="30" t="n">
        <v>10174.66666666667</v>
      </c>
      <c r="M73" s="35" t="n">
        <v>0.2962384670018409</v>
      </c>
      <c r="N73" s="35" t="n">
        <v>0.3633985917167522</v>
      </c>
      <c r="O73" s="35" t="n">
        <v>0.01460674157303377</v>
      </c>
      <c r="P73" s="35" t="n">
        <v>-0.1432637571157496</v>
      </c>
      <c r="Q73" s="35" t="n">
        <v>-0.1908602150537635</v>
      </c>
      <c r="R73" s="35" t="n">
        <v>-0.02272727272727271</v>
      </c>
      <c r="S73" s="35" t="n">
        <v>-0.08337280909521561</v>
      </c>
      <c r="T73" s="35" t="n">
        <v>-0.1125016380553007</v>
      </c>
      <c r="U73" s="30" t="n">
        <v>11820</v>
      </c>
      <c r="V73" s="30" t="n">
        <v>8000</v>
      </c>
      <c r="W73" s="35" t="n">
        <v>-0.2360406091370558</v>
      </c>
      <c r="X73" s="35" t="n">
        <v>0.1287499999999999</v>
      </c>
      <c r="Y73" s="30" t="n">
        <v>17780753</v>
      </c>
      <c r="Z73" s="30" t="n">
        <v>160560199590</v>
      </c>
      <c r="AA73" s="30" t="n">
        <v>502095090</v>
      </c>
      <c r="AB73" s="30" t="n">
        <v>1027729305.5</v>
      </c>
      <c r="AC73" s="35" t="n">
        <v>0.003127145402672204</v>
      </c>
      <c r="AD73" s="24" t="inlineStr">
        <is>
          <t>yfinance_download</t>
        </is>
      </c>
      <c r="AE73" s="24" t="inlineStr">
        <is>
          <t>102120.KQ</t>
        </is>
      </c>
    </row>
    <row r="74" ht="24" customHeight="1">
      <c r="A74" s="29" t="inlineStr">
        <is>
          <t>2023-09-20</t>
        </is>
      </c>
      <c r="B74" s="31" t="n">
        <v>8920</v>
      </c>
      <c r="C74" s="31" t="n">
        <v>9030</v>
      </c>
      <c r="D74" s="31" t="n">
        <v>8920</v>
      </c>
      <c r="E74" s="31" t="n">
        <v>8970</v>
      </c>
      <c r="F74" s="31" t="n">
        <v>8850.400390625</v>
      </c>
      <c r="G74" s="31" t="n">
        <v>59687</v>
      </c>
      <c r="H74" s="36" t="n">
        <v>-0.006644518272425293</v>
      </c>
      <c r="I74" s="36" t="n">
        <v>-0.4428571428571428</v>
      </c>
      <c r="J74" s="31" t="n">
        <v>9241.5</v>
      </c>
      <c r="K74" s="31" t="n">
        <v>9820</v>
      </c>
      <c r="L74" s="31" t="n">
        <v>10156</v>
      </c>
      <c r="M74" s="36" t="n">
        <v>0.2970785069138338</v>
      </c>
      <c r="N74" s="36" t="n">
        <v>0.3574163276585981</v>
      </c>
      <c r="O74" s="36" t="n">
        <v>0.003355704697986628</v>
      </c>
      <c r="P74" s="36" t="n">
        <v>-0.1732718894009216</v>
      </c>
      <c r="Q74" s="36" t="n">
        <v>-0.199821587867975</v>
      </c>
      <c r="R74" s="36" t="n">
        <v>-0.02937834767083269</v>
      </c>
      <c r="S74" s="36" t="n">
        <v>-0.0865580448065173</v>
      </c>
      <c r="T74" s="36" t="n">
        <v>-0.1167782591571485</v>
      </c>
      <c r="U74" s="31" t="n">
        <v>11820</v>
      </c>
      <c r="V74" s="31" t="n">
        <v>8000</v>
      </c>
      <c r="W74" s="36" t="n">
        <v>-0.2411167512690355</v>
      </c>
      <c r="X74" s="36" t="n">
        <v>0.1212500000000001</v>
      </c>
      <c r="Y74" s="31" t="n">
        <v>17780753</v>
      </c>
      <c r="Z74" s="31" t="n">
        <v>159493354410</v>
      </c>
      <c r="AA74" s="31" t="n">
        <v>535392390</v>
      </c>
      <c r="AB74" s="31" t="n">
        <v>1028890742</v>
      </c>
      <c r="AC74" s="36" t="n">
        <v>0.00335683196319076</v>
      </c>
      <c r="AD74" s="29" t="inlineStr">
        <is>
          <t>yfinance_download</t>
        </is>
      </c>
      <c r="AE74" s="29" t="inlineStr">
        <is>
          <t>102120.KQ</t>
        </is>
      </c>
    </row>
    <row r="75" ht="24" customHeight="1">
      <c r="A75" s="24" t="inlineStr">
        <is>
          <t>2023-09-21</t>
        </is>
      </c>
      <c r="B75" s="30" t="n">
        <v>8820</v>
      </c>
      <c r="C75" s="30" t="n">
        <v>8970</v>
      </c>
      <c r="D75" s="30" t="n">
        <v>8710</v>
      </c>
      <c r="E75" s="30" t="n">
        <v>8770</v>
      </c>
      <c r="F75" s="30" t="n">
        <v>8653.06640625</v>
      </c>
      <c r="G75" s="30" t="n">
        <v>66160</v>
      </c>
      <c r="H75" s="35" t="n">
        <v>-0.02229654403567449</v>
      </c>
      <c r="I75" s="35" t="n">
        <v>-0.4552795031055901</v>
      </c>
      <c r="J75" s="30" t="n">
        <v>9222.5</v>
      </c>
      <c r="K75" s="30" t="n">
        <v>9785.166666666666</v>
      </c>
      <c r="L75" s="30" t="n">
        <v>10133.75</v>
      </c>
      <c r="M75" s="35" t="n">
        <v>0.2941860943438608</v>
      </c>
      <c r="N75" s="35" t="n">
        <v>0.359512521191461</v>
      </c>
      <c r="O75" s="35" t="n">
        <v>-0.04153005464480874</v>
      </c>
      <c r="P75" s="35" t="n">
        <v>-0.1924493554327809</v>
      </c>
      <c r="Q75" s="35" t="n">
        <v>-0.2333916083916084</v>
      </c>
      <c r="R75" s="35" t="n">
        <v>-0.04906478720520469</v>
      </c>
      <c r="S75" s="35" t="n">
        <v>-0.1037454650746878</v>
      </c>
      <c r="T75" s="35" t="n">
        <v>-0.1345750585913408</v>
      </c>
      <c r="U75" s="30" t="n">
        <v>11820</v>
      </c>
      <c r="V75" s="30" t="n">
        <v>8000</v>
      </c>
      <c r="W75" s="35" t="n">
        <v>-0.2580372250423012</v>
      </c>
      <c r="X75" s="35" t="n">
        <v>0.09624999999999995</v>
      </c>
      <c r="Y75" s="30" t="n">
        <v>17780753</v>
      </c>
      <c r="Z75" s="30" t="n">
        <v>155937203810</v>
      </c>
      <c r="AA75" s="30" t="n">
        <v>580223200</v>
      </c>
      <c r="AB75" s="30" t="n">
        <v>1005484297</v>
      </c>
      <c r="AC75" s="35" t="n">
        <v>0.003720877287930382</v>
      </c>
      <c r="AD75" s="24" t="inlineStr">
        <is>
          <t>yfinance_download</t>
        </is>
      </c>
      <c r="AE75" s="24" t="inlineStr">
        <is>
          <t>102120.KQ</t>
        </is>
      </c>
    </row>
    <row r="76" ht="24" customHeight="1">
      <c r="A76" s="29" t="inlineStr">
        <is>
          <t>2023-09-22</t>
        </is>
      </c>
      <c r="B76" s="31" t="n">
        <v>8670</v>
      </c>
      <c r="C76" s="31" t="n">
        <v>8800</v>
      </c>
      <c r="D76" s="31" t="n">
        <v>8650</v>
      </c>
      <c r="E76" s="31" t="n">
        <v>8720</v>
      </c>
      <c r="F76" s="31" t="n">
        <v>8603.7333984375</v>
      </c>
      <c r="G76" s="31" t="n">
        <v>33300</v>
      </c>
      <c r="H76" s="36" t="n">
        <v>-0.005701254275940704</v>
      </c>
      <c r="I76" s="36" t="n">
        <v>-0.4583850931677018</v>
      </c>
      <c r="J76" s="31" t="n">
        <v>9210.5</v>
      </c>
      <c r="K76" s="31" t="n">
        <v>9750.5</v>
      </c>
      <c r="L76" s="31" t="n">
        <v>10107.91666666667</v>
      </c>
      <c r="M76" s="36" t="n">
        <v>0.2861621984486934</v>
      </c>
      <c r="N76" s="36" t="n">
        <v>0.3595173572693784</v>
      </c>
      <c r="O76" s="36" t="n">
        <v>-0.0267857142857143</v>
      </c>
      <c r="P76" s="36" t="n">
        <v>-0.1925925925925925</v>
      </c>
      <c r="Q76" s="36" t="n">
        <v>-0.2622673434856176</v>
      </c>
      <c r="R76" s="36" t="n">
        <v>-0.05325443786982254</v>
      </c>
      <c r="S76" s="36" t="n">
        <v>-0.1056868878519051</v>
      </c>
      <c r="T76" s="36" t="n">
        <v>-0.13730986438023</v>
      </c>
      <c r="U76" s="31" t="n">
        <v>11820</v>
      </c>
      <c r="V76" s="31" t="n">
        <v>8000</v>
      </c>
      <c r="W76" s="36" t="n">
        <v>-0.2622673434856176</v>
      </c>
      <c r="X76" s="36" t="n">
        <v>0.09000000000000008</v>
      </c>
      <c r="Y76" s="31" t="n">
        <v>17780753</v>
      </c>
      <c r="Z76" s="31" t="n">
        <v>155048166160</v>
      </c>
      <c r="AA76" s="31" t="n">
        <v>290376000</v>
      </c>
      <c r="AB76" s="31" t="n">
        <v>988220633</v>
      </c>
      <c r="AC76" s="36" t="n">
        <v>0.00187281157327814</v>
      </c>
      <c r="AD76" s="29" t="inlineStr">
        <is>
          <t>yfinance_download</t>
        </is>
      </c>
      <c r="AE76" s="29" t="inlineStr">
        <is>
          <t>102120.KQ</t>
        </is>
      </c>
    </row>
    <row r="77" ht="24" customHeight="1">
      <c r="A77" s="24" t="inlineStr">
        <is>
          <t>2023-09-25</t>
        </is>
      </c>
      <c r="B77" s="30" t="n">
        <v>8700</v>
      </c>
      <c r="C77" s="30" t="n">
        <v>8750</v>
      </c>
      <c r="D77" s="30" t="n">
        <v>8540</v>
      </c>
      <c r="E77" s="30" t="n">
        <v>8620</v>
      </c>
      <c r="F77" s="30" t="n">
        <v>8505.06640625</v>
      </c>
      <c r="G77" s="30" t="n">
        <v>64976</v>
      </c>
      <c r="H77" s="35" t="n">
        <v>-0.01146788990825687</v>
      </c>
      <c r="I77" s="35" t="n">
        <v>-0.4645962732919254</v>
      </c>
      <c r="J77" s="30" t="n">
        <v>9183.5</v>
      </c>
      <c r="K77" s="30" t="n">
        <v>9714</v>
      </c>
      <c r="L77" s="30" t="n">
        <v>10082.58333333333</v>
      </c>
      <c r="M77" s="35" t="n">
        <v>0.2742070135462432</v>
      </c>
      <c r="N77" s="35" t="n">
        <v>0.3597912546839239</v>
      </c>
      <c r="O77" s="35" t="n">
        <v>-0.05895196506550215</v>
      </c>
      <c r="P77" s="35" t="n">
        <v>-0.2025901942645698</v>
      </c>
      <c r="Q77" s="35" t="n">
        <v>-0.2607204116638079</v>
      </c>
      <c r="R77" s="35" t="n">
        <v>-0.0613600479120161</v>
      </c>
      <c r="S77" s="35" t="n">
        <v>-0.1126209594399835</v>
      </c>
      <c r="T77" s="35" t="n">
        <v>-0.1450603763916325</v>
      </c>
      <c r="U77" s="30" t="n">
        <v>11820</v>
      </c>
      <c r="V77" s="30" t="n">
        <v>8000</v>
      </c>
      <c r="W77" s="35" t="n">
        <v>-0.2707275803722504</v>
      </c>
      <c r="X77" s="35" t="n">
        <v>0.0774999999999999</v>
      </c>
      <c r="Y77" s="30" t="n">
        <v>17780753</v>
      </c>
      <c r="Z77" s="30" t="n">
        <v>153270090860</v>
      </c>
      <c r="AA77" s="30" t="n">
        <v>560093120</v>
      </c>
      <c r="AB77" s="30" t="n">
        <v>933450949</v>
      </c>
      <c r="AC77" s="35" t="n">
        <v>0.003654288431991603</v>
      </c>
      <c r="AD77" s="24" t="inlineStr">
        <is>
          <t>yfinance_download</t>
        </is>
      </c>
      <c r="AE77" s="24" t="inlineStr">
        <is>
          <t>102120.KQ</t>
        </is>
      </c>
    </row>
    <row r="78" ht="24" customHeight="1">
      <c r="A78" s="29" t="inlineStr">
        <is>
          <t>2023-09-26</t>
        </is>
      </c>
      <c r="B78" s="31" t="n">
        <v>8570</v>
      </c>
      <c r="C78" s="31" t="n">
        <v>8630</v>
      </c>
      <c r="D78" s="31" t="n">
        <v>8200</v>
      </c>
      <c r="E78" s="31" t="n">
        <v>8210</v>
      </c>
      <c r="F78" s="31" t="n">
        <v>8100.533203125</v>
      </c>
      <c r="G78" s="31" t="n">
        <v>96084</v>
      </c>
      <c r="H78" s="36" t="n">
        <v>-0.04756380510440839</v>
      </c>
      <c r="I78" s="36" t="n">
        <v>-0.4900621118012423</v>
      </c>
      <c r="J78" s="31" t="n">
        <v>9124.5</v>
      </c>
      <c r="K78" s="31" t="n">
        <v>9672</v>
      </c>
      <c r="L78" s="31" t="n">
        <v>10054.83333333333</v>
      </c>
      <c r="M78" s="36" t="n">
        <v>0.2962344629680612</v>
      </c>
      <c r="N78" s="36" t="n">
        <v>0.3708886089287955</v>
      </c>
      <c r="O78" s="36" t="n">
        <v>-0.1256656017039404</v>
      </c>
      <c r="P78" s="36" t="n">
        <v>-0.2348555452003728</v>
      </c>
      <c r="Q78" s="36" t="n">
        <v>-0.2885615251299827</v>
      </c>
      <c r="R78" s="36" t="n">
        <v>-0.1002246698449231</v>
      </c>
      <c r="S78" s="36" t="n">
        <v>-0.1511579818031431</v>
      </c>
      <c r="T78" s="36" t="n">
        <v>-0.1834772663229957</v>
      </c>
      <c r="U78" s="31" t="n">
        <v>11820</v>
      </c>
      <c r="V78" s="31" t="n">
        <v>8000</v>
      </c>
      <c r="W78" s="36" t="n">
        <v>-0.305414551607445</v>
      </c>
      <c r="X78" s="36" t="n">
        <v>0.02625000000000011</v>
      </c>
      <c r="Y78" s="31" t="n">
        <v>17780753</v>
      </c>
      <c r="Z78" s="31" t="n">
        <v>145979982130</v>
      </c>
      <c r="AA78" s="31" t="n">
        <v>788849640</v>
      </c>
      <c r="AB78" s="31" t="n">
        <v>866746993</v>
      </c>
      <c r="AC78" s="36" t="n">
        <v>0.005403820636842545</v>
      </c>
      <c r="AD78" s="29" t="inlineStr">
        <is>
          <t>yfinance_download</t>
        </is>
      </c>
      <c r="AE78" s="29" t="inlineStr">
        <is>
          <t>102120.KQ</t>
        </is>
      </c>
    </row>
    <row r="79" ht="24" customHeight="1">
      <c r="A79" s="24" t="inlineStr">
        <is>
          <t>2023-09-27</t>
        </is>
      </c>
      <c r="B79" s="30" t="n">
        <v>8030</v>
      </c>
      <c r="C79" s="30" t="n">
        <v>8360</v>
      </c>
      <c r="D79" s="30" t="n">
        <v>8030</v>
      </c>
      <c r="E79" s="30" t="n">
        <v>8360</v>
      </c>
      <c r="F79" s="30" t="n">
        <v>8248.533203125</v>
      </c>
      <c r="G79" s="30" t="n">
        <v>42060</v>
      </c>
      <c r="H79" s="35" t="n">
        <v>0.01827040194884288</v>
      </c>
      <c r="I79" s="35" t="n">
        <v>-0.4807453416149068</v>
      </c>
      <c r="J79" s="30" t="n">
        <v>9070</v>
      </c>
      <c r="K79" s="30" t="n">
        <v>9627.5</v>
      </c>
      <c r="L79" s="30" t="n">
        <v>10032.66666666667</v>
      </c>
      <c r="M79" s="35" t="n">
        <v>0.3059472618076027</v>
      </c>
      <c r="N79" s="35" t="n">
        <v>0.3678212102896453</v>
      </c>
      <c r="O79" s="35" t="n">
        <v>-0.1153439153439153</v>
      </c>
      <c r="P79" s="35" t="n">
        <v>-0.2420670897552131</v>
      </c>
      <c r="Q79" s="35" t="n">
        <v>-0.2413793103448276</v>
      </c>
      <c r="R79" s="35" t="n">
        <v>-0.0782800441014333</v>
      </c>
      <c r="S79" s="35" t="n">
        <v>-0.1316541158140743</v>
      </c>
      <c r="T79" s="35" t="n">
        <v>-0.1667220413316499</v>
      </c>
      <c r="U79" s="30" t="n">
        <v>11820</v>
      </c>
      <c r="V79" s="30" t="n">
        <v>8000</v>
      </c>
      <c r="W79" s="35" t="n">
        <v>-0.2927241962774958</v>
      </c>
      <c r="X79" s="35" t="n">
        <v>0.04499999999999993</v>
      </c>
      <c r="Y79" s="30" t="n">
        <v>17780753</v>
      </c>
      <c r="Z79" s="30" t="n">
        <v>148647095080</v>
      </c>
      <c r="AA79" s="30" t="n">
        <v>351621600</v>
      </c>
      <c r="AB79" s="30" t="n">
        <v>834078643</v>
      </c>
      <c r="AC79" s="35" t="n">
        <v>0.002365479122284641</v>
      </c>
      <c r="AD79" s="24" t="inlineStr">
        <is>
          <t>yfinance_download</t>
        </is>
      </c>
      <c r="AE79" s="24" t="inlineStr">
        <is>
          <t>102120.KQ</t>
        </is>
      </c>
    </row>
    <row r="80" ht="24" customHeight="1">
      <c r="A80" s="29" t="inlineStr">
        <is>
          <t>2023-10-04</t>
        </is>
      </c>
      <c r="B80" s="31" t="n">
        <v>8200</v>
      </c>
      <c r="C80" s="31" t="n">
        <v>8290</v>
      </c>
      <c r="D80" s="31" t="n">
        <v>7970</v>
      </c>
      <c r="E80" s="31" t="n">
        <v>8050</v>
      </c>
      <c r="F80" s="31" t="n">
        <v>7942.6669921875</v>
      </c>
      <c r="G80" s="31" t="n">
        <v>64386</v>
      </c>
      <c r="H80" s="36" t="n">
        <v>-0.03708133971291872</v>
      </c>
      <c r="I80" s="36" t="n">
        <v>-0.5</v>
      </c>
      <c r="J80" s="31" t="n">
        <v>9011.5</v>
      </c>
      <c r="K80" s="31" t="n">
        <v>9575</v>
      </c>
      <c r="L80" s="31" t="n">
        <v>10007.41666666667</v>
      </c>
      <c r="M80" s="36" t="n">
        <v>0.3191730733808192</v>
      </c>
      <c r="N80" s="36" t="n">
        <v>0.3714924187662305</v>
      </c>
      <c r="O80" s="36" t="n">
        <v>-0.1268980477223427</v>
      </c>
      <c r="P80" s="36" t="n">
        <v>-0.28125</v>
      </c>
      <c r="Q80" s="36" t="n">
        <v>-0.2734657039711191</v>
      </c>
      <c r="R80" s="36" t="n">
        <v>-0.1066969982799756</v>
      </c>
      <c r="S80" s="36" t="n">
        <v>-0.1592689295039165</v>
      </c>
      <c r="T80" s="36" t="n">
        <v>-0.1955965991889348</v>
      </c>
      <c r="U80" s="31" t="n">
        <v>11820</v>
      </c>
      <c r="V80" s="31" t="n">
        <v>8000</v>
      </c>
      <c r="W80" s="36" t="n">
        <v>-0.3189509306260575</v>
      </c>
      <c r="X80" s="36" t="n">
        <v>0.006250000000000089</v>
      </c>
      <c r="Y80" s="31" t="n">
        <v>17780753</v>
      </c>
      <c r="Z80" s="31" t="n">
        <v>143135061650</v>
      </c>
      <c r="AA80" s="31" t="n">
        <v>518307300</v>
      </c>
      <c r="AB80" s="31" t="n">
        <v>822827266</v>
      </c>
      <c r="AC80" s="36" t="n">
        <v>0.003621106485197787</v>
      </c>
      <c r="AD80" s="29" t="inlineStr">
        <is>
          <t>yfinance_download</t>
        </is>
      </c>
      <c r="AE80" s="29" t="inlineStr">
        <is>
          <t>102120.KQ</t>
        </is>
      </c>
    </row>
    <row r="81" ht="24" customHeight="1">
      <c r="A81" s="24" t="inlineStr">
        <is>
          <t>2023-10-05</t>
        </is>
      </c>
      <c r="B81" s="30" t="n">
        <v>8100</v>
      </c>
      <c r="C81" s="30" t="n">
        <v>8200</v>
      </c>
      <c r="D81" s="30" t="n">
        <v>7900</v>
      </c>
      <c r="E81" s="30" t="n">
        <v>8050</v>
      </c>
      <c r="F81" s="30" t="n">
        <v>7942.6669921875</v>
      </c>
      <c r="G81" s="30" t="n">
        <v>58212</v>
      </c>
      <c r="H81" s="35" t="n">
        <v>0</v>
      </c>
      <c r="I81" s="35" t="n">
        <v>-0.5</v>
      </c>
      <c r="J81" s="30" t="n">
        <v>8935.5</v>
      </c>
      <c r="K81" s="30" t="n">
        <v>9529.166666666666</v>
      </c>
      <c r="L81" s="30" t="n">
        <v>9985.333333333334</v>
      </c>
      <c r="M81" s="35" t="n">
        <v>0.2742048987130863</v>
      </c>
      <c r="N81" s="35" t="n">
        <v>0.3661422623234211</v>
      </c>
      <c r="O81" s="35" t="n">
        <v>-0.1588296760710554</v>
      </c>
      <c r="P81" s="35" t="n">
        <v>-0.2546296296296297</v>
      </c>
      <c r="Q81" s="35" t="n">
        <v>-0.2476635514018691</v>
      </c>
      <c r="R81" s="35" t="n">
        <v>-0.09909909909909909</v>
      </c>
      <c r="S81" s="35" t="n">
        <v>-0.1552251858329688</v>
      </c>
      <c r="T81" s="35" t="n">
        <v>-0.1938175991454133</v>
      </c>
      <c r="U81" s="30" t="n">
        <v>11820</v>
      </c>
      <c r="V81" s="30" t="n">
        <v>8000</v>
      </c>
      <c r="W81" s="35" t="n">
        <v>-0.3189509306260575</v>
      </c>
      <c r="X81" s="35" t="n">
        <v>0.006250000000000089</v>
      </c>
      <c r="Y81" s="30" t="n">
        <v>17780753</v>
      </c>
      <c r="Z81" s="30" t="n">
        <v>143135061650</v>
      </c>
      <c r="AA81" s="30" t="n">
        <v>468606600</v>
      </c>
      <c r="AB81" s="30" t="n">
        <v>648539960.5</v>
      </c>
      <c r="AC81" s="35" t="n">
        <v>0.003273877096206218</v>
      </c>
      <c r="AD81" s="24" t="inlineStr">
        <is>
          <t>yfinance_download</t>
        </is>
      </c>
      <c r="AE81" s="24" t="inlineStr">
        <is>
          <t>102120.KQ</t>
        </is>
      </c>
    </row>
    <row r="82" ht="24" customHeight="1">
      <c r="A82" s="29" t="inlineStr">
        <is>
          <t>2023-10-06</t>
        </is>
      </c>
      <c r="B82" s="31" t="n">
        <v>7920</v>
      </c>
      <c r="C82" s="31" t="n">
        <v>8160</v>
      </c>
      <c r="D82" s="31" t="n">
        <v>7920</v>
      </c>
      <c r="E82" s="31" t="n">
        <v>8130</v>
      </c>
      <c r="F82" s="31" t="n">
        <v>8021.60009765625</v>
      </c>
      <c r="G82" s="31" t="n">
        <v>34064</v>
      </c>
      <c r="H82" s="36" t="n">
        <v>0.009937888198757738</v>
      </c>
      <c r="I82" s="36" t="n">
        <v>-0.4950310559006211</v>
      </c>
      <c r="J82" s="31" t="n">
        <v>8860.5</v>
      </c>
      <c r="K82" s="31" t="n">
        <v>9490.5</v>
      </c>
      <c r="L82" s="31" t="n">
        <v>9958.083333333334</v>
      </c>
      <c r="M82" s="36" t="n">
        <v>0.2771134312899067</v>
      </c>
      <c r="N82" s="36" t="n">
        <v>0.3626860476423005</v>
      </c>
      <c r="O82" s="36" t="n">
        <v>-0.1557632398753894</v>
      </c>
      <c r="P82" s="36" t="n">
        <v>-0.2220095693779904</v>
      </c>
      <c r="Q82" s="36" t="n">
        <v>-0.2868421052631579</v>
      </c>
      <c r="R82" s="36" t="n">
        <v>-0.08244455730489253</v>
      </c>
      <c r="S82" s="36" t="n">
        <v>-0.1433538801959855</v>
      </c>
      <c r="T82" s="36" t="n">
        <v>-0.1835778304057843</v>
      </c>
      <c r="U82" s="31" t="n">
        <v>11820</v>
      </c>
      <c r="V82" s="31" t="n">
        <v>8000</v>
      </c>
      <c r="W82" s="36" t="n">
        <v>-0.3121827411167513</v>
      </c>
      <c r="X82" s="36" t="n">
        <v>0.0162500000000001</v>
      </c>
      <c r="Y82" s="31" t="n">
        <v>17780753</v>
      </c>
      <c r="Z82" s="31" t="n">
        <v>144557521890</v>
      </c>
      <c r="AA82" s="31" t="n">
        <v>276940320</v>
      </c>
      <c r="AB82" s="31" t="n">
        <v>598561744</v>
      </c>
      <c r="AC82" s="36" t="n">
        <v>0.001915779382346743</v>
      </c>
      <c r="AD82" s="29" t="inlineStr">
        <is>
          <t>yfinance_download</t>
        </is>
      </c>
      <c r="AE82" s="29" t="inlineStr">
        <is>
          <t>102120.KQ</t>
        </is>
      </c>
    </row>
    <row r="83" ht="24" customHeight="1">
      <c r="A83" s="24" t="inlineStr">
        <is>
          <t>2023-10-10</t>
        </is>
      </c>
      <c r="B83" s="30" t="n">
        <v>8100</v>
      </c>
      <c r="C83" s="30" t="n">
        <v>8270</v>
      </c>
      <c r="D83" s="30" t="n">
        <v>7990</v>
      </c>
      <c r="E83" s="30" t="n">
        <v>8090</v>
      </c>
      <c r="F83" s="30" t="n">
        <v>7982.13330078125</v>
      </c>
      <c r="G83" s="30" t="n">
        <v>43298</v>
      </c>
      <c r="H83" s="35" t="n">
        <v>-0.004920049200492049</v>
      </c>
      <c r="I83" s="35" t="n">
        <v>-0.4975155279503105</v>
      </c>
      <c r="J83" s="30" t="n">
        <v>8788</v>
      </c>
      <c r="K83" s="30" t="n">
        <v>9453.833333333334</v>
      </c>
      <c r="L83" s="30" t="n">
        <v>9932.75</v>
      </c>
      <c r="M83" s="35" t="n">
        <v>0.2773336722952598</v>
      </c>
      <c r="N83" s="35" t="n">
        <v>0.3619162643223569</v>
      </c>
      <c r="O83" s="35" t="n">
        <v>-0.1519916142557652</v>
      </c>
      <c r="P83" s="35" t="n">
        <v>-0.2137998056365403</v>
      </c>
      <c r="Q83" s="35" t="n">
        <v>-0.2731356693620844</v>
      </c>
      <c r="R83" s="35" t="n">
        <v>-0.07942649066909424</v>
      </c>
      <c r="S83" s="35" t="n">
        <v>-0.1442624684872098</v>
      </c>
      <c r="T83" s="35" t="n">
        <v>-0.1855226397523344</v>
      </c>
      <c r="U83" s="30" t="n">
        <v>11820</v>
      </c>
      <c r="V83" s="30" t="n">
        <v>8000</v>
      </c>
      <c r="W83" s="35" t="n">
        <v>-0.3155668358714044</v>
      </c>
      <c r="X83" s="35" t="n">
        <v>0.01124999999999998</v>
      </c>
      <c r="Y83" s="30" t="n">
        <v>17780753</v>
      </c>
      <c r="Z83" s="30" t="n">
        <v>143846291770</v>
      </c>
      <c r="AA83" s="30" t="n">
        <v>350280820</v>
      </c>
      <c r="AB83" s="30" t="n">
        <v>582457302</v>
      </c>
      <c r="AC83" s="35" t="n">
        <v>0.002435104969963871</v>
      </c>
      <c r="AD83" s="24" t="inlineStr">
        <is>
          <t>yfinance_download</t>
        </is>
      </c>
      <c r="AE83" s="24" t="inlineStr">
        <is>
          <t>102120.KQ</t>
        </is>
      </c>
    </row>
    <row r="84" ht="24" customHeight="1">
      <c r="A84" s="29" t="inlineStr">
        <is>
          <t>2023-10-11</t>
        </is>
      </c>
      <c r="B84" s="31" t="n">
        <v>8100</v>
      </c>
      <c r="C84" s="31" t="n">
        <v>8370</v>
      </c>
      <c r="D84" s="31" t="n">
        <v>8100</v>
      </c>
      <c r="E84" s="31" t="n">
        <v>8310</v>
      </c>
      <c r="F84" s="31" t="n">
        <v>8199.2001953125</v>
      </c>
      <c r="G84" s="31" t="n">
        <v>48405</v>
      </c>
      <c r="H84" s="36" t="n">
        <v>0.02719406674907288</v>
      </c>
      <c r="I84" s="36" t="n">
        <v>-0.4838509316770186</v>
      </c>
      <c r="J84" s="31" t="n">
        <v>8734</v>
      </c>
      <c r="K84" s="31" t="n">
        <v>9425.666666666666</v>
      </c>
      <c r="L84" s="31" t="n">
        <v>9906.333333333334</v>
      </c>
      <c r="M84" s="36" t="n">
        <v>0.3023251152517906</v>
      </c>
      <c r="N84" s="36" t="n">
        <v>0.3637345161897333</v>
      </c>
      <c r="O84" s="36" t="n">
        <v>-0.1150159744408946</v>
      </c>
      <c r="P84" s="36" t="n">
        <v>-0.169</v>
      </c>
      <c r="Q84" s="36" t="n">
        <v>-0.2761324041811847</v>
      </c>
      <c r="R84" s="36" t="n">
        <v>-0.04854591252576135</v>
      </c>
      <c r="S84" s="36" t="n">
        <v>-0.1183647487357216</v>
      </c>
      <c r="T84" s="36" t="n">
        <v>-0.1611427033211078</v>
      </c>
      <c r="U84" s="31" t="n">
        <v>11820</v>
      </c>
      <c r="V84" s="31" t="n">
        <v>8000</v>
      </c>
      <c r="W84" s="36" t="n">
        <v>-0.2969543147208121</v>
      </c>
      <c r="X84" s="36" t="n">
        <v>0.03875000000000006</v>
      </c>
      <c r="Y84" s="31" t="n">
        <v>17780753</v>
      </c>
      <c r="Z84" s="31" t="n">
        <v>147758057430</v>
      </c>
      <c r="AA84" s="31" t="n">
        <v>402245550</v>
      </c>
      <c r="AB84" s="31" t="n">
        <v>571670845.5</v>
      </c>
      <c r="AC84" s="36" t="n">
        <v>0.002722325651787638</v>
      </c>
      <c r="AD84" s="29" t="inlineStr">
        <is>
          <t>yfinance_download</t>
        </is>
      </c>
      <c r="AE84" s="29" t="inlineStr">
        <is>
          <t>102120.KQ</t>
        </is>
      </c>
    </row>
    <row r="85" ht="24" customHeight="1">
      <c r="A85" s="24" t="inlineStr">
        <is>
          <t>2023-10-12</t>
        </is>
      </c>
      <c r="B85" s="30" t="n">
        <v>8330</v>
      </c>
      <c r="C85" s="30" t="n">
        <v>8440</v>
      </c>
      <c r="D85" s="30" t="n">
        <v>8330</v>
      </c>
      <c r="E85" s="30" t="n">
        <v>8390</v>
      </c>
      <c r="F85" s="30" t="n">
        <v>8278.1337890625</v>
      </c>
      <c r="G85" s="30" t="n">
        <v>32415</v>
      </c>
      <c r="H85" s="35" t="n">
        <v>0.009626955475330989</v>
      </c>
      <c r="I85" s="35" t="n">
        <v>-0.4788819875776398</v>
      </c>
      <c r="J85" s="30" t="n">
        <v>8685</v>
      </c>
      <c r="K85" s="30" t="n">
        <v>9393.5</v>
      </c>
      <c r="L85" s="30" t="n">
        <v>9880.5</v>
      </c>
      <c r="M85" s="35" t="n">
        <v>0.307120539622795</v>
      </c>
      <c r="N85" s="35" t="n">
        <v>0.3574212863794966</v>
      </c>
      <c r="O85" s="35" t="n">
        <v>-0.1045891141942369</v>
      </c>
      <c r="P85" s="35" t="n">
        <v>-0.187015503875969</v>
      </c>
      <c r="Q85" s="35" t="n">
        <v>-0.2697998259355961</v>
      </c>
      <c r="R85" s="35" t="n">
        <v>-0.0339666090961428</v>
      </c>
      <c r="S85" s="35" t="n">
        <v>-0.1068291903976154</v>
      </c>
      <c r="T85" s="35" t="n">
        <v>-0.1508526896412125</v>
      </c>
      <c r="U85" s="30" t="n">
        <v>11820</v>
      </c>
      <c r="V85" s="30" t="n">
        <v>8000</v>
      </c>
      <c r="W85" s="35" t="n">
        <v>-0.2901861252115059</v>
      </c>
      <c r="X85" s="35" t="n">
        <v>0.04875000000000007</v>
      </c>
      <c r="Y85" s="30" t="n">
        <v>17780753</v>
      </c>
      <c r="Z85" s="30" t="n">
        <v>149180517670</v>
      </c>
      <c r="AA85" s="30" t="n">
        <v>271961850</v>
      </c>
      <c r="AB85" s="30" t="n">
        <v>543727980</v>
      </c>
      <c r="AC85" s="35" t="n">
        <v>0.001823038653087414</v>
      </c>
      <c r="AD85" s="24" t="inlineStr">
        <is>
          <t>yfinance_download</t>
        </is>
      </c>
      <c r="AE85" s="24" t="inlineStr">
        <is>
          <t>102120.KQ</t>
        </is>
      </c>
    </row>
    <row r="86" ht="24" customHeight="1">
      <c r="A86" s="29" t="inlineStr">
        <is>
          <t>2023-10-13</t>
        </is>
      </c>
      <c r="B86" s="31" t="n">
        <v>8380</v>
      </c>
      <c r="C86" s="31" t="n">
        <v>8530</v>
      </c>
      <c r="D86" s="31" t="n">
        <v>8250</v>
      </c>
      <c r="E86" s="31" t="n">
        <v>8320</v>
      </c>
      <c r="F86" s="31" t="n">
        <v>8209.06640625</v>
      </c>
      <c r="G86" s="31" t="n">
        <v>41412</v>
      </c>
      <c r="H86" s="36" t="n">
        <v>-0.008343265792610244</v>
      </c>
      <c r="I86" s="36" t="n">
        <v>-0.4832298136645963</v>
      </c>
      <c r="J86" s="31" t="n">
        <v>8644.5</v>
      </c>
      <c r="K86" s="31" t="n">
        <v>9353.666666666666</v>
      </c>
      <c r="L86" s="31" t="n">
        <v>9855.916666666666</v>
      </c>
      <c r="M86" s="36" t="n">
        <v>0.2979735658421553</v>
      </c>
      <c r="N86" s="36" t="n">
        <v>0.3471841809985461</v>
      </c>
      <c r="O86" s="36" t="n">
        <v>-0.08871851040525736</v>
      </c>
      <c r="P86" s="36" t="n">
        <v>-0.223155929038282</v>
      </c>
      <c r="Q86" s="36" t="n">
        <v>-0.2617568766637089</v>
      </c>
      <c r="R86" s="36" t="n">
        <v>-0.0375383191624733</v>
      </c>
      <c r="S86" s="36" t="n">
        <v>-0.1105092477103453</v>
      </c>
      <c r="T86" s="36" t="n">
        <v>-0.1558370183730584</v>
      </c>
      <c r="U86" s="31" t="n">
        <v>11820</v>
      </c>
      <c r="V86" s="31" t="n">
        <v>8000</v>
      </c>
      <c r="W86" s="36" t="n">
        <v>-0.2961082910321489</v>
      </c>
      <c r="X86" s="36" t="n">
        <v>0.04000000000000004</v>
      </c>
      <c r="Y86" s="31" t="n">
        <v>17780753</v>
      </c>
      <c r="Z86" s="31" t="n">
        <v>147935864960</v>
      </c>
      <c r="AA86" s="31" t="n">
        <v>344547840</v>
      </c>
      <c r="AB86" s="31" t="n">
        <v>490181894.5</v>
      </c>
      <c r="AC86" s="36" t="n">
        <v>0.002329035221399229</v>
      </c>
      <c r="AD86" s="29" t="inlineStr">
        <is>
          <t>yfinance_download</t>
        </is>
      </c>
      <c r="AE86" s="29" t="inlineStr">
        <is>
          <t>102120.KQ</t>
        </is>
      </c>
    </row>
    <row r="87" ht="24" customHeight="1">
      <c r="A87" s="24" t="inlineStr">
        <is>
          <t>2023-10-16</t>
        </is>
      </c>
      <c r="B87" s="30" t="n">
        <v>8160</v>
      </c>
      <c r="C87" s="30" t="n">
        <v>8350</v>
      </c>
      <c r="D87" s="30" t="n">
        <v>8050</v>
      </c>
      <c r="E87" s="30" t="n">
        <v>8130</v>
      </c>
      <c r="F87" s="30" t="n">
        <v>8021.60009765625</v>
      </c>
      <c r="G87" s="30" t="n">
        <v>24663</v>
      </c>
      <c r="H87" s="35" t="n">
        <v>-0.02283653846153844</v>
      </c>
      <c r="I87" s="35" t="n">
        <v>-0.4950310559006211</v>
      </c>
      <c r="J87" s="30" t="n">
        <v>8596.5</v>
      </c>
      <c r="K87" s="30" t="n">
        <v>9310.333333333334</v>
      </c>
      <c r="L87" s="30" t="n">
        <v>9829.75</v>
      </c>
      <c r="M87" s="35" t="n">
        <v>0.3050224235166388</v>
      </c>
      <c r="N87" s="35" t="n">
        <v>0.3490981095085136</v>
      </c>
      <c r="O87" s="35" t="n">
        <v>-0.1056105610561056</v>
      </c>
      <c r="P87" s="35" t="n">
        <v>-0.2423112767940354</v>
      </c>
      <c r="Q87" s="35" t="n">
        <v>-0.2786157941437445</v>
      </c>
      <c r="R87" s="35" t="n">
        <v>-0.05426627115686622</v>
      </c>
      <c r="S87" s="35" t="n">
        <v>-0.1267766997243207</v>
      </c>
      <c r="T87" s="35" t="n">
        <v>-0.1729189450392939</v>
      </c>
      <c r="U87" s="30" t="n">
        <v>11820</v>
      </c>
      <c r="V87" s="30" t="n">
        <v>8000</v>
      </c>
      <c r="W87" s="35" t="n">
        <v>-0.3121827411167513</v>
      </c>
      <c r="X87" s="35" t="n">
        <v>0.0162500000000001</v>
      </c>
      <c r="Y87" s="30" t="n">
        <v>17780753</v>
      </c>
      <c r="Z87" s="30" t="n">
        <v>144557521890</v>
      </c>
      <c r="AA87" s="30" t="n">
        <v>200510190</v>
      </c>
      <c r="AB87" s="30" t="n">
        <v>476602492</v>
      </c>
      <c r="AC87" s="35" t="n">
        <v>0.001387061616569332</v>
      </c>
      <c r="AD87" s="24" t="inlineStr">
        <is>
          <t>yfinance_download</t>
        </is>
      </c>
      <c r="AE87" s="24" t="inlineStr">
        <is>
          <t>102120.KQ</t>
        </is>
      </c>
    </row>
    <row r="88" ht="24" customHeight="1">
      <c r="A88" s="29" t="inlineStr">
        <is>
          <t>2023-10-17</t>
        </is>
      </c>
      <c r="B88" s="31" t="n">
        <v>8140</v>
      </c>
      <c r="C88" s="31" t="n">
        <v>8310</v>
      </c>
      <c r="D88" s="31" t="n">
        <v>8140</v>
      </c>
      <c r="E88" s="31" t="n">
        <v>8310</v>
      </c>
      <c r="F88" s="31" t="n">
        <v>8199.2001953125</v>
      </c>
      <c r="G88" s="31" t="n">
        <v>34483</v>
      </c>
      <c r="H88" s="36" t="n">
        <v>0.02214022140221394</v>
      </c>
      <c r="I88" s="36" t="n">
        <v>-0.4838509316770186</v>
      </c>
      <c r="J88" s="31" t="n">
        <v>8558</v>
      </c>
      <c r="K88" s="31" t="n">
        <v>9266.333333333334</v>
      </c>
      <c r="L88" s="31" t="n">
        <v>9807.75</v>
      </c>
      <c r="M88" s="36" t="n">
        <v>0.3201366590860917</v>
      </c>
      <c r="N88" s="36" t="n">
        <v>0.3496121245655429</v>
      </c>
      <c r="O88" s="36" t="n">
        <v>-0.08480176211453749</v>
      </c>
      <c r="P88" s="36" t="n">
        <v>-0.2410958904109589</v>
      </c>
      <c r="Q88" s="36" t="n">
        <v>-0.2410958904109589</v>
      </c>
      <c r="R88" s="36" t="n">
        <v>-0.02897873334891332</v>
      </c>
      <c r="S88" s="36" t="n">
        <v>-0.1032051512644341</v>
      </c>
      <c r="T88" s="36" t="n">
        <v>-0.1527108664066682</v>
      </c>
      <c r="U88" s="31" t="n">
        <v>11820</v>
      </c>
      <c r="V88" s="31" t="n">
        <v>8000</v>
      </c>
      <c r="W88" s="36" t="n">
        <v>-0.2969543147208121</v>
      </c>
      <c r="X88" s="36" t="n">
        <v>0.03875000000000006</v>
      </c>
      <c r="Y88" s="31" t="n">
        <v>17780753</v>
      </c>
      <c r="Z88" s="31" t="n">
        <v>147758057430</v>
      </c>
      <c r="AA88" s="31" t="n">
        <v>286553730</v>
      </c>
      <c r="AB88" s="31" t="n">
        <v>463209846.5</v>
      </c>
      <c r="AC88" s="36" t="n">
        <v>0.001939344188629132</v>
      </c>
      <c r="AD88" s="29" t="inlineStr">
        <is>
          <t>yfinance_download</t>
        </is>
      </c>
      <c r="AE88" s="29" t="inlineStr">
        <is>
          <t>102120.KQ</t>
        </is>
      </c>
    </row>
    <row r="89" ht="24" customHeight="1">
      <c r="A89" s="24" t="inlineStr">
        <is>
          <t>2023-10-18</t>
        </is>
      </c>
      <c r="B89" s="30" t="n">
        <v>8290</v>
      </c>
      <c r="C89" s="30" t="n">
        <v>8290</v>
      </c>
      <c r="D89" s="30" t="n">
        <v>8100</v>
      </c>
      <c r="E89" s="30" t="n">
        <v>8160</v>
      </c>
      <c r="F89" s="30" t="n">
        <v>8051.2001953125</v>
      </c>
      <c r="G89" s="30" t="n">
        <v>34131</v>
      </c>
      <c r="H89" s="35" t="n">
        <v>-0.01805054151624552</v>
      </c>
      <c r="I89" s="35" t="n">
        <v>-0.493167701863354</v>
      </c>
      <c r="J89" s="30" t="n">
        <v>8512</v>
      </c>
      <c r="K89" s="30" t="n">
        <v>9221</v>
      </c>
      <c r="L89" s="30" t="n">
        <v>9786.416666666666</v>
      </c>
      <c r="M89" s="35" t="n">
        <v>0.323371912810721</v>
      </c>
      <c r="N89" s="35" t="n">
        <v>0.3507178888431839</v>
      </c>
      <c r="O89" s="35" t="n">
        <v>-0.1013215859030837</v>
      </c>
      <c r="P89" s="35" t="n">
        <v>-0.25</v>
      </c>
      <c r="Q89" s="35" t="n">
        <v>-0.2388059701492538</v>
      </c>
      <c r="R89" s="35" t="n">
        <v>-0.04135338345864659</v>
      </c>
      <c r="S89" s="35" t="n">
        <v>-0.1150634421429346</v>
      </c>
      <c r="T89" s="35" t="n">
        <v>-0.1661912344491089</v>
      </c>
      <c r="U89" s="30" t="n">
        <v>11820</v>
      </c>
      <c r="V89" s="30" t="n">
        <v>8000</v>
      </c>
      <c r="W89" s="35" t="n">
        <v>-0.3096446700507615</v>
      </c>
      <c r="X89" s="35" t="n">
        <v>0.02000000000000002</v>
      </c>
      <c r="Y89" s="30" t="n">
        <v>17780753</v>
      </c>
      <c r="Z89" s="30" t="n">
        <v>145090944480</v>
      </c>
      <c r="AA89" s="30" t="n">
        <v>278508960</v>
      </c>
      <c r="AB89" s="30" t="n">
        <v>442825152.5</v>
      </c>
      <c r="AC89" s="35" t="n">
        <v>0.001919547501728414</v>
      </c>
      <c r="AD89" s="24" t="inlineStr">
        <is>
          <t>yfinance_download</t>
        </is>
      </c>
      <c r="AE89" s="24" t="inlineStr">
        <is>
          <t>102120.KQ</t>
        </is>
      </c>
    </row>
    <row r="90" ht="24" customHeight="1">
      <c r="A90" s="29" t="inlineStr">
        <is>
          <t>2023-10-19</t>
        </is>
      </c>
      <c r="B90" s="31" t="n">
        <v>8050</v>
      </c>
      <c r="C90" s="31" t="n">
        <v>8050</v>
      </c>
      <c r="D90" s="31" t="n">
        <v>7850</v>
      </c>
      <c r="E90" s="31" t="n">
        <v>7880</v>
      </c>
      <c r="F90" s="31" t="n">
        <v>7774.93359375</v>
      </c>
      <c r="G90" s="31" t="n">
        <v>72118</v>
      </c>
      <c r="H90" s="36" t="n">
        <v>-0.03431372549019607</v>
      </c>
      <c r="I90" s="36" t="n">
        <v>-0.5105590062111801</v>
      </c>
      <c r="J90" s="31" t="n">
        <v>8441</v>
      </c>
      <c r="K90" s="31" t="n">
        <v>9167</v>
      </c>
      <c r="L90" s="31" t="n">
        <v>9761.666666666666</v>
      </c>
      <c r="M90" s="36" t="n">
        <v>0.319629154863795</v>
      </c>
      <c r="N90" s="36" t="n">
        <v>0.3514826236414111</v>
      </c>
      <c r="O90" s="36" t="n">
        <v>-0.1526881720430108</v>
      </c>
      <c r="P90" s="36" t="n">
        <v>-0.2913669064748201</v>
      </c>
      <c r="Q90" s="36" t="n">
        <v>-0.2737327188940092</v>
      </c>
      <c r="R90" s="36" t="n">
        <v>-0.06646131974884495</v>
      </c>
      <c r="S90" s="36" t="n">
        <v>-0.1403948947311007</v>
      </c>
      <c r="T90" s="36" t="n">
        <v>-0.1927607990438791</v>
      </c>
      <c r="U90" s="31" t="n">
        <v>11820</v>
      </c>
      <c r="V90" s="31" t="n">
        <v>7880</v>
      </c>
      <c r="W90" s="36" t="n">
        <v>-0.3333333333333334</v>
      </c>
      <c r="X90" s="36" t="n">
        <v>0</v>
      </c>
      <c r="Y90" s="31" t="n">
        <v>17780753</v>
      </c>
      <c r="Z90" s="31" t="n">
        <v>140112333640</v>
      </c>
      <c r="AA90" s="31" t="n">
        <v>568289840</v>
      </c>
      <c r="AB90" s="31" t="n">
        <v>434931979.5</v>
      </c>
      <c r="AC90" s="36" t="n">
        <v>0.004055958709960146</v>
      </c>
      <c r="AD90" s="29" t="inlineStr">
        <is>
          <t>yfinance_download</t>
        </is>
      </c>
      <c r="AE90" s="29" t="inlineStr">
        <is>
          <t>102120.KQ</t>
        </is>
      </c>
    </row>
    <row r="91" ht="24" customHeight="1">
      <c r="A91" s="24" t="inlineStr">
        <is>
          <t>2023-10-20</t>
        </is>
      </c>
      <c r="B91" s="30" t="n">
        <v>7760</v>
      </c>
      <c r="C91" s="30" t="n">
        <v>7830</v>
      </c>
      <c r="D91" s="30" t="n">
        <v>7470</v>
      </c>
      <c r="E91" s="30" t="n">
        <v>7790</v>
      </c>
      <c r="F91" s="30" t="n">
        <v>7686.13330078125</v>
      </c>
      <c r="G91" s="30" t="n">
        <v>101489</v>
      </c>
      <c r="H91" s="35" t="n">
        <v>-0.01142131979695427</v>
      </c>
      <c r="I91" s="35" t="n">
        <v>-0.5161490683229814</v>
      </c>
      <c r="J91" s="30" t="n">
        <v>8366</v>
      </c>
      <c r="K91" s="30" t="n">
        <v>9113.666666666666</v>
      </c>
      <c r="L91" s="30" t="n">
        <v>9739.083333333334</v>
      </c>
      <c r="M91" s="35" t="n">
        <v>0.3187409701153776</v>
      </c>
      <c r="N91" s="35" t="n">
        <v>0.3514627368150651</v>
      </c>
      <c r="O91" s="35" t="n">
        <v>-0.1614639397201292</v>
      </c>
      <c r="P91" s="35" t="n">
        <v>-0.2911737943585078</v>
      </c>
      <c r="Q91" s="35" t="n">
        <v>-0.258095238095238</v>
      </c>
      <c r="R91" s="35" t="n">
        <v>-0.06885010757829313</v>
      </c>
      <c r="S91" s="35" t="n">
        <v>-0.1452397498262682</v>
      </c>
      <c r="T91" s="35" t="n">
        <v>-0.2001300601528208</v>
      </c>
      <c r="U91" s="30" t="n">
        <v>11820</v>
      </c>
      <c r="V91" s="30" t="n">
        <v>7790</v>
      </c>
      <c r="W91" s="35" t="n">
        <v>-0.3409475465313029</v>
      </c>
      <c r="X91" s="35" t="n">
        <v>0</v>
      </c>
      <c r="Y91" s="30" t="n">
        <v>17780753</v>
      </c>
      <c r="Z91" s="30" t="n">
        <v>138512065870</v>
      </c>
      <c r="AA91" s="30" t="n">
        <v>790599310</v>
      </c>
      <c r="AB91" s="30" t="n">
        <v>448806216.5</v>
      </c>
      <c r="AC91" s="35" t="n">
        <v>0.00570780101382658</v>
      </c>
      <c r="AD91" s="24" t="inlineStr">
        <is>
          <t>yfinance_download</t>
        </is>
      </c>
      <c r="AE91" s="24" t="inlineStr">
        <is>
          <t>102120.KQ</t>
        </is>
      </c>
    </row>
    <row r="92" ht="24" customHeight="1">
      <c r="A92" s="29" t="inlineStr">
        <is>
          <t>2023-10-23</t>
        </is>
      </c>
      <c r="B92" s="31" t="n">
        <v>7650</v>
      </c>
      <c r="C92" s="31" t="n">
        <v>7750</v>
      </c>
      <c r="D92" s="31" t="n">
        <v>7520</v>
      </c>
      <c r="E92" s="31" t="n">
        <v>7700</v>
      </c>
      <c r="F92" s="31" t="n">
        <v>7597.33349609375</v>
      </c>
      <c r="G92" s="31" t="n">
        <v>48378</v>
      </c>
      <c r="H92" s="36" t="n">
        <v>-0.01155327342747114</v>
      </c>
      <c r="I92" s="36" t="n">
        <v>-0.5217391304347826</v>
      </c>
      <c r="J92" s="31" t="n">
        <v>8299.5</v>
      </c>
      <c r="K92" s="31" t="n">
        <v>9066.666666666666</v>
      </c>
      <c r="L92" s="31" t="n">
        <v>9714.916666666666</v>
      </c>
      <c r="M92" s="36" t="n">
        <v>0.3107016295004115</v>
      </c>
      <c r="N92" s="36" t="n">
        <v>0.343038711130239</v>
      </c>
      <c r="O92" s="36" t="n">
        <v>-0.1472868217054264</v>
      </c>
      <c r="P92" s="36" t="n">
        <v>-0.2680608365019012</v>
      </c>
      <c r="Q92" s="36" t="n">
        <v>-0.2735849056603774</v>
      </c>
      <c r="R92" s="36" t="n">
        <v>-0.07223326706428101</v>
      </c>
      <c r="S92" s="36" t="n">
        <v>-0.150735294117647</v>
      </c>
      <c r="T92" s="36" t="n">
        <v>-0.2074044210363787</v>
      </c>
      <c r="U92" s="31" t="n">
        <v>11820</v>
      </c>
      <c r="V92" s="31" t="n">
        <v>7700</v>
      </c>
      <c r="W92" s="36" t="n">
        <v>-0.3485617597292724</v>
      </c>
      <c r="X92" s="36" t="n">
        <v>0</v>
      </c>
      <c r="Y92" s="31" t="n">
        <v>17780753</v>
      </c>
      <c r="Z92" s="31" t="n">
        <v>136911798100</v>
      </c>
      <c r="AA92" s="31" t="n">
        <v>372510600</v>
      </c>
      <c r="AB92" s="31" t="n">
        <v>436925697.5</v>
      </c>
      <c r="AC92" s="36" t="n">
        <v>0.002720807155917413</v>
      </c>
      <c r="AD92" s="29" t="inlineStr">
        <is>
          <t>yfinance_download</t>
        </is>
      </c>
      <c r="AE92" s="29" t="inlineStr">
        <is>
          <t>102120.KQ</t>
        </is>
      </c>
    </row>
    <row r="93" ht="24" customHeight="1">
      <c r="A93" s="24" t="inlineStr">
        <is>
          <t>2023-10-24</t>
        </is>
      </c>
      <c r="B93" s="30" t="n">
        <v>7660</v>
      </c>
      <c r="C93" s="30" t="n">
        <v>7890</v>
      </c>
      <c r="D93" s="30" t="n">
        <v>7530</v>
      </c>
      <c r="E93" s="30" t="n">
        <v>7890</v>
      </c>
      <c r="F93" s="30" t="n">
        <v>7784.80029296875</v>
      </c>
      <c r="G93" s="30" t="n">
        <v>44626</v>
      </c>
      <c r="H93" s="35" t="n">
        <v>0.02467532467532463</v>
      </c>
      <c r="I93" s="35" t="n">
        <v>-0.5099378881987577</v>
      </c>
      <c r="J93" s="30" t="n">
        <v>8242.5</v>
      </c>
      <c r="K93" s="30" t="n">
        <v>9022.833333333334</v>
      </c>
      <c r="L93" s="30" t="n">
        <v>9695.666666666666</v>
      </c>
      <c r="M93" s="35" t="n">
        <v>0.3305764895596588</v>
      </c>
      <c r="N93" s="35" t="n">
        <v>0.3482495734079014</v>
      </c>
      <c r="O93" s="35" t="n">
        <v>-0.1262458471760798</v>
      </c>
      <c r="P93" s="35" t="n">
        <v>-0.25</v>
      </c>
      <c r="Q93" s="35" t="n">
        <v>-0.2264705882352941</v>
      </c>
      <c r="R93" s="35" t="n">
        <v>-0.0427661510464058</v>
      </c>
      <c r="S93" s="35" t="n">
        <v>-0.1255518407004452</v>
      </c>
      <c r="T93" s="35" t="n">
        <v>-0.1862344002475332</v>
      </c>
      <c r="U93" s="30" t="n">
        <v>11820</v>
      </c>
      <c r="V93" s="30" t="n">
        <v>7700</v>
      </c>
      <c r="W93" s="35" t="n">
        <v>-0.3324873096446701</v>
      </c>
      <c r="X93" s="35" t="n">
        <v>0.02467532467532463</v>
      </c>
      <c r="Y93" s="30" t="n">
        <v>17780753</v>
      </c>
      <c r="Z93" s="30" t="n">
        <v>140290141170</v>
      </c>
      <c r="AA93" s="30" t="n">
        <v>352099140</v>
      </c>
      <c r="AB93" s="30" t="n">
        <v>429425900</v>
      </c>
      <c r="AC93" s="35" t="n">
        <v>0.002509792470543852</v>
      </c>
      <c r="AD93" s="24" t="inlineStr">
        <is>
          <t>yfinance_download</t>
        </is>
      </c>
      <c r="AE93" s="24" t="inlineStr">
        <is>
          <t>102120.KQ</t>
        </is>
      </c>
    </row>
    <row r="94" ht="24" customHeight="1">
      <c r="A94" s="29" t="inlineStr">
        <is>
          <t>2023-10-25</t>
        </is>
      </c>
      <c r="B94" s="31" t="n">
        <v>7940</v>
      </c>
      <c r="C94" s="31" t="n">
        <v>8030</v>
      </c>
      <c r="D94" s="31" t="n">
        <v>7860</v>
      </c>
      <c r="E94" s="31" t="n">
        <v>7900</v>
      </c>
      <c r="F94" s="31" t="n">
        <v>7794.6669921875</v>
      </c>
      <c r="G94" s="31" t="n">
        <v>36049</v>
      </c>
      <c r="H94" s="36" t="n">
        <v>0.001267427122940479</v>
      </c>
      <c r="I94" s="36" t="n">
        <v>-0.5093167701863355</v>
      </c>
      <c r="J94" s="31" t="n">
        <v>8189</v>
      </c>
      <c r="K94" s="31" t="n">
        <v>8985.333333333334</v>
      </c>
      <c r="L94" s="31" t="n">
        <v>9677.083333333334</v>
      </c>
      <c r="M94" s="36" t="n">
        <v>0.3317271394999445</v>
      </c>
      <c r="N94" s="36" t="n">
        <v>0.3425225596290611</v>
      </c>
      <c r="O94" s="36" t="n">
        <v>-0.1192865105908584</v>
      </c>
      <c r="P94" s="36" t="n">
        <v>-0.2216748768472906</v>
      </c>
      <c r="Q94" s="36" t="n">
        <v>-0.2201382033563672</v>
      </c>
      <c r="R94" s="36" t="n">
        <v>-0.03529124435217978</v>
      </c>
      <c r="S94" s="36" t="n">
        <v>-0.1207894346342188</v>
      </c>
      <c r="T94" s="36" t="n">
        <v>-0.183638320775027</v>
      </c>
      <c r="U94" s="31" t="n">
        <v>11820</v>
      </c>
      <c r="V94" s="31" t="n">
        <v>7700</v>
      </c>
      <c r="W94" s="36" t="n">
        <v>-0.3316412859560067</v>
      </c>
      <c r="X94" s="36" t="n">
        <v>0.02597402597402598</v>
      </c>
      <c r="Y94" s="31" t="n">
        <v>17780753</v>
      </c>
      <c r="Z94" s="31" t="n">
        <v>140467948700</v>
      </c>
      <c r="AA94" s="31" t="n">
        <v>284787100</v>
      </c>
      <c r="AB94" s="31" t="n">
        <v>416895635.5</v>
      </c>
      <c r="AC94" s="36" t="n">
        <v>0.002027416949102212</v>
      </c>
      <c r="AD94" s="29" t="inlineStr">
        <is>
          <t>yfinance_download</t>
        </is>
      </c>
      <c r="AE94" s="29" t="inlineStr">
        <is>
          <t>102120.KQ</t>
        </is>
      </c>
    </row>
    <row r="95" ht="24" customHeight="1">
      <c r="A95" s="24" t="inlineStr">
        <is>
          <t>2023-10-26</t>
        </is>
      </c>
      <c r="B95" s="30" t="n">
        <v>7670</v>
      </c>
      <c r="C95" s="30" t="n">
        <v>7750</v>
      </c>
      <c r="D95" s="30" t="n">
        <v>7480</v>
      </c>
      <c r="E95" s="30" t="n">
        <v>7610</v>
      </c>
      <c r="F95" s="30" t="n">
        <v>7508.533203125</v>
      </c>
      <c r="G95" s="30" t="n">
        <v>53197</v>
      </c>
      <c r="H95" s="35" t="n">
        <v>-0.03670886075949364</v>
      </c>
      <c r="I95" s="35" t="n">
        <v>-0.5273291925465838</v>
      </c>
      <c r="J95" s="30" t="n">
        <v>8131</v>
      </c>
      <c r="K95" s="30" t="n">
        <v>8952.666666666666</v>
      </c>
      <c r="L95" s="30" t="n">
        <v>9655.833333333334</v>
      </c>
      <c r="M95" s="35" t="n">
        <v>0.3447372545102169</v>
      </c>
      <c r="N95" s="35" t="n">
        <v>0.3313433054220439</v>
      </c>
      <c r="O95" s="35" t="n">
        <v>-0.1322690992018244</v>
      </c>
      <c r="P95" s="35" t="n">
        <v>-0.2048066875653083</v>
      </c>
      <c r="Q95" s="35" t="n">
        <v>-0.2509842519685039</v>
      </c>
      <c r="R95" s="35" t="n">
        <v>-0.06407575943918342</v>
      </c>
      <c r="S95" s="35" t="n">
        <v>-0.1499739370020106</v>
      </c>
      <c r="T95" s="35" t="n">
        <v>-0.2118753775783205</v>
      </c>
      <c r="U95" s="30" t="n">
        <v>11820</v>
      </c>
      <c r="V95" s="30" t="n">
        <v>7610</v>
      </c>
      <c r="W95" s="35" t="n">
        <v>-0.356175972927242</v>
      </c>
      <c r="X95" s="35" t="n">
        <v>0</v>
      </c>
      <c r="Y95" s="30" t="n">
        <v>17780753</v>
      </c>
      <c r="Z95" s="30" t="n">
        <v>135311530330</v>
      </c>
      <c r="AA95" s="30" t="n">
        <v>404829170</v>
      </c>
      <c r="AB95" s="30" t="n">
        <v>408125934</v>
      </c>
      <c r="AC95" s="35" t="n">
        <v>0.002991830548458775</v>
      </c>
      <c r="AD95" s="24" t="inlineStr">
        <is>
          <t>yfinance_download</t>
        </is>
      </c>
      <c r="AE95" s="24" t="inlineStr">
        <is>
          <t>102120.KQ</t>
        </is>
      </c>
    </row>
    <row r="96" ht="24" customHeight="1">
      <c r="A96" s="29" t="inlineStr">
        <is>
          <t>2023-10-27</t>
        </is>
      </c>
      <c r="B96" s="31" t="n">
        <v>7630</v>
      </c>
      <c r="C96" s="31" t="n">
        <v>7700</v>
      </c>
      <c r="D96" s="31" t="n">
        <v>7460</v>
      </c>
      <c r="E96" s="31" t="n">
        <v>7500</v>
      </c>
      <c r="F96" s="31" t="n">
        <v>7400</v>
      </c>
      <c r="G96" s="31" t="n">
        <v>49915</v>
      </c>
      <c r="H96" s="36" t="n">
        <v>-0.01445466491458602</v>
      </c>
      <c r="I96" s="36" t="n">
        <v>-0.5341614906832298</v>
      </c>
      <c r="J96" s="31" t="n">
        <v>8070</v>
      </c>
      <c r="K96" s="31" t="n">
        <v>8908.333333333334</v>
      </c>
      <c r="L96" s="31" t="n">
        <v>9633.5</v>
      </c>
      <c r="M96" s="36" t="n">
        <v>0.3457516838005256</v>
      </c>
      <c r="N96" s="36" t="n">
        <v>0.3028119099864011</v>
      </c>
      <c r="O96" s="36" t="n">
        <v>-0.1399082568807339</v>
      </c>
      <c r="P96" s="36" t="n">
        <v>-0.2618110236220472</v>
      </c>
      <c r="Q96" s="36" t="n">
        <v>-0.2632612966601179</v>
      </c>
      <c r="R96" s="36" t="n">
        <v>-0.07063197026022305</v>
      </c>
      <c r="S96" s="36" t="n">
        <v>-0.1580916744621141</v>
      </c>
      <c r="T96" s="36" t="n">
        <v>-0.2214667566305081</v>
      </c>
      <c r="U96" s="31" t="n">
        <v>11820</v>
      </c>
      <c r="V96" s="31" t="n">
        <v>7500</v>
      </c>
      <c r="W96" s="36" t="n">
        <v>-0.3654822335025381</v>
      </c>
      <c r="X96" s="36" t="n">
        <v>0</v>
      </c>
      <c r="Y96" s="31" t="n">
        <v>17780753</v>
      </c>
      <c r="Z96" s="31" t="n">
        <v>133355647500</v>
      </c>
      <c r="AA96" s="31" t="n">
        <v>374362500</v>
      </c>
      <c r="AB96" s="31" t="n">
        <v>412325259</v>
      </c>
      <c r="AC96" s="36" t="n">
        <v>0.002807248939344695</v>
      </c>
      <c r="AD96" s="29" t="inlineStr">
        <is>
          <t>yfinance_download</t>
        </is>
      </c>
      <c r="AE96" s="29" t="inlineStr">
        <is>
          <t>102120.KQ</t>
        </is>
      </c>
    </row>
    <row r="97" ht="24" customHeight="1">
      <c r="A97" s="24" t="inlineStr">
        <is>
          <t>2023-10-30</t>
        </is>
      </c>
      <c r="B97" s="30" t="n">
        <v>7530</v>
      </c>
      <c r="C97" s="30" t="n">
        <v>7590</v>
      </c>
      <c r="D97" s="30" t="n">
        <v>7400</v>
      </c>
      <c r="E97" s="30" t="n">
        <v>7550</v>
      </c>
      <c r="F97" s="30" t="n">
        <v>7449.33349609375</v>
      </c>
      <c r="G97" s="30" t="n">
        <v>29388</v>
      </c>
      <c r="H97" s="35" t="n">
        <v>0.006666666666666599</v>
      </c>
      <c r="I97" s="35" t="n">
        <v>-0.531055900621118</v>
      </c>
      <c r="J97" s="30" t="n">
        <v>8016.5</v>
      </c>
      <c r="K97" s="30" t="n">
        <v>8861.333333333334</v>
      </c>
      <c r="L97" s="30" t="n">
        <v>9613.166666666666</v>
      </c>
      <c r="M97" s="35" t="n">
        <v>0.3488171536843017</v>
      </c>
      <c r="N97" s="35" t="n">
        <v>0.2991054318411124</v>
      </c>
      <c r="O97" s="35" t="n">
        <v>-0.1241299303944315</v>
      </c>
      <c r="P97" s="35" t="n">
        <v>-0.2719382835101254</v>
      </c>
      <c r="Q97" s="35" t="n">
        <v>-0.2442442442442443</v>
      </c>
      <c r="R97" s="35" t="n">
        <v>-0.05819247801409588</v>
      </c>
      <c r="S97" s="35" t="n">
        <v>-0.147983749623834</v>
      </c>
      <c r="T97" s="35" t="n">
        <v>-0.2146188387454706</v>
      </c>
      <c r="U97" s="30" t="n">
        <v>11820</v>
      </c>
      <c r="V97" s="30" t="n">
        <v>7500</v>
      </c>
      <c r="W97" s="35" t="n">
        <v>-0.3612521150592216</v>
      </c>
      <c r="X97" s="35" t="n">
        <v>0.006666666666666599</v>
      </c>
      <c r="Y97" s="30" t="n">
        <v>17780753</v>
      </c>
      <c r="Z97" s="30" t="n">
        <v>134244685150</v>
      </c>
      <c r="AA97" s="30" t="n">
        <v>221879400</v>
      </c>
      <c r="AB97" s="30" t="n">
        <v>395414573</v>
      </c>
      <c r="AC97" s="35" t="n">
        <v>0.001652798393858798</v>
      </c>
      <c r="AD97" s="24" t="inlineStr">
        <is>
          <t>yfinance_download</t>
        </is>
      </c>
      <c r="AE97" s="24" t="inlineStr">
        <is>
          <t>102120.KQ</t>
        </is>
      </c>
    </row>
    <row r="98" ht="24" customHeight="1">
      <c r="A98" s="29" t="inlineStr">
        <is>
          <t>2023-10-31</t>
        </is>
      </c>
      <c r="B98" s="31" t="n">
        <v>7570</v>
      </c>
      <c r="C98" s="31" t="n">
        <v>7640</v>
      </c>
      <c r="D98" s="31" t="n">
        <v>7320</v>
      </c>
      <c r="E98" s="31" t="n">
        <v>7430</v>
      </c>
      <c r="F98" s="31" t="n">
        <v>7330.93359375</v>
      </c>
      <c r="G98" s="31" t="n">
        <v>42732</v>
      </c>
      <c r="H98" s="36" t="n">
        <v>-0.01589403973509929</v>
      </c>
      <c r="I98" s="36" t="n">
        <v>-0.5385093167701863</v>
      </c>
      <c r="J98" s="31" t="n">
        <v>7977.5</v>
      </c>
      <c r="K98" s="31" t="n">
        <v>8815.666666666666</v>
      </c>
      <c r="L98" s="31" t="n">
        <v>9590.666666666666</v>
      </c>
      <c r="M98" s="36" t="n">
        <v>0.3157650577740537</v>
      </c>
      <c r="N98" s="36" t="n">
        <v>0.2984983917732291</v>
      </c>
      <c r="O98" s="36" t="n">
        <v>-0.09500609013398298</v>
      </c>
      <c r="P98" s="36" t="n">
        <v>-0.2694198623402163</v>
      </c>
      <c r="Q98" s="36" t="n">
        <v>-0.2665350444225074</v>
      </c>
      <c r="R98" s="36" t="n">
        <v>-0.06863052334691322</v>
      </c>
      <c r="S98" s="36" t="n">
        <v>-0.1571822891065149</v>
      </c>
      <c r="T98" s="36" t="n">
        <v>-0.2252884749061587</v>
      </c>
      <c r="U98" s="31" t="n">
        <v>11820</v>
      </c>
      <c r="V98" s="31" t="n">
        <v>7430</v>
      </c>
      <c r="W98" s="36" t="n">
        <v>-0.371404399323181</v>
      </c>
      <c r="X98" s="36" t="n">
        <v>0</v>
      </c>
      <c r="Y98" s="31" t="n">
        <v>17780753</v>
      </c>
      <c r="Z98" s="31" t="n">
        <v>132110994790</v>
      </c>
      <c r="AA98" s="31" t="n">
        <v>317498760</v>
      </c>
      <c r="AB98" s="31" t="n">
        <v>371847029</v>
      </c>
      <c r="AC98" s="36" t="n">
        <v>0.002403272797276921</v>
      </c>
      <c r="AD98" s="29" t="inlineStr">
        <is>
          <t>yfinance_download</t>
        </is>
      </c>
      <c r="AE98" s="29" t="inlineStr">
        <is>
          <t>102120.KQ</t>
        </is>
      </c>
    </row>
    <row r="99" ht="24" customHeight="1">
      <c r="A99" s="24" t="inlineStr">
        <is>
          <t>2023-11-01</t>
        </is>
      </c>
      <c r="B99" s="30" t="n">
        <v>7400</v>
      </c>
      <c r="C99" s="30" t="n">
        <v>7530</v>
      </c>
      <c r="D99" s="30" t="n">
        <v>7400</v>
      </c>
      <c r="E99" s="30" t="n">
        <v>7430</v>
      </c>
      <c r="F99" s="30" t="n">
        <v>7330.93359375</v>
      </c>
      <c r="G99" s="30" t="n">
        <v>33650</v>
      </c>
      <c r="H99" s="35" t="n">
        <v>0</v>
      </c>
      <c r="I99" s="35" t="n">
        <v>-0.5385093167701863</v>
      </c>
      <c r="J99" s="30" t="n">
        <v>7931</v>
      </c>
      <c r="K99" s="30" t="n">
        <v>8771.833333333334</v>
      </c>
      <c r="L99" s="30" t="n">
        <v>9568.5</v>
      </c>
      <c r="M99" s="35" t="n">
        <v>0.3045282214260348</v>
      </c>
      <c r="N99" s="35" t="n">
        <v>0.2984280148369123</v>
      </c>
      <c r="O99" s="35" t="n">
        <v>-0.111244019138756</v>
      </c>
      <c r="P99" s="35" t="n">
        <v>-0.2614314115308151</v>
      </c>
      <c r="Q99" s="35" t="n">
        <v>-0.263627353815659</v>
      </c>
      <c r="R99" s="35" t="n">
        <v>-0.06316983986886904</v>
      </c>
      <c r="S99" s="35" t="n">
        <v>-0.1529706826775095</v>
      </c>
      <c r="T99" s="35" t="n">
        <v>-0.2234937555520718</v>
      </c>
      <c r="U99" s="30" t="n">
        <v>11820</v>
      </c>
      <c r="V99" s="30" t="n">
        <v>7430</v>
      </c>
      <c r="W99" s="35" t="n">
        <v>-0.371404399323181</v>
      </c>
      <c r="X99" s="35" t="n">
        <v>0</v>
      </c>
      <c r="Y99" s="30" t="n">
        <v>17780753</v>
      </c>
      <c r="Z99" s="30" t="n">
        <v>132110994790</v>
      </c>
      <c r="AA99" s="30" t="n">
        <v>250019500</v>
      </c>
      <c r="AB99" s="30" t="n">
        <v>366766924</v>
      </c>
      <c r="AC99" s="35" t="n">
        <v>0.001892495779003285</v>
      </c>
      <c r="AD99" s="24" t="inlineStr">
        <is>
          <t>yfinance_download</t>
        </is>
      </c>
      <c r="AE99" s="24" t="inlineStr">
        <is>
          <t>102120.KQ</t>
        </is>
      </c>
    </row>
    <row r="100" ht="24" customHeight="1">
      <c r="A100" s="29" t="inlineStr">
        <is>
          <t>2023-11-02</t>
        </is>
      </c>
      <c r="B100" s="31" t="n">
        <v>7610</v>
      </c>
      <c r="C100" s="31" t="n">
        <v>7970</v>
      </c>
      <c r="D100" s="31" t="n">
        <v>7610</v>
      </c>
      <c r="E100" s="31" t="n">
        <v>7850</v>
      </c>
      <c r="F100" s="31" t="n">
        <v>7745.33349609375</v>
      </c>
      <c r="G100" s="31" t="n">
        <v>123146</v>
      </c>
      <c r="H100" s="36" t="n">
        <v>0.05652759084791392</v>
      </c>
      <c r="I100" s="36" t="n">
        <v>-0.5124223602484472</v>
      </c>
      <c r="J100" s="31" t="n">
        <v>7921</v>
      </c>
      <c r="K100" s="31" t="n">
        <v>8739.333333333334</v>
      </c>
      <c r="L100" s="31" t="n">
        <v>9551.833333333334</v>
      </c>
      <c r="M100" s="36" t="n">
        <v>0.3538815737602339</v>
      </c>
      <c r="N100" s="36" t="n">
        <v>0.3206140299992624</v>
      </c>
      <c r="O100" s="36" t="n">
        <v>-0.02484472049689446</v>
      </c>
      <c r="P100" s="36" t="n">
        <v>-0.1989795918367347</v>
      </c>
      <c r="Q100" s="36" t="n">
        <v>-0.2030456852791879</v>
      </c>
      <c r="R100" s="36" t="n">
        <v>-0.008963514707738929</v>
      </c>
      <c r="S100" s="36" t="n">
        <v>-0.1017621481424976</v>
      </c>
      <c r="T100" s="36" t="n">
        <v>-0.1781682399539356</v>
      </c>
      <c r="U100" s="31" t="n">
        <v>11820</v>
      </c>
      <c r="V100" s="31" t="n">
        <v>7430</v>
      </c>
      <c r="W100" s="36" t="n">
        <v>-0.3358714043993232</v>
      </c>
      <c r="X100" s="36" t="n">
        <v>0.05652759084791392</v>
      </c>
      <c r="Y100" s="31" t="n">
        <v>17780753</v>
      </c>
      <c r="Z100" s="31" t="n">
        <v>139578911050</v>
      </c>
      <c r="AA100" s="31" t="n">
        <v>966696100</v>
      </c>
      <c r="AB100" s="31" t="n">
        <v>389186364</v>
      </c>
      <c r="AC100" s="36" t="n">
        <v>0.006925803423510804</v>
      </c>
      <c r="AD100" s="29" t="inlineStr">
        <is>
          <t>yfinance_download</t>
        </is>
      </c>
      <c r="AE100" s="29" t="inlineStr">
        <is>
          <t>102120.KQ</t>
        </is>
      </c>
    </row>
    <row r="101" ht="24" customHeight="1">
      <c r="A101" s="24" t="inlineStr">
        <is>
          <t>2023-11-03</t>
        </is>
      </c>
      <c r="B101" s="30" t="n">
        <v>8080</v>
      </c>
      <c r="C101" s="30" t="n">
        <v>8080</v>
      </c>
      <c r="D101" s="30" t="n">
        <v>7740</v>
      </c>
      <c r="E101" s="30" t="n">
        <v>7880</v>
      </c>
      <c r="F101" s="30" t="n">
        <v>7774.93359375</v>
      </c>
      <c r="G101" s="30" t="n">
        <v>62862</v>
      </c>
      <c r="H101" s="35" t="n">
        <v>0.003821656050955413</v>
      </c>
      <c r="I101" s="35" t="n">
        <v>-0.5105590062111801</v>
      </c>
      <c r="J101" s="30" t="n">
        <v>7912.5</v>
      </c>
      <c r="K101" s="30" t="n">
        <v>8707.833333333334</v>
      </c>
      <c r="L101" s="30" t="n">
        <v>9534.25</v>
      </c>
      <c r="M101" s="35" t="n">
        <v>0.3542878754722559</v>
      </c>
      <c r="N101" s="35" t="n">
        <v>0.3209634867217877</v>
      </c>
      <c r="O101" s="35" t="n">
        <v>-0.02111801242236022</v>
      </c>
      <c r="P101" s="35" t="n">
        <v>-0.1934493346980553</v>
      </c>
      <c r="Q101" s="35" t="n">
        <v>-0.2112112112112112</v>
      </c>
      <c r="R101" s="35" t="n">
        <v>-0.004107424960505535</v>
      </c>
      <c r="S101" s="35" t="n">
        <v>-0.0950676593871419</v>
      </c>
      <c r="T101" s="35" t="n">
        <v>-0.1735060439992658</v>
      </c>
      <c r="U101" s="30" t="n">
        <v>11820</v>
      </c>
      <c r="V101" s="30" t="n">
        <v>7430</v>
      </c>
      <c r="W101" s="35" t="n">
        <v>-0.3333333333333334</v>
      </c>
      <c r="X101" s="35" t="n">
        <v>0.06056527590847915</v>
      </c>
      <c r="Y101" s="30" t="n">
        <v>17780753</v>
      </c>
      <c r="Z101" s="30" t="n">
        <v>140112333640</v>
      </c>
      <c r="AA101" s="30" t="n">
        <v>495352560</v>
      </c>
      <c r="AB101" s="30" t="n">
        <v>390523662</v>
      </c>
      <c r="AC101" s="35" t="n">
        <v>0.003535395829411724</v>
      </c>
      <c r="AD101" s="24" t="inlineStr">
        <is>
          <t>yfinance_download</t>
        </is>
      </c>
      <c r="AE101" s="24" t="inlineStr">
        <is>
          <t>102120.KQ</t>
        </is>
      </c>
    </row>
    <row r="102" ht="24" customHeight="1">
      <c r="A102" s="29" t="inlineStr">
        <is>
          <t>2023-11-06</t>
        </is>
      </c>
      <c r="B102" s="31" t="n">
        <v>7980</v>
      </c>
      <c r="C102" s="31" t="n">
        <v>8100</v>
      </c>
      <c r="D102" s="31" t="n">
        <v>7910</v>
      </c>
      <c r="E102" s="31" t="n">
        <v>8100</v>
      </c>
      <c r="F102" s="31" t="n">
        <v>7992</v>
      </c>
      <c r="G102" s="31" t="n">
        <v>80741</v>
      </c>
      <c r="H102" s="36" t="n">
        <v>0.02791878172588835</v>
      </c>
      <c r="I102" s="36" t="n">
        <v>-0.4968944099378882</v>
      </c>
      <c r="J102" s="31" t="n">
        <v>7911</v>
      </c>
      <c r="K102" s="31" t="n">
        <v>8681</v>
      </c>
      <c r="L102" s="31" t="n">
        <v>9520.083333333334</v>
      </c>
      <c r="M102" s="36" t="n">
        <v>0.3670565081314172</v>
      </c>
      <c r="N102" s="36" t="n">
        <v>0.3272388471062134</v>
      </c>
      <c r="O102" s="36" t="n">
        <v>-0.003690036900368954</v>
      </c>
      <c r="P102" s="36" t="n">
        <v>-0.1658084449021627</v>
      </c>
      <c r="Q102" s="36" t="n">
        <v>-0.173469387755102</v>
      </c>
      <c r="R102" s="36" t="n">
        <v>0.02389078498293506</v>
      </c>
      <c r="S102" s="36" t="n">
        <v>-0.06692777329800714</v>
      </c>
      <c r="T102" s="36" t="n">
        <v>-0.1491671116324262</v>
      </c>
      <c r="U102" s="31" t="n">
        <v>11820</v>
      </c>
      <c r="V102" s="31" t="n">
        <v>7430</v>
      </c>
      <c r="W102" s="36" t="n">
        <v>-0.3147208121827412</v>
      </c>
      <c r="X102" s="36" t="n">
        <v>0.09017496635262456</v>
      </c>
      <c r="Y102" s="31" t="n">
        <v>17780753</v>
      </c>
      <c r="Z102" s="31" t="n">
        <v>144024099300</v>
      </c>
      <c r="AA102" s="31" t="n">
        <v>654002100</v>
      </c>
      <c r="AB102" s="31" t="n">
        <v>409376751</v>
      </c>
      <c r="AC102" s="36" t="n">
        <v>0.004540921298439948</v>
      </c>
      <c r="AD102" s="29" t="inlineStr">
        <is>
          <t>yfinance_download</t>
        </is>
      </c>
      <c r="AE102" s="29" t="inlineStr">
        <is>
          <t>102120.KQ</t>
        </is>
      </c>
    </row>
    <row r="103" ht="24" customHeight="1">
      <c r="A103" s="24" t="inlineStr">
        <is>
          <t>2023-11-07</t>
        </is>
      </c>
      <c r="B103" s="30" t="n">
        <v>8080</v>
      </c>
      <c r="C103" s="30" t="n">
        <v>8190</v>
      </c>
      <c r="D103" s="30" t="n">
        <v>7920</v>
      </c>
      <c r="E103" s="30" t="n">
        <v>8100</v>
      </c>
      <c r="F103" s="30" t="n">
        <v>7992</v>
      </c>
      <c r="G103" s="30" t="n">
        <v>55648</v>
      </c>
      <c r="H103" s="35" t="n">
        <v>0</v>
      </c>
      <c r="I103" s="35" t="n">
        <v>-0.4968944099378882</v>
      </c>
      <c r="J103" s="30" t="n">
        <v>7911.5</v>
      </c>
      <c r="K103" s="30" t="n">
        <v>8655.333333333334</v>
      </c>
      <c r="L103" s="30" t="n">
        <v>9507.333333333334</v>
      </c>
      <c r="M103" s="35" t="n">
        <v>0.3665850617381625</v>
      </c>
      <c r="N103" s="35" t="n">
        <v>0.3271582351756062</v>
      </c>
      <c r="O103" s="35" t="n">
        <v>0.001236093943139727</v>
      </c>
      <c r="P103" s="35" t="n">
        <v>-0.1597510373443983</v>
      </c>
      <c r="Q103" s="35" t="n">
        <v>-0.1588785046728972</v>
      </c>
      <c r="R103" s="35" t="n">
        <v>0.02382607596536679</v>
      </c>
      <c r="S103" s="35" t="n">
        <v>-0.06416082569513981</v>
      </c>
      <c r="T103" s="35" t="n">
        <v>-0.1480260851272702</v>
      </c>
      <c r="U103" s="30" t="n">
        <v>11820</v>
      </c>
      <c r="V103" s="30" t="n">
        <v>7430</v>
      </c>
      <c r="W103" s="35" t="n">
        <v>-0.3147208121827412</v>
      </c>
      <c r="X103" s="35" t="n">
        <v>0.09017496635262456</v>
      </c>
      <c r="Y103" s="30" t="n">
        <v>17780753</v>
      </c>
      <c r="Z103" s="30" t="n">
        <v>144024099300</v>
      </c>
      <c r="AA103" s="30" t="n">
        <v>450748800</v>
      </c>
      <c r="AB103" s="30" t="n">
        <v>414400150</v>
      </c>
      <c r="AC103" s="35" t="n">
        <v>0.00312967622912258</v>
      </c>
      <c r="AD103" s="24" t="inlineStr">
        <is>
          <t>yfinance_download</t>
        </is>
      </c>
      <c r="AE103" s="24" t="inlineStr">
        <is>
          <t>102120.KQ</t>
        </is>
      </c>
    </row>
    <row r="104" ht="24" customHeight="1">
      <c r="A104" s="29" t="inlineStr">
        <is>
          <t>2023-11-08</t>
        </is>
      </c>
      <c r="B104" s="31" t="n">
        <v>8110</v>
      </c>
      <c r="C104" s="31" t="n">
        <v>8200</v>
      </c>
      <c r="D104" s="31" t="n">
        <v>8000</v>
      </c>
      <c r="E104" s="31" t="n">
        <v>8050</v>
      </c>
      <c r="F104" s="31" t="n">
        <v>7942.6669921875</v>
      </c>
      <c r="G104" s="31" t="n">
        <v>39879</v>
      </c>
      <c r="H104" s="36" t="n">
        <v>-0.006172839506172867</v>
      </c>
      <c r="I104" s="36" t="n">
        <v>-0.5</v>
      </c>
      <c r="J104" s="31" t="n">
        <v>7898.5</v>
      </c>
      <c r="K104" s="31" t="n">
        <v>8631.5</v>
      </c>
      <c r="L104" s="31" t="n">
        <v>9493.75</v>
      </c>
      <c r="M104" s="36" t="n">
        <v>0.3530162465234059</v>
      </c>
      <c r="N104" s="36" t="n">
        <v>0.3259605269927651</v>
      </c>
      <c r="O104" s="36" t="n">
        <v>-0.03128760529482555</v>
      </c>
      <c r="P104" s="36" t="n">
        <v>-0.1508438818565401</v>
      </c>
      <c r="Q104" s="36" t="n">
        <v>-0.1683884297520661</v>
      </c>
      <c r="R104" s="36" t="n">
        <v>0.01918085712477047</v>
      </c>
      <c r="S104" s="36" t="n">
        <v>-0.06736951862364593</v>
      </c>
      <c r="T104" s="36" t="n">
        <v>-0.152073732718894</v>
      </c>
      <c r="U104" s="31" t="n">
        <v>11820</v>
      </c>
      <c r="V104" s="31" t="n">
        <v>7430</v>
      </c>
      <c r="W104" s="36" t="n">
        <v>-0.3189509306260575</v>
      </c>
      <c r="X104" s="36" t="n">
        <v>0.08344549125168244</v>
      </c>
      <c r="Y104" s="31" t="n">
        <v>17780753</v>
      </c>
      <c r="Z104" s="31" t="n">
        <v>143135061650</v>
      </c>
      <c r="AA104" s="31" t="n">
        <v>321025950</v>
      </c>
      <c r="AB104" s="31" t="n">
        <v>410339170</v>
      </c>
      <c r="AC104" s="36" t="n">
        <v>0.002242818400323091</v>
      </c>
      <c r="AD104" s="29" t="inlineStr">
        <is>
          <t>yfinance_download</t>
        </is>
      </c>
      <c r="AE104" s="29" t="inlineStr">
        <is>
          <t>102120.KQ</t>
        </is>
      </c>
    </row>
    <row r="105" ht="24" customHeight="1">
      <c r="A105" s="24" t="inlineStr">
        <is>
          <t>2023-11-09</t>
        </is>
      </c>
      <c r="B105" s="30" t="n">
        <v>8090</v>
      </c>
      <c r="C105" s="30" t="n">
        <v>8090</v>
      </c>
      <c r="D105" s="30" t="n">
        <v>7900</v>
      </c>
      <c r="E105" s="30" t="n">
        <v>7970</v>
      </c>
      <c r="F105" s="30" t="n">
        <v>7863.7333984375</v>
      </c>
      <c r="G105" s="30" t="n">
        <v>27112</v>
      </c>
      <c r="H105" s="35" t="n">
        <v>-0.009937888198757738</v>
      </c>
      <c r="I105" s="35" t="n">
        <v>-0.5049689440993789</v>
      </c>
      <c r="J105" s="30" t="n">
        <v>7877.5</v>
      </c>
      <c r="K105" s="30" t="n">
        <v>8604.333333333334</v>
      </c>
      <c r="L105" s="30" t="n">
        <v>9479.916666666666</v>
      </c>
      <c r="M105" s="35" t="n">
        <v>0.3517726133201346</v>
      </c>
      <c r="N105" s="35" t="n">
        <v>0.3247554302561205</v>
      </c>
      <c r="O105" s="35" t="n">
        <v>-0.05005959475566146</v>
      </c>
      <c r="P105" s="35" t="n">
        <v>-0.1697916666666667</v>
      </c>
      <c r="Q105" s="35" t="n">
        <v>-0.1723779854620976</v>
      </c>
      <c r="R105" s="35" t="n">
        <v>0.0117423040304665</v>
      </c>
      <c r="S105" s="35" t="n">
        <v>-0.07372254290473801</v>
      </c>
      <c r="T105" s="35" t="n">
        <v>-0.1592753100853558</v>
      </c>
      <c r="U105" s="30" t="n">
        <v>11820</v>
      </c>
      <c r="V105" s="30" t="n">
        <v>7430</v>
      </c>
      <c r="W105" s="35" t="n">
        <v>-0.3257191201353637</v>
      </c>
      <c r="X105" s="35" t="n">
        <v>0.07267833109017507</v>
      </c>
      <c r="Y105" s="30" t="n">
        <v>17780753</v>
      </c>
      <c r="Z105" s="30" t="n">
        <v>141712601410</v>
      </c>
      <c r="AA105" s="30" t="n">
        <v>216082640</v>
      </c>
      <c r="AB105" s="30" t="n">
        <v>407545209.5</v>
      </c>
      <c r="AC105" s="35" t="n">
        <v>0.001524794816057565</v>
      </c>
      <c r="AD105" s="24" t="inlineStr">
        <is>
          <t>yfinance_download</t>
        </is>
      </c>
      <c r="AE105" s="24" t="inlineStr">
        <is>
          <t>102120.KQ</t>
        </is>
      </c>
    </row>
    <row r="106" ht="24" customHeight="1">
      <c r="A106" s="29" t="inlineStr">
        <is>
          <t>2023-11-10</t>
        </is>
      </c>
      <c r="B106" s="31" t="n">
        <v>7910</v>
      </c>
      <c r="C106" s="31" t="n">
        <v>7980</v>
      </c>
      <c r="D106" s="31" t="n">
        <v>7750</v>
      </c>
      <c r="E106" s="31" t="n">
        <v>7900</v>
      </c>
      <c r="F106" s="31" t="n">
        <v>7794.6669921875</v>
      </c>
      <c r="G106" s="31" t="n">
        <v>41968</v>
      </c>
      <c r="H106" s="36" t="n">
        <v>-0.008782936010037656</v>
      </c>
      <c r="I106" s="36" t="n">
        <v>-0.5093167701863355</v>
      </c>
      <c r="J106" s="31" t="n">
        <v>7856.5</v>
      </c>
      <c r="K106" s="31" t="n">
        <v>8578.666666666666</v>
      </c>
      <c r="L106" s="31" t="n">
        <v>9466.75</v>
      </c>
      <c r="M106" s="36" t="n">
        <v>0.3518756861227307</v>
      </c>
      <c r="N106" s="36" t="n">
        <v>0.3237273237062027</v>
      </c>
      <c r="O106" s="36" t="n">
        <v>-0.05048076923076927</v>
      </c>
      <c r="P106" s="36" t="n">
        <v>-0.163135593220339</v>
      </c>
      <c r="Q106" s="36" t="n">
        <v>-0.1666666666666666</v>
      </c>
      <c r="R106" s="36" t="n">
        <v>0.005536816648634924</v>
      </c>
      <c r="S106" s="36" t="n">
        <v>-0.07911097295617031</v>
      </c>
      <c r="T106" s="36" t="n">
        <v>-0.1655003036945097</v>
      </c>
      <c r="U106" s="31" t="n">
        <v>11820</v>
      </c>
      <c r="V106" s="31" t="n">
        <v>7430</v>
      </c>
      <c r="W106" s="36" t="n">
        <v>-0.3316412859560067</v>
      </c>
      <c r="X106" s="36" t="n">
        <v>0.06325706594885605</v>
      </c>
      <c r="Y106" s="31" t="n">
        <v>17780753</v>
      </c>
      <c r="Z106" s="31" t="n">
        <v>140467948700</v>
      </c>
      <c r="AA106" s="31" t="n">
        <v>331547200</v>
      </c>
      <c r="AB106" s="31" t="n">
        <v>406895177.5</v>
      </c>
      <c r="AC106" s="36" t="n">
        <v>0.002360304988208317</v>
      </c>
      <c r="AD106" s="29" t="inlineStr">
        <is>
          <t>yfinance_download</t>
        </is>
      </c>
      <c r="AE106" s="29" t="inlineStr">
        <is>
          <t>102120.KQ</t>
        </is>
      </c>
    </row>
    <row r="107" ht="24" customHeight="1">
      <c r="A107" s="24" t="inlineStr">
        <is>
          <t>2023-11-13</t>
        </is>
      </c>
      <c r="B107" s="30" t="n">
        <v>8000</v>
      </c>
      <c r="C107" s="30" t="n">
        <v>8060</v>
      </c>
      <c r="D107" s="30" t="n">
        <v>7730</v>
      </c>
      <c r="E107" s="30" t="n">
        <v>7740</v>
      </c>
      <c r="F107" s="30" t="n">
        <v>7636.80029296875</v>
      </c>
      <c r="G107" s="30" t="n">
        <v>35292</v>
      </c>
      <c r="H107" s="35" t="n">
        <v>-0.02025316455696202</v>
      </c>
      <c r="I107" s="35" t="n">
        <v>-0.5192546583850932</v>
      </c>
      <c r="J107" s="30" t="n">
        <v>7837</v>
      </c>
      <c r="K107" s="30" t="n">
        <v>8547.666666666666</v>
      </c>
      <c r="L107" s="30" t="n">
        <v>9453</v>
      </c>
      <c r="M107" s="35" t="n">
        <v>0.34999581841601</v>
      </c>
      <c r="N107" s="35" t="n">
        <v>0.3230308981708593</v>
      </c>
      <c r="O107" s="35" t="n">
        <v>-0.04797047970479706</v>
      </c>
      <c r="P107" s="35" t="n">
        <v>-0.19375</v>
      </c>
      <c r="Q107" s="35" t="n">
        <v>-0.1757188498402555</v>
      </c>
      <c r="R107" s="35" t="n">
        <v>-0.01237718514737784</v>
      </c>
      <c r="S107" s="35" t="n">
        <v>-0.09448972429122948</v>
      </c>
      <c r="T107" s="35" t="n">
        <v>-0.1812123135512536</v>
      </c>
      <c r="U107" s="30" t="n">
        <v>11820</v>
      </c>
      <c r="V107" s="30" t="n">
        <v>7430</v>
      </c>
      <c r="W107" s="35" t="n">
        <v>-0.3451776649746193</v>
      </c>
      <c r="X107" s="35" t="n">
        <v>0.04172274562584111</v>
      </c>
      <c r="Y107" s="30" t="n">
        <v>17780753</v>
      </c>
      <c r="Z107" s="30" t="n">
        <v>137623028220</v>
      </c>
      <c r="AA107" s="30" t="n">
        <v>273160080</v>
      </c>
      <c r="AB107" s="30" t="n">
        <v>410527672</v>
      </c>
      <c r="AC107" s="35" t="n">
        <v>0.001984842824148111</v>
      </c>
      <c r="AD107" s="24" t="inlineStr">
        <is>
          <t>yfinance_download</t>
        </is>
      </c>
      <c r="AE107" s="24" t="inlineStr">
        <is>
          <t>102120.KQ</t>
        </is>
      </c>
    </row>
    <row r="108" ht="24" customHeight="1">
      <c r="A108" s="29" t="inlineStr">
        <is>
          <t>2023-11-14</t>
        </is>
      </c>
      <c r="B108" s="31" t="n">
        <v>7760</v>
      </c>
      <c r="C108" s="31" t="n">
        <v>7950</v>
      </c>
      <c r="D108" s="31" t="n">
        <v>7760</v>
      </c>
      <c r="E108" s="31" t="n">
        <v>7940</v>
      </c>
      <c r="F108" s="31" t="n">
        <v>7834.13330078125</v>
      </c>
      <c r="G108" s="31" t="n">
        <v>39311</v>
      </c>
      <c r="H108" s="36" t="n">
        <v>0.02583979328165364</v>
      </c>
      <c r="I108" s="36" t="n">
        <v>-0.506832298136646</v>
      </c>
      <c r="J108" s="31" t="n">
        <v>7818.5</v>
      </c>
      <c r="K108" s="31" t="n">
        <v>8523.333333333334</v>
      </c>
      <c r="L108" s="31" t="n">
        <v>9439.25</v>
      </c>
      <c r="M108" s="36" t="n">
        <v>0.3536393052172344</v>
      </c>
      <c r="N108" s="36" t="n">
        <v>0.3264035365051942</v>
      </c>
      <c r="O108" s="36" t="n">
        <v>-0.04452466907340558</v>
      </c>
      <c r="P108" s="36" t="n">
        <v>-0.1553191489361702</v>
      </c>
      <c r="Q108" s="36" t="n">
        <v>-0.1720542231491137</v>
      </c>
      <c r="R108" s="36" t="n">
        <v>0.01554006522990337</v>
      </c>
      <c r="S108" s="36" t="n">
        <v>-0.06843957763003528</v>
      </c>
      <c r="T108" s="36" t="n">
        <v>-0.1588314749582859</v>
      </c>
      <c r="U108" s="31" t="n">
        <v>11820</v>
      </c>
      <c r="V108" s="31" t="n">
        <v>7430</v>
      </c>
      <c r="W108" s="36" t="n">
        <v>-0.3282571912013537</v>
      </c>
      <c r="X108" s="36" t="n">
        <v>0.06864064602960962</v>
      </c>
      <c r="Y108" s="31" t="n">
        <v>17780753</v>
      </c>
      <c r="Z108" s="31" t="n">
        <v>141179178820</v>
      </c>
      <c r="AA108" s="31" t="n">
        <v>312129340</v>
      </c>
      <c r="AB108" s="31" t="n">
        <v>411806452.5</v>
      </c>
      <c r="AC108" s="36" t="n">
        <v>0.002210873746460569</v>
      </c>
      <c r="AD108" s="29" t="inlineStr">
        <is>
          <t>yfinance_download</t>
        </is>
      </c>
      <c r="AE108" s="29" t="inlineStr">
        <is>
          <t>102120.KQ</t>
        </is>
      </c>
    </row>
    <row r="109" ht="24" customHeight="1">
      <c r="A109" s="24" t="inlineStr">
        <is>
          <t>2023-11-15</t>
        </is>
      </c>
      <c r="B109" s="30" t="n">
        <v>7940</v>
      </c>
      <c r="C109" s="30" t="n">
        <v>8170</v>
      </c>
      <c r="D109" s="30" t="n">
        <v>7940</v>
      </c>
      <c r="E109" s="30" t="n">
        <v>8140</v>
      </c>
      <c r="F109" s="30" t="n">
        <v>8031.466796875</v>
      </c>
      <c r="G109" s="30" t="n">
        <v>78613</v>
      </c>
      <c r="H109" s="35" t="n">
        <v>0.02518891687657421</v>
      </c>
      <c r="I109" s="35" t="n">
        <v>-0.4944099378881988</v>
      </c>
      <c r="J109" s="30" t="n">
        <v>7817.5</v>
      </c>
      <c r="K109" s="30" t="n">
        <v>8509.333333333334</v>
      </c>
      <c r="L109" s="30" t="n">
        <v>9423.666666666666</v>
      </c>
      <c r="M109" s="35" t="n">
        <v>0.3609099919098686</v>
      </c>
      <c r="N109" s="35" t="n">
        <v>0.3192609078285738</v>
      </c>
      <c r="O109" s="35" t="n">
        <v>-0.002450980392156854</v>
      </c>
      <c r="P109" s="35" t="n">
        <v>-0.09354120267260579</v>
      </c>
      <c r="Q109" s="35" t="n">
        <v>-0.1868131868131868</v>
      </c>
      <c r="R109" s="35" t="n">
        <v>0.04125359769747372</v>
      </c>
      <c r="S109" s="35" t="n">
        <v>-0.04340332184268259</v>
      </c>
      <c r="T109" s="35" t="n">
        <v>-0.1362173251742067</v>
      </c>
      <c r="U109" s="30" t="n">
        <v>11820</v>
      </c>
      <c r="V109" s="30" t="n">
        <v>7430</v>
      </c>
      <c r="W109" s="35" t="n">
        <v>-0.311336717428088</v>
      </c>
      <c r="X109" s="35" t="n">
        <v>0.09555854643337813</v>
      </c>
      <c r="Y109" s="30" t="n">
        <v>17780753</v>
      </c>
      <c r="Z109" s="30" t="n">
        <v>144735329420</v>
      </c>
      <c r="AA109" s="30" t="n">
        <v>639909820</v>
      </c>
      <c r="AB109" s="30" t="n">
        <v>429876495.5</v>
      </c>
      <c r="AC109" s="35" t="n">
        <v>0.004421241327631062</v>
      </c>
      <c r="AD109" s="24" t="inlineStr">
        <is>
          <t>yfinance_download</t>
        </is>
      </c>
      <c r="AE109" s="24" t="inlineStr">
        <is>
          <t>102120.KQ</t>
        </is>
      </c>
    </row>
    <row r="110" ht="24" customHeight="1">
      <c r="A110" s="29" t="inlineStr">
        <is>
          <t>2023-11-16</t>
        </is>
      </c>
      <c r="B110" s="31" t="n">
        <v>8110</v>
      </c>
      <c r="C110" s="31" t="n">
        <v>8220</v>
      </c>
      <c r="D110" s="31" t="n">
        <v>8020</v>
      </c>
      <c r="E110" s="31" t="n">
        <v>8210</v>
      </c>
      <c r="F110" s="31" t="n">
        <v>8100.533203125</v>
      </c>
      <c r="G110" s="31" t="n">
        <v>38360</v>
      </c>
      <c r="H110" s="36" t="n">
        <v>0.008599508599508532</v>
      </c>
      <c r="I110" s="36" t="n">
        <v>-0.4900621118012423</v>
      </c>
      <c r="J110" s="31" t="n">
        <v>7834</v>
      </c>
      <c r="K110" s="31" t="n">
        <v>8497.833333333334</v>
      </c>
      <c r="L110" s="31" t="n">
        <v>9405</v>
      </c>
      <c r="M110" s="36" t="n">
        <v>0.3380263150107176</v>
      </c>
      <c r="N110" s="36" t="n">
        <v>0.3195269942804366</v>
      </c>
      <c r="O110" s="36" t="n">
        <v>0.04187817258883242</v>
      </c>
      <c r="P110" s="36" t="n">
        <v>-0.07752808988764048</v>
      </c>
      <c r="Q110" s="36" t="n">
        <v>-0.214354066985646</v>
      </c>
      <c r="R110" s="36" t="n">
        <v>0.04799591524125613</v>
      </c>
      <c r="S110" s="36" t="n">
        <v>-0.03387137897895554</v>
      </c>
      <c r="T110" s="36" t="n">
        <v>-0.1270600744284954</v>
      </c>
      <c r="U110" s="31" t="n">
        <v>11820</v>
      </c>
      <c r="V110" s="31" t="n">
        <v>7430</v>
      </c>
      <c r="W110" s="36" t="n">
        <v>-0.305414551607445</v>
      </c>
      <c r="X110" s="36" t="n">
        <v>0.1049798115746972</v>
      </c>
      <c r="Y110" s="31" t="n">
        <v>17780753</v>
      </c>
      <c r="Z110" s="31" t="n">
        <v>145979982130</v>
      </c>
      <c r="AA110" s="31" t="n">
        <v>314935600</v>
      </c>
      <c r="AB110" s="31" t="n">
        <v>417208783.5</v>
      </c>
      <c r="AC110" s="36" t="n">
        <v>0.002157388947475959</v>
      </c>
      <c r="AD110" s="29" t="inlineStr">
        <is>
          <t>yfinance_download</t>
        </is>
      </c>
      <c r="AE110" s="29" t="inlineStr">
        <is>
          <t>102120.KQ</t>
        </is>
      </c>
    </row>
    <row r="111" ht="24" customHeight="1">
      <c r="A111" s="24" t="inlineStr">
        <is>
          <t>2023-11-17</t>
        </is>
      </c>
      <c r="B111" s="30" t="n">
        <v>8210</v>
      </c>
      <c r="C111" s="30" t="n">
        <v>8370</v>
      </c>
      <c r="D111" s="30" t="n">
        <v>8150</v>
      </c>
      <c r="E111" s="30" t="n">
        <v>8180</v>
      </c>
      <c r="F111" s="30" t="n">
        <v>8070.93359375</v>
      </c>
      <c r="G111" s="30" t="n">
        <v>72384</v>
      </c>
      <c r="H111" s="35" t="n">
        <v>-0.003654080389768555</v>
      </c>
      <c r="I111" s="35" t="n">
        <v>-0.4919254658385093</v>
      </c>
      <c r="J111" s="30" t="n">
        <v>7853.5</v>
      </c>
      <c r="K111" s="30" t="n">
        <v>8484.666666666666</v>
      </c>
      <c r="L111" s="30" t="n">
        <v>9388.333333333334</v>
      </c>
      <c r="M111" s="35" t="n">
        <v>0.3349653638152255</v>
      </c>
      <c r="N111" s="35" t="n">
        <v>0.3190112523654097</v>
      </c>
      <c r="O111" s="35" t="n">
        <v>0.05006418485237485</v>
      </c>
      <c r="P111" s="35" t="n">
        <v>-0.08807134894091417</v>
      </c>
      <c r="Q111" s="35" t="n">
        <v>-0.1964636542239686</v>
      </c>
      <c r="R111" s="35" t="n">
        <v>0.04157382058954617</v>
      </c>
      <c r="S111" s="35" t="n">
        <v>-0.03590791231240664</v>
      </c>
      <c r="T111" s="35" t="n">
        <v>-0.1287058405822831</v>
      </c>
      <c r="U111" s="30" t="n">
        <v>11820</v>
      </c>
      <c r="V111" s="30" t="n">
        <v>7430</v>
      </c>
      <c r="W111" s="35" t="n">
        <v>-0.3079526226734348</v>
      </c>
      <c r="X111" s="35" t="n">
        <v>0.1009421265141319</v>
      </c>
      <c r="Y111" s="30" t="n">
        <v>17780753</v>
      </c>
      <c r="Z111" s="30" t="n">
        <v>145446559540</v>
      </c>
      <c r="AA111" s="30" t="n">
        <v>592101120</v>
      </c>
      <c r="AB111" s="30" t="n">
        <v>407283874</v>
      </c>
      <c r="AC111" s="35" t="n">
        <v>0.004070918706311257</v>
      </c>
      <c r="AD111" s="24" t="inlineStr">
        <is>
          <t>yfinance_download</t>
        </is>
      </c>
      <c r="AE111" s="24" t="inlineStr">
        <is>
          <t>102120.KQ</t>
        </is>
      </c>
    </row>
    <row r="112" ht="24" customHeight="1">
      <c r="A112" s="29" t="inlineStr">
        <is>
          <t>2023-11-20</t>
        </is>
      </c>
      <c r="B112" s="31" t="n">
        <v>8200</v>
      </c>
      <c r="C112" s="31" t="n">
        <v>8250</v>
      </c>
      <c r="D112" s="31" t="n">
        <v>8120</v>
      </c>
      <c r="E112" s="31" t="n">
        <v>8200</v>
      </c>
      <c r="F112" s="31" t="n">
        <v>8090.6669921875</v>
      </c>
      <c r="G112" s="31" t="n">
        <v>53544</v>
      </c>
      <c r="H112" s="36" t="n">
        <v>0.002444987775061191</v>
      </c>
      <c r="I112" s="36" t="n">
        <v>-0.4906832298136646</v>
      </c>
      <c r="J112" s="31" t="n">
        <v>7878.5</v>
      </c>
      <c r="K112" s="31" t="n">
        <v>8470.5</v>
      </c>
      <c r="L112" s="31" t="n">
        <v>9372.583333333334</v>
      </c>
      <c r="M112" s="36" t="n">
        <v>0.330749218791294</v>
      </c>
      <c r="N112" s="36" t="n">
        <v>0.3183976236230037</v>
      </c>
      <c r="O112" s="36" t="n">
        <v>0.06493506493506485</v>
      </c>
      <c r="P112" s="36" t="n">
        <v>-0.09392265193370164</v>
      </c>
      <c r="Q112" s="36" t="n">
        <v>-0.1873141724479683</v>
      </c>
      <c r="R112" s="36" t="n">
        <v>0.04080726026527892</v>
      </c>
      <c r="S112" s="36" t="n">
        <v>-0.03193436042736553</v>
      </c>
      <c r="T112" s="36" t="n">
        <v>-0.1251078055676575</v>
      </c>
      <c r="U112" s="31" t="n">
        <v>11820</v>
      </c>
      <c r="V112" s="31" t="n">
        <v>7430</v>
      </c>
      <c r="W112" s="36" t="n">
        <v>-0.3062605752961083</v>
      </c>
      <c r="X112" s="36" t="n">
        <v>0.1036339165545088</v>
      </c>
      <c r="Y112" s="31" t="n">
        <v>17780753</v>
      </c>
      <c r="Z112" s="31" t="n">
        <v>145802174600</v>
      </c>
      <c r="AA112" s="31" t="n">
        <v>439060800</v>
      </c>
      <c r="AB112" s="31" t="n">
        <v>410611384</v>
      </c>
      <c r="AC112" s="36" t="n">
        <v>0.003011346032420562</v>
      </c>
      <c r="AD112" s="29" t="inlineStr">
        <is>
          <t>yfinance_download</t>
        </is>
      </c>
      <c r="AE112" s="29" t="inlineStr">
        <is>
          <t>102120.KQ</t>
        </is>
      </c>
    </row>
    <row r="113" ht="24" customHeight="1">
      <c r="A113" s="24" t="inlineStr">
        <is>
          <t>2023-11-21</t>
        </is>
      </c>
      <c r="B113" s="30" t="n">
        <v>8260</v>
      </c>
      <c r="C113" s="30" t="n">
        <v>8270</v>
      </c>
      <c r="D113" s="30" t="n">
        <v>8140</v>
      </c>
      <c r="E113" s="30" t="n">
        <v>8160</v>
      </c>
      <c r="F113" s="30" t="n">
        <v>8051.2001953125</v>
      </c>
      <c r="G113" s="30" t="n">
        <v>40785</v>
      </c>
      <c r="H113" s="35" t="n">
        <v>-0.004878048780487809</v>
      </c>
      <c r="I113" s="35" t="n">
        <v>-0.493167701863354</v>
      </c>
      <c r="J113" s="30" t="n">
        <v>7892</v>
      </c>
      <c r="K113" s="30" t="n">
        <v>8458.166666666666</v>
      </c>
      <c r="L113" s="30" t="n">
        <v>9357.25</v>
      </c>
      <c r="M113" s="35" t="n">
        <v>0.3220026435503724</v>
      </c>
      <c r="N113" s="35" t="n">
        <v>0.3169226376872555</v>
      </c>
      <c r="O113" s="35" t="n">
        <v>0.03422053231939159</v>
      </c>
      <c r="P113" s="35" t="n">
        <v>-0.08314606741573038</v>
      </c>
      <c r="Q113" s="35" t="n">
        <v>-0.1840000000000001</v>
      </c>
      <c r="R113" s="35" t="n">
        <v>0.03395843892549411</v>
      </c>
      <c r="S113" s="35" t="n">
        <v>-0.03525192614632788</v>
      </c>
      <c r="T113" s="35" t="n">
        <v>-0.1279489166154586</v>
      </c>
      <c r="U113" s="30" t="n">
        <v>11820</v>
      </c>
      <c r="V113" s="30" t="n">
        <v>7430</v>
      </c>
      <c r="W113" s="35" t="n">
        <v>-0.3096446700507615</v>
      </c>
      <c r="X113" s="35" t="n">
        <v>0.09825033647375503</v>
      </c>
      <c r="Y113" s="30" t="n">
        <v>17780753</v>
      </c>
      <c r="Z113" s="30" t="n">
        <v>145090944480</v>
      </c>
      <c r="AA113" s="30" t="n">
        <v>332805600</v>
      </c>
      <c r="AB113" s="30" t="n">
        <v>409646707</v>
      </c>
      <c r="AC113" s="35" t="n">
        <v>0.002293772372857325</v>
      </c>
      <c r="AD113" s="24" t="inlineStr">
        <is>
          <t>yfinance_download</t>
        </is>
      </c>
      <c r="AE113" s="24" t="inlineStr">
        <is>
          <t>102120.KQ</t>
        </is>
      </c>
    </row>
    <row r="114" ht="24" customHeight="1">
      <c r="A114" s="29" t="inlineStr">
        <is>
          <t>2023-11-22</t>
        </is>
      </c>
      <c r="B114" s="31" t="n">
        <v>8120</v>
      </c>
      <c r="C114" s="31" t="n">
        <v>8210</v>
      </c>
      <c r="D114" s="31" t="n">
        <v>8070</v>
      </c>
      <c r="E114" s="31" t="n">
        <v>8180</v>
      </c>
      <c r="F114" s="31" t="n">
        <v>8070.93359375</v>
      </c>
      <c r="G114" s="31" t="n">
        <v>36400</v>
      </c>
      <c r="H114" s="36" t="n">
        <v>0.002450980392156854</v>
      </c>
      <c r="I114" s="36" t="n">
        <v>-0.4919254658385093</v>
      </c>
      <c r="J114" s="31" t="n">
        <v>7906</v>
      </c>
      <c r="K114" s="31" t="n">
        <v>8445.5</v>
      </c>
      <c r="L114" s="31" t="n">
        <v>9341.75</v>
      </c>
      <c r="M114" s="36" t="n">
        <v>0.3220003364262061</v>
      </c>
      <c r="N114" s="36" t="n">
        <v>0.3167920809225772</v>
      </c>
      <c r="O114" s="36" t="n">
        <v>0.03544303797468351</v>
      </c>
      <c r="P114" s="36" t="n">
        <v>-0.08501118568232657</v>
      </c>
      <c r="Q114" s="36" t="n">
        <v>-0.1852589641434262</v>
      </c>
      <c r="R114" s="36" t="n">
        <v>0.03465722236276236</v>
      </c>
      <c r="S114" s="36" t="n">
        <v>-0.03143685986620093</v>
      </c>
      <c r="T114" s="36" t="n">
        <v>-0.1243610672518533</v>
      </c>
      <c r="U114" s="31" t="n">
        <v>11820</v>
      </c>
      <c r="V114" s="31" t="n">
        <v>7430</v>
      </c>
      <c r="W114" s="36" t="n">
        <v>-0.3079526226734348</v>
      </c>
      <c r="X114" s="36" t="n">
        <v>0.1009421265141319</v>
      </c>
      <c r="Y114" s="31" t="n">
        <v>17780753</v>
      </c>
      <c r="Z114" s="31" t="n">
        <v>145446559540</v>
      </c>
      <c r="AA114" s="31" t="n">
        <v>297752000</v>
      </c>
      <c r="AB114" s="31" t="n">
        <v>410294952</v>
      </c>
      <c r="AC114" s="36" t="n">
        <v>0.002047157395415144</v>
      </c>
      <c r="AD114" s="29" t="inlineStr">
        <is>
          <t>yfinance_download</t>
        </is>
      </c>
      <c r="AE114" s="29" t="inlineStr">
        <is>
          <t>102120.KQ</t>
        </is>
      </c>
    </row>
    <row r="115" ht="24" customHeight="1">
      <c r="A115" s="24" t="inlineStr">
        <is>
          <t>2023-11-23</t>
        </is>
      </c>
      <c r="B115" s="30" t="n">
        <v>8200</v>
      </c>
      <c r="C115" s="30" t="n">
        <v>8260</v>
      </c>
      <c r="D115" s="30" t="n">
        <v>8090</v>
      </c>
      <c r="E115" s="30" t="n">
        <v>8130</v>
      </c>
      <c r="F115" s="30" t="n">
        <v>8021.60009765625</v>
      </c>
      <c r="G115" s="30" t="n">
        <v>51924</v>
      </c>
      <c r="H115" s="35" t="n">
        <v>-0.006112469437652757</v>
      </c>
      <c r="I115" s="35" t="n">
        <v>-0.4950310559006211</v>
      </c>
      <c r="J115" s="30" t="n">
        <v>7932</v>
      </c>
      <c r="K115" s="30" t="n">
        <v>8428.5</v>
      </c>
      <c r="L115" s="30" t="n">
        <v>9324.25</v>
      </c>
      <c r="M115" s="35" t="n">
        <v>0.2900257518893266</v>
      </c>
      <c r="N115" s="35" t="n">
        <v>0.3126866640702746</v>
      </c>
      <c r="O115" s="35" t="n">
        <v>0.0683311432325886</v>
      </c>
      <c r="P115" s="35" t="n">
        <v>-0.1114754098360655</v>
      </c>
      <c r="Q115" s="35" t="n">
        <v>-0.2052785923753666</v>
      </c>
      <c r="R115" s="35" t="n">
        <v>0.0249621785173979</v>
      </c>
      <c r="S115" s="35" t="n">
        <v>-0.03541555436910482</v>
      </c>
      <c r="T115" s="35" t="n">
        <v>-0.1280800064348339</v>
      </c>
      <c r="U115" s="30" t="n">
        <v>11820</v>
      </c>
      <c r="V115" s="30" t="n">
        <v>7430</v>
      </c>
      <c r="W115" s="35" t="n">
        <v>-0.3121827411167513</v>
      </c>
      <c r="X115" s="35" t="n">
        <v>0.0942126514131898</v>
      </c>
      <c r="Y115" s="30" t="n">
        <v>17780753</v>
      </c>
      <c r="Z115" s="30" t="n">
        <v>144557521890</v>
      </c>
      <c r="AA115" s="30" t="n">
        <v>422142120</v>
      </c>
      <c r="AB115" s="30" t="n">
        <v>411160599.5</v>
      </c>
      <c r="AC115" s="35" t="n">
        <v>0.00292023628020703</v>
      </c>
      <c r="AD115" s="24" t="inlineStr">
        <is>
          <t>yfinance_download</t>
        </is>
      </c>
      <c r="AE115" s="24" t="inlineStr">
        <is>
          <t>102120.KQ</t>
        </is>
      </c>
    </row>
    <row r="116" ht="24" customHeight="1">
      <c r="A116" s="29" t="inlineStr">
        <is>
          <t>2023-11-24</t>
        </is>
      </c>
      <c r="B116" s="31" t="n">
        <v>8180</v>
      </c>
      <c r="C116" s="31" t="n">
        <v>8190</v>
      </c>
      <c r="D116" s="31" t="n">
        <v>8110</v>
      </c>
      <c r="E116" s="31" t="n">
        <v>8140</v>
      </c>
      <c r="F116" s="31" t="n">
        <v>8031.466796875</v>
      </c>
      <c r="G116" s="31" t="n">
        <v>20443</v>
      </c>
      <c r="H116" s="36" t="n">
        <v>0.001230012300122985</v>
      </c>
      <c r="I116" s="36" t="n">
        <v>-0.4944099378881988</v>
      </c>
      <c r="J116" s="31" t="n">
        <v>7964</v>
      </c>
      <c r="K116" s="31" t="n">
        <v>8414.833333333334</v>
      </c>
      <c r="L116" s="31" t="n">
        <v>9304.416666666666</v>
      </c>
      <c r="M116" s="36" t="n">
        <v>0.2824157656334308</v>
      </c>
      <c r="N116" s="36" t="n">
        <v>0.3102213334452695</v>
      </c>
      <c r="O116" s="36" t="n">
        <v>0.08533333333333326</v>
      </c>
      <c r="P116" s="36" t="n">
        <v>-0.0915178571428571</v>
      </c>
      <c r="Q116" s="36" t="n">
        <v>-0.2262357414448669</v>
      </c>
      <c r="R116" s="36" t="n">
        <v>0.0220994475138121</v>
      </c>
      <c r="S116" s="36" t="n">
        <v>-0.03266057953217538</v>
      </c>
      <c r="T116" s="36" t="n">
        <v>-0.1251466597404458</v>
      </c>
      <c r="U116" s="31" t="n">
        <v>11820</v>
      </c>
      <c r="V116" s="31" t="n">
        <v>7430</v>
      </c>
      <c r="W116" s="36" t="n">
        <v>-0.311336717428088</v>
      </c>
      <c r="X116" s="36" t="n">
        <v>0.09555854643337813</v>
      </c>
      <c r="Y116" s="31" t="n">
        <v>17780753</v>
      </c>
      <c r="Z116" s="31" t="n">
        <v>144735329420</v>
      </c>
      <c r="AA116" s="31" t="n">
        <v>166406020</v>
      </c>
      <c r="AB116" s="31" t="n">
        <v>400762775.5</v>
      </c>
      <c r="AC116" s="36" t="n">
        <v>0.001149726336111862</v>
      </c>
      <c r="AD116" s="29" t="inlineStr">
        <is>
          <t>yfinance_download</t>
        </is>
      </c>
      <c r="AE116" s="29" t="inlineStr">
        <is>
          <t>102120.KQ</t>
        </is>
      </c>
    </row>
    <row r="117" ht="24" customHeight="1">
      <c r="A117" s="24" t="inlineStr">
        <is>
          <t>2023-11-27</t>
        </is>
      </c>
      <c r="B117" s="30" t="n">
        <v>8100</v>
      </c>
      <c r="C117" s="30" t="n">
        <v>9440</v>
      </c>
      <c r="D117" s="30" t="n">
        <v>8100</v>
      </c>
      <c r="E117" s="30" t="n">
        <v>9260</v>
      </c>
      <c r="F117" s="30" t="n">
        <v>9136.533203125</v>
      </c>
      <c r="G117" s="30" t="n">
        <v>2816280</v>
      </c>
      <c r="H117" s="35" t="n">
        <v>0.1375921375921376</v>
      </c>
      <c r="I117" s="35" t="n">
        <v>-0.4248447204968944</v>
      </c>
      <c r="J117" s="30" t="n">
        <v>8049.5</v>
      </c>
      <c r="K117" s="30" t="n">
        <v>8416.5</v>
      </c>
      <c r="L117" s="30" t="n">
        <v>9295.5</v>
      </c>
      <c r="M117" s="35" t="n">
        <v>0.5514831963015234</v>
      </c>
      <c r="N117" s="35" t="n">
        <v>0.4188233648801585</v>
      </c>
      <c r="O117" s="35" t="n">
        <v>0.2264900662251657</v>
      </c>
      <c r="P117" s="35" t="n">
        <v>0.01091703056768556</v>
      </c>
      <c r="Q117" s="35" t="n">
        <v>-0.1035818005808326</v>
      </c>
      <c r="R117" s="35" t="n">
        <v>0.15038201130505</v>
      </c>
      <c r="S117" s="35" t="n">
        <v>0.1002198063327986</v>
      </c>
      <c r="T117" s="35" t="n">
        <v>-0.003819052229573461</v>
      </c>
      <c r="U117" s="30" t="n">
        <v>11820</v>
      </c>
      <c r="V117" s="30" t="n">
        <v>7430</v>
      </c>
      <c r="W117" s="35" t="n">
        <v>-0.2165820642978004</v>
      </c>
      <c r="X117" s="35" t="n">
        <v>0.2462987886944819</v>
      </c>
      <c r="Y117" s="30" t="n">
        <v>17780753</v>
      </c>
      <c r="Z117" s="30" t="n">
        <v>164649772780</v>
      </c>
      <c r="AA117" s="30" t="n">
        <v>26078752800</v>
      </c>
      <c r="AB117" s="30" t="n">
        <v>1693606445.5</v>
      </c>
      <c r="AC117" s="35" t="n">
        <v>0.1583892425703231</v>
      </c>
      <c r="AD117" s="24" t="inlineStr">
        <is>
          <t>yfinance_download</t>
        </is>
      </c>
      <c r="AE117" s="24" t="inlineStr">
        <is>
          <t>102120.KQ</t>
        </is>
      </c>
    </row>
    <row r="118" ht="24" customHeight="1">
      <c r="A118" s="29" t="inlineStr">
        <is>
          <t>2023-11-28</t>
        </is>
      </c>
      <c r="B118" s="31" t="n">
        <v>9200</v>
      </c>
      <c r="C118" s="31" t="n">
        <v>9260</v>
      </c>
      <c r="D118" s="31" t="n">
        <v>8900</v>
      </c>
      <c r="E118" s="31" t="n">
        <v>9110</v>
      </c>
      <c r="F118" s="31" t="n">
        <v>8988.533203125</v>
      </c>
      <c r="G118" s="31" t="n">
        <v>500176</v>
      </c>
      <c r="H118" s="36" t="n">
        <v>-0.01619870410367175</v>
      </c>
      <c r="I118" s="36" t="n">
        <v>-0.4341614906832298</v>
      </c>
      <c r="J118" s="31" t="n">
        <v>8133.5</v>
      </c>
      <c r="K118" s="31" t="n">
        <v>8411.833333333334</v>
      </c>
      <c r="L118" s="31" t="n">
        <v>9285.083333333334</v>
      </c>
      <c r="M118" s="36" t="n">
        <v>0.551679787359688</v>
      </c>
      <c r="N118" s="36" t="n">
        <v>0.4170125669261383</v>
      </c>
      <c r="O118" s="36" t="n">
        <v>0.2261103633916555</v>
      </c>
      <c r="P118" s="36" t="n">
        <v>-0.0298189563365282</v>
      </c>
      <c r="Q118" s="36" t="n">
        <v>-0.1206563706563707</v>
      </c>
      <c r="R118" s="36" t="n">
        <v>0.120059015184115</v>
      </c>
      <c r="S118" s="36" t="n">
        <v>0.08299815735769056</v>
      </c>
      <c r="T118" s="36" t="n">
        <v>-0.01885640947397715</v>
      </c>
      <c r="U118" s="31" t="n">
        <v>11820</v>
      </c>
      <c r="V118" s="31" t="n">
        <v>7430</v>
      </c>
      <c r="W118" s="36" t="n">
        <v>-0.2292724196277496</v>
      </c>
      <c r="X118" s="36" t="n">
        <v>0.2261103633916555</v>
      </c>
      <c r="Y118" s="31" t="n">
        <v>17780753</v>
      </c>
      <c r="Z118" s="31" t="n">
        <v>161982659830</v>
      </c>
      <c r="AA118" s="31" t="n">
        <v>4556603360</v>
      </c>
      <c r="AB118" s="31" t="n">
        <v>1905561675.5</v>
      </c>
      <c r="AC118" s="36" t="n">
        <v>0.02813019223651552</v>
      </c>
      <c r="AD118" s="29" t="inlineStr">
        <is>
          <t>yfinance_download</t>
        </is>
      </c>
      <c r="AE118" s="29" t="inlineStr">
        <is>
          <t>102120.KQ</t>
        </is>
      </c>
    </row>
    <row r="119" ht="24" customHeight="1">
      <c r="A119" s="24" t="inlineStr">
        <is>
          <t>2023-11-29</t>
        </is>
      </c>
      <c r="B119" s="30" t="n">
        <v>9110</v>
      </c>
      <c r="C119" s="30" t="n">
        <v>9360</v>
      </c>
      <c r="D119" s="30" t="n">
        <v>8920</v>
      </c>
      <c r="E119" s="30" t="n">
        <v>8920</v>
      </c>
      <c r="F119" s="30" t="n">
        <v>8801.06640625</v>
      </c>
      <c r="G119" s="30" t="n">
        <v>425033</v>
      </c>
      <c r="H119" s="35" t="n">
        <v>-0.0208562019758507</v>
      </c>
      <c r="I119" s="35" t="n">
        <v>-0.4459627329192547</v>
      </c>
      <c r="J119" s="30" t="n">
        <v>8208</v>
      </c>
      <c r="K119" s="30" t="n">
        <v>8403</v>
      </c>
      <c r="L119" s="30" t="n">
        <v>9273.416666666666</v>
      </c>
      <c r="M119" s="35" t="n">
        <v>0.5619572301991289</v>
      </c>
      <c r="N119" s="35" t="n">
        <v>0.4189136543175846</v>
      </c>
      <c r="O119" s="35" t="n">
        <v>0.2005383580080753</v>
      </c>
      <c r="P119" s="35" t="n">
        <v>-0.05608465608465607</v>
      </c>
      <c r="Q119" s="35" t="n">
        <v>-0.1356589147286822</v>
      </c>
      <c r="R119" s="35" t="n">
        <v>0.08674463937621835</v>
      </c>
      <c r="S119" s="35" t="n">
        <v>0.06152564560276086</v>
      </c>
      <c r="T119" s="35" t="n">
        <v>-0.03811072869582399</v>
      </c>
      <c r="U119" s="30" t="n">
        <v>11820</v>
      </c>
      <c r="V119" s="30" t="n">
        <v>7430</v>
      </c>
      <c r="W119" s="35" t="n">
        <v>-0.245346869712352</v>
      </c>
      <c r="X119" s="35" t="n">
        <v>0.2005383580080753</v>
      </c>
      <c r="Y119" s="30" t="n">
        <v>17780753</v>
      </c>
      <c r="Z119" s="30" t="n">
        <v>158604316760</v>
      </c>
      <c r="AA119" s="30" t="n">
        <v>3791294360</v>
      </c>
      <c r="AB119" s="30" t="n">
        <v>2082625418.5</v>
      </c>
      <c r="AC119" s="35" t="n">
        <v>0.02390410574850233</v>
      </c>
      <c r="AD119" s="24" t="inlineStr">
        <is>
          <t>yfinance_download</t>
        </is>
      </c>
      <c r="AE119" s="24" t="inlineStr">
        <is>
          <t>102120.KQ</t>
        </is>
      </c>
    </row>
    <row r="120" ht="24" customHeight="1">
      <c r="A120" s="29" t="inlineStr">
        <is>
          <t>2023-11-30</t>
        </is>
      </c>
      <c r="B120" s="31" t="n">
        <v>9040</v>
      </c>
      <c r="C120" s="31" t="n">
        <v>9120</v>
      </c>
      <c r="D120" s="31" t="n">
        <v>8890</v>
      </c>
      <c r="E120" s="31" t="n">
        <v>8930</v>
      </c>
      <c r="F120" s="31" t="n">
        <v>8810.93359375</v>
      </c>
      <c r="G120" s="31" t="n">
        <v>196132</v>
      </c>
      <c r="H120" s="36" t="n">
        <v>0.001121076233183915</v>
      </c>
      <c r="I120" s="36" t="n">
        <v>-0.4453416149068323</v>
      </c>
      <c r="J120" s="31" t="n">
        <v>8262</v>
      </c>
      <c r="K120" s="31" t="n">
        <v>8398.166666666666</v>
      </c>
      <c r="L120" s="31" t="n">
        <v>9262.75</v>
      </c>
      <c r="M120" s="36" t="n">
        <v>0.53451747589649</v>
      </c>
      <c r="N120" s="36" t="n">
        <v>0.4159991366647364</v>
      </c>
      <c r="O120" s="36" t="n">
        <v>0.1375796178343949</v>
      </c>
      <c r="P120" s="36" t="n">
        <v>-0.03145336225596529</v>
      </c>
      <c r="Q120" s="36" t="n">
        <v>-0.1253672869735554</v>
      </c>
      <c r="R120" s="36" t="n">
        <v>0.0808520939239894</v>
      </c>
      <c r="S120" s="36" t="n">
        <v>0.06332731350096266</v>
      </c>
      <c r="T120" s="36" t="n">
        <v>-0.03592345685676501</v>
      </c>
      <c r="U120" s="31" t="n">
        <v>11820</v>
      </c>
      <c r="V120" s="31" t="n">
        <v>7430</v>
      </c>
      <c r="W120" s="36" t="n">
        <v>-0.2445008460236887</v>
      </c>
      <c r="X120" s="36" t="n">
        <v>0.2018842530282638</v>
      </c>
      <c r="Y120" s="31" t="n">
        <v>17780753</v>
      </c>
      <c r="Z120" s="31" t="n">
        <v>158782124290</v>
      </c>
      <c r="AA120" s="31" t="n">
        <v>1751458760</v>
      </c>
      <c r="AB120" s="31" t="n">
        <v>2121863551.5</v>
      </c>
      <c r="AC120" s="36" t="n">
        <v>0.01103057896366931</v>
      </c>
      <c r="AD120" s="29" t="inlineStr">
        <is>
          <t>yfinance_download</t>
        </is>
      </c>
      <c r="AE120" s="29" t="inlineStr">
        <is>
          <t>102120.KQ</t>
        </is>
      </c>
    </row>
    <row r="121" ht="24" customHeight="1">
      <c r="A121" s="24" t="inlineStr">
        <is>
          <t>2023-12-01</t>
        </is>
      </c>
      <c r="B121" s="30" t="n">
        <v>8890</v>
      </c>
      <c r="C121" s="30" t="n">
        <v>8920</v>
      </c>
      <c r="D121" s="30" t="n">
        <v>8740</v>
      </c>
      <c r="E121" s="30" t="n">
        <v>8800</v>
      </c>
      <c r="F121" s="30" t="n">
        <v>8682.6669921875</v>
      </c>
      <c r="G121" s="30" t="n">
        <v>147556</v>
      </c>
      <c r="H121" s="35" t="n">
        <v>-0.01455767077267633</v>
      </c>
      <c r="I121" s="35" t="n">
        <v>-0.4534161490683229</v>
      </c>
      <c r="J121" s="30" t="n">
        <v>8308</v>
      </c>
      <c r="K121" s="30" t="n">
        <v>8385.333333333334</v>
      </c>
      <c r="L121" s="30" t="n">
        <v>9251.5</v>
      </c>
      <c r="M121" s="35" t="n">
        <v>0.5399066586793605</v>
      </c>
      <c r="N121" s="35" t="n">
        <v>0.4092870224438855</v>
      </c>
      <c r="O121" s="35" t="n">
        <v>0.116751269035533</v>
      </c>
      <c r="P121" s="35" t="n">
        <v>-0.08045977011494254</v>
      </c>
      <c r="Q121" s="35" t="n">
        <v>-0.1330049261083743</v>
      </c>
      <c r="R121" s="35" t="n">
        <v>0.05922002888781908</v>
      </c>
      <c r="S121" s="35" t="n">
        <v>0.04945142311973272</v>
      </c>
      <c r="T121" s="35" t="n">
        <v>-0.04880289682754146</v>
      </c>
      <c r="U121" s="30" t="n">
        <v>11820</v>
      </c>
      <c r="V121" s="30" t="n">
        <v>7430</v>
      </c>
      <c r="W121" s="35" t="n">
        <v>-0.2554991539763113</v>
      </c>
      <c r="X121" s="35" t="n">
        <v>0.1843876177658144</v>
      </c>
      <c r="Y121" s="30" t="n">
        <v>17780753</v>
      </c>
      <c r="Z121" s="30" t="n">
        <v>156470626400</v>
      </c>
      <c r="AA121" s="30" t="n">
        <v>1298492800</v>
      </c>
      <c r="AB121" s="30" t="n">
        <v>2162020563.5</v>
      </c>
      <c r="AC121" s="35" t="n">
        <v>0.008298636171370246</v>
      </c>
      <c r="AD121" s="24" t="inlineStr">
        <is>
          <t>yfinance_download</t>
        </is>
      </c>
      <c r="AE121" s="24" t="inlineStr">
        <is>
          <t>102120.KQ</t>
        </is>
      </c>
    </row>
    <row r="122" ht="24" customHeight="1">
      <c r="A122" s="29" t="inlineStr">
        <is>
          <t>2023-12-04</t>
        </is>
      </c>
      <c r="B122" s="31" t="n">
        <v>8820</v>
      </c>
      <c r="C122" s="31" t="n">
        <v>8910</v>
      </c>
      <c r="D122" s="31" t="n">
        <v>8680</v>
      </c>
      <c r="E122" s="31" t="n">
        <v>8820</v>
      </c>
      <c r="F122" s="31" t="n">
        <v>8702.400390625</v>
      </c>
      <c r="G122" s="31" t="n">
        <v>116617</v>
      </c>
      <c r="H122" s="36" t="n">
        <v>0.002272727272727204</v>
      </c>
      <c r="I122" s="36" t="n">
        <v>-0.4521739130434783</v>
      </c>
      <c r="J122" s="31" t="n">
        <v>8344</v>
      </c>
      <c r="K122" s="31" t="n">
        <v>8371.833333333334</v>
      </c>
      <c r="L122" s="31" t="n">
        <v>9240</v>
      </c>
      <c r="M122" s="36" t="n">
        <v>0.5337683368379758</v>
      </c>
      <c r="N122" s="36" t="n">
        <v>0.4090622364315816</v>
      </c>
      <c r="O122" s="36" t="n">
        <v>0.0888888888888888</v>
      </c>
      <c r="P122" s="36" t="n">
        <v>-0.08411214953271029</v>
      </c>
      <c r="Q122" s="36" t="n">
        <v>-0.1352941176470588</v>
      </c>
      <c r="R122" s="36" t="n">
        <v>0.05704697986577179</v>
      </c>
      <c r="S122" s="36" t="n">
        <v>0.05353267902291403</v>
      </c>
      <c r="T122" s="36" t="n">
        <v>-0.04545454545454541</v>
      </c>
      <c r="U122" s="31" t="n">
        <v>11820</v>
      </c>
      <c r="V122" s="31" t="n">
        <v>7430</v>
      </c>
      <c r="W122" s="36" t="n">
        <v>-0.2538071065989848</v>
      </c>
      <c r="X122" s="36" t="n">
        <v>0.187079407806191</v>
      </c>
      <c r="Y122" s="31" t="n">
        <v>17780753</v>
      </c>
      <c r="Z122" s="31" t="n">
        <v>156826241460</v>
      </c>
      <c r="AA122" s="31" t="n">
        <v>1028561940</v>
      </c>
      <c r="AB122" s="31" t="n">
        <v>2180748555.5</v>
      </c>
      <c r="AC122" s="36" t="n">
        <v>0.006558608625855159</v>
      </c>
      <c r="AD122" s="29" t="inlineStr">
        <is>
          <t>yfinance_download</t>
        </is>
      </c>
      <c r="AE122" s="29" t="inlineStr">
        <is>
          <t>102120.KQ</t>
        </is>
      </c>
    </row>
    <row r="123" ht="24" customHeight="1">
      <c r="A123" s="24" t="inlineStr">
        <is>
          <t>2023-12-05</t>
        </is>
      </c>
      <c r="B123" s="30" t="n">
        <v>8750</v>
      </c>
      <c r="C123" s="30" t="n">
        <v>8920</v>
      </c>
      <c r="D123" s="30" t="n">
        <v>8520</v>
      </c>
      <c r="E123" s="30" t="n">
        <v>8580</v>
      </c>
      <c r="F123" s="30" t="n">
        <v>8465.6005859375</v>
      </c>
      <c r="G123" s="30" t="n">
        <v>146648</v>
      </c>
      <c r="H123" s="35" t="n">
        <v>-0.02721088435374153</v>
      </c>
      <c r="I123" s="35" t="n">
        <v>-0.4670807453416149</v>
      </c>
      <c r="J123" s="30" t="n">
        <v>8368</v>
      </c>
      <c r="K123" s="30" t="n">
        <v>8355.833333333334</v>
      </c>
      <c r="L123" s="30" t="n">
        <v>9225.583333333334</v>
      </c>
      <c r="M123" s="35" t="n">
        <v>0.5455994741097931</v>
      </c>
      <c r="N123" s="35" t="n">
        <v>0.412217375349612</v>
      </c>
      <c r="O123" s="35" t="n">
        <v>0.05925925925925934</v>
      </c>
      <c r="P123" s="35" t="n">
        <v>-0.10062893081761</v>
      </c>
      <c r="Q123" s="35" t="n">
        <v>-0.1677982541222115</v>
      </c>
      <c r="R123" s="35" t="n">
        <v>0.02533460803059273</v>
      </c>
      <c r="S123" s="35" t="n">
        <v>0.02682756557295285</v>
      </c>
      <c r="T123" s="35" t="n">
        <v>-0.06997750819731374</v>
      </c>
      <c r="U123" s="30" t="n">
        <v>11820</v>
      </c>
      <c r="V123" s="30" t="n">
        <v>7430</v>
      </c>
      <c r="W123" s="35" t="n">
        <v>-0.2741116751269036</v>
      </c>
      <c r="X123" s="35" t="n">
        <v>0.154777927321669</v>
      </c>
      <c r="Y123" s="30" t="n">
        <v>17780753</v>
      </c>
      <c r="Z123" s="30" t="n">
        <v>152558860740</v>
      </c>
      <c r="AA123" s="30" t="n">
        <v>1258239840</v>
      </c>
      <c r="AB123" s="30" t="n">
        <v>2221123107.5</v>
      </c>
      <c r="AC123" s="35" t="n">
        <v>0.008247569717660439</v>
      </c>
      <c r="AD123" s="24" t="inlineStr">
        <is>
          <t>yfinance_download</t>
        </is>
      </c>
      <c r="AE123" s="24" t="inlineStr">
        <is>
          <t>102120.KQ</t>
        </is>
      </c>
    </row>
    <row r="124" ht="24" customHeight="1">
      <c r="A124" s="29" t="inlineStr">
        <is>
          <t>2023-12-06</t>
        </is>
      </c>
      <c r="B124" s="31" t="n">
        <v>8650</v>
      </c>
      <c r="C124" s="31" t="n">
        <v>8900</v>
      </c>
      <c r="D124" s="31" t="n">
        <v>8630</v>
      </c>
      <c r="E124" s="31" t="n">
        <v>8900</v>
      </c>
      <c r="F124" s="31" t="n">
        <v>8781.3330078125</v>
      </c>
      <c r="G124" s="31" t="n">
        <v>176042</v>
      </c>
      <c r="H124" s="36" t="n">
        <v>0.03729603729603737</v>
      </c>
      <c r="I124" s="36" t="n">
        <v>-0.4472049689440993</v>
      </c>
      <c r="J124" s="31" t="n">
        <v>8410.5</v>
      </c>
      <c r="K124" s="31" t="n">
        <v>8347.666666666666</v>
      </c>
      <c r="L124" s="31" t="n">
        <v>9211.666666666666</v>
      </c>
      <c r="M124" s="36" t="n">
        <v>0.5571729210380629</v>
      </c>
      <c r="N124" s="36" t="n">
        <v>0.4186454279122829</v>
      </c>
      <c r="O124" s="36" t="n">
        <v>0.1055900621118013</v>
      </c>
      <c r="P124" s="36" t="n">
        <v>-0.05218317358892444</v>
      </c>
      <c r="Q124" s="36" t="n">
        <v>-0.1579943235572374</v>
      </c>
      <c r="R124" s="36" t="n">
        <v>0.05820105820105814</v>
      </c>
      <c r="S124" s="36" t="n">
        <v>0.06616619414606895</v>
      </c>
      <c r="T124" s="36" t="n">
        <v>-0.03383390627827021</v>
      </c>
      <c r="U124" s="31" t="n">
        <v>11820</v>
      </c>
      <c r="V124" s="31" t="n">
        <v>7430</v>
      </c>
      <c r="W124" s="36" t="n">
        <v>-0.2470389170896785</v>
      </c>
      <c r="X124" s="36" t="n">
        <v>0.1978465679676986</v>
      </c>
      <c r="Y124" s="31" t="n">
        <v>17780753</v>
      </c>
      <c r="Z124" s="31" t="n">
        <v>158248701700</v>
      </c>
      <c r="AA124" s="31" t="n">
        <v>1566773800</v>
      </c>
      <c r="AB124" s="31" t="n">
        <v>2283410500</v>
      </c>
      <c r="AC124" s="36" t="n">
        <v>0.009900705555045953</v>
      </c>
      <c r="AD124" s="29" t="inlineStr">
        <is>
          <t>yfinance_download</t>
        </is>
      </c>
      <c r="AE124" s="29" t="inlineStr">
        <is>
          <t>102120.KQ</t>
        </is>
      </c>
    </row>
    <row r="125" ht="24" customHeight="1">
      <c r="A125" s="24" t="inlineStr">
        <is>
          <t>2023-12-07</t>
        </is>
      </c>
      <c r="B125" s="30" t="n">
        <v>8840</v>
      </c>
      <c r="C125" s="30" t="n">
        <v>9220</v>
      </c>
      <c r="D125" s="30" t="n">
        <v>8740</v>
      </c>
      <c r="E125" s="30" t="n">
        <v>9200</v>
      </c>
      <c r="F125" s="30" t="n">
        <v>9077.3330078125</v>
      </c>
      <c r="G125" s="30" t="n">
        <v>463470</v>
      </c>
      <c r="H125" s="35" t="n">
        <v>0.03370786516853941</v>
      </c>
      <c r="I125" s="35" t="n">
        <v>-0.4285714285714286</v>
      </c>
      <c r="J125" s="30" t="n">
        <v>8472</v>
      </c>
      <c r="K125" s="30" t="n">
        <v>8344.833333333334</v>
      </c>
      <c r="L125" s="30" t="n">
        <v>9198.833333333334</v>
      </c>
      <c r="M125" s="35" t="n">
        <v>0.5625641207760204</v>
      </c>
      <c r="N125" s="35" t="n">
        <v>0.4244748146462606</v>
      </c>
      <c r="O125" s="35" t="n">
        <v>0.1543287327478042</v>
      </c>
      <c r="P125" s="35" t="n">
        <v>-0.01814300960512272</v>
      </c>
      <c r="Q125" s="35" t="n">
        <v>-0.1433891992551211</v>
      </c>
      <c r="R125" s="35" t="n">
        <v>0.08593012275731815</v>
      </c>
      <c r="S125" s="35" t="n">
        <v>0.1024785795602068</v>
      </c>
      <c r="T125" s="35" t="n">
        <v>0.0001268276774228916</v>
      </c>
      <c r="U125" s="30" t="n">
        <v>11820</v>
      </c>
      <c r="V125" s="30" t="n">
        <v>7430</v>
      </c>
      <c r="W125" s="35" t="n">
        <v>-0.2216582064297801</v>
      </c>
      <c r="X125" s="35" t="n">
        <v>0.2382234185733514</v>
      </c>
      <c r="Y125" s="30" t="n">
        <v>17780753</v>
      </c>
      <c r="Z125" s="30" t="n">
        <v>163582927600</v>
      </c>
      <c r="AA125" s="30" t="n">
        <v>4263924000</v>
      </c>
      <c r="AB125" s="30" t="n">
        <v>2485802568</v>
      </c>
      <c r="AC125" s="35" t="n">
        <v>0.02606582522123782</v>
      </c>
      <c r="AD125" s="24" t="inlineStr">
        <is>
          <t>yfinance_download</t>
        </is>
      </c>
      <c r="AE125" s="24" t="inlineStr">
        <is>
          <t>102120.KQ</t>
        </is>
      </c>
    </row>
    <row r="126" ht="24" customHeight="1">
      <c r="A126" s="29" t="inlineStr">
        <is>
          <t>2023-12-08</t>
        </is>
      </c>
      <c r="B126" s="31" t="n">
        <v>9350</v>
      </c>
      <c r="C126" s="31" t="n">
        <v>10190</v>
      </c>
      <c r="D126" s="31" t="n">
        <v>9150</v>
      </c>
      <c r="E126" s="31" t="n">
        <v>9620</v>
      </c>
      <c r="F126" s="31" t="n">
        <v>9491.7333984375</v>
      </c>
      <c r="G126" s="31" t="n">
        <v>1964823</v>
      </c>
      <c r="H126" s="36" t="n">
        <v>0.04565217391304355</v>
      </c>
      <c r="I126" s="36" t="n">
        <v>-0.4024844720496894</v>
      </c>
      <c r="J126" s="31" t="n">
        <v>8558</v>
      </c>
      <c r="K126" s="31" t="n">
        <v>8353</v>
      </c>
      <c r="L126" s="31" t="n">
        <v>9191.666666666666</v>
      </c>
      <c r="M126" s="36" t="n">
        <v>0.5743902919220382</v>
      </c>
      <c r="N126" s="36" t="n">
        <v>0.4311572642448561</v>
      </c>
      <c r="O126" s="36" t="n">
        <v>0.2177215189873418</v>
      </c>
      <c r="P126" s="36" t="n">
        <v>0.05366922234392124</v>
      </c>
      <c r="Q126" s="36" t="n">
        <v>-0.08206106870229013</v>
      </c>
      <c r="R126" s="36" t="n">
        <v>0.1240944145828464</v>
      </c>
      <c r="S126" s="36" t="n">
        <v>0.1516820304082365</v>
      </c>
      <c r="T126" s="36" t="n">
        <v>0.04660018132366273</v>
      </c>
      <c r="U126" s="31" t="n">
        <v>11820</v>
      </c>
      <c r="V126" s="31" t="n">
        <v>7430</v>
      </c>
      <c r="W126" s="36" t="n">
        <v>-0.1861252115059222</v>
      </c>
      <c r="X126" s="36" t="n">
        <v>0.2947510094212651</v>
      </c>
      <c r="Y126" s="31" t="n">
        <v>17780753</v>
      </c>
      <c r="Z126" s="31" t="n">
        <v>171050843860</v>
      </c>
      <c r="AA126" s="31" t="n">
        <v>18901597260</v>
      </c>
      <c r="AB126" s="31" t="n">
        <v>3414305071</v>
      </c>
      <c r="AC126" s="36" t="n">
        <v>0.1105028004157079</v>
      </c>
      <c r="AD126" s="29" t="inlineStr">
        <is>
          <t>yfinance_download</t>
        </is>
      </c>
      <c r="AE126" s="29" t="inlineStr">
        <is>
          <t>102120.KQ</t>
        </is>
      </c>
    </row>
    <row r="127" ht="24" customHeight="1">
      <c r="A127" s="24" t="inlineStr">
        <is>
          <t>2023-12-11</t>
        </is>
      </c>
      <c r="B127" s="30" t="n">
        <v>9730</v>
      </c>
      <c r="C127" s="30" t="n">
        <v>10380</v>
      </c>
      <c r="D127" s="30" t="n">
        <v>9680</v>
      </c>
      <c r="E127" s="30" t="n">
        <v>9770</v>
      </c>
      <c r="F127" s="30" t="n">
        <v>9639.7333984375</v>
      </c>
      <c r="G127" s="30" t="n">
        <v>1323699</v>
      </c>
      <c r="H127" s="35" t="n">
        <v>0.01559251559251562</v>
      </c>
      <c r="I127" s="35" t="n">
        <v>-0.393167701863354</v>
      </c>
      <c r="J127" s="30" t="n">
        <v>8659.5</v>
      </c>
      <c r="K127" s="30" t="n">
        <v>8364.333333333334</v>
      </c>
      <c r="L127" s="30" t="n">
        <v>9181.25</v>
      </c>
      <c r="M127" s="35" t="n">
        <v>0.5629278781023841</v>
      </c>
      <c r="N127" s="35" t="n">
        <v>0.4319910945727791</v>
      </c>
      <c r="O127" s="35" t="n">
        <v>0.2622739018087856</v>
      </c>
      <c r="P127" s="35" t="n">
        <v>0.07480748074807475</v>
      </c>
      <c r="Q127" s="35" t="n">
        <v>-0.1134301270417423</v>
      </c>
      <c r="R127" s="35" t="n">
        <v>0.128240660546221</v>
      </c>
      <c r="S127" s="35" t="n">
        <v>0.1680548360100425</v>
      </c>
      <c r="T127" s="35" t="n">
        <v>0.06412525527569768</v>
      </c>
      <c r="U127" s="30" t="n">
        <v>11820</v>
      </c>
      <c r="V127" s="30" t="n">
        <v>7430</v>
      </c>
      <c r="W127" s="35" t="n">
        <v>-0.1734348561759729</v>
      </c>
      <c r="X127" s="35" t="n">
        <v>0.3149394347240915</v>
      </c>
      <c r="Y127" s="30" t="n">
        <v>17780753</v>
      </c>
      <c r="Z127" s="30" t="n">
        <v>173717956810</v>
      </c>
      <c r="AA127" s="30" t="n">
        <v>12932539230</v>
      </c>
      <c r="AB127" s="30" t="n">
        <v>4047274028.5</v>
      </c>
      <c r="AC127" s="35" t="n">
        <v>0.07444560981191292</v>
      </c>
      <c r="AD127" s="24" t="inlineStr">
        <is>
          <t>yfinance_download</t>
        </is>
      </c>
      <c r="AE127" s="24" t="inlineStr">
        <is>
          <t>102120.KQ</t>
        </is>
      </c>
    </row>
    <row r="128" ht="24" customHeight="1">
      <c r="A128" s="29" t="inlineStr">
        <is>
          <t>2023-12-12</t>
        </is>
      </c>
      <c r="B128" s="31" t="n">
        <v>10390</v>
      </c>
      <c r="C128" s="31" t="n">
        <v>12570</v>
      </c>
      <c r="D128" s="31" t="n">
        <v>10330</v>
      </c>
      <c r="E128" s="31" t="n">
        <v>11530</v>
      </c>
      <c r="F128" s="31" t="n">
        <v>11376.2666015625</v>
      </c>
      <c r="G128" s="31" t="n">
        <v>13001700</v>
      </c>
      <c r="H128" s="36" t="n">
        <v>0.1801432958034801</v>
      </c>
      <c r="I128" s="36" t="n">
        <v>-0.2838509316770186</v>
      </c>
      <c r="J128" s="31" t="n">
        <v>8839</v>
      </c>
      <c r="K128" s="31" t="n">
        <v>8405.166666666666</v>
      </c>
      <c r="L128" s="31" t="n">
        <v>9187.75</v>
      </c>
      <c r="M128" s="36" t="n">
        <v>0.8200038173178552</v>
      </c>
      <c r="N128" s="36" t="n">
        <v>0.5661039785064749</v>
      </c>
      <c r="O128" s="36" t="n">
        <v>0.4521410579345089</v>
      </c>
      <c r="P128" s="36" t="n">
        <v>0.2698237885462555</v>
      </c>
      <c r="Q128" s="36" t="n">
        <v>0.07255813953488377</v>
      </c>
      <c r="R128" s="36" t="n">
        <v>0.304446204321756</v>
      </c>
      <c r="S128" s="36" t="n">
        <v>0.371775296940374</v>
      </c>
      <c r="T128" s="36" t="n">
        <v>0.2549318385894261</v>
      </c>
      <c r="U128" s="31" t="n">
        <v>11820</v>
      </c>
      <c r="V128" s="31" t="n">
        <v>7430</v>
      </c>
      <c r="W128" s="36" t="n">
        <v>-0.02453468697123518</v>
      </c>
      <c r="X128" s="36" t="n">
        <v>0.5518169582772543</v>
      </c>
      <c r="Y128" s="31" t="n">
        <v>17780753</v>
      </c>
      <c r="Z128" s="31" t="n">
        <v>205012082090</v>
      </c>
      <c r="AA128" s="31" t="n">
        <v>149909601000</v>
      </c>
      <c r="AB128" s="31" t="n">
        <v>11527147611.5</v>
      </c>
      <c r="AC128" s="36" t="n">
        <v>0.7312232502189305</v>
      </c>
      <c r="AD128" s="29" t="inlineStr">
        <is>
          <t>yfinance_download</t>
        </is>
      </c>
      <c r="AE128" s="29" t="inlineStr">
        <is>
          <t>102120.KQ</t>
        </is>
      </c>
    </row>
    <row r="129" ht="24" customHeight="1">
      <c r="A129" s="24" t="inlineStr">
        <is>
          <t>2023-12-13</t>
        </is>
      </c>
      <c r="B129" s="30" t="n">
        <v>11690</v>
      </c>
      <c r="C129" s="30" t="n">
        <v>12530</v>
      </c>
      <c r="D129" s="30" t="n">
        <v>11080</v>
      </c>
      <c r="E129" s="30" t="n">
        <v>11500</v>
      </c>
      <c r="F129" s="30" t="n">
        <v>11346.6669921875</v>
      </c>
      <c r="G129" s="30" t="n">
        <v>7994706</v>
      </c>
      <c r="H129" s="35" t="n">
        <v>-0.002601908065914982</v>
      </c>
      <c r="I129" s="35" t="n">
        <v>-0.2857142857142857</v>
      </c>
      <c r="J129" s="30" t="n">
        <v>9007</v>
      </c>
      <c r="K129" s="30" t="n">
        <v>8445.5</v>
      </c>
      <c r="L129" s="30" t="n">
        <v>9195.333333333334</v>
      </c>
      <c r="M129" s="35" t="n">
        <v>0.823593302976824</v>
      </c>
      <c r="N129" s="35" t="n">
        <v>0.5662188857353846</v>
      </c>
      <c r="O129" s="35" t="n">
        <v>0.4127764127764129</v>
      </c>
      <c r="P129" s="35" t="n">
        <v>0.2665198237885462</v>
      </c>
      <c r="Q129" s="35" t="n">
        <v>0.08593012275731815</v>
      </c>
      <c r="R129" s="35" t="n">
        <v>0.2767847229932274</v>
      </c>
      <c r="S129" s="35" t="n">
        <v>0.3616718962761234</v>
      </c>
      <c r="T129" s="35" t="n">
        <v>0.2506343797578481</v>
      </c>
      <c r="U129" s="30" t="n">
        <v>11820</v>
      </c>
      <c r="V129" s="30" t="n">
        <v>7430</v>
      </c>
      <c r="W129" s="35" t="n">
        <v>-0.02707275803722509</v>
      </c>
      <c r="X129" s="35" t="n">
        <v>0.5477792732166891</v>
      </c>
      <c r="Y129" s="30" t="n">
        <v>17780753</v>
      </c>
      <c r="Z129" s="30" t="n">
        <v>204478659500</v>
      </c>
      <c r="AA129" s="30" t="n">
        <v>91939119000</v>
      </c>
      <c r="AB129" s="30" t="n">
        <v>16092108070.5</v>
      </c>
      <c r="AC129" s="35" t="n">
        <v>0.4496269646173028</v>
      </c>
      <c r="AD129" s="24" t="inlineStr">
        <is>
          <t>yfinance_download</t>
        </is>
      </c>
      <c r="AE129" s="24" t="inlineStr">
        <is>
          <t>102120.KQ</t>
        </is>
      </c>
    </row>
    <row r="130" ht="24" customHeight="1">
      <c r="A130" s="29" t="inlineStr">
        <is>
          <t>2023-12-14</t>
        </is>
      </c>
      <c r="B130" s="31" t="n">
        <v>11920</v>
      </c>
      <c r="C130" s="31" t="n">
        <v>12340</v>
      </c>
      <c r="D130" s="31" t="n">
        <v>11090</v>
      </c>
      <c r="E130" s="31" t="n">
        <v>11360</v>
      </c>
      <c r="F130" s="31" t="n">
        <v>11208.533203125</v>
      </c>
      <c r="G130" s="31" t="n">
        <v>3882887</v>
      </c>
      <c r="H130" s="36" t="n">
        <v>-0.01217391304347826</v>
      </c>
      <c r="I130" s="36" t="n">
        <v>-0.2944099378881988</v>
      </c>
      <c r="J130" s="31" t="n">
        <v>9164.5</v>
      </c>
      <c r="K130" s="31" t="n">
        <v>8479.833333333334</v>
      </c>
      <c r="L130" s="31" t="n">
        <v>9200.916666666666</v>
      </c>
      <c r="M130" s="36" t="n">
        <v>0.8302137576371021</v>
      </c>
      <c r="N130" s="36" t="n">
        <v>0.5657244850286179</v>
      </c>
      <c r="O130" s="36" t="n">
        <v>0.3836784409257004</v>
      </c>
      <c r="P130" s="36" t="n">
        <v>0.221505376344086</v>
      </c>
      <c r="Q130" s="36" t="n">
        <v>0.06267539756782048</v>
      </c>
      <c r="R130" s="36" t="n">
        <v>0.2395657155327622</v>
      </c>
      <c r="S130" s="36" t="n">
        <v>0.3396489710882682</v>
      </c>
      <c r="T130" s="36" t="n">
        <v>0.2346595900770758</v>
      </c>
      <c r="U130" s="31" t="n">
        <v>11820</v>
      </c>
      <c r="V130" s="31" t="n">
        <v>7430</v>
      </c>
      <c r="W130" s="36" t="n">
        <v>-0.03891708967851104</v>
      </c>
      <c r="X130" s="36" t="n">
        <v>0.5289367429340512</v>
      </c>
      <c r="Y130" s="31" t="n">
        <v>17780753</v>
      </c>
      <c r="Z130" s="31" t="n">
        <v>201989354080</v>
      </c>
      <c r="AA130" s="31" t="n">
        <v>44109596320</v>
      </c>
      <c r="AB130" s="31" t="n">
        <v>18281841106.5</v>
      </c>
      <c r="AC130" s="36" t="n">
        <v>0.2183758471871242</v>
      </c>
      <c r="AD130" s="29" t="inlineStr">
        <is>
          <t>yfinance_download</t>
        </is>
      </c>
      <c r="AE130" s="29" t="inlineStr">
        <is>
          <t>102120.KQ</t>
        </is>
      </c>
    </row>
    <row r="131" ht="24" customHeight="1">
      <c r="A131" s="24" t="inlineStr">
        <is>
          <t>2023-12-15</t>
        </is>
      </c>
      <c r="B131" s="30" t="n">
        <v>11380</v>
      </c>
      <c r="C131" s="30" t="n">
        <v>11390</v>
      </c>
      <c r="D131" s="30" t="n">
        <v>10610</v>
      </c>
      <c r="E131" s="30" t="n">
        <v>10800</v>
      </c>
      <c r="F131" s="30" t="n">
        <v>10656</v>
      </c>
      <c r="G131" s="30" t="n">
        <v>1334341</v>
      </c>
      <c r="H131" s="35" t="n">
        <v>-0.04929577464788737</v>
      </c>
      <c r="I131" s="35" t="n">
        <v>-0.3291925465838509</v>
      </c>
      <c r="J131" s="30" t="n">
        <v>9295.5</v>
      </c>
      <c r="K131" s="30" t="n">
        <v>8505</v>
      </c>
      <c r="L131" s="30" t="n">
        <v>9202</v>
      </c>
      <c r="M131" s="35" t="n">
        <v>0.8609241517531744</v>
      </c>
      <c r="N131" s="35" t="n">
        <v>0.5760812679198014</v>
      </c>
      <c r="O131" s="35" t="n">
        <v>0.3202933985330074</v>
      </c>
      <c r="P131" s="35" t="n">
        <v>0.16254036598493</v>
      </c>
      <c r="Q131" s="35" t="n">
        <v>0.01218369259606367</v>
      </c>
      <c r="R131" s="35" t="n">
        <v>0.1618525092786833</v>
      </c>
      <c r="S131" s="35" t="n">
        <v>0.2698412698412698</v>
      </c>
      <c r="T131" s="35" t="n">
        <v>0.1736579004564225</v>
      </c>
      <c r="U131" s="30" t="n">
        <v>11820</v>
      </c>
      <c r="V131" s="30" t="n">
        <v>7430</v>
      </c>
      <c r="W131" s="35" t="n">
        <v>-0.08629441624365486</v>
      </c>
      <c r="X131" s="35" t="n">
        <v>0.4535666218034993</v>
      </c>
      <c r="Y131" s="30" t="n">
        <v>17780753</v>
      </c>
      <c r="Z131" s="30" t="n">
        <v>192032132400</v>
      </c>
      <c r="AA131" s="30" t="n">
        <v>14410882800</v>
      </c>
      <c r="AB131" s="30" t="n">
        <v>18972780190.5</v>
      </c>
      <c r="AC131" s="35" t="n">
        <v>0.07504412214713291</v>
      </c>
      <c r="AD131" s="24" t="inlineStr">
        <is>
          <t>yfinance_download</t>
        </is>
      </c>
      <c r="AE131" s="24" t="inlineStr">
        <is>
          <t>102120.KQ</t>
        </is>
      </c>
    </row>
    <row r="132" ht="24" customHeight="1">
      <c r="A132" s="29" t="inlineStr">
        <is>
          <t>2023-12-18</t>
        </is>
      </c>
      <c r="B132" s="31" t="n">
        <v>11000</v>
      </c>
      <c r="C132" s="31" t="n">
        <v>11260</v>
      </c>
      <c r="D132" s="31" t="n">
        <v>10770</v>
      </c>
      <c r="E132" s="31" t="n">
        <v>11260</v>
      </c>
      <c r="F132" s="31" t="n">
        <v>11109.8671875</v>
      </c>
      <c r="G132" s="31" t="n">
        <v>1052476</v>
      </c>
      <c r="H132" s="36" t="n">
        <v>0.04259259259259252</v>
      </c>
      <c r="I132" s="36" t="n">
        <v>-0.3006211180124223</v>
      </c>
      <c r="J132" s="31" t="n">
        <v>9448.5</v>
      </c>
      <c r="K132" s="31" t="n">
        <v>8542.166666666666</v>
      </c>
      <c r="L132" s="31" t="n">
        <v>9209.333333333334</v>
      </c>
      <c r="M132" s="36" t="n">
        <v>0.8647714186119942</v>
      </c>
      <c r="N132" s="36" t="n">
        <v>0.5779587612670095</v>
      </c>
      <c r="O132" s="36" t="n">
        <v>0.3731707317073172</v>
      </c>
      <c r="P132" s="36" t="n">
        <v>0.2469545957918051</v>
      </c>
      <c r="Q132" s="36" t="n">
        <v>0.08477842003853575</v>
      </c>
      <c r="R132" s="36" t="n">
        <v>0.1917235540032809</v>
      </c>
      <c r="S132" s="36" t="n">
        <v>0.3181667414590366</v>
      </c>
      <c r="T132" s="36" t="n">
        <v>0.2226726509338353</v>
      </c>
      <c r="U132" s="31" t="n">
        <v>11820</v>
      </c>
      <c r="V132" s="31" t="n">
        <v>7430</v>
      </c>
      <c r="W132" s="36" t="n">
        <v>-0.04737732656514382</v>
      </c>
      <c r="X132" s="36" t="n">
        <v>0.515477792732167</v>
      </c>
      <c r="Y132" s="31" t="n">
        <v>17780753</v>
      </c>
      <c r="Z132" s="31" t="n">
        <v>200211278780</v>
      </c>
      <c r="AA132" s="31" t="n">
        <v>11850879760</v>
      </c>
      <c r="AB132" s="31" t="n">
        <v>19543371138.5</v>
      </c>
      <c r="AC132" s="36" t="n">
        <v>0.05919186887079529</v>
      </c>
      <c r="AD132" s="29" t="inlineStr">
        <is>
          <t>yfinance_download</t>
        </is>
      </c>
      <c r="AE132" s="29" t="inlineStr">
        <is>
          <t>102120.KQ</t>
        </is>
      </c>
    </row>
    <row r="133" ht="24" customHeight="1">
      <c r="A133" s="24" t="inlineStr">
        <is>
          <t>2023-12-19</t>
        </is>
      </c>
      <c r="B133" s="30" t="n">
        <v>12940</v>
      </c>
      <c r="C133" s="30" t="n">
        <v>14630</v>
      </c>
      <c r="D133" s="30" t="n">
        <v>12360</v>
      </c>
      <c r="E133" s="30" t="n">
        <v>14630</v>
      </c>
      <c r="F133" s="30" t="n">
        <v>14434.93359375</v>
      </c>
      <c r="G133" s="30" t="n">
        <v>25424730</v>
      </c>
      <c r="H133" s="35" t="n">
        <v>0.2992895204262878</v>
      </c>
      <c r="I133" s="35" t="n">
        <v>-0.09130434782608698</v>
      </c>
      <c r="J133" s="30" t="n">
        <v>9772</v>
      </c>
      <c r="K133" s="30" t="n">
        <v>8635.5</v>
      </c>
      <c r="L133" s="30" t="n">
        <v>9243.416666666666</v>
      </c>
      <c r="M133" s="35" t="n">
        <v>1.317082903063798</v>
      </c>
      <c r="N133" s="35" t="n">
        <v>0.8362186155356102</v>
      </c>
      <c r="O133" s="35" t="n">
        <v>0.7928921568627452</v>
      </c>
      <c r="P133" s="35" t="n">
        <v>0.6201550387596899</v>
      </c>
      <c r="Q133" s="35" t="n">
        <v>0.3880455407969639</v>
      </c>
      <c r="R133" s="35" t="n">
        <v>0.497134670487106</v>
      </c>
      <c r="S133" s="35" t="n">
        <v>0.6941694169416941</v>
      </c>
      <c r="T133" s="35" t="n">
        <v>0.5827480819682478</v>
      </c>
      <c r="U133" s="30" t="n">
        <v>14630</v>
      </c>
      <c r="V133" s="30" t="n">
        <v>7430</v>
      </c>
      <c r="W133" s="35" t="n">
        <v>0</v>
      </c>
      <c r="X133" s="35" t="n">
        <v>0.9690444145356663</v>
      </c>
      <c r="Y133" s="30" t="n">
        <v>17780753</v>
      </c>
      <c r="Z133" s="30" t="n">
        <v>260132416390</v>
      </c>
      <c r="AA133" s="30" t="n">
        <v>371963799900</v>
      </c>
      <c r="AB133" s="30" t="n">
        <v>38124920853.5</v>
      </c>
      <c r="AC133" s="35" t="n">
        <v>1.429901759503661</v>
      </c>
      <c r="AD133" s="24" t="inlineStr">
        <is>
          <t>yfinance_download</t>
        </is>
      </c>
      <c r="AE133" s="24" t="inlineStr">
        <is>
          <t>102120.KQ</t>
        </is>
      </c>
    </row>
    <row r="134" ht="24" customHeight="1">
      <c r="A134" s="29" t="inlineStr">
        <is>
          <t>2023-12-20</t>
        </is>
      </c>
      <c r="B134" s="31" t="n">
        <v>15600</v>
      </c>
      <c r="C134" s="31" t="n">
        <v>15790</v>
      </c>
      <c r="D134" s="31" t="n">
        <v>14610</v>
      </c>
      <c r="E134" s="31" t="n">
        <v>14820</v>
      </c>
      <c r="F134" s="31" t="n">
        <v>14622.400390625</v>
      </c>
      <c r="G134" s="31" t="n">
        <v>11442020</v>
      </c>
      <c r="H134" s="36" t="n">
        <v>0.01298701298701288</v>
      </c>
      <c r="I134" s="36" t="n">
        <v>-0.07950310559006213</v>
      </c>
      <c r="J134" s="31" t="n">
        <v>10104</v>
      </c>
      <c r="K134" s="31" t="n">
        <v>8733</v>
      </c>
      <c r="L134" s="31" t="n">
        <v>9276.5</v>
      </c>
      <c r="M134" s="36" t="n">
        <v>1.314423387174091</v>
      </c>
      <c r="N134" s="36" t="n">
        <v>0.8355888930304642</v>
      </c>
      <c r="O134" s="36" t="n">
        <v>0.8117359413202934</v>
      </c>
      <c r="P134" s="36" t="n">
        <v>0.6521739130434783</v>
      </c>
      <c r="Q134" s="36" t="n">
        <v>0.3658986175115206</v>
      </c>
      <c r="R134" s="36" t="n">
        <v>0.4667458432304037</v>
      </c>
      <c r="S134" s="36" t="n">
        <v>0.6970113363105461</v>
      </c>
      <c r="T134" s="36" t="n">
        <v>0.5975852961785155</v>
      </c>
      <c r="U134" s="31" t="n">
        <v>14820</v>
      </c>
      <c r="V134" s="31" t="n">
        <v>7430</v>
      </c>
      <c r="W134" s="36" t="n">
        <v>0</v>
      </c>
      <c r="X134" s="36" t="n">
        <v>0.9946164199192462</v>
      </c>
      <c r="Y134" s="31" t="n">
        <v>17780753</v>
      </c>
      <c r="Z134" s="31" t="n">
        <v>263510759460</v>
      </c>
      <c r="AA134" s="31" t="n">
        <v>169570736400</v>
      </c>
      <c r="AB134" s="31" t="n">
        <v>46588570073.5</v>
      </c>
      <c r="AC134" s="36" t="n">
        <v>0.6435059302606588</v>
      </c>
      <c r="AD134" s="29" t="inlineStr">
        <is>
          <t>yfinance_download</t>
        </is>
      </c>
      <c r="AE134" s="29" t="inlineStr">
        <is>
          <t>102120.KQ</t>
        </is>
      </c>
    </row>
    <row r="135" ht="24" customHeight="1">
      <c r="A135" s="24" t="inlineStr">
        <is>
          <t>2023-12-21</t>
        </is>
      </c>
      <c r="B135" s="30" t="n">
        <v>14350</v>
      </c>
      <c r="C135" s="30" t="n">
        <v>14440</v>
      </c>
      <c r="D135" s="30" t="n">
        <v>14150</v>
      </c>
      <c r="E135" s="30" t="n">
        <v>14200</v>
      </c>
      <c r="F135" s="30" t="n">
        <v>14010.6669921875</v>
      </c>
      <c r="G135" s="30" t="n">
        <v>1225239</v>
      </c>
      <c r="H135" s="35" t="n">
        <v>-0.04183535762483126</v>
      </c>
      <c r="I135" s="35" t="n">
        <v>-0.1180124223602484</v>
      </c>
      <c r="J135" s="30" t="n">
        <v>10407.5</v>
      </c>
      <c r="K135" s="30" t="n">
        <v>8823.5</v>
      </c>
      <c r="L135" s="30" t="n">
        <v>9304.333333333334</v>
      </c>
      <c r="M135" s="35" t="n">
        <v>1.334493573633085</v>
      </c>
      <c r="N135" s="35" t="n">
        <v>0.8397250110099566</v>
      </c>
      <c r="O135" s="35" t="n">
        <v>0.7466174661746618</v>
      </c>
      <c r="P135" s="35" t="n">
        <v>0.6191562143671607</v>
      </c>
      <c r="Q135" s="35" t="n">
        <v>0.3075506445672191</v>
      </c>
      <c r="R135" s="35" t="n">
        <v>0.3644006725918809</v>
      </c>
      <c r="S135" s="35" t="n">
        <v>0.6093386977956594</v>
      </c>
      <c r="T135" s="35" t="n">
        <v>0.5261706015118404</v>
      </c>
      <c r="U135" s="30" t="n">
        <v>14820</v>
      </c>
      <c r="V135" s="30" t="n">
        <v>7430</v>
      </c>
      <c r="W135" s="35" t="n">
        <v>-0.04183535762483126</v>
      </c>
      <c r="X135" s="35" t="n">
        <v>0.911170928667564</v>
      </c>
      <c r="Y135" s="30" t="n">
        <v>17780753</v>
      </c>
      <c r="Z135" s="30" t="n">
        <v>252486692600</v>
      </c>
      <c r="AA135" s="30" t="n">
        <v>17398393800</v>
      </c>
      <c r="AB135" s="30" t="n">
        <v>47437382657.5</v>
      </c>
      <c r="AC135" s="35" t="n">
        <v>0.06890816153849053</v>
      </c>
      <c r="AD135" s="24" t="inlineStr">
        <is>
          <t>yfinance_download</t>
        </is>
      </c>
      <c r="AE135" s="24" t="inlineStr">
        <is>
          <t>102120.KQ</t>
        </is>
      </c>
    </row>
    <row r="136" ht="24" customHeight="1">
      <c r="A136" s="29" t="inlineStr">
        <is>
          <t>2023-12-22</t>
        </is>
      </c>
      <c r="B136" s="31" t="n">
        <v>14570</v>
      </c>
      <c r="C136" s="31" t="n">
        <v>14700</v>
      </c>
      <c r="D136" s="31" t="n">
        <v>14310</v>
      </c>
      <c r="E136" s="31" t="n">
        <v>14310</v>
      </c>
      <c r="F136" s="31" t="n">
        <v>14119.2001953125</v>
      </c>
      <c r="G136" s="31" t="n">
        <v>890280</v>
      </c>
      <c r="H136" s="36" t="n">
        <v>0.007746478873239537</v>
      </c>
      <c r="I136" s="36" t="n">
        <v>-0.1111801242236025</v>
      </c>
      <c r="J136" s="31" t="n">
        <v>10716</v>
      </c>
      <c r="K136" s="31" t="n">
        <v>8916.666666666666</v>
      </c>
      <c r="L136" s="31" t="n">
        <v>9333.583333333334</v>
      </c>
      <c r="M136" s="36" t="n">
        <v>1.332749469590041</v>
      </c>
      <c r="N136" s="36" t="n">
        <v>0.8391518651260597</v>
      </c>
      <c r="O136" s="36" t="n">
        <v>0.757985257985258</v>
      </c>
      <c r="P136" s="36" t="n">
        <v>0.6410550458715596</v>
      </c>
      <c r="Q136" s="36" t="n">
        <v>0.325</v>
      </c>
      <c r="R136" s="36" t="n">
        <v>0.3353863381858904</v>
      </c>
      <c r="S136" s="36" t="n">
        <v>0.6048598130841123</v>
      </c>
      <c r="T136" s="36" t="n">
        <v>0.5331732185745024</v>
      </c>
      <c r="U136" s="31" t="n">
        <v>14820</v>
      </c>
      <c r="V136" s="31" t="n">
        <v>7430</v>
      </c>
      <c r="W136" s="36" t="n">
        <v>-0.03441295546558709</v>
      </c>
      <c r="X136" s="36" t="n">
        <v>0.9259757738896366</v>
      </c>
      <c r="Y136" s="31" t="n">
        <v>17780753</v>
      </c>
      <c r="Z136" s="31" t="n">
        <v>254442575430</v>
      </c>
      <c r="AA136" s="31" t="n">
        <v>12739906800</v>
      </c>
      <c r="AB136" s="31" t="n">
        <v>48066057696.5</v>
      </c>
      <c r="AC136" s="36" t="n">
        <v>0.0500698704942361</v>
      </c>
      <c r="AD136" s="29" t="inlineStr">
        <is>
          <t>yfinance_download</t>
        </is>
      </c>
      <c r="AE136" s="29" t="inlineStr">
        <is>
          <t>102120.KQ</t>
        </is>
      </c>
    </row>
    <row r="137" ht="24" customHeight="1">
      <c r="A137" s="24" t="inlineStr">
        <is>
          <t>2023-12-26</t>
        </is>
      </c>
      <c r="B137" s="30" t="n">
        <v>14490</v>
      </c>
      <c r="C137" s="30" t="n">
        <v>15000</v>
      </c>
      <c r="D137" s="30" t="n">
        <v>14490</v>
      </c>
      <c r="E137" s="30" t="n">
        <v>15000</v>
      </c>
      <c r="F137" s="30" t="n">
        <v>14800</v>
      </c>
      <c r="G137" s="30" t="n">
        <v>1465265</v>
      </c>
      <c r="H137" s="35" t="n">
        <v>0.04821802935010489</v>
      </c>
      <c r="I137" s="35" t="n">
        <v>-0.06832298136645965</v>
      </c>
      <c r="J137" s="30" t="n">
        <v>11003</v>
      </c>
      <c r="K137" s="30" t="n">
        <v>9023</v>
      </c>
      <c r="L137" s="30" t="n">
        <v>9368.5</v>
      </c>
      <c r="M137" s="35" t="n">
        <v>1.274949671485007</v>
      </c>
      <c r="N137" s="35" t="n">
        <v>0.8416897630458118</v>
      </c>
      <c r="O137" s="35" t="n">
        <v>0.6198704103671706</v>
      </c>
      <c r="P137" s="35" t="n">
        <v>0.740139211136891</v>
      </c>
      <c r="Q137" s="35" t="n">
        <v>0.387604070305273</v>
      </c>
      <c r="R137" s="35" t="n">
        <v>0.3632645642097609</v>
      </c>
      <c r="S137" s="35" t="n">
        <v>0.662418264435332</v>
      </c>
      <c r="T137" s="35" t="n">
        <v>0.6011101030047499</v>
      </c>
      <c r="U137" s="30" t="n">
        <v>15000</v>
      </c>
      <c r="V137" s="30" t="n">
        <v>7430</v>
      </c>
      <c r="W137" s="35" t="n">
        <v>0</v>
      </c>
      <c r="X137" s="35" t="n">
        <v>1.018842530282638</v>
      </c>
      <c r="Y137" s="30" t="n">
        <v>17780753</v>
      </c>
      <c r="Z137" s="30" t="n">
        <v>266711295000</v>
      </c>
      <c r="AA137" s="30" t="n">
        <v>21978975000</v>
      </c>
      <c r="AB137" s="30" t="n">
        <v>47861068806.5</v>
      </c>
      <c r="AC137" s="35" t="n">
        <v>0.08240736486244424</v>
      </c>
      <c r="AD137" s="24" t="inlineStr">
        <is>
          <t>yfinance_download</t>
        </is>
      </c>
      <c r="AE137" s="24" t="inlineStr">
        <is>
          <t>102120.KQ</t>
        </is>
      </c>
    </row>
    <row r="138" ht="24" customHeight="1">
      <c r="A138" s="29" t="inlineStr">
        <is>
          <t>2023-12-27</t>
        </is>
      </c>
      <c r="B138" s="31" t="n">
        <v>14850</v>
      </c>
      <c r="C138" s="31" t="n">
        <v>15280</v>
      </c>
      <c r="D138" s="31" t="n">
        <v>13820</v>
      </c>
      <c r="E138" s="31" t="n">
        <v>14100</v>
      </c>
      <c r="F138" s="31" t="n">
        <v>14100</v>
      </c>
      <c r="G138" s="31" t="n">
        <v>3043022</v>
      </c>
      <c r="H138" s="36" t="n">
        <v>-0.06000000000000005</v>
      </c>
      <c r="I138" s="36" t="n">
        <v>-0.1242236024844721</v>
      </c>
      <c r="J138" s="31" t="n">
        <v>11252.5</v>
      </c>
      <c r="K138" s="31" t="n">
        <v>9121.166666666666</v>
      </c>
      <c r="L138" s="31" t="n">
        <v>9396.583333333334</v>
      </c>
      <c r="M138" s="36" t="n">
        <v>1.303829815300552</v>
      </c>
      <c r="N138" s="36" t="n">
        <v>0.8457305890784663</v>
      </c>
      <c r="O138" s="36" t="n">
        <v>0.5477497255762898</v>
      </c>
      <c r="P138" s="36" t="n">
        <v>0.7174177831912303</v>
      </c>
      <c r="Q138" s="36" t="n">
        <v>0.3140726933830382</v>
      </c>
      <c r="R138" s="36" t="n">
        <v>0.2530548766940679</v>
      </c>
      <c r="S138" s="36" t="n">
        <v>0.5458548796754803</v>
      </c>
      <c r="T138" s="36" t="n">
        <v>0.5005454110093206</v>
      </c>
      <c r="U138" s="31" t="n">
        <v>15000</v>
      </c>
      <c r="V138" s="31" t="n">
        <v>7430</v>
      </c>
      <c r="W138" s="36" t="n">
        <v>-0.06000000000000005</v>
      </c>
      <c r="X138" s="36" t="n">
        <v>0.8977119784656797</v>
      </c>
      <c r="Y138" s="31" t="n">
        <v>17780753</v>
      </c>
      <c r="Z138" s="31" t="n">
        <v>250708617300</v>
      </c>
      <c r="AA138" s="31" t="n">
        <v>42906610200</v>
      </c>
      <c r="AB138" s="31" t="n">
        <v>49778569148.5</v>
      </c>
      <c r="AC138" s="36" t="n">
        <v>0.1711413459261258</v>
      </c>
      <c r="AD138" s="29" t="inlineStr">
        <is>
          <t>yfinance_download</t>
        </is>
      </c>
      <c r="AE138" s="29" t="inlineStr">
        <is>
          <t>102120.KQ</t>
        </is>
      </c>
    </row>
    <row r="139" ht="24" customHeight="1">
      <c r="A139" s="24" t="inlineStr">
        <is>
          <t>2023-12-28</t>
        </is>
      </c>
      <c r="B139" s="30" t="n">
        <v>14220</v>
      </c>
      <c r="C139" s="30" t="n">
        <v>14240</v>
      </c>
      <c r="D139" s="30" t="n">
        <v>13590</v>
      </c>
      <c r="E139" s="30" t="n">
        <v>13810</v>
      </c>
      <c r="F139" s="30" t="n">
        <v>13810</v>
      </c>
      <c r="G139" s="30" t="n">
        <v>1419318</v>
      </c>
      <c r="H139" s="35" t="n">
        <v>-0.0205673758865248</v>
      </c>
      <c r="I139" s="35" t="n">
        <v>-0.1422360248447205</v>
      </c>
      <c r="J139" s="30" t="n">
        <v>11497</v>
      </c>
      <c r="K139" s="30" t="n">
        <v>9212</v>
      </c>
      <c r="L139" s="30" t="n">
        <v>9419.75</v>
      </c>
      <c r="M139" s="35" t="n">
        <v>1.303695763598302</v>
      </c>
      <c r="N139" s="35" t="n">
        <v>0.847909547774818</v>
      </c>
      <c r="O139" s="35" t="n">
        <v>0.5482062780269059</v>
      </c>
      <c r="P139" s="35" t="n">
        <v>0.6519138755980862</v>
      </c>
      <c r="Q139" s="35" t="n">
        <v>0.2520398912058024</v>
      </c>
      <c r="R139" s="35" t="n">
        <v>0.2011829172827695</v>
      </c>
      <c r="S139" s="35" t="n">
        <v>0.4991315675206254</v>
      </c>
      <c r="T139" s="35" t="n">
        <v>0.4660686323947025</v>
      </c>
      <c r="U139" s="30" t="n">
        <v>15000</v>
      </c>
      <c r="V139" s="30" t="n">
        <v>7430</v>
      </c>
      <c r="W139" s="35" t="n">
        <v>-0.07933333333333337</v>
      </c>
      <c r="X139" s="35" t="n">
        <v>0.8586810228802153</v>
      </c>
      <c r="Y139" s="30" t="n">
        <v>17780753</v>
      </c>
      <c r="Z139" s="30" t="n">
        <v>245552198930</v>
      </c>
      <c r="AA139" s="30" t="n">
        <v>19600781580</v>
      </c>
      <c r="AB139" s="30" t="n">
        <v>50569043509.5</v>
      </c>
      <c r="AC139" s="35" t="n">
        <v>0.07982327857543491</v>
      </c>
      <c r="AD139" s="24" t="inlineStr">
        <is>
          <t>yfinance_download</t>
        </is>
      </c>
      <c r="AE139" s="24" t="inlineStr">
        <is>
          <t>102120.KQ</t>
        </is>
      </c>
    </row>
    <row r="140" ht="24" customHeight="1">
      <c r="A140" s="29" t="inlineStr">
        <is>
          <t>2024-01-02</t>
        </is>
      </c>
      <c r="B140" s="31" t="n">
        <v>14020</v>
      </c>
      <c r="C140" s="31" t="n">
        <v>14800</v>
      </c>
      <c r="D140" s="31" t="n">
        <v>13830</v>
      </c>
      <c r="E140" s="31" t="n">
        <v>14720</v>
      </c>
      <c r="F140" s="31" t="n">
        <v>14720</v>
      </c>
      <c r="G140" s="31" t="n">
        <v>3523359</v>
      </c>
      <c r="H140" s="36" t="n">
        <v>0.06589427950760318</v>
      </c>
      <c r="I140" s="36" t="n">
        <v>-0.08571428571428574</v>
      </c>
      <c r="J140" s="31" t="n">
        <v>11786.5</v>
      </c>
      <c r="K140" s="31" t="n">
        <v>9323.166666666666</v>
      </c>
      <c r="L140" s="31" t="n">
        <v>9449.083333333334</v>
      </c>
      <c r="M140" s="36" t="n">
        <v>1.308280415056688</v>
      </c>
      <c r="N140" s="36" t="n">
        <v>0.8499286406357155</v>
      </c>
      <c r="O140" s="36" t="n">
        <v>0.6483762597984322</v>
      </c>
      <c r="P140" s="36" t="n">
        <v>0.8285714285714285</v>
      </c>
      <c r="Q140" s="36" t="n">
        <v>0.3142857142857143</v>
      </c>
      <c r="R140" s="36" t="n">
        <v>0.2488864378738387</v>
      </c>
      <c r="S140" s="36" t="n">
        <v>0.5788626897155831</v>
      </c>
      <c r="T140" s="36" t="n">
        <v>0.5578230692571589</v>
      </c>
      <c r="U140" s="31" t="n">
        <v>15000</v>
      </c>
      <c r="V140" s="31" t="n">
        <v>7430</v>
      </c>
      <c r="W140" s="36" t="n">
        <v>-0.01866666666666672</v>
      </c>
      <c r="X140" s="36" t="n">
        <v>0.981157469717362</v>
      </c>
      <c r="Y140" s="31" t="n">
        <v>17780753</v>
      </c>
      <c r="Z140" s="31" t="n">
        <v>261732684160</v>
      </c>
      <c r="AA140" s="31" t="n">
        <v>51863844480</v>
      </c>
      <c r="AB140" s="31" t="n">
        <v>53074662795.5</v>
      </c>
      <c r="AC140" s="36" t="n">
        <v>0.1981557811415523</v>
      </c>
      <c r="AD140" s="29" t="inlineStr">
        <is>
          <t>yfinance_download</t>
        </is>
      </c>
      <c r="AE140" s="29" t="inlineStr">
        <is>
          <t>102120.KQ</t>
        </is>
      </c>
    </row>
    <row r="141" ht="24" customHeight="1">
      <c r="A141" s="24" t="inlineStr">
        <is>
          <t>2024-01-03</t>
        </is>
      </c>
      <c r="B141" s="30" t="n">
        <v>14100</v>
      </c>
      <c r="C141" s="30" t="n">
        <v>15410</v>
      </c>
      <c r="D141" s="30" t="n">
        <v>14010</v>
      </c>
      <c r="E141" s="30" t="n">
        <v>15280</v>
      </c>
      <c r="F141" s="30" t="n">
        <v>15280</v>
      </c>
      <c r="G141" s="30" t="n">
        <v>3782224</v>
      </c>
      <c r="H141" s="35" t="n">
        <v>0.03804347826086962</v>
      </c>
      <c r="I141" s="35" t="n">
        <v>-0.05093167701863355</v>
      </c>
      <c r="J141" s="30" t="n">
        <v>12110.5</v>
      </c>
      <c r="K141" s="30" t="n">
        <v>9443.666666666666</v>
      </c>
      <c r="L141" s="30" t="n">
        <v>9486.416666666666</v>
      </c>
      <c r="M141" s="35" t="n">
        <v>1.298791462492149</v>
      </c>
      <c r="N141" s="35" t="n">
        <v>0.8513302219166421</v>
      </c>
      <c r="O141" s="35" t="n">
        <v>0.7363636363636363</v>
      </c>
      <c r="P141" s="35" t="n">
        <v>0.8981366459627329</v>
      </c>
      <c r="Q141" s="35" t="n">
        <v>0.4148148148148147</v>
      </c>
      <c r="R141" s="35" t="n">
        <v>0.2617150406671895</v>
      </c>
      <c r="S141" s="35" t="n">
        <v>0.6180156012848117</v>
      </c>
      <c r="T141" s="35" t="n">
        <v>0.6107241055192953</v>
      </c>
      <c r="U141" s="30" t="n">
        <v>15280</v>
      </c>
      <c r="V141" s="30" t="n">
        <v>7430</v>
      </c>
      <c r="W141" s="35" t="n">
        <v>0</v>
      </c>
      <c r="X141" s="35" t="n">
        <v>1.056527590847914</v>
      </c>
      <c r="Y141" s="30" t="n">
        <v>17780753</v>
      </c>
      <c r="Z141" s="30" t="n">
        <v>271689905840</v>
      </c>
      <c r="AA141" s="30" t="n">
        <v>57792382720</v>
      </c>
      <c r="AB141" s="30" t="n">
        <v>55899357291.5</v>
      </c>
      <c r="AC141" s="35" t="n">
        <v>0.2127145008988089</v>
      </c>
      <c r="AD141" s="24" t="inlineStr">
        <is>
          <t>yfinance_download</t>
        </is>
      </c>
      <c r="AE141" s="24" t="inlineStr">
        <is>
          <t>102120.KQ</t>
        </is>
      </c>
    </row>
    <row r="142" ht="24" customHeight="1">
      <c r="A142" s="29" t="inlineStr">
        <is>
          <t>2024-01-04</t>
        </is>
      </c>
      <c r="B142" s="31" t="n">
        <v>14930</v>
      </c>
      <c r="C142" s="31" t="n">
        <v>16330</v>
      </c>
      <c r="D142" s="31" t="n">
        <v>13860</v>
      </c>
      <c r="E142" s="31" t="n">
        <v>14110</v>
      </c>
      <c r="F142" s="31" t="n">
        <v>14110</v>
      </c>
      <c r="G142" s="31" t="n">
        <v>5799108</v>
      </c>
      <c r="H142" s="36" t="n">
        <v>-0.07657068062827221</v>
      </c>
      <c r="I142" s="36" t="n">
        <v>-0.1236024844720497</v>
      </c>
      <c r="J142" s="31" t="n">
        <v>12375</v>
      </c>
      <c r="K142" s="31" t="n">
        <v>9543.333333333334</v>
      </c>
      <c r="L142" s="31" t="n">
        <v>9516.916666666666</v>
      </c>
      <c r="M142" s="36" t="n">
        <v>1.350859364942511</v>
      </c>
      <c r="N142" s="36" t="n">
        <v>0.8704710586307104</v>
      </c>
      <c r="O142" s="36" t="n">
        <v>0.5997732426303855</v>
      </c>
      <c r="P142" s="36" t="n">
        <v>0.7355473554735548</v>
      </c>
      <c r="Q142" s="36" t="n">
        <v>0.3502392344497607</v>
      </c>
      <c r="R142" s="36" t="n">
        <v>0.1402020202020202</v>
      </c>
      <c r="S142" s="36" t="n">
        <v>0.4785190359762486</v>
      </c>
      <c r="T142" s="36" t="n">
        <v>0.4826230484313023</v>
      </c>
      <c r="U142" s="31" t="n">
        <v>15280</v>
      </c>
      <c r="V142" s="31" t="n">
        <v>7430</v>
      </c>
      <c r="W142" s="36" t="n">
        <v>-0.07657068062827221</v>
      </c>
      <c r="X142" s="36" t="n">
        <v>0.8990578734858681</v>
      </c>
      <c r="Y142" s="31" t="n">
        <v>17780753</v>
      </c>
      <c r="Z142" s="31" t="n">
        <v>250886424830</v>
      </c>
      <c r="AA142" s="31" t="n">
        <v>81825413880</v>
      </c>
      <c r="AB142" s="31" t="n">
        <v>59939199888.5</v>
      </c>
      <c r="AC142" s="36" t="n">
        <v>0.3261452425552506</v>
      </c>
      <c r="AD142" s="29" t="inlineStr">
        <is>
          <t>yfinance_download</t>
        </is>
      </c>
      <c r="AE142" s="29" t="inlineStr">
        <is>
          <t>102120.KQ</t>
        </is>
      </c>
    </row>
    <row r="143" ht="24" customHeight="1">
      <c r="A143" s="24" t="inlineStr">
        <is>
          <t>2024-01-05</t>
        </is>
      </c>
      <c r="B143" s="30" t="n">
        <v>14580</v>
      </c>
      <c r="C143" s="30" t="n">
        <v>15450</v>
      </c>
      <c r="D143" s="30" t="n">
        <v>14340</v>
      </c>
      <c r="E143" s="30" t="n">
        <v>14870</v>
      </c>
      <c r="F143" s="30" t="n">
        <v>14870</v>
      </c>
      <c r="G143" s="30" t="n">
        <v>4140367</v>
      </c>
      <c r="H143" s="35" t="n">
        <v>0.05386250885896526</v>
      </c>
      <c r="I143" s="35" t="n">
        <v>-0.07639751552795027</v>
      </c>
      <c r="J143" s="30" t="n">
        <v>12689.5</v>
      </c>
      <c r="K143" s="30" t="n">
        <v>9656.333333333334</v>
      </c>
      <c r="L143" s="30" t="n">
        <v>9555.083333333334</v>
      </c>
      <c r="M143" s="35" t="n">
        <v>1.338427169800574</v>
      </c>
      <c r="N143" s="35" t="n">
        <v>0.8743337034115479</v>
      </c>
      <c r="O143" s="35" t="n">
        <v>0.7331002331002332</v>
      </c>
      <c r="P143" s="35" t="n">
        <v>0.838071693448702</v>
      </c>
      <c r="Q143" s="35" t="n">
        <v>0.445092322643343</v>
      </c>
      <c r="R143" s="35" t="n">
        <v>0.1718349816777651</v>
      </c>
      <c r="S143" s="35" t="n">
        <v>0.5399219855707824</v>
      </c>
      <c r="T143" s="35" t="n">
        <v>0.556239697892047</v>
      </c>
      <c r="U143" s="30" t="n">
        <v>15280</v>
      </c>
      <c r="V143" s="30" t="n">
        <v>7430</v>
      </c>
      <c r="W143" s="35" t="n">
        <v>-0.02683246073298429</v>
      </c>
      <c r="X143" s="35" t="n">
        <v>1.001345895020188</v>
      </c>
      <c r="Y143" s="30" t="n">
        <v>17780753</v>
      </c>
      <c r="Z143" s="30" t="n">
        <v>264399797110</v>
      </c>
      <c r="AA143" s="30" t="n">
        <v>61567257290</v>
      </c>
      <c r="AB143" s="30" t="n">
        <v>62954650761</v>
      </c>
      <c r="AC143" s="35" t="n">
        <v>0.232856673730297</v>
      </c>
      <c r="AD143" s="24" t="inlineStr">
        <is>
          <t>yfinance_download</t>
        </is>
      </c>
      <c r="AE143" s="24" t="inlineStr">
        <is>
          <t>102120.KQ</t>
        </is>
      </c>
    </row>
    <row r="144" ht="24" customHeight="1">
      <c r="A144" s="29" t="inlineStr">
        <is>
          <t>2024-01-08</t>
        </is>
      </c>
      <c r="B144" s="31" t="n">
        <v>15050</v>
      </c>
      <c r="C144" s="31" t="n">
        <v>15240</v>
      </c>
      <c r="D144" s="31" t="n">
        <v>14300</v>
      </c>
      <c r="E144" s="31" t="n">
        <v>14700</v>
      </c>
      <c r="F144" s="31" t="n">
        <v>14700</v>
      </c>
      <c r="G144" s="31" t="n">
        <v>1565409</v>
      </c>
      <c r="H144" s="36" t="n">
        <v>-0.01143241425689312</v>
      </c>
      <c r="I144" s="36" t="n">
        <v>-0.08695652173913049</v>
      </c>
      <c r="J144" s="31" t="n">
        <v>12979.5</v>
      </c>
      <c r="K144" s="31" t="n">
        <v>9762.833333333334</v>
      </c>
      <c r="L144" s="31" t="n">
        <v>9594.25</v>
      </c>
      <c r="M144" s="36" t="n">
        <v>1.346490563480798</v>
      </c>
      <c r="N144" s="36" t="n">
        <v>0.8749631013310191</v>
      </c>
      <c r="O144" s="36" t="n">
        <v>0.651685393258427</v>
      </c>
      <c r="P144" s="36" t="n">
        <v>0.7689530685920578</v>
      </c>
      <c r="Q144" s="36" t="n">
        <v>0.47</v>
      </c>
      <c r="R144" s="36" t="n">
        <v>0.1325551831734659</v>
      </c>
      <c r="S144" s="36" t="n">
        <v>0.5057104324222816</v>
      </c>
      <c r="T144" s="36" t="n">
        <v>0.5321677046147433</v>
      </c>
      <c r="U144" s="31" t="n">
        <v>15280</v>
      </c>
      <c r="V144" s="31" t="n">
        <v>7430</v>
      </c>
      <c r="W144" s="36" t="n">
        <v>-0.0379581151832461</v>
      </c>
      <c r="X144" s="36" t="n">
        <v>0.9784656796769853</v>
      </c>
      <c r="Y144" s="31" t="n">
        <v>17780753</v>
      </c>
      <c r="Z144" s="31" t="n">
        <v>261377069100</v>
      </c>
      <c r="AA144" s="31" t="n">
        <v>23011512300</v>
      </c>
      <c r="AB144" s="31" t="n">
        <v>64026887686</v>
      </c>
      <c r="AC144" s="36" t="n">
        <v>0.08803952228569847</v>
      </c>
      <c r="AD144" s="29" t="inlineStr">
        <is>
          <t>yfinance_download</t>
        </is>
      </c>
      <c r="AE144" s="29" t="inlineStr">
        <is>
          <t>102120.KQ</t>
        </is>
      </c>
    </row>
    <row r="145" ht="24" customHeight="1">
      <c r="A145" s="24" t="inlineStr">
        <is>
          <t>2024-01-09</t>
        </is>
      </c>
      <c r="B145" s="30" t="n">
        <v>15120</v>
      </c>
      <c r="C145" s="30" t="n">
        <v>15500</v>
      </c>
      <c r="D145" s="30" t="n">
        <v>14420</v>
      </c>
      <c r="E145" s="30" t="n">
        <v>14750</v>
      </c>
      <c r="F145" s="30" t="n">
        <v>14750</v>
      </c>
      <c r="G145" s="30" t="n">
        <v>3660448</v>
      </c>
      <c r="H145" s="35" t="n">
        <v>0.00340136054421758</v>
      </c>
      <c r="I145" s="35" t="n">
        <v>-0.08385093167701863</v>
      </c>
      <c r="J145" s="30" t="n">
        <v>13257</v>
      </c>
      <c r="K145" s="30" t="n">
        <v>9868.833333333334</v>
      </c>
      <c r="L145" s="30" t="n">
        <v>9631.166666666666</v>
      </c>
      <c r="M145" s="35" t="n">
        <v>1.349219396089751</v>
      </c>
      <c r="N145" s="35" t="n">
        <v>0.8750946725849821</v>
      </c>
      <c r="O145" s="35" t="n">
        <v>0.6032608695652173</v>
      </c>
      <c r="P145" s="35" t="n">
        <v>0.7580452920143028</v>
      </c>
      <c r="Q145" s="35" t="n">
        <v>0.429263565891473</v>
      </c>
      <c r="R145" s="35" t="n">
        <v>0.1126197480576299</v>
      </c>
      <c r="S145" s="35" t="n">
        <v>0.494604225423471</v>
      </c>
      <c r="T145" s="35" t="n">
        <v>0.5314863204526972</v>
      </c>
      <c r="U145" s="30" t="n">
        <v>15280</v>
      </c>
      <c r="V145" s="30" t="n">
        <v>7430</v>
      </c>
      <c r="W145" s="35" t="n">
        <v>-0.03468586387434558</v>
      </c>
      <c r="X145" s="35" t="n">
        <v>0.9851951547779274</v>
      </c>
      <c r="Y145" s="30" t="n">
        <v>17780753</v>
      </c>
      <c r="Z145" s="30" t="n">
        <v>262266106750</v>
      </c>
      <c r="AA145" s="30" t="n">
        <v>53991608000</v>
      </c>
      <c r="AB145" s="30" t="n">
        <v>66513271886</v>
      </c>
      <c r="AC145" s="35" t="n">
        <v>0.2058657470805652</v>
      </c>
      <c r="AD145" s="24" t="inlineStr">
        <is>
          <t>yfinance_download</t>
        </is>
      </c>
      <c r="AE145" s="24" t="inlineStr">
        <is>
          <t>102120.KQ</t>
        </is>
      </c>
    </row>
    <row r="146" ht="24" customHeight="1">
      <c r="A146" s="29" t="inlineStr">
        <is>
          <t>2024-01-10</t>
        </is>
      </c>
      <c r="B146" s="31" t="n">
        <v>14880</v>
      </c>
      <c r="C146" s="31" t="n">
        <v>14880</v>
      </c>
      <c r="D146" s="31" t="n">
        <v>13920</v>
      </c>
      <c r="E146" s="31" t="n">
        <v>13950</v>
      </c>
      <c r="F146" s="31" t="n">
        <v>13950</v>
      </c>
      <c r="G146" s="31" t="n">
        <v>1194939</v>
      </c>
      <c r="H146" s="36" t="n">
        <v>-0.05423728813559325</v>
      </c>
      <c r="I146" s="36" t="n">
        <v>-0.1335403726708074</v>
      </c>
      <c r="J146" s="31" t="n">
        <v>13473.5</v>
      </c>
      <c r="K146" s="31" t="n">
        <v>9962.666666666666</v>
      </c>
      <c r="L146" s="31" t="n">
        <v>9658.166666666666</v>
      </c>
      <c r="M146" s="36" t="n">
        <v>1.377153680654708</v>
      </c>
      <c r="N146" s="36" t="n">
        <v>0.8843861279329799</v>
      </c>
      <c r="O146" s="36" t="n">
        <v>0.4501039501039501</v>
      </c>
      <c r="P146" s="36" t="n">
        <v>0.6766826923076923</v>
      </c>
      <c r="Q146" s="36" t="n">
        <v>0.3025210084033614</v>
      </c>
      <c r="R146" s="36" t="n">
        <v>0.03536571789067433</v>
      </c>
      <c r="S146" s="36" t="n">
        <v>0.4002275160599573</v>
      </c>
      <c r="T146" s="36" t="n">
        <v>0.4443735008369429</v>
      </c>
      <c r="U146" s="31" t="n">
        <v>15280</v>
      </c>
      <c r="V146" s="31" t="n">
        <v>7430</v>
      </c>
      <c r="W146" s="36" t="n">
        <v>-0.0870418848167539</v>
      </c>
      <c r="X146" s="36" t="n">
        <v>0.8775235531628534</v>
      </c>
      <c r="Y146" s="31" t="n">
        <v>17780753</v>
      </c>
      <c r="Z146" s="31" t="n">
        <v>248041504350</v>
      </c>
      <c r="AA146" s="31" t="n">
        <v>16669399050</v>
      </c>
      <c r="AB146" s="31" t="n">
        <v>66401661975.5</v>
      </c>
      <c r="AC146" s="36" t="n">
        <v>0.06720407172857078</v>
      </c>
      <c r="AD146" s="29" t="inlineStr">
        <is>
          <t>yfinance_download</t>
        </is>
      </c>
      <c r="AE146" s="29" t="inlineStr">
        <is>
          <t>102120.KQ</t>
        </is>
      </c>
    </row>
    <row r="147" ht="24" customHeight="1">
      <c r="A147" s="24" t="inlineStr">
        <is>
          <t>2024-01-11</t>
        </is>
      </c>
      <c r="B147" s="30" t="n">
        <v>14030</v>
      </c>
      <c r="C147" s="30" t="n">
        <v>14100</v>
      </c>
      <c r="D147" s="30" t="n">
        <v>12940</v>
      </c>
      <c r="E147" s="30" t="n">
        <v>13070</v>
      </c>
      <c r="F147" s="30" t="n">
        <v>13070</v>
      </c>
      <c r="G147" s="30" t="n">
        <v>1375543</v>
      </c>
      <c r="H147" s="35" t="n">
        <v>-0.06308243727598561</v>
      </c>
      <c r="I147" s="35" t="n">
        <v>-0.1881987577639752</v>
      </c>
      <c r="J147" s="30" t="n">
        <v>13638.5</v>
      </c>
      <c r="K147" s="30" t="n">
        <v>10045</v>
      </c>
      <c r="L147" s="30" t="n">
        <v>9677.666666666666</v>
      </c>
      <c r="M147" s="35" t="n">
        <v>1.409899557768502</v>
      </c>
      <c r="N147" s="35" t="n">
        <v>0.8945613722701011</v>
      </c>
      <c r="O147" s="35" t="n">
        <v>0.3377686796315251</v>
      </c>
      <c r="P147" s="35" t="n">
        <v>0.6076260762607626</v>
      </c>
      <c r="Q147" s="35" t="n">
        <v>0.2180801491146318</v>
      </c>
      <c r="R147" s="35" t="n">
        <v>-0.04168346958976432</v>
      </c>
      <c r="S147" s="35" t="n">
        <v>0.3011448481831758</v>
      </c>
      <c r="T147" s="35" t="n">
        <v>0.3505321530671994</v>
      </c>
      <c r="U147" s="30" t="n">
        <v>15280</v>
      </c>
      <c r="V147" s="30" t="n">
        <v>7430</v>
      </c>
      <c r="W147" s="35" t="n">
        <v>-0.1446335078534031</v>
      </c>
      <c r="X147" s="35" t="n">
        <v>0.7590847913862719</v>
      </c>
      <c r="Y147" s="30" t="n">
        <v>17780753</v>
      </c>
      <c r="Z147" s="30" t="n">
        <v>232394441710</v>
      </c>
      <c r="AA147" s="30" t="n">
        <v>17978347010</v>
      </c>
      <c r="AB147" s="30" t="n">
        <v>66653952364.5</v>
      </c>
      <c r="AC147" s="35" t="n">
        <v>0.07736134684509706</v>
      </c>
      <c r="AD147" s="24" t="inlineStr">
        <is>
          <t>yfinance_download</t>
        </is>
      </c>
      <c r="AE147" s="24" t="inlineStr">
        <is>
          <t>102120.KQ</t>
        </is>
      </c>
    </row>
    <row r="148" ht="24" customHeight="1">
      <c r="A148" s="29" t="inlineStr">
        <is>
          <t>2024-01-12</t>
        </is>
      </c>
      <c r="B148" s="31" t="n">
        <v>13100</v>
      </c>
      <c r="C148" s="31" t="n">
        <v>13180</v>
      </c>
      <c r="D148" s="31" t="n">
        <v>12600</v>
      </c>
      <c r="E148" s="31" t="n">
        <v>12700</v>
      </c>
      <c r="F148" s="31" t="n">
        <v>12700</v>
      </c>
      <c r="G148" s="31" t="n">
        <v>780809</v>
      </c>
      <c r="H148" s="36" t="n">
        <v>-0.02830910482019888</v>
      </c>
      <c r="I148" s="36" t="n">
        <v>-0.2111801242236024</v>
      </c>
      <c r="J148" s="31" t="n">
        <v>13697</v>
      </c>
      <c r="K148" s="31" t="n">
        <v>10118.16666666667</v>
      </c>
      <c r="L148" s="31" t="n">
        <v>9692.25</v>
      </c>
      <c r="M148" s="36" t="n">
        <v>1.280177847903035</v>
      </c>
      <c r="N148" s="36" t="n">
        <v>0.8974521062755055</v>
      </c>
      <c r="O148" s="36" t="n">
        <v>0.1014744145706852</v>
      </c>
      <c r="P148" s="36" t="n">
        <v>0.5282791817087846</v>
      </c>
      <c r="Q148" s="36" t="n">
        <v>0.1598173515981736</v>
      </c>
      <c r="R148" s="36" t="n">
        <v>-0.07278966196977443</v>
      </c>
      <c r="S148" s="36" t="n">
        <v>0.2551680969872672</v>
      </c>
      <c r="T148" s="36" t="n">
        <v>0.3103252598725785</v>
      </c>
      <c r="U148" s="31" t="n">
        <v>15280</v>
      </c>
      <c r="V148" s="31" t="n">
        <v>7430</v>
      </c>
      <c r="W148" s="36" t="n">
        <v>-0.168848167539267</v>
      </c>
      <c r="X148" s="36" t="n">
        <v>0.7092866756393001</v>
      </c>
      <c r="Y148" s="31" t="n">
        <v>17780753</v>
      </c>
      <c r="Z148" s="31" t="n">
        <v>225815563100</v>
      </c>
      <c r="AA148" s="31" t="n">
        <v>9916274300</v>
      </c>
      <c r="AB148" s="31" t="n">
        <v>59654286029.5</v>
      </c>
      <c r="AC148" s="36" t="n">
        <v>0.04391315710870063</v>
      </c>
      <c r="AD148" s="29" t="inlineStr">
        <is>
          <t>yfinance_download</t>
        </is>
      </c>
      <c r="AE148" s="29" t="inlineStr">
        <is>
          <t>102120.KQ</t>
        </is>
      </c>
    </row>
    <row r="149" ht="24" customHeight="1">
      <c r="A149" s="24" t="inlineStr">
        <is>
          <t>2024-01-15</t>
        </is>
      </c>
      <c r="B149" s="30" t="n">
        <v>12700</v>
      </c>
      <c r="C149" s="30" t="n">
        <v>12940</v>
      </c>
      <c r="D149" s="30" t="n">
        <v>12270</v>
      </c>
      <c r="E149" s="30" t="n">
        <v>12560</v>
      </c>
      <c r="F149" s="30" t="n">
        <v>12560</v>
      </c>
      <c r="G149" s="30" t="n">
        <v>859609</v>
      </c>
      <c r="H149" s="35" t="n">
        <v>-0.01102362204724405</v>
      </c>
      <c r="I149" s="35" t="n">
        <v>-0.2198757763975155</v>
      </c>
      <c r="J149" s="30" t="n">
        <v>13750</v>
      </c>
      <c r="K149" s="30" t="n">
        <v>10191.5</v>
      </c>
      <c r="L149" s="30" t="n">
        <v>9706.25</v>
      </c>
      <c r="M149" s="35" t="n">
        <v>1.281416116547509</v>
      </c>
      <c r="N149" s="35" t="n">
        <v>0.8966788742614331</v>
      </c>
      <c r="O149" s="35" t="n">
        <v>0.09217391304347822</v>
      </c>
      <c r="P149" s="35" t="n">
        <v>0.5392156862745099</v>
      </c>
      <c r="Q149" s="35" t="n">
        <v>0.1544117647058822</v>
      </c>
      <c r="R149" s="35" t="n">
        <v>-0.08654545454545459</v>
      </c>
      <c r="S149" s="35" t="n">
        <v>0.2323995486434773</v>
      </c>
      <c r="T149" s="35" t="n">
        <v>0.294011590470058</v>
      </c>
      <c r="U149" s="30" t="n">
        <v>15280</v>
      </c>
      <c r="V149" s="30" t="n">
        <v>7430</v>
      </c>
      <c r="W149" s="35" t="n">
        <v>-0.1780104712041884</v>
      </c>
      <c r="X149" s="35" t="n">
        <v>0.6904441453566621</v>
      </c>
      <c r="Y149" s="30" t="n">
        <v>17780753</v>
      </c>
      <c r="Z149" s="30" t="n">
        <v>223326257680</v>
      </c>
      <c r="AA149" s="30" t="n">
        <v>10796689040</v>
      </c>
      <c r="AB149" s="30" t="n">
        <v>55597164531.5</v>
      </c>
      <c r="AC149" s="35" t="n">
        <v>0.0483449154262477</v>
      </c>
      <c r="AD149" s="24" t="inlineStr">
        <is>
          <t>yfinance_download</t>
        </is>
      </c>
      <c r="AE149" s="24" t="inlineStr">
        <is>
          <t>102120.KQ</t>
        </is>
      </c>
    </row>
    <row r="150" ht="24" customHeight="1">
      <c r="A150" s="29" t="inlineStr">
        <is>
          <t>2024-01-16</t>
        </is>
      </c>
      <c r="B150" s="31" t="n">
        <v>12720</v>
      </c>
      <c r="C150" s="31" t="n">
        <v>13010</v>
      </c>
      <c r="D150" s="31" t="n">
        <v>12000</v>
      </c>
      <c r="E150" s="31" t="n">
        <v>12280</v>
      </c>
      <c r="F150" s="31" t="n">
        <v>12280</v>
      </c>
      <c r="G150" s="31" t="n">
        <v>979357</v>
      </c>
      <c r="H150" s="36" t="n">
        <v>-0.02229299363057324</v>
      </c>
      <c r="I150" s="36" t="n">
        <v>-0.2372670807453416</v>
      </c>
      <c r="J150" s="31" t="n">
        <v>13796</v>
      </c>
      <c r="K150" s="31" t="n">
        <v>10264.83333333333</v>
      </c>
      <c r="L150" s="31" t="n">
        <v>9715.916666666666</v>
      </c>
      <c r="M150" s="36" t="n">
        <v>1.28394362069911</v>
      </c>
      <c r="N150" s="36" t="n">
        <v>0.8945557167208545</v>
      </c>
      <c r="O150" s="36" t="n">
        <v>0.08098591549295775</v>
      </c>
      <c r="P150" s="36" t="n">
        <v>0.5583756345177664</v>
      </c>
      <c r="Q150" s="36" t="n">
        <v>0.1043165467625899</v>
      </c>
      <c r="R150" s="36" t="n">
        <v>-0.1098869237460134</v>
      </c>
      <c r="S150" s="36" t="n">
        <v>0.1963175242332234</v>
      </c>
      <c r="T150" s="36" t="n">
        <v>0.2639054472472147</v>
      </c>
      <c r="U150" s="31" t="n">
        <v>15280</v>
      </c>
      <c r="V150" s="31" t="n">
        <v>7430</v>
      </c>
      <c r="W150" s="36" t="n">
        <v>-0.1963350785340314</v>
      </c>
      <c r="X150" s="36" t="n">
        <v>0.6527590847913862</v>
      </c>
      <c r="Y150" s="31" t="n">
        <v>17780753</v>
      </c>
      <c r="Z150" s="31" t="n">
        <v>218347646840</v>
      </c>
      <c r="AA150" s="31" t="n">
        <v>12026503960</v>
      </c>
      <c r="AB150" s="31" t="n">
        <v>53993009913.5</v>
      </c>
      <c r="AC150" s="36" t="n">
        <v>0.05507961333246123</v>
      </c>
      <c r="AD150" s="29" t="inlineStr">
        <is>
          <t>yfinance_download</t>
        </is>
      </c>
      <c r="AE150" s="29" t="inlineStr">
        <is>
          <t>102120.KQ</t>
        </is>
      </c>
    </row>
    <row r="151" ht="24" customHeight="1">
      <c r="A151" s="24" t="inlineStr">
        <is>
          <t>2024-01-17</t>
        </is>
      </c>
      <c r="B151" s="30" t="n">
        <v>12440</v>
      </c>
      <c r="C151" s="30" t="n">
        <v>12570</v>
      </c>
      <c r="D151" s="30" t="n">
        <v>11830</v>
      </c>
      <c r="E151" s="30" t="n">
        <v>11830</v>
      </c>
      <c r="F151" s="30" t="n">
        <v>11830</v>
      </c>
      <c r="G151" s="30" t="n">
        <v>665519</v>
      </c>
      <c r="H151" s="35" t="n">
        <v>-0.03664495114006516</v>
      </c>
      <c r="I151" s="35" t="n">
        <v>-0.2652173913043478</v>
      </c>
      <c r="J151" s="30" t="n">
        <v>13847.5</v>
      </c>
      <c r="K151" s="30" t="n">
        <v>10332.16666666667</v>
      </c>
      <c r="L151" s="30" t="n">
        <v>9722.916666666666</v>
      </c>
      <c r="M151" s="35" t="n">
        <v>1.277398522338972</v>
      </c>
      <c r="N151" s="35" t="n">
        <v>0.8984799807628367</v>
      </c>
      <c r="O151" s="35" t="n">
        <v>0.09537037037037033</v>
      </c>
      <c r="P151" s="35" t="n">
        <v>0.5186136071887035</v>
      </c>
      <c r="Q151" s="35" t="n">
        <v>0.07643312101910826</v>
      </c>
      <c r="R151" s="35" t="n">
        <v>-0.1456941686224951</v>
      </c>
      <c r="S151" s="35" t="n">
        <v>0.1449679802558355</v>
      </c>
      <c r="T151" s="35" t="n">
        <v>0.2167130919220057</v>
      </c>
      <c r="U151" s="30" t="n">
        <v>15280</v>
      </c>
      <c r="V151" s="30" t="n">
        <v>7430</v>
      </c>
      <c r="W151" s="35" t="n">
        <v>-0.2257853403141361</v>
      </c>
      <c r="X151" s="35" t="n">
        <v>0.5921938088829071</v>
      </c>
      <c r="Y151" s="30" t="n">
        <v>17780753</v>
      </c>
      <c r="Z151" s="30" t="n">
        <v>210346307990</v>
      </c>
      <c r="AA151" s="30" t="n">
        <v>7873089770</v>
      </c>
      <c r="AB151" s="30" t="n">
        <v>53666120262</v>
      </c>
      <c r="AC151" s="35" t="n">
        <v>0.03742917974283766</v>
      </c>
      <c r="AD151" s="24" t="inlineStr">
        <is>
          <t>yfinance_download</t>
        </is>
      </c>
      <c r="AE151" s="24" t="inlineStr">
        <is>
          <t>102120.KQ</t>
        </is>
      </c>
    </row>
    <row r="152" ht="24" customHeight="1">
      <c r="A152" s="29" t="inlineStr">
        <is>
          <t>2024-01-18</t>
        </is>
      </c>
      <c r="B152" s="31" t="n">
        <v>11790</v>
      </c>
      <c r="C152" s="31" t="n">
        <v>12010</v>
      </c>
      <c r="D152" s="31" t="n">
        <v>11510</v>
      </c>
      <c r="E152" s="31" t="n">
        <v>11770</v>
      </c>
      <c r="F152" s="31" t="n">
        <v>11770</v>
      </c>
      <c r="G152" s="31" t="n">
        <v>718677</v>
      </c>
      <c r="H152" s="36" t="n">
        <v>-0.005071851225697421</v>
      </c>
      <c r="I152" s="36" t="n">
        <v>-0.268944099378882</v>
      </c>
      <c r="J152" s="31" t="n">
        <v>13873</v>
      </c>
      <c r="K152" s="31" t="n">
        <v>10400</v>
      </c>
      <c r="L152" s="31" t="n">
        <v>9733.333333333334</v>
      </c>
      <c r="M152" s="36" t="n">
        <v>1.271122640245727</v>
      </c>
      <c r="N152" s="36" t="n">
        <v>0.8979628457486084</v>
      </c>
      <c r="O152" s="36" t="n">
        <v>0.04529307282415629</v>
      </c>
      <c r="P152" s="36" t="n">
        <v>0.5285714285714285</v>
      </c>
      <c r="Q152" s="36" t="n">
        <v>0.1188212927756653</v>
      </c>
      <c r="R152" s="36" t="n">
        <v>-0.151589418294529</v>
      </c>
      <c r="S152" s="36" t="n">
        <v>0.1317307692307692</v>
      </c>
      <c r="T152" s="36" t="n">
        <v>0.2092465753424657</v>
      </c>
      <c r="U152" s="31" t="n">
        <v>15280</v>
      </c>
      <c r="V152" s="31" t="n">
        <v>7430</v>
      </c>
      <c r="W152" s="36" t="n">
        <v>-0.2297120418848168</v>
      </c>
      <c r="X152" s="36" t="n">
        <v>0.5841184387617766</v>
      </c>
      <c r="Y152" s="31" t="n">
        <v>17780753</v>
      </c>
      <c r="Z152" s="31" t="n">
        <v>209279462810</v>
      </c>
      <c r="AA152" s="31" t="n">
        <v>8458828290</v>
      </c>
      <c r="AB152" s="31" t="n">
        <v>53496517688.5</v>
      </c>
      <c r="AC152" s="36" t="n">
        <v>0.04041881690837278</v>
      </c>
      <c r="AD152" s="29" t="inlineStr">
        <is>
          <t>yfinance_download</t>
        </is>
      </c>
      <c r="AE152" s="29" t="inlineStr">
        <is>
          <t>102120.KQ</t>
        </is>
      </c>
    </row>
    <row r="153" ht="24" customHeight="1">
      <c r="A153" s="24" t="inlineStr">
        <is>
          <t>2024-01-19</t>
        </is>
      </c>
      <c r="B153" s="30" t="n">
        <v>12410</v>
      </c>
      <c r="C153" s="30" t="n">
        <v>12550</v>
      </c>
      <c r="D153" s="30" t="n">
        <v>12000</v>
      </c>
      <c r="E153" s="30" t="n">
        <v>12450</v>
      </c>
      <c r="F153" s="30" t="n">
        <v>12450</v>
      </c>
      <c r="G153" s="30" t="n">
        <v>1603471</v>
      </c>
      <c r="H153" s="35" t="n">
        <v>0.05777400169923541</v>
      </c>
      <c r="I153" s="35" t="n">
        <v>-0.2267080745341615</v>
      </c>
      <c r="J153" s="30" t="n">
        <v>13764</v>
      </c>
      <c r="K153" s="30" t="n">
        <v>10476</v>
      </c>
      <c r="L153" s="30" t="n">
        <v>9749.416666666666</v>
      </c>
      <c r="M153" s="35" t="n">
        <v>0.6817742382593535</v>
      </c>
      <c r="N153" s="35" t="n">
        <v>0.9030537577502104</v>
      </c>
      <c r="O153" s="35" t="n">
        <v>-0.1490088858509911</v>
      </c>
      <c r="P153" s="35" t="n">
        <v>0.5779467680608366</v>
      </c>
      <c r="Q153" s="35" t="n">
        <v>0.1834600760456273</v>
      </c>
      <c r="R153" s="35" t="n">
        <v>-0.09546643417611156</v>
      </c>
      <c r="S153" s="35" t="n">
        <v>0.1884306987399771</v>
      </c>
      <c r="T153" s="35" t="n">
        <v>0.2769994786012839</v>
      </c>
      <c r="U153" s="30" t="n">
        <v>15280</v>
      </c>
      <c r="V153" s="30" t="n">
        <v>7430</v>
      </c>
      <c r="W153" s="35" t="n">
        <v>-0.1852094240837696</v>
      </c>
      <c r="X153" s="35" t="n">
        <v>0.6756393001345895</v>
      </c>
      <c r="Y153" s="30" t="n">
        <v>17780753</v>
      </c>
      <c r="Z153" s="30" t="n">
        <v>221370374850</v>
      </c>
      <c r="AA153" s="30" t="n">
        <v>19963213950</v>
      </c>
      <c r="AB153" s="30" t="n">
        <v>35896488391</v>
      </c>
      <c r="AC153" s="35" t="n">
        <v>0.09018015153801416</v>
      </c>
      <c r="AD153" s="24" t="inlineStr">
        <is>
          <t>yfinance_download</t>
        </is>
      </c>
      <c r="AE153" s="24" t="inlineStr">
        <is>
          <t>102120.KQ</t>
        </is>
      </c>
    </row>
    <row r="154" ht="24" customHeight="1">
      <c r="A154" s="29" t="inlineStr">
        <is>
          <t>2024-01-22</t>
        </is>
      </c>
      <c r="B154" s="31" t="n">
        <v>13100</v>
      </c>
      <c r="C154" s="31" t="n">
        <v>16180</v>
      </c>
      <c r="D154" s="31" t="n">
        <v>12800</v>
      </c>
      <c r="E154" s="31" t="n">
        <v>16180</v>
      </c>
      <c r="F154" s="31" t="n">
        <v>16180</v>
      </c>
      <c r="G154" s="31" t="n">
        <v>12749610</v>
      </c>
      <c r="H154" s="36" t="n">
        <v>0.2995983935742972</v>
      </c>
      <c r="I154" s="36" t="n">
        <v>0</v>
      </c>
      <c r="J154" s="31" t="n">
        <v>13832</v>
      </c>
      <c r="K154" s="31" t="n">
        <v>10614</v>
      </c>
      <c r="L154" s="31" t="n">
        <v>9799.666666666666</v>
      </c>
      <c r="M154" s="36" t="n">
        <v>1.285693155359635</v>
      </c>
      <c r="N154" s="36" t="n">
        <v>1.081398052281388</v>
      </c>
      <c r="O154" s="36" t="n">
        <v>0.09176788124156543</v>
      </c>
      <c r="P154" s="36" t="n">
        <v>1.048101265822785</v>
      </c>
      <c r="Q154" s="36" t="n">
        <v>0.5940886699507388</v>
      </c>
      <c r="R154" s="36" t="n">
        <v>0.1697513013302487</v>
      </c>
      <c r="S154" s="36" t="n">
        <v>0.5244017335594497</v>
      </c>
      <c r="T154" s="36" t="n">
        <v>0.6510765672301779</v>
      </c>
      <c r="U154" s="31" t="n">
        <v>16180</v>
      </c>
      <c r="V154" s="31" t="n">
        <v>7430</v>
      </c>
      <c r="W154" s="36" t="n">
        <v>0</v>
      </c>
      <c r="X154" s="36" t="n">
        <v>1.177658142664872</v>
      </c>
      <c r="Y154" s="31" t="n">
        <v>17780753</v>
      </c>
      <c r="Z154" s="31" t="n">
        <v>287692583540</v>
      </c>
      <c r="AA154" s="31" t="n">
        <v>206288689800</v>
      </c>
      <c r="AB154" s="31" t="n">
        <v>37732386061</v>
      </c>
      <c r="AC154" s="36" t="n">
        <v>0.717045560443925</v>
      </c>
      <c r="AD154" s="29" t="inlineStr">
        <is>
          <t>yfinance_download</t>
        </is>
      </c>
      <c r="AE154" s="29" t="inlineStr">
        <is>
          <t>102120.KQ</t>
        </is>
      </c>
    </row>
    <row r="155" ht="24" customHeight="1">
      <c r="A155" s="24" t="inlineStr">
        <is>
          <t>2024-01-23</t>
        </is>
      </c>
      <c r="B155" s="30" t="n">
        <v>18000</v>
      </c>
      <c r="C155" s="30" t="n">
        <v>20950</v>
      </c>
      <c r="D155" s="30" t="n">
        <v>17500</v>
      </c>
      <c r="E155" s="30" t="n">
        <v>19930</v>
      </c>
      <c r="F155" s="30" t="n">
        <v>19930</v>
      </c>
      <c r="G155" s="30" t="n">
        <v>25393280</v>
      </c>
      <c r="H155" s="35" t="n">
        <v>0.2317676143386898</v>
      </c>
      <c r="I155" s="35" t="n">
        <v>0</v>
      </c>
      <c r="J155" s="30" t="n">
        <v>14118.5</v>
      </c>
      <c r="K155" s="30" t="n">
        <v>10819.33333333333</v>
      </c>
      <c r="L155" s="30" t="n">
        <v>9886</v>
      </c>
      <c r="M155" s="35" t="n">
        <v>1.496841462291504</v>
      </c>
      <c r="N155" s="35" t="n">
        <v>1.164369938006352</v>
      </c>
      <c r="O155" s="35" t="n">
        <v>0.4035211267605634</v>
      </c>
      <c r="P155" s="35" t="n">
        <v>1.61892247043364</v>
      </c>
      <c r="Q155" s="35" t="n">
        <v>1.082549634273772</v>
      </c>
      <c r="R155" s="35" t="n">
        <v>0.4116230477741969</v>
      </c>
      <c r="S155" s="35" t="n">
        <v>0.8420728325836464</v>
      </c>
      <c r="T155" s="35" t="n">
        <v>1.015982197046328</v>
      </c>
      <c r="U155" s="30" t="n">
        <v>19930</v>
      </c>
      <c r="V155" s="30" t="n">
        <v>7430</v>
      </c>
      <c r="W155" s="35" t="n">
        <v>0</v>
      </c>
      <c r="X155" s="35" t="n">
        <v>1.682368775235532</v>
      </c>
      <c r="Y155" s="30" t="n">
        <v>17780753</v>
      </c>
      <c r="Z155" s="30" t="n">
        <v>354370407290</v>
      </c>
      <c r="AA155" s="30" t="n">
        <v>506088070400</v>
      </c>
      <c r="AB155" s="30" t="n">
        <v>62166869891</v>
      </c>
      <c r="AC155" s="35" t="n">
        <v>1.428132993017787</v>
      </c>
      <c r="AD155" s="24" t="inlineStr">
        <is>
          <t>yfinance_download</t>
        </is>
      </c>
      <c r="AE155" s="24" t="inlineStr">
        <is>
          <t>102120.KQ</t>
        </is>
      </c>
    </row>
    <row r="156" ht="24" customHeight="1">
      <c r="A156" s="29" t="inlineStr">
        <is>
          <t>2024-01-24</t>
        </is>
      </c>
      <c r="B156" s="31" t="n">
        <v>19440</v>
      </c>
      <c r="C156" s="31" t="n">
        <v>21400</v>
      </c>
      <c r="D156" s="31" t="n">
        <v>18860</v>
      </c>
      <c r="E156" s="31" t="n">
        <v>20800</v>
      </c>
      <c r="F156" s="31" t="n">
        <v>20800</v>
      </c>
      <c r="G156" s="31" t="n">
        <v>9536164</v>
      </c>
      <c r="H156" s="36" t="n">
        <v>0.04365278474661305</v>
      </c>
      <c r="I156" s="36" t="n">
        <v>0</v>
      </c>
      <c r="J156" s="31" t="n">
        <v>14443</v>
      </c>
      <c r="K156" s="31" t="n">
        <v>11041</v>
      </c>
      <c r="L156" s="31" t="n">
        <v>9974.666666666666</v>
      </c>
      <c r="M156" s="36" t="n">
        <v>1.498097116915902</v>
      </c>
      <c r="N156" s="36" t="n">
        <v>1.163430806507437</v>
      </c>
      <c r="O156" s="36" t="n">
        <v>0.453529000698812</v>
      </c>
      <c r="P156" s="36" t="n">
        <v>1.773333333333333</v>
      </c>
      <c r="Q156" s="36" t="n">
        <v>1.047244094488189</v>
      </c>
      <c r="R156" s="36" t="n">
        <v>0.4401440144014401</v>
      </c>
      <c r="S156" s="36" t="n">
        <v>0.8838873290462821</v>
      </c>
      <c r="T156" s="36" t="n">
        <v>1.08528271621441</v>
      </c>
      <c r="U156" s="31" t="n">
        <v>20800</v>
      </c>
      <c r="V156" s="31" t="n">
        <v>7430</v>
      </c>
      <c r="W156" s="36" t="n">
        <v>0</v>
      </c>
      <c r="X156" s="36" t="n">
        <v>1.799461641991924</v>
      </c>
      <c r="Y156" s="31" t="n">
        <v>17780753</v>
      </c>
      <c r="Z156" s="31" t="n">
        <v>369839662400</v>
      </c>
      <c r="AA156" s="31" t="n">
        <v>198352211200</v>
      </c>
      <c r="AB156" s="31" t="n">
        <v>71447485111</v>
      </c>
      <c r="AC156" s="36" t="n">
        <v>0.5363194685849356</v>
      </c>
      <c r="AD156" s="29" t="inlineStr">
        <is>
          <t>yfinance_download</t>
        </is>
      </c>
      <c r="AE156" s="29" t="inlineStr">
        <is>
          <t>102120.KQ</t>
        </is>
      </c>
    </row>
    <row r="157" ht="24" customHeight="1">
      <c r="A157" s="24" t="inlineStr">
        <is>
          <t>2024-01-25</t>
        </is>
      </c>
      <c r="B157" s="30" t="n">
        <v>20200</v>
      </c>
      <c r="C157" s="30" t="n">
        <v>25750</v>
      </c>
      <c r="D157" s="30" t="n">
        <v>20050</v>
      </c>
      <c r="E157" s="30" t="n">
        <v>22000</v>
      </c>
      <c r="F157" s="30" t="n">
        <v>22000</v>
      </c>
      <c r="G157" s="30" t="n">
        <v>11592040</v>
      </c>
      <c r="H157" s="35" t="n">
        <v>0.05769230769230771</v>
      </c>
      <c r="I157" s="35" t="n">
        <v>0</v>
      </c>
      <c r="J157" s="30" t="n">
        <v>14793</v>
      </c>
      <c r="K157" s="30" t="n">
        <v>11281.83333333333</v>
      </c>
      <c r="L157" s="30" t="n">
        <v>10071.58333333333</v>
      </c>
      <c r="M157" s="35" t="n">
        <v>1.500617181455489</v>
      </c>
      <c r="N157" s="35" t="n">
        <v>1.165726430670744</v>
      </c>
      <c r="O157" s="35" t="n">
        <v>0.4666666666666666</v>
      </c>
      <c r="P157" s="35" t="n">
        <v>1.913907284768212</v>
      </c>
      <c r="Q157" s="35" t="n">
        <v>1.121504339440694</v>
      </c>
      <c r="R157" s="35" t="n">
        <v>0.4871898871087676</v>
      </c>
      <c r="S157" s="35" t="n">
        <v>0.950037671182284</v>
      </c>
      <c r="T157" s="35" t="n">
        <v>1.184363597249687</v>
      </c>
      <c r="U157" s="30" t="n">
        <v>22000</v>
      </c>
      <c r="V157" s="30" t="n">
        <v>7430</v>
      </c>
      <c r="W157" s="35" t="n">
        <v>0</v>
      </c>
      <c r="X157" s="35" t="n">
        <v>1.960969044414536</v>
      </c>
      <c r="Y157" s="30" t="n">
        <v>17780753</v>
      </c>
      <c r="Z157" s="30" t="n">
        <v>391176566000</v>
      </c>
      <c r="AA157" s="30" t="n">
        <v>255024880000</v>
      </c>
      <c r="AB157" s="30" t="n">
        <v>83099780361</v>
      </c>
      <c r="AC157" s="35" t="n">
        <v>0.6519431432403341</v>
      </c>
      <c r="AD157" s="24" t="inlineStr">
        <is>
          <t>yfinance_download</t>
        </is>
      </c>
      <c r="AE157" s="24" t="inlineStr">
        <is>
          <t>102120.KQ</t>
        </is>
      </c>
    </row>
    <row r="158" ht="24" customHeight="1">
      <c r="A158" s="29" t="inlineStr">
        <is>
          <t>2024-01-26</t>
        </is>
      </c>
      <c r="B158" s="31" t="n">
        <v>22000</v>
      </c>
      <c r="C158" s="31" t="n">
        <v>23650</v>
      </c>
      <c r="D158" s="31" t="n">
        <v>21000</v>
      </c>
      <c r="E158" s="31" t="n">
        <v>22650</v>
      </c>
      <c r="F158" s="31" t="n">
        <v>22650</v>
      </c>
      <c r="G158" s="31" t="n">
        <v>5150844</v>
      </c>
      <c r="H158" s="36" t="n">
        <v>0.02954545454545454</v>
      </c>
      <c r="I158" s="36" t="n">
        <v>0</v>
      </c>
      <c r="J158" s="31" t="n">
        <v>15220.5</v>
      </c>
      <c r="K158" s="31" t="n">
        <v>11535.5</v>
      </c>
      <c r="L158" s="31" t="n">
        <v>10175.58333333333</v>
      </c>
      <c r="M158" s="36" t="n">
        <v>1.468142143740976</v>
      </c>
      <c r="N158" s="36" t="n">
        <v>1.163411464462081</v>
      </c>
      <c r="O158" s="36" t="n">
        <v>0.6063829787234043</v>
      </c>
      <c r="P158" s="36" t="n">
        <v>2.048452220726783</v>
      </c>
      <c r="Q158" s="36" t="n">
        <v>1.227138643067847</v>
      </c>
      <c r="R158" s="36" t="n">
        <v>0.4881245688380802</v>
      </c>
      <c r="S158" s="36" t="n">
        <v>0.9635039660179445</v>
      </c>
      <c r="T158" s="36" t="n">
        <v>1.225916614117127</v>
      </c>
      <c r="U158" s="31" t="n">
        <v>22650</v>
      </c>
      <c r="V158" s="31" t="n">
        <v>7430</v>
      </c>
      <c r="W158" s="36" t="n">
        <v>0</v>
      </c>
      <c r="X158" s="36" t="n">
        <v>2.048452220726783</v>
      </c>
      <c r="Y158" s="31" t="n">
        <v>17780753</v>
      </c>
      <c r="Z158" s="31" t="n">
        <v>402734055450</v>
      </c>
      <c r="AA158" s="31" t="n">
        <v>116666616600</v>
      </c>
      <c r="AB158" s="31" t="n">
        <v>86787780681</v>
      </c>
      <c r="AC158" s="36" t="n">
        <v>0.2896864941546626</v>
      </c>
      <c r="AD158" s="29" t="inlineStr">
        <is>
          <t>yfinance_download</t>
        </is>
      </c>
      <c r="AE158" s="29" t="inlineStr">
        <is>
          <t>102120.KQ</t>
        </is>
      </c>
    </row>
    <row r="159" ht="24" customHeight="1">
      <c r="A159" s="24" t="inlineStr">
        <is>
          <t>2024-01-29</t>
        </is>
      </c>
      <c r="B159" s="30" t="n">
        <v>23050</v>
      </c>
      <c r="C159" s="30" t="n">
        <v>23300</v>
      </c>
      <c r="D159" s="30" t="n">
        <v>19190</v>
      </c>
      <c r="E159" s="30" t="n">
        <v>21850</v>
      </c>
      <c r="F159" s="30" t="n">
        <v>21850</v>
      </c>
      <c r="G159" s="30" t="n">
        <v>4043915</v>
      </c>
      <c r="H159" s="35" t="n">
        <v>-0.03532008830022071</v>
      </c>
      <c r="I159" s="35" t="n">
        <v>-0.03532008830022071</v>
      </c>
      <c r="J159" s="30" t="n">
        <v>15622.5</v>
      </c>
      <c r="K159" s="30" t="n">
        <v>11775.83333333333</v>
      </c>
      <c r="L159" s="30" t="n">
        <v>10273.83333333333</v>
      </c>
      <c r="M159" s="35" t="n">
        <v>1.475477287120204</v>
      </c>
      <c r="N159" s="35" t="n">
        <v>1.168388016293244</v>
      </c>
      <c r="O159" s="35" t="n">
        <v>0.5821868211440986</v>
      </c>
      <c r="P159" s="35" t="n">
        <v>1.940780619111709</v>
      </c>
      <c r="Q159" s="35" t="n">
        <v>1.171968190854871</v>
      </c>
      <c r="R159" s="35" t="n">
        <v>0.3986237798047687</v>
      </c>
      <c r="S159" s="35" t="n">
        <v>0.855495010968792</v>
      </c>
      <c r="T159" s="35" t="n">
        <v>1.126762162775984</v>
      </c>
      <c r="U159" s="30" t="n">
        <v>22650</v>
      </c>
      <c r="V159" s="30" t="n">
        <v>7430</v>
      </c>
      <c r="W159" s="35" t="n">
        <v>-0.03532008830022071</v>
      </c>
      <c r="X159" s="35" t="n">
        <v>1.940780619111709</v>
      </c>
      <c r="Y159" s="30" t="n">
        <v>17780753</v>
      </c>
      <c r="Z159" s="30" t="n">
        <v>388509453050</v>
      </c>
      <c r="AA159" s="30" t="n">
        <v>88359542750</v>
      </c>
      <c r="AB159" s="30" t="n">
        <v>90225718739.5</v>
      </c>
      <c r="AC159" s="35" t="n">
        <v>0.2274321565571492</v>
      </c>
      <c r="AD159" s="24" t="inlineStr">
        <is>
          <t>yfinance_download</t>
        </is>
      </c>
      <c r="AE159" s="24" t="inlineStr">
        <is>
          <t>102120.KQ</t>
        </is>
      </c>
    </row>
    <row r="160" ht="24" customHeight="1">
      <c r="A160" s="29" t="inlineStr">
        <is>
          <t>2024-01-30</t>
        </is>
      </c>
      <c r="B160" s="31" t="n">
        <v>21450</v>
      </c>
      <c r="C160" s="31" t="n">
        <v>22550</v>
      </c>
      <c r="D160" s="31" t="n">
        <v>20200</v>
      </c>
      <c r="E160" s="31" t="n">
        <v>22550</v>
      </c>
      <c r="F160" s="31" t="n">
        <v>22550</v>
      </c>
      <c r="G160" s="31" t="n">
        <v>2609536</v>
      </c>
      <c r="H160" s="36" t="n">
        <v>0.03203661327231111</v>
      </c>
      <c r="I160" s="36" t="n">
        <v>-0.004415011037527616</v>
      </c>
      <c r="J160" s="31" t="n">
        <v>16014</v>
      </c>
      <c r="K160" s="31" t="n">
        <v>12020.83333333333</v>
      </c>
      <c r="L160" s="31" t="n">
        <v>10380.08333333333</v>
      </c>
      <c r="M160" s="36" t="n">
        <v>1.468476010755208</v>
      </c>
      <c r="N160" s="36" t="n">
        <v>1.166239145168771</v>
      </c>
      <c r="O160" s="36" t="n">
        <v>0.5319293478260869</v>
      </c>
      <c r="P160" s="36" t="n">
        <v>1.872611464968153</v>
      </c>
      <c r="Q160" s="36" t="n">
        <v>1.301020408163265</v>
      </c>
      <c r="R160" s="36" t="n">
        <v>0.4081428749843887</v>
      </c>
      <c r="S160" s="36" t="n">
        <v>0.8759098786828421</v>
      </c>
      <c r="T160" s="36" t="n">
        <v>1.172429572659179</v>
      </c>
      <c r="U160" s="31" t="n">
        <v>22650</v>
      </c>
      <c r="V160" s="31" t="n">
        <v>7430</v>
      </c>
      <c r="W160" s="36" t="n">
        <v>-0.004415011037527616</v>
      </c>
      <c r="X160" s="36" t="n">
        <v>2.034993270524899</v>
      </c>
      <c r="Y160" s="31" t="n">
        <v>17780753</v>
      </c>
      <c r="Z160" s="31" t="n">
        <v>400955980150</v>
      </c>
      <c r="AA160" s="31" t="n">
        <v>58845036800</v>
      </c>
      <c r="AB160" s="31" t="n">
        <v>90574778355.5</v>
      </c>
      <c r="AC160" s="36" t="n">
        <v>0.1467618384890674</v>
      </c>
      <c r="AD160" s="29" t="inlineStr">
        <is>
          <t>yfinance_download</t>
        </is>
      </c>
      <c r="AE160" s="29" t="inlineStr">
        <is>
          <t>102120.KQ</t>
        </is>
      </c>
    </row>
    <row r="161" ht="24" customHeight="1">
      <c r="A161" s="24" t="inlineStr">
        <is>
          <t>2024-01-31</t>
        </is>
      </c>
      <c r="B161" s="30" t="n">
        <v>21450</v>
      </c>
      <c r="C161" s="30" t="n">
        <v>22500</v>
      </c>
      <c r="D161" s="30" t="n">
        <v>18600</v>
      </c>
      <c r="E161" s="30" t="n">
        <v>18720</v>
      </c>
      <c r="F161" s="30" t="n">
        <v>18720</v>
      </c>
      <c r="G161" s="30" t="n">
        <v>3147273</v>
      </c>
      <c r="H161" s="35" t="n">
        <v>-0.1698447893569844</v>
      </c>
      <c r="I161" s="35" t="n">
        <v>-0.1735099337748345</v>
      </c>
      <c r="J161" s="30" t="n">
        <v>16186</v>
      </c>
      <c r="K161" s="30" t="n">
        <v>12201.5</v>
      </c>
      <c r="L161" s="30" t="n">
        <v>10454.66666666667</v>
      </c>
      <c r="M161" s="35" t="n">
        <v>1.621717843298016</v>
      </c>
      <c r="N161" s="35" t="n">
        <v>1.229200035615337</v>
      </c>
      <c r="O161" s="35" t="n">
        <v>0.2251308900523561</v>
      </c>
      <c r="P161" s="35" t="n">
        <v>1.375634517766497</v>
      </c>
      <c r="Q161" s="35" t="n">
        <v>0.9160696008188332</v>
      </c>
      <c r="R161" s="35" t="n">
        <v>0.1565550475719757</v>
      </c>
      <c r="S161" s="35" t="n">
        <v>0.5342375937384747</v>
      </c>
      <c r="T161" s="35" t="n">
        <v>0.7905879352123455</v>
      </c>
      <c r="U161" s="30" t="n">
        <v>22650</v>
      </c>
      <c r="V161" s="30" t="n">
        <v>7430</v>
      </c>
      <c r="W161" s="35" t="n">
        <v>-0.1735099337748345</v>
      </c>
      <c r="X161" s="35" t="n">
        <v>1.519515477792732</v>
      </c>
      <c r="Y161" s="30" t="n">
        <v>17780753</v>
      </c>
      <c r="Z161" s="30" t="n">
        <v>332855696160</v>
      </c>
      <c r="AA161" s="30" t="n">
        <v>58916950560</v>
      </c>
      <c r="AB161" s="30" t="n">
        <v>90631006747.5</v>
      </c>
      <c r="AC161" s="35" t="n">
        <v>0.1770044834434177</v>
      </c>
      <c r="AD161" s="24" t="inlineStr">
        <is>
          <t>yfinance_download</t>
        </is>
      </c>
      <c r="AE161" s="24" t="inlineStr">
        <is>
          <t>102120.KQ</t>
        </is>
      </c>
    </row>
    <row r="162" ht="24" customHeight="1">
      <c r="A162" s="29" t="inlineStr">
        <is>
          <t>2024-02-01</t>
        </is>
      </c>
      <c r="B162" s="31" t="n">
        <v>18600</v>
      </c>
      <c r="C162" s="31" t="n">
        <v>20300</v>
      </c>
      <c r="D162" s="31" t="n">
        <v>18230</v>
      </c>
      <c r="E162" s="31" t="n">
        <v>19870</v>
      </c>
      <c r="F162" s="31" t="n">
        <v>19870</v>
      </c>
      <c r="G162" s="31" t="n">
        <v>4012715</v>
      </c>
      <c r="H162" s="36" t="n">
        <v>0.06143162393162394</v>
      </c>
      <c r="I162" s="36" t="n">
        <v>-0.1227373068432671</v>
      </c>
      <c r="J162" s="31" t="n">
        <v>16474</v>
      </c>
      <c r="K162" s="31" t="n">
        <v>12397.66666666667</v>
      </c>
      <c r="L162" s="31" t="n">
        <v>10539.33333333333</v>
      </c>
      <c r="M162" s="36" t="n">
        <v>1.592338707896287</v>
      </c>
      <c r="N162" s="36" t="n">
        <v>1.23236246319636</v>
      </c>
      <c r="O162" s="36" t="n">
        <v>0.4082211197732104</v>
      </c>
      <c r="P162" s="36" t="n">
        <v>1.453086419753086</v>
      </c>
      <c r="Q162" s="36" t="n">
        <v>1.046343975283213</v>
      </c>
      <c r="R162" s="36" t="n">
        <v>0.2061430132329731</v>
      </c>
      <c r="S162" s="36" t="n">
        <v>0.6027209421127633</v>
      </c>
      <c r="T162" s="36" t="n">
        <v>0.8853184894680244</v>
      </c>
      <c r="U162" s="31" t="n">
        <v>22650</v>
      </c>
      <c r="V162" s="31" t="n">
        <v>7430</v>
      </c>
      <c r="W162" s="36" t="n">
        <v>-0.1227373068432671</v>
      </c>
      <c r="X162" s="36" t="n">
        <v>1.674293405114401</v>
      </c>
      <c r="Y162" s="31" t="n">
        <v>17780753</v>
      </c>
      <c r="Z162" s="31" t="n">
        <v>353303562110</v>
      </c>
      <c r="AA162" s="31" t="n">
        <v>79732647050</v>
      </c>
      <c r="AB162" s="31" t="n">
        <v>90526368406</v>
      </c>
      <c r="AC162" s="36" t="n">
        <v>0.2256774502182219</v>
      </c>
      <c r="AD162" s="29" t="inlineStr">
        <is>
          <t>yfinance_download</t>
        </is>
      </c>
      <c r="AE162" s="29" t="inlineStr">
        <is>
          <t>102120.KQ</t>
        </is>
      </c>
    </row>
    <row r="163" ht="24" customHeight="1">
      <c r="A163" s="24" t="inlineStr">
        <is>
          <t>2024-02-02</t>
        </is>
      </c>
      <c r="B163" s="30" t="n">
        <v>20350</v>
      </c>
      <c r="C163" s="30" t="n">
        <v>21100</v>
      </c>
      <c r="D163" s="30" t="n">
        <v>18890</v>
      </c>
      <c r="E163" s="30" t="n">
        <v>19200</v>
      </c>
      <c r="F163" s="30" t="n">
        <v>19200</v>
      </c>
      <c r="G163" s="30" t="n">
        <v>2860787</v>
      </c>
      <c r="H163" s="35" t="n">
        <v>-0.0337191746351283</v>
      </c>
      <c r="I163" s="35" t="n">
        <v>-0.152317880794702</v>
      </c>
      <c r="J163" s="30" t="n">
        <v>16690.5</v>
      </c>
      <c r="K163" s="30" t="n">
        <v>12582.66666666667</v>
      </c>
      <c r="L163" s="30" t="n">
        <v>10619</v>
      </c>
      <c r="M163" s="35" t="n">
        <v>1.599191428439394</v>
      </c>
      <c r="N163" s="35" t="n">
        <v>1.236369238498192</v>
      </c>
      <c r="O163" s="35" t="n">
        <v>0.2911903160726295</v>
      </c>
      <c r="P163" s="35" t="n">
        <v>1.37037037037037</v>
      </c>
      <c r="Q163" s="35" t="n">
        <v>0.991701244813278</v>
      </c>
      <c r="R163" s="35" t="n">
        <v>0.150354992360924</v>
      </c>
      <c r="S163" s="35" t="n">
        <v>0.5259086574123133</v>
      </c>
      <c r="T163" s="35" t="n">
        <v>0.8080798568603447</v>
      </c>
      <c r="U163" s="30" t="n">
        <v>22650</v>
      </c>
      <c r="V163" s="30" t="n">
        <v>7430</v>
      </c>
      <c r="W163" s="35" t="n">
        <v>-0.152317880794702</v>
      </c>
      <c r="X163" s="35" t="n">
        <v>1.584118438761776</v>
      </c>
      <c r="Y163" s="30" t="n">
        <v>17780753</v>
      </c>
      <c r="Z163" s="30" t="n">
        <v>341390457600</v>
      </c>
      <c r="AA163" s="30" t="n">
        <v>54927110400</v>
      </c>
      <c r="AB163" s="30" t="n">
        <v>90194361061.5</v>
      </c>
      <c r="AC163" s="35" t="n">
        <v>0.1608923424109204</v>
      </c>
      <c r="AD163" s="24" t="inlineStr">
        <is>
          <t>yfinance_download</t>
        </is>
      </c>
      <c r="AE163" s="24" t="inlineStr">
        <is>
          <t>102120.KQ</t>
        </is>
      </c>
    </row>
    <row r="164" ht="24" customHeight="1">
      <c r="A164" s="29" t="inlineStr">
        <is>
          <t>2024-02-05</t>
        </is>
      </c>
      <c r="B164" s="31" t="n">
        <v>19200</v>
      </c>
      <c r="C164" s="31" t="n">
        <v>19610</v>
      </c>
      <c r="D164" s="31" t="n">
        <v>18330</v>
      </c>
      <c r="E164" s="31" t="n">
        <v>18880</v>
      </c>
      <c r="F164" s="31" t="n">
        <v>18880</v>
      </c>
      <c r="G164" s="31" t="n">
        <v>1323197</v>
      </c>
      <c r="H164" s="36" t="n">
        <v>-0.01666666666666672</v>
      </c>
      <c r="I164" s="36" t="n">
        <v>-0.1664459161147903</v>
      </c>
      <c r="J164" s="31" t="n">
        <v>16899.5</v>
      </c>
      <c r="K164" s="31" t="n">
        <v>12763.16666666667</v>
      </c>
      <c r="L164" s="31" t="n">
        <v>10697.33333333333</v>
      </c>
      <c r="M164" s="36" t="n">
        <v>1.600545922835097</v>
      </c>
      <c r="N164" s="36" t="n">
        <v>1.237403181285206</v>
      </c>
      <c r="O164" s="36" t="n">
        <v>0.2843537414965986</v>
      </c>
      <c r="P164" s="36" t="n">
        <v>1.345341614906832</v>
      </c>
      <c r="Q164" s="36" t="n">
        <v>0.9915611814345993</v>
      </c>
      <c r="R164" s="36" t="n">
        <v>0.1171928163555134</v>
      </c>
      <c r="S164" s="36" t="n">
        <v>0.4792567152874809</v>
      </c>
      <c r="T164" s="36" t="n">
        <v>0.7649258382151314</v>
      </c>
      <c r="U164" s="31" t="n">
        <v>22650</v>
      </c>
      <c r="V164" s="31" t="n">
        <v>7430</v>
      </c>
      <c r="W164" s="36" t="n">
        <v>-0.1664459161147903</v>
      </c>
      <c r="X164" s="36" t="n">
        <v>1.541049798115747</v>
      </c>
      <c r="Y164" s="31" t="n">
        <v>17780753</v>
      </c>
      <c r="Z164" s="31" t="n">
        <v>335700616640</v>
      </c>
      <c r="AA164" s="31" t="n">
        <v>24981959360</v>
      </c>
      <c r="AB164" s="31" t="n">
        <v>90292883414.5</v>
      </c>
      <c r="AC164" s="36" t="n">
        <v>0.07441737703684428</v>
      </c>
      <c r="AD164" s="29" t="inlineStr">
        <is>
          <t>yfinance_download</t>
        </is>
      </c>
      <c r="AE164" s="29" t="inlineStr">
        <is>
          <t>102120.KQ</t>
        </is>
      </c>
    </row>
    <row r="165" ht="24" customHeight="1">
      <c r="A165" s="24" t="inlineStr">
        <is>
          <t>2024-02-06</t>
        </is>
      </c>
      <c r="B165" s="30" t="n">
        <v>19300</v>
      </c>
      <c r="C165" s="30" t="n">
        <v>20600</v>
      </c>
      <c r="D165" s="30" t="n">
        <v>16650</v>
      </c>
      <c r="E165" s="30" t="n">
        <v>19150</v>
      </c>
      <c r="F165" s="30" t="n">
        <v>19150</v>
      </c>
      <c r="G165" s="30" t="n">
        <v>5924579</v>
      </c>
      <c r="H165" s="35" t="n">
        <v>0.01430084745762716</v>
      </c>
      <c r="I165" s="35" t="n">
        <v>-0.1545253863134658</v>
      </c>
      <c r="J165" s="30" t="n">
        <v>17119.5</v>
      </c>
      <c r="K165" s="30" t="n">
        <v>12949.5</v>
      </c>
      <c r="L165" s="30" t="n">
        <v>10776.91666666667</v>
      </c>
      <c r="M165" s="35" t="n">
        <v>1.599782016243833</v>
      </c>
      <c r="N165" s="35" t="n">
        <v>1.236143700822318</v>
      </c>
      <c r="O165" s="35" t="n">
        <v>0.2983050847457627</v>
      </c>
      <c r="P165" s="35" t="n">
        <v>1.40276035131744</v>
      </c>
      <c r="Q165" s="35" t="n">
        <v>0.9947916666666667</v>
      </c>
      <c r="R165" s="35" t="n">
        <v>0.1186074359648355</v>
      </c>
      <c r="S165" s="35" t="n">
        <v>0.4788215761226302</v>
      </c>
      <c r="T165" s="35" t="n">
        <v>0.7769460962087178</v>
      </c>
      <c r="U165" s="30" t="n">
        <v>22650</v>
      </c>
      <c r="V165" s="30" t="n">
        <v>7430</v>
      </c>
      <c r="W165" s="35" t="n">
        <v>-0.1545253863134658</v>
      </c>
      <c r="X165" s="35" t="n">
        <v>1.577388963660834</v>
      </c>
      <c r="Y165" s="30" t="n">
        <v>17780753</v>
      </c>
      <c r="Z165" s="30" t="n">
        <v>340501419950</v>
      </c>
      <c r="AA165" s="30" t="n">
        <v>113455687850</v>
      </c>
      <c r="AB165" s="30" t="n">
        <v>93266087407</v>
      </c>
      <c r="AC165" s="35" t="n">
        <v>0.3332018053453641</v>
      </c>
      <c r="AD165" s="24" t="inlineStr">
        <is>
          <t>yfinance_download</t>
        </is>
      </c>
      <c r="AE165" s="24" t="inlineStr">
        <is>
          <t>102120.KQ</t>
        </is>
      </c>
    </row>
    <row r="166" ht="24" customHeight="1">
      <c r="A166" s="29" t="inlineStr">
        <is>
          <t>2024-02-07</t>
        </is>
      </c>
      <c r="B166" s="31" t="n">
        <v>18660</v>
      </c>
      <c r="C166" s="31" t="n">
        <v>19250</v>
      </c>
      <c r="D166" s="31" t="n">
        <v>17950</v>
      </c>
      <c r="E166" s="31" t="n">
        <v>18000</v>
      </c>
      <c r="F166" s="31" t="n">
        <v>18000</v>
      </c>
      <c r="G166" s="31" t="n">
        <v>1697760</v>
      </c>
      <c r="H166" s="36" t="n">
        <v>-0.06005221932114879</v>
      </c>
      <c r="I166" s="36" t="n">
        <v>-0.2052980132450332</v>
      </c>
      <c r="J166" s="31" t="n">
        <v>17322</v>
      </c>
      <c r="K166" s="31" t="n">
        <v>13117.83333333333</v>
      </c>
      <c r="L166" s="31" t="n">
        <v>10848.25</v>
      </c>
      <c r="M166" s="36" t="n">
        <v>1.603373371760692</v>
      </c>
      <c r="N166" s="36" t="n">
        <v>1.245219324237335</v>
      </c>
      <c r="O166" s="36" t="n">
        <v>0.2903225806451613</v>
      </c>
      <c r="P166" s="36" t="n">
        <v>1.278481012658228</v>
      </c>
      <c r="Q166" s="36" t="n">
        <v>0.9067796610169492</v>
      </c>
      <c r="R166" s="36" t="n">
        <v>0.03914097679251816</v>
      </c>
      <c r="S166" s="36" t="n">
        <v>0.3721778240817208</v>
      </c>
      <c r="T166" s="36" t="n">
        <v>0.6592537966953196</v>
      </c>
      <c r="U166" s="31" t="n">
        <v>22650</v>
      </c>
      <c r="V166" s="31" t="n">
        <v>7430</v>
      </c>
      <c r="W166" s="36" t="n">
        <v>-0.2052980132450332</v>
      </c>
      <c r="X166" s="36" t="n">
        <v>1.422611036339166</v>
      </c>
      <c r="Y166" s="31" t="n">
        <v>17780753</v>
      </c>
      <c r="Z166" s="31" t="n">
        <v>320053554000</v>
      </c>
      <c r="AA166" s="31" t="n">
        <v>30559680000</v>
      </c>
      <c r="AB166" s="31" t="n">
        <v>93960601454.5</v>
      </c>
      <c r="AC166" s="36" t="n">
        <v>0.09548302031978061</v>
      </c>
      <c r="AD166" s="29" t="inlineStr">
        <is>
          <t>yfinance_download</t>
        </is>
      </c>
      <c r="AE166" s="29" t="inlineStr">
        <is>
          <t>102120.KQ</t>
        </is>
      </c>
    </row>
    <row r="167" ht="24" customHeight="1">
      <c r="A167" s="24" t="inlineStr">
        <is>
          <t>2024-02-08</t>
        </is>
      </c>
      <c r="B167" s="30" t="n">
        <v>18300</v>
      </c>
      <c r="C167" s="30" t="n">
        <v>20900</v>
      </c>
      <c r="D167" s="30" t="n">
        <v>18250</v>
      </c>
      <c r="E167" s="30" t="n">
        <v>19700</v>
      </c>
      <c r="F167" s="30" t="n">
        <v>19700</v>
      </c>
      <c r="G167" s="30" t="n">
        <v>6855189</v>
      </c>
      <c r="H167" s="35" t="n">
        <v>0.09444444444444455</v>
      </c>
      <c r="I167" s="35" t="n">
        <v>-0.130242825607064</v>
      </c>
      <c r="J167" s="30" t="n">
        <v>17653.5</v>
      </c>
      <c r="K167" s="30" t="n">
        <v>13317.16666666667</v>
      </c>
      <c r="L167" s="30" t="n">
        <v>10932.41666666667</v>
      </c>
      <c r="M167" s="35" t="n">
        <v>1.596130518349514</v>
      </c>
      <c r="N167" s="35" t="n">
        <v>1.252892865052016</v>
      </c>
      <c r="O167" s="35" t="n">
        <v>0.5072685539403214</v>
      </c>
      <c r="P167" s="35" t="n">
        <v>1.545219638242894</v>
      </c>
      <c r="Q167" s="35" t="n">
        <v>1.052083333333333</v>
      </c>
      <c r="R167" s="35" t="n">
        <v>0.1159260203359107</v>
      </c>
      <c r="S167" s="35" t="n">
        <v>0.4792936435427957</v>
      </c>
      <c r="T167" s="35" t="n">
        <v>0.8019803489621844</v>
      </c>
      <c r="U167" s="30" t="n">
        <v>22650</v>
      </c>
      <c r="V167" s="30" t="n">
        <v>7430</v>
      </c>
      <c r="W167" s="35" t="n">
        <v>-0.130242825607064</v>
      </c>
      <c r="X167" s="35" t="n">
        <v>1.651413189771198</v>
      </c>
      <c r="Y167" s="30" t="n">
        <v>17780753</v>
      </c>
      <c r="Z167" s="30" t="n">
        <v>350280834100</v>
      </c>
      <c r="AA167" s="30" t="n">
        <v>135047223300</v>
      </c>
      <c r="AB167" s="30" t="n">
        <v>99814045269</v>
      </c>
      <c r="AC167" s="35" t="n">
        <v>0.3855398587450149</v>
      </c>
      <c r="AD167" s="24" t="inlineStr">
        <is>
          <t>yfinance_download</t>
        </is>
      </c>
      <c r="AE167" s="24" t="inlineStr">
        <is>
          <t>102120.KQ</t>
        </is>
      </c>
    </row>
    <row r="168" ht="24" customHeight="1">
      <c r="A168" s="29" t="inlineStr">
        <is>
          <t>2024-02-13</t>
        </is>
      </c>
      <c r="B168" s="31" t="n">
        <v>20300</v>
      </c>
      <c r="C168" s="31" t="n">
        <v>21300</v>
      </c>
      <c r="D168" s="31" t="n">
        <v>19840</v>
      </c>
      <c r="E168" s="31" t="n">
        <v>20000</v>
      </c>
      <c r="F168" s="31" t="n">
        <v>20000</v>
      </c>
      <c r="G168" s="31" t="n">
        <v>3576864</v>
      </c>
      <c r="H168" s="36" t="n">
        <v>0.01522842639593902</v>
      </c>
      <c r="I168" s="36" t="n">
        <v>-0.1169977924944813</v>
      </c>
      <c r="J168" s="31" t="n">
        <v>18018.5</v>
      </c>
      <c r="K168" s="31" t="n">
        <v>13518.16666666667</v>
      </c>
      <c r="L168" s="31" t="n">
        <v>11020.75</v>
      </c>
      <c r="M168" s="36" t="n">
        <v>1.584222047393468</v>
      </c>
      <c r="N168" s="36" t="n">
        <v>1.252815598418063</v>
      </c>
      <c r="O168" s="36" t="n">
        <v>0.5748031496062993</v>
      </c>
      <c r="P168" s="36" t="n">
        <v>1.518891687657431</v>
      </c>
      <c r="Q168" s="36" t="n">
        <v>1.127659574468085</v>
      </c>
      <c r="R168" s="36" t="n">
        <v>0.1099703082942531</v>
      </c>
      <c r="S168" s="36" t="n">
        <v>0.4794905620831227</v>
      </c>
      <c r="T168" s="36" t="n">
        <v>0.814758523693941</v>
      </c>
      <c r="U168" s="31" t="n">
        <v>22650</v>
      </c>
      <c r="V168" s="31" t="n">
        <v>7430</v>
      </c>
      <c r="W168" s="36" t="n">
        <v>-0.1169977924944813</v>
      </c>
      <c r="X168" s="36" t="n">
        <v>1.69179004037685</v>
      </c>
      <c r="Y168" s="31" t="n">
        <v>17780753</v>
      </c>
      <c r="Z168" s="31" t="n">
        <v>355615060000</v>
      </c>
      <c r="AA168" s="31" t="n">
        <v>71537280000</v>
      </c>
      <c r="AB168" s="31" t="n">
        <v>102895095554</v>
      </c>
      <c r="AC168" s="36" t="n">
        <v>0.2011649337910492</v>
      </c>
      <c r="AD168" s="29" t="inlineStr">
        <is>
          <t>yfinance_download</t>
        </is>
      </c>
      <c r="AE168" s="29" t="inlineStr">
        <is>
          <t>102120.KQ</t>
        </is>
      </c>
    </row>
    <row r="169" ht="24" customHeight="1">
      <c r="A169" s="24" t="inlineStr">
        <is>
          <t>2024-02-14</t>
        </is>
      </c>
      <c r="B169" s="30" t="n">
        <v>19440</v>
      </c>
      <c r="C169" s="30" t="n">
        <v>21450</v>
      </c>
      <c r="D169" s="30" t="n">
        <v>19200</v>
      </c>
      <c r="E169" s="30" t="n">
        <v>21450</v>
      </c>
      <c r="F169" s="30" t="n">
        <v>21450</v>
      </c>
      <c r="G169" s="30" t="n">
        <v>4770562</v>
      </c>
      <c r="H169" s="35" t="n">
        <v>0.07250000000000001</v>
      </c>
      <c r="I169" s="35" t="n">
        <v>-0.05298013245033117</v>
      </c>
      <c r="J169" s="30" t="n">
        <v>18463</v>
      </c>
      <c r="K169" s="30" t="n">
        <v>13740</v>
      </c>
      <c r="L169" s="30" t="n">
        <v>11124.66666666667</v>
      </c>
      <c r="M169" s="35" t="n">
        <v>1.585136621913869</v>
      </c>
      <c r="N169" s="35" t="n">
        <v>1.257667732074829</v>
      </c>
      <c r="O169" s="35" t="n">
        <v>0.7078025477707006</v>
      </c>
      <c r="P169" s="35" t="n">
        <v>1.635135135135135</v>
      </c>
      <c r="Q169" s="35" t="n">
        <v>1.388641425389755</v>
      </c>
      <c r="R169" s="35" t="n">
        <v>0.1617830255104804</v>
      </c>
      <c r="S169" s="35" t="n">
        <v>0.5611353711790392</v>
      </c>
      <c r="T169" s="35" t="n">
        <v>0.9281476598549769</v>
      </c>
      <c r="U169" s="30" t="n">
        <v>22650</v>
      </c>
      <c r="V169" s="30" t="n">
        <v>7430</v>
      </c>
      <c r="W169" s="35" t="n">
        <v>-0.05298013245033117</v>
      </c>
      <c r="X169" s="35" t="n">
        <v>1.886944818304172</v>
      </c>
      <c r="Y169" s="30" t="n">
        <v>17780753</v>
      </c>
      <c r="Z169" s="30" t="n">
        <v>381397151850</v>
      </c>
      <c r="AA169" s="30" t="n">
        <v>102328554900</v>
      </c>
      <c r="AB169" s="30" t="n">
        <v>107471688847</v>
      </c>
      <c r="AC169" s="35" t="n">
        <v>0.2682992109501774</v>
      </c>
      <c r="AD169" s="24" t="inlineStr">
        <is>
          <t>yfinance_download</t>
        </is>
      </c>
      <c r="AE169" s="24" t="inlineStr">
        <is>
          <t>102120.KQ</t>
        </is>
      </c>
    </row>
    <row r="170" ht="24" customHeight="1">
      <c r="A170" s="29" t="inlineStr">
        <is>
          <t>2024-02-15</t>
        </is>
      </c>
      <c r="B170" s="31" t="n">
        <v>23200</v>
      </c>
      <c r="C170" s="31" t="n">
        <v>23600</v>
      </c>
      <c r="D170" s="31" t="n">
        <v>21200</v>
      </c>
      <c r="E170" s="31" t="n">
        <v>21600</v>
      </c>
      <c r="F170" s="31" t="n">
        <v>21600</v>
      </c>
      <c r="G170" s="31" t="n">
        <v>4733984</v>
      </c>
      <c r="H170" s="36" t="n">
        <v>0.006993006993007089</v>
      </c>
      <c r="I170" s="36" t="n">
        <v>-0.04635761589403975</v>
      </c>
      <c r="J170" s="31" t="n">
        <v>18929</v>
      </c>
      <c r="K170" s="31" t="n">
        <v>13963.16666666667</v>
      </c>
      <c r="L170" s="31" t="n">
        <v>11230.5</v>
      </c>
      <c r="M170" s="36" t="n">
        <v>1.575329078114536</v>
      </c>
      <c r="N170" s="36" t="n">
        <v>1.257729320185597</v>
      </c>
      <c r="O170" s="36" t="n">
        <v>0.7589576547231269</v>
      </c>
      <c r="P170" s="36" t="n">
        <v>1.630937880633374</v>
      </c>
      <c r="Q170" s="36" t="n">
        <v>1.426966292134832</v>
      </c>
      <c r="R170" s="36" t="n">
        <v>0.1411062391040203</v>
      </c>
      <c r="S170" s="36" t="n">
        <v>0.5469270342209862</v>
      </c>
      <c r="T170" s="36" t="n">
        <v>0.9233337785494857</v>
      </c>
      <c r="U170" s="31" t="n">
        <v>22650</v>
      </c>
      <c r="V170" s="31" t="n">
        <v>7430</v>
      </c>
      <c r="W170" s="36" t="n">
        <v>-0.04635761589403975</v>
      </c>
      <c r="X170" s="36" t="n">
        <v>1.907133243606999</v>
      </c>
      <c r="Y170" s="31" t="n">
        <v>17780753</v>
      </c>
      <c r="Z170" s="31" t="n">
        <v>384064264800</v>
      </c>
      <c r="AA170" s="31" t="n">
        <v>102254054400</v>
      </c>
      <c r="AB170" s="31" t="n">
        <v>111983066369</v>
      </c>
      <c r="AC170" s="36" t="n">
        <v>0.2662420427301364</v>
      </c>
      <c r="AD170" s="29" t="inlineStr">
        <is>
          <t>yfinance_download</t>
        </is>
      </c>
      <c r="AE170" s="29" t="inlineStr">
        <is>
          <t>102120.KQ</t>
        </is>
      </c>
    </row>
    <row r="171" ht="24" customHeight="1">
      <c r="A171" s="24" t="inlineStr">
        <is>
          <t>2024-02-16</t>
        </is>
      </c>
      <c r="B171" s="30" t="n">
        <v>21200</v>
      </c>
      <c r="C171" s="30" t="n">
        <v>21550</v>
      </c>
      <c r="D171" s="30" t="n">
        <v>20050</v>
      </c>
      <c r="E171" s="30" t="n">
        <v>20400</v>
      </c>
      <c r="F171" s="30" t="n">
        <v>20400</v>
      </c>
      <c r="G171" s="30" t="n">
        <v>1794528</v>
      </c>
      <c r="H171" s="35" t="n">
        <v>-0.05555555555555558</v>
      </c>
      <c r="I171" s="35" t="n">
        <v>-0.09933774834437081</v>
      </c>
      <c r="J171" s="30" t="n">
        <v>19357.5</v>
      </c>
      <c r="K171" s="30" t="n">
        <v>14166.83333333333</v>
      </c>
      <c r="L171" s="30" t="n">
        <v>11325.75</v>
      </c>
      <c r="M171" s="35" t="n">
        <v>1.587795522693673</v>
      </c>
      <c r="N171" s="35" t="n">
        <v>1.266203984403566</v>
      </c>
      <c r="O171" s="35" t="n">
        <v>0.724429416737109</v>
      </c>
      <c r="P171" s="35" t="n">
        <v>1.493887530562347</v>
      </c>
      <c r="Q171" s="35" t="n">
        <v>1.274247491638796</v>
      </c>
      <c r="R171" s="35" t="n">
        <v>0.05385509492444784</v>
      </c>
      <c r="S171" s="35" t="n">
        <v>0.4399830590228349</v>
      </c>
      <c r="T171" s="35" t="n">
        <v>0.8012052181974703</v>
      </c>
      <c r="U171" s="30" t="n">
        <v>22650</v>
      </c>
      <c r="V171" s="30" t="n">
        <v>7430</v>
      </c>
      <c r="W171" s="35" t="n">
        <v>-0.09933774834437081</v>
      </c>
      <c r="X171" s="35" t="n">
        <v>1.745625841184387</v>
      </c>
      <c r="Y171" s="30" t="n">
        <v>17780753</v>
      </c>
      <c r="Z171" s="30" t="n">
        <v>362727361200</v>
      </c>
      <c r="AA171" s="30" t="n">
        <v>36608371200</v>
      </c>
      <c r="AB171" s="30" t="n">
        <v>113419830440.5</v>
      </c>
      <c r="AC171" s="35" t="n">
        <v>0.1009253095186689</v>
      </c>
      <c r="AD171" s="24" t="inlineStr">
        <is>
          <t>yfinance_download</t>
        </is>
      </c>
      <c r="AE171" s="24" t="inlineStr">
        <is>
          <t>102120.KQ</t>
        </is>
      </c>
    </row>
    <row r="172" ht="24" customHeight="1">
      <c r="A172" s="29" t="inlineStr">
        <is>
          <t>2024-02-19</t>
        </is>
      </c>
      <c r="B172" s="31" t="n">
        <v>19800</v>
      </c>
      <c r="C172" s="31" t="n">
        <v>21250</v>
      </c>
      <c r="D172" s="31" t="n">
        <v>19750</v>
      </c>
      <c r="E172" s="31" t="n">
        <v>20900</v>
      </c>
      <c r="F172" s="31" t="n">
        <v>20900</v>
      </c>
      <c r="G172" s="31" t="n">
        <v>1751143</v>
      </c>
      <c r="H172" s="36" t="n">
        <v>0.02450980392156854</v>
      </c>
      <c r="I172" s="36" t="n">
        <v>-0.07726269315673284</v>
      </c>
      <c r="J172" s="31" t="n">
        <v>19814</v>
      </c>
      <c r="K172" s="31" t="n">
        <v>14378.5</v>
      </c>
      <c r="L172" s="31" t="n">
        <v>11424.5</v>
      </c>
      <c r="M172" s="36" t="n">
        <v>1.582087771552201</v>
      </c>
      <c r="N172" s="36" t="n">
        <v>1.265838258031617</v>
      </c>
      <c r="O172" s="36" t="n">
        <v>0.7757009345794392</v>
      </c>
      <c r="P172" s="36" t="n">
        <v>1.548780487804878</v>
      </c>
      <c r="Q172" s="36" t="n">
        <v>1.30939226519337</v>
      </c>
      <c r="R172" s="36" t="n">
        <v>0.05480973049359039</v>
      </c>
      <c r="S172" s="36" t="n">
        <v>0.4535591334283826</v>
      </c>
      <c r="T172" s="36" t="n">
        <v>0.8294017243643048</v>
      </c>
      <c r="U172" s="31" t="n">
        <v>22650</v>
      </c>
      <c r="V172" s="31" t="n">
        <v>7430</v>
      </c>
      <c r="W172" s="36" t="n">
        <v>-0.07726269315673284</v>
      </c>
      <c r="X172" s="36" t="n">
        <v>1.812920592193809</v>
      </c>
      <c r="Y172" s="31" t="n">
        <v>17780753</v>
      </c>
      <c r="Z172" s="31" t="n">
        <v>371617737700</v>
      </c>
      <c r="AA172" s="31" t="n">
        <v>36598888700</v>
      </c>
      <c r="AB172" s="31" t="n">
        <v>114826833461</v>
      </c>
      <c r="AC172" s="36" t="n">
        <v>0.0984853116175676</v>
      </c>
      <c r="AD172" s="29" t="inlineStr">
        <is>
          <t>yfinance_download</t>
        </is>
      </c>
      <c r="AE172" s="29" t="inlineStr">
        <is>
          <t>102120.KQ</t>
        </is>
      </c>
    </row>
    <row r="173" ht="24" customHeight="1">
      <c r="A173" s="24" t="inlineStr">
        <is>
          <t>2024-02-20</t>
        </is>
      </c>
      <c r="B173" s="30" t="n">
        <v>20850</v>
      </c>
      <c r="C173" s="30" t="n">
        <v>20900</v>
      </c>
      <c r="D173" s="30" t="n">
        <v>19920</v>
      </c>
      <c r="E173" s="30" t="n">
        <v>20200</v>
      </c>
      <c r="F173" s="30" t="n">
        <v>20200</v>
      </c>
      <c r="G173" s="30" t="n">
        <v>1085652</v>
      </c>
      <c r="H173" s="35" t="n">
        <v>-0.03349282296650713</v>
      </c>
      <c r="I173" s="35" t="n">
        <v>-0.108167770419426</v>
      </c>
      <c r="J173" s="30" t="n">
        <v>20201.5</v>
      </c>
      <c r="K173" s="30" t="n">
        <v>14579.16666666667</v>
      </c>
      <c r="L173" s="30" t="n">
        <v>11518.66666666667</v>
      </c>
      <c r="M173" s="35" t="n">
        <v>1.596629811420485</v>
      </c>
      <c r="N173" s="35" t="n">
        <v>1.269455836824106</v>
      </c>
      <c r="O173" s="35" t="n">
        <v>0.6224899598393574</v>
      </c>
      <c r="P173" s="35" t="n">
        <v>1.475490196078431</v>
      </c>
      <c r="Q173" s="35" t="n">
        <v>1.269662921348315</v>
      </c>
      <c r="R173" s="35" t="n">
        <v>-7.425191198673353e-05</v>
      </c>
      <c r="S173" s="35" t="n">
        <v>0.3855387253501001</v>
      </c>
      <c r="T173" s="35" t="n">
        <v>0.7536751938881816</v>
      </c>
      <c r="U173" s="30" t="n">
        <v>22650</v>
      </c>
      <c r="V173" s="30" t="n">
        <v>7430</v>
      </c>
      <c r="W173" s="35" t="n">
        <v>-0.108167770419426</v>
      </c>
      <c r="X173" s="35" t="n">
        <v>1.718707940780619</v>
      </c>
      <c r="Y173" s="30" t="n">
        <v>17780753</v>
      </c>
      <c r="Z173" s="30" t="n">
        <v>359171210600</v>
      </c>
      <c r="AA173" s="30" t="n">
        <v>21930170400</v>
      </c>
      <c r="AB173" s="30" t="n">
        <v>114925181283.5</v>
      </c>
      <c r="AC173" s="35" t="n">
        <v>0.06105770661118795</v>
      </c>
      <c r="AD173" s="24" t="inlineStr">
        <is>
          <t>yfinance_download</t>
        </is>
      </c>
      <c r="AE173" s="24" t="inlineStr">
        <is>
          <t>102120.KQ</t>
        </is>
      </c>
    </row>
    <row r="174" ht="24" customHeight="1">
      <c r="A174" s="29" t="inlineStr">
        <is>
          <t>2024-02-21</t>
        </is>
      </c>
      <c r="B174" s="31" t="n">
        <v>19240</v>
      </c>
      <c r="C174" s="31" t="n">
        <v>20300</v>
      </c>
      <c r="D174" s="31" t="n">
        <v>19210</v>
      </c>
      <c r="E174" s="31" t="n">
        <v>19450</v>
      </c>
      <c r="F174" s="31" t="n">
        <v>19450</v>
      </c>
      <c r="G174" s="31" t="n">
        <v>1347561</v>
      </c>
      <c r="H174" s="36" t="n">
        <v>-0.03712871287128716</v>
      </c>
      <c r="I174" s="36" t="n">
        <v>-0.1412803532008831</v>
      </c>
      <c r="J174" s="31" t="n">
        <v>20365</v>
      </c>
      <c r="K174" s="31" t="n">
        <v>14767</v>
      </c>
      <c r="L174" s="31" t="n">
        <v>11606.25</v>
      </c>
      <c r="M174" s="36" t="n">
        <v>1.249173881985027</v>
      </c>
      <c r="N174" s="36" t="n">
        <v>1.274122347684082</v>
      </c>
      <c r="O174" s="36" t="n">
        <v>0.2021013597033374</v>
      </c>
      <c r="P174" s="36" t="n">
        <v>1.377750611246944</v>
      </c>
      <c r="Q174" s="36" t="n">
        <v>1.175615212527964</v>
      </c>
      <c r="R174" s="36" t="n">
        <v>-0.04493002700712001</v>
      </c>
      <c r="S174" s="36" t="n">
        <v>0.317126024243245</v>
      </c>
      <c r="T174" s="36" t="n">
        <v>0.6758212170166935</v>
      </c>
      <c r="U174" s="31" t="n">
        <v>22650</v>
      </c>
      <c r="V174" s="31" t="n">
        <v>7430</v>
      </c>
      <c r="W174" s="36" t="n">
        <v>-0.1412803532008831</v>
      </c>
      <c r="X174" s="36" t="n">
        <v>1.617765814266487</v>
      </c>
      <c r="Y174" s="31" t="n">
        <v>17780753</v>
      </c>
      <c r="Z174" s="31" t="n">
        <v>345835645850</v>
      </c>
      <c r="AA174" s="31" t="n">
        <v>26210061450</v>
      </c>
      <c r="AB174" s="31" t="n">
        <v>105921249866</v>
      </c>
      <c r="AC174" s="36" t="n">
        <v>0.07578762271766555</v>
      </c>
      <c r="AD174" s="29" t="inlineStr">
        <is>
          <t>yfinance_download</t>
        </is>
      </c>
      <c r="AE174" s="29" t="inlineStr">
        <is>
          <t>102120.KQ</t>
        </is>
      </c>
    </row>
    <row r="175" ht="24" customHeight="1">
      <c r="A175" s="24" t="inlineStr">
        <is>
          <t>2024-02-22</t>
        </is>
      </c>
      <c r="B175" s="30" t="n">
        <v>20500</v>
      </c>
      <c r="C175" s="30" t="n">
        <v>21800</v>
      </c>
      <c r="D175" s="30" t="n">
        <v>19940</v>
      </c>
      <c r="E175" s="30" t="n">
        <v>21700</v>
      </c>
      <c r="F175" s="30" t="n">
        <v>21700</v>
      </c>
      <c r="G175" s="30" t="n">
        <v>3581458</v>
      </c>
      <c r="H175" s="35" t="n">
        <v>0.1156812339331619</v>
      </c>
      <c r="I175" s="35" t="n">
        <v>-0.04194260485651213</v>
      </c>
      <c r="J175" s="30" t="n">
        <v>20453.5</v>
      </c>
      <c r="K175" s="30" t="n">
        <v>14993.16666666667</v>
      </c>
      <c r="L175" s="30" t="n">
        <v>11710.83333333333</v>
      </c>
      <c r="M175" s="35" t="n">
        <v>1.026572529020744</v>
      </c>
      <c r="N175" s="35" t="n">
        <v>1.288870646169372</v>
      </c>
      <c r="O175" s="35" t="n">
        <v>0.08881083793276479</v>
      </c>
      <c r="P175" s="35" t="n">
        <v>1.669126691266912</v>
      </c>
      <c r="Q175" s="35" t="n">
        <v>1.371584699453552</v>
      </c>
      <c r="R175" s="35" t="n">
        <v>0.06094311487031567</v>
      </c>
      <c r="S175" s="35" t="n">
        <v>0.4473260040685201</v>
      </c>
      <c r="T175" s="35" t="n">
        <v>0.8529851277307336</v>
      </c>
      <c r="U175" s="30" t="n">
        <v>22650</v>
      </c>
      <c r="V175" s="30" t="n">
        <v>7430</v>
      </c>
      <c r="W175" s="35" t="n">
        <v>-0.04194260485651213</v>
      </c>
      <c r="X175" s="35" t="n">
        <v>1.920592193808883</v>
      </c>
      <c r="Y175" s="30" t="n">
        <v>17780753</v>
      </c>
      <c r="Z175" s="30" t="n">
        <v>385842340100</v>
      </c>
      <c r="AA175" s="30" t="n">
        <v>77717638600</v>
      </c>
      <c r="AB175" s="30" t="n">
        <v>84502728276</v>
      </c>
      <c r="AC175" s="35" t="n">
        <v>0.2014233030513387</v>
      </c>
      <c r="AD175" s="24" t="inlineStr">
        <is>
          <t>yfinance_download</t>
        </is>
      </c>
      <c r="AE175" s="24" t="inlineStr">
        <is>
          <t>102120.KQ</t>
        </is>
      </c>
    </row>
    <row r="176" ht="24" customHeight="1">
      <c r="A176" s="29" t="inlineStr">
        <is>
          <t>2024-02-23</t>
        </is>
      </c>
      <c r="B176" s="31" t="n">
        <v>21800</v>
      </c>
      <c r="C176" s="31" t="n">
        <v>21800</v>
      </c>
      <c r="D176" s="31" t="n">
        <v>20000</v>
      </c>
      <c r="E176" s="31" t="n">
        <v>20000</v>
      </c>
      <c r="F176" s="31" t="n">
        <v>20000</v>
      </c>
      <c r="G176" s="31" t="n">
        <v>2525087</v>
      </c>
      <c r="H176" s="36" t="n">
        <v>-0.07834101382488479</v>
      </c>
      <c r="I176" s="36" t="n">
        <v>-0.1169977924944813</v>
      </c>
      <c r="J176" s="31" t="n">
        <v>20413.5</v>
      </c>
      <c r="K176" s="31" t="n">
        <v>15190.83333333333</v>
      </c>
      <c r="L176" s="31" t="n">
        <v>11802.83333333333</v>
      </c>
      <c r="M176" s="36" t="n">
        <v>1.058552516714565</v>
      </c>
      <c r="N176" s="36" t="n">
        <v>1.303908202966736</v>
      </c>
      <c r="O176" s="36" t="n">
        <v>-0.03846153846153844</v>
      </c>
      <c r="P176" s="36" t="n">
        <v>1.457002457002457</v>
      </c>
      <c r="Q176" s="36" t="n">
        <v>1.232142857142857</v>
      </c>
      <c r="R176" s="36" t="n">
        <v>-0.02025620300291475</v>
      </c>
      <c r="S176" s="36" t="n">
        <v>0.3165834659059739</v>
      </c>
      <c r="T176" s="36" t="n">
        <v>0.6945083807560331</v>
      </c>
      <c r="U176" s="31" t="n">
        <v>22650</v>
      </c>
      <c r="V176" s="31" t="n">
        <v>7430</v>
      </c>
      <c r="W176" s="36" t="n">
        <v>-0.1169977924944813</v>
      </c>
      <c r="X176" s="36" t="n">
        <v>1.69179004037685</v>
      </c>
      <c r="Y176" s="31" t="n">
        <v>17780753</v>
      </c>
      <c r="Z176" s="31" t="n">
        <v>355615060000</v>
      </c>
      <c r="AA176" s="31" t="n">
        <v>50501740000</v>
      </c>
      <c r="AB176" s="31" t="n">
        <v>77110204716</v>
      </c>
      <c r="AC176" s="36" t="n">
        <v>0.1420123770911164</v>
      </c>
      <c r="AD176" s="29" t="inlineStr">
        <is>
          <t>yfinance_download</t>
        </is>
      </c>
      <c r="AE176" s="29" t="inlineStr">
        <is>
          <t>102120.KQ</t>
        </is>
      </c>
    </row>
    <row r="177" ht="24" customHeight="1">
      <c r="A177" s="24" t="inlineStr">
        <is>
          <t>2024-02-26</t>
        </is>
      </c>
      <c r="B177" s="30" t="n">
        <v>20200</v>
      </c>
      <c r="C177" s="30" t="n">
        <v>20200</v>
      </c>
      <c r="D177" s="30" t="n">
        <v>18870</v>
      </c>
      <c r="E177" s="30" t="n">
        <v>18960</v>
      </c>
      <c r="F177" s="30" t="n">
        <v>18960</v>
      </c>
      <c r="G177" s="30" t="n">
        <v>1258107</v>
      </c>
      <c r="H177" s="35" t="n">
        <v>-0.05200000000000005</v>
      </c>
      <c r="I177" s="35" t="n">
        <v>-0.1629139072847682</v>
      </c>
      <c r="J177" s="30" t="n">
        <v>20261.5</v>
      </c>
      <c r="K177" s="30" t="n">
        <v>15352.5</v>
      </c>
      <c r="L177" s="30" t="n">
        <v>11884.5</v>
      </c>
      <c r="M177" s="35" t="n">
        <v>1.051137364849284</v>
      </c>
      <c r="N177" s="35" t="n">
        <v>1.287512310885667</v>
      </c>
      <c r="O177" s="35" t="n">
        <v>-0.1381818181818182</v>
      </c>
      <c r="P177" s="35" t="n">
        <v>1.047516198704104</v>
      </c>
      <c r="Q177" s="35" t="n">
        <v>1.069868995633188</v>
      </c>
      <c r="R177" s="35" t="n">
        <v>-0.06423512573106627</v>
      </c>
      <c r="S177" s="35" t="n">
        <v>0.2349780166096727</v>
      </c>
      <c r="T177" s="35" t="n">
        <v>0.5953552947115992</v>
      </c>
      <c r="U177" s="30" t="n">
        <v>22650</v>
      </c>
      <c r="V177" s="30" t="n">
        <v>7430</v>
      </c>
      <c r="W177" s="35" t="n">
        <v>-0.1629139072847682</v>
      </c>
      <c r="X177" s="35" t="n">
        <v>1.551816958277255</v>
      </c>
      <c r="Y177" s="30" t="n">
        <v>17780753</v>
      </c>
      <c r="Z177" s="30" t="n">
        <v>337123076880</v>
      </c>
      <c r="AA177" s="30" t="n">
        <v>23853708720</v>
      </c>
      <c r="AB177" s="30" t="n">
        <v>65551646152</v>
      </c>
      <c r="AC177" s="35" t="n">
        <v>0.07075667717784506</v>
      </c>
      <c r="AD177" s="24" t="inlineStr">
        <is>
          <t>yfinance_download</t>
        </is>
      </c>
      <c r="AE177" s="24" t="inlineStr">
        <is>
          <t>102120.KQ</t>
        </is>
      </c>
    </row>
    <row r="178" ht="24" customHeight="1">
      <c r="A178" s="29" t="inlineStr">
        <is>
          <t>2024-02-27</t>
        </is>
      </c>
      <c r="B178" s="31" t="n">
        <v>18860</v>
      </c>
      <c r="C178" s="31" t="n">
        <v>18960</v>
      </c>
      <c r="D178" s="31" t="n">
        <v>18030</v>
      </c>
      <c r="E178" s="31" t="n">
        <v>18300</v>
      </c>
      <c r="F178" s="31" t="n">
        <v>18300</v>
      </c>
      <c r="G178" s="31" t="n">
        <v>1111736</v>
      </c>
      <c r="H178" s="36" t="n">
        <v>-0.03481012658227844</v>
      </c>
      <c r="I178" s="36" t="n">
        <v>-0.1920529801324503</v>
      </c>
      <c r="J178" s="31" t="n">
        <v>20044</v>
      </c>
      <c r="K178" s="31" t="n">
        <v>15505.66666666667</v>
      </c>
      <c r="L178" s="31" t="n">
        <v>11958.75</v>
      </c>
      <c r="M178" s="36" t="n">
        <v>1.047681328304678</v>
      </c>
      <c r="N178" s="36" t="n">
        <v>1.289999993649845</v>
      </c>
      <c r="O178" s="36" t="n">
        <v>-0.1920529801324503</v>
      </c>
      <c r="P178" s="36" t="n">
        <v>1.008781558726674</v>
      </c>
      <c r="Q178" s="36" t="n">
        <v>0.9488817891373802</v>
      </c>
      <c r="R178" s="36" t="n">
        <v>-0.08700858112153265</v>
      </c>
      <c r="S178" s="36" t="n">
        <v>0.1802136853193457</v>
      </c>
      <c r="T178" s="36" t="n">
        <v>0.5302602696770147</v>
      </c>
      <c r="U178" s="31" t="n">
        <v>22650</v>
      </c>
      <c r="V178" s="31" t="n">
        <v>7430</v>
      </c>
      <c r="W178" s="36" t="n">
        <v>-0.1920529801324503</v>
      </c>
      <c r="X178" s="36" t="n">
        <v>1.462987886944819</v>
      </c>
      <c r="Y178" s="31" t="n">
        <v>17780753</v>
      </c>
      <c r="Z178" s="31" t="n">
        <v>325387779900</v>
      </c>
      <c r="AA178" s="31" t="n">
        <v>20344768800</v>
      </c>
      <c r="AB178" s="31" t="n">
        <v>60735553762</v>
      </c>
      <c r="AC178" s="36" t="n">
        <v>0.06252468610300138</v>
      </c>
      <c r="AD178" s="29" t="inlineStr">
        <is>
          <t>yfinance_download</t>
        </is>
      </c>
      <c r="AE178" s="29" t="inlineStr">
        <is>
          <t>102120.KQ</t>
        </is>
      </c>
    </row>
    <row r="179" ht="24" customHeight="1">
      <c r="A179" s="24" t="inlineStr">
        <is>
          <t>2024-02-28</t>
        </is>
      </c>
      <c r="B179" s="30" t="n">
        <v>18100</v>
      </c>
      <c r="C179" s="30" t="n">
        <v>18600</v>
      </c>
      <c r="D179" s="30" t="n">
        <v>17680</v>
      </c>
      <c r="E179" s="30" t="n">
        <v>17770</v>
      </c>
      <c r="F179" s="30" t="n">
        <v>17770</v>
      </c>
      <c r="G179" s="30" t="n">
        <v>958390</v>
      </c>
      <c r="H179" s="35" t="n">
        <v>-0.02896174863387979</v>
      </c>
      <c r="I179" s="35" t="n">
        <v>-0.2154525386313466</v>
      </c>
      <c r="J179" s="30" t="n">
        <v>19840</v>
      </c>
      <c r="K179" s="30" t="n">
        <v>15653.16666666667</v>
      </c>
      <c r="L179" s="30" t="n">
        <v>12028.08333333333</v>
      </c>
      <c r="M179" s="35" t="n">
        <v>1.045763049757765</v>
      </c>
      <c r="N179" s="35" t="n">
        <v>1.291059980510421</v>
      </c>
      <c r="O179" s="35" t="n">
        <v>-0.1867276887871854</v>
      </c>
      <c r="P179" s="35" t="n">
        <v>0.992152466367713</v>
      </c>
      <c r="Q179" s="35" t="n">
        <v>0.8804232804232803</v>
      </c>
      <c r="R179" s="35" t="n">
        <v>-0.1043346774193549</v>
      </c>
      <c r="S179" s="35" t="n">
        <v>0.1352335523163577</v>
      </c>
      <c r="T179" s="35" t="n">
        <v>0.477375863430721</v>
      </c>
      <c r="U179" s="30" t="n">
        <v>22650</v>
      </c>
      <c r="V179" s="30" t="n">
        <v>7430</v>
      </c>
      <c r="W179" s="35" t="n">
        <v>-0.2154525386313466</v>
      </c>
      <c r="X179" s="35" t="n">
        <v>1.391655450874832</v>
      </c>
      <c r="Y179" s="30" t="n">
        <v>17780753</v>
      </c>
      <c r="Z179" s="30" t="n">
        <v>315963980810</v>
      </c>
      <c r="AA179" s="30" t="n">
        <v>17030590300</v>
      </c>
      <c r="AB179" s="30" t="n">
        <v>57169106139.5</v>
      </c>
      <c r="AC179" s="35" t="n">
        <v>0.05390041692834943</v>
      </c>
      <c r="AD179" s="24" t="inlineStr">
        <is>
          <t>yfinance_download</t>
        </is>
      </c>
      <c r="AE179" s="24" t="inlineStr">
        <is>
          <t>102120.KQ</t>
        </is>
      </c>
    </row>
    <row r="180" ht="24" customHeight="1">
      <c r="A180" s="29" t="inlineStr">
        <is>
          <t>2024-02-29</t>
        </is>
      </c>
      <c r="B180" s="31" t="n">
        <v>16560</v>
      </c>
      <c r="C180" s="31" t="n">
        <v>17500</v>
      </c>
      <c r="D180" s="31" t="n">
        <v>16460</v>
      </c>
      <c r="E180" s="31" t="n">
        <v>17060</v>
      </c>
      <c r="F180" s="31" t="n">
        <v>17060</v>
      </c>
      <c r="G180" s="31" t="n">
        <v>1493185</v>
      </c>
      <c r="H180" s="36" t="n">
        <v>-0.039954980303883</v>
      </c>
      <c r="I180" s="36" t="n">
        <v>-0.2467991169977924</v>
      </c>
      <c r="J180" s="31" t="n">
        <v>19565.5</v>
      </c>
      <c r="K180" s="31" t="n">
        <v>15788.66666666667</v>
      </c>
      <c r="L180" s="31" t="n">
        <v>12093.41666666667</v>
      </c>
      <c r="M180" s="36" t="n">
        <v>1.040258429269969</v>
      </c>
      <c r="N180" s="36" t="n">
        <v>1.295619353582652</v>
      </c>
      <c r="O180" s="36" t="n">
        <v>-0.2434589800443459</v>
      </c>
      <c r="P180" s="36" t="n">
        <v>0.9104143337066068</v>
      </c>
      <c r="Q180" s="36" t="n">
        <v>0.8503253796095445</v>
      </c>
      <c r="R180" s="36" t="n">
        <v>-0.1280570391761008</v>
      </c>
      <c r="S180" s="36" t="n">
        <v>0.08052189334121529</v>
      </c>
      <c r="T180" s="36" t="n">
        <v>0.4106848767580158</v>
      </c>
      <c r="U180" s="31" t="n">
        <v>22650</v>
      </c>
      <c r="V180" s="31" t="n">
        <v>7430</v>
      </c>
      <c r="W180" s="36" t="n">
        <v>-0.2467991169977924</v>
      </c>
      <c r="X180" s="36" t="n">
        <v>1.296096904441454</v>
      </c>
      <c r="Y180" s="31" t="n">
        <v>17780753</v>
      </c>
      <c r="Z180" s="31" t="n">
        <v>303339646180</v>
      </c>
      <c r="AA180" s="31" t="n">
        <v>25473736100</v>
      </c>
      <c r="AB180" s="31" t="n">
        <v>55500541104.5</v>
      </c>
      <c r="AC180" s="36" t="n">
        <v>0.08397760207343299</v>
      </c>
      <c r="AD180" s="29" t="inlineStr">
        <is>
          <t>yfinance_download</t>
        </is>
      </c>
      <c r="AE180" s="29" t="inlineStr">
        <is>
          <t>102120.KQ</t>
        </is>
      </c>
    </row>
    <row r="181" ht="24" customHeight="1">
      <c r="A181" s="24" t="inlineStr">
        <is>
          <t>2024-03-04</t>
        </is>
      </c>
      <c r="B181" s="30" t="n">
        <v>17680</v>
      </c>
      <c r="C181" s="30" t="n">
        <v>18410</v>
      </c>
      <c r="D181" s="30" t="n">
        <v>17560</v>
      </c>
      <c r="E181" s="30" t="n">
        <v>18340</v>
      </c>
      <c r="F181" s="30" t="n">
        <v>18340</v>
      </c>
      <c r="G181" s="30" t="n">
        <v>1765987</v>
      </c>
      <c r="H181" s="35" t="n">
        <v>0.0750293083235638</v>
      </c>
      <c r="I181" s="35" t="n">
        <v>-0.1902869757174392</v>
      </c>
      <c r="J181" s="30" t="n">
        <v>19546.5</v>
      </c>
      <c r="K181" s="30" t="n">
        <v>15947.66666666667</v>
      </c>
      <c r="L181" s="30" t="n">
        <v>12166.5</v>
      </c>
      <c r="M181" s="35" t="n">
        <v>0.9004977222014268</v>
      </c>
      <c r="N181" s="35" t="n">
        <v>1.300229490322518</v>
      </c>
      <c r="O181" s="35" t="n">
        <v>-0.02029914529914534</v>
      </c>
      <c r="P181" s="35" t="n">
        <v>1.084090909090909</v>
      </c>
      <c r="Q181" s="35" t="n">
        <v>0.916405433646813</v>
      </c>
      <c r="R181" s="35" t="n">
        <v>-0.06172460542808178</v>
      </c>
      <c r="S181" s="35" t="n">
        <v>0.1500114959346195</v>
      </c>
      <c r="T181" s="35" t="n">
        <v>0.5074179098343814</v>
      </c>
      <c r="U181" s="30" t="n">
        <v>22650</v>
      </c>
      <c r="V181" s="30" t="n">
        <v>7430</v>
      </c>
      <c r="W181" s="35" t="n">
        <v>-0.1902869757174392</v>
      </c>
      <c r="X181" s="35" t="n">
        <v>1.468371467025572</v>
      </c>
      <c r="Y181" s="30" t="n">
        <v>17780753</v>
      </c>
      <c r="Z181" s="30" t="n">
        <v>326099010020</v>
      </c>
      <c r="AA181" s="30" t="n">
        <v>32388201580</v>
      </c>
      <c r="AB181" s="30" t="n">
        <v>54174103655.5</v>
      </c>
      <c r="AC181" s="35" t="n">
        <v>0.09932014690266493</v>
      </c>
      <c r="AD181" s="24" t="inlineStr">
        <is>
          <t>yfinance_download</t>
        </is>
      </c>
      <c r="AE181" s="24" t="inlineStr">
        <is>
          <t>102120.KQ</t>
        </is>
      </c>
    </row>
    <row r="182" ht="24" customHeight="1">
      <c r="A182" s="29" t="inlineStr">
        <is>
          <t>2024-03-05</t>
        </is>
      </c>
      <c r="B182" s="31" t="n">
        <v>18410</v>
      </c>
      <c r="C182" s="31" t="n">
        <v>18480</v>
      </c>
      <c r="D182" s="31" t="n">
        <v>17460</v>
      </c>
      <c r="E182" s="31" t="n">
        <v>17510</v>
      </c>
      <c r="F182" s="31" t="n">
        <v>17510</v>
      </c>
      <c r="G182" s="31" t="n">
        <v>947006</v>
      </c>
      <c r="H182" s="36" t="n">
        <v>-0.04525627044711011</v>
      </c>
      <c r="I182" s="36" t="n">
        <v>-0.2269315673289183</v>
      </c>
      <c r="J182" s="31" t="n">
        <v>19428.5</v>
      </c>
      <c r="K182" s="31" t="n">
        <v>16092.5</v>
      </c>
      <c r="L182" s="31" t="n">
        <v>12232.16666666667</v>
      </c>
      <c r="M182" s="36" t="n">
        <v>0.8841915084840944</v>
      </c>
      <c r="N182" s="36" t="n">
        <v>1.305906560228594</v>
      </c>
      <c r="O182" s="36" t="n">
        <v>-0.1187720181177655</v>
      </c>
      <c r="P182" s="36" t="n">
        <v>0.9852607709750567</v>
      </c>
      <c r="Q182" s="36" t="n">
        <v>0.818276220145379</v>
      </c>
      <c r="R182" s="36" t="n">
        <v>-0.09874668656870067</v>
      </c>
      <c r="S182" s="36" t="n">
        <v>0.0880845114183626</v>
      </c>
      <c r="T182" s="36" t="n">
        <v>0.4314716662351996</v>
      </c>
      <c r="U182" s="31" t="n">
        <v>22650</v>
      </c>
      <c r="V182" s="31" t="n">
        <v>7430</v>
      </c>
      <c r="W182" s="36" t="n">
        <v>-0.2269315673289183</v>
      </c>
      <c r="X182" s="36" t="n">
        <v>1.356662180349933</v>
      </c>
      <c r="Y182" s="31" t="n">
        <v>17780753</v>
      </c>
      <c r="Z182" s="31" t="n">
        <v>311340985030</v>
      </c>
      <c r="AA182" s="31" t="n">
        <v>16582075060</v>
      </c>
      <c r="AB182" s="31" t="n">
        <v>51016575056</v>
      </c>
      <c r="AC182" s="36" t="n">
        <v>0.05326017407699213</v>
      </c>
      <c r="AD182" s="29" t="inlineStr">
        <is>
          <t>yfinance_download</t>
        </is>
      </c>
      <c r="AE182" s="29" t="inlineStr">
        <is>
          <t>102120.KQ</t>
        </is>
      </c>
    </row>
    <row r="183" ht="24" customHeight="1">
      <c r="A183" s="24" t="inlineStr">
        <is>
          <t>2024-03-06</t>
        </is>
      </c>
      <c r="B183" s="30" t="n">
        <v>17180</v>
      </c>
      <c r="C183" s="30" t="n">
        <v>17740</v>
      </c>
      <c r="D183" s="30" t="n">
        <v>17000</v>
      </c>
      <c r="E183" s="30" t="n">
        <v>17590</v>
      </c>
      <c r="F183" s="30" t="n">
        <v>17590</v>
      </c>
      <c r="G183" s="30" t="n">
        <v>695246</v>
      </c>
      <c r="H183" s="35" t="n">
        <v>0.004568817818389581</v>
      </c>
      <c r="I183" s="35" t="n">
        <v>-0.2233995584988963</v>
      </c>
      <c r="J183" s="30" t="n">
        <v>19348</v>
      </c>
      <c r="K183" s="30" t="n">
        <v>16242.66666666667</v>
      </c>
      <c r="L183" s="30" t="n">
        <v>12299.25</v>
      </c>
      <c r="M183" s="35" t="n">
        <v>0.8780421333523708</v>
      </c>
      <c r="N183" s="35" t="n">
        <v>1.303186870161465</v>
      </c>
      <c r="O183" s="35" t="n">
        <v>-0.08385416666666667</v>
      </c>
      <c r="P183" s="35" t="n">
        <v>1.05011655011655</v>
      </c>
      <c r="Q183" s="35" t="n">
        <v>0.8438155136268344</v>
      </c>
      <c r="R183" s="35" t="n">
        <v>-0.09086210461029565</v>
      </c>
      <c r="S183" s="35" t="n">
        <v>0.08295025447381388</v>
      </c>
      <c r="T183" s="35" t="n">
        <v>0.4301685062097282</v>
      </c>
      <c r="U183" s="30" t="n">
        <v>22650</v>
      </c>
      <c r="V183" s="30" t="n">
        <v>7430</v>
      </c>
      <c r="W183" s="35" t="n">
        <v>-0.2233995584988963</v>
      </c>
      <c r="X183" s="35" t="n">
        <v>1.36742934051144</v>
      </c>
      <c r="Y183" s="30" t="n">
        <v>17780753</v>
      </c>
      <c r="Z183" s="30" t="n">
        <v>312763445270</v>
      </c>
      <c r="AA183" s="30" t="n">
        <v>12229377140</v>
      </c>
      <c r="AB183" s="30" t="n">
        <v>48881688393</v>
      </c>
      <c r="AC183" s="35" t="n">
        <v>0.03910104369595596</v>
      </c>
      <c r="AD183" s="24" t="inlineStr">
        <is>
          <t>yfinance_download</t>
        </is>
      </c>
      <c r="AE183" s="24" t="inlineStr">
        <is>
          <t>102120.KQ</t>
        </is>
      </c>
    </row>
    <row r="184" ht="24" customHeight="1">
      <c r="A184" s="29" t="inlineStr">
        <is>
          <t>2024-03-07</t>
        </is>
      </c>
      <c r="B184" s="31" t="n">
        <v>18060</v>
      </c>
      <c r="C184" s="31" t="n">
        <v>18260</v>
      </c>
      <c r="D184" s="31" t="n">
        <v>17090</v>
      </c>
      <c r="E184" s="31" t="n">
        <v>17190</v>
      </c>
      <c r="F184" s="31" t="n">
        <v>17190</v>
      </c>
      <c r="G184" s="31" t="n">
        <v>939068</v>
      </c>
      <c r="H184" s="36" t="n">
        <v>-0.02274019329164301</v>
      </c>
      <c r="I184" s="36" t="n">
        <v>-0.2410596026490066</v>
      </c>
      <c r="J184" s="31" t="n">
        <v>19263.5</v>
      </c>
      <c r="K184" s="31" t="n">
        <v>16380.83333333333</v>
      </c>
      <c r="L184" s="31" t="n">
        <v>12364.25</v>
      </c>
      <c r="M184" s="36" t="n">
        <v>0.8795640568429434</v>
      </c>
      <c r="N184" s="36" t="n">
        <v>1.304623289512777</v>
      </c>
      <c r="O184" s="36" t="n">
        <v>-0.08951271186440679</v>
      </c>
      <c r="P184" s="36" t="n">
        <v>0.9314606741573033</v>
      </c>
      <c r="Q184" s="36" t="n">
        <v>0.8306709265175718</v>
      </c>
      <c r="R184" s="36" t="n">
        <v>-0.1076387987645028</v>
      </c>
      <c r="S184" s="36" t="n">
        <v>0.04939716131657934</v>
      </c>
      <c r="T184" s="36" t="n">
        <v>0.3902986432658673</v>
      </c>
      <c r="U184" s="31" t="n">
        <v>22650</v>
      </c>
      <c r="V184" s="31" t="n">
        <v>7430</v>
      </c>
      <c r="W184" s="36" t="n">
        <v>-0.2410596026490066</v>
      </c>
      <c r="X184" s="36" t="n">
        <v>1.313593539703903</v>
      </c>
      <c r="Y184" s="31" t="n">
        <v>17780753</v>
      </c>
      <c r="Z184" s="31" t="n">
        <v>305651144070</v>
      </c>
      <c r="AA184" s="31" t="n">
        <v>16142578920</v>
      </c>
      <c r="AB184" s="31" t="n">
        <v>48439719371</v>
      </c>
      <c r="AC184" s="36" t="n">
        <v>0.05281373629114582</v>
      </c>
      <c r="AD184" s="29" t="inlineStr">
        <is>
          <t>yfinance_download</t>
        </is>
      </c>
      <c r="AE184" s="29" t="inlineStr">
        <is>
          <t>102120.KQ</t>
        </is>
      </c>
    </row>
    <row r="185" ht="24" customHeight="1">
      <c r="A185" s="24" t="inlineStr">
        <is>
          <t>2024-03-08</t>
        </is>
      </c>
      <c r="B185" s="30" t="n">
        <v>17520</v>
      </c>
      <c r="C185" s="30" t="n">
        <v>17990</v>
      </c>
      <c r="D185" s="30" t="n">
        <v>16750</v>
      </c>
      <c r="E185" s="30" t="n">
        <v>17010</v>
      </c>
      <c r="F185" s="30" t="n">
        <v>17010</v>
      </c>
      <c r="G185" s="30" t="n">
        <v>835817</v>
      </c>
      <c r="H185" s="35" t="n">
        <v>-0.01047120418848169</v>
      </c>
      <c r="I185" s="35" t="n">
        <v>-0.2490066225165563</v>
      </c>
      <c r="J185" s="30" t="n">
        <v>19156.5</v>
      </c>
      <c r="K185" s="30" t="n">
        <v>16511</v>
      </c>
      <c r="L185" s="30" t="n">
        <v>12427.91666666667</v>
      </c>
      <c r="M185" s="35" t="n">
        <v>0.8774000668528029</v>
      </c>
      <c r="N185" s="35" t="n">
        <v>1.304926299111504</v>
      </c>
      <c r="O185" s="35" t="n">
        <v>-0.1117493472584856</v>
      </c>
      <c r="P185" s="35" t="n">
        <v>0.8489130434782608</v>
      </c>
      <c r="Q185" s="35" t="n">
        <v>0.8153681963713981</v>
      </c>
      <c r="R185" s="35" t="n">
        <v>-0.1120507399577167</v>
      </c>
      <c r="S185" s="35" t="n">
        <v>0.03022227605838523</v>
      </c>
      <c r="T185" s="35" t="n">
        <v>0.3686927951185168</v>
      </c>
      <c r="U185" s="30" t="n">
        <v>22650</v>
      </c>
      <c r="V185" s="30" t="n">
        <v>7430</v>
      </c>
      <c r="W185" s="35" t="n">
        <v>-0.2490066225165563</v>
      </c>
      <c r="X185" s="35" t="n">
        <v>1.289367429340512</v>
      </c>
      <c r="Y185" s="30" t="n">
        <v>17780753</v>
      </c>
      <c r="Z185" s="30" t="n">
        <v>302450608530</v>
      </c>
      <c r="AA185" s="30" t="n">
        <v>14217247170</v>
      </c>
      <c r="AB185" s="30" t="n">
        <v>43477797337</v>
      </c>
      <c r="AC185" s="35" t="n">
        <v>0.04700683936164008</v>
      </c>
      <c r="AD185" s="24" t="inlineStr">
        <is>
          <t>yfinance_download</t>
        </is>
      </c>
      <c r="AE185" s="24" t="inlineStr">
        <is>
          <t>102120.KQ</t>
        </is>
      </c>
    </row>
    <row r="186" ht="24" customHeight="1">
      <c r="A186" s="29" t="inlineStr">
        <is>
          <t>2024-03-11</t>
        </is>
      </c>
      <c r="B186" s="31" t="n">
        <v>16450</v>
      </c>
      <c r="C186" s="31" t="n">
        <v>17130</v>
      </c>
      <c r="D186" s="31" t="n">
        <v>16150</v>
      </c>
      <c r="E186" s="31" t="n">
        <v>16590</v>
      </c>
      <c r="F186" s="31" t="n">
        <v>16590</v>
      </c>
      <c r="G186" s="31" t="n">
        <v>901977</v>
      </c>
      <c r="H186" s="36" t="n">
        <v>-0.02469135802469136</v>
      </c>
      <c r="I186" s="36" t="n">
        <v>-0.2675496688741722</v>
      </c>
      <c r="J186" s="31" t="n">
        <v>19086</v>
      </c>
      <c r="K186" s="31" t="n">
        <v>16627.16666666667</v>
      </c>
      <c r="L186" s="31" t="n">
        <v>12490.08333333333</v>
      </c>
      <c r="M186" s="36" t="n">
        <v>0.8564282013888459</v>
      </c>
      <c r="N186" s="36" t="n">
        <v>1.305450865807008</v>
      </c>
      <c r="O186" s="36" t="n">
        <v>-0.07833333333333337</v>
      </c>
      <c r="P186" s="36" t="n">
        <v>0.7245322245322245</v>
      </c>
      <c r="Q186" s="36" t="n">
        <v>0.8170865279299013</v>
      </c>
      <c r="R186" s="36" t="n">
        <v>-0.1307764853819554</v>
      </c>
      <c r="S186" s="36" t="n">
        <v>-0.002235297655443502</v>
      </c>
      <c r="T186" s="36" t="n">
        <v>0.3282537479733922</v>
      </c>
      <c r="U186" s="31" t="n">
        <v>22650</v>
      </c>
      <c r="V186" s="31" t="n">
        <v>7430</v>
      </c>
      <c r="W186" s="36" t="n">
        <v>-0.2675496688741722</v>
      </c>
      <c r="X186" s="36" t="n">
        <v>1.232839838492597</v>
      </c>
      <c r="Y186" s="31" t="n">
        <v>17780753</v>
      </c>
      <c r="Z186" s="31" t="n">
        <v>294982692270</v>
      </c>
      <c r="AA186" s="31" t="n">
        <v>14963798430</v>
      </c>
      <c r="AB186" s="31" t="n">
        <v>42698003258.5</v>
      </c>
      <c r="AC186" s="36" t="n">
        <v>0.05072771664957047</v>
      </c>
      <c r="AD186" s="29" t="inlineStr">
        <is>
          <t>yfinance_download</t>
        </is>
      </c>
      <c r="AE186" s="29" t="inlineStr">
        <is>
          <t>102120.KQ</t>
        </is>
      </c>
    </row>
    <row r="187" ht="24" customHeight="1">
      <c r="A187" s="24" t="inlineStr">
        <is>
          <t>2024-03-12</t>
        </is>
      </c>
      <c r="B187" s="30" t="n">
        <v>16420</v>
      </c>
      <c r="C187" s="30" t="n">
        <v>16420</v>
      </c>
      <c r="D187" s="30" t="n">
        <v>15930</v>
      </c>
      <c r="E187" s="30" t="n">
        <v>16370</v>
      </c>
      <c r="F187" s="30" t="n">
        <v>16370</v>
      </c>
      <c r="G187" s="30" t="n">
        <v>912062</v>
      </c>
      <c r="H187" s="35" t="n">
        <v>-0.0132610006027728</v>
      </c>
      <c r="I187" s="35" t="n">
        <v>-0.2772626931567329</v>
      </c>
      <c r="J187" s="30" t="n">
        <v>18919.5</v>
      </c>
      <c r="K187" s="30" t="n">
        <v>16737.16666666667</v>
      </c>
      <c r="L187" s="30" t="n">
        <v>12550.75</v>
      </c>
      <c r="M187" s="35" t="n">
        <v>0.7759036689160854</v>
      </c>
      <c r="N187" s="35" t="n">
        <v>1.306466889213487</v>
      </c>
      <c r="O187" s="35" t="n">
        <v>-0.1690355329949239</v>
      </c>
      <c r="P187" s="35" t="n">
        <v>0.6755373592630503</v>
      </c>
      <c r="Q187" s="35" t="n">
        <v>0.8008800880088009</v>
      </c>
      <c r="R187" s="35" t="n">
        <v>-0.1347551468062053</v>
      </c>
      <c r="S187" s="35" t="n">
        <v>-0.0219372056202265</v>
      </c>
      <c r="T187" s="35" t="n">
        <v>0.3043045236340458</v>
      </c>
      <c r="U187" s="30" t="n">
        <v>22650</v>
      </c>
      <c r="V187" s="30" t="n">
        <v>7430</v>
      </c>
      <c r="W187" s="35" t="n">
        <v>-0.2772626931567329</v>
      </c>
      <c r="X187" s="35" t="n">
        <v>1.203230148048452</v>
      </c>
      <c r="Y187" s="30" t="n">
        <v>17780753</v>
      </c>
      <c r="Z187" s="30" t="n">
        <v>291070926610</v>
      </c>
      <c r="AA187" s="30" t="n">
        <v>14930454940</v>
      </c>
      <c r="AB187" s="30" t="n">
        <v>36692164840.5</v>
      </c>
      <c r="AC187" s="35" t="n">
        <v>0.05129490297739359</v>
      </c>
      <c r="AD187" s="24" t="inlineStr">
        <is>
          <t>yfinance_download</t>
        </is>
      </c>
      <c r="AE187" s="24" t="inlineStr">
        <is>
          <t>102120.KQ</t>
        </is>
      </c>
    </row>
    <row r="188" ht="24" customHeight="1">
      <c r="A188" s="29" t="inlineStr">
        <is>
          <t>2024-03-13</t>
        </is>
      </c>
      <c r="B188" s="31" t="n">
        <v>16890</v>
      </c>
      <c r="C188" s="31" t="n">
        <v>16900</v>
      </c>
      <c r="D188" s="31" t="n">
        <v>15750</v>
      </c>
      <c r="E188" s="31" t="n">
        <v>16100</v>
      </c>
      <c r="F188" s="31" t="n">
        <v>16100</v>
      </c>
      <c r="G188" s="31" t="n">
        <v>899702</v>
      </c>
      <c r="H188" s="36" t="n">
        <v>-0.01649358582773364</v>
      </c>
      <c r="I188" s="36" t="n">
        <v>-0.2891832229580574</v>
      </c>
      <c r="J188" s="31" t="n">
        <v>18724.5</v>
      </c>
      <c r="K188" s="31" t="n">
        <v>16813.33333333333</v>
      </c>
      <c r="L188" s="31" t="n">
        <v>12609.25</v>
      </c>
      <c r="M188" s="36" t="n">
        <v>0.7714072109610233</v>
      </c>
      <c r="N188" s="36" t="n">
        <v>1.259483242850308</v>
      </c>
      <c r="O188" s="36" t="n">
        <v>-0.195</v>
      </c>
      <c r="P188" s="36" t="n">
        <v>0.3963573287077189</v>
      </c>
      <c r="Q188" s="36" t="n">
        <v>0.7731277533039647</v>
      </c>
      <c r="R188" s="36" t="n">
        <v>-0.1401639563139203</v>
      </c>
      <c r="S188" s="36" t="n">
        <v>-0.04242664551942898</v>
      </c>
      <c r="T188" s="36" t="n">
        <v>0.2768404147748678</v>
      </c>
      <c r="U188" s="31" t="n">
        <v>22650</v>
      </c>
      <c r="V188" s="31" t="n">
        <v>7430</v>
      </c>
      <c r="W188" s="36" t="n">
        <v>-0.2891832229580574</v>
      </c>
      <c r="X188" s="36" t="n">
        <v>1.166890982503365</v>
      </c>
      <c r="Y188" s="31" t="n">
        <v>17780753</v>
      </c>
      <c r="Z188" s="31" t="n">
        <v>286270123300</v>
      </c>
      <c r="AA188" s="31" t="n">
        <v>14485202200</v>
      </c>
      <c r="AB188" s="31" t="n">
        <v>33839560950.5</v>
      </c>
      <c r="AC188" s="36" t="n">
        <v>0.05059976931235702</v>
      </c>
      <c r="AD188" s="29" t="inlineStr">
        <is>
          <t>yfinance_download</t>
        </is>
      </c>
      <c r="AE188" s="29" t="inlineStr">
        <is>
          <t>102120.KQ</t>
        </is>
      </c>
    </row>
    <row r="189" ht="24" customHeight="1">
      <c r="A189" s="24" t="inlineStr">
        <is>
          <t>2024-03-14</t>
        </is>
      </c>
      <c r="B189" s="30" t="n">
        <v>15900</v>
      </c>
      <c r="C189" s="30" t="n">
        <v>16070</v>
      </c>
      <c r="D189" s="30" t="n">
        <v>15600</v>
      </c>
      <c r="E189" s="30" t="n">
        <v>15620</v>
      </c>
      <c r="F189" s="30" t="n">
        <v>15620</v>
      </c>
      <c r="G189" s="30" t="n">
        <v>511098</v>
      </c>
      <c r="H189" s="35" t="n">
        <v>-0.02981366459627333</v>
      </c>
      <c r="I189" s="35" t="n">
        <v>-0.3103752759381898</v>
      </c>
      <c r="J189" s="30" t="n">
        <v>18433</v>
      </c>
      <c r="K189" s="30" t="n">
        <v>16882</v>
      </c>
      <c r="L189" s="30" t="n">
        <v>12663.75</v>
      </c>
      <c r="M189" s="35" t="n">
        <v>0.7098539035010595</v>
      </c>
      <c r="N189" s="35" t="n">
        <v>1.261732508577488</v>
      </c>
      <c r="O189" s="35" t="n">
        <v>-0.2717948717948718</v>
      </c>
      <c r="P189" s="35" t="n">
        <v>0.3582608695652174</v>
      </c>
      <c r="Q189" s="35" t="n">
        <v>0.7202643171806167</v>
      </c>
      <c r="R189" s="35" t="n">
        <v>-0.1526067379156947</v>
      </c>
      <c r="S189" s="35" t="n">
        <v>-0.07475417604549228</v>
      </c>
      <c r="T189" s="35" t="n">
        <v>0.233441910966341</v>
      </c>
      <c r="U189" s="30" t="n">
        <v>22650</v>
      </c>
      <c r="V189" s="30" t="n">
        <v>7430</v>
      </c>
      <c r="W189" s="35" t="n">
        <v>-0.3103752759381898</v>
      </c>
      <c r="X189" s="35" t="n">
        <v>1.10228802153432</v>
      </c>
      <c r="Y189" s="30" t="n">
        <v>17780753</v>
      </c>
      <c r="Z189" s="30" t="n">
        <v>277735361860</v>
      </c>
      <c r="AA189" s="30" t="n">
        <v>7983350760</v>
      </c>
      <c r="AB189" s="30" t="n">
        <v>29122300743.5</v>
      </c>
      <c r="AC189" s="35" t="n">
        <v>0.02874445193631563</v>
      </c>
      <c r="AD189" s="24" t="inlineStr">
        <is>
          <t>yfinance_download</t>
        </is>
      </c>
      <c r="AE189" s="24" t="inlineStr">
        <is>
          <t>102120.KQ</t>
        </is>
      </c>
    </row>
    <row r="190" ht="24" customHeight="1">
      <c r="A190" s="29" t="inlineStr">
        <is>
          <t>2024-03-15</t>
        </is>
      </c>
      <c r="B190" s="31" t="n">
        <v>15460</v>
      </c>
      <c r="C190" s="31" t="n">
        <v>15710</v>
      </c>
      <c r="D190" s="31" t="n">
        <v>15220</v>
      </c>
      <c r="E190" s="31" t="n">
        <v>15670</v>
      </c>
      <c r="F190" s="31" t="n">
        <v>15670</v>
      </c>
      <c r="G190" s="31" t="n">
        <v>613257</v>
      </c>
      <c r="H190" s="36" t="n">
        <v>0.003201024327784907</v>
      </c>
      <c r="I190" s="36" t="n">
        <v>-0.308167770419426</v>
      </c>
      <c r="J190" s="31" t="n">
        <v>18136.5</v>
      </c>
      <c r="K190" s="31" t="n">
        <v>16953.83333333333</v>
      </c>
      <c r="L190" s="31" t="n">
        <v>12716.83333333333</v>
      </c>
      <c r="M190" s="36" t="n">
        <v>0.7084353782046766</v>
      </c>
      <c r="N190" s="36" t="n">
        <v>1.261077805008616</v>
      </c>
      <c r="O190" s="36" t="n">
        <v>-0.274537037037037</v>
      </c>
      <c r="P190" s="36" t="n">
        <v>0.3794014084507042</v>
      </c>
      <c r="Q190" s="36" t="n">
        <v>0.6849462365591399</v>
      </c>
      <c r="R190" s="36" t="n">
        <v>-0.1359964712044771</v>
      </c>
      <c r="S190" s="36" t="n">
        <v>-0.07572525387572127</v>
      </c>
      <c r="T190" s="36" t="n">
        <v>0.2322250036041467</v>
      </c>
      <c r="U190" s="31" t="n">
        <v>22650</v>
      </c>
      <c r="V190" s="31" t="n">
        <v>7430</v>
      </c>
      <c r="W190" s="36" t="n">
        <v>-0.308167770419426</v>
      </c>
      <c r="X190" s="36" t="n">
        <v>1.109017496635262</v>
      </c>
      <c r="Y190" s="31" t="n">
        <v>17780753</v>
      </c>
      <c r="Z190" s="31" t="n">
        <v>278624399510</v>
      </c>
      <c r="AA190" s="31" t="n">
        <v>9609737190</v>
      </c>
      <c r="AB190" s="31" t="n">
        <v>24490084883</v>
      </c>
      <c r="AC190" s="36" t="n">
        <v>0.03448993414395892</v>
      </c>
      <c r="AD190" s="29" t="inlineStr">
        <is>
          <t>yfinance_download</t>
        </is>
      </c>
      <c r="AE190" s="29" t="inlineStr">
        <is>
          <t>102120.KQ</t>
        </is>
      </c>
    </row>
    <row r="191" ht="24" customHeight="1">
      <c r="A191" s="24" t="inlineStr">
        <is>
          <t>2024-03-18</t>
        </is>
      </c>
      <c r="B191" s="30" t="n">
        <v>15720</v>
      </c>
      <c r="C191" s="30" t="n">
        <v>15880</v>
      </c>
      <c r="D191" s="30" t="n">
        <v>15370</v>
      </c>
      <c r="E191" s="30" t="n">
        <v>15830</v>
      </c>
      <c r="F191" s="30" t="n">
        <v>15830</v>
      </c>
      <c r="G191" s="30" t="n">
        <v>374540</v>
      </c>
      <c r="H191" s="35" t="n">
        <v>0.0102105934907466</v>
      </c>
      <c r="I191" s="35" t="n">
        <v>-0.3011037527593819</v>
      </c>
      <c r="J191" s="30" t="n">
        <v>17908</v>
      </c>
      <c r="K191" s="30" t="n">
        <v>17037.66666666667</v>
      </c>
      <c r="L191" s="30" t="n">
        <v>12771.33333333333</v>
      </c>
      <c r="M191" s="35" t="n">
        <v>0.6968686652390884</v>
      </c>
      <c r="N191" s="35" t="n">
        <v>1.255370056117297</v>
      </c>
      <c r="O191" s="35" t="n">
        <v>-0.2240196078431372</v>
      </c>
      <c r="P191" s="35" t="n">
        <v>0.4657407407407408</v>
      </c>
      <c r="Q191" s="35" t="n">
        <v>0.7039827771797631</v>
      </c>
      <c r="R191" s="35" t="n">
        <v>-0.1160375251284342</v>
      </c>
      <c r="S191" s="35" t="n">
        <v>-0.07088216305049599</v>
      </c>
      <c r="T191" s="35" t="n">
        <v>0.2394947016756277</v>
      </c>
      <c r="U191" s="30" t="n">
        <v>22650</v>
      </c>
      <c r="V191" s="30" t="n">
        <v>7430</v>
      </c>
      <c r="W191" s="35" t="n">
        <v>-0.3011037527593819</v>
      </c>
      <c r="X191" s="35" t="n">
        <v>1.130551816958277</v>
      </c>
      <c r="Y191" s="30" t="n">
        <v>17780753</v>
      </c>
      <c r="Z191" s="30" t="n">
        <v>281469319990</v>
      </c>
      <c r="AA191" s="30" t="n">
        <v>5928968200</v>
      </c>
      <c r="AB191" s="30" t="n">
        <v>22956114733</v>
      </c>
      <c r="AC191" s="35" t="n">
        <v>0.02106434974941725</v>
      </c>
      <c r="AD191" s="24" t="inlineStr">
        <is>
          <t>yfinance_download</t>
        </is>
      </c>
      <c r="AE191" s="24" t="inlineStr">
        <is>
          <t>102120.KQ</t>
        </is>
      </c>
    </row>
    <row r="192" ht="24" customHeight="1">
      <c r="A192" s="29" t="inlineStr">
        <is>
          <t>2024-03-19</t>
        </is>
      </c>
      <c r="B192" s="31" t="n">
        <v>15970</v>
      </c>
      <c r="C192" s="31" t="n">
        <v>16470</v>
      </c>
      <c r="D192" s="31" t="n">
        <v>15580</v>
      </c>
      <c r="E192" s="31" t="n">
        <v>15680</v>
      </c>
      <c r="F192" s="31" t="n">
        <v>15680</v>
      </c>
      <c r="G192" s="31" t="n">
        <v>735243</v>
      </c>
      <c r="H192" s="36" t="n">
        <v>-0.009475679090334754</v>
      </c>
      <c r="I192" s="36" t="n">
        <v>-0.3077262693156733</v>
      </c>
      <c r="J192" s="31" t="n">
        <v>17647</v>
      </c>
      <c r="K192" s="31" t="n">
        <v>17111.33333333333</v>
      </c>
      <c r="L192" s="31" t="n">
        <v>12826.75</v>
      </c>
      <c r="M192" s="36" t="n">
        <v>0.6837586426891672</v>
      </c>
      <c r="N192" s="36" t="n">
        <v>1.253990502275285</v>
      </c>
      <c r="O192" s="36" t="n">
        <v>-0.2497607655502392</v>
      </c>
      <c r="P192" s="36" t="n">
        <v>0.3925399644760212</v>
      </c>
      <c r="Q192" s="36" t="n">
        <v>0.7364341085271318</v>
      </c>
      <c r="R192" s="36" t="n">
        <v>-0.1114637048790162</v>
      </c>
      <c r="S192" s="36" t="n">
        <v>-0.08364826430825567</v>
      </c>
      <c r="T192" s="36" t="n">
        <v>0.2224452803710995</v>
      </c>
      <c r="U192" s="31" t="n">
        <v>22650</v>
      </c>
      <c r="V192" s="31" t="n">
        <v>7430</v>
      </c>
      <c r="W192" s="36" t="n">
        <v>-0.3077262693156733</v>
      </c>
      <c r="X192" s="36" t="n">
        <v>1.110363391655451</v>
      </c>
      <c r="Y192" s="31" t="n">
        <v>17780753</v>
      </c>
      <c r="Z192" s="31" t="n">
        <v>278802207040</v>
      </c>
      <c r="AA192" s="31" t="n">
        <v>11528610240</v>
      </c>
      <c r="AB192" s="31" t="n">
        <v>21702600810</v>
      </c>
      <c r="AC192" s="36" t="n">
        <v>0.04135049848563781</v>
      </c>
      <c r="AD192" s="29" t="inlineStr">
        <is>
          <t>yfinance_download</t>
        </is>
      </c>
      <c r="AE192" s="29" t="inlineStr">
        <is>
          <t>102120.KQ</t>
        </is>
      </c>
    </row>
    <row r="193" ht="24" customHeight="1">
      <c r="A193" s="24" t="inlineStr">
        <is>
          <t>2024-03-20</t>
        </is>
      </c>
      <c r="B193" s="30" t="n">
        <v>15900</v>
      </c>
      <c r="C193" s="30" t="n">
        <v>16400</v>
      </c>
      <c r="D193" s="30" t="n">
        <v>15750</v>
      </c>
      <c r="E193" s="30" t="n">
        <v>15980</v>
      </c>
      <c r="F193" s="30" t="n">
        <v>15980</v>
      </c>
      <c r="G193" s="30" t="n">
        <v>757782</v>
      </c>
      <c r="H193" s="35" t="n">
        <v>0.01913265306122458</v>
      </c>
      <c r="I193" s="35" t="n">
        <v>-0.2944812362030905</v>
      </c>
      <c r="J193" s="30" t="n">
        <v>17436</v>
      </c>
      <c r="K193" s="30" t="n">
        <v>17133.83333333333</v>
      </c>
      <c r="L193" s="30" t="n">
        <v>12884.66666666667</v>
      </c>
      <c r="M193" s="35" t="n">
        <v>0.688756933691535</v>
      </c>
      <c r="N193" s="35" t="n">
        <v>1.098108895508674</v>
      </c>
      <c r="O193" s="35" t="n">
        <v>-0.2089108910891089</v>
      </c>
      <c r="P193" s="35" t="n">
        <v>0.09227614490772384</v>
      </c>
      <c r="Q193" s="35" t="n">
        <v>0.769656699889258</v>
      </c>
      <c r="R193" s="35" t="n">
        <v>-0.08350539114475797</v>
      </c>
      <c r="S193" s="35" t="n">
        <v>-0.06734239273172959</v>
      </c>
      <c r="T193" s="35" t="n">
        <v>0.2402338697159414</v>
      </c>
      <c r="U193" s="30" t="n">
        <v>22650</v>
      </c>
      <c r="V193" s="30" t="n">
        <v>7430</v>
      </c>
      <c r="W193" s="35" t="n">
        <v>-0.2944812362030905</v>
      </c>
      <c r="X193" s="35" t="n">
        <v>1.150740242261103</v>
      </c>
      <c r="Y193" s="30" t="n">
        <v>17780753</v>
      </c>
      <c r="Z193" s="30" t="n">
        <v>284136432940</v>
      </c>
      <c r="AA193" s="30" t="n">
        <v>12109356360</v>
      </c>
      <c r="AB193" s="30" t="n">
        <v>21211560108</v>
      </c>
      <c r="AC193" s="35" t="n">
        <v>0.04261810509374941</v>
      </c>
      <c r="AD193" s="24" t="inlineStr">
        <is>
          <t>yfinance_download</t>
        </is>
      </c>
      <c r="AE193" s="24" t="inlineStr">
        <is>
          <t>102120.KQ</t>
        </is>
      </c>
    </row>
    <row r="194" ht="24" customHeight="1">
      <c r="A194" s="29" t="inlineStr">
        <is>
          <t>2024-03-21</t>
        </is>
      </c>
      <c r="B194" s="31" t="n">
        <v>16300</v>
      </c>
      <c r="C194" s="31" t="n">
        <v>16400</v>
      </c>
      <c r="D194" s="31" t="n">
        <v>15800</v>
      </c>
      <c r="E194" s="31" t="n">
        <v>15820</v>
      </c>
      <c r="F194" s="31" t="n">
        <v>15820</v>
      </c>
      <c r="G194" s="31" t="n">
        <v>442818</v>
      </c>
      <c r="H194" s="36" t="n">
        <v>-0.01001251564455574</v>
      </c>
      <c r="I194" s="36" t="n">
        <v>-0.3015452538631347</v>
      </c>
      <c r="J194" s="31" t="n">
        <v>17254.5</v>
      </c>
      <c r="K194" s="31" t="n">
        <v>17150.5</v>
      </c>
      <c r="L194" s="31" t="n">
        <v>12941.75</v>
      </c>
      <c r="M194" s="36" t="n">
        <v>0.681687199675602</v>
      </c>
      <c r="N194" s="36" t="n">
        <v>1.098287199567283</v>
      </c>
      <c r="O194" s="36" t="n">
        <v>-0.1866323907455013</v>
      </c>
      <c r="P194" s="36" t="n">
        <v>0.06747638326585692</v>
      </c>
      <c r="Q194" s="36" t="n">
        <v>0.7636566332218506</v>
      </c>
      <c r="R194" s="36" t="n">
        <v>-0.08313773218580656</v>
      </c>
      <c r="S194" s="36" t="n">
        <v>-0.07757791318037377</v>
      </c>
      <c r="T194" s="36" t="n">
        <v>0.2224003708926536</v>
      </c>
      <c r="U194" s="31" t="n">
        <v>22650</v>
      </c>
      <c r="V194" s="31" t="n">
        <v>7430</v>
      </c>
      <c r="W194" s="36" t="n">
        <v>-0.3015452538631347</v>
      </c>
      <c r="X194" s="36" t="n">
        <v>1.129205921938089</v>
      </c>
      <c r="Y194" s="31" t="n">
        <v>17780753</v>
      </c>
      <c r="Z194" s="31" t="n">
        <v>281291512460</v>
      </c>
      <c r="AA194" s="31" t="n">
        <v>7005380760</v>
      </c>
      <c r="AB194" s="31" t="n">
        <v>20251326073.5</v>
      </c>
      <c r="AC194" s="36" t="n">
        <v>0.02490434460227866</v>
      </c>
      <c r="AD194" s="29" t="inlineStr">
        <is>
          <t>yfinance_download</t>
        </is>
      </c>
      <c r="AE194" s="29" t="inlineStr">
        <is>
          <t>102120.KQ</t>
        </is>
      </c>
    </row>
    <row r="195" ht="24" customHeight="1">
      <c r="A195" s="24" t="inlineStr">
        <is>
          <t>2024-03-22</t>
        </is>
      </c>
      <c r="B195" s="30" t="n">
        <v>15820</v>
      </c>
      <c r="C195" s="30" t="n">
        <v>15940</v>
      </c>
      <c r="D195" s="30" t="n">
        <v>15070</v>
      </c>
      <c r="E195" s="30" t="n">
        <v>15120</v>
      </c>
      <c r="F195" s="30" t="n">
        <v>15120</v>
      </c>
      <c r="G195" s="30" t="n">
        <v>598380</v>
      </c>
      <c r="H195" s="35" t="n">
        <v>-0.04424778761061943</v>
      </c>
      <c r="I195" s="35" t="n">
        <v>-0.3324503311258278</v>
      </c>
      <c r="J195" s="30" t="n">
        <v>16925.5</v>
      </c>
      <c r="K195" s="30" t="n">
        <v>17165.83333333333</v>
      </c>
      <c r="L195" s="30" t="n">
        <v>12994.66666666667</v>
      </c>
      <c r="M195" s="35" t="n">
        <v>0.5061997800863178</v>
      </c>
      <c r="N195" s="35" t="n">
        <v>1.098721589382671</v>
      </c>
      <c r="O195" s="35" t="n">
        <v>-0.3032258064516129</v>
      </c>
      <c r="P195" s="35" t="n">
        <v>0.06478873239436611</v>
      </c>
      <c r="Q195" s="35" t="n">
        <v>0.7240592930444698</v>
      </c>
      <c r="R195" s="35" t="n">
        <v>-0.1066733626776166</v>
      </c>
      <c r="S195" s="35" t="n">
        <v>-0.1191805427447934</v>
      </c>
      <c r="T195" s="35" t="n">
        <v>0.1635542786784323</v>
      </c>
      <c r="U195" s="30" t="n">
        <v>22650</v>
      </c>
      <c r="V195" s="30" t="n">
        <v>7430</v>
      </c>
      <c r="W195" s="35" t="n">
        <v>-0.3324503311258278</v>
      </c>
      <c r="X195" s="35" t="n">
        <v>1.034993270524899</v>
      </c>
      <c r="Y195" s="30" t="n">
        <v>17780753</v>
      </c>
      <c r="Z195" s="30" t="n">
        <v>268844985360</v>
      </c>
      <c r="AA195" s="30" t="n">
        <v>9047505600</v>
      </c>
      <c r="AB195" s="30" t="n">
        <v>16817819423.5</v>
      </c>
      <c r="AC195" s="35" t="n">
        <v>0.03365324291946466</v>
      </c>
      <c r="AD195" s="24" t="inlineStr">
        <is>
          <t>yfinance_download</t>
        </is>
      </c>
      <c r="AE195" s="24" t="inlineStr">
        <is>
          <t>102120.KQ</t>
        </is>
      </c>
    </row>
    <row r="196" ht="24" customHeight="1">
      <c r="A196" s="29" t="inlineStr">
        <is>
          <t>2024-03-25</t>
        </is>
      </c>
      <c r="B196" s="31" t="n">
        <v>15130</v>
      </c>
      <c r="C196" s="31" t="n">
        <v>15240</v>
      </c>
      <c r="D196" s="31" t="n">
        <v>14800</v>
      </c>
      <c r="E196" s="31" t="n">
        <v>14900</v>
      </c>
      <c r="F196" s="31" t="n">
        <v>14900</v>
      </c>
      <c r="G196" s="31" t="n">
        <v>496054</v>
      </c>
      <c r="H196" s="36" t="n">
        <v>-0.01455026455026454</v>
      </c>
      <c r="I196" s="36" t="n">
        <v>-0.3421633554083885</v>
      </c>
      <c r="J196" s="31" t="n">
        <v>16670.5</v>
      </c>
      <c r="K196" s="31" t="n">
        <v>17175.66666666667</v>
      </c>
      <c r="L196" s="31" t="n">
        <v>13046.16666666667</v>
      </c>
      <c r="M196" s="36" t="n">
        <v>0.4521321091552733</v>
      </c>
      <c r="N196" s="36" t="n">
        <v>1.099281791723393</v>
      </c>
      <c r="O196" s="36" t="n">
        <v>-0.255</v>
      </c>
      <c r="P196" s="36" t="n">
        <v>0.04122990915443747</v>
      </c>
      <c r="Q196" s="36" t="n">
        <v>0.7087155963302751</v>
      </c>
      <c r="R196" s="36" t="n">
        <v>-0.1062055727182748</v>
      </c>
      <c r="S196" s="36" t="n">
        <v>-0.1324936441089138</v>
      </c>
      <c r="T196" s="36" t="n">
        <v>0.1420979342591056</v>
      </c>
      <c r="U196" s="31" t="n">
        <v>22650</v>
      </c>
      <c r="V196" s="31" t="n">
        <v>7430</v>
      </c>
      <c r="W196" s="36" t="n">
        <v>-0.3421633554083885</v>
      </c>
      <c r="X196" s="36" t="n">
        <v>1.005383580080754</v>
      </c>
      <c r="Y196" s="31" t="n">
        <v>17780753</v>
      </c>
      <c r="Z196" s="31" t="n">
        <v>264933219700</v>
      </c>
      <c r="AA196" s="31" t="n">
        <v>7391204600</v>
      </c>
      <c r="AB196" s="31" t="n">
        <v>14662292653.5</v>
      </c>
      <c r="AC196" s="36" t="n">
        <v>0.02789836853366109</v>
      </c>
      <c r="AD196" s="29" t="inlineStr">
        <is>
          <t>yfinance_download</t>
        </is>
      </c>
      <c r="AE196" s="29" t="inlineStr">
        <is>
          <t>102120.KQ</t>
        </is>
      </c>
    </row>
    <row r="197" ht="24" customHeight="1">
      <c r="A197" s="24" t="inlineStr">
        <is>
          <t>2024-03-26</t>
        </is>
      </c>
      <c r="B197" s="30" t="n">
        <v>15050</v>
      </c>
      <c r="C197" s="30" t="n">
        <v>15780</v>
      </c>
      <c r="D197" s="30" t="n">
        <v>15050</v>
      </c>
      <c r="E197" s="30" t="n">
        <v>15200</v>
      </c>
      <c r="F197" s="30" t="n">
        <v>15200</v>
      </c>
      <c r="G197" s="30" t="n">
        <v>796131</v>
      </c>
      <c r="H197" s="35" t="n">
        <v>0.02013422818791955</v>
      </c>
      <c r="I197" s="35" t="n">
        <v>-0.3289183222958058</v>
      </c>
      <c r="J197" s="30" t="n">
        <v>16482.5</v>
      </c>
      <c r="K197" s="30" t="n">
        <v>17179</v>
      </c>
      <c r="L197" s="30" t="n">
        <v>13101</v>
      </c>
      <c r="M197" s="35" t="n">
        <v>0.4446506656325555</v>
      </c>
      <c r="N197" s="35" t="n">
        <v>1.095835570566396</v>
      </c>
      <c r="O197" s="35" t="n">
        <v>-0.1983122362869199</v>
      </c>
      <c r="P197" s="35" t="n">
        <v>0.01333333333333342</v>
      </c>
      <c r="Q197" s="35" t="n">
        <v>0.7633410672853829</v>
      </c>
      <c r="R197" s="35" t="n">
        <v>-0.0778097982708934</v>
      </c>
      <c r="S197" s="35" t="n">
        <v>-0.1151987892193957</v>
      </c>
      <c r="T197" s="35" t="n">
        <v>0.1602167773452408</v>
      </c>
      <c r="U197" s="30" t="n">
        <v>22650</v>
      </c>
      <c r="V197" s="30" t="n">
        <v>7430</v>
      </c>
      <c r="W197" s="35" t="n">
        <v>-0.3289183222958058</v>
      </c>
      <c r="X197" s="35" t="n">
        <v>1.045760430686407</v>
      </c>
      <c r="Y197" s="30" t="n">
        <v>17780753</v>
      </c>
      <c r="Z197" s="30" t="n">
        <v>270267445600</v>
      </c>
      <c r="AA197" s="30" t="n">
        <v>12101191200</v>
      </c>
      <c r="AB197" s="30" t="n">
        <v>14074666777.5</v>
      </c>
      <c r="AC197" s="35" t="n">
        <v>0.04477487539475972</v>
      </c>
      <c r="AD197" s="24" t="inlineStr">
        <is>
          <t>yfinance_download</t>
        </is>
      </c>
      <c r="AE197" s="24" t="inlineStr">
        <is>
          <t>102120.KQ</t>
        </is>
      </c>
    </row>
    <row r="198" ht="24" customHeight="1">
      <c r="A198" s="29" t="inlineStr">
        <is>
          <t>2024-03-27</t>
        </is>
      </c>
      <c r="B198" s="31" t="n">
        <v>15060</v>
      </c>
      <c r="C198" s="31" t="n">
        <v>15160</v>
      </c>
      <c r="D198" s="31" t="n">
        <v>14500</v>
      </c>
      <c r="E198" s="31" t="n">
        <v>14790</v>
      </c>
      <c r="F198" s="31" t="n">
        <v>14790</v>
      </c>
      <c r="G198" s="31" t="n">
        <v>536585</v>
      </c>
      <c r="H198" s="36" t="n">
        <v>-0.02697368421052626</v>
      </c>
      <c r="I198" s="36" t="n">
        <v>-0.3470198675496688</v>
      </c>
      <c r="J198" s="31" t="n">
        <v>16307</v>
      </c>
      <c r="K198" s="31" t="n">
        <v>17190.5</v>
      </c>
      <c r="L198" s="31" t="n">
        <v>13155.83333333333</v>
      </c>
      <c r="M198" s="36" t="n">
        <v>0.4398410988821483</v>
      </c>
      <c r="N198" s="36" t="n">
        <v>1.089875989002979</v>
      </c>
      <c r="O198" s="36" t="n">
        <v>-0.1918032786885245</v>
      </c>
      <c r="P198" s="36" t="n">
        <v>0.04893617021276597</v>
      </c>
      <c r="Q198" s="36" t="n">
        <v>0.8014616321559074</v>
      </c>
      <c r="R198" s="36" t="n">
        <v>-0.0930275341877721</v>
      </c>
      <c r="S198" s="36" t="n">
        <v>-0.139641080829528</v>
      </c>
      <c r="T198" s="36" t="n">
        <v>0.1242161271932603</v>
      </c>
      <c r="U198" s="31" t="n">
        <v>22650</v>
      </c>
      <c r="V198" s="31" t="n">
        <v>7430</v>
      </c>
      <c r="W198" s="36" t="n">
        <v>-0.3470198675496688</v>
      </c>
      <c r="X198" s="36" t="n">
        <v>0.990578734858681</v>
      </c>
      <c r="Y198" s="31" t="n">
        <v>17780753</v>
      </c>
      <c r="Z198" s="31" t="n">
        <v>262977336870</v>
      </c>
      <c r="AA198" s="31" t="n">
        <v>7936092150</v>
      </c>
      <c r="AB198" s="31" t="n">
        <v>13454232945</v>
      </c>
      <c r="AC198" s="36" t="n">
        <v>0.03017785579722074</v>
      </c>
      <c r="AD198" s="29" t="inlineStr">
        <is>
          <t>yfinance_download</t>
        </is>
      </c>
      <c r="AE198" s="29" t="inlineStr">
        <is>
          <t>102120.KQ</t>
        </is>
      </c>
    </row>
    <row r="199" ht="24" customHeight="1">
      <c r="A199" s="24" t="inlineStr">
        <is>
          <t>2024-03-28</t>
        </is>
      </c>
      <c r="B199" s="30" t="n">
        <v>14900</v>
      </c>
      <c r="C199" s="30" t="n">
        <v>16950</v>
      </c>
      <c r="D199" s="30" t="n">
        <v>14610</v>
      </c>
      <c r="E199" s="30" t="n">
        <v>16350</v>
      </c>
      <c r="F199" s="30" t="n">
        <v>16350</v>
      </c>
      <c r="G199" s="30" t="n">
        <v>6743500</v>
      </c>
      <c r="H199" s="35" t="n">
        <v>0.1054766734279919</v>
      </c>
      <c r="I199" s="35" t="n">
        <v>-0.2781456953642384</v>
      </c>
      <c r="J199" s="30" t="n">
        <v>16236</v>
      </c>
      <c r="K199" s="30" t="n">
        <v>17232.83333333333</v>
      </c>
      <c r="L199" s="30" t="n">
        <v>13222.41666666667</v>
      </c>
      <c r="M199" s="35" t="n">
        <v>0.5953093390823915</v>
      </c>
      <c r="N199" s="35" t="n">
        <v>1.10870366148691</v>
      </c>
      <c r="O199" s="35" t="n">
        <v>-0.0799099606077659</v>
      </c>
      <c r="P199" s="35" t="n">
        <v>0.1839246922519913</v>
      </c>
      <c r="Q199" s="35" t="n">
        <v>0.9557416267942584</v>
      </c>
      <c r="R199" s="35" t="n">
        <v>0.007021433850702197</v>
      </c>
      <c r="S199" s="35" t="n">
        <v>-0.05122972620095356</v>
      </c>
      <c r="T199" s="35" t="n">
        <v>0.2365364374893648</v>
      </c>
      <c r="U199" s="30" t="n">
        <v>22650</v>
      </c>
      <c r="V199" s="30" t="n">
        <v>7430</v>
      </c>
      <c r="W199" s="35" t="n">
        <v>-0.2781456953642384</v>
      </c>
      <c r="X199" s="35" t="n">
        <v>1.200538358008076</v>
      </c>
      <c r="Y199" s="30" t="n">
        <v>17780753</v>
      </c>
      <c r="Z199" s="30" t="n">
        <v>290715311550</v>
      </c>
      <c r="AA199" s="30" t="n">
        <v>110256225000</v>
      </c>
      <c r="AB199" s="30" t="n">
        <v>18115514680</v>
      </c>
      <c r="AC199" s="35" t="n">
        <v>0.3792584037357698</v>
      </c>
      <c r="AD199" s="24" t="inlineStr">
        <is>
          <t>yfinance_download</t>
        </is>
      </c>
      <c r="AE199" s="24" t="inlineStr">
        <is>
          <t>102120.KQ</t>
        </is>
      </c>
    </row>
    <row r="200" ht="24" customHeight="1">
      <c r="A200" s="29" t="inlineStr">
        <is>
          <t>2024-03-29</t>
        </is>
      </c>
      <c r="B200" s="31" t="n">
        <v>16200</v>
      </c>
      <c r="C200" s="31" t="n">
        <v>16350</v>
      </c>
      <c r="D200" s="31" t="n">
        <v>15700</v>
      </c>
      <c r="E200" s="31" t="n">
        <v>15970</v>
      </c>
      <c r="F200" s="31" t="n">
        <v>15970</v>
      </c>
      <c r="G200" s="31" t="n">
        <v>1389774</v>
      </c>
      <c r="H200" s="36" t="n">
        <v>-0.02324159021406724</v>
      </c>
      <c r="I200" s="36" t="n">
        <v>-0.2949227373068433</v>
      </c>
      <c r="J200" s="31" t="n">
        <v>16181.5</v>
      </c>
      <c r="K200" s="31" t="n">
        <v>17253.66666666667</v>
      </c>
      <c r="L200" s="31" t="n">
        <v>13288.41666666667</v>
      </c>
      <c r="M200" s="36" t="n">
        <v>0.584598089915648</v>
      </c>
      <c r="N200" s="36" t="n">
        <v>1.10284751692498</v>
      </c>
      <c r="O200" s="36" t="n">
        <v>-0.06389214536928489</v>
      </c>
      <c r="P200" s="36" t="n">
        <v>0.08491847826086962</v>
      </c>
      <c r="Q200" s="36" t="n">
        <v>0.9838509316770185</v>
      </c>
      <c r="R200" s="36" t="n">
        <v>-0.01307048172295522</v>
      </c>
      <c r="S200" s="36" t="n">
        <v>-0.07439964452000547</v>
      </c>
      <c r="T200" s="36" t="n">
        <v>0.2017985588952784</v>
      </c>
      <c r="U200" s="31" t="n">
        <v>22650</v>
      </c>
      <c r="V200" s="31" t="n">
        <v>7430</v>
      </c>
      <c r="W200" s="36" t="n">
        <v>-0.2949227373068433</v>
      </c>
      <c r="X200" s="36" t="n">
        <v>1.149394347240915</v>
      </c>
      <c r="Y200" s="31" t="n">
        <v>17780753</v>
      </c>
      <c r="Z200" s="31" t="n">
        <v>283958625410</v>
      </c>
      <c r="AA200" s="31" t="n">
        <v>22194690780</v>
      </c>
      <c r="AB200" s="31" t="n">
        <v>17951562414</v>
      </c>
      <c r="AC200" s="36" t="n">
        <v>0.07816170664988148</v>
      </c>
      <c r="AD200" s="29" t="inlineStr">
        <is>
          <t>yfinance_download</t>
        </is>
      </c>
      <c r="AE200" s="29" t="inlineStr">
        <is>
          <t>102120.KQ</t>
        </is>
      </c>
    </row>
    <row r="201" ht="24" customHeight="1">
      <c r="A201" s="24" t="inlineStr">
        <is>
          <t>2024-04-01</t>
        </is>
      </c>
      <c r="B201" s="30" t="n">
        <v>16150</v>
      </c>
      <c r="C201" s="30" t="n">
        <v>18200</v>
      </c>
      <c r="D201" s="30" t="n">
        <v>16040</v>
      </c>
      <c r="E201" s="30" t="n">
        <v>17180</v>
      </c>
      <c r="F201" s="30" t="n">
        <v>17180</v>
      </c>
      <c r="G201" s="30" t="n">
        <v>5976967</v>
      </c>
      <c r="H201" s="35" t="n">
        <v>0.07576706324358162</v>
      </c>
      <c r="I201" s="35" t="n">
        <v>-0.2415011037527593</v>
      </c>
      <c r="J201" s="30" t="n">
        <v>16123.5</v>
      </c>
      <c r="K201" s="30" t="n">
        <v>17285.33333333333</v>
      </c>
      <c r="L201" s="30" t="n">
        <v>13364.5</v>
      </c>
      <c r="M201" s="35" t="n">
        <v>0.5859030873899486</v>
      </c>
      <c r="N201" s="35" t="n">
        <v>1.11056611618941</v>
      </c>
      <c r="O201" s="35" t="n">
        <v>-0.06324972737186474</v>
      </c>
      <c r="P201" s="35" t="n">
        <v>0.12434554973822</v>
      </c>
      <c r="Q201" s="35" t="n">
        <v>1.13416149068323</v>
      </c>
      <c r="R201" s="35" t="n">
        <v>0.06552547523800656</v>
      </c>
      <c r="S201" s="35" t="n">
        <v>-0.006093798210428769</v>
      </c>
      <c r="T201" s="35" t="n">
        <v>0.2854951550750122</v>
      </c>
      <c r="U201" s="30" t="n">
        <v>22650</v>
      </c>
      <c r="V201" s="30" t="n">
        <v>7430</v>
      </c>
      <c r="W201" s="35" t="n">
        <v>-0.2415011037527593</v>
      </c>
      <c r="X201" s="35" t="n">
        <v>1.312247644683715</v>
      </c>
      <c r="Y201" s="30" t="n">
        <v>17780753</v>
      </c>
      <c r="Z201" s="30" t="n">
        <v>305473336540</v>
      </c>
      <c r="AA201" s="30" t="n">
        <v>102684293060</v>
      </c>
      <c r="AB201" s="30" t="n">
        <v>21466366988</v>
      </c>
      <c r="AC201" s="35" t="n">
        <v>0.3361481372583039</v>
      </c>
      <c r="AD201" s="24" t="inlineStr">
        <is>
          <t>yfinance_download</t>
        </is>
      </c>
      <c r="AE201" s="24" t="inlineStr">
        <is>
          <t>102120.KQ</t>
        </is>
      </c>
    </row>
    <row r="202" ht="24" customHeight="1">
      <c r="A202" s="29" t="inlineStr">
        <is>
          <t>2024-04-02</t>
        </is>
      </c>
      <c r="B202" s="31" t="n">
        <v>17620</v>
      </c>
      <c r="C202" s="31" t="n">
        <v>19860</v>
      </c>
      <c r="D202" s="31" t="n">
        <v>17610</v>
      </c>
      <c r="E202" s="31" t="n">
        <v>18320</v>
      </c>
      <c r="F202" s="31" t="n">
        <v>18320</v>
      </c>
      <c r="G202" s="31" t="n">
        <v>11437400</v>
      </c>
      <c r="H202" s="36" t="n">
        <v>0.06635622817229336</v>
      </c>
      <c r="I202" s="36" t="n">
        <v>-0.1911699779249448</v>
      </c>
      <c r="J202" s="31" t="n">
        <v>16164</v>
      </c>
      <c r="K202" s="31" t="n">
        <v>17355.5</v>
      </c>
      <c r="L202" s="31" t="n">
        <v>13449.41666666667</v>
      </c>
      <c r="M202" s="36" t="n">
        <v>0.6116070433414099</v>
      </c>
      <c r="N202" s="36" t="n">
        <v>1.104778408786696</v>
      </c>
      <c r="O202" s="36" t="n">
        <v>0.04625928041119365</v>
      </c>
      <c r="P202" s="36" t="n">
        <v>0.2983699503897945</v>
      </c>
      <c r="Q202" s="36" t="n">
        <v>1.253382533825338</v>
      </c>
      <c r="R202" s="36" t="n">
        <v>0.1333828260331602</v>
      </c>
      <c r="S202" s="36" t="n">
        <v>0.05557316124571465</v>
      </c>
      <c r="T202" s="36" t="n">
        <v>0.3621408611278061</v>
      </c>
      <c r="U202" s="31" t="n">
        <v>22650</v>
      </c>
      <c r="V202" s="31" t="n">
        <v>7430</v>
      </c>
      <c r="W202" s="36" t="n">
        <v>-0.1911699779249448</v>
      </c>
      <c r="X202" s="36" t="n">
        <v>1.465679676985195</v>
      </c>
      <c r="Y202" s="31" t="n">
        <v>17780753</v>
      </c>
      <c r="Z202" s="31" t="n">
        <v>325743394960</v>
      </c>
      <c r="AA202" s="31" t="n">
        <v>209533168000</v>
      </c>
      <c r="AB202" s="31" t="n">
        <v>31113921635</v>
      </c>
      <c r="AC202" s="36" t="n">
        <v>0.6432460987450869</v>
      </c>
      <c r="AD202" s="29" t="inlineStr">
        <is>
          <t>yfinance_download</t>
        </is>
      </c>
      <c r="AE202" s="29" t="inlineStr">
        <is>
          <t>102120.KQ</t>
        </is>
      </c>
    </row>
    <row r="203" ht="24" customHeight="1">
      <c r="A203" s="24" t="inlineStr">
        <is>
          <t>2024-04-03</t>
        </is>
      </c>
      <c r="B203" s="30" t="n">
        <v>18010</v>
      </c>
      <c r="C203" s="30" t="n">
        <v>18150</v>
      </c>
      <c r="D203" s="30" t="n">
        <v>17300</v>
      </c>
      <c r="E203" s="30" t="n">
        <v>17570</v>
      </c>
      <c r="F203" s="30" t="n">
        <v>17570</v>
      </c>
      <c r="G203" s="30" t="n">
        <v>1870655</v>
      </c>
      <c r="H203" s="35" t="n">
        <v>-0.04093886462882101</v>
      </c>
      <c r="I203" s="35" t="n">
        <v>-0.2242825607064017</v>
      </c>
      <c r="J203" s="30" t="n">
        <v>16163</v>
      </c>
      <c r="K203" s="30" t="n">
        <v>17400.5</v>
      </c>
      <c r="L203" s="30" t="n">
        <v>13528.41666666667</v>
      </c>
      <c r="M203" s="35" t="n">
        <v>0.6310272716392533</v>
      </c>
      <c r="N203" s="35" t="n">
        <v>1.104534136126095</v>
      </c>
      <c r="O203" s="35" t="n">
        <v>-0.001137009664582189</v>
      </c>
      <c r="P203" s="35" t="n">
        <v>0.1815736381977135</v>
      </c>
      <c r="Q203" s="35" t="n">
        <v>1.171817058096415</v>
      </c>
      <c r="R203" s="35" t="n">
        <v>0.08705067128627109</v>
      </c>
      <c r="S203" s="35" t="n">
        <v>0.009741099393695496</v>
      </c>
      <c r="T203" s="35" t="n">
        <v>0.2987476977473345</v>
      </c>
      <c r="U203" s="30" t="n">
        <v>22650</v>
      </c>
      <c r="V203" s="30" t="n">
        <v>7430</v>
      </c>
      <c r="W203" s="35" t="n">
        <v>-0.2242825607064017</v>
      </c>
      <c r="X203" s="35" t="n">
        <v>1.364737550471063</v>
      </c>
      <c r="Y203" s="30" t="n">
        <v>17780753</v>
      </c>
      <c r="Z203" s="30" t="n">
        <v>312407830210</v>
      </c>
      <c r="AA203" s="30" t="n">
        <v>32867408350</v>
      </c>
      <c r="AB203" s="30" t="n">
        <v>32145823195.5</v>
      </c>
      <c r="AC203" s="35" t="n">
        <v>0.1052067367450636</v>
      </c>
      <c r="AD203" s="24" t="inlineStr">
        <is>
          <t>yfinance_download</t>
        </is>
      </c>
      <c r="AE203" s="24" t="inlineStr">
        <is>
          <t>102120.KQ</t>
        </is>
      </c>
    </row>
    <row r="204" ht="24" customHeight="1">
      <c r="A204" s="29" t="inlineStr">
        <is>
          <t>2024-04-04</t>
        </is>
      </c>
      <c r="B204" s="31" t="n">
        <v>17930</v>
      </c>
      <c r="C204" s="31" t="n">
        <v>19330</v>
      </c>
      <c r="D204" s="31" t="n">
        <v>17910</v>
      </c>
      <c r="E204" s="31" t="n">
        <v>18100</v>
      </c>
      <c r="F204" s="31" t="n">
        <v>18100</v>
      </c>
      <c r="G204" s="31" t="n">
        <v>3261181</v>
      </c>
      <c r="H204" s="36" t="n">
        <v>0.03016505406943648</v>
      </c>
      <c r="I204" s="36" t="n">
        <v>-0.2008830022075055</v>
      </c>
      <c r="J204" s="31" t="n">
        <v>16208.5</v>
      </c>
      <c r="K204" s="31" t="n">
        <v>17457.16666666667</v>
      </c>
      <c r="L204" s="31" t="n">
        <v>13610</v>
      </c>
      <c r="M204" s="36" t="n">
        <v>0.632938592724875</v>
      </c>
      <c r="N204" s="36" t="n">
        <v>1.105179665389851</v>
      </c>
      <c r="O204" s="36" t="n">
        <v>0.05293775450843508</v>
      </c>
      <c r="P204" s="36" t="n">
        <v>0.2312925170068028</v>
      </c>
      <c r="Q204" s="36" t="n">
        <v>1.178098676293622</v>
      </c>
      <c r="R204" s="36" t="n">
        <v>0.1166980288120432</v>
      </c>
      <c r="S204" s="36" t="n">
        <v>0.03682346314312168</v>
      </c>
      <c r="T204" s="36" t="n">
        <v>0.3299044819985304</v>
      </c>
      <c r="U204" s="31" t="n">
        <v>22650</v>
      </c>
      <c r="V204" s="31" t="n">
        <v>7430</v>
      </c>
      <c r="W204" s="36" t="n">
        <v>-0.2008830022075055</v>
      </c>
      <c r="X204" s="36" t="n">
        <v>1.43606998654105</v>
      </c>
      <c r="Y204" s="31" t="n">
        <v>17780753</v>
      </c>
      <c r="Z204" s="31" t="n">
        <v>321831629300</v>
      </c>
      <c r="AA204" s="31" t="n">
        <v>59027376100</v>
      </c>
      <c r="AB204" s="31" t="n">
        <v>34290063054.5</v>
      </c>
      <c r="AC204" s="36" t="n">
        <v>0.1834107363169603</v>
      </c>
      <c r="AD204" s="29" t="inlineStr">
        <is>
          <t>yfinance_download</t>
        </is>
      </c>
      <c r="AE204" s="29" t="inlineStr">
        <is>
          <t>102120.KQ</t>
        </is>
      </c>
    </row>
    <row r="205" ht="24" customHeight="1">
      <c r="A205" s="24" t="inlineStr">
        <is>
          <t>2024-04-05</t>
        </is>
      </c>
      <c r="B205" s="30" t="n">
        <v>17390</v>
      </c>
      <c r="C205" s="30" t="n">
        <v>17440</v>
      </c>
      <c r="D205" s="30" t="n">
        <v>16550</v>
      </c>
      <c r="E205" s="30" t="n">
        <v>17010</v>
      </c>
      <c r="F205" s="30" t="n">
        <v>17010</v>
      </c>
      <c r="G205" s="30" t="n">
        <v>1416038</v>
      </c>
      <c r="H205" s="35" t="n">
        <v>-0.06022099447513807</v>
      </c>
      <c r="I205" s="35" t="n">
        <v>-0.2490066225165563</v>
      </c>
      <c r="J205" s="30" t="n">
        <v>16208.5</v>
      </c>
      <c r="K205" s="30" t="n">
        <v>17494.83333333333</v>
      </c>
      <c r="L205" s="30" t="n">
        <v>13681.83333333333</v>
      </c>
      <c r="M205" s="35" t="n">
        <v>0.6708116870833124</v>
      </c>
      <c r="N205" s="35" t="n">
        <v>1.113405334610872</v>
      </c>
      <c r="O205" s="35" t="n">
        <v>0</v>
      </c>
      <c r="P205" s="35" t="n">
        <v>0.1532203389830509</v>
      </c>
      <c r="Q205" s="35" t="n">
        <v>1.027413587604291</v>
      </c>
      <c r="R205" s="35" t="n">
        <v>0.04944936298855529</v>
      </c>
      <c r="S205" s="35" t="n">
        <v>-0.02771294382150913</v>
      </c>
      <c r="T205" s="35" t="n">
        <v>0.2432544371490175</v>
      </c>
      <c r="U205" s="30" t="n">
        <v>22650</v>
      </c>
      <c r="V205" s="30" t="n">
        <v>7430</v>
      </c>
      <c r="W205" s="35" t="n">
        <v>-0.2490066225165563</v>
      </c>
      <c r="X205" s="35" t="n">
        <v>1.289367429340512</v>
      </c>
      <c r="Y205" s="30" t="n">
        <v>17780753</v>
      </c>
      <c r="Z205" s="30" t="n">
        <v>302450608530</v>
      </c>
      <c r="AA205" s="30" t="n">
        <v>24086806380</v>
      </c>
      <c r="AB205" s="30" t="n">
        <v>34783541015</v>
      </c>
      <c r="AC205" s="35" t="n">
        <v>0.07963880944749641</v>
      </c>
      <c r="AD205" s="24" t="inlineStr">
        <is>
          <t>yfinance_download</t>
        </is>
      </c>
      <c r="AE205" s="24" t="inlineStr">
        <is>
          <t>102120.KQ</t>
        </is>
      </c>
    </row>
    <row r="206" ht="24" customHeight="1">
      <c r="A206" s="29" t="inlineStr">
        <is>
          <t>2024-04-08</t>
        </is>
      </c>
      <c r="B206" s="31" t="n">
        <v>17210</v>
      </c>
      <c r="C206" s="31" t="n">
        <v>18360</v>
      </c>
      <c r="D206" s="31" t="n">
        <v>16580</v>
      </c>
      <c r="E206" s="31" t="n">
        <v>16580</v>
      </c>
      <c r="F206" s="31" t="n">
        <v>16580</v>
      </c>
      <c r="G206" s="31" t="n">
        <v>1814408</v>
      </c>
      <c r="H206" s="36" t="n">
        <v>-0.0252792475014697</v>
      </c>
      <c r="I206" s="36" t="n">
        <v>-0.2679911699779249</v>
      </c>
      <c r="J206" s="31" t="n">
        <v>16208</v>
      </c>
      <c r="K206" s="31" t="n">
        <v>17538.66666666667</v>
      </c>
      <c r="L206" s="31" t="n">
        <v>13750.66666666667</v>
      </c>
      <c r="M206" s="36" t="n">
        <v>0.6711114719218603</v>
      </c>
      <c r="N206" s="36" t="n">
        <v>1.108435538408334</v>
      </c>
      <c r="O206" s="36" t="n">
        <v>-0.0006027727546714656</v>
      </c>
      <c r="P206" s="36" t="n">
        <v>0.1885304659498208</v>
      </c>
      <c r="Q206" s="36" t="n">
        <v>0.9927884615384615</v>
      </c>
      <c r="R206" s="36" t="n">
        <v>0.02295162882527157</v>
      </c>
      <c r="S206" s="36" t="n">
        <v>-0.0546601794131063</v>
      </c>
      <c r="T206" s="36" t="n">
        <v>0.2057597207408126</v>
      </c>
      <c r="U206" s="31" t="n">
        <v>22650</v>
      </c>
      <c r="V206" s="31" t="n">
        <v>7430</v>
      </c>
      <c r="W206" s="36" t="n">
        <v>-0.2679911699779249</v>
      </c>
      <c r="X206" s="36" t="n">
        <v>1.231493943472409</v>
      </c>
      <c r="Y206" s="31" t="n">
        <v>17780753</v>
      </c>
      <c r="Z206" s="31" t="n">
        <v>294804884740</v>
      </c>
      <c r="AA206" s="31" t="n">
        <v>30082884640</v>
      </c>
      <c r="AB206" s="31" t="n">
        <v>35539495325.5</v>
      </c>
      <c r="AC206" s="36" t="n">
        <v>0.1020433724038571</v>
      </c>
      <c r="AD206" s="29" t="inlineStr">
        <is>
          <t>yfinance_download</t>
        </is>
      </c>
      <c r="AE206" s="29" t="inlineStr">
        <is>
          <t>102120.KQ</t>
        </is>
      </c>
    </row>
    <row r="207" ht="24" customHeight="1">
      <c r="A207" s="24" t="inlineStr">
        <is>
          <t>2024-04-09</t>
        </is>
      </c>
      <c r="B207" s="30" t="n">
        <v>16580</v>
      </c>
      <c r="C207" s="30" t="n">
        <v>16810</v>
      </c>
      <c r="D207" s="30" t="n">
        <v>15620</v>
      </c>
      <c r="E207" s="30" t="n">
        <v>15750</v>
      </c>
      <c r="F207" s="30" t="n">
        <v>15750</v>
      </c>
      <c r="G207" s="30" t="n">
        <v>920554</v>
      </c>
      <c r="H207" s="35" t="n">
        <v>-0.05006031363088059</v>
      </c>
      <c r="I207" s="35" t="n">
        <v>-0.304635761589404</v>
      </c>
      <c r="J207" s="30" t="n">
        <v>16177</v>
      </c>
      <c r="K207" s="30" t="n">
        <v>17583.33333333333</v>
      </c>
      <c r="L207" s="30" t="n">
        <v>13814.16666666667</v>
      </c>
      <c r="M207" s="35" t="n">
        <v>0.693668402841089</v>
      </c>
      <c r="N207" s="35" t="n">
        <v>1.105330098362854</v>
      </c>
      <c r="O207" s="35" t="n">
        <v>-0.0378741600488699</v>
      </c>
      <c r="P207" s="35" t="n">
        <v>0.2050497322111706</v>
      </c>
      <c r="Q207" s="35" t="n">
        <v>0.9372693726937269</v>
      </c>
      <c r="R207" s="35" t="n">
        <v>-0.02639549978364342</v>
      </c>
      <c r="S207" s="35" t="n">
        <v>-0.1042654028436019</v>
      </c>
      <c r="T207" s="35" t="n">
        <v>0.1401339204922483</v>
      </c>
      <c r="U207" s="30" t="n">
        <v>22650</v>
      </c>
      <c r="V207" s="30" t="n">
        <v>7430</v>
      </c>
      <c r="W207" s="35" t="n">
        <v>-0.304635761589404</v>
      </c>
      <c r="X207" s="35" t="n">
        <v>1.11978465679677</v>
      </c>
      <c r="Y207" s="30" t="n">
        <v>17780753</v>
      </c>
      <c r="Z207" s="30" t="n">
        <v>280046859750</v>
      </c>
      <c r="AA207" s="30" t="n">
        <v>14498725500</v>
      </c>
      <c r="AB207" s="30" t="n">
        <v>35517908853.5</v>
      </c>
      <c r="AC207" s="35" t="n">
        <v>0.05177249804887341</v>
      </c>
      <c r="AD207" s="24" t="inlineStr">
        <is>
          <t>yfinance_download</t>
        </is>
      </c>
      <c r="AE207" s="24" t="inlineStr">
        <is>
          <t>102120.KQ</t>
        </is>
      </c>
    </row>
    <row r="208" ht="24" customHeight="1">
      <c r="A208" s="29" t="inlineStr">
        <is>
          <t>2024-04-11</t>
        </is>
      </c>
      <c r="B208" s="31" t="n">
        <v>15410</v>
      </c>
      <c r="C208" s="31" t="n">
        <v>16360</v>
      </c>
      <c r="D208" s="31" t="n">
        <v>15410</v>
      </c>
      <c r="E208" s="31" t="n">
        <v>16020</v>
      </c>
      <c r="F208" s="31" t="n">
        <v>16020</v>
      </c>
      <c r="G208" s="31" t="n">
        <v>645263</v>
      </c>
      <c r="H208" s="36" t="n">
        <v>0.01714285714285713</v>
      </c>
      <c r="I208" s="36" t="n">
        <v>-0.2927152317880795</v>
      </c>
      <c r="J208" s="31" t="n">
        <v>16173</v>
      </c>
      <c r="K208" s="31" t="n">
        <v>17638.66666666667</v>
      </c>
      <c r="L208" s="31" t="n">
        <v>13878.41666666667</v>
      </c>
      <c r="M208" s="36" t="n">
        <v>0.6940072277051497</v>
      </c>
      <c r="N208" s="36" t="n">
        <v>1.103343667160863</v>
      </c>
      <c r="O208" s="36" t="n">
        <v>-0.004968944099378869</v>
      </c>
      <c r="P208" s="36" t="n">
        <v>0.2614173228346457</v>
      </c>
      <c r="Q208" s="36" t="n">
        <v>0.9277978339350181</v>
      </c>
      <c r="R208" s="36" t="n">
        <v>-0.009460211463550361</v>
      </c>
      <c r="S208" s="36" t="n">
        <v>-0.09176808526721603</v>
      </c>
      <c r="T208" s="36" t="n">
        <v>0.1543103500039029</v>
      </c>
      <c r="U208" s="31" t="n">
        <v>22650</v>
      </c>
      <c r="V208" s="31" t="n">
        <v>7430</v>
      </c>
      <c r="W208" s="36" t="n">
        <v>-0.2927152317880795</v>
      </c>
      <c r="X208" s="36" t="n">
        <v>1.156123822341857</v>
      </c>
      <c r="Y208" s="31" t="n">
        <v>17780753</v>
      </c>
      <c r="Z208" s="31" t="n">
        <v>284847663060</v>
      </c>
      <c r="AA208" s="31" t="n">
        <v>10337113260</v>
      </c>
      <c r="AB208" s="31" t="n">
        <v>35310504406.5</v>
      </c>
      <c r="AC208" s="36" t="n">
        <v>0.03628997039664181</v>
      </c>
      <c r="AD208" s="29" t="inlineStr">
        <is>
          <t>yfinance_download</t>
        </is>
      </c>
      <c r="AE208" s="29" t="inlineStr">
        <is>
          <t>102120.KQ</t>
        </is>
      </c>
    </row>
    <row r="209" ht="24" customHeight="1">
      <c r="A209" s="24" t="inlineStr">
        <is>
          <t>2024-04-12</t>
        </is>
      </c>
      <c r="B209" s="30" t="n">
        <v>16530</v>
      </c>
      <c r="C209" s="30" t="n">
        <v>17100</v>
      </c>
      <c r="D209" s="30" t="n">
        <v>16200</v>
      </c>
      <c r="E209" s="30" t="n">
        <v>16450</v>
      </c>
      <c r="F209" s="30" t="n">
        <v>16450</v>
      </c>
      <c r="G209" s="30" t="n">
        <v>1259628</v>
      </c>
      <c r="H209" s="35" t="n">
        <v>0.02684144818976275</v>
      </c>
      <c r="I209" s="35" t="n">
        <v>-0.2737306843267108</v>
      </c>
      <c r="J209" s="30" t="n">
        <v>16214.5</v>
      </c>
      <c r="K209" s="30" t="n">
        <v>17703.5</v>
      </c>
      <c r="L209" s="30" t="n">
        <v>13947.5</v>
      </c>
      <c r="M209" s="35" t="n">
        <v>0.6901625339980134</v>
      </c>
      <c r="N209" s="35" t="n">
        <v>1.103563200401212</v>
      </c>
      <c r="O209" s="35" t="n">
        <v>0.0531370038412291</v>
      </c>
      <c r="P209" s="35" t="n">
        <v>0.3097133757961783</v>
      </c>
      <c r="Q209" s="35" t="n">
        <v>1.01593137254902</v>
      </c>
      <c r="R209" s="35" t="n">
        <v>0.01452403712726258</v>
      </c>
      <c r="S209" s="35" t="n">
        <v>-0.07080520800971557</v>
      </c>
      <c r="T209" s="35" t="n">
        <v>0.179422835633626</v>
      </c>
      <c r="U209" s="30" t="n">
        <v>22650</v>
      </c>
      <c r="V209" s="30" t="n">
        <v>7430</v>
      </c>
      <c r="W209" s="35" t="n">
        <v>-0.2737306843267108</v>
      </c>
      <c r="X209" s="35" t="n">
        <v>1.21399730820996</v>
      </c>
      <c r="Y209" s="30" t="n">
        <v>17780753</v>
      </c>
      <c r="Z209" s="30" t="n">
        <v>292493386850</v>
      </c>
      <c r="AA209" s="30" t="n">
        <v>20720880600</v>
      </c>
      <c r="AB209" s="30" t="n">
        <v>35947380898.5</v>
      </c>
      <c r="AC209" s="35" t="n">
        <v>0.07084221911186776</v>
      </c>
      <c r="AD209" s="24" t="inlineStr">
        <is>
          <t>yfinance_download</t>
        </is>
      </c>
      <c r="AE209" s="24" t="inlineStr">
        <is>
          <t>102120.KQ</t>
        </is>
      </c>
    </row>
    <row r="210" ht="24" customHeight="1">
      <c r="A210" s="29" t="inlineStr">
        <is>
          <t>2024-04-15</t>
        </is>
      </c>
      <c r="B210" s="31" t="n">
        <v>16450</v>
      </c>
      <c r="C210" s="31" t="n">
        <v>17100</v>
      </c>
      <c r="D210" s="31" t="n">
        <v>15820</v>
      </c>
      <c r="E210" s="31" t="n">
        <v>17050</v>
      </c>
      <c r="F210" s="31" t="n">
        <v>17050</v>
      </c>
      <c r="G210" s="31" t="n">
        <v>975634</v>
      </c>
      <c r="H210" s="36" t="n">
        <v>0.0364741641337385</v>
      </c>
      <c r="I210" s="36" t="n">
        <v>-0.2472406181015453</v>
      </c>
      <c r="J210" s="31" t="n">
        <v>16283.5</v>
      </c>
      <c r="K210" s="31" t="n">
        <v>17783</v>
      </c>
      <c r="L210" s="31" t="n">
        <v>14023.91666666667</v>
      </c>
      <c r="M210" s="36" t="n">
        <v>0.7000251555981915</v>
      </c>
      <c r="N210" s="36" t="n">
        <v>1.103534597974071</v>
      </c>
      <c r="O210" s="36" t="n">
        <v>0.08806636885768993</v>
      </c>
      <c r="P210" s="36" t="n">
        <v>0.3884364820846906</v>
      </c>
      <c r="Q210" s="36" t="n">
        <v>1.163705583756345</v>
      </c>
      <c r="R210" s="36" t="n">
        <v>0.04707218963981941</v>
      </c>
      <c r="S210" s="36" t="n">
        <v>-0.04121914187707365</v>
      </c>
      <c r="T210" s="36" t="n">
        <v>0.2157801850410312</v>
      </c>
      <c r="U210" s="31" t="n">
        <v>22650</v>
      </c>
      <c r="V210" s="31" t="n">
        <v>7430</v>
      </c>
      <c r="W210" s="36" t="n">
        <v>-0.2472406181015453</v>
      </c>
      <c r="X210" s="36" t="n">
        <v>1.294751009421265</v>
      </c>
      <c r="Y210" s="31" t="n">
        <v>17780753</v>
      </c>
      <c r="Z210" s="31" t="n">
        <v>303161838650</v>
      </c>
      <c r="AA210" s="31" t="n">
        <v>16634559700</v>
      </c>
      <c r="AB210" s="31" t="n">
        <v>36298622024</v>
      </c>
      <c r="AC210" s="36" t="n">
        <v>0.05487022962413347</v>
      </c>
      <c r="AD210" s="29" t="inlineStr">
        <is>
          <t>yfinance_download</t>
        </is>
      </c>
      <c r="AE210" s="29" t="inlineStr">
        <is>
          <t>102120.KQ</t>
        </is>
      </c>
    </row>
    <row r="211" ht="24" customHeight="1">
      <c r="A211" s="24" t="inlineStr">
        <is>
          <t>2024-04-16</t>
        </is>
      </c>
      <c r="B211" s="30" t="n">
        <v>17080</v>
      </c>
      <c r="C211" s="30" t="n">
        <v>17250</v>
      </c>
      <c r="D211" s="30" t="n">
        <v>16050</v>
      </c>
      <c r="E211" s="30" t="n">
        <v>16120</v>
      </c>
      <c r="F211" s="30" t="n">
        <v>16120</v>
      </c>
      <c r="G211" s="30" t="n">
        <v>798076</v>
      </c>
      <c r="H211" s="35" t="n">
        <v>-0.05454545454545456</v>
      </c>
      <c r="I211" s="35" t="n">
        <v>-0.2883002207505518</v>
      </c>
      <c r="J211" s="30" t="n">
        <v>16298</v>
      </c>
      <c r="K211" s="30" t="n">
        <v>17854.5</v>
      </c>
      <c r="L211" s="30" t="n">
        <v>14093.33333333333</v>
      </c>
      <c r="M211" s="35" t="n">
        <v>0.7308575990235598</v>
      </c>
      <c r="N211" s="35" t="n">
        <v>1.107211020169011</v>
      </c>
      <c r="O211" s="35" t="n">
        <v>0.01831964624131399</v>
      </c>
      <c r="P211" s="35" t="n">
        <v>0.3626373626373627</v>
      </c>
      <c r="Q211" s="35" t="n">
        <v>1.069319640564827</v>
      </c>
      <c r="R211" s="35" t="n">
        <v>-0.01092158547060984</v>
      </c>
      <c r="S211" s="35" t="n">
        <v>-0.09714637766389422</v>
      </c>
      <c r="T211" s="35" t="n">
        <v>0.1438032166508987</v>
      </c>
      <c r="U211" s="30" t="n">
        <v>22650</v>
      </c>
      <c r="V211" s="30" t="n">
        <v>7430</v>
      </c>
      <c r="W211" s="35" t="n">
        <v>-0.2883002207505518</v>
      </c>
      <c r="X211" s="35" t="n">
        <v>1.169582772543742</v>
      </c>
      <c r="Y211" s="30" t="n">
        <v>17780753</v>
      </c>
      <c r="Z211" s="30" t="n">
        <v>286625738360</v>
      </c>
      <c r="AA211" s="30" t="n">
        <v>12864985120</v>
      </c>
      <c r="AB211" s="30" t="n">
        <v>36645422870</v>
      </c>
      <c r="AC211" s="35" t="n">
        <v>0.04488426333800374</v>
      </c>
      <c r="AD211" s="24" t="inlineStr">
        <is>
          <t>yfinance_download</t>
        </is>
      </c>
      <c r="AE211" s="24" t="inlineStr">
        <is>
          <t>102120.KQ</t>
        </is>
      </c>
    </row>
    <row r="212" ht="24" customHeight="1">
      <c r="A212" s="29" t="inlineStr">
        <is>
          <t>2024-04-17</t>
        </is>
      </c>
      <c r="B212" s="31" t="n">
        <v>16500</v>
      </c>
      <c r="C212" s="31" t="n">
        <v>17480</v>
      </c>
      <c r="D212" s="31" t="n">
        <v>16440</v>
      </c>
      <c r="E212" s="31" t="n">
        <v>16650</v>
      </c>
      <c r="F212" s="31" t="n">
        <v>16650</v>
      </c>
      <c r="G212" s="31" t="n">
        <v>1803502</v>
      </c>
      <c r="H212" s="36" t="n">
        <v>0.03287841191066998</v>
      </c>
      <c r="I212" s="36" t="n">
        <v>-0.2649006622516556</v>
      </c>
      <c r="J212" s="31" t="n">
        <v>16346.5</v>
      </c>
      <c r="K212" s="31" t="n">
        <v>17935.83333333333</v>
      </c>
      <c r="L212" s="31" t="n">
        <v>14167.91666666667</v>
      </c>
      <c r="M212" s="36" t="n">
        <v>0.7375487607036286</v>
      </c>
      <c r="N212" s="36" t="n">
        <v>1.108115284519898</v>
      </c>
      <c r="O212" s="36" t="n">
        <v>0.06186224489795911</v>
      </c>
      <c r="P212" s="36" t="n">
        <v>0.4146134239592183</v>
      </c>
      <c r="Q212" s="36" t="n">
        <v>1.162337662337662</v>
      </c>
      <c r="R212" s="36" t="n">
        <v>0.01856666564708043</v>
      </c>
      <c r="S212" s="36" t="n">
        <v>-0.07169074943084142</v>
      </c>
      <c r="T212" s="36" t="n">
        <v>0.1751904243743199</v>
      </c>
      <c r="U212" s="31" t="n">
        <v>22650</v>
      </c>
      <c r="V212" s="31" t="n">
        <v>7430</v>
      </c>
      <c r="W212" s="36" t="n">
        <v>-0.2649006622516556</v>
      </c>
      <c r="X212" s="36" t="n">
        <v>1.240915208613728</v>
      </c>
      <c r="Y212" s="31" t="n">
        <v>17780753</v>
      </c>
      <c r="Z212" s="31" t="n">
        <v>296049537450</v>
      </c>
      <c r="AA212" s="31" t="n">
        <v>30028308300</v>
      </c>
      <c r="AB212" s="31" t="n">
        <v>37570407773</v>
      </c>
      <c r="AC212" s="36" t="n">
        <v>0.1014300125534616</v>
      </c>
      <c r="AD212" s="29" t="inlineStr">
        <is>
          <t>yfinance_download</t>
        </is>
      </c>
      <c r="AE212" s="29" t="inlineStr">
        <is>
          <t>102120.KQ</t>
        </is>
      </c>
    </row>
    <row r="213" ht="24" customHeight="1">
      <c r="A213" s="24" t="inlineStr">
        <is>
          <t>2024-04-18</t>
        </is>
      </c>
      <c r="B213" s="30" t="n">
        <v>16360</v>
      </c>
      <c r="C213" s="30" t="n">
        <v>17080</v>
      </c>
      <c r="D213" s="30" t="n">
        <v>16200</v>
      </c>
      <c r="E213" s="30" t="n">
        <v>16970</v>
      </c>
      <c r="F213" s="30" t="n">
        <v>16970</v>
      </c>
      <c r="G213" s="30" t="n">
        <v>807910</v>
      </c>
      <c r="H213" s="35" t="n">
        <v>0.01921921921921932</v>
      </c>
      <c r="I213" s="35" t="n">
        <v>-0.2507726269315673</v>
      </c>
      <c r="J213" s="30" t="n">
        <v>16396</v>
      </c>
      <c r="K213" s="30" t="n">
        <v>18011.16666666667</v>
      </c>
      <c r="L213" s="30" t="n">
        <v>14243.58333333333</v>
      </c>
      <c r="M213" s="35" t="n">
        <v>0.7375723581056075</v>
      </c>
      <c r="N213" s="35" t="n">
        <v>1.103532000964287</v>
      </c>
      <c r="O213" s="35" t="n">
        <v>0.06195244055068838</v>
      </c>
      <c r="P213" s="35" t="n">
        <v>0.3630522088353414</v>
      </c>
      <c r="Q213" s="35" t="n">
        <v>1.150823827629911</v>
      </c>
      <c r="R213" s="35" t="n">
        <v>0.03500853866796771</v>
      </c>
      <c r="S213" s="35" t="n">
        <v>-0.05780673100946643</v>
      </c>
      <c r="T213" s="35" t="n">
        <v>0.1914136775039053</v>
      </c>
      <c r="U213" s="30" t="n">
        <v>22650</v>
      </c>
      <c r="V213" s="30" t="n">
        <v>7430</v>
      </c>
      <c r="W213" s="35" t="n">
        <v>-0.2507726269315673</v>
      </c>
      <c r="X213" s="35" t="n">
        <v>1.283983849259758</v>
      </c>
      <c r="Y213" s="30" t="n">
        <v>17780753</v>
      </c>
      <c r="Z213" s="30" t="n">
        <v>301739378410</v>
      </c>
      <c r="AA213" s="30" t="n">
        <v>13710232700</v>
      </c>
      <c r="AB213" s="30" t="n">
        <v>37650451590</v>
      </c>
      <c r="AC213" s="35" t="n">
        <v>0.04543733327829255</v>
      </c>
      <c r="AD213" s="24" t="inlineStr">
        <is>
          <t>yfinance_download</t>
        </is>
      </c>
      <c r="AE213" s="24" t="inlineStr">
        <is>
          <t>102120.KQ</t>
        </is>
      </c>
    </row>
    <row r="214" ht="24" customHeight="1">
      <c r="A214" s="29" t="inlineStr">
        <is>
          <t>2024-04-19</t>
        </is>
      </c>
      <c r="B214" s="31" t="n">
        <v>16800</v>
      </c>
      <c r="C214" s="31" t="n">
        <v>16870</v>
      </c>
      <c r="D214" s="31" t="n">
        <v>15550</v>
      </c>
      <c r="E214" s="31" t="n">
        <v>16060</v>
      </c>
      <c r="F214" s="31" t="n">
        <v>16060</v>
      </c>
      <c r="G214" s="31" t="n">
        <v>785428</v>
      </c>
      <c r="H214" s="36" t="n">
        <v>-0.05362404242781382</v>
      </c>
      <c r="I214" s="36" t="n">
        <v>-0.2909492273730684</v>
      </c>
      <c r="J214" s="31" t="n">
        <v>16408</v>
      </c>
      <c r="K214" s="31" t="n">
        <v>18009.16666666667</v>
      </c>
      <c r="L214" s="31" t="n">
        <v>14311.58333333333</v>
      </c>
      <c r="M214" s="36" t="n">
        <v>0.764336585862105</v>
      </c>
      <c r="N214" s="36" t="n">
        <v>0.927429920735513</v>
      </c>
      <c r="O214" s="36" t="n">
        <v>0.0151706700379266</v>
      </c>
      <c r="P214" s="36" t="n">
        <v>-0.007416563658838027</v>
      </c>
      <c r="Q214" s="36" t="n">
        <v>1.032911392405063</v>
      </c>
      <c r="R214" s="36" t="n">
        <v>-0.02120916626036085</v>
      </c>
      <c r="S214" s="36" t="n">
        <v>-0.1082319189301745</v>
      </c>
      <c r="T214" s="36" t="n">
        <v>0.1221679408870437</v>
      </c>
      <c r="U214" s="31" t="n">
        <v>22650</v>
      </c>
      <c r="V214" s="31" t="n">
        <v>7430</v>
      </c>
      <c r="W214" s="36" t="n">
        <v>-0.2909492273730684</v>
      </c>
      <c r="X214" s="36" t="n">
        <v>1.161507402422611</v>
      </c>
      <c r="Y214" s="31" t="n">
        <v>17780753</v>
      </c>
      <c r="Z214" s="31" t="n">
        <v>285558893180</v>
      </c>
      <c r="AA214" s="31" t="n">
        <v>12613973680</v>
      </c>
      <c r="AB214" s="31" t="n">
        <v>37930881236</v>
      </c>
      <c r="AC214" s="36" t="n">
        <v>0.04417293238368476</v>
      </c>
      <c r="AD214" s="29" t="inlineStr">
        <is>
          <t>yfinance_download</t>
        </is>
      </c>
      <c r="AE214" s="29" t="inlineStr">
        <is>
          <t>102120.KQ</t>
        </is>
      </c>
    </row>
    <row r="215" ht="24" customHeight="1">
      <c r="A215" s="24" t="inlineStr">
        <is>
          <t>2024-04-22</t>
        </is>
      </c>
      <c r="B215" s="30" t="n">
        <v>15590</v>
      </c>
      <c r="C215" s="30" t="n">
        <v>15930</v>
      </c>
      <c r="D215" s="30" t="n">
        <v>15230</v>
      </c>
      <c r="E215" s="30" t="n">
        <v>15490</v>
      </c>
      <c r="F215" s="30" t="n">
        <v>15490</v>
      </c>
      <c r="G215" s="30" t="n">
        <v>447170</v>
      </c>
      <c r="H215" s="35" t="n">
        <v>-0.03549190535491908</v>
      </c>
      <c r="I215" s="35" t="n">
        <v>-0.3161147902869758</v>
      </c>
      <c r="J215" s="30" t="n">
        <v>16426.5</v>
      </c>
      <c r="K215" s="30" t="n">
        <v>17935.16666666667</v>
      </c>
      <c r="L215" s="30" t="n">
        <v>14377.25</v>
      </c>
      <c r="M215" s="35" t="n">
        <v>0.7579395123932152</v>
      </c>
      <c r="N215" s="35" t="n">
        <v>0.7965165548763928</v>
      </c>
      <c r="O215" s="35" t="n">
        <v>0.02447089947089953</v>
      </c>
      <c r="P215" s="35" t="n">
        <v>-0.2227797290516809</v>
      </c>
      <c r="Q215" s="35" t="n">
        <v>1.035479632063075</v>
      </c>
      <c r="R215" s="35" t="n">
        <v>-0.0570115362371777</v>
      </c>
      <c r="S215" s="35" t="n">
        <v>-0.1363336461885867</v>
      </c>
      <c r="T215" s="35" t="n">
        <v>0.07739658140464978</v>
      </c>
      <c r="U215" s="30" t="n">
        <v>22650</v>
      </c>
      <c r="V215" s="30" t="n">
        <v>7430</v>
      </c>
      <c r="W215" s="35" t="n">
        <v>-0.3161147902869758</v>
      </c>
      <c r="X215" s="35" t="n">
        <v>1.084791386271871</v>
      </c>
      <c r="Y215" s="30" t="n">
        <v>17780753</v>
      </c>
      <c r="Z215" s="30" t="n">
        <v>275423863970</v>
      </c>
      <c r="AA215" s="30" t="n">
        <v>6926663300</v>
      </c>
      <c r="AB215" s="30" t="n">
        <v>37824839121</v>
      </c>
      <c r="AC215" s="35" t="n">
        <v>0.02514910364032389</v>
      </c>
      <c r="AD215" s="24" t="inlineStr">
        <is>
          <t>yfinance_download</t>
        </is>
      </c>
      <c r="AE215" s="24" t="inlineStr">
        <is>
          <t>102120.KQ</t>
        </is>
      </c>
    </row>
    <row r="216" ht="24" customHeight="1">
      <c r="A216" s="29" t="inlineStr">
        <is>
          <t>2024-04-23</t>
        </is>
      </c>
      <c r="B216" s="31" t="n">
        <v>16000</v>
      </c>
      <c r="C216" s="31" t="n">
        <v>16950</v>
      </c>
      <c r="D216" s="31" t="n">
        <v>15740</v>
      </c>
      <c r="E216" s="31" t="n">
        <v>15740</v>
      </c>
      <c r="F216" s="31" t="n">
        <v>15740</v>
      </c>
      <c r="G216" s="31" t="n">
        <v>1322179</v>
      </c>
      <c r="H216" s="36" t="n">
        <v>0.0161394448030987</v>
      </c>
      <c r="I216" s="36" t="n">
        <v>-0.3050772626931567</v>
      </c>
      <c r="J216" s="31" t="n">
        <v>16468.5</v>
      </c>
      <c r="K216" s="31" t="n">
        <v>17850.83333333333</v>
      </c>
      <c r="L216" s="31" t="n">
        <v>14445.91666666667</v>
      </c>
      <c r="M216" s="36" t="n">
        <v>0.7567306948247978</v>
      </c>
      <c r="N216" s="36" t="n">
        <v>0.7916226466595851</v>
      </c>
      <c r="O216" s="36" t="n">
        <v>0.05637583892617459</v>
      </c>
      <c r="P216" s="36" t="n">
        <v>-0.2432692307692308</v>
      </c>
      <c r="Q216" s="36" t="n">
        <v>1.098666666666666</v>
      </c>
      <c r="R216" s="36" t="n">
        <v>-0.04423596563135679</v>
      </c>
      <c r="S216" s="36" t="n">
        <v>-0.118248447784884</v>
      </c>
      <c r="T216" s="36" t="n">
        <v>0.08958125421832008</v>
      </c>
      <c r="U216" s="31" t="n">
        <v>22650</v>
      </c>
      <c r="V216" s="31" t="n">
        <v>7430</v>
      </c>
      <c r="W216" s="36" t="n">
        <v>-0.3050772626931567</v>
      </c>
      <c r="X216" s="36" t="n">
        <v>1.118438761776582</v>
      </c>
      <c r="Y216" s="31" t="n">
        <v>17780753</v>
      </c>
      <c r="Z216" s="31" t="n">
        <v>279869052220</v>
      </c>
      <c r="AA216" s="31" t="n">
        <v>20811097460</v>
      </c>
      <c r="AB216" s="31" t="n">
        <v>38495833764</v>
      </c>
      <c r="AC216" s="36" t="n">
        <v>0.07436012411847799</v>
      </c>
      <c r="AD216" s="29" t="inlineStr">
        <is>
          <t>yfinance_download</t>
        </is>
      </c>
      <c r="AE216" s="29" t="inlineStr">
        <is>
          <t>102120.KQ</t>
        </is>
      </c>
    </row>
    <row r="217" ht="24" customHeight="1">
      <c r="A217" s="24" t="inlineStr">
        <is>
          <t>2024-04-24</t>
        </is>
      </c>
      <c r="B217" s="30" t="n">
        <v>16330</v>
      </c>
      <c r="C217" s="30" t="n">
        <v>16620</v>
      </c>
      <c r="D217" s="30" t="n">
        <v>16250</v>
      </c>
      <c r="E217" s="30" t="n">
        <v>16270</v>
      </c>
      <c r="F217" s="30" t="n">
        <v>16270</v>
      </c>
      <c r="G217" s="30" t="n">
        <v>661150</v>
      </c>
      <c r="H217" s="35" t="n">
        <v>0.03367217280813217</v>
      </c>
      <c r="I217" s="35" t="n">
        <v>-0.2816777041942605</v>
      </c>
      <c r="J217" s="30" t="n">
        <v>16522</v>
      </c>
      <c r="K217" s="30" t="n">
        <v>17755.33333333333</v>
      </c>
      <c r="L217" s="30" t="n">
        <v>14518.58333333333</v>
      </c>
      <c r="M217" s="35" t="n">
        <v>0.7621105619099785</v>
      </c>
      <c r="N217" s="35" t="n">
        <v>0.7852093619955284</v>
      </c>
      <c r="O217" s="35" t="n">
        <v>0.07039473684210518</v>
      </c>
      <c r="P217" s="35" t="n">
        <v>-0.2604545454545455</v>
      </c>
      <c r="Q217" s="35" t="n">
        <v>1.154966887417219</v>
      </c>
      <c r="R217" s="35" t="n">
        <v>-0.01525239075172502</v>
      </c>
      <c r="S217" s="35" t="n">
        <v>-0.08365561521420783</v>
      </c>
      <c r="T217" s="35" t="n">
        <v>0.1206327522772539</v>
      </c>
      <c r="U217" s="30" t="n">
        <v>22650</v>
      </c>
      <c r="V217" s="30" t="n">
        <v>7430</v>
      </c>
      <c r="W217" s="35" t="n">
        <v>-0.2816777041942605</v>
      </c>
      <c r="X217" s="35" t="n">
        <v>1.189771197846568</v>
      </c>
      <c r="Y217" s="30" t="n">
        <v>17780753</v>
      </c>
      <c r="Z217" s="30" t="n">
        <v>289292851310</v>
      </c>
      <c r="AA217" s="30" t="n">
        <v>10756910500</v>
      </c>
      <c r="AB217" s="30" t="n">
        <v>38428619729</v>
      </c>
      <c r="AC217" s="35" t="n">
        <v>0.03718346461480006</v>
      </c>
      <c r="AD217" s="24" t="inlineStr">
        <is>
          <t>yfinance_download</t>
        </is>
      </c>
      <c r="AE217" s="24" t="inlineStr">
        <is>
          <t>102120.KQ</t>
        </is>
      </c>
    </row>
    <row r="218" ht="24" customHeight="1">
      <c r="A218" s="29" t="inlineStr">
        <is>
          <t>2024-04-25</t>
        </is>
      </c>
      <c r="B218" s="31" t="n">
        <v>16090</v>
      </c>
      <c r="C218" s="31" t="n">
        <v>16330</v>
      </c>
      <c r="D218" s="31" t="n">
        <v>15730</v>
      </c>
      <c r="E218" s="31" t="n">
        <v>15760</v>
      </c>
      <c r="F218" s="31" t="n">
        <v>15760</v>
      </c>
      <c r="G218" s="31" t="n">
        <v>434340</v>
      </c>
      <c r="H218" s="36" t="n">
        <v>-0.03134603564843275</v>
      </c>
      <c r="I218" s="36" t="n">
        <v>-0.3041942604856512</v>
      </c>
      <c r="J218" s="31" t="n">
        <v>16570.5</v>
      </c>
      <c r="K218" s="31" t="n">
        <v>17640.5</v>
      </c>
      <c r="L218" s="31" t="n">
        <v>14588</v>
      </c>
      <c r="M218" s="36" t="n">
        <v>0.7646583354058417</v>
      </c>
      <c r="N218" s="36" t="n">
        <v>0.7840791630506312</v>
      </c>
      <c r="O218" s="36" t="n">
        <v>0.06558485463150787</v>
      </c>
      <c r="P218" s="36" t="n">
        <v>-0.3041942604856512</v>
      </c>
      <c r="Q218" s="36" t="n">
        <v>1.121130551816958</v>
      </c>
      <c r="R218" s="36" t="n">
        <v>-0.04891222352976676</v>
      </c>
      <c r="S218" s="36" t="n">
        <v>-0.1066012868115983</v>
      </c>
      <c r="T218" s="36" t="n">
        <v>0.08034000548395936</v>
      </c>
      <c r="U218" s="31" t="n">
        <v>22650</v>
      </c>
      <c r="V218" s="31" t="n">
        <v>7430</v>
      </c>
      <c r="W218" s="36" t="n">
        <v>-0.3041942604856512</v>
      </c>
      <c r="X218" s="36" t="n">
        <v>1.121130551816958</v>
      </c>
      <c r="Y218" s="31" t="n">
        <v>17780753</v>
      </c>
      <c r="Z218" s="31" t="n">
        <v>280224667280</v>
      </c>
      <c r="AA218" s="31" t="n">
        <v>6845198400</v>
      </c>
      <c r="AB218" s="31" t="n">
        <v>38374075041.5</v>
      </c>
      <c r="AC218" s="36" t="n">
        <v>0.02442753689902784</v>
      </c>
      <c r="AD218" s="29" t="inlineStr">
        <is>
          <t>yfinance_download</t>
        </is>
      </c>
      <c r="AE218" s="29" t="inlineStr">
        <is>
          <t>102120.KQ</t>
        </is>
      </c>
    </row>
    <row r="219" ht="24" customHeight="1">
      <c r="A219" s="24" t="inlineStr">
        <is>
          <t>2024-04-26</t>
        </is>
      </c>
      <c r="B219" s="30" t="n">
        <v>16270</v>
      </c>
      <c r="C219" s="30" t="n">
        <v>16290</v>
      </c>
      <c r="D219" s="30" t="n">
        <v>15700</v>
      </c>
      <c r="E219" s="30" t="n">
        <v>15770</v>
      </c>
      <c r="F219" s="30" t="n">
        <v>15770</v>
      </c>
      <c r="G219" s="30" t="n">
        <v>347657</v>
      </c>
      <c r="H219" s="35" t="n">
        <v>0.0006345177664974777</v>
      </c>
      <c r="I219" s="35" t="n">
        <v>-0.3037527593818985</v>
      </c>
      <c r="J219" s="30" t="n">
        <v>16541.5</v>
      </c>
      <c r="K219" s="30" t="n">
        <v>17539.16666666667</v>
      </c>
      <c r="L219" s="30" t="n">
        <v>14657.5</v>
      </c>
      <c r="M219" s="35" t="n">
        <v>0.6646310099725276</v>
      </c>
      <c r="N219" s="35" t="n">
        <v>0.7815632494325041</v>
      </c>
      <c r="O219" s="35" t="n">
        <v>-0.03547400611620799</v>
      </c>
      <c r="P219" s="35" t="n">
        <v>-0.2782608695652173</v>
      </c>
      <c r="Q219" s="35" t="n">
        <v>1.122476446837147</v>
      </c>
      <c r="R219" s="35" t="n">
        <v>-0.04664026841580271</v>
      </c>
      <c r="S219" s="35" t="n">
        <v>-0.100869482586592</v>
      </c>
      <c r="T219" s="35" t="n">
        <v>0.07589971004605145</v>
      </c>
      <c r="U219" s="30" t="n">
        <v>22650</v>
      </c>
      <c r="V219" s="30" t="n">
        <v>7430</v>
      </c>
      <c r="W219" s="35" t="n">
        <v>-0.3037527593818985</v>
      </c>
      <c r="X219" s="35" t="n">
        <v>1.122476446837147</v>
      </c>
      <c r="Y219" s="30" t="n">
        <v>17780753</v>
      </c>
      <c r="Z219" s="30" t="n">
        <v>280402474810</v>
      </c>
      <c r="AA219" s="30" t="n">
        <v>5482550890</v>
      </c>
      <c r="AB219" s="30" t="n">
        <v>33135391336</v>
      </c>
      <c r="AC219" s="35" t="n">
        <v>0.01955243402796271</v>
      </c>
      <c r="AD219" s="24" t="inlineStr">
        <is>
          <t>yfinance_download</t>
        </is>
      </c>
      <c r="AE219" s="24" t="inlineStr">
        <is>
          <t>102120.KQ</t>
        </is>
      </c>
    </row>
    <row r="220" ht="24" customHeight="1">
      <c r="A220" s="29" t="inlineStr">
        <is>
          <t>2024-04-29</t>
        </is>
      </c>
      <c r="B220" s="31" t="n">
        <v>16030</v>
      </c>
      <c r="C220" s="31" t="n">
        <v>16060</v>
      </c>
      <c r="D220" s="31" t="n">
        <v>15710</v>
      </c>
      <c r="E220" s="31" t="n">
        <v>15760</v>
      </c>
      <c r="F220" s="31" t="n">
        <v>15760</v>
      </c>
      <c r="G220" s="31" t="n">
        <v>277127</v>
      </c>
      <c r="H220" s="36" t="n">
        <v>-0.0006341154090044876</v>
      </c>
      <c r="I220" s="36" t="n">
        <v>-0.3041942604856512</v>
      </c>
      <c r="J220" s="31" t="n">
        <v>16531</v>
      </c>
      <c r="K220" s="31" t="n">
        <v>17426</v>
      </c>
      <c r="L220" s="31" t="n">
        <v>14723.41666666667</v>
      </c>
      <c r="M220" s="36" t="n">
        <v>0.6594086981447411</v>
      </c>
      <c r="N220" s="36" t="n">
        <v>0.777949800728051</v>
      </c>
      <c r="O220" s="36" t="n">
        <v>-0.01314965560425796</v>
      </c>
      <c r="P220" s="36" t="n">
        <v>-0.3011086474501109</v>
      </c>
      <c r="Q220" s="36" t="n">
        <v>1.007643312101911</v>
      </c>
      <c r="R220" s="36" t="n">
        <v>-0.04663964672433607</v>
      </c>
      <c r="S220" s="36" t="n">
        <v>-0.09560426948238265</v>
      </c>
      <c r="T220" s="36" t="n">
        <v>0.07040372196218048</v>
      </c>
      <c r="U220" s="31" t="n">
        <v>22650</v>
      </c>
      <c r="V220" s="31" t="n">
        <v>7430</v>
      </c>
      <c r="W220" s="36" t="n">
        <v>-0.3041942604856512</v>
      </c>
      <c r="X220" s="36" t="n">
        <v>1.121130551816958</v>
      </c>
      <c r="Y220" s="31" t="n">
        <v>17780753</v>
      </c>
      <c r="Z220" s="31" t="n">
        <v>280224667280</v>
      </c>
      <c r="AA220" s="31" t="n">
        <v>4367521520</v>
      </c>
      <c r="AB220" s="31" t="n">
        <v>32244032873</v>
      </c>
      <c r="AC220" s="36" t="n">
        <v>0.01558578537140694</v>
      </c>
      <c r="AD220" s="29" t="inlineStr">
        <is>
          <t>yfinance_download</t>
        </is>
      </c>
      <c r="AE220" s="29" t="inlineStr">
        <is>
          <t>102120.KQ</t>
        </is>
      </c>
    </row>
    <row r="221" ht="24" customHeight="1">
      <c r="A221" s="24" t="inlineStr">
        <is>
          <t>2024-04-30</t>
        </is>
      </c>
      <c r="B221" s="30" t="n">
        <v>15750</v>
      </c>
      <c r="C221" s="30" t="n">
        <v>16010</v>
      </c>
      <c r="D221" s="30" t="n">
        <v>15620</v>
      </c>
      <c r="E221" s="30" t="n">
        <v>15670</v>
      </c>
      <c r="F221" s="30" t="n">
        <v>15670</v>
      </c>
      <c r="G221" s="30" t="n">
        <v>294049</v>
      </c>
      <c r="H221" s="35" t="n">
        <v>-0.005710659898477188</v>
      </c>
      <c r="I221" s="35" t="n">
        <v>-0.308167770419426</v>
      </c>
      <c r="J221" s="30" t="n">
        <v>16455.5</v>
      </c>
      <c r="K221" s="30" t="n">
        <v>17375.16666666667</v>
      </c>
      <c r="L221" s="30" t="n">
        <v>14788.33333333333</v>
      </c>
      <c r="M221" s="35" t="n">
        <v>0.5958616915427274</v>
      </c>
      <c r="N221" s="35" t="n">
        <v>0.6977773550982268</v>
      </c>
      <c r="O221" s="35" t="n">
        <v>-0.08789289871944117</v>
      </c>
      <c r="P221" s="35" t="n">
        <v>-0.1629273504273504</v>
      </c>
      <c r="Q221" s="35" t="n">
        <v>0.9885786802030456</v>
      </c>
      <c r="R221" s="35" t="n">
        <v>-0.04773479991492202</v>
      </c>
      <c r="S221" s="35" t="n">
        <v>-0.09813814735590076</v>
      </c>
      <c r="T221" s="35" t="n">
        <v>0.05961906908599124</v>
      </c>
      <c r="U221" s="30" t="n">
        <v>22650</v>
      </c>
      <c r="V221" s="30" t="n">
        <v>7430</v>
      </c>
      <c r="W221" s="35" t="n">
        <v>-0.308167770419426</v>
      </c>
      <c r="X221" s="35" t="n">
        <v>1.109017496635262</v>
      </c>
      <c r="Y221" s="30" t="n">
        <v>17780753</v>
      </c>
      <c r="Z221" s="30" t="n">
        <v>278624399510</v>
      </c>
      <c r="AA221" s="30" t="n">
        <v>4607747830</v>
      </c>
      <c r="AB221" s="30" t="n">
        <v>27340205611.5</v>
      </c>
      <c r="AC221" s="35" t="n">
        <v>0.01653748859792383</v>
      </c>
      <c r="AD221" s="24" t="inlineStr">
        <is>
          <t>yfinance_download</t>
        </is>
      </c>
      <c r="AE221" s="24" t="inlineStr">
        <is>
          <t>102120.KQ</t>
        </is>
      </c>
    </row>
    <row r="222" ht="24" customHeight="1">
      <c r="A222" s="29" t="inlineStr">
        <is>
          <t>2024-05-02</t>
        </is>
      </c>
      <c r="B222" s="31" t="n">
        <v>15600</v>
      </c>
      <c r="C222" s="31" t="n">
        <v>15670</v>
      </c>
      <c r="D222" s="31" t="n">
        <v>15390</v>
      </c>
      <c r="E222" s="31" t="n">
        <v>15480</v>
      </c>
      <c r="F222" s="31" t="n">
        <v>15480</v>
      </c>
      <c r="G222" s="31" t="n">
        <v>203863</v>
      </c>
      <c r="H222" s="36" t="n">
        <v>-0.01212507977026167</v>
      </c>
      <c r="I222" s="36" t="n">
        <v>-0.3165562913907285</v>
      </c>
      <c r="J222" s="31" t="n">
        <v>16313.5</v>
      </c>
      <c r="K222" s="31" t="n">
        <v>17302</v>
      </c>
      <c r="L222" s="31" t="n">
        <v>14849.83333333333</v>
      </c>
      <c r="M222" s="36" t="n">
        <v>0.5351294809541184</v>
      </c>
      <c r="N222" s="36" t="n">
        <v>0.6853783286350036</v>
      </c>
      <c r="O222" s="36" t="n">
        <v>-0.1550218340611353</v>
      </c>
      <c r="P222" s="36" t="n">
        <v>-0.2209360845495723</v>
      </c>
      <c r="Q222" s="36" t="n">
        <v>0.9111111111111112</v>
      </c>
      <c r="R222" s="36" t="n">
        <v>-0.0510926533239342</v>
      </c>
      <c r="S222" s="36" t="n">
        <v>-0.105305745000578</v>
      </c>
      <c r="T222" s="36" t="n">
        <v>0.04243594204199819</v>
      </c>
      <c r="U222" s="31" t="n">
        <v>22650</v>
      </c>
      <c r="V222" s="31" t="n">
        <v>7430</v>
      </c>
      <c r="W222" s="36" t="n">
        <v>-0.3165562913907285</v>
      </c>
      <c r="X222" s="36" t="n">
        <v>1.083445491251682</v>
      </c>
      <c r="Y222" s="31" t="n">
        <v>17780753</v>
      </c>
      <c r="Z222" s="31" t="n">
        <v>275246056440</v>
      </c>
      <c r="AA222" s="31" t="n">
        <v>3155799240</v>
      </c>
      <c r="AB222" s="31" t="n">
        <v>17021337173.5</v>
      </c>
      <c r="AC222" s="36" t="n">
        <v>0.01146537494784389</v>
      </c>
      <c r="AD222" s="29" t="inlineStr">
        <is>
          <t>yfinance_download</t>
        </is>
      </c>
      <c r="AE222" s="29" t="inlineStr">
        <is>
          <t>102120.KQ</t>
        </is>
      </c>
    </row>
    <row r="223" ht="24" customHeight="1">
      <c r="A223" s="24" t="inlineStr">
        <is>
          <t>2024-05-03</t>
        </is>
      </c>
      <c r="B223" s="30" t="n">
        <v>15540</v>
      </c>
      <c r="C223" s="30" t="n">
        <v>15960</v>
      </c>
      <c r="D223" s="30" t="n">
        <v>15400</v>
      </c>
      <c r="E223" s="30" t="n">
        <v>15410</v>
      </c>
      <c r="F223" s="30" t="n">
        <v>15410</v>
      </c>
      <c r="G223" s="30" t="n">
        <v>435150</v>
      </c>
      <c r="H223" s="35" t="n">
        <v>-0.004521963824289377</v>
      </c>
      <c r="I223" s="35" t="n">
        <v>-0.3196467991169978</v>
      </c>
      <c r="J223" s="30" t="n">
        <v>16205.5</v>
      </c>
      <c r="K223" s="30" t="n">
        <v>17238.83333333333</v>
      </c>
      <c r="L223" s="30" t="n">
        <v>14910.75</v>
      </c>
      <c r="M223" s="35" t="n">
        <v>0.5206729396642757</v>
      </c>
      <c r="N223" s="35" t="n">
        <v>0.682440628785986</v>
      </c>
      <c r="O223" s="35" t="n">
        <v>-0.1229368241320432</v>
      </c>
      <c r="P223" s="35" t="n">
        <v>-0.1973958333333333</v>
      </c>
      <c r="Q223" s="35" t="n">
        <v>0.9024691358024692</v>
      </c>
      <c r="R223" s="35" t="n">
        <v>-0.04908827250007708</v>
      </c>
      <c r="S223" s="35" t="n">
        <v>-0.1060879989945182</v>
      </c>
      <c r="T223" s="35" t="n">
        <v>0.03348255453280347</v>
      </c>
      <c r="U223" s="30" t="n">
        <v>22650</v>
      </c>
      <c r="V223" s="30" t="n">
        <v>7430</v>
      </c>
      <c r="W223" s="35" t="n">
        <v>-0.3196467991169978</v>
      </c>
      <c r="X223" s="35" t="n">
        <v>1.074024226110363</v>
      </c>
      <c r="Y223" s="30" t="n">
        <v>17780753</v>
      </c>
      <c r="Z223" s="30" t="n">
        <v>274001403730</v>
      </c>
      <c r="AA223" s="30" t="n">
        <v>6705661500</v>
      </c>
      <c r="AB223" s="30" t="n">
        <v>15713249831</v>
      </c>
      <c r="AC223" s="35" t="n">
        <v>0.02447309177513461</v>
      </c>
      <c r="AD223" s="24" t="inlineStr">
        <is>
          <t>yfinance_download</t>
        </is>
      </c>
      <c r="AE223" s="24" t="inlineStr">
        <is>
          <t>102120.KQ</t>
        </is>
      </c>
    </row>
    <row r="224" ht="24" customHeight="1">
      <c r="A224" s="29" t="inlineStr">
        <is>
          <t>2024-05-07</t>
        </is>
      </c>
      <c r="B224" s="31" t="n">
        <v>15800</v>
      </c>
      <c r="C224" s="31" t="n">
        <v>15850</v>
      </c>
      <c r="D224" s="31" t="n">
        <v>15520</v>
      </c>
      <c r="E224" s="31" t="n">
        <v>15560</v>
      </c>
      <c r="F224" s="31" t="n">
        <v>15560</v>
      </c>
      <c r="G224" s="31" t="n">
        <v>308395</v>
      </c>
      <c r="H224" s="36" t="n">
        <v>0.009733939000649006</v>
      </c>
      <c r="I224" s="36" t="n">
        <v>-0.3130242825607064</v>
      </c>
      <c r="J224" s="31" t="n">
        <v>16078.5</v>
      </c>
      <c r="K224" s="31" t="n">
        <v>17183.5</v>
      </c>
      <c r="L224" s="31" t="n">
        <v>14973.33333333333</v>
      </c>
      <c r="M224" s="36" t="n">
        <v>0.5067042576081234</v>
      </c>
      <c r="N224" s="36" t="n">
        <v>0.6822886180122253</v>
      </c>
      <c r="O224" s="36" t="n">
        <v>-0.1403314917127072</v>
      </c>
      <c r="P224" s="36" t="n">
        <v>-0.1758474576271186</v>
      </c>
      <c r="Q224" s="36" t="n">
        <v>0.9329192546583851</v>
      </c>
      <c r="R224" s="36" t="n">
        <v>-0.03224803308766366</v>
      </c>
      <c r="S224" s="36" t="n">
        <v>-0.09448016993045649</v>
      </c>
      <c r="T224" s="36" t="n">
        <v>0.03918076580587715</v>
      </c>
      <c r="U224" s="31" t="n">
        <v>22650</v>
      </c>
      <c r="V224" s="31" t="n">
        <v>7430</v>
      </c>
      <c r="W224" s="36" t="n">
        <v>-0.3130242825607064</v>
      </c>
      <c r="X224" s="36" t="n">
        <v>1.09421265141319</v>
      </c>
      <c r="Y224" s="31" t="n">
        <v>17780753</v>
      </c>
      <c r="Z224" s="31" t="n">
        <v>276668516680</v>
      </c>
      <c r="AA224" s="31" t="n">
        <v>4798626200</v>
      </c>
      <c r="AB224" s="31" t="n">
        <v>13001812336</v>
      </c>
      <c r="AC224" s="36" t="n">
        <v>0.01734431607030366</v>
      </c>
      <c r="AD224" s="29" t="inlineStr">
        <is>
          <t>yfinance_download</t>
        </is>
      </c>
      <c r="AE224" s="29" t="inlineStr">
        <is>
          <t>102120.KQ</t>
        </is>
      </c>
    </row>
    <row r="225" ht="24" customHeight="1">
      <c r="A225" s="24" t="inlineStr">
        <is>
          <t>2024-05-08</t>
        </is>
      </c>
      <c r="B225" s="30" t="n">
        <v>15630</v>
      </c>
      <c r="C225" s="30" t="n">
        <v>15780</v>
      </c>
      <c r="D225" s="30" t="n">
        <v>15400</v>
      </c>
      <c r="E225" s="30" t="n">
        <v>15440</v>
      </c>
      <c r="F225" s="30" t="n">
        <v>15440</v>
      </c>
      <c r="G225" s="30" t="n">
        <v>240038</v>
      </c>
      <c r="H225" s="35" t="n">
        <v>-0.007712082262210762</v>
      </c>
      <c r="I225" s="35" t="n">
        <v>-0.3183222958057396</v>
      </c>
      <c r="J225" s="30" t="n">
        <v>16000</v>
      </c>
      <c r="K225" s="30" t="n">
        <v>17121.66666666667</v>
      </c>
      <c r="L225" s="30" t="n">
        <v>15035.58333333333</v>
      </c>
      <c r="M225" s="35" t="n">
        <v>0.4662802676562877</v>
      </c>
      <c r="N225" s="35" t="n">
        <v>0.6814882983185107</v>
      </c>
      <c r="O225" s="35" t="n">
        <v>-0.09229864785420339</v>
      </c>
      <c r="P225" s="35" t="n">
        <v>-0.193733681462141</v>
      </c>
      <c r="Q225" s="35" t="n">
        <v>0.9372647427854455</v>
      </c>
      <c r="R225" s="35" t="n">
        <v>-0.03500000000000003</v>
      </c>
      <c r="S225" s="35" t="n">
        <v>-0.09821863136376918</v>
      </c>
      <c r="T225" s="35" t="n">
        <v>0.02689730472711949</v>
      </c>
      <c r="U225" s="30" t="n">
        <v>22650</v>
      </c>
      <c r="V225" s="30" t="n">
        <v>7430</v>
      </c>
      <c r="W225" s="35" t="n">
        <v>-0.3183222958057396</v>
      </c>
      <c r="X225" s="35" t="n">
        <v>1.078061911170929</v>
      </c>
      <c r="Y225" s="30" t="n">
        <v>17780753</v>
      </c>
      <c r="Z225" s="30" t="n">
        <v>274534826320</v>
      </c>
      <c r="AA225" s="30" t="n">
        <v>3706186720</v>
      </c>
      <c r="AB225" s="30" t="n">
        <v>11982781353</v>
      </c>
      <c r="AC225" s="35" t="n">
        <v>0.01349987821100715</v>
      </c>
      <c r="AD225" s="24" t="inlineStr">
        <is>
          <t>yfinance_download</t>
        </is>
      </c>
      <c r="AE225" s="24" t="inlineStr">
        <is>
          <t>102120.KQ</t>
        </is>
      </c>
    </row>
    <row r="226" ht="24" customHeight="1">
      <c r="A226" s="29" t="inlineStr">
        <is>
          <t>2024-05-09</t>
        </is>
      </c>
      <c r="B226" s="31" t="n">
        <v>15440</v>
      </c>
      <c r="C226" s="31" t="n">
        <v>15560</v>
      </c>
      <c r="D226" s="31" t="n">
        <v>14940</v>
      </c>
      <c r="E226" s="31" t="n">
        <v>14970</v>
      </c>
      <c r="F226" s="31" t="n">
        <v>14970</v>
      </c>
      <c r="G226" s="31" t="n">
        <v>346872</v>
      </c>
      <c r="H226" s="36" t="n">
        <v>-0.03044041450777202</v>
      </c>
      <c r="I226" s="36" t="n">
        <v>-0.3390728476821192</v>
      </c>
      <c r="J226" s="31" t="n">
        <v>15919.5</v>
      </c>
      <c r="K226" s="31" t="n">
        <v>17071.16666666667</v>
      </c>
      <c r="L226" s="31" t="n">
        <v>15094.5</v>
      </c>
      <c r="M226" s="36" t="n">
        <v>0.4696906191966914</v>
      </c>
      <c r="N226" s="36" t="n">
        <v>0.6734982519807298</v>
      </c>
      <c r="O226" s="36" t="n">
        <v>-0.09710494571773221</v>
      </c>
      <c r="P226" s="36" t="n">
        <v>-0.1683333333333333</v>
      </c>
      <c r="Q226" s="36" t="n">
        <v>0.8949367088607596</v>
      </c>
      <c r="R226" s="36" t="n">
        <v>-0.05964383303495713</v>
      </c>
      <c r="S226" s="36" t="n">
        <v>-0.123082780907378</v>
      </c>
      <c r="T226" s="36" t="n">
        <v>-0.008248037364603</v>
      </c>
      <c r="U226" s="31" t="n">
        <v>22650</v>
      </c>
      <c r="V226" s="31" t="n">
        <v>7430</v>
      </c>
      <c r="W226" s="36" t="n">
        <v>-0.3390728476821192</v>
      </c>
      <c r="X226" s="36" t="n">
        <v>1.014804845222073</v>
      </c>
      <c r="Y226" s="31" t="n">
        <v>17780753</v>
      </c>
      <c r="Z226" s="31" t="n">
        <v>266177872410</v>
      </c>
      <c r="AA226" s="31" t="n">
        <v>5192673840</v>
      </c>
      <c r="AB226" s="31" t="n">
        <v>10738270813</v>
      </c>
      <c r="AC226" s="36" t="n">
        <v>0.0195082851665506</v>
      </c>
      <c r="AD226" s="29" t="inlineStr">
        <is>
          <t>yfinance_download</t>
        </is>
      </c>
      <c r="AE226" s="29" t="inlineStr">
        <is>
          <t>102120.KQ</t>
        </is>
      </c>
    </row>
    <row r="227" ht="24" customHeight="1">
      <c r="A227" s="24" t="inlineStr">
        <is>
          <t>2024-05-10</t>
        </is>
      </c>
      <c r="B227" s="30" t="n">
        <v>15090</v>
      </c>
      <c r="C227" s="30" t="n">
        <v>15150</v>
      </c>
      <c r="D227" s="30" t="n">
        <v>14220</v>
      </c>
      <c r="E227" s="30" t="n">
        <v>14240</v>
      </c>
      <c r="F227" s="30" t="n">
        <v>14240</v>
      </c>
      <c r="G227" s="30" t="n">
        <v>467005</v>
      </c>
      <c r="H227" s="35" t="n">
        <v>-0.0487641950567802</v>
      </c>
      <c r="I227" s="35" t="n">
        <v>-0.3713024282560706</v>
      </c>
      <c r="J227" s="30" t="n">
        <v>15844</v>
      </c>
      <c r="K227" s="30" t="n">
        <v>16980.16666666667</v>
      </c>
      <c r="L227" s="30" t="n">
        <v>15148.66666666667</v>
      </c>
      <c r="M227" s="35" t="n">
        <v>0.4680491421973478</v>
      </c>
      <c r="N227" s="35" t="n">
        <v>0.6492361101480634</v>
      </c>
      <c r="O227" s="35" t="n">
        <v>-0.09587301587301589</v>
      </c>
      <c r="P227" s="35" t="n">
        <v>-0.2771573604060914</v>
      </c>
      <c r="Q227" s="35" t="n">
        <v>0.8397932816537468</v>
      </c>
      <c r="R227" s="35" t="n">
        <v>-0.1012370613481444</v>
      </c>
      <c r="S227" s="35" t="n">
        <v>-0.1613745448120848</v>
      </c>
      <c r="T227" s="35" t="n">
        <v>-0.05998327685604887</v>
      </c>
      <c r="U227" s="30" t="n">
        <v>22650</v>
      </c>
      <c r="V227" s="30" t="n">
        <v>7430</v>
      </c>
      <c r="W227" s="35" t="n">
        <v>-0.3713024282560706</v>
      </c>
      <c r="X227" s="35" t="n">
        <v>0.9165545087483176</v>
      </c>
      <c r="Y227" s="30" t="n">
        <v>17780753</v>
      </c>
      <c r="Z227" s="30" t="n">
        <v>253197922720</v>
      </c>
      <c r="AA227" s="30" t="n">
        <v>6650151200</v>
      </c>
      <c r="AB227" s="30" t="n">
        <v>10345842098</v>
      </c>
      <c r="AC227" s="35" t="n">
        <v>0.02626463569906179</v>
      </c>
      <c r="AD227" s="24" t="inlineStr">
        <is>
          <t>yfinance_download</t>
        </is>
      </c>
      <c r="AE227" s="24" t="inlineStr">
        <is>
          <t>102120.KQ</t>
        </is>
      </c>
    </row>
    <row r="228" ht="24" customHeight="1">
      <c r="A228" s="29" t="inlineStr">
        <is>
          <t>2024-05-13</t>
        </is>
      </c>
      <c r="B228" s="31" t="n">
        <v>14480</v>
      </c>
      <c r="C228" s="31" t="n">
        <v>14700</v>
      </c>
      <c r="D228" s="31" t="n">
        <v>13850</v>
      </c>
      <c r="E228" s="31" t="n">
        <v>13930</v>
      </c>
      <c r="F228" s="31" t="n">
        <v>13930</v>
      </c>
      <c r="G228" s="31" t="n">
        <v>306107</v>
      </c>
      <c r="H228" s="36" t="n">
        <v>-0.0217696629213483</v>
      </c>
      <c r="I228" s="36" t="n">
        <v>-0.3849889624724062</v>
      </c>
      <c r="J228" s="31" t="n">
        <v>15739.5</v>
      </c>
      <c r="K228" s="31" t="n">
        <v>16879</v>
      </c>
      <c r="L228" s="31" t="n">
        <v>15198.58333333333</v>
      </c>
      <c r="M228" s="36" t="n">
        <v>0.4644311997807774</v>
      </c>
      <c r="N228" s="36" t="n">
        <v>0.648840619591174</v>
      </c>
      <c r="O228" s="36" t="n">
        <v>-0.130461922596754</v>
      </c>
      <c r="P228" s="36" t="n">
        <v>-0.3035</v>
      </c>
      <c r="Q228" s="36" t="n">
        <v>0.7544080604534005</v>
      </c>
      <c r="R228" s="36" t="n">
        <v>-0.1149655325772737</v>
      </c>
      <c r="S228" s="36" t="n">
        <v>-0.174714141833047</v>
      </c>
      <c r="T228" s="36" t="n">
        <v>-0.0834672091148847</v>
      </c>
      <c r="U228" s="31" t="n">
        <v>22650</v>
      </c>
      <c r="V228" s="31" t="n">
        <v>7430</v>
      </c>
      <c r="W228" s="36" t="n">
        <v>-0.3849889624724062</v>
      </c>
      <c r="X228" s="36" t="n">
        <v>0.8748317631224765</v>
      </c>
      <c r="Y228" s="31" t="n">
        <v>17780753</v>
      </c>
      <c r="Z228" s="31" t="n">
        <v>247685889290</v>
      </c>
      <c r="AA228" s="31" t="n">
        <v>4264070510</v>
      </c>
      <c r="AB228" s="31" t="n">
        <v>10042189960.5</v>
      </c>
      <c r="AC228" s="36" t="n">
        <v>0.01721563760544899</v>
      </c>
      <c r="AD228" s="29" t="inlineStr">
        <is>
          <t>yfinance_download</t>
        </is>
      </c>
      <c r="AE228" s="29" t="inlineStr">
        <is>
          <t>102120.KQ</t>
        </is>
      </c>
    </row>
    <row r="229" ht="24" customHeight="1">
      <c r="A229" s="24" t="inlineStr">
        <is>
          <t>2024-05-14</t>
        </is>
      </c>
      <c r="B229" s="30" t="n">
        <v>13850</v>
      </c>
      <c r="C229" s="30" t="n">
        <v>14050</v>
      </c>
      <c r="D229" s="30" t="n">
        <v>13780</v>
      </c>
      <c r="E229" s="30" t="n">
        <v>13890</v>
      </c>
      <c r="F229" s="30" t="n">
        <v>13890</v>
      </c>
      <c r="G229" s="30" t="n">
        <v>311527</v>
      </c>
      <c r="H229" s="35" t="n">
        <v>-0.002871500358937573</v>
      </c>
      <c r="I229" s="35" t="n">
        <v>-0.3867549668874172</v>
      </c>
      <c r="J229" s="30" t="n">
        <v>15611.5</v>
      </c>
      <c r="K229" s="30" t="n">
        <v>16753</v>
      </c>
      <c r="L229" s="30" t="n">
        <v>15246.5</v>
      </c>
      <c r="M229" s="35" t="n">
        <v>0.447770502507648</v>
      </c>
      <c r="N229" s="35" t="n">
        <v>0.6283505413534405</v>
      </c>
      <c r="O229" s="35" t="n">
        <v>-0.1556231003039513</v>
      </c>
      <c r="P229" s="35" t="n">
        <v>-0.3524475524475524</v>
      </c>
      <c r="Q229" s="35" t="n">
        <v>0.7063882063882063</v>
      </c>
      <c r="R229" s="35" t="n">
        <v>-0.1102712743810652</v>
      </c>
      <c r="S229" s="35" t="n">
        <v>-0.1708947651166955</v>
      </c>
      <c r="T229" s="35" t="n">
        <v>-0.08897123930082318</v>
      </c>
      <c r="U229" s="30" t="n">
        <v>22650</v>
      </c>
      <c r="V229" s="30" t="n">
        <v>7430</v>
      </c>
      <c r="W229" s="35" t="n">
        <v>-0.3867549668874172</v>
      </c>
      <c r="X229" s="35" t="n">
        <v>0.8694481830417227</v>
      </c>
      <c r="Y229" s="30" t="n">
        <v>17780753</v>
      </c>
      <c r="Z229" s="30" t="n">
        <v>246974659170</v>
      </c>
      <c r="AA229" s="30" t="n">
        <v>4327110030</v>
      </c>
      <c r="AB229" s="30" t="n">
        <v>9222501432</v>
      </c>
      <c r="AC229" s="35" t="n">
        <v>0.01752046159124982</v>
      </c>
      <c r="AD229" s="24" t="inlineStr">
        <is>
          <t>yfinance_download</t>
        </is>
      </c>
      <c r="AE229" s="24" t="inlineStr">
        <is>
          <t>102120.KQ</t>
        </is>
      </c>
    </row>
    <row r="230" ht="24" customHeight="1">
      <c r="A230" s="29" t="inlineStr">
        <is>
          <t>2024-05-16</t>
        </is>
      </c>
      <c r="B230" s="31" t="n">
        <v>14260</v>
      </c>
      <c r="C230" s="31" t="n">
        <v>14750</v>
      </c>
      <c r="D230" s="31" t="n">
        <v>14160</v>
      </c>
      <c r="E230" s="31" t="n">
        <v>14370</v>
      </c>
      <c r="F230" s="31" t="n">
        <v>14370</v>
      </c>
      <c r="G230" s="31" t="n">
        <v>480481</v>
      </c>
      <c r="H230" s="36" t="n">
        <v>0.03455723542116629</v>
      </c>
      <c r="I230" s="36" t="n">
        <v>-0.3655629139072848</v>
      </c>
      <c r="J230" s="31" t="n">
        <v>15477.5</v>
      </c>
      <c r="K230" s="31" t="n">
        <v>16632.5</v>
      </c>
      <c r="L230" s="31" t="n">
        <v>15297.83333333333</v>
      </c>
      <c r="M230" s="36" t="n">
        <v>0.4452877794232326</v>
      </c>
      <c r="N230" s="36" t="n">
        <v>0.6333901489099261</v>
      </c>
      <c r="O230" s="36" t="n">
        <v>-0.1571847507331379</v>
      </c>
      <c r="P230" s="36" t="n">
        <v>-0.3347222222222223</v>
      </c>
      <c r="Q230" s="36" t="n">
        <v>0.7503045066991474</v>
      </c>
      <c r="R230" s="36" t="n">
        <v>-0.07155548376675824</v>
      </c>
      <c r="S230" s="36" t="n">
        <v>-0.1360288591612806</v>
      </c>
      <c r="T230" s="36" t="n">
        <v>-0.06065129048775975</v>
      </c>
      <c r="U230" s="31" t="n">
        <v>22650</v>
      </c>
      <c r="V230" s="31" t="n">
        <v>7430</v>
      </c>
      <c r="W230" s="36" t="n">
        <v>-0.3655629139072848</v>
      </c>
      <c r="X230" s="36" t="n">
        <v>0.9340511440107671</v>
      </c>
      <c r="Y230" s="31" t="n">
        <v>17780753</v>
      </c>
      <c r="Z230" s="31" t="n">
        <v>255509420610</v>
      </c>
      <c r="AA230" s="31" t="n">
        <v>6904511970</v>
      </c>
      <c r="AB230" s="31" t="n">
        <v>8735999045.5</v>
      </c>
      <c r="AC230" s="36" t="n">
        <v>0.02702253386006768</v>
      </c>
      <c r="AD230" s="29" t="inlineStr">
        <is>
          <t>yfinance_download</t>
        </is>
      </c>
      <c r="AE230" s="29" t="inlineStr">
        <is>
          <t>102120.KQ</t>
        </is>
      </c>
    </row>
    <row r="231" ht="24" customHeight="1">
      <c r="A231" s="24" t="inlineStr">
        <is>
          <t>2024-05-17</t>
        </is>
      </c>
      <c r="B231" s="30" t="n">
        <v>14500</v>
      </c>
      <c r="C231" s="30" t="n">
        <v>14500</v>
      </c>
      <c r="D231" s="30" t="n">
        <v>13990</v>
      </c>
      <c r="E231" s="30" t="n">
        <v>13990</v>
      </c>
      <c r="F231" s="30" t="n">
        <v>13990</v>
      </c>
      <c r="G231" s="30" t="n">
        <v>198282</v>
      </c>
      <c r="H231" s="35" t="n">
        <v>-0.02644398051496177</v>
      </c>
      <c r="I231" s="35" t="n">
        <v>-0.3823399558498897</v>
      </c>
      <c r="J231" s="30" t="n">
        <v>15371</v>
      </c>
      <c r="K231" s="30" t="n">
        <v>16525.66666666667</v>
      </c>
      <c r="L231" s="30" t="n">
        <v>15346.25</v>
      </c>
      <c r="M231" s="35" t="n">
        <v>0.4166971126667942</v>
      </c>
      <c r="N231" s="35" t="n">
        <v>0.6264335231680483</v>
      </c>
      <c r="O231" s="35" t="n">
        <v>-0.1321339950372209</v>
      </c>
      <c r="P231" s="35" t="n">
        <v>-0.3142156862745098</v>
      </c>
      <c r="Q231" s="35" t="n">
        <v>0.7102689486552567</v>
      </c>
      <c r="R231" s="35" t="n">
        <v>-0.08984451239346825</v>
      </c>
      <c r="S231" s="35" t="n">
        <v>-0.153438086209331</v>
      </c>
      <c r="T231" s="35" t="n">
        <v>-0.08837663924411499</v>
      </c>
      <c r="U231" s="30" t="n">
        <v>22650</v>
      </c>
      <c r="V231" s="30" t="n">
        <v>7430</v>
      </c>
      <c r="W231" s="35" t="n">
        <v>-0.3823399558498897</v>
      </c>
      <c r="X231" s="35" t="n">
        <v>0.8829071332436069</v>
      </c>
      <c r="Y231" s="30" t="n">
        <v>17780753</v>
      </c>
      <c r="Z231" s="30" t="n">
        <v>248752734470</v>
      </c>
      <c r="AA231" s="30" t="n">
        <v>2773965180</v>
      </c>
      <c r="AB231" s="30" t="n">
        <v>8231448048.5</v>
      </c>
      <c r="AC231" s="35" t="n">
        <v>0.01115149622740949</v>
      </c>
      <c r="AD231" s="24" t="inlineStr">
        <is>
          <t>yfinance_download</t>
        </is>
      </c>
      <c r="AE231" s="24" t="inlineStr">
        <is>
          <t>102120.KQ</t>
        </is>
      </c>
    </row>
    <row r="232" ht="24" customHeight="1">
      <c r="A232" s="29" t="inlineStr">
        <is>
          <t>2024-05-20</t>
        </is>
      </c>
      <c r="B232" s="31" t="n">
        <v>13990</v>
      </c>
      <c r="C232" s="31" t="n">
        <v>14070</v>
      </c>
      <c r="D232" s="31" t="n">
        <v>13790</v>
      </c>
      <c r="E232" s="31" t="n">
        <v>14050</v>
      </c>
      <c r="F232" s="31" t="n">
        <v>14050</v>
      </c>
      <c r="G232" s="31" t="n">
        <v>222404</v>
      </c>
      <c r="H232" s="36" t="n">
        <v>0.004288777698356006</v>
      </c>
      <c r="I232" s="36" t="n">
        <v>-0.3796909492273731</v>
      </c>
      <c r="J232" s="31" t="n">
        <v>15241</v>
      </c>
      <c r="K232" s="31" t="n">
        <v>16411.5</v>
      </c>
      <c r="L232" s="31" t="n">
        <v>15395</v>
      </c>
      <c r="M232" s="36" t="n">
        <v>0.3922963044233778</v>
      </c>
      <c r="N232" s="36" t="n">
        <v>0.6236585338711498</v>
      </c>
      <c r="O232" s="36" t="n">
        <v>-0.1561561561561562</v>
      </c>
      <c r="P232" s="36" t="n">
        <v>-0.3277511961722488</v>
      </c>
      <c r="Q232" s="36" t="n">
        <v>0.7134146341463414</v>
      </c>
      <c r="R232" s="36" t="n">
        <v>-0.07814447870874619</v>
      </c>
      <c r="S232" s="36" t="n">
        <v>-0.1438930018584529</v>
      </c>
      <c r="T232" s="36" t="n">
        <v>-0.08736602793114645</v>
      </c>
      <c r="U232" s="31" t="n">
        <v>22650</v>
      </c>
      <c r="V232" s="31" t="n">
        <v>7430</v>
      </c>
      <c r="W232" s="36" t="n">
        <v>-0.3796909492273731</v>
      </c>
      <c r="X232" s="36" t="n">
        <v>0.8909825033647376</v>
      </c>
      <c r="Y232" s="31" t="n">
        <v>17780753</v>
      </c>
      <c r="Z232" s="31" t="n">
        <v>249819579650</v>
      </c>
      <c r="AA232" s="31" t="n">
        <v>3124776200</v>
      </c>
      <c r="AB232" s="31" t="n">
        <v>6886271443.5</v>
      </c>
      <c r="AC232" s="36" t="n">
        <v>0.01250813168598653</v>
      </c>
      <c r="AD232" s="29" t="inlineStr">
        <is>
          <t>yfinance_download</t>
        </is>
      </c>
      <c r="AE232" s="29" t="inlineStr">
        <is>
          <t>102120.KQ</t>
        </is>
      </c>
    </row>
    <row r="233" ht="24" customHeight="1">
      <c r="A233" s="24" t="inlineStr">
        <is>
          <t>2024-05-21</t>
        </is>
      </c>
      <c r="B233" s="30" t="n">
        <v>14060</v>
      </c>
      <c r="C233" s="30" t="n">
        <v>14240</v>
      </c>
      <c r="D233" s="30" t="n">
        <v>13740</v>
      </c>
      <c r="E233" s="30" t="n">
        <v>13970</v>
      </c>
      <c r="F233" s="30" t="n">
        <v>13970</v>
      </c>
      <c r="G233" s="30" t="n">
        <v>214830</v>
      </c>
      <c r="H233" s="35" t="n">
        <v>-0.005693950177935947</v>
      </c>
      <c r="I233" s="35" t="n">
        <v>-0.3832229580573951</v>
      </c>
      <c r="J233" s="30" t="n">
        <v>15091</v>
      </c>
      <c r="K233" s="30" t="n">
        <v>16307.66666666667</v>
      </c>
      <c r="L233" s="30" t="n">
        <v>15443.41666666667</v>
      </c>
      <c r="M233" s="35" t="n">
        <v>0.3789759331137369</v>
      </c>
      <c r="N233" s="35" t="n">
        <v>0.6209925814799484</v>
      </c>
      <c r="O233" s="35" t="n">
        <v>-0.1767825574543311</v>
      </c>
      <c r="P233" s="35" t="n">
        <v>-0.3084158415841585</v>
      </c>
      <c r="Q233" s="35" t="n">
        <v>0.7120098039215685</v>
      </c>
      <c r="R233" s="35" t="n">
        <v>-0.07428268504406599</v>
      </c>
      <c r="S233" s="35" t="n">
        <v>-0.1433477096662101</v>
      </c>
      <c r="T233" s="35" t="n">
        <v>-0.09540742819216386</v>
      </c>
      <c r="U233" s="30" t="n">
        <v>22650</v>
      </c>
      <c r="V233" s="30" t="n">
        <v>7430</v>
      </c>
      <c r="W233" s="35" t="n">
        <v>-0.3832229580573951</v>
      </c>
      <c r="X233" s="35" t="n">
        <v>0.8802153432032302</v>
      </c>
      <c r="Y233" s="30" t="n">
        <v>17780753</v>
      </c>
      <c r="Z233" s="30" t="n">
        <v>248397119410</v>
      </c>
      <c r="AA233" s="30" t="n">
        <v>3001175100</v>
      </c>
      <c r="AB233" s="30" t="n">
        <v>6350818563.5</v>
      </c>
      <c r="AC233" s="35" t="n">
        <v>0.01208216547409438</v>
      </c>
      <c r="AD233" s="24" t="inlineStr">
        <is>
          <t>yfinance_download</t>
        </is>
      </c>
      <c r="AE233" s="24" t="inlineStr">
        <is>
          <t>102120.KQ</t>
        </is>
      </c>
    </row>
    <row r="234" ht="24" customHeight="1">
      <c r="A234" s="29" t="inlineStr">
        <is>
          <t>2024-05-22</t>
        </is>
      </c>
      <c r="B234" s="31" t="n">
        <v>13980</v>
      </c>
      <c r="C234" s="31" t="n">
        <v>13990</v>
      </c>
      <c r="D234" s="31" t="n">
        <v>13630</v>
      </c>
      <c r="E234" s="31" t="n">
        <v>13630</v>
      </c>
      <c r="F234" s="31" t="n">
        <v>13630</v>
      </c>
      <c r="G234" s="31" t="n">
        <v>220368</v>
      </c>
      <c r="H234" s="36" t="n">
        <v>-0.0243378668575519</v>
      </c>
      <c r="I234" s="36" t="n">
        <v>-0.398233995584989</v>
      </c>
      <c r="J234" s="31" t="n">
        <v>14969.5</v>
      </c>
      <c r="K234" s="31" t="n">
        <v>16210.66666666667</v>
      </c>
      <c r="L234" s="31" t="n">
        <v>15488.83333333333</v>
      </c>
      <c r="M234" s="36" t="n">
        <v>0.3465237143769118</v>
      </c>
      <c r="N234" s="36" t="n">
        <v>0.6187494410979759</v>
      </c>
      <c r="O234" s="36" t="n">
        <v>-0.151307596513076</v>
      </c>
      <c r="P234" s="36" t="n">
        <v>-0.2992287917737789</v>
      </c>
      <c r="Q234" s="36" t="n">
        <v>0.6662591687041566</v>
      </c>
      <c r="R234" s="36" t="n">
        <v>-0.0894819466248038</v>
      </c>
      <c r="S234" s="36" t="n">
        <v>-0.1591955913801611</v>
      </c>
      <c r="T234" s="36" t="n">
        <v>-0.12001119085793</v>
      </c>
      <c r="U234" s="31" t="n">
        <v>22650</v>
      </c>
      <c r="V234" s="31" t="n">
        <v>7430</v>
      </c>
      <c r="W234" s="36" t="n">
        <v>-0.398233995584989</v>
      </c>
      <c r="X234" s="36" t="n">
        <v>0.8344549125168237</v>
      </c>
      <c r="Y234" s="31" t="n">
        <v>17780753</v>
      </c>
      <c r="Z234" s="31" t="n">
        <v>242351663390</v>
      </c>
      <c r="AA234" s="31" t="n">
        <v>3003615840</v>
      </c>
      <c r="AB234" s="31" t="n">
        <v>5870300671.5</v>
      </c>
      <c r="AC234" s="36" t="n">
        <v>0.01239362584925397</v>
      </c>
      <c r="AD234" s="29" t="inlineStr">
        <is>
          <t>yfinance_download</t>
        </is>
      </c>
      <c r="AE234" s="29" t="inlineStr">
        <is>
          <t>102120.KQ</t>
        </is>
      </c>
    </row>
    <row r="235" ht="24" customHeight="1">
      <c r="A235" s="24" t="inlineStr">
        <is>
          <t>2024-05-23</t>
        </is>
      </c>
      <c r="B235" s="30" t="n">
        <v>13680</v>
      </c>
      <c r="C235" s="30" t="n">
        <v>13810</v>
      </c>
      <c r="D235" s="30" t="n">
        <v>13270</v>
      </c>
      <c r="E235" s="30" t="n">
        <v>13500</v>
      </c>
      <c r="F235" s="30" t="n">
        <v>13500</v>
      </c>
      <c r="G235" s="30" t="n">
        <v>280111</v>
      </c>
      <c r="H235" s="35" t="n">
        <v>-0.009537784299339713</v>
      </c>
      <c r="I235" s="35" t="n">
        <v>-0.4039735099337748</v>
      </c>
      <c r="J235" s="30" t="n">
        <v>14870</v>
      </c>
      <c r="K235" s="30" t="n">
        <v>16074</v>
      </c>
      <c r="L235" s="30" t="n">
        <v>15533.58333333333</v>
      </c>
      <c r="M235" s="35" t="n">
        <v>0.3310573253607433</v>
      </c>
      <c r="N235" s="35" t="n">
        <v>0.5651810539216898</v>
      </c>
      <c r="O235" s="35" t="n">
        <v>-0.1284699806326662</v>
      </c>
      <c r="P235" s="35" t="n">
        <v>-0.3778801843317973</v>
      </c>
      <c r="Q235" s="35" t="n">
        <v>0.6605166051660516</v>
      </c>
      <c r="R235" s="35" t="n">
        <v>-0.09213180901143236</v>
      </c>
      <c r="S235" s="35" t="n">
        <v>-0.1601343784994401</v>
      </c>
      <c r="T235" s="35" t="n">
        <v>-0.1309152749687506</v>
      </c>
      <c r="U235" s="30" t="n">
        <v>22650</v>
      </c>
      <c r="V235" s="30" t="n">
        <v>7430</v>
      </c>
      <c r="W235" s="35" t="n">
        <v>-0.4039735099337748</v>
      </c>
      <c r="X235" s="35" t="n">
        <v>0.8169582772543742</v>
      </c>
      <c r="Y235" s="30" t="n">
        <v>17780753</v>
      </c>
      <c r="Z235" s="30" t="n">
        <v>240040165500</v>
      </c>
      <c r="AA235" s="30" t="n">
        <v>3781498500</v>
      </c>
      <c r="AB235" s="30" t="n">
        <v>5713042431.5</v>
      </c>
      <c r="AC235" s="35" t="n">
        <v>0.01575360728536075</v>
      </c>
      <c r="AD235" s="24" t="inlineStr">
        <is>
          <t>yfinance_download</t>
        </is>
      </c>
      <c r="AE235" s="24" t="inlineStr">
        <is>
          <t>102120.KQ</t>
        </is>
      </c>
    </row>
    <row r="236" ht="24" customHeight="1">
      <c r="A236" s="29" t="inlineStr">
        <is>
          <t>2024-05-24</t>
        </is>
      </c>
      <c r="B236" s="31" t="n">
        <v>13320</v>
      </c>
      <c r="C236" s="31" t="n">
        <v>13400</v>
      </c>
      <c r="D236" s="31" t="n">
        <v>13070</v>
      </c>
      <c r="E236" s="31" t="n">
        <v>13120</v>
      </c>
      <c r="F236" s="31" t="n">
        <v>13120</v>
      </c>
      <c r="G236" s="31" t="n">
        <v>238968</v>
      </c>
      <c r="H236" s="36" t="n">
        <v>-0.02814814814814814</v>
      </c>
      <c r="I236" s="36" t="n">
        <v>-0.4207505518763797</v>
      </c>
      <c r="J236" s="31" t="n">
        <v>14739</v>
      </c>
      <c r="K236" s="31" t="n">
        <v>15959.33333333333</v>
      </c>
      <c r="L236" s="31" t="n">
        <v>15575.08333333333</v>
      </c>
      <c r="M236" s="36" t="n">
        <v>0.3279429863377039</v>
      </c>
      <c r="N236" s="36" t="n">
        <v>0.5472976070404537</v>
      </c>
      <c r="O236" s="36" t="n">
        <v>-0.1664548919949174</v>
      </c>
      <c r="P236" s="36" t="n">
        <v>-0.344</v>
      </c>
      <c r="Q236" s="36" t="n">
        <v>0.6117936117936118</v>
      </c>
      <c r="R236" s="36" t="n">
        <v>-0.1098446298934799</v>
      </c>
      <c r="S236" s="36" t="n">
        <v>-0.1779105225782197</v>
      </c>
      <c r="T236" s="36" t="n">
        <v>-0.1576289051422947</v>
      </c>
      <c r="U236" s="31" t="n">
        <v>22650</v>
      </c>
      <c r="V236" s="31" t="n">
        <v>7430</v>
      </c>
      <c r="W236" s="36" t="n">
        <v>-0.4207505518763797</v>
      </c>
      <c r="X236" s="36" t="n">
        <v>0.7658142664872141</v>
      </c>
      <c r="Y236" s="31" t="n">
        <v>17780753</v>
      </c>
      <c r="Z236" s="31" t="n">
        <v>233283479360</v>
      </c>
      <c r="AA236" s="31" t="n">
        <v>3135260160</v>
      </c>
      <c r="AB236" s="31" t="n">
        <v>4829250566.5</v>
      </c>
      <c r="AC236" s="36" t="n">
        <v>0.01343970078207599</v>
      </c>
      <c r="AD236" s="29" t="inlineStr">
        <is>
          <t>yfinance_download</t>
        </is>
      </c>
      <c r="AE236" s="29" t="inlineStr">
        <is>
          <t>102120.KQ</t>
        </is>
      </c>
    </row>
    <row r="237" ht="24" customHeight="1">
      <c r="A237" s="24" t="inlineStr">
        <is>
          <t>2024-05-27</t>
        </is>
      </c>
      <c r="B237" s="30" t="n">
        <v>13120</v>
      </c>
      <c r="C237" s="30" t="n">
        <v>13250</v>
      </c>
      <c r="D237" s="30" t="n">
        <v>12880</v>
      </c>
      <c r="E237" s="30" t="n">
        <v>13130</v>
      </c>
      <c r="F237" s="30" t="n">
        <v>13130</v>
      </c>
      <c r="G237" s="30" t="n">
        <v>317993</v>
      </c>
      <c r="H237" s="35" t="n">
        <v>0.0007621951219511924</v>
      </c>
      <c r="I237" s="35" t="n">
        <v>-0.4203090507726269</v>
      </c>
      <c r="J237" s="30" t="n">
        <v>14582</v>
      </c>
      <c r="K237" s="30" t="n">
        <v>15862.16666666667</v>
      </c>
      <c r="L237" s="30" t="n">
        <v>15607.33333333333</v>
      </c>
      <c r="M237" s="35" t="n">
        <v>0.2899392362424539</v>
      </c>
      <c r="N237" s="35" t="n">
        <v>0.539152953638764</v>
      </c>
      <c r="O237" s="35" t="n">
        <v>-0.1929932390903504</v>
      </c>
      <c r="P237" s="35" t="n">
        <v>-0.3074894514767933</v>
      </c>
      <c r="Q237" s="35" t="n">
        <v>0.41792656587473</v>
      </c>
      <c r="R237" s="35" t="n">
        <v>-0.09957481826909886</v>
      </c>
      <c r="S237" s="35" t="n">
        <v>-0.172244228930474</v>
      </c>
      <c r="T237" s="35" t="n">
        <v>-0.1587288026995857</v>
      </c>
      <c r="U237" s="30" t="n">
        <v>22650</v>
      </c>
      <c r="V237" s="30" t="n">
        <v>7430</v>
      </c>
      <c r="W237" s="35" t="n">
        <v>-0.4203090507726269</v>
      </c>
      <c r="X237" s="35" t="n">
        <v>0.7671601615074024</v>
      </c>
      <c r="Y237" s="30" t="n">
        <v>17780753</v>
      </c>
      <c r="Z237" s="30" t="n">
        <v>233461286890</v>
      </c>
      <c r="AA237" s="30" t="n">
        <v>4175248090</v>
      </c>
      <c r="AB237" s="30" t="n">
        <v>4500167446</v>
      </c>
      <c r="AC237" s="35" t="n">
        <v>0.01788411323187494</v>
      </c>
      <c r="AD237" s="24" t="inlineStr">
        <is>
          <t>yfinance_download</t>
        </is>
      </c>
      <c r="AE237" s="24" t="inlineStr">
        <is>
          <t>102120.KQ</t>
        </is>
      </c>
    </row>
    <row r="238" ht="24" customHeight="1">
      <c r="A238" s="29" t="inlineStr">
        <is>
          <t>2024-05-28</t>
        </is>
      </c>
      <c r="B238" s="31" t="n">
        <v>13490</v>
      </c>
      <c r="C238" s="31" t="n">
        <v>13490</v>
      </c>
      <c r="D238" s="31" t="n">
        <v>13140</v>
      </c>
      <c r="E238" s="31" t="n">
        <v>13240</v>
      </c>
      <c r="F238" s="31" t="n">
        <v>13240</v>
      </c>
      <c r="G238" s="31" t="n">
        <v>273465</v>
      </c>
      <c r="H238" s="36" t="n">
        <v>0.008377760853008454</v>
      </c>
      <c r="I238" s="36" t="n">
        <v>-0.4154525386313466</v>
      </c>
      <c r="J238" s="31" t="n">
        <v>14456</v>
      </c>
      <c r="K238" s="31" t="n">
        <v>15777.83333333333</v>
      </c>
      <c r="L238" s="31" t="n">
        <v>15641.75</v>
      </c>
      <c r="M238" s="36" t="n">
        <v>0.2863311987808551</v>
      </c>
      <c r="N238" s="36" t="n">
        <v>0.5363986992484824</v>
      </c>
      <c r="O238" s="36" t="n">
        <v>-0.1598984771573604</v>
      </c>
      <c r="P238" s="36" t="n">
        <v>-0.2765027322404372</v>
      </c>
      <c r="Q238" s="36" t="n">
        <v>0.4533479692645443</v>
      </c>
      <c r="R238" s="36" t="n">
        <v>-0.08411732152739348</v>
      </c>
      <c r="S238" s="36" t="n">
        <v>-0.16084802518301</v>
      </c>
      <c r="T238" s="36" t="n">
        <v>-0.153547397190212</v>
      </c>
      <c r="U238" s="31" t="n">
        <v>22650</v>
      </c>
      <c r="V238" s="31" t="n">
        <v>7430</v>
      </c>
      <c r="W238" s="36" t="n">
        <v>-0.4154525386313466</v>
      </c>
      <c r="X238" s="36" t="n">
        <v>0.781965006729475</v>
      </c>
      <c r="Y238" s="31" t="n">
        <v>17780753</v>
      </c>
      <c r="Z238" s="31" t="n">
        <v>235417169720</v>
      </c>
      <c r="AA238" s="31" t="n">
        <v>3620676600</v>
      </c>
      <c r="AB238" s="31" t="n">
        <v>4338941356</v>
      </c>
      <c r="AC238" s="36" t="n">
        <v>0.01537983233893413</v>
      </c>
      <c r="AD238" s="29" t="inlineStr">
        <is>
          <t>yfinance_download</t>
        </is>
      </c>
      <c r="AE238" s="29" t="inlineStr">
        <is>
          <t>102120.KQ</t>
        </is>
      </c>
    </row>
    <row r="239" ht="24" customHeight="1">
      <c r="A239" s="24" t="inlineStr">
        <is>
          <t>2024-05-29</t>
        </is>
      </c>
      <c r="B239" s="30" t="n">
        <v>13370</v>
      </c>
      <c r="C239" s="30" t="n">
        <v>14260</v>
      </c>
      <c r="D239" s="30" t="n">
        <v>13300</v>
      </c>
      <c r="E239" s="30" t="n">
        <v>13650</v>
      </c>
      <c r="F239" s="30" t="n">
        <v>13650</v>
      </c>
      <c r="G239" s="30" t="n">
        <v>1017536</v>
      </c>
      <c r="H239" s="35" t="n">
        <v>0.0309667673716012</v>
      </c>
      <c r="I239" s="35" t="n">
        <v>-0.3973509933774835</v>
      </c>
      <c r="J239" s="30" t="n">
        <v>14350</v>
      </c>
      <c r="K239" s="30" t="n">
        <v>15709.16666666667</v>
      </c>
      <c r="L239" s="30" t="n">
        <v>15681.16666666667</v>
      </c>
      <c r="M239" s="35" t="n">
        <v>0.3177139391812251</v>
      </c>
      <c r="N239" s="35" t="n">
        <v>0.5389360294422824</v>
      </c>
      <c r="O239" s="35" t="n">
        <v>-0.134432466708941</v>
      </c>
      <c r="P239" s="35" t="n">
        <v>-0.2318514350028137</v>
      </c>
      <c r="Q239" s="35" t="n">
        <v>0.5302690582959642</v>
      </c>
      <c r="R239" s="35" t="n">
        <v>-0.04878048780487809</v>
      </c>
      <c r="S239" s="35" t="n">
        <v>-0.1310805792796138</v>
      </c>
      <c r="T239" s="35" t="n">
        <v>-0.1295290528978499</v>
      </c>
      <c r="U239" s="30" t="n">
        <v>22650</v>
      </c>
      <c r="V239" s="30" t="n">
        <v>7430</v>
      </c>
      <c r="W239" s="35" t="n">
        <v>-0.3973509933774835</v>
      </c>
      <c r="X239" s="35" t="n">
        <v>0.8371467025572006</v>
      </c>
      <c r="Y239" s="30" t="n">
        <v>17780753</v>
      </c>
      <c r="Z239" s="30" t="n">
        <v>242707278450</v>
      </c>
      <c r="AA239" s="30" t="n">
        <v>13889366400</v>
      </c>
      <c r="AB239" s="30" t="n">
        <v>4759282131.5</v>
      </c>
      <c r="AC239" s="35" t="n">
        <v>0.0572268227335479</v>
      </c>
      <c r="AD239" s="24" t="inlineStr">
        <is>
          <t>yfinance_download</t>
        </is>
      </c>
      <c r="AE239" s="24" t="inlineStr">
        <is>
          <t>102120.KQ</t>
        </is>
      </c>
    </row>
    <row r="240" ht="24" customHeight="1">
      <c r="A240" s="29" t="inlineStr">
        <is>
          <t>2024-05-30</t>
        </is>
      </c>
      <c r="B240" s="31" t="n">
        <v>13640</v>
      </c>
      <c r="C240" s="31" t="n">
        <v>13640</v>
      </c>
      <c r="D240" s="31" t="n">
        <v>13150</v>
      </c>
      <c r="E240" s="31" t="n">
        <v>13150</v>
      </c>
      <c r="F240" s="31" t="n">
        <v>13150</v>
      </c>
      <c r="G240" s="31" t="n">
        <v>227835</v>
      </c>
      <c r="H240" s="36" t="n">
        <v>-0.03663003663003661</v>
      </c>
      <c r="I240" s="36" t="n">
        <v>-0.4194260485651214</v>
      </c>
      <c r="J240" s="31" t="n">
        <v>14219.5</v>
      </c>
      <c r="K240" s="31" t="n">
        <v>15644</v>
      </c>
      <c r="L240" s="31" t="n">
        <v>15716.33333333333</v>
      </c>
      <c r="M240" s="36" t="n">
        <v>0.3334493522581026</v>
      </c>
      <c r="N240" s="36" t="n">
        <v>0.5380263567242453</v>
      </c>
      <c r="O240" s="36" t="n">
        <v>-0.1656091370558376</v>
      </c>
      <c r="P240" s="36" t="n">
        <v>-0.2291910902696366</v>
      </c>
      <c r="Q240" s="36" t="n">
        <v>0.4725643896976484</v>
      </c>
      <c r="R240" s="36" t="n">
        <v>-0.07521361510601643</v>
      </c>
      <c r="S240" s="36" t="n">
        <v>-0.1594221426745078</v>
      </c>
      <c r="T240" s="36" t="n">
        <v>-0.1632908439203377</v>
      </c>
      <c r="U240" s="31" t="n">
        <v>22650</v>
      </c>
      <c r="V240" s="31" t="n">
        <v>7430</v>
      </c>
      <c r="W240" s="36" t="n">
        <v>-0.4194260485651214</v>
      </c>
      <c r="X240" s="36" t="n">
        <v>0.7698519515477793</v>
      </c>
      <c r="Y240" s="31" t="n">
        <v>17780753</v>
      </c>
      <c r="Z240" s="31" t="n">
        <v>233816901950</v>
      </c>
      <c r="AA240" s="31" t="n">
        <v>2996030250</v>
      </c>
      <c r="AB240" s="31" t="n">
        <v>4690707568</v>
      </c>
      <c r="AC240" s="36" t="n">
        <v>0.012813574318253</v>
      </c>
      <c r="AD240" s="29" t="inlineStr">
        <is>
          <t>yfinance_download</t>
        </is>
      </c>
      <c r="AE240" s="29" t="inlineStr">
        <is>
          <t>102120.KQ</t>
        </is>
      </c>
    </row>
    <row r="241" ht="24" customHeight="1">
      <c r="A241" s="24" t="inlineStr">
        <is>
          <t>2024-05-31</t>
        </is>
      </c>
      <c r="B241" s="30" t="n">
        <v>13220</v>
      </c>
      <c r="C241" s="30" t="n">
        <v>13230</v>
      </c>
      <c r="D241" s="30" t="n">
        <v>12980</v>
      </c>
      <c r="E241" s="30" t="n">
        <v>13000</v>
      </c>
      <c r="F241" s="30" t="n">
        <v>13000</v>
      </c>
      <c r="G241" s="30" t="n">
        <v>157016</v>
      </c>
      <c r="H241" s="35" t="n">
        <v>-0.01140684410646386</v>
      </c>
      <c r="I241" s="35" t="n">
        <v>-0.4260485651214128</v>
      </c>
      <c r="J241" s="30" t="n">
        <v>14086</v>
      </c>
      <c r="K241" s="30" t="n">
        <v>15555</v>
      </c>
      <c r="L241" s="30" t="n">
        <v>15751.33333333333</v>
      </c>
      <c r="M241" s="35" t="n">
        <v>0.3333621830277442</v>
      </c>
      <c r="N241" s="35" t="n">
        <v>0.5125100970806585</v>
      </c>
      <c r="O241" s="35" t="n">
        <v>-0.1703892788768347</v>
      </c>
      <c r="P241" s="35" t="n">
        <v>-0.2911668484187568</v>
      </c>
      <c r="Q241" s="35" t="n">
        <v>0.4772727272727273</v>
      </c>
      <c r="R241" s="35" t="n">
        <v>-0.07709782763027118</v>
      </c>
      <c r="S241" s="35" t="n">
        <v>-0.1642558662809386</v>
      </c>
      <c r="T241" s="35" t="n">
        <v>-0.1746730435518686</v>
      </c>
      <c r="U241" s="30" t="n">
        <v>22650</v>
      </c>
      <c r="V241" s="30" t="n">
        <v>7430</v>
      </c>
      <c r="W241" s="35" t="n">
        <v>-0.4260485651214128</v>
      </c>
      <c r="X241" s="35" t="n">
        <v>0.7496635262449529</v>
      </c>
      <c r="Y241" s="30" t="n">
        <v>17780753</v>
      </c>
      <c r="Z241" s="30" t="n">
        <v>231149789000</v>
      </c>
      <c r="AA241" s="30" t="n">
        <v>2041208000</v>
      </c>
      <c r="AB241" s="30" t="n">
        <v>4562380576.5</v>
      </c>
      <c r="AC241" s="35" t="n">
        <v>0.008830672131827038</v>
      </c>
      <c r="AD241" s="24" t="inlineStr">
        <is>
          <t>yfinance_download</t>
        </is>
      </c>
      <c r="AE241" s="24" t="inlineStr">
        <is>
          <t>102120.KQ</t>
        </is>
      </c>
    </row>
    <row r="242" ht="24" customHeight="1">
      <c r="A242" s="29" t="inlineStr">
        <is>
          <t>2024-06-03</t>
        </is>
      </c>
      <c r="B242" s="31" t="n">
        <v>12910</v>
      </c>
      <c r="C242" s="31" t="n">
        <v>13180</v>
      </c>
      <c r="D242" s="31" t="n">
        <v>12910</v>
      </c>
      <c r="E242" s="31" t="n">
        <v>13080</v>
      </c>
      <c r="F242" s="31" t="n">
        <v>13080</v>
      </c>
      <c r="G242" s="31" t="n">
        <v>144327</v>
      </c>
      <c r="H242" s="36" t="n">
        <v>0.006153846153846176</v>
      </c>
      <c r="I242" s="36" t="n">
        <v>-0.4225165562913907</v>
      </c>
      <c r="J242" s="31" t="n">
        <v>13966</v>
      </c>
      <c r="K242" s="31" t="n">
        <v>15481.16666666667</v>
      </c>
      <c r="L242" s="31" t="n">
        <v>15786.83333333333</v>
      </c>
      <c r="M242" s="36" t="n">
        <v>0.337441258591202</v>
      </c>
      <c r="N242" s="36" t="n">
        <v>0.5061438939937875</v>
      </c>
      <c r="O242" s="36" t="n">
        <v>-0.1550387596899225</v>
      </c>
      <c r="P242" s="36" t="n">
        <v>-0.2529982866933181</v>
      </c>
      <c r="Q242" s="36" t="n">
        <v>0.4829931972789117</v>
      </c>
      <c r="R242" s="36" t="n">
        <v>-0.06343978232851211</v>
      </c>
      <c r="S242" s="36" t="n">
        <v>-0.1551024362935609</v>
      </c>
      <c r="T242" s="36" t="n">
        <v>-0.1714614499424626</v>
      </c>
      <c r="U242" s="31" t="n">
        <v>22650</v>
      </c>
      <c r="V242" s="31" t="n">
        <v>7430</v>
      </c>
      <c r="W242" s="36" t="n">
        <v>-0.4225165562913907</v>
      </c>
      <c r="X242" s="36" t="n">
        <v>0.7604306864064603</v>
      </c>
      <c r="Y242" s="31" t="n">
        <v>17780753</v>
      </c>
      <c r="Z242" s="31" t="n">
        <v>232572249240</v>
      </c>
      <c r="AA242" s="31" t="n">
        <v>1887797160</v>
      </c>
      <c r="AB242" s="31" t="n">
        <v>4498980472.5</v>
      </c>
      <c r="AC242" s="36" t="n">
        <v>0.00811703531340883</v>
      </c>
      <c r="AD242" s="29" t="inlineStr">
        <is>
          <t>yfinance_download</t>
        </is>
      </c>
      <c r="AE242" s="29" t="inlineStr">
        <is>
          <t>102120.KQ</t>
        </is>
      </c>
    </row>
    <row r="243" ht="24" customHeight="1">
      <c r="A243" s="24" t="inlineStr">
        <is>
          <t>2024-06-04</t>
        </is>
      </c>
      <c r="B243" s="30" t="n">
        <v>13070</v>
      </c>
      <c r="C243" s="30" t="n">
        <v>13130</v>
      </c>
      <c r="D243" s="30" t="n">
        <v>12660</v>
      </c>
      <c r="E243" s="30" t="n">
        <v>12720</v>
      </c>
      <c r="F243" s="30" t="n">
        <v>12720</v>
      </c>
      <c r="G243" s="30" t="n">
        <v>203083</v>
      </c>
      <c r="H243" s="35" t="n">
        <v>-0.02752293577981646</v>
      </c>
      <c r="I243" s="35" t="n">
        <v>-0.43841059602649</v>
      </c>
      <c r="J243" s="30" t="n">
        <v>13831.5</v>
      </c>
      <c r="K243" s="30" t="n">
        <v>15400</v>
      </c>
      <c r="L243" s="30" t="n">
        <v>15821.33333333333</v>
      </c>
      <c r="M243" s="35" t="n">
        <v>0.3439558544160311</v>
      </c>
      <c r="N243" s="35" t="n">
        <v>0.5079964916991523</v>
      </c>
      <c r="O243" s="35" t="n">
        <v>-0.1745619727449708</v>
      </c>
      <c r="P243" s="35" t="n">
        <v>-0.2768618533257533</v>
      </c>
      <c r="Q243" s="35" t="n">
        <v>0.4825174825174825</v>
      </c>
      <c r="R243" s="35" t="n">
        <v>-0.08036004771716732</v>
      </c>
      <c r="S243" s="35" t="n">
        <v>-0.174025974025974</v>
      </c>
      <c r="T243" s="35" t="n">
        <v>-0.1960222484409236</v>
      </c>
      <c r="U243" s="30" t="n">
        <v>22650</v>
      </c>
      <c r="V243" s="30" t="n">
        <v>7430</v>
      </c>
      <c r="W243" s="35" t="n">
        <v>-0.43841059602649</v>
      </c>
      <c r="X243" s="35" t="n">
        <v>0.711978465679677</v>
      </c>
      <c r="Y243" s="30" t="n">
        <v>17780753</v>
      </c>
      <c r="Z243" s="30" t="n">
        <v>226171178160</v>
      </c>
      <c r="AA243" s="30" t="n">
        <v>2583215760</v>
      </c>
      <c r="AB243" s="30" t="n">
        <v>4292858185.5</v>
      </c>
      <c r="AC243" s="35" t="n">
        <v>0.0114215072893707</v>
      </c>
      <c r="AD243" s="24" t="inlineStr">
        <is>
          <t>yfinance_download</t>
        </is>
      </c>
      <c r="AE243" s="24" t="inlineStr">
        <is>
          <t>102120.KQ</t>
        </is>
      </c>
    </row>
    <row r="244" ht="24" customHeight="1">
      <c r="A244" s="29" t="inlineStr">
        <is>
          <t>2024-06-05</t>
        </is>
      </c>
      <c r="B244" s="31" t="n">
        <v>12970</v>
      </c>
      <c r="C244" s="31" t="n">
        <v>15640</v>
      </c>
      <c r="D244" s="31" t="n">
        <v>12960</v>
      </c>
      <c r="E244" s="31" t="n">
        <v>14010</v>
      </c>
      <c r="F244" s="31" t="n">
        <v>14010</v>
      </c>
      <c r="G244" s="31" t="n">
        <v>6560747</v>
      </c>
      <c r="H244" s="36" t="n">
        <v>0.1014150943396226</v>
      </c>
      <c r="I244" s="36" t="n">
        <v>-0.3814569536423841</v>
      </c>
      <c r="J244" s="31" t="n">
        <v>13754</v>
      </c>
      <c r="K244" s="31" t="n">
        <v>15347</v>
      </c>
      <c r="L244" s="31" t="n">
        <v>15863.91666666667</v>
      </c>
      <c r="M244" s="36" t="n">
        <v>0.5201512366240257</v>
      </c>
      <c r="N244" s="36" t="n">
        <v>0.5512449999654342</v>
      </c>
      <c r="O244" s="36" t="n">
        <v>-0.09961439588688947</v>
      </c>
      <c r="P244" s="36" t="n">
        <v>-0.1849912739965096</v>
      </c>
      <c r="Q244" s="36" t="n">
        <v>0.5741573033707865</v>
      </c>
      <c r="R244" s="36" t="n">
        <v>0.01861276719499783</v>
      </c>
      <c r="S244" s="36" t="n">
        <v>-0.08711800351860299</v>
      </c>
      <c r="T244" s="36" t="n">
        <v>-0.1168637421401818</v>
      </c>
      <c r="U244" s="31" t="n">
        <v>22650</v>
      </c>
      <c r="V244" s="31" t="n">
        <v>7430</v>
      </c>
      <c r="W244" s="36" t="n">
        <v>-0.3814569536423841</v>
      </c>
      <c r="X244" s="36" t="n">
        <v>0.8855989232839838</v>
      </c>
      <c r="Y244" s="31" t="n">
        <v>17780753</v>
      </c>
      <c r="Z244" s="31" t="n">
        <v>249108349530</v>
      </c>
      <c r="AA244" s="31" t="n">
        <v>91916065470</v>
      </c>
      <c r="AB244" s="31" t="n">
        <v>8648730149</v>
      </c>
      <c r="AC244" s="36" t="n">
        <v>0.3689802675960911</v>
      </c>
      <c r="AD244" s="29" t="inlineStr">
        <is>
          <t>yfinance_download</t>
        </is>
      </c>
      <c r="AE244" s="29" t="inlineStr">
        <is>
          <t>102120.KQ</t>
        </is>
      </c>
    </row>
    <row r="245" ht="24" customHeight="1">
      <c r="A245" s="24" t="inlineStr">
        <is>
          <t>2024-06-07</t>
        </is>
      </c>
      <c r="B245" s="30" t="n">
        <v>14450</v>
      </c>
      <c r="C245" s="30" t="n">
        <v>14940</v>
      </c>
      <c r="D245" s="30" t="n">
        <v>14310</v>
      </c>
      <c r="E245" s="30" t="n">
        <v>14710</v>
      </c>
      <c r="F245" s="30" t="n">
        <v>14710</v>
      </c>
      <c r="G245" s="30" t="n">
        <v>1328721</v>
      </c>
      <c r="H245" s="35" t="n">
        <v>0.04996431120628131</v>
      </c>
      <c r="I245" s="35" t="n">
        <v>-0.350551876379691</v>
      </c>
      <c r="J245" s="30" t="n">
        <v>13717.5</v>
      </c>
      <c r="K245" s="30" t="n">
        <v>15308.66666666667</v>
      </c>
      <c r="L245" s="30" t="n">
        <v>15909.83333333333</v>
      </c>
      <c r="M245" s="35" t="n">
        <v>0.554906926471857</v>
      </c>
      <c r="N245" s="35" t="n">
        <v>0.5614821931580979</v>
      </c>
      <c r="O245" s="35" t="n">
        <v>-0.04727979274611394</v>
      </c>
      <c r="P245" s="35" t="n">
        <v>-0.1352145796590241</v>
      </c>
      <c r="Q245" s="35" t="n">
        <v>0.5989130434782608</v>
      </c>
      <c r="R245" s="35" t="n">
        <v>0.07235283397120473</v>
      </c>
      <c r="S245" s="35" t="n">
        <v>-0.03910638853808301</v>
      </c>
      <c r="T245" s="35" t="n">
        <v>-0.07541457589122036</v>
      </c>
      <c r="U245" s="30" t="n">
        <v>22650</v>
      </c>
      <c r="V245" s="30" t="n">
        <v>7430</v>
      </c>
      <c r="W245" s="35" t="n">
        <v>-0.350551876379691</v>
      </c>
      <c r="X245" s="35" t="n">
        <v>0.9798115746971736</v>
      </c>
      <c r="Y245" s="30" t="n">
        <v>17780753</v>
      </c>
      <c r="Z245" s="30" t="n">
        <v>261554876630</v>
      </c>
      <c r="AA245" s="30" t="n">
        <v>19545485910</v>
      </c>
      <c r="AB245" s="30" t="n">
        <v>9440695108.5</v>
      </c>
      <c r="AC245" s="35" t="n">
        <v>0.07472805004377486</v>
      </c>
      <c r="AD245" s="24" t="inlineStr">
        <is>
          <t>yfinance_download</t>
        </is>
      </c>
      <c r="AE245" s="24" t="inlineStr">
        <is>
          <t>102120.KQ</t>
        </is>
      </c>
    </row>
    <row r="246" ht="24" customHeight="1">
      <c r="A246" s="29" t="inlineStr">
        <is>
          <t>2024-06-10</t>
        </is>
      </c>
      <c r="B246" s="31" t="n">
        <v>14810</v>
      </c>
      <c r="C246" s="31" t="n">
        <v>14820</v>
      </c>
      <c r="D246" s="31" t="n">
        <v>14360</v>
      </c>
      <c r="E246" s="31" t="n">
        <v>14440</v>
      </c>
      <c r="F246" s="31" t="n">
        <v>14440</v>
      </c>
      <c r="G246" s="31" t="n">
        <v>522749</v>
      </c>
      <c r="H246" s="36" t="n">
        <v>-0.01835486063902103</v>
      </c>
      <c r="I246" s="36" t="n">
        <v>-0.3624724061810155</v>
      </c>
      <c r="J246" s="31" t="n">
        <v>13691</v>
      </c>
      <c r="K246" s="31" t="n">
        <v>15272.83333333333</v>
      </c>
      <c r="L246" s="31" t="n">
        <v>15950</v>
      </c>
      <c r="M246" s="36" t="n">
        <v>0.5482679091110709</v>
      </c>
      <c r="N246" s="36" t="n">
        <v>0.5605288541473253</v>
      </c>
      <c r="O246" s="36" t="n">
        <v>-0.03540414161656646</v>
      </c>
      <c r="P246" s="36" t="n">
        <v>-0.1295961422543701</v>
      </c>
      <c r="Q246" s="36" t="n">
        <v>0.501039501039501</v>
      </c>
      <c r="R246" s="36" t="n">
        <v>0.05470747206193849</v>
      </c>
      <c r="S246" s="36" t="n">
        <v>-0.0545303752850923</v>
      </c>
      <c r="T246" s="36" t="n">
        <v>-0.09467084639498435</v>
      </c>
      <c r="U246" s="31" t="n">
        <v>22650</v>
      </c>
      <c r="V246" s="31" t="n">
        <v>7430</v>
      </c>
      <c r="W246" s="36" t="n">
        <v>-0.3624724061810155</v>
      </c>
      <c r="X246" s="36" t="n">
        <v>0.9434724091520861</v>
      </c>
      <c r="Y246" s="31" t="n">
        <v>17780753</v>
      </c>
      <c r="Z246" s="31" t="n">
        <v>256754073320</v>
      </c>
      <c r="AA246" s="31" t="n">
        <v>7548495560</v>
      </c>
      <c r="AB246" s="31" t="n">
        <v>9558486194.5</v>
      </c>
      <c r="AC246" s="36" t="n">
        <v>0.02939971102461184</v>
      </c>
      <c r="AD246" s="29" t="inlineStr">
        <is>
          <t>yfinance_download</t>
        </is>
      </c>
      <c r="AE246" s="29" t="inlineStr">
        <is>
          <t>102120.KQ</t>
        </is>
      </c>
    </row>
    <row r="247" ht="24" customHeight="1">
      <c r="A247" s="24" t="inlineStr">
        <is>
          <t>2024-06-11</t>
        </is>
      </c>
      <c r="B247" s="30" t="n">
        <v>14530</v>
      </c>
      <c r="C247" s="30" t="n">
        <v>14590</v>
      </c>
      <c r="D247" s="30" t="n">
        <v>14060</v>
      </c>
      <c r="E247" s="30" t="n">
        <v>14160</v>
      </c>
      <c r="F247" s="30" t="n">
        <v>14160</v>
      </c>
      <c r="G247" s="30" t="n">
        <v>343798</v>
      </c>
      <c r="H247" s="35" t="n">
        <v>-0.01939058171745156</v>
      </c>
      <c r="I247" s="35" t="n">
        <v>-0.3748344370860928</v>
      </c>
      <c r="J247" s="30" t="n">
        <v>13687</v>
      </c>
      <c r="K247" s="30" t="n">
        <v>15236</v>
      </c>
      <c r="L247" s="30" t="n">
        <v>15986.58333333333</v>
      </c>
      <c r="M247" s="35" t="n">
        <v>0.5238770064163111</v>
      </c>
      <c r="N247" s="35" t="n">
        <v>0.5612087638062554</v>
      </c>
      <c r="O247" s="35" t="n">
        <v>-0.005617977528089901</v>
      </c>
      <c r="P247" s="35" t="n">
        <v>-0.1350030543677458</v>
      </c>
      <c r="Q247" s="35" t="n">
        <v>0.4493346980552713</v>
      </c>
      <c r="R247" s="35" t="n">
        <v>0.03455834003068614</v>
      </c>
      <c r="S247" s="35" t="n">
        <v>-0.07062221055395113</v>
      </c>
      <c r="T247" s="35" t="n">
        <v>-0.1142572678131142</v>
      </c>
      <c r="U247" s="30" t="n">
        <v>22650</v>
      </c>
      <c r="V247" s="30" t="n">
        <v>7430</v>
      </c>
      <c r="W247" s="35" t="n">
        <v>-0.3748344370860928</v>
      </c>
      <c r="X247" s="35" t="n">
        <v>0.9057873485868102</v>
      </c>
      <c r="Y247" s="30" t="n">
        <v>17780753</v>
      </c>
      <c r="Z247" s="30" t="n">
        <v>251775462480</v>
      </c>
      <c r="AA247" s="30" t="n">
        <v>4868179680</v>
      </c>
      <c r="AB247" s="30" t="n">
        <v>9469387618.5</v>
      </c>
      <c r="AC247" s="35" t="n">
        <v>0.01933540159969603</v>
      </c>
      <c r="AD247" s="24" t="inlineStr">
        <is>
          <t>yfinance_download</t>
        </is>
      </c>
      <c r="AE247" s="24" t="inlineStr">
        <is>
          <t>102120.KQ</t>
        </is>
      </c>
    </row>
    <row r="248" ht="24" customHeight="1">
      <c r="A248" s="29" t="inlineStr">
        <is>
          <t>2024-06-12</t>
        </is>
      </c>
      <c r="B248" s="31" t="n">
        <v>14400</v>
      </c>
      <c r="C248" s="31" t="n">
        <v>14400</v>
      </c>
      <c r="D248" s="31" t="n">
        <v>13990</v>
      </c>
      <c r="E248" s="31" t="n">
        <v>14070</v>
      </c>
      <c r="F248" s="31" t="n">
        <v>14070</v>
      </c>
      <c r="G248" s="31" t="n">
        <v>310994</v>
      </c>
      <c r="H248" s="36" t="n">
        <v>-0.006355932203389814</v>
      </c>
      <c r="I248" s="36" t="n">
        <v>-0.3788079470198675</v>
      </c>
      <c r="J248" s="31" t="n">
        <v>13694</v>
      </c>
      <c r="K248" s="31" t="n">
        <v>15202.16666666667</v>
      </c>
      <c r="L248" s="31" t="n">
        <v>16007.75</v>
      </c>
      <c r="M248" s="36" t="n">
        <v>0.5181218155238889</v>
      </c>
      <c r="N248" s="36" t="n">
        <v>0.5604600095358288</v>
      </c>
      <c r="O248" s="36" t="n">
        <v>0.01005025125628145</v>
      </c>
      <c r="P248" s="36" t="n">
        <v>-0.1260869565217392</v>
      </c>
      <c r="Q248" s="36" t="n">
        <v>0.2202948829141371</v>
      </c>
      <c r="R248" s="36" t="n">
        <v>0.02745728056082952</v>
      </c>
      <c r="S248" s="36" t="n">
        <v>-0.07447403330665581</v>
      </c>
      <c r="T248" s="36" t="n">
        <v>-0.1210507410473052</v>
      </c>
      <c r="U248" s="31" t="n">
        <v>22650</v>
      </c>
      <c r="V248" s="31" t="n">
        <v>7430</v>
      </c>
      <c r="W248" s="36" t="n">
        <v>-0.3788079470198675</v>
      </c>
      <c r="X248" s="36" t="n">
        <v>0.8936742934051145</v>
      </c>
      <c r="Y248" s="31" t="n">
        <v>17780753</v>
      </c>
      <c r="Z248" s="31" t="n">
        <v>250175194710</v>
      </c>
      <c r="AA248" s="31" t="n">
        <v>4375685580</v>
      </c>
      <c r="AB248" s="31" t="n">
        <v>9474968372</v>
      </c>
      <c r="AC248" s="36" t="n">
        <v>0.01749048535795981</v>
      </c>
      <c r="AD248" s="29" t="inlineStr">
        <is>
          <t>yfinance_download</t>
        </is>
      </c>
      <c r="AE248" s="29" t="inlineStr">
        <is>
          <t>102120.KQ</t>
        </is>
      </c>
    </row>
    <row r="249" ht="24" customHeight="1">
      <c r="A249" s="24" t="inlineStr">
        <is>
          <t>2024-06-13</t>
        </is>
      </c>
      <c r="B249" s="30" t="n">
        <v>14320</v>
      </c>
      <c r="C249" s="30" t="n">
        <v>14430</v>
      </c>
      <c r="D249" s="30" t="n">
        <v>14070</v>
      </c>
      <c r="E249" s="30" t="n">
        <v>14170</v>
      </c>
      <c r="F249" s="30" t="n">
        <v>14170</v>
      </c>
      <c r="G249" s="30" t="n">
        <v>330140</v>
      </c>
      <c r="H249" s="35" t="n">
        <v>0.007107320540156392</v>
      </c>
      <c r="I249" s="35" t="n">
        <v>-0.3743929359823399</v>
      </c>
      <c r="J249" s="30" t="n">
        <v>13708</v>
      </c>
      <c r="K249" s="30" t="n">
        <v>15178</v>
      </c>
      <c r="L249" s="30" t="n">
        <v>16030</v>
      </c>
      <c r="M249" s="35" t="n">
        <v>0.5183462660037742</v>
      </c>
      <c r="N249" s="35" t="n">
        <v>0.5576339273909026</v>
      </c>
      <c r="O249" s="35" t="n">
        <v>0.02015838732901365</v>
      </c>
      <c r="P249" s="35" t="n">
        <v>-0.09282970550576186</v>
      </c>
      <c r="Q249" s="35" t="n">
        <v>0.2321739130434783</v>
      </c>
      <c r="R249" s="35" t="n">
        <v>0.03370294718412614</v>
      </c>
      <c r="S249" s="35" t="n">
        <v>-0.06641191197786267</v>
      </c>
      <c r="T249" s="35" t="n">
        <v>-0.1160324391765439</v>
      </c>
      <c r="U249" s="30" t="n">
        <v>22650</v>
      </c>
      <c r="V249" s="30" t="n">
        <v>7430</v>
      </c>
      <c r="W249" s="35" t="n">
        <v>-0.3743929359823399</v>
      </c>
      <c r="X249" s="35" t="n">
        <v>0.9071332436069988</v>
      </c>
      <c r="Y249" s="30" t="n">
        <v>17780753</v>
      </c>
      <c r="Z249" s="30" t="n">
        <v>251953270010</v>
      </c>
      <c r="AA249" s="30" t="n">
        <v>4678083800</v>
      </c>
      <c r="AB249" s="30" t="n">
        <v>9492517060.5</v>
      </c>
      <c r="AC249" s="35" t="n">
        <v>0.01856726765171306</v>
      </c>
      <c r="AD249" s="24" t="inlineStr">
        <is>
          <t>yfinance_download</t>
        </is>
      </c>
      <c r="AE249" s="24" t="inlineStr">
        <is>
          <t>102120.KQ</t>
        </is>
      </c>
    </row>
    <row r="250" ht="24" customHeight="1">
      <c r="A250" s="29" t="inlineStr">
        <is>
          <t>2024-06-14</t>
        </is>
      </c>
      <c r="B250" s="31" t="n">
        <v>14170</v>
      </c>
      <c r="C250" s="31" t="n">
        <v>14260</v>
      </c>
      <c r="D250" s="31" t="n">
        <v>13650</v>
      </c>
      <c r="E250" s="31" t="n">
        <v>13660</v>
      </c>
      <c r="F250" s="31" t="n">
        <v>13660</v>
      </c>
      <c r="G250" s="31" t="n">
        <v>330550</v>
      </c>
      <c r="H250" s="36" t="n">
        <v>-0.03599153140437539</v>
      </c>
      <c r="I250" s="36" t="n">
        <v>-0.3969094922737307</v>
      </c>
      <c r="J250" s="31" t="n">
        <v>13672.5</v>
      </c>
      <c r="K250" s="31" t="n">
        <v>15144.5</v>
      </c>
      <c r="L250" s="31" t="n">
        <v>16049.16666666667</v>
      </c>
      <c r="M250" s="36" t="n">
        <v>0.5191434414935461</v>
      </c>
      <c r="N250" s="36" t="n">
        <v>0.5621312741817981</v>
      </c>
      <c r="O250" s="36" t="n">
        <v>-0.04940848990953373</v>
      </c>
      <c r="P250" s="36" t="n">
        <v>-0.1282705807275047</v>
      </c>
      <c r="Q250" s="36" t="n">
        <v>0.2024647887323943</v>
      </c>
      <c r="R250" s="36" t="n">
        <v>-0.0009142439202779462</v>
      </c>
      <c r="S250" s="36" t="n">
        <v>-0.09802238436396049</v>
      </c>
      <c r="T250" s="36" t="n">
        <v>-0.1488654654966509</v>
      </c>
      <c r="U250" s="31" t="n">
        <v>22650</v>
      </c>
      <c r="V250" s="31" t="n">
        <v>7430</v>
      </c>
      <c r="W250" s="36" t="n">
        <v>-0.3969094922737307</v>
      </c>
      <c r="X250" s="36" t="n">
        <v>0.8384925975773889</v>
      </c>
      <c r="Y250" s="31" t="n">
        <v>17780753</v>
      </c>
      <c r="Z250" s="31" t="n">
        <v>242885085980</v>
      </c>
      <c r="AA250" s="31" t="n">
        <v>4515313000</v>
      </c>
      <c r="AB250" s="31" t="n">
        <v>9373057112</v>
      </c>
      <c r="AC250" s="36" t="n">
        <v>0.01859032629270538</v>
      </c>
      <c r="AD250" s="29" t="inlineStr">
        <is>
          <t>yfinance_download</t>
        </is>
      </c>
      <c r="AE250" s="29" t="inlineStr">
        <is>
          <t>102120.KQ</t>
        </is>
      </c>
    </row>
    <row r="251" ht="24" customHeight="1">
      <c r="A251" s="24" t="inlineStr">
        <is>
          <t>2024-06-17</t>
        </is>
      </c>
      <c r="B251" s="30" t="n">
        <v>13490</v>
      </c>
      <c r="C251" s="30" t="n">
        <v>13740</v>
      </c>
      <c r="D251" s="30" t="n">
        <v>13350</v>
      </c>
      <c r="E251" s="30" t="n">
        <v>13360</v>
      </c>
      <c r="F251" s="30" t="n">
        <v>13360</v>
      </c>
      <c r="G251" s="30" t="n">
        <v>190516</v>
      </c>
      <c r="H251" s="35" t="n">
        <v>-0.02196193265007318</v>
      </c>
      <c r="I251" s="35" t="n">
        <v>-0.4101545253863135</v>
      </c>
      <c r="J251" s="30" t="n">
        <v>13641</v>
      </c>
      <c r="K251" s="30" t="n">
        <v>15103.33333333333</v>
      </c>
      <c r="L251" s="30" t="n">
        <v>16070.5</v>
      </c>
      <c r="M251" s="35" t="n">
        <v>0.5165863521802228</v>
      </c>
      <c r="N251" s="35" t="n">
        <v>0.5630905598695156</v>
      </c>
      <c r="O251" s="35" t="n">
        <v>-0.04503216583273772</v>
      </c>
      <c r="P251" s="35" t="n">
        <v>-0.1560328490208465</v>
      </c>
      <c r="Q251" s="35" t="n">
        <v>0.2370370370370369</v>
      </c>
      <c r="R251" s="35" t="n">
        <v>-0.02059966278132097</v>
      </c>
      <c r="S251" s="35" t="n">
        <v>-0.1154270580445818</v>
      </c>
      <c r="T251" s="35" t="n">
        <v>-0.1686630783111913</v>
      </c>
      <c r="U251" s="30" t="n">
        <v>22650</v>
      </c>
      <c r="V251" s="30" t="n">
        <v>7430</v>
      </c>
      <c r="W251" s="35" t="n">
        <v>-0.4101545253863135</v>
      </c>
      <c r="X251" s="35" t="n">
        <v>0.7981157469717362</v>
      </c>
      <c r="Y251" s="30" t="n">
        <v>17780753</v>
      </c>
      <c r="Z251" s="30" t="n">
        <v>237550860080</v>
      </c>
      <c r="AA251" s="30" t="n">
        <v>2545293760</v>
      </c>
      <c r="AB251" s="30" t="n">
        <v>9361623541</v>
      </c>
      <c r="AC251" s="35" t="n">
        <v>0.0107147318226624</v>
      </c>
      <c r="AD251" s="24" t="inlineStr">
        <is>
          <t>yfinance_download</t>
        </is>
      </c>
      <c r="AE251" s="24" t="inlineStr">
        <is>
          <t>102120.KQ</t>
        </is>
      </c>
    </row>
    <row r="252" ht="24" customHeight="1">
      <c r="A252" s="29" t="inlineStr">
        <is>
          <t>2024-06-18</t>
        </is>
      </c>
      <c r="B252" s="31" t="n">
        <v>13450</v>
      </c>
      <c r="C252" s="31" t="n">
        <v>14010</v>
      </c>
      <c r="D252" s="31" t="n">
        <v>13410</v>
      </c>
      <c r="E252" s="31" t="n">
        <v>13610</v>
      </c>
      <c r="F252" s="31" t="n">
        <v>13610</v>
      </c>
      <c r="G252" s="31" t="n">
        <v>453172</v>
      </c>
      <c r="H252" s="36" t="n">
        <v>0.01871257485029942</v>
      </c>
      <c r="I252" s="36" t="n">
        <v>-0.3991169977924944</v>
      </c>
      <c r="J252" s="31" t="n">
        <v>13619</v>
      </c>
      <c r="K252" s="31" t="n">
        <v>15068.83333333333</v>
      </c>
      <c r="L252" s="31" t="n">
        <v>16090.08333333333</v>
      </c>
      <c r="M252" s="36" t="n">
        <v>0.5213618084553142</v>
      </c>
      <c r="N252" s="36" t="n">
        <v>0.5644999254478094</v>
      </c>
      <c r="O252" s="36" t="n">
        <v>-0.03131672597864765</v>
      </c>
      <c r="P252" s="36" t="n">
        <v>-0.1320153061224489</v>
      </c>
      <c r="Q252" s="36" t="n">
        <v>0.2087033747779752</v>
      </c>
      <c r="R252" s="36" t="n">
        <v>-0.0006608414714737165</v>
      </c>
      <c r="S252" s="36" t="n">
        <v>-0.09681129926006216</v>
      </c>
      <c r="T252" s="36" t="n">
        <v>-0.1541373827564597</v>
      </c>
      <c r="U252" s="31" t="n">
        <v>22650</v>
      </c>
      <c r="V252" s="31" t="n">
        <v>7430</v>
      </c>
      <c r="W252" s="36" t="n">
        <v>-0.3991169977924944</v>
      </c>
      <c r="X252" s="36" t="n">
        <v>0.8317631224764468</v>
      </c>
      <c r="Y252" s="31" t="n">
        <v>17780753</v>
      </c>
      <c r="Z252" s="31" t="n">
        <v>241996048330</v>
      </c>
      <c r="AA252" s="31" t="n">
        <v>6167670920</v>
      </c>
      <c r="AB252" s="31" t="n">
        <v>9513768277</v>
      </c>
      <c r="AC252" s="36" t="n">
        <v>0.02548665964821625</v>
      </c>
      <c r="AD252" s="29" t="inlineStr">
        <is>
          <t>yfinance_download</t>
        </is>
      </c>
      <c r="AE252" s="29" t="inlineStr">
        <is>
          <t>102120.KQ</t>
        </is>
      </c>
    </row>
    <row r="253" ht="24" customHeight="1">
      <c r="A253" s="24" t="inlineStr">
        <is>
          <t>2024-06-19</t>
        </is>
      </c>
      <c r="B253" s="30" t="n">
        <v>14950</v>
      </c>
      <c r="C253" s="30" t="n">
        <v>15540</v>
      </c>
      <c r="D253" s="30" t="n">
        <v>14360</v>
      </c>
      <c r="E253" s="30" t="n">
        <v>14580</v>
      </c>
      <c r="F253" s="30" t="n">
        <v>14580</v>
      </c>
      <c r="G253" s="30" t="n">
        <v>2661598</v>
      </c>
      <c r="H253" s="35" t="n">
        <v>0.07127112417340187</v>
      </c>
      <c r="I253" s="35" t="n">
        <v>-0.3562913907284768</v>
      </c>
      <c r="J253" s="30" t="n">
        <v>13649.5</v>
      </c>
      <c r="K253" s="30" t="n">
        <v>15045.5</v>
      </c>
      <c r="L253" s="30" t="n">
        <v>16089.66666666667</v>
      </c>
      <c r="M253" s="35" t="n">
        <v>0.5805719259264488</v>
      </c>
      <c r="N253" s="35" t="n">
        <v>0.582560537523917</v>
      </c>
      <c r="O253" s="35" t="n">
        <v>0.04366499642090194</v>
      </c>
      <c r="P253" s="35" t="n">
        <v>-0.08760951188986232</v>
      </c>
      <c r="Q253" s="35" t="n">
        <v>-0.003417634996582319</v>
      </c>
      <c r="R253" s="35" t="n">
        <v>0.06817099527455217</v>
      </c>
      <c r="S253" s="35" t="n">
        <v>-0.03093948356651488</v>
      </c>
      <c r="T253" s="35" t="n">
        <v>-0.09382833702790605</v>
      </c>
      <c r="U253" s="30" t="n">
        <v>22650</v>
      </c>
      <c r="V253" s="30" t="n">
        <v>7430</v>
      </c>
      <c r="W253" s="35" t="n">
        <v>-0.3562913907284768</v>
      </c>
      <c r="X253" s="35" t="n">
        <v>0.9623149394347241</v>
      </c>
      <c r="Y253" s="30" t="n">
        <v>17780753</v>
      </c>
      <c r="Z253" s="30" t="n">
        <v>259243378740</v>
      </c>
      <c r="AA253" s="30" t="n">
        <v>38806098840</v>
      </c>
      <c r="AB253" s="30" t="n">
        <v>11304014464</v>
      </c>
      <c r="AC253" s="35" t="n">
        <v>0.1496898359703889</v>
      </c>
      <c r="AD253" s="24" t="inlineStr">
        <is>
          <t>yfinance_download</t>
        </is>
      </c>
      <c r="AE253" s="24" t="inlineStr">
        <is>
          <t>102120.KQ</t>
        </is>
      </c>
    </row>
    <row r="254" ht="24" customHeight="1">
      <c r="A254" s="29" t="inlineStr">
        <is>
          <t>2024-06-20</t>
        </is>
      </c>
      <c r="B254" s="31" t="n">
        <v>14530</v>
      </c>
      <c r="C254" s="31" t="n">
        <v>15410</v>
      </c>
      <c r="D254" s="31" t="n">
        <v>14210</v>
      </c>
      <c r="E254" s="31" t="n">
        <v>14920</v>
      </c>
      <c r="F254" s="31" t="n">
        <v>14920</v>
      </c>
      <c r="G254" s="31" t="n">
        <v>1654765</v>
      </c>
      <c r="H254" s="36" t="n">
        <v>0.02331961591220844</v>
      </c>
      <c r="I254" s="36" t="n">
        <v>-0.341280353200883</v>
      </c>
      <c r="J254" s="31" t="n">
        <v>13714</v>
      </c>
      <c r="K254" s="31" t="n">
        <v>15030.5</v>
      </c>
      <c r="L254" s="31" t="n">
        <v>16090.5</v>
      </c>
      <c r="M254" s="36" t="n">
        <v>0.575700973651625</v>
      </c>
      <c r="N254" s="36" t="n">
        <v>0.5843304111726959</v>
      </c>
      <c r="O254" s="36" t="n">
        <v>0.09464416727806313</v>
      </c>
      <c r="P254" s="36" t="n">
        <v>-0.05689001264222504</v>
      </c>
      <c r="Q254" s="36" t="n">
        <v>0.006747638326585648</v>
      </c>
      <c r="R254" s="36" t="n">
        <v>0.08793933206941817</v>
      </c>
      <c r="S254" s="36" t="n">
        <v>-0.007351718173048138</v>
      </c>
      <c r="T254" s="36" t="n">
        <v>-0.07274478729685219</v>
      </c>
      <c r="U254" s="31" t="n">
        <v>22650</v>
      </c>
      <c r="V254" s="31" t="n">
        <v>7430</v>
      </c>
      <c r="W254" s="36" t="n">
        <v>-0.341280353200883</v>
      </c>
      <c r="X254" s="36" t="n">
        <v>1.00807537012113</v>
      </c>
      <c r="Y254" s="31" t="n">
        <v>17780753</v>
      </c>
      <c r="Z254" s="31" t="n">
        <v>265288834760</v>
      </c>
      <c r="AA254" s="31" t="n">
        <v>24689093800</v>
      </c>
      <c r="AB254" s="31" t="n">
        <v>12388288362</v>
      </c>
      <c r="AC254" s="36" t="n">
        <v>0.09306495624791593</v>
      </c>
      <c r="AD254" s="29" t="inlineStr">
        <is>
          <t>yfinance_download</t>
        </is>
      </c>
      <c r="AE254" s="29" t="inlineStr">
        <is>
          <t>102120.KQ</t>
        </is>
      </c>
    </row>
    <row r="255" ht="24" customHeight="1">
      <c r="A255" s="24" t="inlineStr">
        <is>
          <t>2024-06-21</t>
        </is>
      </c>
      <c r="B255" s="30" t="n">
        <v>14910</v>
      </c>
      <c r="C255" s="30" t="n">
        <v>15400</v>
      </c>
      <c r="D255" s="30" t="n">
        <v>14770</v>
      </c>
      <c r="E255" s="30" t="n">
        <v>14910</v>
      </c>
      <c r="F255" s="30" t="n">
        <v>14910</v>
      </c>
      <c r="G255" s="30" t="n">
        <v>1144631</v>
      </c>
      <c r="H255" s="35" t="n">
        <v>-0.0006702412868632157</v>
      </c>
      <c r="I255" s="35" t="n">
        <v>-0.3417218543046358</v>
      </c>
      <c r="J255" s="30" t="n">
        <v>13784.5</v>
      </c>
      <c r="K255" s="30" t="n">
        <v>15027</v>
      </c>
      <c r="L255" s="30" t="n">
        <v>16096.41666666667</v>
      </c>
      <c r="M255" s="35" t="n">
        <v>0.5735594324930822</v>
      </c>
      <c r="N255" s="35" t="n">
        <v>0.577118862533493</v>
      </c>
      <c r="O255" s="35" t="n">
        <v>0.1044444444444443</v>
      </c>
      <c r="P255" s="35" t="n">
        <v>-0.01388888888888884</v>
      </c>
      <c r="Q255" s="35" t="n">
        <v>0.05000000000000004</v>
      </c>
      <c r="R255" s="35" t="n">
        <v>0.08164967898726827</v>
      </c>
      <c r="S255" s="35" t="n">
        <v>-0.007785985226592129</v>
      </c>
      <c r="T255" s="35" t="n">
        <v>-0.07370688093105604</v>
      </c>
      <c r="U255" s="30" t="n">
        <v>22650</v>
      </c>
      <c r="V255" s="30" t="n">
        <v>7430</v>
      </c>
      <c r="W255" s="35" t="n">
        <v>-0.3417218543046358</v>
      </c>
      <c r="X255" s="35" t="n">
        <v>1.006729475100942</v>
      </c>
      <c r="Y255" s="30" t="n">
        <v>17780753</v>
      </c>
      <c r="Z255" s="30" t="n">
        <v>265111027230</v>
      </c>
      <c r="AA255" s="30" t="n">
        <v>17066448210</v>
      </c>
      <c r="AB255" s="30" t="n">
        <v>13052535847.5</v>
      </c>
      <c r="AC255" s="35" t="n">
        <v>0.06437472023822613</v>
      </c>
      <c r="AD255" s="24" t="inlineStr">
        <is>
          <t>yfinance_download</t>
        </is>
      </c>
      <c r="AE255" s="24" t="inlineStr">
        <is>
          <t>102120.KQ</t>
        </is>
      </c>
    </row>
    <row r="256" ht="24" customHeight="1">
      <c r="A256" s="29" t="inlineStr">
        <is>
          <t>2024-06-24</t>
        </is>
      </c>
      <c r="B256" s="31" t="n">
        <v>14770</v>
      </c>
      <c r="C256" s="31" t="n">
        <v>14800</v>
      </c>
      <c r="D256" s="31" t="n">
        <v>14120</v>
      </c>
      <c r="E256" s="31" t="n">
        <v>14360</v>
      </c>
      <c r="F256" s="31" t="n">
        <v>14360</v>
      </c>
      <c r="G256" s="31" t="n">
        <v>420097</v>
      </c>
      <c r="H256" s="36" t="n">
        <v>-0.03688799463447345</v>
      </c>
      <c r="I256" s="36" t="n">
        <v>-0.3660044150110375</v>
      </c>
      <c r="J256" s="31" t="n">
        <v>13846.5</v>
      </c>
      <c r="K256" s="31" t="n">
        <v>15018</v>
      </c>
      <c r="L256" s="31" t="n">
        <v>16096.83333333333</v>
      </c>
      <c r="M256" s="36" t="n">
        <v>0.5811647552050202</v>
      </c>
      <c r="N256" s="36" t="n">
        <v>0.5813909859192239</v>
      </c>
      <c r="O256" s="36" t="n">
        <v>0.09451219512195119</v>
      </c>
      <c r="P256" s="36" t="n">
        <v>-0.03624161073825505</v>
      </c>
      <c r="Q256" s="36" t="n">
        <v>0.003494060097833707</v>
      </c>
      <c r="R256" s="36" t="n">
        <v>0.03708518398151162</v>
      </c>
      <c r="S256" s="36" t="n">
        <v>-0.04381408975895595</v>
      </c>
      <c r="T256" s="36" t="n">
        <v>-0.1078990691750966</v>
      </c>
      <c r="U256" s="31" t="n">
        <v>22650</v>
      </c>
      <c r="V256" s="31" t="n">
        <v>7430</v>
      </c>
      <c r="W256" s="36" t="n">
        <v>-0.3660044150110375</v>
      </c>
      <c r="X256" s="36" t="n">
        <v>0.9327052489905787</v>
      </c>
      <c r="Y256" s="31" t="n">
        <v>17780753</v>
      </c>
      <c r="Z256" s="31" t="n">
        <v>255331613080</v>
      </c>
      <c r="AA256" s="31" t="n">
        <v>6032592920</v>
      </c>
      <c r="AB256" s="31" t="n">
        <v>13197402485.5</v>
      </c>
      <c r="AC256" s="36" t="n">
        <v>0.02362650220718999</v>
      </c>
      <c r="AD256" s="29" t="inlineStr">
        <is>
          <t>yfinance_download</t>
        </is>
      </c>
      <c r="AE256" s="29" t="inlineStr">
        <is>
          <t>102120.KQ</t>
        </is>
      </c>
    </row>
    <row r="257" ht="24" customHeight="1">
      <c r="A257" s="24" t="inlineStr">
        <is>
          <t>2024-06-25</t>
        </is>
      </c>
      <c r="B257" s="30" t="n">
        <v>13950</v>
      </c>
      <c r="C257" s="30" t="n">
        <v>14980</v>
      </c>
      <c r="D257" s="30" t="n">
        <v>13820</v>
      </c>
      <c r="E257" s="30" t="n">
        <v>14800</v>
      </c>
      <c r="F257" s="30" t="n">
        <v>14800</v>
      </c>
      <c r="G257" s="30" t="n">
        <v>546524</v>
      </c>
      <c r="H257" s="35" t="n">
        <v>0.03064066852367686</v>
      </c>
      <c r="I257" s="35" t="n">
        <v>-0.3465783664459161</v>
      </c>
      <c r="J257" s="30" t="n">
        <v>13930</v>
      </c>
      <c r="K257" s="30" t="n">
        <v>15011.33333333333</v>
      </c>
      <c r="L257" s="30" t="n">
        <v>16095.16666666667</v>
      </c>
      <c r="M257" s="35" t="n">
        <v>0.5878163031627445</v>
      </c>
      <c r="N257" s="35" t="n">
        <v>0.583338033998486</v>
      </c>
      <c r="O257" s="35" t="n">
        <v>0.1271896420411271</v>
      </c>
      <c r="P257" s="35" t="n">
        <v>-0.02631578947368418</v>
      </c>
      <c r="Q257" s="35" t="n">
        <v>-0.01333333333333331</v>
      </c>
      <c r="R257" s="35" t="n">
        <v>0.06245513280689163</v>
      </c>
      <c r="S257" s="35" t="n">
        <v>-0.01407825198738732</v>
      </c>
      <c r="T257" s="35" t="n">
        <v>-0.08046929202348529</v>
      </c>
      <c r="U257" s="30" t="n">
        <v>22650</v>
      </c>
      <c r="V257" s="30" t="n">
        <v>7430</v>
      </c>
      <c r="W257" s="35" t="n">
        <v>-0.3465783664459161</v>
      </c>
      <c r="X257" s="35" t="n">
        <v>0.9919246298788695</v>
      </c>
      <c r="Y257" s="30" t="n">
        <v>17780753</v>
      </c>
      <c r="Z257" s="30" t="n">
        <v>263155144400</v>
      </c>
      <c r="AA257" s="30" t="n">
        <v>8088555200</v>
      </c>
      <c r="AB257" s="30" t="n">
        <v>13393067841</v>
      </c>
      <c r="AC257" s="35" t="n">
        <v>0.03073683099922709</v>
      </c>
      <c r="AD257" s="24" t="inlineStr">
        <is>
          <t>yfinance_download</t>
        </is>
      </c>
      <c r="AE257" s="24" t="inlineStr">
        <is>
          <t>102120.KQ</t>
        </is>
      </c>
    </row>
    <row r="258" ht="24" customHeight="1">
      <c r="A258" s="29" t="inlineStr">
        <is>
          <t>2024-06-26</t>
        </is>
      </c>
      <c r="B258" s="31" t="n">
        <v>14910</v>
      </c>
      <c r="C258" s="31" t="n">
        <v>15300</v>
      </c>
      <c r="D258" s="31" t="n">
        <v>14810</v>
      </c>
      <c r="E258" s="31" t="n">
        <v>15200</v>
      </c>
      <c r="F258" s="31" t="n">
        <v>15200</v>
      </c>
      <c r="G258" s="31" t="n">
        <v>647587</v>
      </c>
      <c r="H258" s="36" t="n">
        <v>0.02702702702702697</v>
      </c>
      <c r="I258" s="36" t="n">
        <v>-0.3289183222958058</v>
      </c>
      <c r="J258" s="31" t="n">
        <v>14028</v>
      </c>
      <c r="K258" s="31" t="n">
        <v>15018.16666666667</v>
      </c>
      <c r="L258" s="31" t="n">
        <v>16104.33333333333</v>
      </c>
      <c r="M258" s="36" t="n">
        <v>0.5922592104425248</v>
      </c>
      <c r="N258" s="36" t="n">
        <v>0.5830886721049156</v>
      </c>
      <c r="O258" s="36" t="n">
        <v>0.148036253776435</v>
      </c>
      <c r="P258" s="36" t="n">
        <v>0.02772143340094657</v>
      </c>
      <c r="Q258" s="36" t="n">
        <v>0.07801418439716312</v>
      </c>
      <c r="R258" s="36" t="n">
        <v>0.08354719133162236</v>
      </c>
      <c r="S258" s="36" t="n">
        <v>0.01210755862344493</v>
      </c>
      <c r="T258" s="36" t="n">
        <v>-0.05615465816653908</v>
      </c>
      <c r="U258" s="31" t="n">
        <v>22650</v>
      </c>
      <c r="V258" s="31" t="n">
        <v>7430</v>
      </c>
      <c r="W258" s="36" t="n">
        <v>-0.3289183222958058</v>
      </c>
      <c r="X258" s="36" t="n">
        <v>1.045760430686407</v>
      </c>
      <c r="Y258" s="31" t="n">
        <v>17780753</v>
      </c>
      <c r="Z258" s="31" t="n">
        <v>270267445600</v>
      </c>
      <c r="AA258" s="31" t="n">
        <v>9843322400</v>
      </c>
      <c r="AB258" s="31" t="n">
        <v>13704200131</v>
      </c>
      <c r="AC258" s="36" t="n">
        <v>0.03642067352265677</v>
      </c>
      <c r="AD258" s="29" t="inlineStr">
        <is>
          <t>yfinance_download</t>
        </is>
      </c>
      <c r="AE258" s="29" t="inlineStr">
        <is>
          <t>102120.KQ</t>
        </is>
      </c>
    </row>
    <row r="259" ht="24" customHeight="1">
      <c r="A259" s="24" t="inlineStr">
        <is>
          <t>2024-06-27</t>
        </is>
      </c>
      <c r="B259" s="30" t="n">
        <v>15150</v>
      </c>
      <c r="C259" s="30" t="n">
        <v>15200</v>
      </c>
      <c r="D259" s="30" t="n">
        <v>14560</v>
      </c>
      <c r="E259" s="30" t="n">
        <v>14560</v>
      </c>
      <c r="F259" s="30" t="n">
        <v>14560</v>
      </c>
      <c r="G259" s="30" t="n">
        <v>375598</v>
      </c>
      <c r="H259" s="35" t="n">
        <v>-0.04210526315789476</v>
      </c>
      <c r="I259" s="35" t="n">
        <v>-0.3571743929359823</v>
      </c>
      <c r="J259" s="30" t="n">
        <v>14073.5</v>
      </c>
      <c r="K259" s="30" t="n">
        <v>14988.33333333333</v>
      </c>
      <c r="L259" s="30" t="n">
        <v>16110.58333333333</v>
      </c>
      <c r="M259" s="35" t="n">
        <v>0.6104906034901095</v>
      </c>
      <c r="N259" s="35" t="n">
        <v>0.5476236163555379</v>
      </c>
      <c r="O259" s="35" t="n">
        <v>0.06666666666666665</v>
      </c>
      <c r="P259" s="35" t="n">
        <v>-0.109480122324159</v>
      </c>
      <c r="Q259" s="35" t="n">
        <v>0.05430847212165091</v>
      </c>
      <c r="R259" s="35" t="n">
        <v>0.03456851529470284</v>
      </c>
      <c r="S259" s="35" t="n">
        <v>-0.02857778271989331</v>
      </c>
      <c r="T259" s="35" t="n">
        <v>-0.0962462563428802</v>
      </c>
      <c r="U259" s="30" t="n">
        <v>22650</v>
      </c>
      <c r="V259" s="30" t="n">
        <v>7430</v>
      </c>
      <c r="W259" s="35" t="n">
        <v>-0.3571743929359823</v>
      </c>
      <c r="X259" s="35" t="n">
        <v>0.9596231493943472</v>
      </c>
      <c r="Y259" s="30" t="n">
        <v>17780753</v>
      </c>
      <c r="Z259" s="30" t="n">
        <v>258887763680</v>
      </c>
      <c r="AA259" s="30" t="n">
        <v>5468706880</v>
      </c>
      <c r="AB259" s="30" t="n">
        <v>13283167155</v>
      </c>
      <c r="AC259" s="35" t="n">
        <v>0.02112385229129498</v>
      </c>
      <c r="AD259" s="24" t="inlineStr">
        <is>
          <t>yfinance_download</t>
        </is>
      </c>
      <c r="AE259" s="24" t="inlineStr">
        <is>
          <t>102120.KQ</t>
        </is>
      </c>
    </row>
    <row r="260" ht="24" customHeight="1">
      <c r="A260" s="29" t="inlineStr">
        <is>
          <t>2024-06-28</t>
        </is>
      </c>
      <c r="B260" s="31" t="n">
        <v>14560</v>
      </c>
      <c r="C260" s="31" t="n">
        <v>16500</v>
      </c>
      <c r="D260" s="31" t="n">
        <v>14560</v>
      </c>
      <c r="E260" s="31" t="n">
        <v>15850</v>
      </c>
      <c r="F260" s="31" t="n">
        <v>15850</v>
      </c>
      <c r="G260" s="31" t="n">
        <v>4171249</v>
      </c>
      <c r="H260" s="36" t="n">
        <v>0.08859890109890101</v>
      </c>
      <c r="I260" s="36" t="n">
        <v>-0.3002207505518764</v>
      </c>
      <c r="J260" s="31" t="n">
        <v>14208.5</v>
      </c>
      <c r="K260" s="31" t="n">
        <v>14986.33333333333</v>
      </c>
      <c r="L260" s="31" t="n">
        <v>16120</v>
      </c>
      <c r="M260" s="36" t="n">
        <v>0.6600037942010653</v>
      </c>
      <c r="N260" s="36" t="n">
        <v>0.5757725109776773</v>
      </c>
      <c r="O260" s="36" t="n">
        <v>0.2053231939163498</v>
      </c>
      <c r="P260" s="36" t="n">
        <v>-0.007514088916718897</v>
      </c>
      <c r="Q260" s="36" t="n">
        <v>0.07676630434782616</v>
      </c>
      <c r="R260" s="36" t="n">
        <v>0.1155294366048492</v>
      </c>
      <c r="S260" s="36" t="n">
        <v>0.05763028537111592</v>
      </c>
      <c r="T260" s="36" t="n">
        <v>-0.01674937965260548</v>
      </c>
      <c r="U260" s="31" t="n">
        <v>22650</v>
      </c>
      <c r="V260" s="31" t="n">
        <v>7430</v>
      </c>
      <c r="W260" s="36" t="n">
        <v>-0.3002207505518764</v>
      </c>
      <c r="X260" s="36" t="n">
        <v>1.133243606998654</v>
      </c>
      <c r="Y260" s="31" t="n">
        <v>17780753</v>
      </c>
      <c r="Z260" s="31" t="n">
        <v>281824935050</v>
      </c>
      <c r="AA260" s="31" t="n">
        <v>66114296650</v>
      </c>
      <c r="AB260" s="31" t="n">
        <v>16439080475</v>
      </c>
      <c r="AC260" s="36" t="n">
        <v>0.2345934955623083</v>
      </c>
      <c r="AD260" s="29" t="inlineStr">
        <is>
          <t>yfinance_download</t>
        </is>
      </c>
      <c r="AE260" s="29" t="inlineStr">
        <is>
          <t>102120.KQ</t>
        </is>
      </c>
    </row>
    <row r="261" ht="24" customHeight="1">
      <c r="A261" s="24" t="inlineStr">
        <is>
          <t>2024-07-01</t>
        </is>
      </c>
      <c r="B261" s="30" t="n">
        <v>16470</v>
      </c>
      <c r="C261" s="30" t="n">
        <v>17210</v>
      </c>
      <c r="D261" s="30" t="n">
        <v>16200</v>
      </c>
      <c r="E261" s="30" t="n">
        <v>16760</v>
      </c>
      <c r="F261" s="30" t="n">
        <v>16760</v>
      </c>
      <c r="G261" s="30" t="n">
        <v>3267441</v>
      </c>
      <c r="H261" s="35" t="n">
        <v>0.05741324921135638</v>
      </c>
      <c r="I261" s="35" t="n">
        <v>-0.2600441501103753</v>
      </c>
      <c r="J261" s="30" t="n">
        <v>14396.5</v>
      </c>
      <c r="K261" s="30" t="n">
        <v>14979.33333333333</v>
      </c>
      <c r="L261" s="30" t="n">
        <v>16132.33333333333</v>
      </c>
      <c r="M261" s="35" t="n">
        <v>0.6751865712466304</v>
      </c>
      <c r="N261" s="35" t="n">
        <v>0.5666832074052565</v>
      </c>
      <c r="O261" s="35" t="n">
        <v>0.2892307692307692</v>
      </c>
      <c r="P261" s="35" t="n">
        <v>-0.02444703143189753</v>
      </c>
      <c r="Q261" s="35" t="n">
        <v>0.09685863874345557</v>
      </c>
      <c r="R261" s="35" t="n">
        <v>0.1641718473240024</v>
      </c>
      <c r="S261" s="35" t="n">
        <v>0.1188748942988116</v>
      </c>
      <c r="T261" s="35" t="n">
        <v>0.03890737029154701</v>
      </c>
      <c r="U261" s="30" t="n">
        <v>22650</v>
      </c>
      <c r="V261" s="30" t="n">
        <v>7430</v>
      </c>
      <c r="W261" s="35" t="n">
        <v>-0.2600441501103753</v>
      </c>
      <c r="X261" s="35" t="n">
        <v>1.255720053835801</v>
      </c>
      <c r="Y261" s="30" t="n">
        <v>17780753</v>
      </c>
      <c r="Z261" s="30" t="n">
        <v>298005420280</v>
      </c>
      <c r="AA261" s="30" t="n">
        <v>54762311160</v>
      </c>
      <c r="AB261" s="30" t="n">
        <v>19075135633</v>
      </c>
      <c r="AC261" s="35" t="n">
        <v>0.1837628023965014</v>
      </c>
      <c r="AD261" s="24" t="inlineStr">
        <is>
          <t>yfinance_download</t>
        </is>
      </c>
      <c r="AE261" s="24" t="inlineStr">
        <is>
          <t>102120.KQ</t>
        </is>
      </c>
    </row>
    <row r="262" ht="24" customHeight="1">
      <c r="A262" s="29" t="inlineStr">
        <is>
          <t>2024-07-02</t>
        </is>
      </c>
      <c r="B262" s="31" t="n">
        <v>16540</v>
      </c>
      <c r="C262" s="31" t="n">
        <v>16950</v>
      </c>
      <c r="D262" s="31" t="n">
        <v>16160</v>
      </c>
      <c r="E262" s="31" t="n">
        <v>16860</v>
      </c>
      <c r="F262" s="31" t="n">
        <v>16860</v>
      </c>
      <c r="G262" s="31" t="n">
        <v>1342301</v>
      </c>
      <c r="H262" s="36" t="n">
        <v>0.005966587112171906</v>
      </c>
      <c r="I262" s="36" t="n">
        <v>-0.2556291390728477</v>
      </c>
      <c r="J262" s="31" t="n">
        <v>14585.5</v>
      </c>
      <c r="K262" s="31" t="n">
        <v>14955</v>
      </c>
      <c r="L262" s="31" t="n">
        <v>16155.25</v>
      </c>
      <c r="M262" s="36" t="n">
        <v>0.6752143585826056</v>
      </c>
      <c r="N262" s="36" t="n">
        <v>0.5498378921824807</v>
      </c>
      <c r="O262" s="36" t="n">
        <v>0.2889908256880733</v>
      </c>
      <c r="P262" s="36" t="n">
        <v>-0.07969432314410485</v>
      </c>
      <c r="Q262" s="36" t="n">
        <v>0.1948972360028349</v>
      </c>
      <c r="R262" s="36" t="n">
        <v>0.1559425456789276</v>
      </c>
      <c r="S262" s="36" t="n">
        <v>0.1273821464393179</v>
      </c>
      <c r="T262" s="36" t="n">
        <v>0.04362358985469128</v>
      </c>
      <c r="U262" s="31" t="n">
        <v>22650</v>
      </c>
      <c r="V262" s="31" t="n">
        <v>7430</v>
      </c>
      <c r="W262" s="36" t="n">
        <v>-0.2556291390728477</v>
      </c>
      <c r="X262" s="36" t="n">
        <v>1.269179004037685</v>
      </c>
      <c r="Y262" s="31" t="n">
        <v>17780753</v>
      </c>
      <c r="Z262" s="31" t="n">
        <v>299783495580</v>
      </c>
      <c r="AA262" s="31" t="n">
        <v>22631194860</v>
      </c>
      <c r="AB262" s="31" t="n">
        <v>20112305518</v>
      </c>
      <c r="AC262" s="36" t="n">
        <v>0.07549179722591051</v>
      </c>
      <c r="AD262" s="29" t="inlineStr">
        <is>
          <t>yfinance_download</t>
        </is>
      </c>
      <c r="AE262" s="29" t="inlineStr">
        <is>
          <t>102120.KQ</t>
        </is>
      </c>
    </row>
    <row r="263" ht="24" customHeight="1">
      <c r="A263" s="24" t="inlineStr">
        <is>
          <t>2024-07-03</t>
        </is>
      </c>
      <c r="B263" s="30" t="n">
        <v>17050</v>
      </c>
      <c r="C263" s="30" t="n">
        <v>17150</v>
      </c>
      <c r="D263" s="30" t="n">
        <v>16360</v>
      </c>
      <c r="E263" s="30" t="n">
        <v>16580</v>
      </c>
      <c r="F263" s="30" t="n">
        <v>16580</v>
      </c>
      <c r="G263" s="30" t="n">
        <v>928792</v>
      </c>
      <c r="H263" s="35" t="n">
        <v>-0.01660735468564645</v>
      </c>
      <c r="I263" s="35" t="n">
        <v>-0.2679911699779249</v>
      </c>
      <c r="J263" s="30" t="n">
        <v>14778.5</v>
      </c>
      <c r="K263" s="30" t="n">
        <v>14938.5</v>
      </c>
      <c r="L263" s="30" t="n">
        <v>16169.5</v>
      </c>
      <c r="M263" s="35" t="n">
        <v>0.6674621641883596</v>
      </c>
      <c r="N263" s="35" t="n">
        <v>0.5444865160582499</v>
      </c>
      <c r="O263" s="35" t="n">
        <v>0.3034591194968554</v>
      </c>
      <c r="P263" s="35" t="n">
        <v>-0.05634604439385316</v>
      </c>
      <c r="Q263" s="35" t="n">
        <v>0.1149966375252185</v>
      </c>
      <c r="R263" s="35" t="n">
        <v>0.1219000575159861</v>
      </c>
      <c r="S263" s="35" t="n">
        <v>0.1098838571476386</v>
      </c>
      <c r="T263" s="35" t="n">
        <v>0.02538730325613048</v>
      </c>
      <c r="U263" s="30" t="n">
        <v>22650</v>
      </c>
      <c r="V263" s="30" t="n">
        <v>7430</v>
      </c>
      <c r="W263" s="35" t="n">
        <v>-0.2679911699779249</v>
      </c>
      <c r="X263" s="35" t="n">
        <v>1.231493943472409</v>
      </c>
      <c r="Y263" s="30" t="n">
        <v>17780753</v>
      </c>
      <c r="Z263" s="30" t="n">
        <v>294804884740</v>
      </c>
      <c r="AA263" s="30" t="n">
        <v>15399371360</v>
      </c>
      <c r="AB263" s="30" t="n">
        <v>20753113298</v>
      </c>
      <c r="AC263" s="35" t="n">
        <v>0.05223580801105555</v>
      </c>
      <c r="AD263" s="24" t="inlineStr">
        <is>
          <t>yfinance_download</t>
        </is>
      </c>
      <c r="AE263" s="24" t="inlineStr">
        <is>
          <t>102120.KQ</t>
        </is>
      </c>
    </row>
    <row r="264" ht="24" customHeight="1">
      <c r="A264" s="29" t="inlineStr">
        <is>
          <t>2024-07-04</t>
        </is>
      </c>
      <c r="B264" s="31" t="n">
        <v>17100</v>
      </c>
      <c r="C264" s="31" t="n">
        <v>18300</v>
      </c>
      <c r="D264" s="31" t="n">
        <v>16800</v>
      </c>
      <c r="E264" s="31" t="n">
        <v>18300</v>
      </c>
      <c r="F264" s="31" t="n">
        <v>18300</v>
      </c>
      <c r="G264" s="31" t="n">
        <v>3437831</v>
      </c>
      <c r="H264" s="36" t="n">
        <v>0.1037394451145959</v>
      </c>
      <c r="I264" s="36" t="n">
        <v>-0.1920529801324503</v>
      </c>
      <c r="J264" s="31" t="n">
        <v>14993</v>
      </c>
      <c r="K264" s="31" t="n">
        <v>14941.83333333333</v>
      </c>
      <c r="L264" s="31" t="n">
        <v>16199.5</v>
      </c>
      <c r="M264" s="36" t="n">
        <v>0.6715310335166819</v>
      </c>
      <c r="N264" s="36" t="n">
        <v>0.5817286092744512</v>
      </c>
      <c r="O264" s="36" t="n">
        <v>0.3062098501070665</v>
      </c>
      <c r="P264" s="36" t="n">
        <v>0.01104972375690605</v>
      </c>
      <c r="Q264" s="36" t="n">
        <v>0.2448979591836735</v>
      </c>
      <c r="R264" s="36" t="n">
        <v>0.2205695991462682</v>
      </c>
      <c r="S264" s="36" t="n">
        <v>0.2247493056407626</v>
      </c>
      <c r="T264" s="36" t="n">
        <v>0.1296644958177722</v>
      </c>
      <c r="U264" s="31" t="n">
        <v>22650</v>
      </c>
      <c r="V264" s="31" t="n">
        <v>7430</v>
      </c>
      <c r="W264" s="36" t="n">
        <v>-0.1920529801324503</v>
      </c>
      <c r="X264" s="36" t="n">
        <v>1.462987886944819</v>
      </c>
      <c r="Y264" s="31" t="n">
        <v>17780753</v>
      </c>
      <c r="Z264" s="31" t="n">
        <v>325387779900</v>
      </c>
      <c r="AA264" s="31" t="n">
        <v>62912307300</v>
      </c>
      <c r="AB264" s="31" t="n">
        <v>19302925389.5</v>
      </c>
      <c r="AC264" s="36" t="n">
        <v>0.1933456361493802</v>
      </c>
      <c r="AD264" s="29" t="inlineStr">
        <is>
          <t>yfinance_download</t>
        </is>
      </c>
      <c r="AE264" s="29" t="inlineStr">
        <is>
          <t>102120.KQ</t>
        </is>
      </c>
    </row>
    <row r="265" ht="24" customHeight="1">
      <c r="A265" s="24" t="inlineStr">
        <is>
          <t>2024-07-05</t>
        </is>
      </c>
      <c r="B265" s="30" t="n">
        <v>18100</v>
      </c>
      <c r="C265" s="30" t="n">
        <v>18110</v>
      </c>
      <c r="D265" s="30" t="n">
        <v>17400</v>
      </c>
      <c r="E265" s="30" t="n">
        <v>17720</v>
      </c>
      <c r="F265" s="30" t="n">
        <v>17720</v>
      </c>
      <c r="G265" s="30" t="n">
        <v>1661383</v>
      </c>
      <c r="H265" s="35" t="n">
        <v>-0.03169398907103826</v>
      </c>
      <c r="I265" s="35" t="n">
        <v>-0.2176600441501104</v>
      </c>
      <c r="J265" s="30" t="n">
        <v>15143.5</v>
      </c>
      <c r="K265" s="30" t="n">
        <v>14953.66666666667</v>
      </c>
      <c r="L265" s="30" t="n">
        <v>16224.25</v>
      </c>
      <c r="M265" s="35" t="n">
        <v>0.6765044630237484</v>
      </c>
      <c r="N265" s="35" t="n">
        <v>0.5717940717624799</v>
      </c>
      <c r="O265" s="35" t="n">
        <v>0.2046227056424201</v>
      </c>
      <c r="P265" s="35" t="n">
        <v>0.04174015285126398</v>
      </c>
      <c r="Q265" s="35" t="n">
        <v>0.2013559322033898</v>
      </c>
      <c r="R265" s="35" t="n">
        <v>0.1701390035328689</v>
      </c>
      <c r="S265" s="35" t="n">
        <v>0.1849936470430886</v>
      </c>
      <c r="T265" s="35" t="n">
        <v>0.09219224309290097</v>
      </c>
      <c r="U265" s="30" t="n">
        <v>22650</v>
      </c>
      <c r="V265" s="30" t="n">
        <v>7430</v>
      </c>
      <c r="W265" s="35" t="n">
        <v>-0.2176600441501104</v>
      </c>
      <c r="X265" s="35" t="n">
        <v>1.38492597577389</v>
      </c>
      <c r="Y265" s="30" t="n">
        <v>17780753</v>
      </c>
      <c r="Z265" s="30" t="n">
        <v>315074943160</v>
      </c>
      <c r="AA265" s="30" t="n">
        <v>29439706760</v>
      </c>
      <c r="AB265" s="30" t="n">
        <v>19797636432</v>
      </c>
      <c r="AC265" s="35" t="n">
        <v>0.09343715645788454</v>
      </c>
      <c r="AD265" s="24" t="inlineStr">
        <is>
          <t>yfinance_download</t>
        </is>
      </c>
      <c r="AE265" s="24" t="inlineStr">
        <is>
          <t>102120.KQ</t>
        </is>
      </c>
    </row>
    <row r="266" ht="24" customHeight="1">
      <c r="A266" s="29" t="inlineStr">
        <is>
          <t>2024-07-08</t>
        </is>
      </c>
      <c r="B266" s="31" t="n">
        <v>18210</v>
      </c>
      <c r="C266" s="31" t="n">
        <v>18770</v>
      </c>
      <c r="D266" s="31" t="n">
        <v>17810</v>
      </c>
      <c r="E266" s="31" t="n">
        <v>18460</v>
      </c>
      <c r="F266" s="31" t="n">
        <v>18460</v>
      </c>
      <c r="G266" s="31" t="n">
        <v>2426562</v>
      </c>
      <c r="H266" s="36" t="n">
        <v>0.04176072234762973</v>
      </c>
      <c r="I266" s="36" t="n">
        <v>-0.1849889624724061</v>
      </c>
      <c r="J266" s="31" t="n">
        <v>15344.5</v>
      </c>
      <c r="K266" s="31" t="n">
        <v>14985</v>
      </c>
      <c r="L266" s="31" t="n">
        <v>16261.83333333333</v>
      </c>
      <c r="M266" s="36" t="n">
        <v>0.6765176627364871</v>
      </c>
      <c r="N266" s="36" t="n">
        <v>0.574978011085117</v>
      </c>
      <c r="O266" s="36" t="n">
        <v>0.2783933518005539</v>
      </c>
      <c r="P266" s="36" t="n">
        <v>0.1133896260554885</v>
      </c>
      <c r="Q266" s="36" t="n">
        <v>0.3232974910394266</v>
      </c>
      <c r="R266" s="36" t="n">
        <v>0.2030369187656815</v>
      </c>
      <c r="S266" s="36" t="n">
        <v>0.2318985652318986</v>
      </c>
      <c r="T266" s="36" t="n">
        <v>0.1351733609371637</v>
      </c>
      <c r="U266" s="31" t="n">
        <v>22650</v>
      </c>
      <c r="V266" s="31" t="n">
        <v>7430</v>
      </c>
      <c r="W266" s="36" t="n">
        <v>-0.1849889624724061</v>
      </c>
      <c r="X266" s="36" t="n">
        <v>1.484522207267833</v>
      </c>
      <c r="Y266" s="31" t="n">
        <v>17780753</v>
      </c>
      <c r="Z266" s="31" t="n">
        <v>328232700380</v>
      </c>
      <c r="AA266" s="31" t="n">
        <v>44794334520</v>
      </c>
      <c r="AB266" s="31" t="n">
        <v>21659928380</v>
      </c>
      <c r="AC266" s="36" t="n">
        <v>0.136471273179488</v>
      </c>
      <c r="AD266" s="29" t="inlineStr">
        <is>
          <t>yfinance_download</t>
        </is>
      </c>
      <c r="AE266" s="29" t="inlineStr">
        <is>
          <t>102120.KQ</t>
        </is>
      </c>
    </row>
    <row r="267" ht="24" customHeight="1">
      <c r="A267" s="24" t="inlineStr">
        <is>
          <t>2024-07-09</t>
        </is>
      </c>
      <c r="B267" s="30" t="n">
        <v>18500</v>
      </c>
      <c r="C267" s="30" t="n">
        <v>18570</v>
      </c>
      <c r="D267" s="30" t="n">
        <v>16830</v>
      </c>
      <c r="E267" s="30" t="n">
        <v>17110</v>
      </c>
      <c r="F267" s="30" t="n">
        <v>17110</v>
      </c>
      <c r="G267" s="30" t="n">
        <v>2170710</v>
      </c>
      <c r="H267" s="35" t="n">
        <v>-0.0731310942578548</v>
      </c>
      <c r="I267" s="35" t="n">
        <v>-0.2445916114790287</v>
      </c>
      <c r="J267" s="30" t="n">
        <v>15492</v>
      </c>
      <c r="K267" s="30" t="n">
        <v>15007.66666666667</v>
      </c>
      <c r="L267" s="30" t="n">
        <v>16295.5</v>
      </c>
      <c r="M267" s="35" t="n">
        <v>0.735198560877358</v>
      </c>
      <c r="N267" s="35" t="n">
        <v>0.5858145721594173</v>
      </c>
      <c r="O267" s="35" t="n">
        <v>0.2083333333333333</v>
      </c>
      <c r="P267" s="35" t="n">
        <v>0.0863492063492064</v>
      </c>
      <c r="Q267" s="35" t="n">
        <v>0.3091048201989288</v>
      </c>
      <c r="R267" s="35" t="n">
        <v>0.1044410018073845</v>
      </c>
      <c r="S267" s="35" t="n">
        <v>0.1400839570885992</v>
      </c>
      <c r="T267" s="35" t="n">
        <v>0.04998312417538586</v>
      </c>
      <c r="U267" s="30" t="n">
        <v>22650</v>
      </c>
      <c r="V267" s="30" t="n">
        <v>7430</v>
      </c>
      <c r="W267" s="35" t="n">
        <v>-0.2445916114790287</v>
      </c>
      <c r="X267" s="35" t="n">
        <v>1.302826379542396</v>
      </c>
      <c r="Y267" s="30" t="n">
        <v>17780753</v>
      </c>
      <c r="Z267" s="30" t="n">
        <v>304228683830</v>
      </c>
      <c r="AA267" s="30" t="n">
        <v>37140848100</v>
      </c>
      <c r="AB267" s="30" t="n">
        <v>23273561801</v>
      </c>
      <c r="AC267" s="35" t="n">
        <v>0.1220820063132309</v>
      </c>
      <c r="AD267" s="24" t="inlineStr">
        <is>
          <t>yfinance_download</t>
        </is>
      </c>
      <c r="AE267" s="24" t="inlineStr">
        <is>
          <t>102120.KQ</t>
        </is>
      </c>
    </row>
    <row r="268" ht="24" customHeight="1">
      <c r="A268" s="29" t="inlineStr">
        <is>
          <t>2024-07-10</t>
        </is>
      </c>
      <c r="B268" s="31" t="n">
        <v>16960</v>
      </c>
      <c r="C268" s="31" t="n">
        <v>17160</v>
      </c>
      <c r="D268" s="31" t="n">
        <v>16190</v>
      </c>
      <c r="E268" s="31" t="n">
        <v>16230</v>
      </c>
      <c r="F268" s="31" t="n">
        <v>16230</v>
      </c>
      <c r="G268" s="31" t="n">
        <v>1388488</v>
      </c>
      <c r="H268" s="36" t="n">
        <v>-0.05143191116306256</v>
      </c>
      <c r="I268" s="36" t="n">
        <v>-0.2834437086092715</v>
      </c>
      <c r="J268" s="31" t="n">
        <v>15600</v>
      </c>
      <c r="K268" s="31" t="n">
        <v>15011.16666666667</v>
      </c>
      <c r="L268" s="31" t="n">
        <v>16324.91666666667</v>
      </c>
      <c r="M268" s="36" t="n">
        <v>0.7656904534876692</v>
      </c>
      <c r="N268" s="36" t="n">
        <v>0.5950475595983929</v>
      </c>
      <c r="O268" s="36" t="n">
        <v>0.1535181236673775</v>
      </c>
      <c r="P268" s="36" t="n">
        <v>0.01310861423220966</v>
      </c>
      <c r="Q268" s="36" t="n">
        <v>0.2779527559055117</v>
      </c>
      <c r="R268" s="36" t="n">
        <v>0.04038461538461546</v>
      </c>
      <c r="S268" s="36" t="n">
        <v>0.08119511030677162</v>
      </c>
      <c r="T268" s="36" t="n">
        <v>-0.005814220593264863</v>
      </c>
      <c r="U268" s="31" t="n">
        <v>22650</v>
      </c>
      <c r="V268" s="31" t="n">
        <v>7430</v>
      </c>
      <c r="W268" s="36" t="n">
        <v>-0.2834437086092715</v>
      </c>
      <c r="X268" s="36" t="n">
        <v>1.184387617765814</v>
      </c>
      <c r="Y268" s="31" t="n">
        <v>17780753</v>
      </c>
      <c r="Z268" s="31" t="n">
        <v>288581621190</v>
      </c>
      <c r="AA268" s="31" t="n">
        <v>22535160240</v>
      </c>
      <c r="AB268" s="31" t="n">
        <v>24181535534</v>
      </c>
      <c r="AC268" s="36" t="n">
        <v>0.07808938125398851</v>
      </c>
      <c r="AD268" s="29" t="inlineStr">
        <is>
          <t>yfinance_download</t>
        </is>
      </c>
      <c r="AE268" s="29" t="inlineStr">
        <is>
          <t>102120.KQ</t>
        </is>
      </c>
    </row>
    <row r="269" ht="24" customHeight="1">
      <c r="A269" s="24" t="inlineStr">
        <is>
          <t>2024-07-11</t>
        </is>
      </c>
      <c r="B269" s="30" t="n">
        <v>16490</v>
      </c>
      <c r="C269" s="30" t="n">
        <v>17110</v>
      </c>
      <c r="D269" s="30" t="n">
        <v>16200</v>
      </c>
      <c r="E269" s="30" t="n">
        <v>16200</v>
      </c>
      <c r="F269" s="30" t="n">
        <v>16200</v>
      </c>
      <c r="G269" s="30" t="n">
        <v>1078261</v>
      </c>
      <c r="H269" s="35" t="n">
        <v>-0.001848428835489857</v>
      </c>
      <c r="I269" s="35" t="n">
        <v>-0.2847682119205298</v>
      </c>
      <c r="J269" s="30" t="n">
        <v>15701.5</v>
      </c>
      <c r="K269" s="30" t="n">
        <v>15007</v>
      </c>
      <c r="L269" s="30" t="n">
        <v>16355.25</v>
      </c>
      <c r="M269" s="35" t="n">
        <v>0.7665277682032242</v>
      </c>
      <c r="N269" s="35" t="n">
        <v>0.5926044359127376</v>
      </c>
      <c r="O269" s="35" t="n">
        <v>0.1432604093154553</v>
      </c>
      <c r="P269" s="35" t="n">
        <v>-0.01519756838905773</v>
      </c>
      <c r="Q269" s="35" t="n">
        <v>0.2898089171974523</v>
      </c>
      <c r="R269" s="35" t="n">
        <v>0.0317485590548674</v>
      </c>
      <c r="S269" s="35" t="n">
        <v>0.07949623509029125</v>
      </c>
      <c r="T269" s="35" t="n">
        <v>-0.009492364836978906</v>
      </c>
      <c r="U269" s="30" t="n">
        <v>22650</v>
      </c>
      <c r="V269" s="30" t="n">
        <v>7430</v>
      </c>
      <c r="W269" s="35" t="n">
        <v>-0.2847682119205298</v>
      </c>
      <c r="X269" s="35" t="n">
        <v>1.180349932705249</v>
      </c>
      <c r="Y269" s="30" t="n">
        <v>17780753</v>
      </c>
      <c r="Z269" s="30" t="n">
        <v>288048198600</v>
      </c>
      <c r="AA269" s="30" t="n">
        <v>17467828200</v>
      </c>
      <c r="AB269" s="30" t="n">
        <v>24821022754</v>
      </c>
      <c r="AC269" s="35" t="n">
        <v>0.06064203242686066</v>
      </c>
      <c r="AD269" s="24" t="inlineStr">
        <is>
          <t>yfinance_download</t>
        </is>
      </c>
      <c r="AE269" s="24" t="inlineStr">
        <is>
          <t>102120.KQ</t>
        </is>
      </c>
    </row>
    <row r="270" ht="24" customHeight="1">
      <c r="A270" s="29" t="inlineStr">
        <is>
          <t>2024-07-12</t>
        </is>
      </c>
      <c r="B270" s="31" t="n">
        <v>15820</v>
      </c>
      <c r="C270" s="31" t="n">
        <v>17260</v>
      </c>
      <c r="D270" s="31" t="n">
        <v>15810</v>
      </c>
      <c r="E270" s="31" t="n">
        <v>16990</v>
      </c>
      <c r="F270" s="31" t="n">
        <v>16990</v>
      </c>
      <c r="G270" s="31" t="n">
        <v>1297092</v>
      </c>
      <c r="H270" s="36" t="n">
        <v>0.04876543209876538</v>
      </c>
      <c r="I270" s="36" t="n">
        <v>-0.2498896247240618</v>
      </c>
      <c r="J270" s="31" t="n">
        <v>15868</v>
      </c>
      <c r="K270" s="31" t="n">
        <v>15006</v>
      </c>
      <c r="L270" s="31" t="n">
        <v>16394.5</v>
      </c>
      <c r="M270" s="36" t="n">
        <v>0.7613214885539049</v>
      </c>
      <c r="N270" s="36" t="n">
        <v>0.5963223110976675</v>
      </c>
      <c r="O270" s="36" t="n">
        <v>0.2437774524158125</v>
      </c>
      <c r="P270" s="36" t="n">
        <v>-0.003519061583577732</v>
      </c>
      <c r="Q270" s="36" t="n">
        <v>0.3835504885993486</v>
      </c>
      <c r="R270" s="36" t="n">
        <v>0.07070834383665248</v>
      </c>
      <c r="S270" s="36" t="n">
        <v>0.132213781154205</v>
      </c>
      <c r="T270" s="36" t="n">
        <v>0.03632315715636336</v>
      </c>
      <c r="U270" s="31" t="n">
        <v>22650</v>
      </c>
      <c r="V270" s="31" t="n">
        <v>7430</v>
      </c>
      <c r="W270" s="36" t="n">
        <v>-0.2498896247240618</v>
      </c>
      <c r="X270" s="36" t="n">
        <v>1.286675639300134</v>
      </c>
      <c r="Y270" s="31" t="n">
        <v>17780753</v>
      </c>
      <c r="Z270" s="31" t="n">
        <v>302094993470</v>
      </c>
      <c r="AA270" s="31" t="n">
        <v>22037593080</v>
      </c>
      <c r="AB270" s="31" t="n">
        <v>25697136758</v>
      </c>
      <c r="AC270" s="36" t="n">
        <v>0.07294921649268735</v>
      </c>
      <c r="AD270" s="29" t="inlineStr">
        <is>
          <t>yfinance_download</t>
        </is>
      </c>
      <c r="AE270" s="29" t="inlineStr">
        <is>
          <t>102120.KQ</t>
        </is>
      </c>
    </row>
    <row r="271" ht="24" customHeight="1">
      <c r="A271" s="24" t="inlineStr">
        <is>
          <t>2024-07-15</t>
        </is>
      </c>
      <c r="B271" s="30" t="n">
        <v>17100</v>
      </c>
      <c r="C271" s="30" t="n">
        <v>17700</v>
      </c>
      <c r="D271" s="30" t="n">
        <v>16930</v>
      </c>
      <c r="E271" s="30" t="n">
        <v>17420</v>
      </c>
      <c r="F271" s="30" t="n">
        <v>17420</v>
      </c>
      <c r="G271" s="30" t="n">
        <v>1067353</v>
      </c>
      <c r="H271" s="35" t="n">
        <v>0.02530900529723357</v>
      </c>
      <c r="I271" s="35" t="n">
        <v>-0.2309050772626932</v>
      </c>
      <c r="J271" s="30" t="n">
        <v>16071</v>
      </c>
      <c r="K271" s="30" t="n">
        <v>15027.66666666667</v>
      </c>
      <c r="L271" s="30" t="n">
        <v>16441.08333333333</v>
      </c>
      <c r="M271" s="35" t="n">
        <v>0.7517479384698199</v>
      </c>
      <c r="N271" s="35" t="n">
        <v>0.5871538566049088</v>
      </c>
      <c r="O271" s="35" t="n">
        <v>0.3038922155688624</v>
      </c>
      <c r="P271" s="35" t="n">
        <v>0.08064516129032251</v>
      </c>
      <c r="Q271" s="35" t="n">
        <v>0.4725274725274726</v>
      </c>
      <c r="R271" s="35" t="n">
        <v>0.08394001617820912</v>
      </c>
      <c r="S271" s="35" t="n">
        <v>0.1591952620721779</v>
      </c>
      <c r="T271" s="35" t="n">
        <v>0.05954088589052842</v>
      </c>
      <c r="U271" s="30" t="n">
        <v>22650</v>
      </c>
      <c r="V271" s="30" t="n">
        <v>7430</v>
      </c>
      <c r="W271" s="35" t="n">
        <v>-0.2309050772626932</v>
      </c>
      <c r="X271" s="35" t="n">
        <v>1.344549125168237</v>
      </c>
      <c r="Y271" s="30" t="n">
        <v>17780753</v>
      </c>
      <c r="Z271" s="30" t="n">
        <v>309740717260</v>
      </c>
      <c r="AA271" s="30" t="n">
        <v>18593289260</v>
      </c>
      <c r="AB271" s="30" t="n">
        <v>26499536533</v>
      </c>
      <c r="AC271" s="35" t="n">
        <v>0.06002856009528956</v>
      </c>
      <c r="AD271" s="24" t="inlineStr">
        <is>
          <t>yfinance_download</t>
        </is>
      </c>
      <c r="AE271" s="24" t="inlineStr">
        <is>
          <t>102120.KQ</t>
        </is>
      </c>
    </row>
    <row r="272" ht="24" customHeight="1">
      <c r="A272" s="29" t="inlineStr">
        <is>
          <t>2024-07-16</t>
        </is>
      </c>
      <c r="B272" s="31" t="n">
        <v>17330</v>
      </c>
      <c r="C272" s="31" t="n">
        <v>17600</v>
      </c>
      <c r="D272" s="31" t="n">
        <v>16760</v>
      </c>
      <c r="E272" s="31" t="n">
        <v>17280</v>
      </c>
      <c r="F272" s="31" t="n">
        <v>17280</v>
      </c>
      <c r="G272" s="31" t="n">
        <v>703241</v>
      </c>
      <c r="H272" s="36" t="n">
        <v>-0.008036739380022917</v>
      </c>
      <c r="I272" s="36" t="n">
        <v>-0.2370860927152317</v>
      </c>
      <c r="J272" s="31" t="n">
        <v>16254.5</v>
      </c>
      <c r="K272" s="31" t="n">
        <v>15038.16666666667</v>
      </c>
      <c r="L272" s="31" t="n">
        <v>16487</v>
      </c>
      <c r="M272" s="36" t="n">
        <v>0.7557021951692918</v>
      </c>
      <c r="N272" s="36" t="n">
        <v>0.5839281973439625</v>
      </c>
      <c r="O272" s="36" t="n">
        <v>0.2696546656869949</v>
      </c>
      <c r="P272" s="36" t="n">
        <v>0.0378378378378379</v>
      </c>
      <c r="Q272" s="36" t="n">
        <v>0.4681393372982159</v>
      </c>
      <c r="R272" s="36" t="n">
        <v>0.06309022116952234</v>
      </c>
      <c r="S272" s="36" t="n">
        <v>0.1490762393465517</v>
      </c>
      <c r="T272" s="36" t="n">
        <v>0.04809850184994247</v>
      </c>
      <c r="U272" s="31" t="n">
        <v>22650</v>
      </c>
      <c r="V272" s="31" t="n">
        <v>7430</v>
      </c>
      <c r="W272" s="36" t="n">
        <v>-0.2370860927152317</v>
      </c>
      <c r="X272" s="36" t="n">
        <v>1.325706594885599</v>
      </c>
      <c r="Y272" s="31" t="n">
        <v>17780753</v>
      </c>
      <c r="Z272" s="31" t="n">
        <v>307251411840</v>
      </c>
      <c r="AA272" s="31" t="n">
        <v>12152004480</v>
      </c>
      <c r="AB272" s="31" t="n">
        <v>26798753211</v>
      </c>
      <c r="AC272" s="36" t="n">
        <v>0.03955068719530607</v>
      </c>
      <c r="AD272" s="29" t="inlineStr">
        <is>
          <t>yfinance_download</t>
        </is>
      </c>
      <c r="AE272" s="29" t="inlineStr">
        <is>
          <t>102120.KQ</t>
        </is>
      </c>
    </row>
    <row r="273" ht="24" customHeight="1">
      <c r="A273" s="24" t="inlineStr">
        <is>
          <t>2024-07-17</t>
        </is>
      </c>
      <c r="B273" s="30" t="n">
        <v>17450</v>
      </c>
      <c r="C273" s="30" t="n">
        <v>17640</v>
      </c>
      <c r="D273" s="30" t="n">
        <v>16520</v>
      </c>
      <c r="E273" s="30" t="n">
        <v>16520</v>
      </c>
      <c r="F273" s="30" t="n">
        <v>16520</v>
      </c>
      <c r="G273" s="30" t="n">
        <v>709572</v>
      </c>
      <c r="H273" s="35" t="n">
        <v>-0.04398148148148151</v>
      </c>
      <c r="I273" s="35" t="n">
        <v>-0.2706401766004415</v>
      </c>
      <c r="J273" s="30" t="n">
        <v>16351.5</v>
      </c>
      <c r="K273" s="30" t="n">
        <v>15030.66666666667</v>
      </c>
      <c r="L273" s="30" t="n">
        <v>16520.91666666667</v>
      </c>
      <c r="M273" s="35" t="n">
        <v>0.7486784520915468</v>
      </c>
      <c r="N273" s="35" t="n">
        <v>0.5899651405639645</v>
      </c>
      <c r="O273" s="35" t="n">
        <v>0.1330589849108368</v>
      </c>
      <c r="P273" s="35" t="n">
        <v>-0.0265173836181497</v>
      </c>
      <c r="Q273" s="35" t="n">
        <v>0.3269076305220884</v>
      </c>
      <c r="R273" s="35" t="n">
        <v>0.01030486499709515</v>
      </c>
      <c r="S273" s="35" t="n">
        <v>0.09908631242792509</v>
      </c>
      <c r="T273" s="35" t="n">
        <v>-5.54852182335086e-05</v>
      </c>
      <c r="U273" s="30" t="n">
        <v>22650</v>
      </c>
      <c r="V273" s="30" t="n">
        <v>7430</v>
      </c>
      <c r="W273" s="35" t="n">
        <v>-0.2706401766004415</v>
      </c>
      <c r="X273" s="35" t="n">
        <v>1.223418573351279</v>
      </c>
      <c r="Y273" s="30" t="n">
        <v>17780753</v>
      </c>
      <c r="Z273" s="30" t="n">
        <v>293738039560</v>
      </c>
      <c r="AA273" s="30" t="n">
        <v>11722129440</v>
      </c>
      <c r="AB273" s="30" t="n">
        <v>25444554741</v>
      </c>
      <c r="AC273" s="35" t="n">
        <v>0.03990674635658006</v>
      </c>
      <c r="AD273" s="24" t="inlineStr">
        <is>
          <t>yfinance_download</t>
        </is>
      </c>
      <c r="AE273" s="24" t="inlineStr">
        <is>
          <t>102120.KQ</t>
        </is>
      </c>
    </row>
    <row r="274" ht="24" customHeight="1">
      <c r="A274" s="29" t="inlineStr">
        <is>
          <t>2024-07-18</t>
        </is>
      </c>
      <c r="B274" s="31" t="n">
        <v>15520</v>
      </c>
      <c r="C274" s="31" t="n">
        <v>16120</v>
      </c>
      <c r="D274" s="31" t="n">
        <v>15190</v>
      </c>
      <c r="E274" s="31" t="n">
        <v>16090</v>
      </c>
      <c r="F274" s="31" t="n">
        <v>16090</v>
      </c>
      <c r="G274" s="31" t="n">
        <v>711178</v>
      </c>
      <c r="H274" s="36" t="n">
        <v>-0.02602905569007263</v>
      </c>
      <c r="I274" s="36" t="n">
        <v>-0.2896247240618102</v>
      </c>
      <c r="J274" s="31" t="n">
        <v>16410</v>
      </c>
      <c r="K274" s="31" t="n">
        <v>15031.16666666667</v>
      </c>
      <c r="L274" s="31" t="n">
        <v>16520.16666666667</v>
      </c>
      <c r="M274" s="36" t="n">
        <v>0.7551446014990758</v>
      </c>
      <c r="N274" s="36" t="n">
        <v>0.5818633460399572</v>
      </c>
      <c r="O274" s="36" t="n">
        <v>0.07841823056300279</v>
      </c>
      <c r="P274" s="36" t="n">
        <v>0.001867995018679958</v>
      </c>
      <c r="Q274" s="36" t="n">
        <v>-0.005562422744128548</v>
      </c>
      <c r="R274" s="36" t="n">
        <v>-0.01950030469226083</v>
      </c>
      <c r="S274" s="36" t="n">
        <v>0.07044252497588355</v>
      </c>
      <c r="T274" s="36" t="n">
        <v>-0.02603888177076508</v>
      </c>
      <c r="U274" s="31" t="n">
        <v>22650</v>
      </c>
      <c r="V274" s="31" t="n">
        <v>7430</v>
      </c>
      <c r="W274" s="36" t="n">
        <v>-0.2896247240618102</v>
      </c>
      <c r="X274" s="36" t="n">
        <v>1.165545087483177</v>
      </c>
      <c r="Y274" s="31" t="n">
        <v>17780753</v>
      </c>
      <c r="Z274" s="31" t="n">
        <v>286092315770</v>
      </c>
      <c r="AA274" s="31" t="n">
        <v>11442854020</v>
      </c>
      <c r="AB274" s="31" t="n">
        <v>24782242752</v>
      </c>
      <c r="AC274" s="36" t="n">
        <v>0.03999706874056459</v>
      </c>
      <c r="AD274" s="29" t="inlineStr">
        <is>
          <t>yfinance_download</t>
        </is>
      </c>
      <c r="AE274" s="29" t="inlineStr">
        <is>
          <t>102120.KQ</t>
        </is>
      </c>
    </row>
    <row r="275" ht="24" customHeight="1">
      <c r="A275" s="24" t="inlineStr">
        <is>
          <t>2024-07-19</t>
        </is>
      </c>
      <c r="B275" s="30" t="n">
        <v>15900</v>
      </c>
      <c r="C275" s="30" t="n">
        <v>16360</v>
      </c>
      <c r="D275" s="30" t="n">
        <v>15540</v>
      </c>
      <c r="E275" s="30" t="n">
        <v>15760</v>
      </c>
      <c r="F275" s="30" t="n">
        <v>15760</v>
      </c>
      <c r="G275" s="30" t="n">
        <v>378571</v>
      </c>
      <c r="H275" s="35" t="n">
        <v>-0.02050963331261657</v>
      </c>
      <c r="I275" s="35" t="n">
        <v>-0.3041942604856512</v>
      </c>
      <c r="J275" s="30" t="n">
        <v>16452.5</v>
      </c>
      <c r="K275" s="30" t="n">
        <v>15035.66666666667</v>
      </c>
      <c r="L275" s="30" t="n">
        <v>16485.41666666667</v>
      </c>
      <c r="M275" s="35" t="n">
        <v>0.7603305426526092</v>
      </c>
      <c r="N275" s="35" t="n">
        <v>0.578686859994487</v>
      </c>
      <c r="O275" s="35" t="n">
        <v>0.05700871898054993</v>
      </c>
      <c r="P275" s="35" t="n">
        <v>0.01743060038734678</v>
      </c>
      <c r="Q275" s="35" t="n">
        <v>-0.2092323130958355</v>
      </c>
      <c r="R275" s="35" t="n">
        <v>-0.04209086764929337</v>
      </c>
      <c r="S275" s="35" t="n">
        <v>0.04817434101137308</v>
      </c>
      <c r="T275" s="35" t="n">
        <v>-0.04400353848098071</v>
      </c>
      <c r="U275" s="30" t="n">
        <v>22650</v>
      </c>
      <c r="V275" s="30" t="n">
        <v>7430</v>
      </c>
      <c r="W275" s="35" t="n">
        <v>-0.3041942604856512</v>
      </c>
      <c r="X275" s="35" t="n">
        <v>1.121130551816958</v>
      </c>
      <c r="Y275" s="30" t="n">
        <v>17780753</v>
      </c>
      <c r="Z275" s="30" t="n">
        <v>280224667280</v>
      </c>
      <c r="AA275" s="30" t="n">
        <v>5966278960</v>
      </c>
      <c r="AB275" s="30" t="n">
        <v>24227234289.5</v>
      </c>
      <c r="AC275" s="35" t="n">
        <v>0.02129105555878314</v>
      </c>
      <c r="AD275" s="24" t="inlineStr">
        <is>
          <t>yfinance_download</t>
        </is>
      </c>
      <c r="AE275" s="24" t="inlineStr">
        <is>
          <t>102120.KQ</t>
        </is>
      </c>
    </row>
    <row r="276" ht="24" customHeight="1">
      <c r="A276" s="29" t="inlineStr">
        <is>
          <t>2024-07-22</t>
        </is>
      </c>
      <c r="B276" s="31" t="n">
        <v>15500</v>
      </c>
      <c r="C276" s="31" t="n">
        <v>15640</v>
      </c>
      <c r="D276" s="31" t="n">
        <v>14760</v>
      </c>
      <c r="E276" s="31" t="n">
        <v>14790</v>
      </c>
      <c r="F276" s="31" t="n">
        <v>14790</v>
      </c>
      <c r="G276" s="31" t="n">
        <v>555134</v>
      </c>
      <c r="H276" s="36" t="n">
        <v>-0.06154822335025378</v>
      </c>
      <c r="I276" s="36" t="n">
        <v>-0.3470198675496688</v>
      </c>
      <c r="J276" s="31" t="n">
        <v>16474</v>
      </c>
      <c r="K276" s="31" t="n">
        <v>15019.83333333333</v>
      </c>
      <c r="L276" s="31" t="n">
        <v>16435.33333333333</v>
      </c>
      <c r="M276" s="36" t="n">
        <v>0.7825676444737415</v>
      </c>
      <c r="N276" s="36" t="n">
        <v>0.5917197913908712</v>
      </c>
      <c r="O276" s="36" t="n">
        <v>0.02994428969359331</v>
      </c>
      <c r="P276" s="36" t="n">
        <v>-0.0603557814485387</v>
      </c>
      <c r="Q276" s="36" t="n">
        <v>-0.2889423076923077</v>
      </c>
      <c r="R276" s="36" t="n">
        <v>-0.1022216826514508</v>
      </c>
      <c r="S276" s="36" t="n">
        <v>-0.01530198959154017</v>
      </c>
      <c r="T276" s="36" t="n">
        <v>-0.1001095201395367</v>
      </c>
      <c r="U276" s="31" t="n">
        <v>22650</v>
      </c>
      <c r="V276" s="31" t="n">
        <v>7430</v>
      </c>
      <c r="W276" s="36" t="n">
        <v>-0.3470198675496688</v>
      </c>
      <c r="X276" s="36" t="n">
        <v>0.990578734858681</v>
      </c>
      <c r="Y276" s="31" t="n">
        <v>17780753</v>
      </c>
      <c r="Z276" s="31" t="n">
        <v>262977336870</v>
      </c>
      <c r="AA276" s="31" t="n">
        <v>8210431860</v>
      </c>
      <c r="AB276" s="31" t="n">
        <v>24336126236.5</v>
      </c>
      <c r="AC276" s="36" t="n">
        <v>0.03122106246006567</v>
      </c>
      <c r="AD276" s="29" t="inlineStr">
        <is>
          <t>yfinance_download</t>
        </is>
      </c>
      <c r="AE276" s="29" t="inlineStr">
        <is>
          <t>102120.KQ</t>
        </is>
      </c>
    </row>
    <row r="277" ht="24" customHeight="1">
      <c r="A277" s="24" t="inlineStr">
        <is>
          <t>2024-07-23</t>
        </is>
      </c>
      <c r="B277" s="30" t="n">
        <v>15190</v>
      </c>
      <c r="C277" s="30" t="n">
        <v>15490</v>
      </c>
      <c r="D277" s="30" t="n">
        <v>14720</v>
      </c>
      <c r="E277" s="30" t="n">
        <v>14750</v>
      </c>
      <c r="F277" s="30" t="n">
        <v>14750</v>
      </c>
      <c r="G277" s="30" t="n">
        <v>407771</v>
      </c>
      <c r="H277" s="35" t="n">
        <v>-0.002704530087897283</v>
      </c>
      <c r="I277" s="35" t="n">
        <v>-0.3487858719646799</v>
      </c>
      <c r="J277" s="30" t="n">
        <v>16471.5</v>
      </c>
      <c r="K277" s="30" t="n">
        <v>14994.5</v>
      </c>
      <c r="L277" s="30" t="n">
        <v>16374.91666666667</v>
      </c>
      <c r="M277" s="35" t="n">
        <v>0.7756497794230711</v>
      </c>
      <c r="N277" s="35" t="n">
        <v>0.5874629383265323</v>
      </c>
      <c r="O277" s="35" t="n">
        <v>-0.003378378378378399</v>
      </c>
      <c r="P277" s="35" t="n">
        <v>-0.09342347879532886</v>
      </c>
      <c r="Q277" s="35" t="n">
        <v>-0.3295454545454546</v>
      </c>
      <c r="R277" s="35" t="n">
        <v>-0.1045138572686155</v>
      </c>
      <c r="S277" s="35" t="n">
        <v>-0.01630597885891494</v>
      </c>
      <c r="T277" s="35" t="n">
        <v>-0.09923205716059624</v>
      </c>
      <c r="U277" s="30" t="n">
        <v>22650</v>
      </c>
      <c r="V277" s="30" t="n">
        <v>7430</v>
      </c>
      <c r="W277" s="35" t="n">
        <v>-0.3487858719646799</v>
      </c>
      <c r="X277" s="35" t="n">
        <v>0.9851951547779274</v>
      </c>
      <c r="Y277" s="30" t="n">
        <v>17780753</v>
      </c>
      <c r="Z277" s="30" t="n">
        <v>262266106750</v>
      </c>
      <c r="AA277" s="30" t="n">
        <v>6014622250</v>
      </c>
      <c r="AB277" s="30" t="n">
        <v>24232429589</v>
      </c>
      <c r="AC277" s="35" t="n">
        <v>0.02293328072213814</v>
      </c>
      <c r="AD277" s="24" t="inlineStr">
        <is>
          <t>yfinance_download</t>
        </is>
      </c>
      <c r="AE277" s="24" t="inlineStr">
        <is>
          <t>102120.KQ</t>
        </is>
      </c>
    </row>
    <row r="278" ht="24" customHeight="1">
      <c r="A278" s="29" t="inlineStr">
        <is>
          <t>2024-07-24</t>
        </is>
      </c>
      <c r="B278" s="31" t="n">
        <v>14510</v>
      </c>
      <c r="C278" s="31" t="n">
        <v>14900</v>
      </c>
      <c r="D278" s="31" t="n">
        <v>14400</v>
      </c>
      <c r="E278" s="31" t="n">
        <v>14400</v>
      </c>
      <c r="F278" s="31" t="n">
        <v>14400</v>
      </c>
      <c r="G278" s="31" t="n">
        <v>379457</v>
      </c>
      <c r="H278" s="36" t="n">
        <v>-0.02372881355932199</v>
      </c>
      <c r="I278" s="36" t="n">
        <v>-0.3642384105960265</v>
      </c>
      <c r="J278" s="31" t="n">
        <v>16431.5</v>
      </c>
      <c r="K278" s="31" t="n">
        <v>14971.83333333333</v>
      </c>
      <c r="L278" s="31" t="n">
        <v>16306.16666666667</v>
      </c>
      <c r="M278" s="36" t="n">
        <v>0.773937815900241</v>
      </c>
      <c r="N278" s="36" t="n">
        <v>0.5859863822563827</v>
      </c>
      <c r="O278" s="36" t="n">
        <v>-0.05263157894736847</v>
      </c>
      <c r="P278" s="36" t="n">
        <v>-0.08629441624365486</v>
      </c>
      <c r="Q278" s="36" t="n">
        <v>-0.3642384105960265</v>
      </c>
      <c r="R278" s="36" t="n">
        <v>-0.1236344825487631</v>
      </c>
      <c r="S278" s="36" t="n">
        <v>-0.03819394195767611</v>
      </c>
      <c r="T278" s="36" t="n">
        <v>-0.1168985148767848</v>
      </c>
      <c r="U278" s="31" t="n">
        <v>22650</v>
      </c>
      <c r="V278" s="31" t="n">
        <v>7430</v>
      </c>
      <c r="W278" s="36" t="n">
        <v>-0.3642384105960265</v>
      </c>
      <c r="X278" s="36" t="n">
        <v>0.9380888290713325</v>
      </c>
      <c r="Y278" s="31" t="n">
        <v>17780753</v>
      </c>
      <c r="Z278" s="31" t="n">
        <v>256042843200</v>
      </c>
      <c r="AA278" s="31" t="n">
        <v>5464180800</v>
      </c>
      <c r="AB278" s="31" t="n">
        <v>24013472509</v>
      </c>
      <c r="AC278" s="36" t="n">
        <v>0.02134088471956165</v>
      </c>
      <c r="AD278" s="29" t="inlineStr">
        <is>
          <t>yfinance_download</t>
        </is>
      </c>
      <c r="AE278" s="29" t="inlineStr">
        <is>
          <t>102120.KQ</t>
        </is>
      </c>
    </row>
    <row r="279" ht="24" customHeight="1">
      <c r="A279" s="24" t="inlineStr">
        <is>
          <t>2024-07-25</t>
        </is>
      </c>
      <c r="B279" s="30" t="n">
        <v>13880</v>
      </c>
      <c r="C279" s="30" t="n">
        <v>14280</v>
      </c>
      <c r="D279" s="30" t="n">
        <v>13510</v>
      </c>
      <c r="E279" s="30" t="n">
        <v>13590</v>
      </c>
      <c r="F279" s="30" t="n">
        <v>13590</v>
      </c>
      <c r="G279" s="30" t="n">
        <v>452335</v>
      </c>
      <c r="H279" s="35" t="n">
        <v>-0.05625000000000002</v>
      </c>
      <c r="I279" s="35" t="n">
        <v>-0.4</v>
      </c>
      <c r="J279" s="30" t="n">
        <v>16383</v>
      </c>
      <c r="K279" s="30" t="n">
        <v>14935.5</v>
      </c>
      <c r="L279" s="30" t="n">
        <v>16237.33333333333</v>
      </c>
      <c r="M279" s="35" t="n">
        <v>0.7853039229476287</v>
      </c>
      <c r="N279" s="35" t="n">
        <v>0.5968678414091703</v>
      </c>
      <c r="O279" s="35" t="n">
        <v>-0.06662087912087911</v>
      </c>
      <c r="P279" s="35" t="n">
        <v>-0.1382371591629676</v>
      </c>
      <c r="Q279" s="35" t="n">
        <v>-0.3780320366132723</v>
      </c>
      <c r="R279" s="35" t="n">
        <v>-0.170481596777147</v>
      </c>
      <c r="S279" s="35" t="n">
        <v>-0.09008737571557701</v>
      </c>
      <c r="T279" s="35" t="n">
        <v>-0.1630399080308754</v>
      </c>
      <c r="U279" s="30" t="n">
        <v>22650</v>
      </c>
      <c r="V279" s="30" t="n">
        <v>7430</v>
      </c>
      <c r="W279" s="35" t="n">
        <v>-0.4</v>
      </c>
      <c r="X279" s="35" t="n">
        <v>0.8290713324360699</v>
      </c>
      <c r="Y279" s="30" t="n">
        <v>17780753</v>
      </c>
      <c r="Z279" s="30" t="n">
        <v>241640433270</v>
      </c>
      <c r="AA279" s="30" t="n">
        <v>6147232650</v>
      </c>
      <c r="AB279" s="30" t="n">
        <v>24047398797.5</v>
      </c>
      <c r="AC279" s="35" t="n">
        <v>0.02543958627623926</v>
      </c>
      <c r="AD279" s="24" t="inlineStr">
        <is>
          <t>yfinance_download</t>
        </is>
      </c>
      <c r="AE279" s="24" t="inlineStr">
        <is>
          <t>102120.KQ</t>
        </is>
      </c>
    </row>
    <row r="280" ht="24" customHeight="1">
      <c r="A280" s="29" t="inlineStr">
        <is>
          <t>2024-07-26</t>
        </is>
      </c>
      <c r="B280" s="31" t="n">
        <v>13590</v>
      </c>
      <c r="C280" s="31" t="n">
        <v>14260</v>
      </c>
      <c r="D280" s="31" t="n">
        <v>13160</v>
      </c>
      <c r="E280" s="31" t="n">
        <v>14210</v>
      </c>
      <c r="F280" s="31" t="n">
        <v>14210</v>
      </c>
      <c r="G280" s="31" t="n">
        <v>595876</v>
      </c>
      <c r="H280" s="36" t="n">
        <v>0.04562178072111855</v>
      </c>
      <c r="I280" s="36" t="n">
        <v>-0.372626931567329</v>
      </c>
      <c r="J280" s="31" t="n">
        <v>16301</v>
      </c>
      <c r="K280" s="31" t="n">
        <v>14909.66666666667</v>
      </c>
      <c r="L280" s="31" t="n">
        <v>16167.83333333333</v>
      </c>
      <c r="M280" s="36" t="n">
        <v>0.7323597785494345</v>
      </c>
      <c r="N280" s="36" t="n">
        <v>0.6047279382864826</v>
      </c>
      <c r="O280" s="36" t="n">
        <v>-0.1034700315457413</v>
      </c>
      <c r="P280" s="36" t="n">
        <v>-0.0983502538071066</v>
      </c>
      <c r="Q280" s="36" t="n">
        <v>-0.3698447893569845</v>
      </c>
      <c r="R280" s="36" t="n">
        <v>-0.1282743389976075</v>
      </c>
      <c r="S280" s="36" t="n">
        <v>-0.04692704956515903</v>
      </c>
      <c r="T280" s="36" t="n">
        <v>-0.1210943540156896</v>
      </c>
      <c r="U280" s="31" t="n">
        <v>22650</v>
      </c>
      <c r="V280" s="31" t="n">
        <v>7430</v>
      </c>
      <c r="W280" s="36" t="n">
        <v>-0.372626931567329</v>
      </c>
      <c r="X280" s="36" t="n">
        <v>0.9125168236877523</v>
      </c>
      <c r="Y280" s="31" t="n">
        <v>17780753</v>
      </c>
      <c r="Z280" s="31" t="n">
        <v>252664500130</v>
      </c>
      <c r="AA280" s="31" t="n">
        <v>8467397960</v>
      </c>
      <c r="AB280" s="31" t="n">
        <v>21165053863</v>
      </c>
      <c r="AC280" s="36" t="n">
        <v>0.03351241648764819</v>
      </c>
      <c r="AD280" s="29" t="inlineStr">
        <is>
          <t>yfinance_download</t>
        </is>
      </c>
      <c r="AE280" s="29" t="inlineStr">
        <is>
          <t>102120.KQ</t>
        </is>
      </c>
    </row>
    <row r="281" ht="24" customHeight="1">
      <c r="A281" s="24" t="inlineStr">
        <is>
          <t>2024-07-29</t>
        </is>
      </c>
      <c r="B281" s="30" t="n">
        <v>14490</v>
      </c>
      <c r="C281" s="30" t="n">
        <v>14580</v>
      </c>
      <c r="D281" s="30" t="n">
        <v>14100</v>
      </c>
      <c r="E281" s="30" t="n">
        <v>14400</v>
      </c>
      <c r="F281" s="30" t="n">
        <v>14400</v>
      </c>
      <c r="G281" s="30" t="n">
        <v>372928</v>
      </c>
      <c r="H281" s="35" t="n">
        <v>0.01337086558761436</v>
      </c>
      <c r="I281" s="35" t="n">
        <v>-0.3642384105960265</v>
      </c>
      <c r="J281" s="30" t="n">
        <v>16183</v>
      </c>
      <c r="K281" s="30" t="n">
        <v>14888.5</v>
      </c>
      <c r="L281" s="30" t="n">
        <v>16131.83333333333</v>
      </c>
      <c r="M281" s="35" t="n">
        <v>0.6989435675035741</v>
      </c>
      <c r="N281" s="35" t="n">
        <v>0.6053602498630244</v>
      </c>
      <c r="O281" s="35" t="n">
        <v>-0.1408114558472554</v>
      </c>
      <c r="P281" s="35" t="n">
        <v>-0.08104658583280155</v>
      </c>
      <c r="Q281" s="35" t="n">
        <v>-0.2307692307692307</v>
      </c>
      <c r="R281" s="35" t="n">
        <v>-0.1101773465982822</v>
      </c>
      <c r="S281" s="35" t="n">
        <v>-0.03281055848473657</v>
      </c>
      <c r="T281" s="35" t="n">
        <v>-0.1073550226777283</v>
      </c>
      <c r="U281" s="30" t="n">
        <v>22650</v>
      </c>
      <c r="V281" s="30" t="n">
        <v>7430</v>
      </c>
      <c r="W281" s="35" t="n">
        <v>-0.3642384105960265</v>
      </c>
      <c r="X281" s="35" t="n">
        <v>0.9380888290713325</v>
      </c>
      <c r="Y281" s="30" t="n">
        <v>17780753</v>
      </c>
      <c r="Z281" s="30" t="n">
        <v>256042843200</v>
      </c>
      <c r="AA281" s="30" t="n">
        <v>5370163200</v>
      </c>
      <c r="AB281" s="30" t="n">
        <v>18695446465</v>
      </c>
      <c r="AC281" s="35" t="n">
        <v>0.02097368992190601</v>
      </c>
      <c r="AD281" s="24" t="inlineStr">
        <is>
          <t>yfinance_download</t>
        </is>
      </c>
      <c r="AE281" s="24" t="inlineStr">
        <is>
          <t>102120.KQ</t>
        </is>
      </c>
    </row>
    <row r="282" ht="24" customHeight="1">
      <c r="A282" s="29" t="inlineStr">
        <is>
          <t>2024-07-30</t>
        </is>
      </c>
      <c r="B282" s="31" t="n">
        <v>14260</v>
      </c>
      <c r="C282" s="31" t="n">
        <v>14740</v>
      </c>
      <c r="D282" s="31" t="n">
        <v>13930</v>
      </c>
      <c r="E282" s="31" t="n">
        <v>13970</v>
      </c>
      <c r="F282" s="31" t="n">
        <v>13970</v>
      </c>
      <c r="G282" s="31" t="n">
        <v>332582</v>
      </c>
      <c r="H282" s="36" t="n">
        <v>-0.02986111111111112</v>
      </c>
      <c r="I282" s="36" t="n">
        <v>-0.3832229580573951</v>
      </c>
      <c r="J282" s="31" t="n">
        <v>16038.5</v>
      </c>
      <c r="K282" s="31" t="n">
        <v>14863.33333333333</v>
      </c>
      <c r="L282" s="31" t="n">
        <v>16082.66666666667</v>
      </c>
      <c r="M282" s="36" t="n">
        <v>0.7019307719580141</v>
      </c>
      <c r="N282" s="36" t="n">
        <v>0.6078753484619428</v>
      </c>
      <c r="O282" s="36" t="n">
        <v>-0.1714116251482799</v>
      </c>
      <c r="P282" s="36" t="n">
        <v>-0.09754521963824292</v>
      </c>
      <c r="Q282" s="36" t="n">
        <v>-0.2969300452944137</v>
      </c>
      <c r="R282" s="36" t="n">
        <v>-0.128970913738816</v>
      </c>
      <c r="S282" s="36" t="n">
        <v>-0.06010316214397848</v>
      </c>
      <c r="T282" s="36" t="n">
        <v>-0.1313629580500746</v>
      </c>
      <c r="U282" s="31" t="n">
        <v>22650</v>
      </c>
      <c r="V282" s="31" t="n">
        <v>7430</v>
      </c>
      <c r="W282" s="36" t="n">
        <v>-0.3832229580573951</v>
      </c>
      <c r="X282" s="36" t="n">
        <v>0.8802153432032302</v>
      </c>
      <c r="Y282" s="31" t="n">
        <v>17780753</v>
      </c>
      <c r="Z282" s="31" t="n">
        <v>248397119410</v>
      </c>
      <c r="AA282" s="31" t="n">
        <v>4646170540</v>
      </c>
      <c r="AB282" s="31" t="n">
        <v>17796195249</v>
      </c>
      <c r="AC282" s="36" t="n">
        <v>0.01870460716708679</v>
      </c>
      <c r="AD282" s="29" t="inlineStr">
        <is>
          <t>yfinance_download</t>
        </is>
      </c>
      <c r="AE282" s="29" t="inlineStr">
        <is>
          <t>102120.KQ</t>
        </is>
      </c>
    </row>
    <row r="283" ht="24" customHeight="1">
      <c r="A283" s="24" t="inlineStr">
        <is>
          <t>2024-07-31</t>
        </is>
      </c>
      <c r="B283" s="30" t="n">
        <v>13700</v>
      </c>
      <c r="C283" s="30" t="n">
        <v>14490</v>
      </c>
      <c r="D283" s="30" t="n">
        <v>13600</v>
      </c>
      <c r="E283" s="30" t="n">
        <v>14400</v>
      </c>
      <c r="F283" s="30" t="n">
        <v>14400</v>
      </c>
      <c r="G283" s="30" t="n">
        <v>335867</v>
      </c>
      <c r="H283" s="35" t="n">
        <v>0.03078024337866858</v>
      </c>
      <c r="I283" s="35" t="n">
        <v>-0.3642384105960265</v>
      </c>
      <c r="J283" s="30" t="n">
        <v>15929.5</v>
      </c>
      <c r="K283" s="30" t="n">
        <v>14846.5</v>
      </c>
      <c r="L283" s="30" t="n">
        <v>16042.66666666667</v>
      </c>
      <c r="M283" s="35" t="n">
        <v>0.7146568061759346</v>
      </c>
      <c r="N283" s="35" t="n">
        <v>0.6112976052567403</v>
      </c>
      <c r="O283" s="35" t="n">
        <v>-0.1314837153196623</v>
      </c>
      <c r="P283" s="35" t="n">
        <v>-0.06554185593770279</v>
      </c>
      <c r="Q283" s="35" t="n">
        <v>-0.25</v>
      </c>
      <c r="R283" s="35" t="n">
        <v>-0.09601682413132862</v>
      </c>
      <c r="S283" s="35" t="n">
        <v>-0.03007442831643825</v>
      </c>
      <c r="T283" s="35" t="n">
        <v>-0.1023936170212766</v>
      </c>
      <c r="U283" s="30" t="n">
        <v>22650</v>
      </c>
      <c r="V283" s="30" t="n">
        <v>7430</v>
      </c>
      <c r="W283" s="35" t="n">
        <v>-0.3642384105960265</v>
      </c>
      <c r="X283" s="35" t="n">
        <v>0.9380888290713325</v>
      </c>
      <c r="Y283" s="30" t="n">
        <v>17780753</v>
      </c>
      <c r="Z283" s="30" t="n">
        <v>256042843200</v>
      </c>
      <c r="AA283" s="30" t="n">
        <v>4836484800</v>
      </c>
      <c r="AB283" s="30" t="n">
        <v>17268050921</v>
      </c>
      <c r="AC283" s="35" t="n">
        <v>0.01888935749796423</v>
      </c>
      <c r="AD283" s="24" t="inlineStr">
        <is>
          <t>yfinance_download</t>
        </is>
      </c>
      <c r="AE283" s="24" t="inlineStr">
        <is>
          <t>102120.KQ</t>
        </is>
      </c>
    </row>
    <row r="284" ht="24" customHeight="1">
      <c r="A284" s="29" t="inlineStr">
        <is>
          <t>2024-08-01</t>
        </is>
      </c>
      <c r="B284" s="31" t="n">
        <v>15050</v>
      </c>
      <c r="C284" s="31" t="n">
        <v>15050</v>
      </c>
      <c r="D284" s="31" t="n">
        <v>14120</v>
      </c>
      <c r="E284" s="31" t="n">
        <v>14120</v>
      </c>
      <c r="F284" s="31" t="n">
        <v>14120</v>
      </c>
      <c r="G284" s="31" t="n">
        <v>402986</v>
      </c>
      <c r="H284" s="36" t="n">
        <v>-0.01944444444444449</v>
      </c>
      <c r="I284" s="36" t="n">
        <v>-0.3766004415011037</v>
      </c>
      <c r="J284" s="31" t="n">
        <v>15720.5</v>
      </c>
      <c r="K284" s="31" t="n">
        <v>14822.5</v>
      </c>
      <c r="L284" s="31" t="n">
        <v>16003</v>
      </c>
      <c r="M284" s="36" t="n">
        <v>0.5857593103131922</v>
      </c>
      <c r="N284" s="36" t="n">
        <v>0.6121532350510303</v>
      </c>
      <c r="O284" s="36" t="n">
        <v>-0.2284153005464481</v>
      </c>
      <c r="P284" s="36" t="n">
        <v>-0.09254498714652959</v>
      </c>
      <c r="Q284" s="36" t="n">
        <v>-0.2521186440677966</v>
      </c>
      <c r="R284" s="36" t="n">
        <v>-0.10180973887599</v>
      </c>
      <c r="S284" s="36" t="n">
        <v>-0.04739416427728116</v>
      </c>
      <c r="T284" s="36" t="n">
        <v>-0.1176654377304256</v>
      </c>
      <c r="U284" s="31" t="n">
        <v>22650</v>
      </c>
      <c r="V284" s="31" t="n">
        <v>7430</v>
      </c>
      <c r="W284" s="36" t="n">
        <v>-0.3766004415011037</v>
      </c>
      <c r="X284" s="36" t="n">
        <v>0.9004037685060566</v>
      </c>
      <c r="Y284" s="31" t="n">
        <v>17780753</v>
      </c>
      <c r="Z284" s="31" t="n">
        <v>251064232360</v>
      </c>
      <c r="AA284" s="31" t="n">
        <v>5690162320</v>
      </c>
      <c r="AB284" s="31" t="n">
        <v>14406943672</v>
      </c>
      <c r="AC284" s="36" t="n">
        <v>0.02266416950958151</v>
      </c>
      <c r="AD284" s="29" t="inlineStr">
        <is>
          <t>yfinance_download</t>
        </is>
      </c>
      <c r="AE284" s="29" t="inlineStr">
        <is>
          <t>102120.KQ</t>
        </is>
      </c>
    </row>
    <row r="285" ht="24" customHeight="1">
      <c r="A285" s="24" t="inlineStr">
        <is>
          <t>2024-08-02</t>
        </is>
      </c>
      <c r="B285" s="30" t="n">
        <v>13610</v>
      </c>
      <c r="C285" s="30" t="n">
        <v>13720</v>
      </c>
      <c r="D285" s="30" t="n">
        <v>13200</v>
      </c>
      <c r="E285" s="30" t="n">
        <v>13220</v>
      </c>
      <c r="F285" s="30" t="n">
        <v>13220</v>
      </c>
      <c r="G285" s="30" t="n">
        <v>342853</v>
      </c>
      <c r="H285" s="35" t="n">
        <v>-0.0637393767705382</v>
      </c>
      <c r="I285" s="35" t="n">
        <v>-0.416335540838852</v>
      </c>
      <c r="J285" s="30" t="n">
        <v>15495.5</v>
      </c>
      <c r="K285" s="30" t="n">
        <v>14785.5</v>
      </c>
      <c r="L285" s="30" t="n">
        <v>15953.58333333333</v>
      </c>
      <c r="M285" s="35" t="n">
        <v>0.6104085918105231</v>
      </c>
      <c r="N285" s="35" t="n">
        <v>0.6254411366279069</v>
      </c>
      <c r="O285" s="35" t="n">
        <v>-0.2539503386004515</v>
      </c>
      <c r="P285" s="35" t="n">
        <v>-0.1437823834196891</v>
      </c>
      <c r="Q285" s="35" t="n">
        <v>-0.3096605744125326</v>
      </c>
      <c r="R285" s="35" t="n">
        <v>-0.1468490852182892</v>
      </c>
      <c r="S285" s="35" t="n">
        <v>-0.1058807615569308</v>
      </c>
      <c r="T285" s="35" t="n">
        <v>-0.1713460403357657</v>
      </c>
      <c r="U285" s="30" t="n">
        <v>22650</v>
      </c>
      <c r="V285" s="30" t="n">
        <v>7430</v>
      </c>
      <c r="W285" s="35" t="n">
        <v>-0.416335540838852</v>
      </c>
      <c r="X285" s="35" t="n">
        <v>0.7792732166890983</v>
      </c>
      <c r="Y285" s="30" t="n">
        <v>17780753</v>
      </c>
      <c r="Z285" s="30" t="n">
        <v>235061554660</v>
      </c>
      <c r="AA285" s="30" t="n">
        <v>4532516660</v>
      </c>
      <c r="AB285" s="30" t="n">
        <v>13161584167</v>
      </c>
      <c r="AC285" s="35" t="n">
        <v>0.01928225424423814</v>
      </c>
      <c r="AD285" s="24" t="inlineStr">
        <is>
          <t>yfinance_download</t>
        </is>
      </c>
      <c r="AE285" s="24" t="inlineStr">
        <is>
          <t>102120.KQ</t>
        </is>
      </c>
    </row>
    <row r="286" ht="24" customHeight="1">
      <c r="A286" s="29" t="inlineStr">
        <is>
          <t>2024-08-05</t>
        </is>
      </c>
      <c r="B286" s="31" t="n">
        <v>12300</v>
      </c>
      <c r="C286" s="31" t="n">
        <v>12570</v>
      </c>
      <c r="D286" s="31" t="n">
        <v>9900</v>
      </c>
      <c r="E286" s="31" t="n">
        <v>10480</v>
      </c>
      <c r="F286" s="31" t="n">
        <v>10480</v>
      </c>
      <c r="G286" s="31" t="n">
        <v>917938</v>
      </c>
      <c r="H286" s="36" t="n">
        <v>-0.2072617246596067</v>
      </c>
      <c r="I286" s="36" t="n">
        <v>-0.5373068432671082</v>
      </c>
      <c r="J286" s="31" t="n">
        <v>15096.5</v>
      </c>
      <c r="K286" s="31" t="n">
        <v>14710.66666666667</v>
      </c>
      <c r="L286" s="31" t="n">
        <v>15890.91666666667</v>
      </c>
      <c r="M286" s="36" t="n">
        <v>0.8869764403282926</v>
      </c>
      <c r="N286" s="36" t="n">
        <v>0.7521333599992616</v>
      </c>
      <c r="O286" s="36" t="n">
        <v>-0.4322860238353196</v>
      </c>
      <c r="P286" s="36" t="n">
        <v>-0.299933199732799</v>
      </c>
      <c r="Q286" s="36" t="n">
        <v>-0.4177777777777778</v>
      </c>
      <c r="R286" s="36" t="n">
        <v>-0.3057993574669625</v>
      </c>
      <c r="S286" s="36" t="n">
        <v>-0.2875917701441131</v>
      </c>
      <c r="T286" s="36" t="n">
        <v>-0.3405037468994342</v>
      </c>
      <c r="U286" s="31" t="n">
        <v>22650</v>
      </c>
      <c r="V286" s="31" t="n">
        <v>7430</v>
      </c>
      <c r="W286" s="36" t="n">
        <v>-0.5373068432671082</v>
      </c>
      <c r="X286" s="36" t="n">
        <v>0.4104979811574698</v>
      </c>
      <c r="Y286" s="31" t="n">
        <v>17780753</v>
      </c>
      <c r="Z286" s="31" t="n">
        <v>186342291440</v>
      </c>
      <c r="AA286" s="31" t="n">
        <v>9619990240</v>
      </c>
      <c r="AB286" s="31" t="n">
        <v>11402866953</v>
      </c>
      <c r="AC286" s="36" t="n">
        <v>0.05162537267122489</v>
      </c>
      <c r="AD286" s="29" t="inlineStr">
        <is>
          <t>yfinance_download</t>
        </is>
      </c>
      <c r="AE286" s="29" t="inlineStr">
        <is>
          <t>102120.KQ</t>
        </is>
      </c>
    </row>
    <row r="287" ht="24" customHeight="1">
      <c r="A287" s="24" t="inlineStr">
        <is>
          <t>2024-08-06</t>
        </is>
      </c>
      <c r="B287" s="30" t="n">
        <v>10570</v>
      </c>
      <c r="C287" s="30" t="n">
        <v>11890</v>
      </c>
      <c r="D287" s="30" t="n">
        <v>10560</v>
      </c>
      <c r="E287" s="30" t="n">
        <v>11600</v>
      </c>
      <c r="F287" s="30" t="n">
        <v>11600</v>
      </c>
      <c r="G287" s="30" t="n">
        <v>738445</v>
      </c>
      <c r="H287" s="35" t="n">
        <v>0.1068702290076335</v>
      </c>
      <c r="I287" s="35" t="n">
        <v>-0.4878587196467992</v>
      </c>
      <c r="J287" s="30" t="n">
        <v>14821</v>
      </c>
      <c r="K287" s="30" t="n">
        <v>14666.66666666667</v>
      </c>
      <c r="L287" s="30" t="n">
        <v>15823.41666666667</v>
      </c>
      <c r="M287" s="35" t="n">
        <v>0.9855374476836984</v>
      </c>
      <c r="N287" s="35" t="n">
        <v>0.7803589207433438</v>
      </c>
      <c r="O287" s="35" t="n">
        <v>-0.3220338983050848</v>
      </c>
      <c r="P287" s="35" t="n">
        <v>-0.1853932584269663</v>
      </c>
      <c r="Q287" s="35" t="n">
        <v>-0.4111675126903553</v>
      </c>
      <c r="R287" s="35" t="n">
        <v>-0.2173267660751637</v>
      </c>
      <c r="S287" s="35" t="n">
        <v>-0.2090909090909091</v>
      </c>
      <c r="T287" s="35" t="n">
        <v>-0.2669092747562947</v>
      </c>
      <c r="U287" s="30" t="n">
        <v>22650</v>
      </c>
      <c r="V287" s="30" t="n">
        <v>7430</v>
      </c>
      <c r="W287" s="35" t="n">
        <v>-0.4878587196467992</v>
      </c>
      <c r="X287" s="35" t="n">
        <v>0.5612382234185733</v>
      </c>
      <c r="Y287" s="30" t="n">
        <v>17780753</v>
      </c>
      <c r="Z287" s="30" t="n">
        <v>206256734800</v>
      </c>
      <c r="AA287" s="30" t="n">
        <v>8565962000</v>
      </c>
      <c r="AB287" s="30" t="n">
        <v>9974122648</v>
      </c>
      <c r="AC287" s="35" t="n">
        <v>0.041530580847729</v>
      </c>
      <c r="AD287" s="24" t="inlineStr">
        <is>
          <t>yfinance_download</t>
        </is>
      </c>
      <c r="AE287" s="24" t="inlineStr">
        <is>
          <t>102120.KQ</t>
        </is>
      </c>
    </row>
    <row r="288" ht="24" customHeight="1">
      <c r="A288" s="29" t="inlineStr">
        <is>
          <t>2024-08-07</t>
        </is>
      </c>
      <c r="B288" s="31" t="n">
        <v>11500</v>
      </c>
      <c r="C288" s="31" t="n">
        <v>12180</v>
      </c>
      <c r="D288" s="31" t="n">
        <v>11500</v>
      </c>
      <c r="E288" s="31" t="n">
        <v>11850</v>
      </c>
      <c r="F288" s="31" t="n">
        <v>11850</v>
      </c>
      <c r="G288" s="31" t="n">
        <v>330922</v>
      </c>
      <c r="H288" s="36" t="n">
        <v>0.02155172413793105</v>
      </c>
      <c r="I288" s="36" t="n">
        <v>-0.4768211920529801</v>
      </c>
      <c r="J288" s="31" t="n">
        <v>14602</v>
      </c>
      <c r="K288" s="31" t="n">
        <v>14632</v>
      </c>
      <c r="L288" s="31" t="n">
        <v>15755.5</v>
      </c>
      <c r="M288" s="36" t="n">
        <v>0.9860463029076681</v>
      </c>
      <c r="N288" s="36" t="n">
        <v>0.780765580503915</v>
      </c>
      <c r="O288" s="36" t="n">
        <v>-0.2698706099815157</v>
      </c>
      <c r="P288" s="36" t="n">
        <v>-0.1493180186647524</v>
      </c>
      <c r="Q288" s="36" t="n">
        <v>-0.4075</v>
      </c>
      <c r="R288" s="36" t="n">
        <v>-0.1884673332420217</v>
      </c>
      <c r="S288" s="36" t="n">
        <v>-0.1901312192454894</v>
      </c>
      <c r="T288" s="36" t="n">
        <v>-0.247881692107518</v>
      </c>
      <c r="U288" s="31" t="n">
        <v>22650</v>
      </c>
      <c r="V288" s="31" t="n">
        <v>7430</v>
      </c>
      <c r="W288" s="36" t="n">
        <v>-0.4768211920529801</v>
      </c>
      <c r="X288" s="36" t="n">
        <v>0.594885598923284</v>
      </c>
      <c r="Y288" s="31" t="n">
        <v>17780753</v>
      </c>
      <c r="Z288" s="31" t="n">
        <v>210701923050</v>
      </c>
      <c r="AA288" s="31" t="n">
        <v>3921425700</v>
      </c>
      <c r="AB288" s="31" t="n">
        <v>9043435921</v>
      </c>
      <c r="AC288" s="36" t="n">
        <v>0.01861124779136182</v>
      </c>
      <c r="AD288" s="29" t="inlineStr">
        <is>
          <t>yfinance_download</t>
        </is>
      </c>
      <c r="AE288" s="29" t="inlineStr">
        <is>
          <t>102120.KQ</t>
        </is>
      </c>
    </row>
    <row r="289" ht="24" customHeight="1">
      <c r="A289" s="24" t="inlineStr">
        <is>
          <t>2024-08-08</t>
        </is>
      </c>
      <c r="B289" s="30" t="n">
        <v>11500</v>
      </c>
      <c r="C289" s="30" t="n">
        <v>11660</v>
      </c>
      <c r="D289" s="30" t="n">
        <v>11250</v>
      </c>
      <c r="E289" s="30" t="n">
        <v>11440</v>
      </c>
      <c r="F289" s="30" t="n">
        <v>11440</v>
      </c>
      <c r="G289" s="30" t="n">
        <v>176192</v>
      </c>
      <c r="H289" s="35" t="n">
        <v>-0.03459915611814346</v>
      </c>
      <c r="I289" s="35" t="n">
        <v>-0.4949227373068432</v>
      </c>
      <c r="J289" s="30" t="n">
        <v>14364</v>
      </c>
      <c r="K289" s="30" t="n">
        <v>14591.16666666667</v>
      </c>
      <c r="L289" s="30" t="n">
        <v>15672.08333333333</v>
      </c>
      <c r="M289" s="35" t="n">
        <v>0.9877062621670248</v>
      </c>
      <c r="N289" s="35" t="n">
        <v>0.7837119503769363</v>
      </c>
      <c r="O289" s="35" t="n">
        <v>-0.2938271604938272</v>
      </c>
      <c r="P289" s="35" t="n">
        <v>-0.1763858891288697</v>
      </c>
      <c r="Q289" s="35" t="n">
        <v>-0.4666666666666667</v>
      </c>
      <c r="R289" s="35" t="n">
        <v>-0.2035644667223615</v>
      </c>
      <c r="S289" s="35" t="n">
        <v>-0.2159639964818897</v>
      </c>
      <c r="T289" s="35" t="n">
        <v>-0.2700396139632574</v>
      </c>
      <c r="U289" s="30" t="n">
        <v>22650</v>
      </c>
      <c r="V289" s="30" t="n">
        <v>7430</v>
      </c>
      <c r="W289" s="35" t="n">
        <v>-0.4949227373068432</v>
      </c>
      <c r="X289" s="35" t="n">
        <v>0.5397039030955586</v>
      </c>
      <c r="Y289" s="30" t="n">
        <v>17780753</v>
      </c>
      <c r="Z289" s="30" t="n">
        <v>203411814320</v>
      </c>
      <c r="AA289" s="30" t="n">
        <v>2015636480</v>
      </c>
      <c r="AB289" s="30" t="n">
        <v>8270826335</v>
      </c>
      <c r="AC289" s="35" t="n">
        <v>0.009909141643213873</v>
      </c>
      <c r="AD289" s="24" t="inlineStr">
        <is>
          <t>yfinance_download</t>
        </is>
      </c>
      <c r="AE289" s="24" t="inlineStr">
        <is>
          <t>102120.KQ</t>
        </is>
      </c>
    </row>
    <row r="290" ht="24" customHeight="1">
      <c r="A290" s="29" t="inlineStr">
        <is>
          <t>2024-08-09</t>
        </is>
      </c>
      <c r="B290" s="31" t="n">
        <v>11900</v>
      </c>
      <c r="C290" s="31" t="n">
        <v>12200</v>
      </c>
      <c r="D290" s="31" t="n">
        <v>11610</v>
      </c>
      <c r="E290" s="31" t="n">
        <v>11730</v>
      </c>
      <c r="F290" s="31" t="n">
        <v>11730</v>
      </c>
      <c r="G290" s="31" t="n">
        <v>226375</v>
      </c>
      <c r="H290" s="36" t="n">
        <v>0.02534965034965042</v>
      </c>
      <c r="I290" s="36" t="n">
        <v>-0.4821192052980132</v>
      </c>
      <c r="J290" s="31" t="n">
        <v>14101</v>
      </c>
      <c r="K290" s="31" t="n">
        <v>14547.16666666667</v>
      </c>
      <c r="L290" s="31" t="n">
        <v>15589.83333333333</v>
      </c>
      <c r="M290" s="36" t="n">
        <v>0.9709257633180843</v>
      </c>
      <c r="N290" s="36" t="n">
        <v>0.7821033884551173</v>
      </c>
      <c r="O290" s="36" t="n">
        <v>-0.3095938787522072</v>
      </c>
      <c r="P290" s="36" t="n">
        <v>-0.1837160751565762</v>
      </c>
      <c r="Q290" s="36" t="n">
        <v>-0.4569444444444445</v>
      </c>
      <c r="R290" s="36" t="n">
        <v>-0.1681441032550883</v>
      </c>
      <c r="S290" s="36" t="n">
        <v>-0.1936574132419829</v>
      </c>
      <c r="T290" s="36" t="n">
        <v>-0.2475865681694267</v>
      </c>
      <c r="U290" s="31" t="n">
        <v>22650</v>
      </c>
      <c r="V290" s="31" t="n">
        <v>7430</v>
      </c>
      <c r="W290" s="36" t="n">
        <v>-0.4821192052980132</v>
      </c>
      <c r="X290" s="36" t="n">
        <v>0.5787348586810228</v>
      </c>
      <c r="Y290" s="31" t="n">
        <v>17780753</v>
      </c>
      <c r="Z290" s="31" t="n">
        <v>208568232690</v>
      </c>
      <c r="AA290" s="31" t="n">
        <v>2655378750</v>
      </c>
      <c r="AB290" s="31" t="n">
        <v>7301715618.5</v>
      </c>
      <c r="AC290" s="36" t="n">
        <v>0.01273146306008525</v>
      </c>
      <c r="AD290" s="29" t="inlineStr">
        <is>
          <t>yfinance_download</t>
        </is>
      </c>
      <c r="AE290" s="29" t="inlineStr">
        <is>
          <t>102120.KQ</t>
        </is>
      </c>
    </row>
    <row r="291" ht="24" customHeight="1">
      <c r="A291" s="24" t="inlineStr">
        <is>
          <t>2024-08-12</t>
        </is>
      </c>
      <c r="B291" s="30" t="n">
        <v>12300</v>
      </c>
      <c r="C291" s="30" t="n">
        <v>13720</v>
      </c>
      <c r="D291" s="30" t="n">
        <v>12290</v>
      </c>
      <c r="E291" s="30" t="n">
        <v>13310</v>
      </c>
      <c r="F291" s="30" t="n">
        <v>13310</v>
      </c>
      <c r="G291" s="30" t="n">
        <v>1324612</v>
      </c>
      <c r="H291" s="35" t="n">
        <v>0.1346973572037511</v>
      </c>
      <c r="I291" s="35" t="n">
        <v>-0.4123620309050773</v>
      </c>
      <c r="J291" s="30" t="n">
        <v>13895.5</v>
      </c>
      <c r="K291" s="30" t="n">
        <v>14535.83333333333</v>
      </c>
      <c r="L291" s="30" t="n">
        <v>15530.75</v>
      </c>
      <c r="M291" s="35" t="n">
        <v>1.102095193781515</v>
      </c>
      <c r="N291" s="35" t="n">
        <v>0.8290342831769069</v>
      </c>
      <c r="O291" s="35" t="n">
        <v>-0.2359357060849598</v>
      </c>
      <c r="P291" s="35" t="n">
        <v>-0.04860614724803436</v>
      </c>
      <c r="Q291" s="35" t="n">
        <v>-0.3475490196078431</v>
      </c>
      <c r="R291" s="35" t="n">
        <v>-0.04213594329099346</v>
      </c>
      <c r="S291" s="35" t="n">
        <v>-0.08433182365418801</v>
      </c>
      <c r="T291" s="35" t="n">
        <v>-0.1429905188094587</v>
      </c>
      <c r="U291" s="30" t="n">
        <v>22650</v>
      </c>
      <c r="V291" s="30" t="n">
        <v>7430</v>
      </c>
      <c r="W291" s="35" t="n">
        <v>-0.4123620309050773</v>
      </c>
      <c r="X291" s="35" t="n">
        <v>0.791386271870794</v>
      </c>
      <c r="Y291" s="30" t="n">
        <v>17780753</v>
      </c>
      <c r="Z291" s="30" t="n">
        <v>236661822430</v>
      </c>
      <c r="AA291" s="30" t="n">
        <v>17630585720</v>
      </c>
      <c r="AB291" s="30" t="n">
        <v>7253580441.5</v>
      </c>
      <c r="AC291" s="35" t="n">
        <v>0.07449695746856165</v>
      </c>
      <c r="AD291" s="24" t="inlineStr">
        <is>
          <t>yfinance_download</t>
        </is>
      </c>
      <c r="AE291" s="24" t="inlineStr">
        <is>
          <t>102120.KQ</t>
        </is>
      </c>
    </row>
    <row r="292" ht="24" customHeight="1">
      <c r="A292" s="29" t="inlineStr">
        <is>
          <t>2024-08-13</t>
        </is>
      </c>
      <c r="B292" s="31" t="n">
        <v>13390</v>
      </c>
      <c r="C292" s="31" t="n">
        <v>13480</v>
      </c>
      <c r="D292" s="31" t="n">
        <v>12900</v>
      </c>
      <c r="E292" s="31" t="n">
        <v>13320</v>
      </c>
      <c r="F292" s="31" t="n">
        <v>13320</v>
      </c>
      <c r="G292" s="31" t="n">
        <v>486906</v>
      </c>
      <c r="H292" s="36" t="n">
        <v>0.0007513148009015147</v>
      </c>
      <c r="I292" s="36" t="n">
        <v>-0.4119205298013245</v>
      </c>
      <c r="J292" s="31" t="n">
        <v>13697.5</v>
      </c>
      <c r="K292" s="31" t="n">
        <v>14523.66666666667</v>
      </c>
      <c r="L292" s="31" t="n">
        <v>15467.58333333333</v>
      </c>
      <c r="M292" s="36" t="n">
        <v>1.102846911516701</v>
      </c>
      <c r="N292" s="36" t="n">
        <v>0.8289976585283283</v>
      </c>
      <c r="O292" s="36" t="n">
        <v>-0.2291666666666666</v>
      </c>
      <c r="P292" s="36" t="n">
        <v>-0.05195729537366545</v>
      </c>
      <c r="Q292" s="36" t="n">
        <v>-0.3626794258373206</v>
      </c>
      <c r="R292" s="36" t="n">
        <v>-0.02755977368132867</v>
      </c>
      <c r="S292" s="36" t="n">
        <v>-0.08287622501204928</v>
      </c>
      <c r="T292" s="36" t="n">
        <v>-0.1388441417803902</v>
      </c>
      <c r="U292" s="31" t="n">
        <v>22650</v>
      </c>
      <c r="V292" s="31" t="n">
        <v>7430</v>
      </c>
      <c r="W292" s="36" t="n">
        <v>-0.4119205298013245</v>
      </c>
      <c r="X292" s="36" t="n">
        <v>0.7927321668909826</v>
      </c>
      <c r="Y292" s="31" t="n">
        <v>17780753</v>
      </c>
      <c r="Z292" s="31" t="n">
        <v>236839629960</v>
      </c>
      <c r="AA292" s="31" t="n">
        <v>6485587920</v>
      </c>
      <c r="AB292" s="31" t="n">
        <v>6970259613.5</v>
      </c>
      <c r="AC292" s="36" t="n">
        <v>0.02738387963659357</v>
      </c>
      <c r="AD292" s="29" t="inlineStr">
        <is>
          <t>yfinance_download</t>
        </is>
      </c>
      <c r="AE292" s="29" t="inlineStr">
        <is>
          <t>102120.KQ</t>
        </is>
      </c>
    </row>
    <row r="293" ht="24" customHeight="1">
      <c r="A293" s="24" t="inlineStr">
        <is>
          <t>2024-08-14</t>
        </is>
      </c>
      <c r="B293" s="30" t="n">
        <v>13770</v>
      </c>
      <c r="C293" s="30" t="n">
        <v>13770</v>
      </c>
      <c r="D293" s="30" t="n">
        <v>13080</v>
      </c>
      <c r="E293" s="30" t="n">
        <v>13160</v>
      </c>
      <c r="F293" s="30" t="n">
        <v>13160</v>
      </c>
      <c r="G293" s="30" t="n">
        <v>372622</v>
      </c>
      <c r="H293" s="35" t="n">
        <v>-0.01201201201201196</v>
      </c>
      <c r="I293" s="35" t="n">
        <v>-0.4189845474613687</v>
      </c>
      <c r="J293" s="30" t="n">
        <v>13529.5</v>
      </c>
      <c r="K293" s="30" t="n">
        <v>14510.16666666667</v>
      </c>
      <c r="L293" s="30" t="n">
        <v>15408.91666666667</v>
      </c>
      <c r="M293" s="35" t="n">
        <v>1.095802855146274</v>
      </c>
      <c r="N293" s="35" t="n">
        <v>0.8292997313536129</v>
      </c>
      <c r="O293" s="35" t="n">
        <v>-0.2033898305084746</v>
      </c>
      <c r="P293" s="35" t="n">
        <v>-0.0579813886900501</v>
      </c>
      <c r="Q293" s="35" t="n">
        <v>-0.3485148514851485</v>
      </c>
      <c r="R293" s="35" t="n">
        <v>-0.02731069145201226</v>
      </c>
      <c r="S293" s="35" t="n">
        <v>-0.09304970078450736</v>
      </c>
      <c r="T293" s="35" t="n">
        <v>-0.1459490446548806</v>
      </c>
      <c r="U293" s="30" t="n">
        <v>22650</v>
      </c>
      <c r="V293" s="30" t="n">
        <v>7430</v>
      </c>
      <c r="W293" s="35" t="n">
        <v>-0.4189845474613687</v>
      </c>
      <c r="X293" s="35" t="n">
        <v>0.7711978465679676</v>
      </c>
      <c r="Y293" s="30" t="n">
        <v>17780753</v>
      </c>
      <c r="Z293" s="30" t="n">
        <v>233994709480</v>
      </c>
      <c r="AA293" s="30" t="n">
        <v>4903705520</v>
      </c>
      <c r="AB293" s="30" t="n">
        <v>6629338417.5</v>
      </c>
      <c r="AC293" s="35" t="n">
        <v>0.02095648030204345</v>
      </c>
      <c r="AD293" s="24" t="inlineStr">
        <is>
          <t>yfinance_download</t>
        </is>
      </c>
      <c r="AE293" s="24" t="inlineStr">
        <is>
          <t>102120.KQ</t>
        </is>
      </c>
    </row>
    <row r="294" ht="24" customHeight="1">
      <c r="A294" s="29" t="inlineStr">
        <is>
          <t>2024-08-16</t>
        </is>
      </c>
      <c r="B294" s="31" t="n">
        <v>13680</v>
      </c>
      <c r="C294" s="31" t="n">
        <v>13850</v>
      </c>
      <c r="D294" s="31" t="n">
        <v>13380</v>
      </c>
      <c r="E294" s="31" t="n">
        <v>13680</v>
      </c>
      <c r="F294" s="31" t="n">
        <v>13680</v>
      </c>
      <c r="G294" s="31" t="n">
        <v>407172</v>
      </c>
      <c r="H294" s="36" t="n">
        <v>0.03951367781155013</v>
      </c>
      <c r="I294" s="36" t="n">
        <v>-0.3960264900662251</v>
      </c>
      <c r="J294" s="31" t="n">
        <v>13409</v>
      </c>
      <c r="K294" s="31" t="n">
        <v>14511</v>
      </c>
      <c r="L294" s="31" t="n">
        <v>15360.83333333333</v>
      </c>
      <c r="M294" s="36" t="n">
        <v>1.106883605090367</v>
      </c>
      <c r="N294" s="36" t="n">
        <v>0.8314936270248299</v>
      </c>
      <c r="O294" s="36" t="n">
        <v>-0.1497824735860783</v>
      </c>
      <c r="P294" s="36" t="n">
        <v>0.003668378576669129</v>
      </c>
      <c r="Q294" s="36" t="n">
        <v>-0.2966580976863753</v>
      </c>
      <c r="R294" s="36" t="n">
        <v>0.02021030651055256</v>
      </c>
      <c r="S294" s="36" t="n">
        <v>-0.05726690097167664</v>
      </c>
      <c r="T294" s="36" t="n">
        <v>-0.1094233168773396</v>
      </c>
      <c r="U294" s="31" t="n">
        <v>22650</v>
      </c>
      <c r="V294" s="31" t="n">
        <v>7430</v>
      </c>
      <c r="W294" s="36" t="n">
        <v>-0.3960264900662251</v>
      </c>
      <c r="X294" s="36" t="n">
        <v>0.8411843876177658</v>
      </c>
      <c r="Y294" s="31" t="n">
        <v>17780753</v>
      </c>
      <c r="Z294" s="31" t="n">
        <v>243240701040</v>
      </c>
      <c r="AA294" s="31" t="n">
        <v>5570112960</v>
      </c>
      <c r="AB294" s="31" t="n">
        <v>6335701364.5</v>
      </c>
      <c r="AC294" s="36" t="n">
        <v>0.02289959261005425</v>
      </c>
      <c r="AD294" s="29" t="inlineStr">
        <is>
          <t>yfinance_download</t>
        </is>
      </c>
      <c r="AE294" s="29" t="inlineStr">
        <is>
          <t>102120.KQ</t>
        </is>
      </c>
    </row>
    <row r="295" ht="24" customHeight="1">
      <c r="A295" s="24" t="inlineStr">
        <is>
          <t>2024-08-19</t>
        </is>
      </c>
      <c r="B295" s="30" t="n">
        <v>14020</v>
      </c>
      <c r="C295" s="30" t="n">
        <v>14400</v>
      </c>
      <c r="D295" s="30" t="n">
        <v>13580</v>
      </c>
      <c r="E295" s="30" t="n">
        <v>13800</v>
      </c>
      <c r="F295" s="30" t="n">
        <v>13800</v>
      </c>
      <c r="G295" s="30" t="n">
        <v>554291</v>
      </c>
      <c r="H295" s="35" t="n">
        <v>0.008771929824561431</v>
      </c>
      <c r="I295" s="35" t="n">
        <v>-0.3907284768211921</v>
      </c>
      <c r="J295" s="30" t="n">
        <v>13311</v>
      </c>
      <c r="K295" s="30" t="n">
        <v>14516</v>
      </c>
      <c r="L295" s="30" t="n">
        <v>15295</v>
      </c>
      <c r="M295" s="35" t="n">
        <v>1.106552591675817</v>
      </c>
      <c r="N295" s="35" t="n">
        <v>0.831307811755007</v>
      </c>
      <c r="O295" s="35" t="n">
        <v>-0.1243654822335025</v>
      </c>
      <c r="P295" s="35" t="n">
        <v>0.02222222222222214</v>
      </c>
      <c r="Q295" s="35" t="n">
        <v>-0.3640552995391705</v>
      </c>
      <c r="R295" s="35" t="n">
        <v>0.03673653369393737</v>
      </c>
      <c r="S295" s="35" t="n">
        <v>-0.04932488288784787</v>
      </c>
      <c r="T295" s="35" t="n">
        <v>-0.09774436090225569</v>
      </c>
      <c r="U295" s="30" t="n">
        <v>22650</v>
      </c>
      <c r="V295" s="30" t="n">
        <v>7430</v>
      </c>
      <c r="W295" s="35" t="n">
        <v>-0.3907284768211921</v>
      </c>
      <c r="X295" s="35" t="n">
        <v>0.857335127860027</v>
      </c>
      <c r="Y295" s="30" t="n">
        <v>17780753</v>
      </c>
      <c r="Z295" s="30" t="n">
        <v>245374391400</v>
      </c>
      <c r="AA295" s="30" t="n">
        <v>7649215800</v>
      </c>
      <c r="AB295" s="30" t="n">
        <v>6419848206.5</v>
      </c>
      <c r="AC295" s="35" t="n">
        <v>0.03117365164456196</v>
      </c>
      <c r="AD295" s="24" t="inlineStr">
        <is>
          <t>yfinance_download</t>
        </is>
      </c>
      <c r="AE295" s="24" t="inlineStr">
        <is>
          <t>102120.KQ</t>
        </is>
      </c>
    </row>
    <row r="296" ht="24" customHeight="1">
      <c r="A296" s="29" t="inlineStr">
        <is>
          <t>2024-08-20</t>
        </is>
      </c>
      <c r="B296" s="31" t="n">
        <v>14320</v>
      </c>
      <c r="C296" s="31" t="n">
        <v>14400</v>
      </c>
      <c r="D296" s="31" t="n">
        <v>14100</v>
      </c>
      <c r="E296" s="31" t="n">
        <v>14130</v>
      </c>
      <c r="F296" s="31" t="n">
        <v>14130</v>
      </c>
      <c r="G296" s="31" t="n">
        <v>393557</v>
      </c>
      <c r="H296" s="36" t="n">
        <v>0.02391304347826084</v>
      </c>
      <c r="I296" s="36" t="n">
        <v>-0.376158940397351</v>
      </c>
      <c r="J296" s="31" t="n">
        <v>13278</v>
      </c>
      <c r="K296" s="31" t="n">
        <v>14532.83333333333</v>
      </c>
      <c r="L296" s="31" t="n">
        <v>15246.08333333333</v>
      </c>
      <c r="M296" s="36" t="n">
        <v>1.089248749923054</v>
      </c>
      <c r="N296" s="36" t="n">
        <v>0.8301577688780095</v>
      </c>
      <c r="O296" s="36" t="n">
        <v>-0.04462474645030423</v>
      </c>
      <c r="P296" s="36" t="n">
        <v>0.0769817073170731</v>
      </c>
      <c r="Q296" s="36" t="n">
        <v>-0.2935</v>
      </c>
      <c r="R296" s="36" t="n">
        <v>0.06416629010393127</v>
      </c>
      <c r="S296" s="36" t="n">
        <v>-0.0277188435381952</v>
      </c>
      <c r="T296" s="36" t="n">
        <v>-0.07320459352948572</v>
      </c>
      <c r="U296" s="31" t="n">
        <v>22650</v>
      </c>
      <c r="V296" s="31" t="n">
        <v>7430</v>
      </c>
      <c r="W296" s="36" t="n">
        <v>-0.376158940397351</v>
      </c>
      <c r="X296" s="36" t="n">
        <v>0.901749663526245</v>
      </c>
      <c r="Y296" s="31" t="n">
        <v>17780753</v>
      </c>
      <c r="Z296" s="31" t="n">
        <v>251242039890</v>
      </c>
      <c r="AA296" s="31" t="n">
        <v>5560960410</v>
      </c>
      <c r="AB296" s="31" t="n">
        <v>6287374634</v>
      </c>
      <c r="AC296" s="36" t="n">
        <v>0.02213387700734609</v>
      </c>
      <c r="AD296" s="29" t="inlineStr">
        <is>
          <t>yfinance_download</t>
        </is>
      </c>
      <c r="AE296" s="29" t="inlineStr">
        <is>
          <t>102120.KQ</t>
        </is>
      </c>
    </row>
    <row r="297" ht="24" customHeight="1">
      <c r="A297" s="24" t="inlineStr">
        <is>
          <t>2024-08-21</t>
        </is>
      </c>
      <c r="B297" s="30" t="n">
        <v>13900</v>
      </c>
      <c r="C297" s="30" t="n">
        <v>14030</v>
      </c>
      <c r="D297" s="30" t="n">
        <v>13710</v>
      </c>
      <c r="E297" s="30" t="n">
        <v>13980</v>
      </c>
      <c r="F297" s="30" t="n">
        <v>13980</v>
      </c>
      <c r="G297" s="30" t="n">
        <v>202419</v>
      </c>
      <c r="H297" s="35" t="n">
        <v>-0.01061571125265393</v>
      </c>
      <c r="I297" s="35" t="n">
        <v>-0.3827814569536424</v>
      </c>
      <c r="J297" s="30" t="n">
        <v>13239.5</v>
      </c>
      <c r="K297" s="30" t="n">
        <v>14547</v>
      </c>
      <c r="L297" s="30" t="n">
        <v>15204.58333333333</v>
      </c>
      <c r="M297" s="35" t="n">
        <v>1.089878745888137</v>
      </c>
      <c r="N297" s="35" t="n">
        <v>0.8305934655456861</v>
      </c>
      <c r="O297" s="35" t="n">
        <v>-0.05220338983050843</v>
      </c>
      <c r="P297" s="35" t="n">
        <v>0.06473724295506478</v>
      </c>
      <c r="Q297" s="35" t="n">
        <v>-0.2626582278481012</v>
      </c>
      <c r="R297" s="35" t="n">
        <v>0.05593111522338456</v>
      </c>
      <c r="S297" s="35" t="n">
        <v>-0.0389771086822025</v>
      </c>
      <c r="T297" s="35" t="n">
        <v>-0.08054040722369904</v>
      </c>
      <c r="U297" s="30" t="n">
        <v>22650</v>
      </c>
      <c r="V297" s="30" t="n">
        <v>7430</v>
      </c>
      <c r="W297" s="35" t="n">
        <v>-0.3827814569536424</v>
      </c>
      <c r="X297" s="35" t="n">
        <v>0.8815612382234186</v>
      </c>
      <c r="Y297" s="30" t="n">
        <v>17780753</v>
      </c>
      <c r="Z297" s="30" t="n">
        <v>248574926940</v>
      </c>
      <c r="AA297" s="30" t="n">
        <v>2829817620</v>
      </c>
      <c r="AB297" s="30" t="n">
        <v>6128134402.5</v>
      </c>
      <c r="AC297" s="35" t="n">
        <v>0.01138416353908071</v>
      </c>
      <c r="AD297" s="24" t="inlineStr">
        <is>
          <t>yfinance_download</t>
        </is>
      </c>
      <c r="AE297" s="24" t="inlineStr">
        <is>
          <t>102120.KQ</t>
        </is>
      </c>
    </row>
    <row r="298" ht="24" customHeight="1">
      <c r="A298" s="29" t="inlineStr">
        <is>
          <t>2024-08-22</t>
        </is>
      </c>
      <c r="B298" s="31" t="n">
        <v>14140</v>
      </c>
      <c r="C298" s="31" t="n">
        <v>14140</v>
      </c>
      <c r="D298" s="31" t="n">
        <v>13440</v>
      </c>
      <c r="E298" s="31" t="n">
        <v>13610</v>
      </c>
      <c r="F298" s="31" t="n">
        <v>13610</v>
      </c>
      <c r="G298" s="31" t="n">
        <v>189996</v>
      </c>
      <c r="H298" s="36" t="n">
        <v>-0.02646638054363382</v>
      </c>
      <c r="I298" s="36" t="n">
        <v>-0.3991169977924944</v>
      </c>
      <c r="J298" s="31" t="n">
        <v>13200</v>
      </c>
      <c r="K298" s="31" t="n">
        <v>14553.16666666667</v>
      </c>
      <c r="L298" s="31" t="n">
        <v>15165.5</v>
      </c>
      <c r="M298" s="36" t="n">
        <v>1.09070174116588</v>
      </c>
      <c r="N298" s="36" t="n">
        <v>0.8325937674003109</v>
      </c>
      <c r="O298" s="36" t="n">
        <v>-0.05486111111111114</v>
      </c>
      <c r="P298" s="36" t="n">
        <v>0.02794561933534734</v>
      </c>
      <c r="Q298" s="36" t="n">
        <v>-0.2562841530054645</v>
      </c>
      <c r="R298" s="36" t="n">
        <v>0.03106060606060601</v>
      </c>
      <c r="S298" s="36" t="n">
        <v>-0.06480834640799826</v>
      </c>
      <c r="T298" s="36" t="n">
        <v>-0.1025683294319343</v>
      </c>
      <c r="U298" s="31" t="n">
        <v>22650</v>
      </c>
      <c r="V298" s="31" t="n">
        <v>7430</v>
      </c>
      <c r="W298" s="36" t="n">
        <v>-0.3991169977924944</v>
      </c>
      <c r="X298" s="36" t="n">
        <v>0.8317631224764468</v>
      </c>
      <c r="Y298" s="31" t="n">
        <v>17780753</v>
      </c>
      <c r="Z298" s="31" t="n">
        <v>241996048330</v>
      </c>
      <c r="AA298" s="31" t="n">
        <v>2585845560</v>
      </c>
      <c r="AB298" s="31" t="n">
        <v>5984217640.5</v>
      </c>
      <c r="AC298" s="36" t="n">
        <v>0.01068548671701362</v>
      </c>
      <c r="AD298" s="29" t="inlineStr">
        <is>
          <t>yfinance_download</t>
        </is>
      </c>
      <c r="AE298" s="29" t="inlineStr">
        <is>
          <t>102120.KQ</t>
        </is>
      </c>
    </row>
    <row r="299" ht="24" customHeight="1">
      <c r="A299" s="24" t="inlineStr">
        <is>
          <t>2024-08-23</t>
        </is>
      </c>
      <c r="B299" s="30" t="n">
        <v>13420</v>
      </c>
      <c r="C299" s="30" t="n">
        <v>13430</v>
      </c>
      <c r="D299" s="30" t="n">
        <v>13150</v>
      </c>
      <c r="E299" s="30" t="n">
        <v>13350</v>
      </c>
      <c r="F299" s="30" t="n">
        <v>13350</v>
      </c>
      <c r="G299" s="30" t="n">
        <v>179981</v>
      </c>
      <c r="H299" s="35" t="n">
        <v>-0.01910360029390157</v>
      </c>
      <c r="I299" s="35" t="n">
        <v>-0.4105960264900662</v>
      </c>
      <c r="J299" s="30" t="n">
        <v>13188</v>
      </c>
      <c r="K299" s="30" t="n">
        <v>14548.16666666667</v>
      </c>
      <c r="L299" s="30" t="n">
        <v>15128.66666666667</v>
      </c>
      <c r="M299" s="35" t="n">
        <v>1.073329584058053</v>
      </c>
      <c r="N299" s="35" t="n">
        <v>0.831435439992152</v>
      </c>
      <c r="O299" s="35" t="n">
        <v>-0.01766004415011035</v>
      </c>
      <c r="P299" s="35" t="n">
        <v>-0.02197802197802201</v>
      </c>
      <c r="Q299" s="35" t="n">
        <v>-0.2487338210467079</v>
      </c>
      <c r="R299" s="35" t="n">
        <v>0.01228389444949962</v>
      </c>
      <c r="S299" s="35" t="n">
        <v>-0.08235860188569</v>
      </c>
      <c r="T299" s="35" t="n">
        <v>-0.1175692944961001</v>
      </c>
      <c r="U299" s="30" t="n">
        <v>22650</v>
      </c>
      <c r="V299" s="30" t="n">
        <v>7430</v>
      </c>
      <c r="W299" s="35" t="n">
        <v>-0.4105960264900662</v>
      </c>
      <c r="X299" s="35" t="n">
        <v>0.7967698519515478</v>
      </c>
      <c r="Y299" s="30" t="n">
        <v>17780753</v>
      </c>
      <c r="Z299" s="30" t="n">
        <v>237373052550</v>
      </c>
      <c r="AA299" s="30" t="n">
        <v>2402746350</v>
      </c>
      <c r="AB299" s="30" t="n">
        <v>5796993325.5</v>
      </c>
      <c r="AC299" s="35" t="n">
        <v>0.01012223723033552</v>
      </c>
      <c r="AD299" s="24" t="inlineStr">
        <is>
          <t>yfinance_download</t>
        </is>
      </c>
      <c r="AE299" s="24" t="inlineStr">
        <is>
          <t>102120.KQ</t>
        </is>
      </c>
    </row>
    <row r="300" ht="24" customHeight="1">
      <c r="A300" s="29" t="inlineStr">
        <is>
          <t>2024-08-26</t>
        </is>
      </c>
      <c r="B300" s="31" t="n">
        <v>13550</v>
      </c>
      <c r="C300" s="31" t="n">
        <v>13570</v>
      </c>
      <c r="D300" s="31" t="n">
        <v>12850</v>
      </c>
      <c r="E300" s="31" t="n">
        <v>12850</v>
      </c>
      <c r="F300" s="31" t="n">
        <v>12850</v>
      </c>
      <c r="G300" s="31" t="n">
        <v>189427</v>
      </c>
      <c r="H300" s="36" t="n">
        <v>-0.03745318352059923</v>
      </c>
      <c r="I300" s="36" t="n">
        <v>-0.4326710816777042</v>
      </c>
      <c r="J300" s="31" t="n">
        <v>13120</v>
      </c>
      <c r="K300" s="31" t="n">
        <v>14543.16666666667</v>
      </c>
      <c r="L300" s="31" t="n">
        <v>15093.58333333333</v>
      </c>
      <c r="M300" s="36" t="n">
        <v>1.068435331991128</v>
      </c>
      <c r="N300" s="36" t="n">
        <v>0.8315962918432769</v>
      </c>
      <c r="O300" s="36" t="n">
        <v>-0.09570724841660805</v>
      </c>
      <c r="P300" s="36" t="n">
        <v>-0.02281368821292773</v>
      </c>
      <c r="Q300" s="36" t="n">
        <v>-0.2467760844079718</v>
      </c>
      <c r="R300" s="36" t="n">
        <v>-0.02057926829268297</v>
      </c>
      <c r="S300" s="36" t="n">
        <v>-0.1164235207829565</v>
      </c>
      <c r="T300" s="36" t="n">
        <v>-0.1486448435593493</v>
      </c>
      <c r="U300" s="31" t="n">
        <v>22650</v>
      </c>
      <c r="V300" s="31" t="n">
        <v>7430</v>
      </c>
      <c r="W300" s="36" t="n">
        <v>-0.4326710816777042</v>
      </c>
      <c r="X300" s="36" t="n">
        <v>0.7294751009421265</v>
      </c>
      <c r="Y300" s="31" t="n">
        <v>17780753</v>
      </c>
      <c r="Z300" s="31" t="n">
        <v>228482676050</v>
      </c>
      <c r="AA300" s="31" t="n">
        <v>2434136950</v>
      </c>
      <c r="AB300" s="31" t="n">
        <v>5495330275</v>
      </c>
      <c r="AC300" s="36" t="n">
        <v>0.01065348582256331</v>
      </c>
      <c r="AD300" s="29" t="inlineStr">
        <is>
          <t>yfinance_download</t>
        </is>
      </c>
      <c r="AE300" s="29" t="inlineStr">
        <is>
          <t>102120.KQ</t>
        </is>
      </c>
    </row>
    <row r="301" ht="24" customHeight="1">
      <c r="A301" s="24" t="inlineStr">
        <is>
          <t>2024-08-27</t>
        </is>
      </c>
      <c r="B301" s="30" t="n">
        <v>12710</v>
      </c>
      <c r="C301" s="30" t="n">
        <v>12830</v>
      </c>
      <c r="D301" s="30" t="n">
        <v>12500</v>
      </c>
      <c r="E301" s="30" t="n">
        <v>12680</v>
      </c>
      <c r="F301" s="30" t="n">
        <v>12680</v>
      </c>
      <c r="G301" s="30" t="n">
        <v>125844</v>
      </c>
      <c r="H301" s="35" t="n">
        <v>-0.01322957198443575</v>
      </c>
      <c r="I301" s="35" t="n">
        <v>-0.4401766004415011</v>
      </c>
      <c r="J301" s="30" t="n">
        <v>13034</v>
      </c>
      <c r="K301" s="30" t="n">
        <v>14537.83333333333</v>
      </c>
      <c r="L301" s="30" t="n">
        <v>15046.41666666667</v>
      </c>
      <c r="M301" s="35" t="n">
        <v>1.067283939983998</v>
      </c>
      <c r="N301" s="35" t="n">
        <v>0.8317207677802113</v>
      </c>
      <c r="O301" s="35" t="n">
        <v>-0.1194444444444445</v>
      </c>
      <c r="P301" s="35" t="n">
        <v>-0.02461538461538459</v>
      </c>
      <c r="Q301" s="35" t="n">
        <v>-0.3086150490730644</v>
      </c>
      <c r="R301" s="35" t="n">
        <v>-0.02715973607488109</v>
      </c>
      <c r="S301" s="35" t="n">
        <v>-0.1277929998738923</v>
      </c>
      <c r="T301" s="35" t="n">
        <v>-0.1572744341122194</v>
      </c>
      <c r="U301" s="30" t="n">
        <v>22650</v>
      </c>
      <c r="V301" s="30" t="n">
        <v>7430</v>
      </c>
      <c r="W301" s="35" t="n">
        <v>-0.4401766004415011</v>
      </c>
      <c r="X301" s="35" t="n">
        <v>0.7065948855989233</v>
      </c>
      <c r="Y301" s="30" t="n">
        <v>17780753</v>
      </c>
      <c r="Z301" s="30" t="n">
        <v>225459948040</v>
      </c>
      <c r="AA301" s="30" t="n">
        <v>1595701920</v>
      </c>
      <c r="AB301" s="30" t="n">
        <v>5306607211</v>
      </c>
      <c r="AC301" s="35" t="n">
        <v>0.007077540529357784</v>
      </c>
      <c r="AD301" s="24" t="inlineStr">
        <is>
          <t>yfinance_download</t>
        </is>
      </c>
      <c r="AE301" s="24" t="inlineStr">
        <is>
          <t>102120.KQ</t>
        </is>
      </c>
    </row>
    <row r="302" ht="24" customHeight="1">
      <c r="A302" s="29" t="inlineStr">
        <is>
          <t>2024-08-28</t>
        </is>
      </c>
      <c r="B302" s="31" t="n">
        <v>12700</v>
      </c>
      <c r="C302" s="31" t="n">
        <v>12940</v>
      </c>
      <c r="D302" s="31" t="n">
        <v>12380</v>
      </c>
      <c r="E302" s="31" t="n">
        <v>12930</v>
      </c>
      <c r="F302" s="31" t="n">
        <v>12930</v>
      </c>
      <c r="G302" s="31" t="n">
        <v>216276</v>
      </c>
      <c r="H302" s="36" t="n">
        <v>0.01971608832807581</v>
      </c>
      <c r="I302" s="36" t="n">
        <v>-0.4291390728476822</v>
      </c>
      <c r="J302" s="31" t="n">
        <v>12982</v>
      </c>
      <c r="K302" s="31" t="n">
        <v>14535.33333333333</v>
      </c>
      <c r="L302" s="31" t="n">
        <v>15008.25</v>
      </c>
      <c r="M302" s="36" t="n">
        <v>1.065907563243936</v>
      </c>
      <c r="N302" s="36" t="n">
        <v>0.8325462428060987</v>
      </c>
      <c r="O302" s="36" t="n">
        <v>-0.07444523979957052</v>
      </c>
      <c r="P302" s="36" t="n">
        <v>-0.01146788990825687</v>
      </c>
      <c r="Q302" s="36" t="n">
        <v>-0.2615648201027984</v>
      </c>
      <c r="R302" s="36" t="n">
        <v>-0.00400554614081039</v>
      </c>
      <c r="S302" s="36" t="n">
        <v>-0.1104435169472091</v>
      </c>
      <c r="T302" s="36" t="n">
        <v>-0.1384738393883365</v>
      </c>
      <c r="U302" s="31" t="n">
        <v>22650</v>
      </c>
      <c r="V302" s="31" t="n">
        <v>7430</v>
      </c>
      <c r="W302" s="36" t="n">
        <v>-0.4291390728476822</v>
      </c>
      <c r="X302" s="36" t="n">
        <v>0.7402422611036339</v>
      </c>
      <c r="Y302" s="31" t="n">
        <v>17780753</v>
      </c>
      <c r="Z302" s="31" t="n">
        <v>229905136290</v>
      </c>
      <c r="AA302" s="31" t="n">
        <v>2796448680</v>
      </c>
      <c r="AB302" s="31" t="n">
        <v>5214121118</v>
      </c>
      <c r="AC302" s="36" t="n">
        <v>0.01216348936403312</v>
      </c>
      <c r="AD302" s="29" t="inlineStr">
        <is>
          <t>yfinance_download</t>
        </is>
      </c>
      <c r="AE302" s="29" t="inlineStr">
        <is>
          <t>102120.KQ</t>
        </is>
      </c>
    </row>
    <row r="303" ht="24" customHeight="1">
      <c r="A303" s="24" t="inlineStr">
        <is>
          <t>2024-08-29</t>
        </is>
      </c>
      <c r="B303" s="30" t="n">
        <v>12450</v>
      </c>
      <c r="C303" s="30" t="n">
        <v>12510</v>
      </c>
      <c r="D303" s="30" t="n">
        <v>12180</v>
      </c>
      <c r="E303" s="30" t="n">
        <v>12190</v>
      </c>
      <c r="F303" s="30" t="n">
        <v>12190</v>
      </c>
      <c r="G303" s="30" t="n">
        <v>174507</v>
      </c>
      <c r="H303" s="35" t="n">
        <v>-0.05723124516627998</v>
      </c>
      <c r="I303" s="35" t="n">
        <v>-0.4618101545253863</v>
      </c>
      <c r="J303" s="30" t="n">
        <v>12871.5</v>
      </c>
      <c r="K303" s="30" t="n">
        <v>14526.5</v>
      </c>
      <c r="L303" s="30" t="n">
        <v>14963.25</v>
      </c>
      <c r="M303" s="35" t="n">
        <v>1.076179387832623</v>
      </c>
      <c r="N303" s="35" t="n">
        <v>0.839122642667143</v>
      </c>
      <c r="O303" s="35" t="n">
        <v>-0.1534722222222222</v>
      </c>
      <c r="P303" s="35" t="n">
        <v>-0.04166666666666663</v>
      </c>
      <c r="Q303" s="35" t="n">
        <v>-0.3069926094371802</v>
      </c>
      <c r="R303" s="35" t="n">
        <v>-0.05294643203977778</v>
      </c>
      <c r="S303" s="35" t="n">
        <v>-0.1608439748046673</v>
      </c>
      <c r="T303" s="35" t="n">
        <v>-0.1853374099878035</v>
      </c>
      <c r="U303" s="30" t="n">
        <v>22650</v>
      </c>
      <c r="V303" s="30" t="n">
        <v>7430</v>
      </c>
      <c r="W303" s="35" t="n">
        <v>-0.4618101545253863</v>
      </c>
      <c r="X303" s="35" t="n">
        <v>0.6406460296096905</v>
      </c>
      <c r="Y303" s="30" t="n">
        <v>17780753</v>
      </c>
      <c r="Z303" s="30" t="n">
        <v>216747379070</v>
      </c>
      <c r="AA303" s="30" t="n">
        <v>2127240330</v>
      </c>
      <c r="AB303" s="30" t="n">
        <v>5078658894.5</v>
      </c>
      <c r="AC303" s="35" t="n">
        <v>0.009814376252794244</v>
      </c>
      <c r="AD303" s="24" t="inlineStr">
        <is>
          <t>yfinance_download</t>
        </is>
      </c>
      <c r="AE303" s="24" t="inlineStr">
        <is>
          <t>102120.KQ</t>
        </is>
      </c>
    </row>
    <row r="304" ht="24" customHeight="1">
      <c r="A304" s="29" t="inlineStr">
        <is>
          <t>2024-08-30</t>
        </is>
      </c>
      <c r="B304" s="31" t="n">
        <v>12120</v>
      </c>
      <c r="C304" s="31" t="n">
        <v>12390</v>
      </c>
      <c r="D304" s="31" t="n">
        <v>12120</v>
      </c>
      <c r="E304" s="31" t="n">
        <v>12330</v>
      </c>
      <c r="F304" s="31" t="n">
        <v>12330</v>
      </c>
      <c r="G304" s="31" t="n">
        <v>121518</v>
      </c>
      <c r="H304" s="36" t="n">
        <v>0.01148482362592285</v>
      </c>
      <c r="I304" s="36" t="n">
        <v>-0.4556291390728476</v>
      </c>
      <c r="J304" s="31" t="n">
        <v>12782</v>
      </c>
      <c r="K304" s="31" t="n">
        <v>14498.5</v>
      </c>
      <c r="L304" s="31" t="n">
        <v>14922.75</v>
      </c>
      <c r="M304" s="36" t="n">
        <v>1.076655007826334</v>
      </c>
      <c r="N304" s="36" t="n">
        <v>0.8128461739376751</v>
      </c>
      <c r="O304" s="36" t="n">
        <v>-0.1267705382436261</v>
      </c>
      <c r="P304" s="36" t="n">
        <v>-0.119914346895075</v>
      </c>
      <c r="Q304" s="36" t="n">
        <v>-0.2827225130890052</v>
      </c>
      <c r="R304" s="36" t="n">
        <v>-0.03536222813331247</v>
      </c>
      <c r="S304" s="36" t="n">
        <v>-0.1495671966065455</v>
      </c>
      <c r="T304" s="36" t="n">
        <v>-0.1737447856460773</v>
      </c>
      <c r="U304" s="31" t="n">
        <v>22650</v>
      </c>
      <c r="V304" s="31" t="n">
        <v>7430</v>
      </c>
      <c r="W304" s="36" t="n">
        <v>-0.4556291390728476</v>
      </c>
      <c r="X304" s="36" t="n">
        <v>0.6594885598923284</v>
      </c>
      <c r="Y304" s="31" t="n">
        <v>17780753</v>
      </c>
      <c r="Z304" s="31" t="n">
        <v>219236684490</v>
      </c>
      <c r="AA304" s="31" t="n">
        <v>1498316940</v>
      </c>
      <c r="AB304" s="31" t="n">
        <v>4869066625.5</v>
      </c>
      <c r="AC304" s="36" t="n">
        <v>0.006834243746594984</v>
      </c>
      <c r="AD304" s="29" t="inlineStr">
        <is>
          <t>yfinance_download</t>
        </is>
      </c>
      <c r="AE304" s="29" t="inlineStr">
        <is>
          <t>102120.KQ</t>
        </is>
      </c>
    </row>
    <row r="305" ht="24" customHeight="1">
      <c r="A305" s="24" t="inlineStr">
        <is>
          <t>2024-09-02</t>
        </is>
      </c>
      <c r="B305" s="30" t="n">
        <v>12410</v>
      </c>
      <c r="C305" s="30" t="n">
        <v>12890</v>
      </c>
      <c r="D305" s="30" t="n">
        <v>12140</v>
      </c>
      <c r="E305" s="30" t="n">
        <v>12460</v>
      </c>
      <c r="F305" s="30" t="n">
        <v>12460</v>
      </c>
      <c r="G305" s="30" t="n">
        <v>234920</v>
      </c>
      <c r="H305" s="35" t="n">
        <v>0.01054339010543393</v>
      </c>
      <c r="I305" s="35" t="n">
        <v>-0.4498896247240618</v>
      </c>
      <c r="J305" s="30" t="n">
        <v>12744</v>
      </c>
      <c r="K305" s="30" t="n">
        <v>14461</v>
      </c>
      <c r="L305" s="30" t="n">
        <v>14884.83333333333</v>
      </c>
      <c r="M305" s="35" t="n">
        <v>1.054464011507345</v>
      </c>
      <c r="N305" s="35" t="n">
        <v>0.8063185198476713</v>
      </c>
      <c r="O305" s="35" t="n">
        <v>-0.05748865355521937</v>
      </c>
      <c r="P305" s="35" t="n">
        <v>-0.1529571719918423</v>
      </c>
      <c r="Q305" s="35" t="n">
        <v>-0.2674897119341564</v>
      </c>
      <c r="R305" s="35" t="n">
        <v>-0.02228499686126806</v>
      </c>
      <c r="S305" s="35" t="n">
        <v>-0.1383721734319895</v>
      </c>
      <c r="T305" s="35" t="n">
        <v>-0.1629063140333001</v>
      </c>
      <c r="U305" s="30" t="n">
        <v>22650</v>
      </c>
      <c r="V305" s="30" t="n">
        <v>7430</v>
      </c>
      <c r="W305" s="35" t="n">
        <v>-0.4498896247240618</v>
      </c>
      <c r="X305" s="35" t="n">
        <v>0.6769851951547778</v>
      </c>
      <c r="Y305" s="30" t="n">
        <v>17780753</v>
      </c>
      <c r="Z305" s="30" t="n">
        <v>221548182380</v>
      </c>
      <c r="AA305" s="30" t="n">
        <v>2927103200</v>
      </c>
      <c r="AB305" s="30" t="n">
        <v>4788795952.5</v>
      </c>
      <c r="AC305" s="35" t="n">
        <v>0.01321203888271773</v>
      </c>
      <c r="AD305" s="24" t="inlineStr">
        <is>
          <t>yfinance_download</t>
        </is>
      </c>
      <c r="AE305" s="24" t="inlineStr">
        <is>
          <t>102120.KQ</t>
        </is>
      </c>
    </row>
    <row r="306" ht="24" customHeight="1">
      <c r="A306" s="29" t="inlineStr">
        <is>
          <t>2024-09-03</t>
        </is>
      </c>
      <c r="B306" s="31" t="n">
        <v>12460</v>
      </c>
      <c r="C306" s="31" t="n">
        <v>12480</v>
      </c>
      <c r="D306" s="31" t="n">
        <v>12060</v>
      </c>
      <c r="E306" s="31" t="n">
        <v>12060</v>
      </c>
      <c r="F306" s="31" t="n">
        <v>12060</v>
      </c>
      <c r="G306" s="31" t="n">
        <v>163597</v>
      </c>
      <c r="H306" s="36" t="n">
        <v>-0.0321027287319422</v>
      </c>
      <c r="I306" s="36" t="n">
        <v>-0.4675496688741722</v>
      </c>
      <c r="J306" s="31" t="n">
        <v>12823</v>
      </c>
      <c r="K306" s="31" t="n">
        <v>14421.33333333333</v>
      </c>
      <c r="L306" s="31" t="n">
        <v>14847.08333333333</v>
      </c>
      <c r="M306" s="36" t="n">
        <v>0.7341024518256493</v>
      </c>
      <c r="N306" s="36" t="n">
        <v>0.8080392061116368</v>
      </c>
      <c r="O306" s="36" t="n">
        <v>0.1507633587786259</v>
      </c>
      <c r="P306" s="36" t="n">
        <v>-0.1648199445983379</v>
      </c>
      <c r="Q306" s="36" t="n">
        <v>-0.2730560578661845</v>
      </c>
      <c r="R306" s="36" t="n">
        <v>-0.05950245652343444</v>
      </c>
      <c r="S306" s="36" t="n">
        <v>-0.1637389053254438</v>
      </c>
      <c r="T306" s="36" t="n">
        <v>-0.1877192490107485</v>
      </c>
      <c r="U306" s="31" t="n">
        <v>22650</v>
      </c>
      <c r="V306" s="31" t="n">
        <v>7430</v>
      </c>
      <c r="W306" s="36" t="n">
        <v>-0.4675496688741722</v>
      </c>
      <c r="X306" s="36" t="n">
        <v>0.6231493943472408</v>
      </c>
      <c r="Y306" s="31" t="n">
        <v>17780753</v>
      </c>
      <c r="Z306" s="31" t="n">
        <v>214435881180</v>
      </c>
      <c r="AA306" s="31" t="n">
        <v>1972979820</v>
      </c>
      <c r="AB306" s="31" t="n">
        <v>4406445431.5</v>
      </c>
      <c r="AC306" s="36" t="n">
        <v>0.009200791440047561</v>
      </c>
      <c r="AD306" s="29" t="inlineStr">
        <is>
          <t>yfinance_download</t>
        </is>
      </c>
      <c r="AE306" s="29" t="inlineStr">
        <is>
          <t>102120.KQ</t>
        </is>
      </c>
    </row>
    <row r="307" ht="24" customHeight="1">
      <c r="A307" s="24" t="inlineStr">
        <is>
          <t>2024-09-04</t>
        </is>
      </c>
      <c r="B307" s="30" t="n">
        <v>11230</v>
      </c>
      <c r="C307" s="30" t="n">
        <v>11560</v>
      </c>
      <c r="D307" s="30" t="n">
        <v>11230</v>
      </c>
      <c r="E307" s="30" t="n">
        <v>11510</v>
      </c>
      <c r="F307" s="30" t="n">
        <v>11510</v>
      </c>
      <c r="G307" s="30" t="n">
        <v>188714</v>
      </c>
      <c r="H307" s="35" t="n">
        <v>-0.04560530679933661</v>
      </c>
      <c r="I307" s="35" t="n">
        <v>-0.4918322295805739</v>
      </c>
      <c r="J307" s="30" t="n">
        <v>12818.5</v>
      </c>
      <c r="K307" s="30" t="n">
        <v>14377.16666666667</v>
      </c>
      <c r="L307" s="30" t="n">
        <v>14806.58333333333</v>
      </c>
      <c r="M307" s="35" t="n">
        <v>0.6572822268188114</v>
      </c>
      <c r="N307" s="35" t="n">
        <v>0.8122668162458001</v>
      </c>
      <c r="O307" s="35" t="n">
        <v>-0.00775862068965516</v>
      </c>
      <c r="P307" s="35" t="n">
        <v>-0.1871468926553672</v>
      </c>
      <c r="Q307" s="35" t="n">
        <v>-0.2968845448992059</v>
      </c>
      <c r="R307" s="35" t="n">
        <v>-0.1020790264071459</v>
      </c>
      <c r="S307" s="35" t="n">
        <v>-0.1994250142007581</v>
      </c>
      <c r="T307" s="35" t="n">
        <v>-0.2226430810619151</v>
      </c>
      <c r="U307" s="30" t="n">
        <v>22650</v>
      </c>
      <c r="V307" s="30" t="n">
        <v>7430</v>
      </c>
      <c r="W307" s="35" t="n">
        <v>-0.4918322295805739</v>
      </c>
      <c r="X307" s="35" t="n">
        <v>0.5491251682368776</v>
      </c>
      <c r="Y307" s="30" t="n">
        <v>17780753</v>
      </c>
      <c r="Z307" s="30" t="n">
        <v>204656467030</v>
      </c>
      <c r="AA307" s="30" t="n">
        <v>2172098140</v>
      </c>
      <c r="AB307" s="30" t="n">
        <v>4086752238.5</v>
      </c>
      <c r="AC307" s="35" t="n">
        <v>0.0106133862834718</v>
      </c>
      <c r="AD307" s="24" t="inlineStr">
        <is>
          <t>yfinance_download</t>
        </is>
      </c>
      <c r="AE307" s="24" t="inlineStr">
        <is>
          <t>102120.KQ</t>
        </is>
      </c>
    </row>
    <row r="308" ht="24" customHeight="1">
      <c r="A308" s="29" t="inlineStr">
        <is>
          <t>2024-09-05</t>
        </is>
      </c>
      <c r="B308" s="31" t="n">
        <v>11510</v>
      </c>
      <c r="C308" s="31" t="n">
        <v>11730</v>
      </c>
      <c r="D308" s="31" t="n">
        <v>11050</v>
      </c>
      <c r="E308" s="31" t="n">
        <v>11080</v>
      </c>
      <c r="F308" s="31" t="n">
        <v>11080</v>
      </c>
      <c r="G308" s="31" t="n">
        <v>202960</v>
      </c>
      <c r="H308" s="36" t="n">
        <v>-0.03735881841876632</v>
      </c>
      <c r="I308" s="36" t="n">
        <v>-0.5108167770419426</v>
      </c>
      <c r="J308" s="31" t="n">
        <v>12780</v>
      </c>
      <c r="K308" s="31" t="n">
        <v>14327.33333333333</v>
      </c>
      <c r="L308" s="31" t="n">
        <v>14764.75</v>
      </c>
      <c r="M308" s="36" t="n">
        <v>0.6653453354468287</v>
      </c>
      <c r="N308" s="36" t="n">
        <v>0.8154350143661563</v>
      </c>
      <c r="O308" s="36" t="n">
        <v>-0.06497890295358655</v>
      </c>
      <c r="P308" s="36" t="n">
        <v>-0.2125088841506751</v>
      </c>
      <c r="Q308" s="36" t="n">
        <v>-0.3118012422360248</v>
      </c>
      <c r="R308" s="36" t="n">
        <v>-0.13302034428795</v>
      </c>
      <c r="S308" s="36" t="n">
        <v>-0.226653017542227</v>
      </c>
      <c r="T308" s="36" t="n">
        <v>-0.2495639953267071</v>
      </c>
      <c r="U308" s="31" t="n">
        <v>22650</v>
      </c>
      <c r="V308" s="31" t="n">
        <v>7430</v>
      </c>
      <c r="W308" s="36" t="n">
        <v>-0.5108167770419426</v>
      </c>
      <c r="X308" s="36" t="n">
        <v>0.4912516823687751</v>
      </c>
      <c r="Y308" s="31" t="n">
        <v>17780753</v>
      </c>
      <c r="Z308" s="31" t="n">
        <v>197010743240</v>
      </c>
      <c r="AA308" s="31" t="n">
        <v>2248796800</v>
      </c>
      <c r="AB308" s="31" t="n">
        <v>4003120793.5</v>
      </c>
      <c r="AC308" s="36" t="n">
        <v>0.01141458969707301</v>
      </c>
      <c r="AD308" s="29" t="inlineStr">
        <is>
          <t>yfinance_download</t>
        </is>
      </c>
      <c r="AE308" s="29" t="inlineStr">
        <is>
          <t>102120.KQ</t>
        </is>
      </c>
    </row>
    <row r="309" ht="24" customHeight="1">
      <c r="A309" s="24" t="inlineStr">
        <is>
          <t>2024-09-06</t>
        </is>
      </c>
      <c r="B309" s="30" t="n">
        <v>11030</v>
      </c>
      <c r="C309" s="30" t="n">
        <v>11120</v>
      </c>
      <c r="D309" s="30" t="n">
        <v>10550</v>
      </c>
      <c r="E309" s="30" t="n">
        <v>10680</v>
      </c>
      <c r="F309" s="30" t="n">
        <v>10680</v>
      </c>
      <c r="G309" s="30" t="n">
        <v>169912</v>
      </c>
      <c r="H309" s="35" t="n">
        <v>-0.03610108303249093</v>
      </c>
      <c r="I309" s="35" t="n">
        <v>-0.528476821192053</v>
      </c>
      <c r="J309" s="30" t="n">
        <v>12742</v>
      </c>
      <c r="K309" s="30" t="n">
        <v>14269.16666666667</v>
      </c>
      <c r="L309" s="30" t="n">
        <v>14723.58333333333</v>
      </c>
      <c r="M309" s="35" t="n">
        <v>0.6663254632005099</v>
      </c>
      <c r="N309" s="35" t="n">
        <v>0.8180319783783468</v>
      </c>
      <c r="O309" s="35" t="n">
        <v>-0.06643356643356646</v>
      </c>
      <c r="P309" s="35" t="n">
        <v>-0.2462949894142554</v>
      </c>
      <c r="Q309" s="35" t="n">
        <v>-0.3162612035851472</v>
      </c>
      <c r="R309" s="35" t="n">
        <v>-0.1618270287239052</v>
      </c>
      <c r="S309" s="35" t="n">
        <v>-0.2515330257548326</v>
      </c>
      <c r="T309" s="35" t="n">
        <v>-0.2746330999586831</v>
      </c>
      <c r="U309" s="30" t="n">
        <v>22650</v>
      </c>
      <c r="V309" s="30" t="n">
        <v>7430</v>
      </c>
      <c r="W309" s="35" t="n">
        <v>-0.528476821192053</v>
      </c>
      <c r="X309" s="35" t="n">
        <v>0.4374158815612381</v>
      </c>
      <c r="Y309" s="30" t="n">
        <v>17780753</v>
      </c>
      <c r="Z309" s="30" t="n">
        <v>189898442040</v>
      </c>
      <c r="AA309" s="30" t="n">
        <v>1814660160</v>
      </c>
      <c r="AB309" s="30" t="n">
        <v>3993071977.5</v>
      </c>
      <c r="AC309" s="35" t="n">
        <v>0.009555950751916974</v>
      </c>
      <c r="AD309" s="24" t="inlineStr">
        <is>
          <t>yfinance_download</t>
        </is>
      </c>
      <c r="AE309" s="24" t="inlineStr">
        <is>
          <t>102120.KQ</t>
        </is>
      </c>
    </row>
    <row r="310" ht="24" customHeight="1">
      <c r="A310" s="29" t="inlineStr">
        <is>
          <t>2024-09-09</t>
        </is>
      </c>
      <c r="B310" s="31" t="n">
        <v>10260</v>
      </c>
      <c r="C310" s="31" t="n">
        <v>10910</v>
      </c>
      <c r="D310" s="31" t="n">
        <v>10250</v>
      </c>
      <c r="E310" s="31" t="n">
        <v>10740</v>
      </c>
      <c r="F310" s="31" t="n">
        <v>10740</v>
      </c>
      <c r="G310" s="31" t="n">
        <v>139937</v>
      </c>
      <c r="H310" s="36" t="n">
        <v>0.00561797752808979</v>
      </c>
      <c r="I310" s="36" t="n">
        <v>-0.5258278145695364</v>
      </c>
      <c r="J310" s="31" t="n">
        <v>12692.5</v>
      </c>
      <c r="K310" s="31" t="n">
        <v>14220.5</v>
      </c>
      <c r="L310" s="31" t="n">
        <v>14682.5</v>
      </c>
      <c r="M310" s="36" t="n">
        <v>0.658978085377527</v>
      </c>
      <c r="N310" s="36" t="n">
        <v>0.8153838074551047</v>
      </c>
      <c r="O310" s="36" t="n">
        <v>-0.0843989769820972</v>
      </c>
      <c r="P310" s="36" t="n">
        <v>-0.2137628111273792</v>
      </c>
      <c r="Q310" s="36" t="n">
        <v>-0.3146139119336312</v>
      </c>
      <c r="R310" s="36" t="n">
        <v>-0.1538310025605673</v>
      </c>
      <c r="S310" s="36" t="n">
        <v>-0.2447522942231286</v>
      </c>
      <c r="T310" s="36" t="n">
        <v>-0.2685169419376809</v>
      </c>
      <c r="U310" s="31" t="n">
        <v>22650</v>
      </c>
      <c r="V310" s="31" t="n">
        <v>7430</v>
      </c>
      <c r="W310" s="36" t="n">
        <v>-0.5258278145695364</v>
      </c>
      <c r="X310" s="36" t="n">
        <v>0.4454912516823688</v>
      </c>
      <c r="Y310" s="31" t="n">
        <v>17780753</v>
      </c>
      <c r="Z310" s="31" t="n">
        <v>190965287220</v>
      </c>
      <c r="AA310" s="31" t="n">
        <v>1502923380</v>
      </c>
      <c r="AB310" s="31" t="n">
        <v>3935449209</v>
      </c>
      <c r="AC310" s="36" t="n">
        <v>0.007870139133027719</v>
      </c>
      <c r="AD310" s="29" t="inlineStr">
        <is>
          <t>yfinance_download</t>
        </is>
      </c>
      <c r="AE310" s="29" t="inlineStr">
        <is>
          <t>102120.KQ</t>
        </is>
      </c>
    </row>
    <row r="311" ht="24" customHeight="1">
      <c r="A311" s="24" t="inlineStr">
        <is>
          <t>2024-09-10</t>
        </is>
      </c>
      <c r="B311" s="30" t="n">
        <v>10850</v>
      </c>
      <c r="C311" s="30" t="n">
        <v>10990</v>
      </c>
      <c r="D311" s="30" t="n">
        <v>10500</v>
      </c>
      <c r="E311" s="30" t="n">
        <v>10580</v>
      </c>
      <c r="F311" s="30" t="n">
        <v>10580</v>
      </c>
      <c r="G311" s="30" t="n">
        <v>112847</v>
      </c>
      <c r="H311" s="35" t="n">
        <v>-0.01489757914338918</v>
      </c>
      <c r="I311" s="35" t="n">
        <v>-0.5328918322295806</v>
      </c>
      <c r="J311" s="30" t="n">
        <v>12556</v>
      </c>
      <c r="K311" s="30" t="n">
        <v>14174.16666666667</v>
      </c>
      <c r="L311" s="30" t="n">
        <v>14638.75</v>
      </c>
      <c r="M311" s="35" t="n">
        <v>0.4091180069784396</v>
      </c>
      <c r="N311" s="35" t="n">
        <v>0.8147982518176969</v>
      </c>
      <c r="O311" s="35" t="n">
        <v>-0.2051089406461307</v>
      </c>
      <c r="P311" s="35" t="n">
        <v>-0.2080838323353293</v>
      </c>
      <c r="Q311" s="35" t="n">
        <v>-0.3316487681617183</v>
      </c>
      <c r="R311" s="35" t="n">
        <v>-0.1573749601784008</v>
      </c>
      <c r="S311" s="35" t="n">
        <v>-0.2535716385443001</v>
      </c>
      <c r="T311" s="35" t="n">
        <v>-0.2772606950730083</v>
      </c>
      <c r="U311" s="30" t="n">
        <v>22650</v>
      </c>
      <c r="V311" s="30" t="n">
        <v>7430</v>
      </c>
      <c r="W311" s="35" t="n">
        <v>-0.5328918322295806</v>
      </c>
      <c r="X311" s="35" t="n">
        <v>0.4239569313593539</v>
      </c>
      <c r="Y311" s="30" t="n">
        <v>17780753</v>
      </c>
      <c r="Z311" s="30" t="n">
        <v>188120366740</v>
      </c>
      <c r="AA311" s="30" t="n">
        <v>1193921260</v>
      </c>
      <c r="AB311" s="30" t="n">
        <v>3113615986</v>
      </c>
      <c r="AC311" s="35" t="n">
        <v>0.006346581609901447</v>
      </c>
      <c r="AD311" s="24" t="inlineStr">
        <is>
          <t>yfinance_download</t>
        </is>
      </c>
      <c r="AE311" s="24" t="inlineStr">
        <is>
          <t>102120.KQ</t>
        </is>
      </c>
    </row>
    <row r="312" ht="24" customHeight="1">
      <c r="A312" s="29" t="inlineStr">
        <is>
          <t>2024-09-11</t>
        </is>
      </c>
      <c r="B312" s="31" t="n">
        <v>10590</v>
      </c>
      <c r="C312" s="31" t="n">
        <v>10780</v>
      </c>
      <c r="D312" s="31" t="n">
        <v>10380</v>
      </c>
      <c r="E312" s="31" t="n">
        <v>10520</v>
      </c>
      <c r="F312" s="31" t="n">
        <v>10520</v>
      </c>
      <c r="G312" s="31" t="n">
        <v>106845</v>
      </c>
      <c r="H312" s="36" t="n">
        <v>-0.005671077504725952</v>
      </c>
      <c r="I312" s="36" t="n">
        <v>-0.5355408388520971</v>
      </c>
      <c r="J312" s="31" t="n">
        <v>12416</v>
      </c>
      <c r="K312" s="31" t="n">
        <v>14122.66666666667</v>
      </c>
      <c r="L312" s="31" t="n">
        <v>14595.75</v>
      </c>
      <c r="M312" s="36" t="n">
        <v>0.407282934862186</v>
      </c>
      <c r="N312" s="36" t="n">
        <v>0.8136116356752101</v>
      </c>
      <c r="O312" s="36" t="n">
        <v>-0.2102102102102102</v>
      </c>
      <c r="P312" s="36" t="n">
        <v>-0.2270389419544453</v>
      </c>
      <c r="Q312" s="36" t="n">
        <v>-0.3290816326530612</v>
      </c>
      <c r="R312" s="36" t="n">
        <v>-0.1527061855670103</v>
      </c>
      <c r="S312" s="36" t="n">
        <v>-0.2550981873111782</v>
      </c>
      <c r="T312" s="36" t="n">
        <v>-0.2792422451741089</v>
      </c>
      <c r="U312" s="31" t="n">
        <v>22650</v>
      </c>
      <c r="V312" s="31" t="n">
        <v>7430</v>
      </c>
      <c r="W312" s="36" t="n">
        <v>-0.5355408388520971</v>
      </c>
      <c r="X312" s="36" t="n">
        <v>0.4158815612382234</v>
      </c>
      <c r="Y312" s="31" t="n">
        <v>17780753</v>
      </c>
      <c r="Z312" s="31" t="n">
        <v>187053521560</v>
      </c>
      <c r="AA312" s="31" t="n">
        <v>1124009400</v>
      </c>
      <c r="AB312" s="31" t="n">
        <v>2845537060</v>
      </c>
      <c r="AC312" s="36" t="n">
        <v>0.006009025602009094</v>
      </c>
      <c r="AD312" s="29" t="inlineStr">
        <is>
          <t>yfinance_download</t>
        </is>
      </c>
      <c r="AE312" s="29" t="inlineStr">
        <is>
          <t>102120.KQ</t>
        </is>
      </c>
    </row>
    <row r="313" ht="24" customHeight="1">
      <c r="A313" s="24" t="inlineStr">
        <is>
          <t>2024-09-12</t>
        </is>
      </c>
      <c r="B313" s="30" t="n">
        <v>10990</v>
      </c>
      <c r="C313" s="30" t="n">
        <v>11680</v>
      </c>
      <c r="D313" s="30" t="n">
        <v>10910</v>
      </c>
      <c r="E313" s="30" t="n">
        <v>11170</v>
      </c>
      <c r="F313" s="30" t="n">
        <v>11170</v>
      </c>
      <c r="G313" s="30" t="n">
        <v>412771</v>
      </c>
      <c r="H313" s="35" t="n">
        <v>0.06178707224334601</v>
      </c>
      <c r="I313" s="35" t="n">
        <v>-0.5068432671081677</v>
      </c>
      <c r="J313" s="30" t="n">
        <v>12316.5</v>
      </c>
      <c r="K313" s="30" t="n">
        <v>14065.83333333333</v>
      </c>
      <c r="L313" s="30" t="n">
        <v>14555.66666666667</v>
      </c>
      <c r="M313" s="35" t="n">
        <v>0.4830454141846992</v>
      </c>
      <c r="N313" s="35" t="n">
        <v>0.8101406075319412</v>
      </c>
      <c r="O313" s="35" t="n">
        <v>-0.1512158054711246</v>
      </c>
      <c r="P313" s="35" t="n">
        <v>-0.2338820301783264</v>
      </c>
      <c r="Q313" s="35" t="n">
        <v>-0.3010012515644556</v>
      </c>
      <c r="R313" s="35" t="n">
        <v>-0.09308650996630541</v>
      </c>
      <c r="S313" s="35" t="n">
        <v>-0.2058771254221222</v>
      </c>
      <c r="T313" s="35" t="n">
        <v>-0.2326012778528408</v>
      </c>
      <c r="U313" s="30" t="n">
        <v>22650</v>
      </c>
      <c r="V313" s="30" t="n">
        <v>7430</v>
      </c>
      <c r="W313" s="35" t="n">
        <v>-0.5068432671081677</v>
      </c>
      <c r="X313" s="35" t="n">
        <v>0.5033647375504711</v>
      </c>
      <c r="Y313" s="30" t="n">
        <v>17780753</v>
      </c>
      <c r="Z313" s="30" t="n">
        <v>198611011010</v>
      </c>
      <c r="AA313" s="30" t="n">
        <v>4610652070</v>
      </c>
      <c r="AB313" s="30" t="n">
        <v>2830884387.5</v>
      </c>
      <c r="AC313" s="35" t="n">
        <v>0.0232144836610688</v>
      </c>
      <c r="AD313" s="24" t="inlineStr">
        <is>
          <t>yfinance_download</t>
        </is>
      </c>
      <c r="AE313" s="24" t="inlineStr">
        <is>
          <t>102120.KQ</t>
        </is>
      </c>
    </row>
    <row r="314" ht="24" customHeight="1">
      <c r="A314" s="29" t="inlineStr">
        <is>
          <t>2024-09-13</t>
        </is>
      </c>
      <c r="B314" s="31" t="n">
        <v>11230</v>
      </c>
      <c r="C314" s="31" t="n">
        <v>11240</v>
      </c>
      <c r="D314" s="31" t="n">
        <v>10810</v>
      </c>
      <c r="E314" s="31" t="n">
        <v>11000</v>
      </c>
      <c r="F314" s="31" t="n">
        <v>11000</v>
      </c>
      <c r="G314" s="31" t="n">
        <v>110899</v>
      </c>
      <c r="H314" s="36" t="n">
        <v>-0.01521933751119064</v>
      </c>
      <c r="I314" s="36" t="n">
        <v>-0.5143487858719646</v>
      </c>
      <c r="J314" s="31" t="n">
        <v>12182.5</v>
      </c>
      <c r="K314" s="31" t="n">
        <v>14000.5</v>
      </c>
      <c r="L314" s="31" t="n">
        <v>14515.5</v>
      </c>
      <c r="M314" s="36" t="n">
        <v>0.4499948726160549</v>
      </c>
      <c r="N314" s="36" t="n">
        <v>0.8086176212345418</v>
      </c>
      <c r="O314" s="36" t="n">
        <v>-0.195906432748538</v>
      </c>
      <c r="P314" s="36" t="n">
        <v>-0.2627345844504021</v>
      </c>
      <c r="Q314" s="36" t="n">
        <v>-0.304677623261694</v>
      </c>
      <c r="R314" s="36" t="n">
        <v>-0.09706546275395034</v>
      </c>
      <c r="S314" s="36" t="n">
        <v>-0.2143137745080533</v>
      </c>
      <c r="T314" s="36" t="n">
        <v>-0.2421893837621852</v>
      </c>
      <c r="U314" s="31" t="n">
        <v>22650</v>
      </c>
      <c r="V314" s="31" t="n">
        <v>7430</v>
      </c>
      <c r="W314" s="36" t="n">
        <v>-0.5143487858719646</v>
      </c>
      <c r="X314" s="36" t="n">
        <v>0.4804845222072678</v>
      </c>
      <c r="Y314" s="31" t="n">
        <v>17780753</v>
      </c>
      <c r="Z314" s="31" t="n">
        <v>195588283000</v>
      </c>
      <c r="AA314" s="31" t="n">
        <v>1219889000</v>
      </c>
      <c r="AB314" s="31" t="n">
        <v>2613373189.5</v>
      </c>
      <c r="AC314" s="36" t="n">
        <v>0.006237024944894067</v>
      </c>
      <c r="AD314" s="29" t="inlineStr">
        <is>
          <t>yfinance_download</t>
        </is>
      </c>
      <c r="AE314" s="29" t="inlineStr">
        <is>
          <t>102120.KQ</t>
        </is>
      </c>
    </row>
    <row r="315" ht="24" customHeight="1">
      <c r="A315" s="24" t="inlineStr">
        <is>
          <t>2024-09-19</t>
        </is>
      </c>
      <c r="B315" s="30" t="n">
        <v>10900</v>
      </c>
      <c r="C315" s="30" t="n">
        <v>11000</v>
      </c>
      <c r="D315" s="30" t="n">
        <v>10430</v>
      </c>
      <c r="E315" s="30" t="n">
        <v>10630</v>
      </c>
      <c r="F315" s="30" t="n">
        <v>10630</v>
      </c>
      <c r="G315" s="30" t="n">
        <v>131995</v>
      </c>
      <c r="H315" s="35" t="n">
        <v>-0.03363636363636369</v>
      </c>
      <c r="I315" s="35" t="n">
        <v>-0.5306843267108168</v>
      </c>
      <c r="J315" s="30" t="n">
        <v>12024</v>
      </c>
      <c r="K315" s="30" t="n">
        <v>13929.16666666667</v>
      </c>
      <c r="L315" s="30" t="n">
        <v>14478.08333333333</v>
      </c>
      <c r="M315" s="35" t="n">
        <v>0.4511320644707871</v>
      </c>
      <c r="N315" s="35" t="n">
        <v>0.8108988101990255</v>
      </c>
      <c r="O315" s="35" t="n">
        <v>-0.2297101449275363</v>
      </c>
      <c r="P315" s="35" t="n">
        <v>-0.2870556673373574</v>
      </c>
      <c r="Q315" s="35" t="n">
        <v>-0.296957671957672</v>
      </c>
      <c r="R315" s="35" t="n">
        <v>-0.1159347970725216</v>
      </c>
      <c r="S315" s="35" t="n">
        <v>-0.2368531259347891</v>
      </c>
      <c r="T315" s="35" t="n">
        <v>-0.2657867926808912</v>
      </c>
      <c r="U315" s="30" t="n">
        <v>22650</v>
      </c>
      <c r="V315" s="30" t="n">
        <v>7430</v>
      </c>
      <c r="W315" s="35" t="n">
        <v>-0.5306843267108168</v>
      </c>
      <c r="X315" s="35" t="n">
        <v>0.430686406460296</v>
      </c>
      <c r="Y315" s="30" t="n">
        <v>17780753</v>
      </c>
      <c r="Z315" s="30" t="n">
        <v>189009404390</v>
      </c>
      <c r="AA315" s="30" t="n">
        <v>1403106850</v>
      </c>
      <c r="AB315" s="30" t="n">
        <v>2301067742</v>
      </c>
      <c r="AC315" s="35" t="n">
        <v>0.007423476384830271</v>
      </c>
      <c r="AD315" s="24" t="inlineStr">
        <is>
          <t>yfinance_download</t>
        </is>
      </c>
      <c r="AE315" s="24" t="inlineStr">
        <is>
          <t>102120.KQ</t>
        </is>
      </c>
    </row>
    <row r="316" ht="24" customHeight="1">
      <c r="A316" s="29" t="inlineStr">
        <is>
          <t>2024-09-20</t>
        </is>
      </c>
      <c r="B316" s="31" t="n">
        <v>10950</v>
      </c>
      <c r="C316" s="31" t="n">
        <v>11160</v>
      </c>
      <c r="D316" s="31" t="n">
        <v>10710</v>
      </c>
      <c r="E316" s="31" t="n">
        <v>10730</v>
      </c>
      <c r="F316" s="31" t="n">
        <v>10730</v>
      </c>
      <c r="G316" s="31" t="n">
        <v>130141</v>
      </c>
      <c r="H316" s="36" t="n">
        <v>0.009407337723424281</v>
      </c>
      <c r="I316" s="36" t="n">
        <v>-0.5262693156732892</v>
      </c>
      <c r="J316" s="31" t="n">
        <v>11854</v>
      </c>
      <c r="K316" s="31" t="n">
        <v>13868.66666666667</v>
      </c>
      <c r="L316" s="31" t="n">
        <v>14443.33333333333</v>
      </c>
      <c r="M316" s="36" t="n">
        <v>0.4383251137053263</v>
      </c>
      <c r="N316" s="36" t="n">
        <v>0.8085013897383434</v>
      </c>
      <c r="O316" s="36" t="n">
        <v>-0.2406227883934891</v>
      </c>
      <c r="P316" s="36" t="n">
        <v>-0.2527855153203342</v>
      </c>
      <c r="Q316" s="36" t="n">
        <v>-0.2798657718120805</v>
      </c>
      <c r="R316" s="36" t="n">
        <v>-0.09482031381812051</v>
      </c>
      <c r="S316" s="36" t="n">
        <v>-0.2263135124741623</v>
      </c>
      <c r="T316" s="36" t="n">
        <v>-0.2570966997461344</v>
      </c>
      <c r="U316" s="31" t="n">
        <v>22650</v>
      </c>
      <c r="V316" s="31" t="n">
        <v>7430</v>
      </c>
      <c r="W316" s="36" t="n">
        <v>-0.5262693156732892</v>
      </c>
      <c r="X316" s="36" t="n">
        <v>0.4441453566621802</v>
      </c>
      <c r="Y316" s="31" t="n">
        <v>17780753</v>
      </c>
      <c r="Z316" s="31" t="n">
        <v>190787479690</v>
      </c>
      <c r="AA316" s="31" t="n">
        <v>1396412930</v>
      </c>
      <c r="AB316" s="31" t="n">
        <v>2092840368</v>
      </c>
      <c r="AC316" s="36" t="n">
        <v>0.007319206335074786</v>
      </c>
      <c r="AD316" s="29" t="inlineStr">
        <is>
          <t>yfinance_download</t>
        </is>
      </c>
      <c r="AE316" s="29" t="inlineStr">
        <is>
          <t>102120.KQ</t>
        </is>
      </c>
    </row>
    <row r="317" ht="24" customHeight="1">
      <c r="A317" s="24" t="inlineStr">
        <is>
          <t>2024-09-23</t>
        </is>
      </c>
      <c r="B317" s="30" t="n">
        <v>10650</v>
      </c>
      <c r="C317" s="30" t="n">
        <v>11020</v>
      </c>
      <c r="D317" s="30" t="n">
        <v>10540</v>
      </c>
      <c r="E317" s="30" t="n">
        <v>10760</v>
      </c>
      <c r="F317" s="30" t="n">
        <v>10760</v>
      </c>
      <c r="G317" s="30" t="n">
        <v>119359</v>
      </c>
      <c r="H317" s="35" t="n">
        <v>0.002795899347623587</v>
      </c>
      <c r="I317" s="35" t="n">
        <v>-0.5249448123620308</v>
      </c>
      <c r="J317" s="30" t="n">
        <v>11693</v>
      </c>
      <c r="K317" s="30" t="n">
        <v>13801.33333333333</v>
      </c>
      <c r="L317" s="30" t="n">
        <v>14406.33333333333</v>
      </c>
      <c r="M317" s="35" t="n">
        <v>0.4419871656273665</v>
      </c>
      <c r="N317" s="35" t="n">
        <v>0.8054820097236253</v>
      </c>
      <c r="O317" s="35" t="n">
        <v>-0.2303290414878397</v>
      </c>
      <c r="P317" s="35" t="n">
        <v>-0.272972972972973</v>
      </c>
      <c r="Q317" s="35" t="n">
        <v>-0.2921052631578948</v>
      </c>
      <c r="R317" s="35" t="n">
        <v>-0.07979132814504408</v>
      </c>
      <c r="S317" s="35" t="n">
        <v>-0.2203651821080089</v>
      </c>
      <c r="T317" s="35" t="n">
        <v>-0.2531062727041348</v>
      </c>
      <c r="U317" s="30" t="n">
        <v>22650</v>
      </c>
      <c r="V317" s="30" t="n">
        <v>7430</v>
      </c>
      <c r="W317" s="35" t="n">
        <v>-0.5249448123620308</v>
      </c>
      <c r="X317" s="35" t="n">
        <v>0.4481830417227457</v>
      </c>
      <c r="Y317" s="30" t="n">
        <v>17780753</v>
      </c>
      <c r="Z317" s="30" t="n">
        <v>191320902280</v>
      </c>
      <c r="AA317" s="30" t="n">
        <v>1284302840</v>
      </c>
      <c r="AB317" s="30" t="n">
        <v>2015564629</v>
      </c>
      <c r="AC317" s="35" t="n">
        <v>0.006712820317564728</v>
      </c>
      <c r="AD317" s="24" t="inlineStr">
        <is>
          <t>yfinance_download</t>
        </is>
      </c>
      <c r="AE317" s="24" t="inlineStr">
        <is>
          <t>102120.KQ</t>
        </is>
      </c>
    </row>
    <row r="318" ht="24" customHeight="1">
      <c r="A318" s="29" t="inlineStr">
        <is>
          <t>2024-09-24</t>
        </is>
      </c>
      <c r="B318" s="31" t="n">
        <v>10760</v>
      </c>
      <c r="C318" s="31" t="n">
        <v>10950</v>
      </c>
      <c r="D318" s="31" t="n">
        <v>10670</v>
      </c>
      <c r="E318" s="31" t="n">
        <v>10940</v>
      </c>
      <c r="F318" s="31" t="n">
        <v>10940</v>
      </c>
      <c r="G318" s="31" t="n">
        <v>114847</v>
      </c>
      <c r="H318" s="36" t="n">
        <v>0.01672862453531598</v>
      </c>
      <c r="I318" s="36" t="n">
        <v>-0.5169977924944813</v>
      </c>
      <c r="J318" s="31" t="n">
        <v>11559.5</v>
      </c>
      <c r="K318" s="31" t="n">
        <v>13730.33333333333</v>
      </c>
      <c r="L318" s="31" t="n">
        <v>14374.25</v>
      </c>
      <c r="M318" s="36" t="n">
        <v>0.4505720168303075</v>
      </c>
      <c r="N318" s="36" t="n">
        <v>0.8040628329176688</v>
      </c>
      <c r="O318" s="36" t="n">
        <v>-0.1961792799412196</v>
      </c>
      <c r="P318" s="36" t="n">
        <v>-0.2802631578947369</v>
      </c>
      <c r="Q318" s="36" t="n">
        <v>-0.2603110209601082</v>
      </c>
      <c r="R318" s="36" t="n">
        <v>-0.05359228340326139</v>
      </c>
      <c r="S318" s="36" t="n">
        <v>-0.203224005243864</v>
      </c>
      <c r="T318" s="36" t="n">
        <v>-0.2389168130511157</v>
      </c>
      <c r="U318" s="31" t="n">
        <v>22650</v>
      </c>
      <c r="V318" s="31" t="n">
        <v>7430</v>
      </c>
      <c r="W318" s="36" t="n">
        <v>-0.5169977924944813</v>
      </c>
      <c r="X318" s="36" t="n">
        <v>0.4724091520861373</v>
      </c>
      <c r="Y318" s="31" t="n">
        <v>17780753</v>
      </c>
      <c r="Z318" s="31" t="n">
        <v>194521437820</v>
      </c>
      <c r="AA318" s="31" t="n">
        <v>1256426180</v>
      </c>
      <c r="AB318" s="31" t="n">
        <v>1949093660</v>
      </c>
      <c r="AC318" s="36" t="n">
        <v>0.006459062785473708</v>
      </c>
      <c r="AD318" s="29" t="inlineStr">
        <is>
          <t>yfinance_download</t>
        </is>
      </c>
      <c r="AE318" s="29" t="inlineStr">
        <is>
          <t>102120.KQ</t>
        </is>
      </c>
    </row>
    <row r="319" ht="24" customHeight="1">
      <c r="A319" s="24" t="inlineStr">
        <is>
          <t>2024-09-25</t>
        </is>
      </c>
      <c r="B319" s="30" t="n">
        <v>11120</v>
      </c>
      <c r="C319" s="30" t="n">
        <v>11230</v>
      </c>
      <c r="D319" s="30" t="n">
        <v>10900</v>
      </c>
      <c r="E319" s="30" t="n">
        <v>10930</v>
      </c>
      <c r="F319" s="30" t="n">
        <v>10930</v>
      </c>
      <c r="G319" s="30" t="n">
        <v>146092</v>
      </c>
      <c r="H319" s="35" t="n">
        <v>-0.000914076782449702</v>
      </c>
      <c r="I319" s="35" t="n">
        <v>-0.5174392935982339</v>
      </c>
      <c r="J319" s="30" t="n">
        <v>11438.5</v>
      </c>
      <c r="K319" s="30" t="n">
        <v>13669.83333333333</v>
      </c>
      <c r="L319" s="30" t="n">
        <v>14329.08333333333</v>
      </c>
      <c r="M319" s="35" t="n">
        <v>0.4505789010845643</v>
      </c>
      <c r="N319" s="35" t="n">
        <v>0.8001850113524739</v>
      </c>
      <c r="O319" s="35" t="n">
        <v>-0.1812734082397004</v>
      </c>
      <c r="P319" s="35" t="n">
        <v>-0.2493131868131868</v>
      </c>
      <c r="Q319" s="35" t="n">
        <v>-0.3314984709480122</v>
      </c>
      <c r="R319" s="35" t="n">
        <v>-0.04445512960615461</v>
      </c>
      <c r="S319" s="35" t="n">
        <v>-0.2004291688511199</v>
      </c>
      <c r="T319" s="35" t="n">
        <v>-0.2372156860464441</v>
      </c>
      <c r="U319" s="30" t="n">
        <v>22650</v>
      </c>
      <c r="V319" s="30" t="n">
        <v>7430</v>
      </c>
      <c r="W319" s="35" t="n">
        <v>-0.5174392935982339</v>
      </c>
      <c r="X319" s="35" t="n">
        <v>0.4710632570659488</v>
      </c>
      <c r="Y319" s="30" t="n">
        <v>17780753</v>
      </c>
      <c r="Z319" s="30" t="n">
        <v>194343630290</v>
      </c>
      <c r="AA319" s="30" t="n">
        <v>1596785560</v>
      </c>
      <c r="AB319" s="30" t="n">
        <v>1908795620.5</v>
      </c>
      <c r="AC319" s="35" t="n">
        <v>0.008216299950851351</v>
      </c>
      <c r="AD319" s="24" t="inlineStr">
        <is>
          <t>yfinance_download</t>
        </is>
      </c>
      <c r="AE319" s="24" t="inlineStr">
        <is>
          <t>102120.KQ</t>
        </is>
      </c>
    </row>
    <row r="320" ht="24" customHeight="1">
      <c r="A320" s="29" t="inlineStr">
        <is>
          <t>2024-09-26</t>
        </is>
      </c>
      <c r="B320" s="31" t="n">
        <v>11310</v>
      </c>
      <c r="C320" s="31" t="n">
        <v>11860</v>
      </c>
      <c r="D320" s="31" t="n">
        <v>11210</v>
      </c>
      <c r="E320" s="31" t="n">
        <v>11600</v>
      </c>
      <c r="F320" s="31" t="n">
        <v>11600</v>
      </c>
      <c r="G320" s="31" t="n">
        <v>467459</v>
      </c>
      <c r="H320" s="36" t="n">
        <v>0.06129917657822515</v>
      </c>
      <c r="I320" s="36" t="n">
        <v>-0.4878587196467992</v>
      </c>
      <c r="J320" s="31" t="n">
        <v>11376</v>
      </c>
      <c r="K320" s="31" t="n">
        <v>13599</v>
      </c>
      <c r="L320" s="31" t="n">
        <v>14292.66666666667</v>
      </c>
      <c r="M320" s="36" t="n">
        <v>0.502839862091424</v>
      </c>
      <c r="N320" s="36" t="n">
        <v>0.7886389858360847</v>
      </c>
      <c r="O320" s="36" t="n">
        <v>-0.09727626459143968</v>
      </c>
      <c r="P320" s="36" t="n">
        <v>-0.2681388012618297</v>
      </c>
      <c r="Q320" s="36" t="n">
        <v>-0.2736380713838447</v>
      </c>
      <c r="R320" s="36" t="n">
        <v>0.01969057665260188</v>
      </c>
      <c r="S320" s="36" t="n">
        <v>-0.1469961026546069</v>
      </c>
      <c r="T320" s="36" t="n">
        <v>-0.1883949811091935</v>
      </c>
      <c r="U320" s="31" t="n">
        <v>22650</v>
      </c>
      <c r="V320" s="31" t="n">
        <v>7430</v>
      </c>
      <c r="W320" s="36" t="n">
        <v>-0.4878587196467992</v>
      </c>
      <c r="X320" s="36" t="n">
        <v>0.5612382234185733</v>
      </c>
      <c r="Y320" s="31" t="n">
        <v>17780753</v>
      </c>
      <c r="Z320" s="31" t="n">
        <v>206256734800</v>
      </c>
      <c r="AA320" s="31" t="n">
        <v>5422524400</v>
      </c>
      <c r="AB320" s="31" t="n">
        <v>2058214993</v>
      </c>
      <c r="AC320" s="36" t="n">
        <v>0.02629016892591669</v>
      </c>
      <c r="AD320" s="29" t="inlineStr">
        <is>
          <t>yfinance_download</t>
        </is>
      </c>
      <c r="AE320" s="29" t="inlineStr">
        <is>
          <t>102120.KQ</t>
        </is>
      </c>
    </row>
    <row r="321" ht="24" customHeight="1">
      <c r="A321" s="24" t="inlineStr">
        <is>
          <t>2024-09-27</t>
        </is>
      </c>
      <c r="B321" s="30" t="n">
        <v>11800</v>
      </c>
      <c r="C321" s="30" t="n">
        <v>12080</v>
      </c>
      <c r="D321" s="30" t="n">
        <v>11550</v>
      </c>
      <c r="E321" s="30" t="n">
        <v>11620</v>
      </c>
      <c r="F321" s="30" t="n">
        <v>11620</v>
      </c>
      <c r="G321" s="30" t="n">
        <v>265416</v>
      </c>
      <c r="H321" s="35" t="n">
        <v>0.001724137931034431</v>
      </c>
      <c r="I321" s="35" t="n">
        <v>-0.4869757174392936</v>
      </c>
      <c r="J321" s="30" t="n">
        <v>11323</v>
      </c>
      <c r="K321" s="30" t="n">
        <v>13513.33333333333</v>
      </c>
      <c r="L321" s="30" t="n">
        <v>14246.33333333333</v>
      </c>
      <c r="M321" s="35" t="n">
        <v>0.5022489715851094</v>
      </c>
      <c r="N321" s="35" t="n">
        <v>0.7783246365225173</v>
      </c>
      <c r="O321" s="35" t="n">
        <v>-0.08359621451104104</v>
      </c>
      <c r="P321" s="35" t="n">
        <v>-0.3066825775656324</v>
      </c>
      <c r="Q321" s="35" t="n">
        <v>-0.3236321303841676</v>
      </c>
      <c r="R321" s="35" t="n">
        <v>0.02622979775677825</v>
      </c>
      <c r="S321" s="35" t="n">
        <v>-0.1401085347804638</v>
      </c>
      <c r="T321" s="35" t="n">
        <v>-0.1843515290484101</v>
      </c>
      <c r="U321" s="30" t="n">
        <v>22650</v>
      </c>
      <c r="V321" s="30" t="n">
        <v>7430</v>
      </c>
      <c r="W321" s="35" t="n">
        <v>-0.4869757174392936</v>
      </c>
      <c r="X321" s="35" t="n">
        <v>0.5639300134589502</v>
      </c>
      <c r="Y321" s="30" t="n">
        <v>17780753</v>
      </c>
      <c r="Z321" s="30" t="n">
        <v>206612349860</v>
      </c>
      <c r="AA321" s="30" t="n">
        <v>3084133920</v>
      </c>
      <c r="AB321" s="30" t="n">
        <v>2132636593</v>
      </c>
      <c r="AC321" s="35" t="n">
        <v>0.01492715184784356</v>
      </c>
      <c r="AD321" s="24" t="inlineStr">
        <is>
          <t>yfinance_download</t>
        </is>
      </c>
      <c r="AE321" s="24" t="inlineStr">
        <is>
          <t>102120.KQ</t>
        </is>
      </c>
    </row>
    <row r="322" ht="24" customHeight="1">
      <c r="A322" s="29" t="inlineStr">
        <is>
          <t>2024-09-30</t>
        </is>
      </c>
      <c r="B322" s="31" t="n">
        <v>11490</v>
      </c>
      <c r="C322" s="31" t="n">
        <v>11490</v>
      </c>
      <c r="D322" s="31" t="n">
        <v>11110</v>
      </c>
      <c r="E322" s="31" t="n">
        <v>11120</v>
      </c>
      <c r="F322" s="31" t="n">
        <v>11120</v>
      </c>
      <c r="G322" s="31" t="n">
        <v>161664</v>
      </c>
      <c r="H322" s="36" t="n">
        <v>-0.04302925989672979</v>
      </c>
      <c r="I322" s="36" t="n">
        <v>-0.5090507726269315</v>
      </c>
      <c r="J322" s="31" t="n">
        <v>11232.5</v>
      </c>
      <c r="K322" s="31" t="n">
        <v>13417.66666666667</v>
      </c>
      <c r="L322" s="31" t="n">
        <v>14186.33333333333</v>
      </c>
      <c r="M322" s="36" t="n">
        <v>0.5124293213511939</v>
      </c>
      <c r="N322" s="36" t="n">
        <v>0.7818799544549424</v>
      </c>
      <c r="O322" s="36" t="n">
        <v>-0.139984532095901</v>
      </c>
      <c r="P322" s="36" t="n">
        <v>-0.3404507710557533</v>
      </c>
      <c r="Q322" s="36" t="n">
        <v>-0.3930131004366813</v>
      </c>
      <c r="R322" s="36" t="n">
        <v>-0.01001557979078571</v>
      </c>
      <c r="S322" s="36" t="n">
        <v>-0.1712418950140362</v>
      </c>
      <c r="T322" s="36" t="n">
        <v>-0.2161469959350549</v>
      </c>
      <c r="U322" s="31" t="n">
        <v>22650</v>
      </c>
      <c r="V322" s="31" t="n">
        <v>7430</v>
      </c>
      <c r="W322" s="36" t="n">
        <v>-0.5090507726269315</v>
      </c>
      <c r="X322" s="36" t="n">
        <v>0.4966352624495289</v>
      </c>
      <c r="Y322" s="31" t="n">
        <v>17780753</v>
      </c>
      <c r="Z322" s="31" t="n">
        <v>197721973360</v>
      </c>
      <c r="AA322" s="31" t="n">
        <v>1797703680</v>
      </c>
      <c r="AB322" s="31" t="n">
        <v>2082699343</v>
      </c>
      <c r="AC322" s="36" t="n">
        <v>0.009092078383856972</v>
      </c>
      <c r="AD322" s="29" t="inlineStr">
        <is>
          <t>yfinance_download</t>
        </is>
      </c>
      <c r="AE322" s="29" t="inlineStr">
        <is>
          <t>102120.KQ</t>
        </is>
      </c>
    </row>
    <row r="323" ht="24" customHeight="1">
      <c r="A323" s="24" t="inlineStr">
        <is>
          <t>2024-10-02</t>
        </is>
      </c>
      <c r="B323" s="30" t="n">
        <v>10850</v>
      </c>
      <c r="C323" s="30" t="n">
        <v>11060</v>
      </c>
      <c r="D323" s="30" t="n">
        <v>10660</v>
      </c>
      <c r="E323" s="30" t="n">
        <v>10870</v>
      </c>
      <c r="F323" s="30" t="n">
        <v>10870</v>
      </c>
      <c r="G323" s="30" t="n">
        <v>137964</v>
      </c>
      <c r="H323" s="35" t="n">
        <v>-0.02248201438848918</v>
      </c>
      <c r="I323" s="35" t="n">
        <v>-0.5200883002207506</v>
      </c>
      <c r="J323" s="30" t="n">
        <v>11166.5</v>
      </c>
      <c r="K323" s="30" t="n">
        <v>13322.5</v>
      </c>
      <c r="L323" s="30" t="n">
        <v>14130.5</v>
      </c>
      <c r="M323" s="35" t="n">
        <v>0.4811592841897779</v>
      </c>
      <c r="N323" s="35" t="n">
        <v>0.7823229924806588</v>
      </c>
      <c r="O323" s="35" t="n">
        <v>-0.1082854799015587</v>
      </c>
      <c r="P323" s="35" t="n">
        <v>-0.3443908323281062</v>
      </c>
      <c r="Q323" s="35" t="n">
        <v>-0.3813318155947638</v>
      </c>
      <c r="R323" s="35" t="n">
        <v>-0.02655263511395689</v>
      </c>
      <c r="S323" s="35" t="n">
        <v>-0.1840870707449803</v>
      </c>
      <c r="T323" s="35" t="n">
        <v>-0.2307420119599448</v>
      </c>
      <c r="U323" s="30" t="n">
        <v>22650</v>
      </c>
      <c r="V323" s="30" t="n">
        <v>7430</v>
      </c>
      <c r="W323" s="35" t="n">
        <v>-0.5200883002207506</v>
      </c>
      <c r="X323" s="35" t="n">
        <v>0.4629878869448183</v>
      </c>
      <c r="Y323" s="30" t="n">
        <v>17780753</v>
      </c>
      <c r="Z323" s="30" t="n">
        <v>193276785110</v>
      </c>
      <c r="AA323" s="30" t="n">
        <v>1499668680</v>
      </c>
      <c r="AB323" s="30" t="n">
        <v>2051320760.5</v>
      </c>
      <c r="AC323" s="35" t="n">
        <v>0.007759176453325683</v>
      </c>
      <c r="AD323" s="24" t="inlineStr">
        <is>
          <t>yfinance_download</t>
        </is>
      </c>
      <c r="AE323" s="24" t="inlineStr">
        <is>
          <t>102120.KQ</t>
        </is>
      </c>
    </row>
    <row r="324" ht="24" customHeight="1">
      <c r="A324" s="29" t="inlineStr">
        <is>
          <t>2024-10-04</t>
        </is>
      </c>
      <c r="B324" s="31" t="n">
        <v>10870</v>
      </c>
      <c r="C324" s="31" t="n">
        <v>11300</v>
      </c>
      <c r="D324" s="31" t="n">
        <v>10850</v>
      </c>
      <c r="E324" s="31" t="n">
        <v>11040</v>
      </c>
      <c r="F324" s="31" t="n">
        <v>11040</v>
      </c>
      <c r="G324" s="31" t="n">
        <v>135418</v>
      </c>
      <c r="H324" s="36" t="n">
        <v>0.01563937442502294</v>
      </c>
      <c r="I324" s="36" t="n">
        <v>-0.5125827814569537</v>
      </c>
      <c r="J324" s="31" t="n">
        <v>11102</v>
      </c>
      <c r="K324" s="31" t="n">
        <v>13201.5</v>
      </c>
      <c r="L324" s="31" t="n">
        <v>14071.66666666667</v>
      </c>
      <c r="M324" s="36" t="n">
        <v>0.4833005933514413</v>
      </c>
      <c r="N324" s="36" t="n">
        <v>0.7498015051077043</v>
      </c>
      <c r="O324" s="36" t="n">
        <v>-0.1046228710462287</v>
      </c>
      <c r="P324" s="36" t="n">
        <v>-0.3967213114754098</v>
      </c>
      <c r="Q324" s="36" t="n">
        <v>-0.3900552486187845</v>
      </c>
      <c r="R324" s="36" t="n">
        <v>-0.005584579355071173</v>
      </c>
      <c r="S324" s="36" t="n">
        <v>-0.1637313941597546</v>
      </c>
      <c r="T324" s="36" t="n">
        <v>-0.2154447471277982</v>
      </c>
      <c r="U324" s="31" t="n">
        <v>22650</v>
      </c>
      <c r="V324" s="31" t="n">
        <v>7430</v>
      </c>
      <c r="W324" s="36" t="n">
        <v>-0.5125827814569537</v>
      </c>
      <c r="X324" s="36" t="n">
        <v>0.4858681022880216</v>
      </c>
      <c r="Y324" s="31" t="n">
        <v>17780753</v>
      </c>
      <c r="Z324" s="31" t="n">
        <v>196299513120</v>
      </c>
      <c r="AA324" s="31" t="n">
        <v>1495014720</v>
      </c>
      <c r="AB324" s="31" t="n">
        <v>2051155649.5</v>
      </c>
      <c r="AC324" s="36" t="n">
        <v>0.007615987916822196</v>
      </c>
      <c r="AD324" s="29" t="inlineStr">
        <is>
          <t>yfinance_download</t>
        </is>
      </c>
      <c r="AE324" s="29" t="inlineStr">
        <is>
          <t>102120.KQ</t>
        </is>
      </c>
    </row>
    <row r="325" ht="24" customHeight="1">
      <c r="A325" s="24" t="inlineStr">
        <is>
          <t>2024-10-07</t>
        </is>
      </c>
      <c r="B325" s="30" t="n">
        <v>11220</v>
      </c>
      <c r="C325" s="30" t="n">
        <v>11460</v>
      </c>
      <c r="D325" s="30" t="n">
        <v>11000</v>
      </c>
      <c r="E325" s="30" t="n">
        <v>11360</v>
      </c>
      <c r="F325" s="30" t="n">
        <v>11360</v>
      </c>
      <c r="G325" s="30" t="n">
        <v>144075</v>
      </c>
      <c r="H325" s="35" t="n">
        <v>0.02898550724637672</v>
      </c>
      <c r="I325" s="35" t="n">
        <v>-0.4984547461368654</v>
      </c>
      <c r="J325" s="30" t="n">
        <v>11047</v>
      </c>
      <c r="K325" s="30" t="n">
        <v>13095.5</v>
      </c>
      <c r="L325" s="30" t="n">
        <v>14024.58333333333</v>
      </c>
      <c r="M325" s="35" t="n">
        <v>0.4954843988427053</v>
      </c>
      <c r="N325" s="35" t="n">
        <v>0.7516632247422443</v>
      </c>
      <c r="O325" s="35" t="n">
        <v>-0.0882825040128411</v>
      </c>
      <c r="P325" s="35" t="n">
        <v>-0.3589164785553047</v>
      </c>
      <c r="Q325" s="35" t="n">
        <v>-0.3321575543797766</v>
      </c>
      <c r="R325" s="35" t="n">
        <v>0.02833348420385629</v>
      </c>
      <c r="S325" s="35" t="n">
        <v>-0.1325264403802833</v>
      </c>
      <c r="T325" s="35" t="n">
        <v>-0.1899937609554652</v>
      </c>
      <c r="U325" s="30" t="n">
        <v>22650</v>
      </c>
      <c r="V325" s="30" t="n">
        <v>7430</v>
      </c>
      <c r="W325" s="35" t="n">
        <v>-0.4984547461368654</v>
      </c>
      <c r="X325" s="35" t="n">
        <v>0.5289367429340512</v>
      </c>
      <c r="Y325" s="30" t="n">
        <v>17780753</v>
      </c>
      <c r="Z325" s="30" t="n">
        <v>201989354080</v>
      </c>
      <c r="AA325" s="30" t="n">
        <v>1636692000</v>
      </c>
      <c r="AB325" s="30" t="n">
        <v>1986635089.5</v>
      </c>
      <c r="AC325" s="35" t="n">
        <v>0.008102862685286726</v>
      </c>
      <c r="AD325" s="24" t="inlineStr">
        <is>
          <t>yfinance_download</t>
        </is>
      </c>
      <c r="AE325" s="24" t="inlineStr">
        <is>
          <t>102120.KQ</t>
        </is>
      </c>
    </row>
    <row r="326" ht="24" customHeight="1">
      <c r="A326" s="29" t="inlineStr">
        <is>
          <t>2024-10-08</t>
        </is>
      </c>
      <c r="B326" s="31" t="n">
        <v>11260</v>
      </c>
      <c r="C326" s="31" t="n">
        <v>11480</v>
      </c>
      <c r="D326" s="31" t="n">
        <v>11000</v>
      </c>
      <c r="E326" s="31" t="n">
        <v>11090</v>
      </c>
      <c r="F326" s="31" t="n">
        <v>11090</v>
      </c>
      <c r="G326" s="31" t="n">
        <v>104343</v>
      </c>
      <c r="H326" s="36" t="n">
        <v>-0.02376760563380287</v>
      </c>
      <c r="I326" s="36" t="n">
        <v>-0.5103752759381899</v>
      </c>
      <c r="J326" s="31" t="n">
        <v>10998.5</v>
      </c>
      <c r="K326" s="31" t="n">
        <v>12972.66666666667</v>
      </c>
      <c r="L326" s="31" t="n">
        <v>13978.83333333333</v>
      </c>
      <c r="M326" s="36" t="n">
        <v>0.4901022074755485</v>
      </c>
      <c r="N326" s="36" t="n">
        <v>0.7457628769321315</v>
      </c>
      <c r="O326" s="36" t="n">
        <v>-0.08043117744610284</v>
      </c>
      <c r="P326" s="36" t="n">
        <v>-0.3992416034669556</v>
      </c>
      <c r="Q326" s="36" t="n">
        <v>-0.3311218335343787</v>
      </c>
      <c r="R326" s="36" t="n">
        <v>0.008319316270400501</v>
      </c>
      <c r="S326" s="36" t="n">
        <v>-0.1451256488000411</v>
      </c>
      <c r="T326" s="36" t="n">
        <v>-0.2066576848330214</v>
      </c>
      <c r="U326" s="31" t="n">
        <v>22650</v>
      </c>
      <c r="V326" s="31" t="n">
        <v>7430</v>
      </c>
      <c r="W326" s="36" t="n">
        <v>-0.5103752759381899</v>
      </c>
      <c r="X326" s="36" t="n">
        <v>0.4925975773889637</v>
      </c>
      <c r="Y326" s="31" t="n">
        <v>17780753</v>
      </c>
      <c r="Z326" s="31" t="n">
        <v>197188550770</v>
      </c>
      <c r="AA326" s="31" t="n">
        <v>1157163870</v>
      </c>
      <c r="AB326" s="31" t="n">
        <v>1945844292</v>
      </c>
      <c r="AC326" s="36" t="n">
        <v>0.005868311651368196</v>
      </c>
      <c r="AD326" s="29" t="inlineStr">
        <is>
          <t>yfinance_download</t>
        </is>
      </c>
      <c r="AE326" s="29" t="inlineStr">
        <is>
          <t>102120.KQ</t>
        </is>
      </c>
    </row>
    <row r="327" ht="24" customHeight="1">
      <c r="A327" s="24" t="inlineStr">
        <is>
          <t>2024-10-10</t>
        </is>
      </c>
      <c r="B327" s="30" t="n">
        <v>11210</v>
      </c>
      <c r="C327" s="30" t="n">
        <v>11310</v>
      </c>
      <c r="D327" s="30" t="n">
        <v>10810</v>
      </c>
      <c r="E327" s="30" t="n">
        <v>10810</v>
      </c>
      <c r="F327" s="30" t="n">
        <v>10810</v>
      </c>
      <c r="G327" s="30" t="n">
        <v>143506</v>
      </c>
      <c r="H327" s="35" t="n">
        <v>-0.02524797114517585</v>
      </c>
      <c r="I327" s="35" t="n">
        <v>-0.5227373068432671</v>
      </c>
      <c r="J327" s="30" t="n">
        <v>10963.5</v>
      </c>
      <c r="K327" s="30" t="n">
        <v>12867.66666666667</v>
      </c>
      <c r="L327" s="30" t="n">
        <v>13937.66666666667</v>
      </c>
      <c r="M327" s="35" t="n">
        <v>0.4720292683992306</v>
      </c>
      <c r="N327" s="35" t="n">
        <v>0.7340833941210858</v>
      </c>
      <c r="O327" s="35" t="n">
        <v>-0.06081668114682881</v>
      </c>
      <c r="P327" s="35" t="n">
        <v>-0.3682057276446522</v>
      </c>
      <c r="Q327" s="35" t="n">
        <v>-0.3136507936507936</v>
      </c>
      <c r="R327" s="35" t="n">
        <v>-0.01400100332922882</v>
      </c>
      <c r="S327" s="35" t="n">
        <v>-0.1599098515659404</v>
      </c>
      <c r="T327" s="35" t="n">
        <v>-0.2244038935259369</v>
      </c>
      <c r="U327" s="30" t="n">
        <v>22650</v>
      </c>
      <c r="V327" s="30" t="n">
        <v>7430</v>
      </c>
      <c r="W327" s="35" t="n">
        <v>-0.5227373068432671</v>
      </c>
      <c r="X327" s="35" t="n">
        <v>0.4549125168236878</v>
      </c>
      <c r="Y327" s="30" t="n">
        <v>17780753</v>
      </c>
      <c r="Z327" s="30" t="n">
        <v>192209939930</v>
      </c>
      <c r="AA327" s="30" t="n">
        <v>1551299860</v>
      </c>
      <c r="AB327" s="30" t="n">
        <v>1914804378</v>
      </c>
      <c r="AC327" s="35" t="n">
        <v>0.008070861790836418</v>
      </c>
      <c r="AD327" s="24" t="inlineStr">
        <is>
          <t>yfinance_download</t>
        </is>
      </c>
      <c r="AE327" s="24" t="inlineStr">
        <is>
          <t>102120.KQ</t>
        </is>
      </c>
    </row>
    <row r="328" ht="24" customHeight="1">
      <c r="A328" s="29" t="inlineStr">
        <is>
          <t>2024-10-11</t>
        </is>
      </c>
      <c r="B328" s="31" t="n">
        <v>10900</v>
      </c>
      <c r="C328" s="31" t="n">
        <v>11220</v>
      </c>
      <c r="D328" s="31" t="n">
        <v>10790</v>
      </c>
      <c r="E328" s="31" t="n">
        <v>10830</v>
      </c>
      <c r="F328" s="31" t="n">
        <v>10830</v>
      </c>
      <c r="G328" s="31" t="n">
        <v>143213</v>
      </c>
      <c r="H328" s="36" t="n">
        <v>0.001850138760407072</v>
      </c>
      <c r="I328" s="36" t="n">
        <v>-0.5218543046357615</v>
      </c>
      <c r="J328" s="31" t="n">
        <v>10951</v>
      </c>
      <c r="K328" s="31" t="n">
        <v>12777.66666666667</v>
      </c>
      <c r="L328" s="31" t="n">
        <v>13894.41666666667</v>
      </c>
      <c r="M328" s="36" t="n">
        <v>0.4540399321193876</v>
      </c>
      <c r="N328" s="36" t="n">
        <v>0.7282631761366579</v>
      </c>
      <c r="O328" s="36" t="n">
        <v>-0.02256317689530685</v>
      </c>
      <c r="P328" s="36" t="n">
        <v>-0.33271719038817</v>
      </c>
      <c r="Q328" s="36" t="n">
        <v>-0.3239700374531835</v>
      </c>
      <c r="R328" s="36" t="n">
        <v>-0.01104921924938362</v>
      </c>
      <c r="S328" s="36" t="n">
        <v>-0.1524274124122819</v>
      </c>
      <c r="T328" s="36" t="n">
        <v>-0.2205502210120371</v>
      </c>
      <c r="U328" s="31" t="n">
        <v>22650</v>
      </c>
      <c r="V328" s="31" t="n">
        <v>7430</v>
      </c>
      <c r="W328" s="36" t="n">
        <v>-0.5218543046357615</v>
      </c>
      <c r="X328" s="36" t="n">
        <v>0.4576043068640645</v>
      </c>
      <c r="Y328" s="31" t="n">
        <v>17780753</v>
      </c>
      <c r="Z328" s="31" t="n">
        <v>192565554990</v>
      </c>
      <c r="AA328" s="31" t="n">
        <v>1550996790</v>
      </c>
      <c r="AB328" s="31" t="n">
        <v>1879914377.5</v>
      </c>
      <c r="AC328" s="36" t="n">
        <v>0.008054383298615081</v>
      </c>
      <c r="AD328" s="29" t="inlineStr">
        <is>
          <t>yfinance_download</t>
        </is>
      </c>
      <c r="AE328" s="29" t="inlineStr">
        <is>
          <t>102120.KQ</t>
        </is>
      </c>
    </row>
    <row r="329" ht="24" customHeight="1">
      <c r="A329" s="24" t="inlineStr">
        <is>
          <t>2024-10-14</t>
        </is>
      </c>
      <c r="B329" s="30" t="n">
        <v>10780</v>
      </c>
      <c r="C329" s="30" t="n">
        <v>11220</v>
      </c>
      <c r="D329" s="30" t="n">
        <v>10780</v>
      </c>
      <c r="E329" s="30" t="n">
        <v>10980</v>
      </c>
      <c r="F329" s="30" t="n">
        <v>10980</v>
      </c>
      <c r="G329" s="30" t="n">
        <v>150358</v>
      </c>
      <c r="H329" s="35" t="n">
        <v>0.01385041551246546</v>
      </c>
      <c r="I329" s="35" t="n">
        <v>-0.5152317880794701</v>
      </c>
      <c r="J329" s="30" t="n">
        <v>10966</v>
      </c>
      <c r="K329" s="30" t="n">
        <v>12690.66666666667</v>
      </c>
      <c r="L329" s="30" t="n">
        <v>13848.83333333333</v>
      </c>
      <c r="M329" s="35" t="n">
        <v>0.4367592548252426</v>
      </c>
      <c r="N329" s="35" t="n">
        <v>0.7293228482478644</v>
      </c>
      <c r="O329" s="35" t="n">
        <v>0.0280898876404494</v>
      </c>
      <c r="P329" s="35" t="n">
        <v>-0.3222222222222222</v>
      </c>
      <c r="Q329" s="35" t="n">
        <v>-0.3325227963525836</v>
      </c>
      <c r="R329" s="35" t="n">
        <v>0.001276673354003277</v>
      </c>
      <c r="S329" s="35" t="n">
        <v>-0.1347972263080479</v>
      </c>
      <c r="T329" s="35" t="n">
        <v>-0.2071534304935434</v>
      </c>
      <c r="U329" s="30" t="n">
        <v>22650</v>
      </c>
      <c r="V329" s="30" t="n">
        <v>7430</v>
      </c>
      <c r="W329" s="35" t="n">
        <v>-0.5152317880794701</v>
      </c>
      <c r="X329" s="35" t="n">
        <v>0.4777927321668909</v>
      </c>
      <c r="Y329" s="30" t="n">
        <v>17780753</v>
      </c>
      <c r="Z329" s="30" t="n">
        <v>195232667940</v>
      </c>
      <c r="AA329" s="30" t="n">
        <v>1650930840</v>
      </c>
      <c r="AB329" s="30" t="n">
        <v>1871727911.5</v>
      </c>
      <c r="AC329" s="35" t="n">
        <v>0.008456222298346982</v>
      </c>
      <c r="AD329" s="24" t="inlineStr">
        <is>
          <t>yfinance_download</t>
        </is>
      </c>
      <c r="AE329" s="24" t="inlineStr">
        <is>
          <t>102120.KQ</t>
        </is>
      </c>
    </row>
    <row r="330" ht="24" customHeight="1">
      <c r="A330" s="29" t="inlineStr">
        <is>
          <t>2024-10-15</t>
        </is>
      </c>
      <c r="B330" s="31" t="n">
        <v>11180</v>
      </c>
      <c r="C330" s="31" t="n">
        <v>11690</v>
      </c>
      <c r="D330" s="31" t="n">
        <v>10890</v>
      </c>
      <c r="E330" s="31" t="n">
        <v>10970</v>
      </c>
      <c r="F330" s="31" t="n">
        <v>10970</v>
      </c>
      <c r="G330" s="31" t="n">
        <v>282825</v>
      </c>
      <c r="H330" s="36" t="n">
        <v>-0.0009107468123861207</v>
      </c>
      <c r="I330" s="36" t="n">
        <v>-0.515673289183223</v>
      </c>
      <c r="J330" s="31" t="n">
        <v>10977.5</v>
      </c>
      <c r="K330" s="31" t="n">
        <v>12590.33333333333</v>
      </c>
      <c r="L330" s="31" t="n">
        <v>13798.16666666667</v>
      </c>
      <c r="M330" s="36" t="n">
        <v>0.4366054154073364</v>
      </c>
      <c r="N330" s="36" t="n">
        <v>0.7206227031059896</v>
      </c>
      <c r="O330" s="36" t="n">
        <v>0.02141527001862187</v>
      </c>
      <c r="P330" s="36" t="n">
        <v>-0.3543260741612714</v>
      </c>
      <c r="Q330" s="36" t="n">
        <v>-0.3565982404692082</v>
      </c>
      <c r="R330" s="36" t="n">
        <v>-0.0006832156684126733</v>
      </c>
      <c r="S330" s="36" t="n">
        <v>-0.1286966190993091</v>
      </c>
      <c r="T330" s="36" t="n">
        <v>-0.2049668434212274</v>
      </c>
      <c r="U330" s="31" t="n">
        <v>22650</v>
      </c>
      <c r="V330" s="31" t="n">
        <v>7430</v>
      </c>
      <c r="W330" s="36" t="n">
        <v>-0.515673289183223</v>
      </c>
      <c r="X330" s="36" t="n">
        <v>0.4764468371467026</v>
      </c>
      <c r="Y330" s="31" t="n">
        <v>17780753</v>
      </c>
      <c r="Z330" s="31" t="n">
        <v>195054860410</v>
      </c>
      <c r="AA330" s="31" t="n">
        <v>3102590250</v>
      </c>
      <c r="AB330" s="31" t="n">
        <v>1951711255</v>
      </c>
      <c r="AC330" s="36" t="n">
        <v>0.01590624424061231</v>
      </c>
      <c r="AD330" s="29" t="inlineStr">
        <is>
          <t>yfinance_download</t>
        </is>
      </c>
      <c r="AE330" s="29" t="inlineStr">
        <is>
          <t>102120.KQ</t>
        </is>
      </c>
    </row>
    <row r="331" ht="24" customHeight="1">
      <c r="A331" s="24" t="inlineStr">
        <is>
          <t>2024-10-16</t>
        </is>
      </c>
      <c r="B331" s="30" t="n">
        <v>10680</v>
      </c>
      <c r="C331" s="30" t="n">
        <v>10750</v>
      </c>
      <c r="D331" s="30" t="n">
        <v>10500</v>
      </c>
      <c r="E331" s="30" t="n">
        <v>10520</v>
      </c>
      <c r="F331" s="30" t="n">
        <v>10520</v>
      </c>
      <c r="G331" s="30" t="n">
        <v>151381</v>
      </c>
      <c r="H331" s="35" t="n">
        <v>-0.04102096627164997</v>
      </c>
      <c r="I331" s="35" t="n">
        <v>-0.5355408388520971</v>
      </c>
      <c r="J331" s="30" t="n">
        <v>10974.5</v>
      </c>
      <c r="K331" s="30" t="n">
        <v>12475.33333333333</v>
      </c>
      <c r="L331" s="30" t="n">
        <v>13751.5</v>
      </c>
      <c r="M331" s="35" t="n">
        <v>0.4588317273549137</v>
      </c>
      <c r="N331" s="35" t="n">
        <v>0.7210509355850537</v>
      </c>
      <c r="O331" s="35" t="n">
        <v>-0.005671077504725952</v>
      </c>
      <c r="P331" s="35" t="n">
        <v>-0.3960964408725602</v>
      </c>
      <c r="Q331" s="35" t="n">
        <v>-0.347394540942928</v>
      </c>
      <c r="R331" s="35" t="n">
        <v>-0.04141418743450731</v>
      </c>
      <c r="S331" s="35" t="n">
        <v>-0.1567359589590125</v>
      </c>
      <c r="T331" s="35" t="n">
        <v>-0.2349925462676798</v>
      </c>
      <c r="U331" s="30" t="n">
        <v>22650</v>
      </c>
      <c r="V331" s="30" t="n">
        <v>7430</v>
      </c>
      <c r="W331" s="35" t="n">
        <v>-0.5355408388520971</v>
      </c>
      <c r="X331" s="35" t="n">
        <v>0.4158815612382234</v>
      </c>
      <c r="Y331" s="30" t="n">
        <v>17780753</v>
      </c>
      <c r="Z331" s="30" t="n">
        <v>187053521560</v>
      </c>
      <c r="AA331" s="30" t="n">
        <v>1592528120</v>
      </c>
      <c r="AB331" s="30" t="n">
        <v>1971641598</v>
      </c>
      <c r="AC331" s="35" t="n">
        <v>0.008513756419652194</v>
      </c>
      <c r="AD331" s="24" t="inlineStr">
        <is>
          <t>yfinance_download</t>
        </is>
      </c>
      <c r="AE331" s="24" t="inlineStr">
        <is>
          <t>102120.KQ</t>
        </is>
      </c>
    </row>
    <row r="332" ht="24" customHeight="1">
      <c r="A332" s="29" t="inlineStr">
        <is>
          <t>2024-10-17</t>
        </is>
      </c>
      <c r="B332" s="31" t="n">
        <v>10620</v>
      </c>
      <c r="C332" s="31" t="n">
        <v>10690</v>
      </c>
      <c r="D332" s="31" t="n">
        <v>10300</v>
      </c>
      <c r="E332" s="31" t="n">
        <v>10590</v>
      </c>
      <c r="F332" s="31" t="n">
        <v>10590</v>
      </c>
      <c r="G332" s="31" t="n">
        <v>146406</v>
      </c>
      <c r="H332" s="36" t="n">
        <v>0.00665399239543718</v>
      </c>
      <c r="I332" s="36" t="n">
        <v>-0.5324503311258277</v>
      </c>
      <c r="J332" s="31" t="n">
        <v>10978</v>
      </c>
      <c r="K332" s="31" t="n">
        <v>12363.83333333333</v>
      </c>
      <c r="L332" s="31" t="n">
        <v>13701</v>
      </c>
      <c r="M332" s="36" t="n">
        <v>0.4588584176462246</v>
      </c>
      <c r="N332" s="36" t="n">
        <v>0.7216168186718782</v>
      </c>
      <c r="O332" s="36" t="n">
        <v>0.00665399239543718</v>
      </c>
      <c r="P332" s="36" t="n">
        <v>-0.3871527777777778</v>
      </c>
      <c r="Q332" s="36" t="n">
        <v>-0.3639639639639639</v>
      </c>
      <c r="R332" s="36" t="n">
        <v>-0.03534341410092912</v>
      </c>
      <c r="S332" s="36" t="n">
        <v>-0.1434695280589893</v>
      </c>
      <c r="T332" s="36" t="n">
        <v>-0.22706371797679</v>
      </c>
      <c r="U332" s="31" t="n">
        <v>22650</v>
      </c>
      <c r="V332" s="31" t="n">
        <v>7430</v>
      </c>
      <c r="W332" s="36" t="n">
        <v>-0.5324503311258277</v>
      </c>
      <c r="X332" s="36" t="n">
        <v>0.4253028263795424</v>
      </c>
      <c r="Y332" s="31" t="n">
        <v>17780753</v>
      </c>
      <c r="Z332" s="31" t="n">
        <v>188298174270</v>
      </c>
      <c r="AA332" s="31" t="n">
        <v>1550439540</v>
      </c>
      <c r="AB332" s="31" t="n">
        <v>1992963105</v>
      </c>
      <c r="AC332" s="36" t="n">
        <v>0.008233959495416195</v>
      </c>
      <c r="AD332" s="29" t="inlineStr">
        <is>
          <t>yfinance_download</t>
        </is>
      </c>
      <c r="AE332" s="29" t="inlineStr">
        <is>
          <t>102120.KQ</t>
        </is>
      </c>
    </row>
    <row r="333" ht="24" customHeight="1">
      <c r="A333" s="24" t="inlineStr">
        <is>
          <t>2024-10-18</t>
        </is>
      </c>
      <c r="B333" s="30" t="n">
        <v>10590</v>
      </c>
      <c r="C333" s="30" t="n">
        <v>10590</v>
      </c>
      <c r="D333" s="30" t="n">
        <v>9960</v>
      </c>
      <c r="E333" s="30" t="n">
        <v>9970</v>
      </c>
      <c r="F333" s="30" t="n">
        <v>9970</v>
      </c>
      <c r="G333" s="30" t="n">
        <v>238976</v>
      </c>
      <c r="H333" s="35" t="n">
        <v>-0.05854579792256842</v>
      </c>
      <c r="I333" s="35" t="n">
        <v>-0.5598233995584989</v>
      </c>
      <c r="J333" s="30" t="n">
        <v>10918</v>
      </c>
      <c r="K333" s="30" t="n">
        <v>12254.66666666667</v>
      </c>
      <c r="L333" s="30" t="n">
        <v>13642.66666666667</v>
      </c>
      <c r="M333" s="35" t="n">
        <v>0.4450714490546896</v>
      </c>
      <c r="N333" s="35" t="n">
        <v>0.7254057462818211</v>
      </c>
      <c r="O333" s="35" t="n">
        <v>-0.1074306177260519</v>
      </c>
      <c r="P333" s="35" t="n">
        <v>-0.3964891041162227</v>
      </c>
      <c r="Q333" s="35" t="n">
        <v>-0.4124926340601061</v>
      </c>
      <c r="R333" s="35" t="n">
        <v>-0.08682908957684554</v>
      </c>
      <c r="S333" s="35" t="n">
        <v>-0.1864323795016863</v>
      </c>
      <c r="T333" s="35" t="n">
        <v>-0.269204456606724</v>
      </c>
      <c r="U333" s="30" t="n">
        <v>22650</v>
      </c>
      <c r="V333" s="30" t="n">
        <v>7430</v>
      </c>
      <c r="W333" s="35" t="n">
        <v>-0.5598233995584989</v>
      </c>
      <c r="X333" s="35" t="n">
        <v>0.34185733512786</v>
      </c>
      <c r="Y333" s="30" t="n">
        <v>17780753</v>
      </c>
      <c r="Z333" s="30" t="n">
        <v>177274107410</v>
      </c>
      <c r="AA333" s="30" t="n">
        <v>2382590720</v>
      </c>
      <c r="AB333" s="30" t="n">
        <v>1881560037.5</v>
      </c>
      <c r="AC333" s="35" t="n">
        <v>0.01344015070677828</v>
      </c>
      <c r="AD333" s="24" t="inlineStr">
        <is>
          <t>yfinance_download</t>
        </is>
      </c>
      <c r="AE333" s="24" t="inlineStr">
        <is>
          <t>102120.KQ</t>
        </is>
      </c>
    </row>
    <row r="334" ht="24" customHeight="1">
      <c r="A334" s="29" t="inlineStr">
        <is>
          <t>2024-10-21</t>
        </is>
      </c>
      <c r="B334" s="31" t="n">
        <v>9890</v>
      </c>
      <c r="C334" s="31" t="n">
        <v>10270</v>
      </c>
      <c r="D334" s="31" t="n">
        <v>9800</v>
      </c>
      <c r="E334" s="31" t="n">
        <v>10160</v>
      </c>
      <c r="F334" s="31" t="n">
        <v>10160</v>
      </c>
      <c r="G334" s="31" t="n">
        <v>104477</v>
      </c>
      <c r="H334" s="36" t="n">
        <v>0.01905717151454356</v>
      </c>
      <c r="I334" s="36" t="n">
        <v>-0.5514348785871965</v>
      </c>
      <c r="J334" s="31" t="n">
        <v>10876</v>
      </c>
      <c r="K334" s="31" t="n">
        <v>12155.83333333333</v>
      </c>
      <c r="L334" s="31" t="n">
        <v>13593.5</v>
      </c>
      <c r="M334" s="36" t="n">
        <v>0.4515150294244095</v>
      </c>
      <c r="N334" s="36" t="n">
        <v>0.7263224595991934</v>
      </c>
      <c r="O334" s="36" t="n">
        <v>-0.07636363636363641</v>
      </c>
      <c r="P334" s="36" t="n">
        <v>-0.3685518955873213</v>
      </c>
      <c r="Q334" s="36" t="n">
        <v>-0.3673723536737236</v>
      </c>
      <c r="R334" s="36" t="n">
        <v>-0.06583302684810588</v>
      </c>
      <c r="S334" s="36" t="n">
        <v>-0.1641872900527868</v>
      </c>
      <c r="T334" s="36" t="n">
        <v>-0.252583955566999</v>
      </c>
      <c r="U334" s="31" t="n">
        <v>22650</v>
      </c>
      <c r="V334" s="31" t="n">
        <v>7430</v>
      </c>
      <c r="W334" s="36" t="n">
        <v>-0.5514348785871965</v>
      </c>
      <c r="X334" s="36" t="n">
        <v>0.3674293405114402</v>
      </c>
      <c r="Y334" s="31" t="n">
        <v>17780753</v>
      </c>
      <c r="Z334" s="31" t="n">
        <v>180652450480</v>
      </c>
      <c r="AA334" s="31" t="n">
        <v>1061486320</v>
      </c>
      <c r="AB334" s="31" t="n">
        <v>1873639903.5</v>
      </c>
      <c r="AC334" s="36" t="n">
        <v>0.005875847890131537</v>
      </c>
      <c r="AD334" s="29" t="inlineStr">
        <is>
          <t>yfinance_download</t>
        </is>
      </c>
      <c r="AE334" s="29" t="inlineStr">
        <is>
          <t>102120.KQ</t>
        </is>
      </c>
    </row>
    <row r="335" ht="24" customHeight="1">
      <c r="A335" s="24" t="inlineStr">
        <is>
          <t>2024-10-22</t>
        </is>
      </c>
      <c r="B335" s="30" t="n">
        <v>10200</v>
      </c>
      <c r="C335" s="30" t="n">
        <v>10200</v>
      </c>
      <c r="D335" s="30" t="n">
        <v>9800</v>
      </c>
      <c r="E335" s="30" t="n">
        <v>9850</v>
      </c>
      <c r="F335" s="30" t="n">
        <v>9850</v>
      </c>
      <c r="G335" s="30" t="n">
        <v>126391</v>
      </c>
      <c r="H335" s="35" t="n">
        <v>-0.03051181102362199</v>
      </c>
      <c r="I335" s="35" t="n">
        <v>-0.565121412803532</v>
      </c>
      <c r="J335" s="30" t="n">
        <v>10837</v>
      </c>
      <c r="K335" s="30" t="n">
        <v>12057.33333333333</v>
      </c>
      <c r="L335" s="30" t="n">
        <v>13546.5</v>
      </c>
      <c r="M335" s="35" t="n">
        <v>0.448884754206907</v>
      </c>
      <c r="N335" s="35" t="n">
        <v>0.7274310333368067</v>
      </c>
      <c r="O335" s="35" t="n">
        <v>-0.07337723424270937</v>
      </c>
      <c r="P335" s="35" t="n">
        <v>-0.375</v>
      </c>
      <c r="Q335" s="35" t="n">
        <v>-0.3641058747579083</v>
      </c>
      <c r="R335" s="35" t="n">
        <v>-0.0910768662914091</v>
      </c>
      <c r="S335" s="35" t="n">
        <v>-0.1830697777286299</v>
      </c>
      <c r="T335" s="35" t="n">
        <v>-0.2728749123389805</v>
      </c>
      <c r="U335" s="30" t="n">
        <v>22650</v>
      </c>
      <c r="V335" s="30" t="n">
        <v>7430</v>
      </c>
      <c r="W335" s="35" t="n">
        <v>-0.565121412803532</v>
      </c>
      <c r="X335" s="35" t="n">
        <v>0.3257065948855988</v>
      </c>
      <c r="Y335" s="30" t="n">
        <v>17780753</v>
      </c>
      <c r="Z335" s="30" t="n">
        <v>175140417050</v>
      </c>
      <c r="AA335" s="30" t="n">
        <v>1244951350</v>
      </c>
      <c r="AB335" s="30" t="n">
        <v>1865732128.5</v>
      </c>
      <c r="AC335" s="35" t="n">
        <v>0.007108304130876797</v>
      </c>
      <c r="AD335" s="24" t="inlineStr">
        <is>
          <t>yfinance_download</t>
        </is>
      </c>
      <c r="AE335" s="24" t="inlineStr">
        <is>
          <t>102120.KQ</t>
        </is>
      </c>
    </row>
    <row r="336" ht="24" customHeight="1">
      <c r="A336" s="29" t="inlineStr">
        <is>
          <t>2024-10-23</t>
        </is>
      </c>
      <c r="B336" s="31" t="n">
        <v>9850</v>
      </c>
      <c r="C336" s="31" t="n">
        <v>10200</v>
      </c>
      <c r="D336" s="31" t="n">
        <v>9620</v>
      </c>
      <c r="E336" s="31" t="n">
        <v>10070</v>
      </c>
      <c r="F336" s="31" t="n">
        <v>10070</v>
      </c>
      <c r="G336" s="31" t="n">
        <v>136062</v>
      </c>
      <c r="H336" s="36" t="n">
        <v>0.02233502538071064</v>
      </c>
      <c r="I336" s="36" t="n">
        <v>-0.5554083885209713</v>
      </c>
      <c r="J336" s="31" t="n">
        <v>10804</v>
      </c>
      <c r="K336" s="31" t="n">
        <v>11978.66666666667</v>
      </c>
      <c r="L336" s="31" t="n">
        <v>13499.25</v>
      </c>
      <c r="M336" s="36" t="n">
        <v>0.4560731954475379</v>
      </c>
      <c r="N336" s="36" t="n">
        <v>0.720714775017147</v>
      </c>
      <c r="O336" s="36" t="n">
        <v>-0.0615097856477167</v>
      </c>
      <c r="P336" s="36" t="n">
        <v>-0.3191345503718729</v>
      </c>
      <c r="Q336" s="36" t="n">
        <v>-0.3602287166454892</v>
      </c>
      <c r="R336" s="36" t="n">
        <v>-0.06793780081451317</v>
      </c>
      <c r="S336" s="36" t="n">
        <v>-0.1593388245770258</v>
      </c>
      <c r="T336" s="36" t="n">
        <v>-0.2540326314424876</v>
      </c>
      <c r="U336" s="31" t="n">
        <v>22650</v>
      </c>
      <c r="V336" s="31" t="n">
        <v>7430</v>
      </c>
      <c r="W336" s="36" t="n">
        <v>-0.5554083885209713</v>
      </c>
      <c r="X336" s="36" t="n">
        <v>0.3553162853297442</v>
      </c>
      <c r="Y336" s="31" t="n">
        <v>17780753</v>
      </c>
      <c r="Z336" s="31" t="n">
        <v>179052182710</v>
      </c>
      <c r="AA336" s="31" t="n">
        <v>1370144340</v>
      </c>
      <c r="AB336" s="31" t="n">
        <v>1864418699</v>
      </c>
      <c r="AC336" s="36" t="n">
        <v>0.007652206855356464</v>
      </c>
      <c r="AD336" s="29" t="inlineStr">
        <is>
          <t>yfinance_download</t>
        </is>
      </c>
      <c r="AE336" s="29" t="inlineStr">
        <is>
          <t>102120.KQ</t>
        </is>
      </c>
    </row>
    <row r="337" ht="24" customHeight="1">
      <c r="A337" s="24" t="inlineStr">
        <is>
          <t>2024-10-24</t>
        </is>
      </c>
      <c r="B337" s="30" t="n">
        <v>9870</v>
      </c>
      <c r="C337" s="30" t="n">
        <v>9980</v>
      </c>
      <c r="D337" s="30" t="n">
        <v>9680</v>
      </c>
      <c r="E337" s="30" t="n">
        <v>9690</v>
      </c>
      <c r="F337" s="30" t="n">
        <v>9690</v>
      </c>
      <c r="G337" s="30" t="n">
        <v>133969</v>
      </c>
      <c r="H337" s="35" t="n">
        <v>-0.03773584905660377</v>
      </c>
      <c r="I337" s="35" t="n">
        <v>-0.5721854304635762</v>
      </c>
      <c r="J337" s="30" t="n">
        <v>10750.5</v>
      </c>
      <c r="K337" s="30" t="n">
        <v>11894.33333333333</v>
      </c>
      <c r="L337" s="30" t="n">
        <v>13444.41666666667</v>
      </c>
      <c r="M337" s="35" t="n">
        <v>0.471923879578377</v>
      </c>
      <c r="N337" s="35" t="n">
        <v>0.7237382478586176</v>
      </c>
      <c r="O337" s="35" t="n">
        <v>-0.09944237918215615</v>
      </c>
      <c r="P337" s="35" t="n">
        <v>-0.3430508474576272</v>
      </c>
      <c r="Q337" s="35" t="n">
        <v>-0.4044253226797787</v>
      </c>
      <c r="R337" s="35" t="n">
        <v>-0.09864657457792658</v>
      </c>
      <c r="S337" s="35" t="n">
        <v>-0.18532634587899</v>
      </c>
      <c r="T337" s="35" t="n">
        <v>-0.2792547092039446</v>
      </c>
      <c r="U337" s="30" t="n">
        <v>22650</v>
      </c>
      <c r="V337" s="30" t="n">
        <v>7430</v>
      </c>
      <c r="W337" s="35" t="n">
        <v>-0.5721854304635762</v>
      </c>
      <c r="X337" s="35" t="n">
        <v>0.3041722745625841</v>
      </c>
      <c r="Y337" s="30" t="n">
        <v>17780753</v>
      </c>
      <c r="Z337" s="30" t="n">
        <v>172295496570</v>
      </c>
      <c r="AA337" s="30" t="n">
        <v>1298159610</v>
      </c>
      <c r="AB337" s="30" t="n">
        <v>1865111537.5</v>
      </c>
      <c r="AC337" s="35" t="n">
        <v>0.007534495305120093</v>
      </c>
      <c r="AD337" s="24" t="inlineStr">
        <is>
          <t>yfinance_download</t>
        </is>
      </c>
      <c r="AE337" s="24" t="inlineStr">
        <is>
          <t>102120.KQ</t>
        </is>
      </c>
    </row>
    <row r="338" ht="24" customHeight="1">
      <c r="A338" s="29" t="inlineStr">
        <is>
          <t>2024-10-25</t>
        </is>
      </c>
      <c r="B338" s="31" t="n">
        <v>9730</v>
      </c>
      <c r="C338" s="31" t="n">
        <v>9840</v>
      </c>
      <c r="D338" s="31" t="n">
        <v>9530</v>
      </c>
      <c r="E338" s="31" t="n">
        <v>9630</v>
      </c>
      <c r="F338" s="31" t="n">
        <v>9630</v>
      </c>
      <c r="G338" s="31" t="n">
        <v>109084</v>
      </c>
      <c r="H338" s="36" t="n">
        <v>-0.006191950464396245</v>
      </c>
      <c r="I338" s="36" t="n">
        <v>-0.5748344370860927</v>
      </c>
      <c r="J338" s="31" t="n">
        <v>10685</v>
      </c>
      <c r="K338" s="31" t="n">
        <v>11814.83333333333</v>
      </c>
      <c r="L338" s="31" t="n">
        <v>13393.33333333333</v>
      </c>
      <c r="M338" s="36" t="n">
        <v>0.4650171290639531</v>
      </c>
      <c r="N338" s="36" t="n">
        <v>0.7227866687897176</v>
      </c>
      <c r="O338" s="36" t="n">
        <v>-0.1197440585009141</v>
      </c>
      <c r="P338" s="36" t="n">
        <v>-0.33125</v>
      </c>
      <c r="Q338" s="36" t="n">
        <v>-0.3889593908629442</v>
      </c>
      <c r="R338" s="36" t="n">
        <v>-0.09873654656059894</v>
      </c>
      <c r="S338" s="36" t="n">
        <v>-0.1849229076443454</v>
      </c>
      <c r="T338" s="36" t="n">
        <v>-0.2809855649576904</v>
      </c>
      <c r="U338" s="31" t="n">
        <v>22650</v>
      </c>
      <c r="V338" s="31" t="n">
        <v>7430</v>
      </c>
      <c r="W338" s="36" t="n">
        <v>-0.5748344370860927</v>
      </c>
      <c r="X338" s="36" t="n">
        <v>0.2960969044414536</v>
      </c>
      <c r="Y338" s="31" t="n">
        <v>17780753</v>
      </c>
      <c r="Z338" s="31" t="n">
        <v>171228651390</v>
      </c>
      <c r="AA338" s="31" t="n">
        <v>1050478920</v>
      </c>
      <c r="AB338" s="31" t="n">
        <v>1854814174.5</v>
      </c>
      <c r="AC338" s="36" t="n">
        <v>0.006134948278062239</v>
      </c>
      <c r="AD338" s="29" t="inlineStr">
        <is>
          <t>yfinance_download</t>
        </is>
      </c>
      <c r="AE338" s="29" t="inlineStr">
        <is>
          <t>102120.KQ</t>
        </is>
      </c>
    </row>
    <row r="339" ht="24" customHeight="1">
      <c r="A339" s="24" t="inlineStr">
        <is>
          <t>2024-10-28</t>
        </is>
      </c>
      <c r="B339" s="30" t="n">
        <v>9650</v>
      </c>
      <c r="C339" s="30" t="n">
        <v>9950</v>
      </c>
      <c r="D339" s="30" t="n">
        <v>9640</v>
      </c>
      <c r="E339" s="30" t="n">
        <v>9920</v>
      </c>
      <c r="F339" s="30" t="n">
        <v>9920</v>
      </c>
      <c r="G339" s="30" t="n">
        <v>115140</v>
      </c>
      <c r="H339" s="35" t="n">
        <v>0.03011422637590866</v>
      </c>
      <c r="I339" s="35" t="n">
        <v>-0.5620309050772627</v>
      </c>
      <c r="J339" s="30" t="n">
        <v>10634.5</v>
      </c>
      <c r="K339" s="30" t="n">
        <v>11753.66666666667</v>
      </c>
      <c r="L339" s="30" t="n">
        <v>13344.58333333333</v>
      </c>
      <c r="M339" s="35" t="n">
        <v>0.4821981260047059</v>
      </c>
      <c r="N339" s="35" t="n">
        <v>0.7186092039199425</v>
      </c>
      <c r="O339" s="35" t="n">
        <v>-0.09240622140896615</v>
      </c>
      <c r="P339" s="35" t="n">
        <v>-0.2700515084621045</v>
      </c>
      <c r="Q339" s="35" t="n">
        <v>-0.3709575142675967</v>
      </c>
      <c r="R339" s="35" t="n">
        <v>-0.06718698575391413</v>
      </c>
      <c r="S339" s="35" t="n">
        <v>-0.1560080542242137</v>
      </c>
      <c r="T339" s="35" t="n">
        <v>-0.2566272207824648</v>
      </c>
      <c r="U339" s="30" t="n">
        <v>22650</v>
      </c>
      <c r="V339" s="30" t="n">
        <v>7430</v>
      </c>
      <c r="W339" s="35" t="n">
        <v>-0.5620309050772627</v>
      </c>
      <c r="X339" s="35" t="n">
        <v>0.3351278600269179</v>
      </c>
      <c r="Y339" s="30" t="n">
        <v>17780753</v>
      </c>
      <c r="Z339" s="30" t="n">
        <v>176385069760</v>
      </c>
      <c r="AA339" s="30" t="n">
        <v>1142188800</v>
      </c>
      <c r="AB339" s="30" t="n">
        <v>1832084336.5</v>
      </c>
      <c r="AC339" s="35" t="n">
        <v>0.006475541277695044</v>
      </c>
      <c r="AD339" s="24" t="inlineStr">
        <is>
          <t>yfinance_download</t>
        </is>
      </c>
      <c r="AE339" s="24" t="inlineStr">
        <is>
          <t>102120.KQ</t>
        </is>
      </c>
    </row>
    <row r="340" ht="24" customHeight="1">
      <c r="A340" s="29" t="inlineStr">
        <is>
          <t>2024-10-29</t>
        </is>
      </c>
      <c r="B340" s="31" t="n">
        <v>9830</v>
      </c>
      <c r="C340" s="31" t="n">
        <v>9910</v>
      </c>
      <c r="D340" s="31" t="n">
        <v>9600</v>
      </c>
      <c r="E340" s="31" t="n">
        <v>9860</v>
      </c>
      <c r="F340" s="31" t="n">
        <v>9860</v>
      </c>
      <c r="G340" s="31" t="n">
        <v>109625</v>
      </c>
      <c r="H340" s="36" t="n">
        <v>-0.006048387096774244</v>
      </c>
      <c r="I340" s="36" t="n">
        <v>-0.5646799116997793</v>
      </c>
      <c r="J340" s="31" t="n">
        <v>10547.5</v>
      </c>
      <c r="K340" s="31" t="n">
        <v>11681.16666666667</v>
      </c>
      <c r="L340" s="31" t="n">
        <v>13295.41666666667</v>
      </c>
      <c r="M340" s="36" t="n">
        <v>0.4150905438223335</v>
      </c>
      <c r="N340" s="36" t="n">
        <v>0.7110750566680437</v>
      </c>
      <c r="O340" s="36" t="n">
        <v>-0.15</v>
      </c>
      <c r="P340" s="36" t="n">
        <v>-0.3061224489795918</v>
      </c>
      <c r="Q340" s="36" t="n">
        <v>-0.3743654822335025</v>
      </c>
      <c r="R340" s="36" t="n">
        <v>-0.06518132258829101</v>
      </c>
      <c r="S340" s="36" t="n">
        <v>-0.1559062308274002</v>
      </c>
      <c r="T340" s="36" t="n">
        <v>-0.2583910495471496</v>
      </c>
      <c r="U340" s="31" t="n">
        <v>22650</v>
      </c>
      <c r="V340" s="31" t="n">
        <v>7430</v>
      </c>
      <c r="W340" s="36" t="n">
        <v>-0.5646799116997793</v>
      </c>
      <c r="X340" s="36" t="n">
        <v>0.3270524899057874</v>
      </c>
      <c r="Y340" s="31" t="n">
        <v>17780753</v>
      </c>
      <c r="Z340" s="31" t="n">
        <v>175318224580</v>
      </c>
      <c r="AA340" s="31" t="n">
        <v>1080902500</v>
      </c>
      <c r="AB340" s="31" t="n">
        <v>1615003241.5</v>
      </c>
      <c r="AC340" s="36" t="n">
        <v>0.006165374436054536</v>
      </c>
      <c r="AD340" s="29" t="inlineStr">
        <is>
          <t>yfinance_download</t>
        </is>
      </c>
      <c r="AE340" s="29" t="inlineStr">
        <is>
          <t>102120.KQ</t>
        </is>
      </c>
    </row>
    <row r="341" ht="24" customHeight="1">
      <c r="A341" s="24" t="inlineStr">
        <is>
          <t>2024-10-30</t>
        </is>
      </c>
      <c r="B341" s="30" t="n">
        <v>9940</v>
      </c>
      <c r="C341" s="30" t="n">
        <v>10100</v>
      </c>
      <c r="D341" s="30" t="n">
        <v>9720</v>
      </c>
      <c r="E341" s="30" t="n">
        <v>9740</v>
      </c>
      <c r="F341" s="30" t="n">
        <v>9740</v>
      </c>
      <c r="G341" s="30" t="n">
        <v>68766</v>
      </c>
      <c r="H341" s="35" t="n">
        <v>-0.0121703853955375</v>
      </c>
      <c r="I341" s="35" t="n">
        <v>-0.5699779249448124</v>
      </c>
      <c r="J341" s="30" t="n">
        <v>10453.5</v>
      </c>
      <c r="K341" s="30" t="n">
        <v>11603.5</v>
      </c>
      <c r="L341" s="30" t="n">
        <v>13246</v>
      </c>
      <c r="M341" s="35" t="n">
        <v>0.4138062300537361</v>
      </c>
      <c r="N341" s="35" t="n">
        <v>0.7101753557254736</v>
      </c>
      <c r="O341" s="35" t="n">
        <v>-0.1617900172117039</v>
      </c>
      <c r="P341" s="35" t="n">
        <v>-0.3236111111111111</v>
      </c>
      <c r="Q341" s="35" t="n">
        <v>-0.3784301212507977</v>
      </c>
      <c r="R341" s="35" t="n">
        <v>-0.06825465155211174</v>
      </c>
      <c r="S341" s="35" t="n">
        <v>-0.1605980954022493</v>
      </c>
      <c r="T341" s="35" t="n">
        <v>-0.2646836780914993</v>
      </c>
      <c r="U341" s="30" t="n">
        <v>22650</v>
      </c>
      <c r="V341" s="30" t="n">
        <v>7430</v>
      </c>
      <c r="W341" s="35" t="n">
        <v>-0.5699779249448124</v>
      </c>
      <c r="X341" s="35" t="n">
        <v>0.3109017496635262</v>
      </c>
      <c r="Y341" s="30" t="n">
        <v>17780753</v>
      </c>
      <c r="Z341" s="30" t="n">
        <v>173184534220</v>
      </c>
      <c r="AA341" s="30" t="n">
        <v>669780840</v>
      </c>
      <c r="AB341" s="30" t="n">
        <v>1494285587.5</v>
      </c>
      <c r="AC341" s="35" t="n">
        <v>0.003867440259701037</v>
      </c>
      <c r="AD341" s="24" t="inlineStr">
        <is>
          <t>yfinance_download</t>
        </is>
      </c>
      <c r="AE341" s="24" t="inlineStr">
        <is>
          <t>102120.KQ</t>
        </is>
      </c>
    </row>
    <row r="342" ht="24" customHeight="1">
      <c r="A342" s="29" t="inlineStr">
        <is>
          <t>2024-10-31</t>
        </is>
      </c>
      <c r="B342" s="31" t="n">
        <v>9670</v>
      </c>
      <c r="C342" s="31" t="n">
        <v>10070</v>
      </c>
      <c r="D342" s="31" t="n">
        <v>9490</v>
      </c>
      <c r="E342" s="31" t="n">
        <v>9810</v>
      </c>
      <c r="F342" s="31" t="n">
        <v>9810</v>
      </c>
      <c r="G342" s="31" t="n">
        <v>153560</v>
      </c>
      <c r="H342" s="36" t="n">
        <v>0.007186858316221789</v>
      </c>
      <c r="I342" s="36" t="n">
        <v>-0.566887417218543</v>
      </c>
      <c r="J342" s="31" t="n">
        <v>10388</v>
      </c>
      <c r="K342" s="31" t="n">
        <v>11534.16666666667</v>
      </c>
      <c r="L342" s="31" t="n">
        <v>13198.75</v>
      </c>
      <c r="M342" s="36" t="n">
        <v>0.3961805396089249</v>
      </c>
      <c r="N342" s="36" t="n">
        <v>0.7087986698872186</v>
      </c>
      <c r="O342" s="36" t="n">
        <v>-0.1178057553956835</v>
      </c>
      <c r="P342" s="36" t="n">
        <v>-0.2977809591982821</v>
      </c>
      <c r="Q342" s="36" t="n">
        <v>-0.3662790697674418</v>
      </c>
      <c r="R342" s="36" t="n">
        <v>-0.05564112437427804</v>
      </c>
      <c r="S342" s="36" t="n">
        <v>-0.1494834188281193</v>
      </c>
      <c r="T342" s="36" t="n">
        <v>-0.25674779808694</v>
      </c>
      <c r="U342" s="31" t="n">
        <v>22650</v>
      </c>
      <c r="V342" s="31" t="n">
        <v>7430</v>
      </c>
      <c r="W342" s="36" t="n">
        <v>-0.566887417218543</v>
      </c>
      <c r="X342" s="36" t="n">
        <v>0.3203230148048453</v>
      </c>
      <c r="Y342" s="31" t="n">
        <v>17780753</v>
      </c>
      <c r="Z342" s="31" t="n">
        <v>174429186930</v>
      </c>
      <c r="AA342" s="31" t="n">
        <v>1506423600</v>
      </c>
      <c r="AB342" s="31" t="n">
        <v>1479721583.5</v>
      </c>
      <c r="AC342" s="36" t="n">
        <v>0.008636304660438172</v>
      </c>
      <c r="AD342" s="29" t="inlineStr">
        <is>
          <t>yfinance_download</t>
        </is>
      </c>
      <c r="AE342" s="29" t="inlineStr">
        <is>
          <t>102120.KQ</t>
        </is>
      </c>
    </row>
    <row r="343" ht="24" customHeight="1">
      <c r="A343" s="24" t="inlineStr">
        <is>
          <t>2024-11-01</t>
        </is>
      </c>
      <c r="B343" s="30" t="n">
        <v>9700</v>
      </c>
      <c r="C343" s="30" t="n">
        <v>9700</v>
      </c>
      <c r="D343" s="30" t="n">
        <v>9370</v>
      </c>
      <c r="E343" s="30" t="n">
        <v>9370</v>
      </c>
      <c r="F343" s="30" t="n">
        <v>9370</v>
      </c>
      <c r="G343" s="30" t="n">
        <v>108554</v>
      </c>
      <c r="H343" s="35" t="n">
        <v>-0.04485219164118248</v>
      </c>
      <c r="I343" s="35" t="n">
        <v>-0.5863134657836644</v>
      </c>
      <c r="J343" s="30" t="n">
        <v>10313</v>
      </c>
      <c r="K343" s="30" t="n">
        <v>11450.33333333333</v>
      </c>
      <c r="L343" s="30" t="n">
        <v>13148.41666666667</v>
      </c>
      <c r="M343" s="35" t="n">
        <v>0.4160235657719553</v>
      </c>
      <c r="N343" s="35" t="n">
        <v>0.7095046899139322</v>
      </c>
      <c r="O343" s="35" t="n">
        <v>-0.1379944802207912</v>
      </c>
      <c r="P343" s="35" t="n">
        <v>-0.3493055555555555</v>
      </c>
      <c r="Q343" s="35" t="n">
        <v>-0.3919532770927969</v>
      </c>
      <c r="R343" s="35" t="n">
        <v>-0.09143799088529037</v>
      </c>
      <c r="S343" s="35" t="n">
        <v>-0.1816832115513377</v>
      </c>
      <c r="T343" s="35" t="n">
        <v>-0.2873666664554033</v>
      </c>
      <c r="U343" s="30" t="n">
        <v>22650</v>
      </c>
      <c r="V343" s="30" t="n">
        <v>7430</v>
      </c>
      <c r="W343" s="35" t="n">
        <v>-0.5863134657836644</v>
      </c>
      <c r="X343" s="35" t="n">
        <v>0.2611036339165544</v>
      </c>
      <c r="Y343" s="30" t="n">
        <v>17780753</v>
      </c>
      <c r="Z343" s="30" t="n">
        <v>166605655610</v>
      </c>
      <c r="AA343" s="30" t="n">
        <v>1017150980</v>
      </c>
      <c r="AB343" s="30" t="n">
        <v>1455595698.5</v>
      </c>
      <c r="AC343" s="35" t="n">
        <v>0.00610514076653559</v>
      </c>
      <c r="AD343" s="24" t="inlineStr">
        <is>
          <t>yfinance_download</t>
        </is>
      </c>
      <c r="AE343" s="24" t="inlineStr">
        <is>
          <t>102120.KQ</t>
        </is>
      </c>
    </row>
    <row r="344" ht="24" customHeight="1">
      <c r="A344" s="29" t="inlineStr">
        <is>
          <t>2024-11-04</t>
        </is>
      </c>
      <c r="B344" s="31" t="n">
        <v>9480</v>
      </c>
      <c r="C344" s="31" t="n">
        <v>9870</v>
      </c>
      <c r="D344" s="31" t="n">
        <v>9460</v>
      </c>
      <c r="E344" s="31" t="n">
        <v>9770</v>
      </c>
      <c r="F344" s="31" t="n">
        <v>9770</v>
      </c>
      <c r="G344" s="31" t="n">
        <v>123413</v>
      </c>
      <c r="H344" s="36" t="n">
        <v>0.04268943436499462</v>
      </c>
      <c r="I344" s="36" t="n">
        <v>-0.5686534216335541</v>
      </c>
      <c r="J344" s="31" t="n">
        <v>10249.5</v>
      </c>
      <c r="K344" s="31" t="n">
        <v>11377.83333333333</v>
      </c>
      <c r="L344" s="31" t="n">
        <v>13100.16666666667</v>
      </c>
      <c r="M344" s="36" t="n">
        <v>0.4456315421338867</v>
      </c>
      <c r="N344" s="36" t="n">
        <v>0.7159171365511366</v>
      </c>
      <c r="O344" s="36" t="n">
        <v>-0.115036231884058</v>
      </c>
      <c r="P344" s="36" t="n">
        <v>-0.3080736543909348</v>
      </c>
      <c r="Q344" s="36" t="n">
        <v>-0.372107969151671</v>
      </c>
      <c r="R344" s="36" t="n">
        <v>-0.04678276989121422</v>
      </c>
      <c r="S344" s="36" t="n">
        <v>-0.1413127865586594</v>
      </c>
      <c r="T344" s="36" t="n">
        <v>-0.2542079617307668</v>
      </c>
      <c r="U344" s="31" t="n">
        <v>22650</v>
      </c>
      <c r="V344" s="31" t="n">
        <v>7430</v>
      </c>
      <c r="W344" s="36" t="n">
        <v>-0.5686534216335541</v>
      </c>
      <c r="X344" s="36" t="n">
        <v>0.3149394347240915</v>
      </c>
      <c r="Y344" s="31" t="n">
        <v>17780753</v>
      </c>
      <c r="Z344" s="31" t="n">
        <v>173717956810</v>
      </c>
      <c r="AA344" s="31" t="n">
        <v>1205745010</v>
      </c>
      <c r="AB344" s="31" t="n">
        <v>1441132213</v>
      </c>
      <c r="AC344" s="36" t="n">
        <v>0.006940819660449701</v>
      </c>
      <c r="AD344" s="29" t="inlineStr">
        <is>
          <t>yfinance_download</t>
        </is>
      </c>
      <c r="AE344" s="29" t="inlineStr">
        <is>
          <t>102120.KQ</t>
        </is>
      </c>
    </row>
    <row r="345" ht="24" customHeight="1">
      <c r="A345" s="24" t="inlineStr">
        <is>
          <t>2024-11-05</t>
        </is>
      </c>
      <c r="B345" s="30" t="n">
        <v>9760</v>
      </c>
      <c r="C345" s="30" t="n">
        <v>10200</v>
      </c>
      <c r="D345" s="30" t="n">
        <v>9700</v>
      </c>
      <c r="E345" s="30" t="n">
        <v>9920</v>
      </c>
      <c r="F345" s="30" t="n">
        <v>9920</v>
      </c>
      <c r="G345" s="30" t="n">
        <v>179800</v>
      </c>
      <c r="H345" s="35" t="n">
        <v>0.01535312180143289</v>
      </c>
      <c r="I345" s="35" t="n">
        <v>-0.5620309050772627</v>
      </c>
      <c r="J345" s="30" t="n">
        <v>10177.5</v>
      </c>
      <c r="K345" s="30" t="n">
        <v>11322.83333333333</v>
      </c>
      <c r="L345" s="30" t="n">
        <v>13054.16666666667</v>
      </c>
      <c r="M345" s="35" t="n">
        <v>0.4340289543248059</v>
      </c>
      <c r="N345" s="35" t="n">
        <v>0.7065260220227266</v>
      </c>
      <c r="O345" s="35" t="n">
        <v>-0.1267605633802817</v>
      </c>
      <c r="P345" s="35" t="n">
        <v>-0.2496217851739788</v>
      </c>
      <c r="Q345" s="35" t="n">
        <v>-0.3575129533678757</v>
      </c>
      <c r="R345" s="35" t="n">
        <v>-0.02530090886760006</v>
      </c>
      <c r="S345" s="35" t="n">
        <v>-0.1238941960934395</v>
      </c>
      <c r="T345" s="35" t="n">
        <v>-0.2400893712097031</v>
      </c>
      <c r="U345" s="30" t="n">
        <v>22650</v>
      </c>
      <c r="V345" s="30" t="n">
        <v>7430</v>
      </c>
      <c r="W345" s="35" t="n">
        <v>-0.5620309050772627</v>
      </c>
      <c r="X345" s="35" t="n">
        <v>0.3351278600269179</v>
      </c>
      <c r="Y345" s="30" t="n">
        <v>17780753</v>
      </c>
      <c r="Z345" s="30" t="n">
        <v>176385069760</v>
      </c>
      <c r="AA345" s="30" t="n">
        <v>1783616000</v>
      </c>
      <c r="AB345" s="30" t="n">
        <v>1448478413</v>
      </c>
      <c r="AC345" s="35" t="n">
        <v>0.01011205768394623</v>
      </c>
      <c r="AD345" s="24" t="inlineStr">
        <is>
          <t>yfinance_download</t>
        </is>
      </c>
      <c r="AE345" s="24" t="inlineStr">
        <is>
          <t>102120.KQ</t>
        </is>
      </c>
    </row>
    <row r="346" ht="24" customHeight="1">
      <c r="A346" s="29" t="inlineStr">
        <is>
          <t>2024-11-06</t>
        </is>
      </c>
      <c r="B346" s="31" t="n">
        <v>9990</v>
      </c>
      <c r="C346" s="31" t="n">
        <v>10190</v>
      </c>
      <c r="D346" s="31" t="n">
        <v>9660</v>
      </c>
      <c r="E346" s="31" t="n">
        <v>9690</v>
      </c>
      <c r="F346" s="31" t="n">
        <v>9690</v>
      </c>
      <c r="G346" s="31" t="n">
        <v>117005</v>
      </c>
      <c r="H346" s="36" t="n">
        <v>-0.02318548387096775</v>
      </c>
      <c r="I346" s="36" t="n">
        <v>-0.5721854304635762</v>
      </c>
      <c r="J346" s="31" t="n">
        <v>10107.5</v>
      </c>
      <c r="K346" s="31" t="n">
        <v>11309.66666666667</v>
      </c>
      <c r="L346" s="31" t="n">
        <v>13010.16666666667</v>
      </c>
      <c r="M346" s="36" t="n">
        <v>0.4337247436662925</v>
      </c>
      <c r="N346" s="36" t="n">
        <v>0.5670099572683182</v>
      </c>
      <c r="O346" s="36" t="n">
        <v>-0.1262398557258791</v>
      </c>
      <c r="P346" s="36" t="n">
        <v>-0.07538167938931295</v>
      </c>
      <c r="Q346" s="36" t="n">
        <v>-0.3527054108216433</v>
      </c>
      <c r="R346" s="36" t="n">
        <v>-0.04130596092010885</v>
      </c>
      <c r="S346" s="36" t="n">
        <v>-0.1432108226001355</v>
      </c>
      <c r="T346" s="36" t="n">
        <v>-0.2551978580853435</v>
      </c>
      <c r="U346" s="31" t="n">
        <v>22650</v>
      </c>
      <c r="V346" s="31" t="n">
        <v>7430</v>
      </c>
      <c r="W346" s="36" t="n">
        <v>-0.5721854304635762</v>
      </c>
      <c r="X346" s="36" t="n">
        <v>0.3041722745625841</v>
      </c>
      <c r="Y346" s="31" t="n">
        <v>17780753</v>
      </c>
      <c r="Z346" s="31" t="n">
        <v>172295496570</v>
      </c>
      <c r="AA346" s="31" t="n">
        <v>1133778450</v>
      </c>
      <c r="AB346" s="31" t="n">
        <v>1447309142</v>
      </c>
      <c r="AC346" s="36" t="n">
        <v>0.006580429973916177</v>
      </c>
      <c r="AD346" s="29" t="inlineStr">
        <is>
          <t>yfinance_download</t>
        </is>
      </c>
      <c r="AE346" s="29" t="inlineStr">
        <is>
          <t>102120.KQ</t>
        </is>
      </c>
    </row>
    <row r="347" ht="24" customHeight="1">
      <c r="A347" s="24" t="inlineStr">
        <is>
          <t>2024-11-07</t>
        </is>
      </c>
      <c r="B347" s="30" t="n">
        <v>9600</v>
      </c>
      <c r="C347" s="30" t="n">
        <v>9800</v>
      </c>
      <c r="D347" s="30" t="n">
        <v>9440</v>
      </c>
      <c r="E347" s="30" t="n">
        <v>9490</v>
      </c>
      <c r="F347" s="30" t="n">
        <v>9490</v>
      </c>
      <c r="G347" s="30" t="n">
        <v>126810</v>
      </c>
      <c r="H347" s="35" t="n">
        <v>-0.02063983488132093</v>
      </c>
      <c r="I347" s="35" t="n">
        <v>-0.5810154525386313</v>
      </c>
      <c r="J347" s="30" t="n">
        <v>10041.5</v>
      </c>
      <c r="K347" s="30" t="n">
        <v>11274.5</v>
      </c>
      <c r="L347" s="30" t="n">
        <v>12970.58333333333</v>
      </c>
      <c r="M347" s="35" t="n">
        <v>0.4313660953822745</v>
      </c>
      <c r="N347" s="35" t="n">
        <v>0.5221336160213657</v>
      </c>
      <c r="O347" s="35" t="n">
        <v>-0.122109158186864</v>
      </c>
      <c r="P347" s="35" t="n">
        <v>-0.1818965517241379</v>
      </c>
      <c r="Q347" s="35" t="n">
        <v>-0.3335674157303371</v>
      </c>
      <c r="R347" s="35" t="n">
        <v>-0.054922073395409</v>
      </c>
      <c r="S347" s="35" t="n">
        <v>-0.1582775289369817</v>
      </c>
      <c r="T347" s="35" t="n">
        <v>-0.2683443946879799</v>
      </c>
      <c r="U347" s="30" t="n">
        <v>22650</v>
      </c>
      <c r="V347" s="30" t="n">
        <v>7430</v>
      </c>
      <c r="W347" s="35" t="n">
        <v>-0.5810154525386313</v>
      </c>
      <c r="X347" s="35" t="n">
        <v>0.2772543741588156</v>
      </c>
      <c r="Y347" s="30" t="n">
        <v>17780753</v>
      </c>
      <c r="Z347" s="30" t="n">
        <v>168739345970</v>
      </c>
      <c r="AA347" s="30" t="n">
        <v>1203426900</v>
      </c>
      <c r="AB347" s="30" t="n">
        <v>1429915494</v>
      </c>
      <c r="AC347" s="35" t="n">
        <v>0.007131868937159186</v>
      </c>
      <c r="AD347" s="24" t="inlineStr">
        <is>
          <t>yfinance_download</t>
        </is>
      </c>
      <c r="AE347" s="24" t="inlineStr">
        <is>
          <t>102120.KQ</t>
        </is>
      </c>
    </row>
    <row r="348" ht="24" customHeight="1">
      <c r="A348" s="29" t="inlineStr">
        <is>
          <t>2024-11-08</t>
        </is>
      </c>
      <c r="B348" s="31" t="n">
        <v>9600</v>
      </c>
      <c r="C348" s="31" t="n">
        <v>9900</v>
      </c>
      <c r="D348" s="31" t="n">
        <v>9510</v>
      </c>
      <c r="E348" s="31" t="n">
        <v>9550</v>
      </c>
      <c r="F348" s="31" t="n">
        <v>9550</v>
      </c>
      <c r="G348" s="31" t="n">
        <v>70067</v>
      </c>
      <c r="H348" s="36" t="n">
        <v>0.006322444678608985</v>
      </c>
      <c r="I348" s="36" t="n">
        <v>-0.5783664459161149</v>
      </c>
      <c r="J348" s="31" t="n">
        <v>9977.5</v>
      </c>
      <c r="K348" s="31" t="n">
        <v>11236.16666666667</v>
      </c>
      <c r="L348" s="31" t="n">
        <v>12934.08333333333</v>
      </c>
      <c r="M348" s="36" t="n">
        <v>0.4327541695873336</v>
      </c>
      <c r="N348" s="36" t="n">
        <v>0.5200259871191439</v>
      </c>
      <c r="O348" s="36" t="n">
        <v>-0.1181902123730378</v>
      </c>
      <c r="P348" s="36" t="n">
        <v>-0.1940928270042194</v>
      </c>
      <c r="Q348" s="36" t="n">
        <v>-0.3144292893036612</v>
      </c>
      <c r="R348" s="36" t="n">
        <v>-0.04284640440992238</v>
      </c>
      <c r="S348" s="36" t="n">
        <v>-0.1500660070901998</v>
      </c>
      <c r="T348" s="36" t="n">
        <v>-0.2616407553685676</v>
      </c>
      <c r="U348" s="31" t="n">
        <v>22650</v>
      </c>
      <c r="V348" s="31" t="n">
        <v>7430</v>
      </c>
      <c r="W348" s="36" t="n">
        <v>-0.5783664459161149</v>
      </c>
      <c r="X348" s="36" t="n">
        <v>0.2853297442799461</v>
      </c>
      <c r="Y348" s="31" t="n">
        <v>17780753</v>
      </c>
      <c r="Z348" s="31" t="n">
        <v>169806191150</v>
      </c>
      <c r="AA348" s="31" t="n">
        <v>669139850</v>
      </c>
      <c r="AB348" s="31" t="n">
        <v>1385822647</v>
      </c>
      <c r="AC348" s="36" t="n">
        <v>0.003940609264410793</v>
      </c>
      <c r="AD348" s="29" t="inlineStr">
        <is>
          <t>yfinance_download</t>
        </is>
      </c>
      <c r="AE348" s="29" t="inlineStr">
        <is>
          <t>102120.KQ</t>
        </is>
      </c>
    </row>
    <row r="349" ht="24" customHeight="1">
      <c r="A349" s="24" t="inlineStr">
        <is>
          <t>2024-11-11</t>
        </is>
      </c>
      <c r="B349" s="30" t="n">
        <v>9460</v>
      </c>
      <c r="C349" s="30" t="n">
        <v>9550</v>
      </c>
      <c r="D349" s="30" t="n">
        <v>8930</v>
      </c>
      <c r="E349" s="30" t="n">
        <v>8960</v>
      </c>
      <c r="F349" s="30" t="n">
        <v>8960</v>
      </c>
      <c r="G349" s="30" t="n">
        <v>183188</v>
      </c>
      <c r="H349" s="35" t="n">
        <v>-0.06178010471204187</v>
      </c>
      <c r="I349" s="35" t="n">
        <v>-0.6044150110375276</v>
      </c>
      <c r="J349" s="30" t="n">
        <v>9876.5</v>
      </c>
      <c r="K349" s="30" t="n">
        <v>11194.83333333333</v>
      </c>
      <c r="L349" s="30" t="n">
        <v>12893</v>
      </c>
      <c r="M349" s="35" t="n">
        <v>0.4687210785870177</v>
      </c>
      <c r="N349" s="35" t="n">
        <v>0.5299527409528637</v>
      </c>
      <c r="O349" s="35" t="n">
        <v>-0.1839708561020036</v>
      </c>
      <c r="P349" s="35" t="n">
        <v>-0.2167832167832168</v>
      </c>
      <c r="Q349" s="35" t="n">
        <v>-0.3549316054715623</v>
      </c>
      <c r="R349" s="35" t="n">
        <v>-0.09279603098263556</v>
      </c>
      <c r="S349" s="35" t="n">
        <v>-0.1996307820571991</v>
      </c>
      <c r="T349" s="35" t="n">
        <v>-0.3050492515318389</v>
      </c>
      <c r="U349" s="30" t="n">
        <v>22650</v>
      </c>
      <c r="V349" s="30" t="n">
        <v>7430</v>
      </c>
      <c r="W349" s="35" t="n">
        <v>-0.6044150110375276</v>
      </c>
      <c r="X349" s="35" t="n">
        <v>0.2059219380888291</v>
      </c>
      <c r="Y349" s="30" t="n">
        <v>17780753</v>
      </c>
      <c r="Z349" s="30" t="n">
        <v>159315546880</v>
      </c>
      <c r="AA349" s="30" t="n">
        <v>1641364480</v>
      </c>
      <c r="AB349" s="30" t="n">
        <v>1385344329</v>
      </c>
      <c r="AC349" s="35" t="n">
        <v>0.01030260079536564</v>
      </c>
      <c r="AD349" s="24" t="inlineStr">
        <is>
          <t>yfinance_download</t>
        </is>
      </c>
      <c r="AE349" s="24" t="inlineStr">
        <is>
          <t>102120.KQ</t>
        </is>
      </c>
    </row>
    <row r="350" ht="24" customHeight="1">
      <c r="A350" s="29" t="inlineStr">
        <is>
          <t>2024-11-12</t>
        </is>
      </c>
      <c r="B350" s="31" t="n">
        <v>8900</v>
      </c>
      <c r="C350" s="31" t="n">
        <v>8990</v>
      </c>
      <c r="D350" s="31" t="n">
        <v>8560</v>
      </c>
      <c r="E350" s="31" t="n">
        <v>8600</v>
      </c>
      <c r="F350" s="31" t="n">
        <v>8600</v>
      </c>
      <c r="G350" s="31" t="n">
        <v>164868</v>
      </c>
      <c r="H350" s="36" t="n">
        <v>-0.0401785714285714</v>
      </c>
      <c r="I350" s="36" t="n">
        <v>-0.620309050772627</v>
      </c>
      <c r="J350" s="31" t="n">
        <v>9758</v>
      </c>
      <c r="K350" s="31" t="n">
        <v>11142.66666666667</v>
      </c>
      <c r="L350" s="31" t="n">
        <v>12844.91666666667</v>
      </c>
      <c r="M350" s="36" t="n">
        <v>0.4795614671235903</v>
      </c>
      <c r="N350" s="36" t="n">
        <v>0.5317146798829052</v>
      </c>
      <c r="O350" s="36" t="n">
        <v>-0.2160437556973565</v>
      </c>
      <c r="P350" s="36" t="n">
        <v>-0.2668371696504689</v>
      </c>
      <c r="Q350" s="36" t="n">
        <v>-0.4015309672929714</v>
      </c>
      <c r="R350" s="36" t="n">
        <v>-0.1186718589874974</v>
      </c>
      <c r="S350" s="36" t="n">
        <v>-0.2281919349048701</v>
      </c>
      <c r="T350" s="36" t="n">
        <v>-0.3304744418998437</v>
      </c>
      <c r="U350" s="31" t="n">
        <v>22650</v>
      </c>
      <c r="V350" s="31" t="n">
        <v>7430</v>
      </c>
      <c r="W350" s="36" t="n">
        <v>-0.620309050772627</v>
      </c>
      <c r="X350" s="36" t="n">
        <v>0.1574697173620458</v>
      </c>
      <c r="Y350" s="31" t="n">
        <v>17780753</v>
      </c>
      <c r="Z350" s="31" t="n">
        <v>152914475800</v>
      </c>
      <c r="AA350" s="31" t="n">
        <v>1417864800</v>
      </c>
      <c r="AB350" s="31" t="n">
        <v>1301108056.5</v>
      </c>
      <c r="AC350" s="36" t="n">
        <v>0.009272273227123734</v>
      </c>
      <c r="AD350" s="29" t="inlineStr">
        <is>
          <t>yfinance_download</t>
        </is>
      </c>
      <c r="AE350" s="29" t="inlineStr">
        <is>
          <t>102120.KQ</t>
        </is>
      </c>
    </row>
    <row r="351" ht="24" customHeight="1">
      <c r="A351" s="24" t="inlineStr">
        <is>
          <t>2024-11-13</t>
        </is>
      </c>
      <c r="B351" s="30" t="n">
        <v>8520</v>
      </c>
      <c r="C351" s="30" t="n">
        <v>8650</v>
      </c>
      <c r="D351" s="30" t="n">
        <v>8310</v>
      </c>
      <c r="E351" s="30" t="n">
        <v>8360</v>
      </c>
      <c r="F351" s="30" t="n">
        <v>8360</v>
      </c>
      <c r="G351" s="30" t="n">
        <v>170357</v>
      </c>
      <c r="H351" s="35" t="n">
        <v>-0.02790697674418607</v>
      </c>
      <c r="I351" s="35" t="n">
        <v>-0.6309050772626932</v>
      </c>
      <c r="J351" s="30" t="n">
        <v>9650</v>
      </c>
      <c r="K351" s="30" t="n">
        <v>11060.16666666667</v>
      </c>
      <c r="L351" s="30" t="n">
        <v>12798</v>
      </c>
      <c r="M351" s="35" t="n">
        <v>0.4710961097041965</v>
      </c>
      <c r="N351" s="35" t="n">
        <v>0.4474989852629761</v>
      </c>
      <c r="O351" s="35" t="n">
        <v>-0.2053231939163498</v>
      </c>
      <c r="P351" s="35" t="n">
        <v>-0.371900826446281</v>
      </c>
      <c r="Q351" s="35" t="n">
        <v>-0.4024303073624017</v>
      </c>
      <c r="R351" s="35" t="n">
        <v>-0.1336787564766839</v>
      </c>
      <c r="S351" s="35" t="n">
        <v>-0.2441343560223624</v>
      </c>
      <c r="T351" s="35" t="n">
        <v>-0.3467729332708236</v>
      </c>
      <c r="U351" s="30" t="n">
        <v>22650</v>
      </c>
      <c r="V351" s="30" t="n">
        <v>7740</v>
      </c>
      <c r="W351" s="35" t="n">
        <v>-0.6309050772626932</v>
      </c>
      <c r="X351" s="35" t="n">
        <v>0.08010335917312661</v>
      </c>
      <c r="Y351" s="30" t="n">
        <v>17780753</v>
      </c>
      <c r="Z351" s="30" t="n">
        <v>148647095080</v>
      </c>
      <c r="AA351" s="30" t="n">
        <v>1424184520</v>
      </c>
      <c r="AB351" s="30" t="n">
        <v>1292690876.5</v>
      </c>
      <c r="AC351" s="35" t="n">
        <v>0.009580977813481802</v>
      </c>
      <c r="AD351" s="24" t="inlineStr">
        <is>
          <t>yfinance_download</t>
        </is>
      </c>
      <c r="AE351" s="24" t="inlineStr">
        <is>
          <t>102120.KQ</t>
        </is>
      </c>
    </row>
    <row r="352" ht="24" customHeight="1">
      <c r="A352" s="29" t="inlineStr">
        <is>
          <t>2024-11-14</t>
        </is>
      </c>
      <c r="B352" s="31" t="n">
        <v>8360</v>
      </c>
      <c r="C352" s="31" t="n">
        <v>8530</v>
      </c>
      <c r="D352" s="31" t="n">
        <v>8060</v>
      </c>
      <c r="E352" s="31" t="n">
        <v>8070</v>
      </c>
      <c r="F352" s="31" t="n">
        <v>8070</v>
      </c>
      <c r="G352" s="31" t="n">
        <v>124317</v>
      </c>
      <c r="H352" s="36" t="n">
        <v>-0.03468899521531099</v>
      </c>
      <c r="I352" s="36" t="n">
        <v>-0.6437086092715232</v>
      </c>
      <c r="J352" s="31" t="n">
        <v>9524</v>
      </c>
      <c r="K352" s="31" t="n">
        <v>10972.66666666667</v>
      </c>
      <c r="L352" s="31" t="n">
        <v>12748.16666666667</v>
      </c>
      <c r="M352" s="36" t="n">
        <v>0.4733976644200006</v>
      </c>
      <c r="N352" s="36" t="n">
        <v>0.4506488423382012</v>
      </c>
      <c r="O352" s="36" t="n">
        <v>-0.2379603399433428</v>
      </c>
      <c r="P352" s="36" t="n">
        <v>-0.3941441441441441</v>
      </c>
      <c r="Q352" s="36" t="n">
        <v>-0.4256227758007117</v>
      </c>
      <c r="R352" s="36" t="n">
        <v>-0.1526669466610667</v>
      </c>
      <c r="S352" s="36" t="n">
        <v>-0.2645361200558964</v>
      </c>
      <c r="T352" s="36" t="n">
        <v>-0.3669677992914013</v>
      </c>
      <c r="U352" s="31" t="n">
        <v>22650</v>
      </c>
      <c r="V352" s="31" t="n">
        <v>7740</v>
      </c>
      <c r="W352" s="36" t="n">
        <v>-0.6437086092715232</v>
      </c>
      <c r="X352" s="36" t="n">
        <v>0.04263565891472876</v>
      </c>
      <c r="Y352" s="31" t="n">
        <v>17780753</v>
      </c>
      <c r="Z352" s="31" t="n">
        <v>143490676710</v>
      </c>
      <c r="AA352" s="31" t="n">
        <v>1003238190</v>
      </c>
      <c r="AB352" s="31" t="n">
        <v>1265330809</v>
      </c>
      <c r="AC352" s="36" t="n">
        <v>0.006991661151808362</v>
      </c>
      <c r="AD352" s="29" t="inlineStr">
        <is>
          <t>yfinance_download</t>
        </is>
      </c>
      <c r="AE352" s="29" t="inlineStr">
        <is>
          <t>102120.KQ</t>
        </is>
      </c>
    </row>
    <row r="353" ht="24" customHeight="1">
      <c r="A353" s="24" t="inlineStr">
        <is>
          <t>2024-11-15</t>
        </is>
      </c>
      <c r="B353" s="30" t="n">
        <v>7950</v>
      </c>
      <c r="C353" s="30" t="n">
        <v>8400</v>
      </c>
      <c r="D353" s="30" t="n">
        <v>7950</v>
      </c>
      <c r="E353" s="30" t="n">
        <v>8320</v>
      </c>
      <c r="F353" s="30" t="n">
        <v>8320</v>
      </c>
      <c r="G353" s="30" t="n">
        <v>162848</v>
      </c>
      <c r="H353" s="35" t="n">
        <v>0.03097893432465915</v>
      </c>
      <c r="I353" s="35" t="n">
        <v>-0.6326710816777041</v>
      </c>
      <c r="J353" s="30" t="n">
        <v>9441.5</v>
      </c>
      <c r="K353" s="30" t="n">
        <v>10892</v>
      </c>
      <c r="L353" s="30" t="n">
        <v>12701.08333333333</v>
      </c>
      <c r="M353" s="35" t="n">
        <v>0.4659329524641104</v>
      </c>
      <c r="N353" s="35" t="n">
        <v>0.4575412208017375</v>
      </c>
      <c r="O353" s="35" t="n">
        <v>-0.1654964894684052</v>
      </c>
      <c r="P353" s="35" t="n">
        <v>-0.3677811550151976</v>
      </c>
      <c r="Q353" s="35" t="n">
        <v>-0.404438081603436</v>
      </c>
      <c r="R353" s="35" t="n">
        <v>-0.1187840915108828</v>
      </c>
      <c r="S353" s="35" t="n">
        <v>-0.2361366140286448</v>
      </c>
      <c r="T353" s="35" t="n">
        <v>-0.3449377677757147</v>
      </c>
      <c r="U353" s="30" t="n">
        <v>22650</v>
      </c>
      <c r="V353" s="30" t="n">
        <v>7740</v>
      </c>
      <c r="W353" s="35" t="n">
        <v>-0.6326710816777041</v>
      </c>
      <c r="X353" s="35" t="n">
        <v>0.07493540051679592</v>
      </c>
      <c r="Y353" s="30" t="n">
        <v>17780753</v>
      </c>
      <c r="Z353" s="30" t="n">
        <v>147935864960</v>
      </c>
      <c r="AA353" s="30" t="n">
        <v>1354895360</v>
      </c>
      <c r="AB353" s="30" t="n">
        <v>1213946041</v>
      </c>
      <c r="AC353" s="35" t="n">
        <v>0.00915866723979575</v>
      </c>
      <c r="AD353" s="24" t="inlineStr">
        <is>
          <t>yfinance_download</t>
        </is>
      </c>
      <c r="AE353" s="24" t="inlineStr">
        <is>
          <t>102120.KQ</t>
        </is>
      </c>
    </row>
    <row r="354" ht="24" customHeight="1">
      <c r="A354" s="29" t="inlineStr">
        <is>
          <t>2024-11-18</t>
        </is>
      </c>
      <c r="B354" s="31" t="n">
        <v>8320</v>
      </c>
      <c r="C354" s="31" t="n">
        <v>8560</v>
      </c>
      <c r="D354" s="31" t="n">
        <v>8150</v>
      </c>
      <c r="E354" s="31" t="n">
        <v>8350</v>
      </c>
      <c r="F354" s="31" t="n">
        <v>8350</v>
      </c>
      <c r="G354" s="31" t="n">
        <v>84394</v>
      </c>
      <c r="H354" s="36" t="n">
        <v>0.003605769230769162</v>
      </c>
      <c r="I354" s="36" t="n">
        <v>-0.6313465783664459</v>
      </c>
      <c r="J354" s="31" t="n">
        <v>9351</v>
      </c>
      <c r="K354" s="31" t="n">
        <v>10803.16666666667</v>
      </c>
      <c r="L354" s="31" t="n">
        <v>12657.08333333333</v>
      </c>
      <c r="M354" s="36" t="n">
        <v>0.456912364152182</v>
      </c>
      <c r="N354" s="36" t="n">
        <v>0.447693572615539</v>
      </c>
      <c r="O354" s="36" t="n">
        <v>-0.1781496062992126</v>
      </c>
      <c r="P354" s="36" t="n">
        <v>-0.3896198830409356</v>
      </c>
      <c r="Q354" s="36" t="n">
        <v>-0.3873807776962582</v>
      </c>
      <c r="R354" s="36" t="n">
        <v>-0.1070473746123409</v>
      </c>
      <c r="S354" s="36" t="n">
        <v>-0.2270784800752865</v>
      </c>
      <c r="T354" s="36" t="n">
        <v>-0.3402903512525924</v>
      </c>
      <c r="U354" s="31" t="n">
        <v>22650</v>
      </c>
      <c r="V354" s="31" t="n">
        <v>7740</v>
      </c>
      <c r="W354" s="36" t="n">
        <v>-0.6313465783664459</v>
      </c>
      <c r="X354" s="36" t="n">
        <v>0.07881136950904399</v>
      </c>
      <c r="Y354" s="31" t="n">
        <v>17780753</v>
      </c>
      <c r="Z354" s="31" t="n">
        <v>148469287550</v>
      </c>
      <c r="AA354" s="31" t="n">
        <v>704689900</v>
      </c>
      <c r="AB354" s="31" t="n">
        <v>1196106220</v>
      </c>
      <c r="AC354" s="36" t="n">
        <v>0.004746368165622682</v>
      </c>
      <c r="AD354" s="29" t="inlineStr">
        <is>
          <t>yfinance_download</t>
        </is>
      </c>
      <c r="AE354" s="29" t="inlineStr">
        <is>
          <t>102120.KQ</t>
        </is>
      </c>
    </row>
    <row r="355" ht="24" customHeight="1">
      <c r="A355" s="24" t="inlineStr">
        <is>
          <t>2024-11-19</t>
        </is>
      </c>
      <c r="B355" s="30" t="n">
        <v>8280</v>
      </c>
      <c r="C355" s="30" t="n">
        <v>8380</v>
      </c>
      <c r="D355" s="30" t="n">
        <v>8060</v>
      </c>
      <c r="E355" s="30" t="n">
        <v>8110</v>
      </c>
      <c r="F355" s="30" t="n">
        <v>8110</v>
      </c>
      <c r="G355" s="30" t="n">
        <v>88642</v>
      </c>
      <c r="H355" s="35" t="n">
        <v>-0.02874251497005986</v>
      </c>
      <c r="I355" s="35" t="n">
        <v>-0.6419426048565122</v>
      </c>
      <c r="J355" s="30" t="n">
        <v>9264</v>
      </c>
      <c r="K355" s="30" t="n">
        <v>10708.33333333333</v>
      </c>
      <c r="L355" s="30" t="n">
        <v>12612.16666666667</v>
      </c>
      <c r="M355" s="35" t="n">
        <v>0.4558682720530706</v>
      </c>
      <c r="N355" s="35" t="n">
        <v>0.4483627775712714</v>
      </c>
      <c r="O355" s="35" t="n">
        <v>-0.1766497461928934</v>
      </c>
      <c r="P355" s="35" t="n">
        <v>-0.4123188405797101</v>
      </c>
      <c r="Q355" s="35" t="n">
        <v>-0.3992592592592593</v>
      </c>
      <c r="R355" s="35" t="n">
        <v>-0.1245682210708118</v>
      </c>
      <c r="S355" s="35" t="n">
        <v>-0.2426459143968872</v>
      </c>
      <c r="T355" s="35" t="n">
        <v>-0.3569701214435795</v>
      </c>
      <c r="U355" s="30" t="n">
        <v>22650</v>
      </c>
      <c r="V355" s="30" t="n">
        <v>7740</v>
      </c>
      <c r="W355" s="35" t="n">
        <v>-0.6419426048565122</v>
      </c>
      <c r="X355" s="35" t="n">
        <v>0.04780361757105944</v>
      </c>
      <c r="Y355" s="30" t="n">
        <v>17780753</v>
      </c>
      <c r="Z355" s="30" t="n">
        <v>144201906830</v>
      </c>
      <c r="AA355" s="30" t="n">
        <v>718886620</v>
      </c>
      <c r="AB355" s="30" t="n">
        <v>1169802983.5</v>
      </c>
      <c r="AC355" s="35" t="n">
        <v>0.004985278182538164</v>
      </c>
      <c r="AD355" s="24" t="inlineStr">
        <is>
          <t>yfinance_download</t>
        </is>
      </c>
      <c r="AE355" s="24" t="inlineStr">
        <is>
          <t>102120.KQ</t>
        </is>
      </c>
    </row>
    <row r="356" ht="24" customHeight="1">
      <c r="A356" s="29" t="inlineStr">
        <is>
          <t>2024-11-20</t>
        </is>
      </c>
      <c r="B356" s="31" t="n">
        <v>8150</v>
      </c>
      <c r="C356" s="31" t="n">
        <v>8280</v>
      </c>
      <c r="D356" s="31" t="n">
        <v>8060</v>
      </c>
      <c r="E356" s="31" t="n">
        <v>8100</v>
      </c>
      <c r="F356" s="31" t="n">
        <v>8100</v>
      </c>
      <c r="G356" s="31" t="n">
        <v>54837</v>
      </c>
      <c r="H356" s="36" t="n">
        <v>-0.001233045622688</v>
      </c>
      <c r="I356" s="36" t="n">
        <v>-0.6423841059602649</v>
      </c>
      <c r="J356" s="31" t="n">
        <v>9165.5</v>
      </c>
      <c r="K356" s="31" t="n">
        <v>10607.83333333333</v>
      </c>
      <c r="L356" s="31" t="n">
        <v>12570.33333333333</v>
      </c>
      <c r="M356" s="36" t="n">
        <v>0.4416466064530493</v>
      </c>
      <c r="N356" s="36" t="n">
        <v>0.4435517233680787</v>
      </c>
      <c r="O356" s="36" t="n">
        <v>-0.1956305858987091</v>
      </c>
      <c r="P356" s="36" t="n">
        <v>-0.4267515923566879</v>
      </c>
      <c r="Q356" s="36" t="n">
        <v>-0.3826219512195121</v>
      </c>
      <c r="R356" s="36" t="n">
        <v>-0.1162511592384485</v>
      </c>
      <c r="S356" s="36" t="n">
        <v>-0.2364133423413516</v>
      </c>
      <c r="T356" s="36" t="n">
        <v>-0.3556256795099574</v>
      </c>
      <c r="U356" s="31" t="n">
        <v>22650</v>
      </c>
      <c r="V356" s="31" t="n">
        <v>7740</v>
      </c>
      <c r="W356" s="36" t="n">
        <v>-0.6423841059602649</v>
      </c>
      <c r="X356" s="36" t="n">
        <v>0.04651162790697683</v>
      </c>
      <c r="Y356" s="31" t="n">
        <v>17780753</v>
      </c>
      <c r="Z356" s="31" t="n">
        <v>144024099300</v>
      </c>
      <c r="AA356" s="31" t="n">
        <v>444179700</v>
      </c>
      <c r="AB356" s="31" t="n">
        <v>1123504751.5</v>
      </c>
      <c r="AC356" s="36" t="n">
        <v>0.003084065112428028</v>
      </c>
      <c r="AD356" s="29" t="inlineStr">
        <is>
          <t>yfinance_download</t>
        </is>
      </c>
      <c r="AE356" s="29" t="inlineStr">
        <is>
          <t>102120.KQ</t>
        </is>
      </c>
    </row>
    <row r="357" ht="24" customHeight="1">
      <c r="A357" s="24" t="inlineStr">
        <is>
          <t>2024-11-21</t>
        </is>
      </c>
      <c r="B357" s="30" t="n">
        <v>8020</v>
      </c>
      <c r="C357" s="30" t="n">
        <v>8240</v>
      </c>
      <c r="D357" s="30" t="n">
        <v>8020</v>
      </c>
      <c r="E357" s="30" t="n">
        <v>8070</v>
      </c>
      <c r="F357" s="30" t="n">
        <v>8070</v>
      </c>
      <c r="G357" s="30" t="n">
        <v>88261</v>
      </c>
      <c r="H357" s="35" t="n">
        <v>-0.003703703703703654</v>
      </c>
      <c r="I357" s="35" t="n">
        <v>-0.6437086092715232</v>
      </c>
      <c r="J357" s="30" t="n">
        <v>9084.5</v>
      </c>
      <c r="K357" s="30" t="n">
        <v>10509.33333333333</v>
      </c>
      <c r="L357" s="30" t="n">
        <v>12528.16666666667</v>
      </c>
      <c r="M357" s="35" t="n">
        <v>0.4301363989723613</v>
      </c>
      <c r="N357" s="35" t="n">
        <v>0.4436601031339488</v>
      </c>
      <c r="O357" s="35" t="n">
        <v>-0.1671826625386997</v>
      </c>
      <c r="P357" s="35" t="n">
        <v>-0.4227467811158798</v>
      </c>
      <c r="Q357" s="35" t="n">
        <v>-0.3853769992383854</v>
      </c>
      <c r="R357" s="35" t="n">
        <v>-0.1116737299796356</v>
      </c>
      <c r="S357" s="35" t="n">
        <v>-0.232111139304745</v>
      </c>
      <c r="T357" s="35" t="n">
        <v>-0.3558514813287392</v>
      </c>
      <c r="U357" s="30" t="n">
        <v>22650</v>
      </c>
      <c r="V357" s="30" t="n">
        <v>7740</v>
      </c>
      <c r="W357" s="35" t="n">
        <v>-0.6437086092715232</v>
      </c>
      <c r="X357" s="35" t="n">
        <v>0.04263565891472876</v>
      </c>
      <c r="Y357" s="30" t="n">
        <v>17780753</v>
      </c>
      <c r="Z357" s="30" t="n">
        <v>143490676710</v>
      </c>
      <c r="AA357" s="30" t="n">
        <v>712266270</v>
      </c>
      <c r="AB357" s="30" t="n">
        <v>1094210084.5</v>
      </c>
      <c r="AC357" s="35" t="n">
        <v>0.004963850518591648</v>
      </c>
      <c r="AD357" s="24" t="inlineStr">
        <is>
          <t>yfinance_download</t>
        </is>
      </c>
      <c r="AE357" s="24" t="inlineStr">
        <is>
          <t>102120.KQ</t>
        </is>
      </c>
    </row>
    <row r="358" ht="24" customHeight="1">
      <c r="A358" s="29" t="inlineStr">
        <is>
          <t>2024-11-22</t>
        </is>
      </c>
      <c r="B358" s="31" t="n">
        <v>8140</v>
      </c>
      <c r="C358" s="31" t="n">
        <v>8400</v>
      </c>
      <c r="D358" s="31" t="n">
        <v>8110</v>
      </c>
      <c r="E358" s="31" t="n">
        <v>8190</v>
      </c>
      <c r="F358" s="31" t="n">
        <v>8190</v>
      </c>
      <c r="G358" s="31" t="n">
        <v>85416</v>
      </c>
      <c r="H358" s="36" t="n">
        <v>0.01486988847583648</v>
      </c>
      <c r="I358" s="36" t="n">
        <v>-0.6384105960264901</v>
      </c>
      <c r="J358" s="31" t="n">
        <v>9012.5</v>
      </c>
      <c r="K358" s="31" t="n">
        <v>10419</v>
      </c>
      <c r="L358" s="31" t="n">
        <v>12486.08333333333</v>
      </c>
      <c r="M358" s="36" t="n">
        <v>0.4382212372079277</v>
      </c>
      <c r="N358" s="36" t="n">
        <v>0.4446887721087565</v>
      </c>
      <c r="O358" s="36" t="n">
        <v>-0.1495327102803738</v>
      </c>
      <c r="P358" s="36" t="n">
        <v>-0.3982365907421014</v>
      </c>
      <c r="Q358" s="36" t="n">
        <v>-0.3814199395770392</v>
      </c>
      <c r="R358" s="36" t="n">
        <v>-0.09126213592233012</v>
      </c>
      <c r="S358" s="36" t="n">
        <v>-0.2139360783184566</v>
      </c>
      <c r="T358" s="36" t="n">
        <v>-0.3440697309671434</v>
      </c>
      <c r="U358" s="31" t="n">
        <v>22650</v>
      </c>
      <c r="V358" s="31" t="n">
        <v>7740</v>
      </c>
      <c r="W358" s="36" t="n">
        <v>-0.6384105960264901</v>
      </c>
      <c r="X358" s="36" t="n">
        <v>0.05813953488372103</v>
      </c>
      <c r="Y358" s="31" t="n">
        <v>17780753</v>
      </c>
      <c r="Z358" s="31" t="n">
        <v>145624367070</v>
      </c>
      <c r="AA358" s="31" t="n">
        <v>699557040</v>
      </c>
      <c r="AB358" s="31" t="n">
        <v>1076663990.5</v>
      </c>
      <c r="AC358" s="36" t="n">
        <v>0.004803846046340108</v>
      </c>
      <c r="AD358" s="29" t="inlineStr">
        <is>
          <t>yfinance_download</t>
        </is>
      </c>
      <c r="AE358" s="29" t="inlineStr">
        <is>
          <t>102120.KQ</t>
        </is>
      </c>
    </row>
    <row r="359" ht="24" customHeight="1">
      <c r="A359" s="24" t="inlineStr">
        <is>
          <t>2024-11-25</t>
        </is>
      </c>
      <c r="B359" s="30" t="n">
        <v>8240</v>
      </c>
      <c r="C359" s="30" t="n">
        <v>8510</v>
      </c>
      <c r="D359" s="30" t="n">
        <v>8240</v>
      </c>
      <c r="E359" s="30" t="n">
        <v>8480</v>
      </c>
      <c r="F359" s="30" t="n">
        <v>8480</v>
      </c>
      <c r="G359" s="30" t="n">
        <v>83132</v>
      </c>
      <c r="H359" s="35" t="n">
        <v>0.03540903540903551</v>
      </c>
      <c r="I359" s="35" t="n">
        <v>-0.6256070640176601</v>
      </c>
      <c r="J359" s="30" t="n">
        <v>8940.5</v>
      </c>
      <c r="K359" s="30" t="n">
        <v>10337.83333333333</v>
      </c>
      <c r="L359" s="30" t="n">
        <v>12443</v>
      </c>
      <c r="M359" s="35" t="n">
        <v>0.4446371957932593</v>
      </c>
      <c r="N359" s="35" t="n">
        <v>0.4528551304411129</v>
      </c>
      <c r="O359" s="35" t="n">
        <v>-0.1451612903225806</v>
      </c>
      <c r="P359" s="35" t="n">
        <v>-0.3647940074906367</v>
      </c>
      <c r="Q359" s="35" t="n">
        <v>-0.3787545787545787</v>
      </c>
      <c r="R359" s="35" t="n">
        <v>-0.05150718639897101</v>
      </c>
      <c r="S359" s="35" t="n">
        <v>-0.179712060876715</v>
      </c>
      <c r="T359" s="35" t="n">
        <v>-0.3184923250020092</v>
      </c>
      <c r="U359" s="30" t="n">
        <v>22650</v>
      </c>
      <c r="V359" s="30" t="n">
        <v>7940</v>
      </c>
      <c r="W359" s="35" t="n">
        <v>-0.6256070640176601</v>
      </c>
      <c r="X359" s="35" t="n">
        <v>0.06801007556675054</v>
      </c>
      <c r="Y359" s="30" t="n">
        <v>17780753</v>
      </c>
      <c r="Z359" s="30" t="n">
        <v>150780785440</v>
      </c>
      <c r="AA359" s="30" t="n">
        <v>704959360</v>
      </c>
      <c r="AB359" s="30" t="n">
        <v>1054802518.5</v>
      </c>
      <c r="AC359" s="35" t="n">
        <v>0.004675392543836586</v>
      </c>
      <c r="AD359" s="24" t="inlineStr">
        <is>
          <t>yfinance_download</t>
        </is>
      </c>
      <c r="AE359" s="24" t="inlineStr">
        <is>
          <t>102120.KQ</t>
        </is>
      </c>
    </row>
    <row r="360" ht="24" customHeight="1">
      <c r="A360" s="29" t="inlineStr">
        <is>
          <t>2024-11-26</t>
        </is>
      </c>
      <c r="B360" s="31" t="n">
        <v>8480</v>
      </c>
      <c r="C360" s="31" t="n">
        <v>8560</v>
      </c>
      <c r="D360" s="31" t="n">
        <v>8360</v>
      </c>
      <c r="E360" s="31" t="n">
        <v>8470</v>
      </c>
      <c r="F360" s="31" t="n">
        <v>8470</v>
      </c>
      <c r="G360" s="31" t="n">
        <v>73229</v>
      </c>
      <c r="H360" s="36" t="n">
        <v>-0.001179245283018826</v>
      </c>
      <c r="I360" s="36" t="n">
        <v>-0.6260485651214128</v>
      </c>
      <c r="J360" s="31" t="n">
        <v>8871</v>
      </c>
      <c r="K360" s="31" t="n">
        <v>10264.83333333333</v>
      </c>
      <c r="L360" s="31" t="n">
        <v>12404</v>
      </c>
      <c r="M360" s="36" t="n">
        <v>0.4451742961684941</v>
      </c>
      <c r="N360" s="36" t="n">
        <v>0.4485632497711752</v>
      </c>
      <c r="O360" s="36" t="n">
        <v>-0.140973630831643</v>
      </c>
      <c r="P360" s="36" t="n">
        <v>-0.3408560311284047</v>
      </c>
      <c r="Q360" s="36" t="n">
        <v>-0.355893536121673</v>
      </c>
      <c r="R360" s="36" t="n">
        <v>-0.04520347198737462</v>
      </c>
      <c r="S360" s="36" t="n">
        <v>-0.1748526522593321</v>
      </c>
      <c r="T360" s="36" t="n">
        <v>-0.3171557562076749</v>
      </c>
      <c r="U360" s="31" t="n">
        <v>22650</v>
      </c>
      <c r="V360" s="31" t="n">
        <v>8070</v>
      </c>
      <c r="W360" s="36" t="n">
        <v>-0.6260485651214128</v>
      </c>
      <c r="X360" s="36" t="n">
        <v>0.04956629491945486</v>
      </c>
      <c r="Y360" s="31" t="n">
        <v>17780753</v>
      </c>
      <c r="Z360" s="31" t="n">
        <v>150602977910</v>
      </c>
      <c r="AA360" s="31" t="n">
        <v>620249630</v>
      </c>
      <c r="AB360" s="31" t="n">
        <v>1031769875</v>
      </c>
      <c r="AC360" s="36" t="n">
        <v>0.004118442002990537</v>
      </c>
      <c r="AD360" s="29" t="inlineStr">
        <is>
          <t>yfinance_download</t>
        </is>
      </c>
      <c r="AE360" s="29" t="inlineStr">
        <is>
          <t>102120.KQ</t>
        </is>
      </c>
    </row>
    <row r="361" ht="24" customHeight="1">
      <c r="A361" s="24" t="inlineStr">
        <is>
          <t>2024-11-27</t>
        </is>
      </c>
      <c r="B361" s="30" t="n">
        <v>8450</v>
      </c>
      <c r="C361" s="30" t="n">
        <v>8480</v>
      </c>
      <c r="D361" s="30" t="n">
        <v>8140</v>
      </c>
      <c r="E361" s="30" t="n">
        <v>8170</v>
      </c>
      <c r="F361" s="30" t="n">
        <v>8170</v>
      </c>
      <c r="G361" s="30" t="n">
        <v>96828</v>
      </c>
      <c r="H361" s="35" t="n">
        <v>-0.0354191263282172</v>
      </c>
      <c r="I361" s="35" t="n">
        <v>-0.6392935982339956</v>
      </c>
      <c r="J361" s="30" t="n">
        <v>8792.5</v>
      </c>
      <c r="K361" s="30" t="n">
        <v>10189.66666666667</v>
      </c>
      <c r="L361" s="30" t="n">
        <v>12363.75</v>
      </c>
      <c r="M361" s="35" t="n">
        <v>0.4561365141749512</v>
      </c>
      <c r="N361" s="35" t="n">
        <v>0.4522688940546751</v>
      </c>
      <c r="O361" s="35" t="n">
        <v>-0.1611909650924025</v>
      </c>
      <c r="P361" s="35" t="n">
        <v>-0.3556782334384858</v>
      </c>
      <c r="Q361" s="35" t="n">
        <v>-0.3715384615384615</v>
      </c>
      <c r="R361" s="35" t="n">
        <v>-0.07079897640034116</v>
      </c>
      <c r="S361" s="35" t="n">
        <v>-0.1982073342274853</v>
      </c>
      <c r="T361" s="35" t="n">
        <v>-0.3391972500252755</v>
      </c>
      <c r="U361" s="30" t="n">
        <v>22650</v>
      </c>
      <c r="V361" s="30" t="n">
        <v>8070</v>
      </c>
      <c r="W361" s="35" t="n">
        <v>-0.6392935982339956</v>
      </c>
      <c r="X361" s="35" t="n">
        <v>0.01239157372986366</v>
      </c>
      <c r="Y361" s="30" t="n">
        <v>17780753</v>
      </c>
      <c r="Z361" s="30" t="n">
        <v>145268752010</v>
      </c>
      <c r="AA361" s="30" t="n">
        <v>791084760</v>
      </c>
      <c r="AB361" s="30" t="n">
        <v>1037835071</v>
      </c>
      <c r="AC361" s="35" t="n">
        <v>0.005445663634155426</v>
      </c>
      <c r="AD361" s="24" t="inlineStr">
        <is>
          <t>yfinance_download</t>
        </is>
      </c>
      <c r="AE361" s="24" t="inlineStr">
        <is>
          <t>102120.KQ</t>
        </is>
      </c>
    </row>
    <row r="362" ht="24" customHeight="1">
      <c r="A362" s="29" t="inlineStr">
        <is>
          <t>2024-11-28</t>
        </is>
      </c>
      <c r="B362" s="31" t="n">
        <v>8190</v>
      </c>
      <c r="C362" s="31" t="n">
        <v>8200</v>
      </c>
      <c r="D362" s="31" t="n">
        <v>8030</v>
      </c>
      <c r="E362" s="31" t="n">
        <v>8080</v>
      </c>
      <c r="F362" s="31" t="n">
        <v>8080</v>
      </c>
      <c r="G362" s="31" t="n">
        <v>61345</v>
      </c>
      <c r="H362" s="36" t="n">
        <v>-0.01101591187270501</v>
      </c>
      <c r="I362" s="36" t="n">
        <v>-0.6432671081677704</v>
      </c>
      <c r="J362" s="31" t="n">
        <v>8706</v>
      </c>
      <c r="K362" s="31" t="n">
        <v>10108.83333333333</v>
      </c>
      <c r="L362" s="31" t="n">
        <v>12322.08333333333</v>
      </c>
      <c r="M362" s="36" t="n">
        <v>0.4524722395302071</v>
      </c>
      <c r="N362" s="36" t="n">
        <v>0.4489174961841681</v>
      </c>
      <c r="O362" s="36" t="n">
        <v>-0.1763506625891947</v>
      </c>
      <c r="P362" s="36" t="n">
        <v>-0.3750966744006187</v>
      </c>
      <c r="Q362" s="36" t="n">
        <v>-0.382262996941896</v>
      </c>
      <c r="R362" s="36" t="n">
        <v>-0.07190443372386857</v>
      </c>
      <c r="S362" s="36" t="n">
        <v>-0.2006990585791305</v>
      </c>
      <c r="T362" s="36" t="n">
        <v>-0.344266729787306</v>
      </c>
      <c r="U362" s="31" t="n">
        <v>22650</v>
      </c>
      <c r="V362" s="31" t="n">
        <v>8070</v>
      </c>
      <c r="W362" s="36" t="n">
        <v>-0.6432671081677704</v>
      </c>
      <c r="X362" s="36" t="n">
        <v>0.00123915737298641</v>
      </c>
      <c r="Y362" s="31" t="n">
        <v>17780753</v>
      </c>
      <c r="Z362" s="31" t="n">
        <v>143668484240</v>
      </c>
      <c r="AA362" s="31" t="n">
        <v>495667600</v>
      </c>
      <c r="AB362" s="31" t="n">
        <v>987297271</v>
      </c>
      <c r="AC362" s="36" t="n">
        <v>0.003450078857740164</v>
      </c>
      <c r="AD362" s="29" t="inlineStr">
        <is>
          <t>yfinance_download</t>
        </is>
      </c>
      <c r="AE362" s="29" t="inlineStr">
        <is>
          <t>102120.KQ</t>
        </is>
      </c>
    </row>
    <row r="363" ht="24" customHeight="1">
      <c r="A363" s="24" t="inlineStr">
        <is>
          <t>2024-11-29</t>
        </is>
      </c>
      <c r="B363" s="30" t="n">
        <v>8090</v>
      </c>
      <c r="C363" s="30" t="n">
        <v>8130</v>
      </c>
      <c r="D363" s="30" t="n">
        <v>7720</v>
      </c>
      <c r="E363" s="30" t="n">
        <v>7790</v>
      </c>
      <c r="F363" s="30" t="n">
        <v>7790</v>
      </c>
      <c r="G363" s="30" t="n">
        <v>99552</v>
      </c>
      <c r="H363" s="35" t="n">
        <v>-0.03589108910891092</v>
      </c>
      <c r="I363" s="35" t="n">
        <v>-0.6560706401766004</v>
      </c>
      <c r="J363" s="30" t="n">
        <v>8627</v>
      </c>
      <c r="K363" s="30" t="n">
        <v>10035.5</v>
      </c>
      <c r="L363" s="30" t="n">
        <v>12281</v>
      </c>
      <c r="M363" s="35" t="n">
        <v>0.4441662248294045</v>
      </c>
      <c r="N363" s="35" t="n">
        <v>0.4408599843814589</v>
      </c>
      <c r="O363" s="35" t="n">
        <v>-0.1686232657417289</v>
      </c>
      <c r="P363" s="35" t="n">
        <v>-0.3609515996718622</v>
      </c>
      <c r="Q363" s="35" t="n">
        <v>-0.3875786163522013</v>
      </c>
      <c r="R363" s="35" t="n">
        <v>-0.09702098064216991</v>
      </c>
      <c r="S363" s="35" t="n">
        <v>-0.2237556673807982</v>
      </c>
      <c r="T363" s="35" t="n">
        <v>-0.3656868333197623</v>
      </c>
      <c r="U363" s="30" t="n">
        <v>22650</v>
      </c>
      <c r="V363" s="30" t="n">
        <v>7790</v>
      </c>
      <c r="W363" s="35" t="n">
        <v>-0.6560706401766004</v>
      </c>
      <c r="X363" s="35" t="n">
        <v>0</v>
      </c>
      <c r="Y363" s="30" t="n">
        <v>17780753</v>
      </c>
      <c r="Z363" s="30" t="n">
        <v>138512065870</v>
      </c>
      <c r="AA363" s="30" t="n">
        <v>775510080</v>
      </c>
      <c r="AB363" s="30" t="n">
        <v>975215226</v>
      </c>
      <c r="AC363" s="35" t="n">
        <v>0.005598862995284845</v>
      </c>
      <c r="AD363" s="24" t="inlineStr">
        <is>
          <t>yfinance_download</t>
        </is>
      </c>
      <c r="AE363" s="24" t="inlineStr">
        <is>
          <t>102120.KQ</t>
        </is>
      </c>
    </row>
    <row r="364" ht="24" customHeight="1">
      <c r="A364" s="29" t="inlineStr">
        <is>
          <t>2024-12-02</t>
        </is>
      </c>
      <c r="B364" s="31" t="n">
        <v>7840</v>
      </c>
      <c r="C364" s="31" t="n">
        <v>7990</v>
      </c>
      <c r="D364" s="31" t="n">
        <v>7600</v>
      </c>
      <c r="E364" s="31" t="n">
        <v>7640</v>
      </c>
      <c r="F364" s="31" t="n">
        <v>7640</v>
      </c>
      <c r="G364" s="31" t="n">
        <v>128184</v>
      </c>
      <c r="H364" s="36" t="n">
        <v>-0.01925545571245191</v>
      </c>
      <c r="I364" s="36" t="n">
        <v>-0.6626931567328918</v>
      </c>
      <c r="J364" s="31" t="n">
        <v>8520.5</v>
      </c>
      <c r="K364" s="31" t="n">
        <v>9957.333333333334</v>
      </c>
      <c r="L364" s="31" t="n">
        <v>12227.91666666667</v>
      </c>
      <c r="M364" s="36" t="n">
        <v>0.4012461680064837</v>
      </c>
      <c r="N364" s="36" t="n">
        <v>0.4398385284813641</v>
      </c>
      <c r="O364" s="36" t="n">
        <v>-0.2180143295803481</v>
      </c>
      <c r="P364" s="36" t="n">
        <v>-0.3803730738037308</v>
      </c>
      <c r="Q364" s="36" t="n">
        <v>-0.4546752319771592</v>
      </c>
      <c r="R364" s="36" t="n">
        <v>-0.1033390059268823</v>
      </c>
      <c r="S364" s="36" t="n">
        <v>-0.2327262988752009</v>
      </c>
      <c r="T364" s="36" t="n">
        <v>-0.375200190820186</v>
      </c>
      <c r="U364" s="31" t="n">
        <v>22650</v>
      </c>
      <c r="V364" s="31" t="n">
        <v>7640</v>
      </c>
      <c r="W364" s="36" t="n">
        <v>-0.6626931567328918</v>
      </c>
      <c r="X364" s="36" t="n">
        <v>0</v>
      </c>
      <c r="Y364" s="31" t="n">
        <v>17780753</v>
      </c>
      <c r="Z364" s="31" t="n">
        <v>135844952920</v>
      </c>
      <c r="AA364" s="31" t="n">
        <v>979325760</v>
      </c>
      <c r="AB364" s="31" t="n">
        <v>963894263.5</v>
      </c>
      <c r="AC364" s="36" t="n">
        <v>0.007209143504777329</v>
      </c>
      <c r="AD364" s="29" t="inlineStr">
        <is>
          <t>yfinance_download</t>
        </is>
      </c>
      <c r="AE364" s="29" t="inlineStr">
        <is>
          <t>102120.KQ</t>
        </is>
      </c>
    </row>
    <row r="365" ht="24" customHeight="1">
      <c r="A365" s="24" t="inlineStr">
        <is>
          <t>2024-12-03</t>
        </is>
      </c>
      <c r="B365" s="30" t="n">
        <v>7550</v>
      </c>
      <c r="C365" s="30" t="n">
        <v>7840</v>
      </c>
      <c r="D365" s="30" t="n">
        <v>7550</v>
      </c>
      <c r="E365" s="30" t="n">
        <v>7750</v>
      </c>
      <c r="F365" s="30" t="n">
        <v>7750</v>
      </c>
      <c r="G365" s="30" t="n">
        <v>97580</v>
      </c>
      <c r="H365" s="35" t="n">
        <v>0.01439790575916233</v>
      </c>
      <c r="I365" s="35" t="n">
        <v>-0.6578366445916115</v>
      </c>
      <c r="J365" s="30" t="n">
        <v>8412</v>
      </c>
      <c r="K365" s="30" t="n">
        <v>9878.833333333334</v>
      </c>
      <c r="L365" s="30" t="n">
        <v>12169.91666666667</v>
      </c>
      <c r="M365" s="35" t="n">
        <v>0.4003986497789458</v>
      </c>
      <c r="N365" s="35" t="n">
        <v>0.4405867182845765</v>
      </c>
      <c r="O365" s="35" t="n">
        <v>-0.21875</v>
      </c>
      <c r="P365" s="35" t="n">
        <v>-0.3780096308186196</v>
      </c>
      <c r="Q365" s="35" t="n">
        <v>-0.4731475186947655</v>
      </c>
      <c r="R365" s="35" t="n">
        <v>-0.07869709938183544</v>
      </c>
      <c r="S365" s="35" t="n">
        <v>-0.2154944072343226</v>
      </c>
      <c r="T365" s="35" t="n">
        <v>-0.363183807065236</v>
      </c>
      <c r="U365" s="30" t="n">
        <v>22650</v>
      </c>
      <c r="V365" s="30" t="n">
        <v>7640</v>
      </c>
      <c r="W365" s="35" t="n">
        <v>-0.6578366445916115</v>
      </c>
      <c r="X365" s="35" t="n">
        <v>0.01439790575916233</v>
      </c>
      <c r="Y365" s="30" t="n">
        <v>17780753</v>
      </c>
      <c r="Z365" s="30" t="n">
        <v>137800835750</v>
      </c>
      <c r="AA365" s="30" t="n">
        <v>756245000</v>
      </c>
      <c r="AB365" s="30" t="n">
        <v>912525713.5</v>
      </c>
      <c r="AC365" s="35" t="n">
        <v>0.005487956556170596</v>
      </c>
      <c r="AD365" s="24" t="inlineStr">
        <is>
          <t>yfinance_download</t>
        </is>
      </c>
      <c r="AE365" s="24" t="inlineStr">
        <is>
          <t>102120.KQ</t>
        </is>
      </c>
    </row>
    <row r="366" ht="24" customHeight="1">
      <c r="A366" s="29" t="inlineStr">
        <is>
          <t>2024-12-04</t>
        </is>
      </c>
      <c r="B366" s="31" t="n">
        <v>7510</v>
      </c>
      <c r="C366" s="31" t="n">
        <v>7710</v>
      </c>
      <c r="D366" s="31" t="n">
        <v>7320</v>
      </c>
      <c r="E366" s="31" t="n">
        <v>7390</v>
      </c>
      <c r="F366" s="31" t="n">
        <v>7390</v>
      </c>
      <c r="G366" s="31" t="n">
        <v>124967</v>
      </c>
      <c r="H366" s="36" t="n">
        <v>-0.04645161290322586</v>
      </c>
      <c r="I366" s="36" t="n">
        <v>-0.6737306843267108</v>
      </c>
      <c r="J366" s="31" t="n">
        <v>8297</v>
      </c>
      <c r="K366" s="31" t="n">
        <v>9801</v>
      </c>
      <c r="L366" s="31" t="n">
        <v>12111.16666666667</v>
      </c>
      <c r="M366" s="36" t="n">
        <v>0.4172127494891602</v>
      </c>
      <c r="N366" s="36" t="n">
        <v>0.4449681648977445</v>
      </c>
      <c r="O366" s="36" t="n">
        <v>-0.237358101135191</v>
      </c>
      <c r="P366" s="36" t="n">
        <v>-0.3872305140961857</v>
      </c>
      <c r="Q366" s="36" t="n">
        <v>-0.4882271468144044</v>
      </c>
      <c r="R366" s="36" t="n">
        <v>-0.1093166204652284</v>
      </c>
      <c r="S366" s="36" t="n">
        <v>-0.2459953066013673</v>
      </c>
      <c r="T366" s="36" t="n">
        <v>-0.389819312755446</v>
      </c>
      <c r="U366" s="31" t="n">
        <v>22650</v>
      </c>
      <c r="V366" s="31" t="n">
        <v>7390</v>
      </c>
      <c r="W366" s="36" t="n">
        <v>-0.6737306843267108</v>
      </c>
      <c r="X366" s="36" t="n">
        <v>0</v>
      </c>
      <c r="Y366" s="31" t="n">
        <v>17780753</v>
      </c>
      <c r="Z366" s="31" t="n">
        <v>131399764670</v>
      </c>
      <c r="AA366" s="31" t="n">
        <v>923506130</v>
      </c>
      <c r="AB366" s="31" t="n">
        <v>902012097.5</v>
      </c>
      <c r="AC366" s="36" t="n">
        <v>0.007028217533869347</v>
      </c>
      <c r="AD366" s="29" t="inlineStr">
        <is>
          <t>yfinance_download</t>
        </is>
      </c>
      <c r="AE366" s="29" t="inlineStr">
        <is>
          <t>102120.KQ</t>
        </is>
      </c>
    </row>
    <row r="367" ht="24" customHeight="1">
      <c r="A367" s="24" t="inlineStr">
        <is>
          <t>2024-12-05</t>
        </is>
      </c>
      <c r="B367" s="30" t="n">
        <v>7540</v>
      </c>
      <c r="C367" s="30" t="n">
        <v>7550</v>
      </c>
      <c r="D367" s="30" t="n">
        <v>7260</v>
      </c>
      <c r="E367" s="30" t="n">
        <v>7390</v>
      </c>
      <c r="F367" s="30" t="n">
        <v>7390</v>
      </c>
      <c r="G367" s="30" t="n">
        <v>127497</v>
      </c>
      <c r="H367" s="35" t="n">
        <v>0</v>
      </c>
      <c r="I367" s="35" t="n">
        <v>-0.6737306843267108</v>
      </c>
      <c r="J367" s="30" t="n">
        <v>8192</v>
      </c>
      <c r="K367" s="30" t="n">
        <v>9732.333333333334</v>
      </c>
      <c r="L367" s="30" t="n">
        <v>12054.75</v>
      </c>
      <c r="M367" s="35" t="n">
        <v>0.418712086063193</v>
      </c>
      <c r="N367" s="35" t="n">
        <v>0.4381568085117559</v>
      </c>
      <c r="O367" s="35" t="n">
        <v>-0.2212855637513171</v>
      </c>
      <c r="P367" s="35" t="n">
        <v>-0.3579496090356212</v>
      </c>
      <c r="Q367" s="35" t="n">
        <v>-0.4781073446327684</v>
      </c>
      <c r="R367" s="35" t="n">
        <v>-0.097900390625</v>
      </c>
      <c r="S367" s="35" t="n">
        <v>-0.2406754118573826</v>
      </c>
      <c r="T367" s="35" t="n">
        <v>-0.3869636450361891</v>
      </c>
      <c r="U367" s="30" t="n">
        <v>22650</v>
      </c>
      <c r="V367" s="30" t="n">
        <v>7390</v>
      </c>
      <c r="W367" s="35" t="n">
        <v>-0.6737306843267108</v>
      </c>
      <c r="X367" s="35" t="n">
        <v>0</v>
      </c>
      <c r="Y367" s="30" t="n">
        <v>17780753</v>
      </c>
      <c r="Z367" s="30" t="n">
        <v>131399764670</v>
      </c>
      <c r="AA367" s="30" t="n">
        <v>942202830</v>
      </c>
      <c r="AB367" s="30" t="n">
        <v>888950894</v>
      </c>
      <c r="AC367" s="35" t="n">
        <v>0.007170506220968257</v>
      </c>
      <c r="AD367" s="24" t="inlineStr">
        <is>
          <t>yfinance_download</t>
        </is>
      </c>
      <c r="AE367" s="24" t="inlineStr">
        <is>
          <t>102120.KQ</t>
        </is>
      </c>
    </row>
    <row r="368" ht="24" customHeight="1">
      <c r="A368" s="29" t="inlineStr">
        <is>
          <t>2024-12-06</t>
        </is>
      </c>
      <c r="B368" s="31" t="n">
        <v>7310</v>
      </c>
      <c r="C368" s="31" t="n">
        <v>7390</v>
      </c>
      <c r="D368" s="31" t="n">
        <v>6690</v>
      </c>
      <c r="E368" s="31" t="n">
        <v>7030</v>
      </c>
      <c r="F368" s="31" t="n">
        <v>7030</v>
      </c>
      <c r="G368" s="31" t="n">
        <v>247322</v>
      </c>
      <c r="H368" s="36" t="n">
        <v>-0.04871447902571047</v>
      </c>
      <c r="I368" s="36" t="n">
        <v>-0.6896247240618101</v>
      </c>
      <c r="J368" s="31" t="n">
        <v>8066</v>
      </c>
      <c r="K368" s="31" t="n">
        <v>9664.833333333334</v>
      </c>
      <c r="L368" s="31" t="n">
        <v>11996.08333333333</v>
      </c>
      <c r="M368" s="36" t="n">
        <v>0.4319729499309104</v>
      </c>
      <c r="N368" s="36" t="n">
        <v>0.4421195041260286</v>
      </c>
      <c r="O368" s="36" t="n">
        <v>-0.2638743455497382</v>
      </c>
      <c r="P368" s="36" t="n">
        <v>-0.3655234657039711</v>
      </c>
      <c r="Q368" s="36" t="n">
        <v>-0.5003553660270078</v>
      </c>
      <c r="R368" s="36" t="n">
        <v>-0.1284403669724771</v>
      </c>
      <c r="S368" s="36" t="n">
        <v>-0.2726206694373071</v>
      </c>
      <c r="T368" s="36" t="n">
        <v>-0.4139753947468966</v>
      </c>
      <c r="U368" s="31" t="n">
        <v>22650</v>
      </c>
      <c r="V368" s="31" t="n">
        <v>7030</v>
      </c>
      <c r="W368" s="36" t="n">
        <v>-0.6896247240618101</v>
      </c>
      <c r="X368" s="36" t="n">
        <v>0</v>
      </c>
      <c r="Y368" s="31" t="n">
        <v>17780753</v>
      </c>
      <c r="Z368" s="31" t="n">
        <v>124998693590</v>
      </c>
      <c r="AA368" s="31" t="n">
        <v>1738673660</v>
      </c>
      <c r="AB368" s="31" t="n">
        <v>942427584.5</v>
      </c>
      <c r="AC368" s="36" t="n">
        <v>0.01390953465244132</v>
      </c>
      <c r="AD368" s="29" t="inlineStr">
        <is>
          <t>yfinance_download</t>
        </is>
      </c>
      <c r="AE368" s="29" t="inlineStr">
        <is>
          <t>102120.KQ</t>
        </is>
      </c>
    </row>
    <row r="369" ht="24" customHeight="1">
      <c r="A369" s="24" t="inlineStr">
        <is>
          <t>2024-12-09</t>
        </is>
      </c>
      <c r="B369" s="30" t="n">
        <v>6720</v>
      </c>
      <c r="C369" s="30" t="n">
        <v>6940</v>
      </c>
      <c r="D369" s="30" t="n">
        <v>6500</v>
      </c>
      <c r="E369" s="30" t="n">
        <v>6510</v>
      </c>
      <c r="F369" s="30" t="n">
        <v>6510</v>
      </c>
      <c r="G369" s="30" t="n">
        <v>201853</v>
      </c>
      <c r="H369" s="35" t="n">
        <v>-0.07396870554765289</v>
      </c>
      <c r="I369" s="35" t="n">
        <v>-0.7125827814569536</v>
      </c>
      <c r="J369" s="30" t="n">
        <v>7943.5</v>
      </c>
      <c r="K369" s="30" t="n">
        <v>9595.333333333334</v>
      </c>
      <c r="L369" s="30" t="n">
        <v>11932.25</v>
      </c>
      <c r="M369" s="35" t="n">
        <v>0.4512732184968255</v>
      </c>
      <c r="N369" s="35" t="n">
        <v>0.4591845437160808</v>
      </c>
      <c r="O369" s="35" t="n">
        <v>-0.2734375</v>
      </c>
      <c r="P369" s="35" t="n">
        <v>-0.3904494382022472</v>
      </c>
      <c r="Q369" s="35" t="n">
        <v>-0.5405786873676781</v>
      </c>
      <c r="R369" s="35" t="n">
        <v>-0.1804620129665765</v>
      </c>
      <c r="S369" s="35" t="n">
        <v>-0.3215451955811853</v>
      </c>
      <c r="T369" s="35" t="n">
        <v>-0.4544197448092355</v>
      </c>
      <c r="U369" s="30" t="n">
        <v>22650</v>
      </c>
      <c r="V369" s="30" t="n">
        <v>6510</v>
      </c>
      <c r="W369" s="35" t="n">
        <v>-0.7125827814569536</v>
      </c>
      <c r="X369" s="35" t="n">
        <v>0</v>
      </c>
      <c r="Y369" s="30" t="n">
        <v>17780753</v>
      </c>
      <c r="Z369" s="30" t="n">
        <v>115752702030</v>
      </c>
      <c r="AA369" s="30" t="n">
        <v>1314063030</v>
      </c>
      <c r="AB369" s="30" t="n">
        <v>926062512</v>
      </c>
      <c r="AC369" s="35" t="n">
        <v>0.01135233136639376</v>
      </c>
      <c r="AD369" s="24" t="inlineStr">
        <is>
          <t>yfinance_download</t>
        </is>
      </c>
      <c r="AE369" s="24" t="inlineStr">
        <is>
          <t>102120.KQ</t>
        </is>
      </c>
    </row>
    <row r="370" ht="24" customHeight="1">
      <c r="A370" s="29" t="inlineStr">
        <is>
          <t>2024-12-10</t>
        </is>
      </c>
      <c r="B370" s="31" t="n">
        <v>6520</v>
      </c>
      <c r="C370" s="31" t="n">
        <v>7050</v>
      </c>
      <c r="D370" s="31" t="n">
        <v>6520</v>
      </c>
      <c r="E370" s="31" t="n">
        <v>7050</v>
      </c>
      <c r="F370" s="31" t="n">
        <v>7050</v>
      </c>
      <c r="G370" s="31" t="n">
        <v>144810</v>
      </c>
      <c r="H370" s="36" t="n">
        <v>0.08294930875576045</v>
      </c>
      <c r="I370" s="36" t="n">
        <v>-0.6887417218543046</v>
      </c>
      <c r="J370" s="31" t="n">
        <v>7866</v>
      </c>
      <c r="K370" s="31" t="n">
        <v>9533.833333333334</v>
      </c>
      <c r="L370" s="31" t="n">
        <v>11877.16666666667</v>
      </c>
      <c r="M370" s="36" t="n">
        <v>0.5602830988130101</v>
      </c>
      <c r="N370" s="36" t="n">
        <v>0.4948054890976553</v>
      </c>
      <c r="O370" s="36" t="n">
        <v>-0.1802325581395349</v>
      </c>
      <c r="P370" s="36" t="n">
        <v>-0.3435754189944135</v>
      </c>
      <c r="Q370" s="36" t="n">
        <v>-0.4838945827232797</v>
      </c>
      <c r="R370" s="36" t="n">
        <v>-0.1037376048817696</v>
      </c>
      <c r="S370" s="36" t="n">
        <v>-0.260528293970596</v>
      </c>
      <c r="T370" s="36" t="n">
        <v>-0.4064240910430378</v>
      </c>
      <c r="U370" s="31" t="n">
        <v>22650</v>
      </c>
      <c r="V370" s="31" t="n">
        <v>6510</v>
      </c>
      <c r="W370" s="36" t="n">
        <v>-0.6887417218543046</v>
      </c>
      <c r="X370" s="36" t="n">
        <v>0.08294930875576045</v>
      </c>
      <c r="Y370" s="31" t="n">
        <v>17780753</v>
      </c>
      <c r="Z370" s="31" t="n">
        <v>125354308650</v>
      </c>
      <c r="AA370" s="31" t="n">
        <v>1020910500</v>
      </c>
      <c r="AB370" s="31" t="n">
        <v>906214797</v>
      </c>
      <c r="AC370" s="36" t="n">
        <v>0.008144199517309532</v>
      </c>
      <c r="AD370" s="29" t="inlineStr">
        <is>
          <t>yfinance_download</t>
        </is>
      </c>
      <c r="AE370" s="29" t="inlineStr">
        <is>
          <t>102120.KQ</t>
        </is>
      </c>
    </row>
    <row r="371" ht="24" customHeight="1">
      <c r="A371" s="24" t="inlineStr">
        <is>
          <t>2024-12-11</t>
        </is>
      </c>
      <c r="B371" s="30" t="n">
        <v>6920</v>
      </c>
      <c r="C371" s="30" t="n">
        <v>7570</v>
      </c>
      <c r="D371" s="30" t="n">
        <v>6920</v>
      </c>
      <c r="E371" s="30" t="n">
        <v>7500</v>
      </c>
      <c r="F371" s="30" t="n">
        <v>7500</v>
      </c>
      <c r="G371" s="30" t="n">
        <v>153782</v>
      </c>
      <c r="H371" s="35" t="n">
        <v>0.06382978723404253</v>
      </c>
      <c r="I371" s="35" t="n">
        <v>-0.6688741721854304</v>
      </c>
      <c r="J371" s="30" t="n">
        <v>7823</v>
      </c>
      <c r="K371" s="30" t="n">
        <v>9482.5</v>
      </c>
      <c r="L371" s="30" t="n">
        <v>11828.33333333333</v>
      </c>
      <c r="M371" s="35" t="n">
        <v>0.6121032118115596</v>
      </c>
      <c r="N371" s="35" t="n">
        <v>0.5150006789379157</v>
      </c>
      <c r="O371" s="35" t="n">
        <v>-0.1028708133971292</v>
      </c>
      <c r="P371" s="35" t="n">
        <v>-0.2911153119092628</v>
      </c>
      <c r="Q371" s="35" t="n">
        <v>-0.438622754491018</v>
      </c>
      <c r="R371" s="35" t="n">
        <v>-0.04128850824491881</v>
      </c>
      <c r="S371" s="35" t="n">
        <v>-0.2090693382546797</v>
      </c>
      <c r="T371" s="35" t="n">
        <v>-0.3659292658869946</v>
      </c>
      <c r="U371" s="30" t="n">
        <v>22650</v>
      </c>
      <c r="V371" s="30" t="n">
        <v>6510</v>
      </c>
      <c r="W371" s="35" t="n">
        <v>-0.6688741721854304</v>
      </c>
      <c r="X371" s="35" t="n">
        <v>0.1520737327188939</v>
      </c>
      <c r="Y371" s="30" t="n">
        <v>17780753</v>
      </c>
      <c r="Z371" s="30" t="n">
        <v>133355647500</v>
      </c>
      <c r="AA371" s="30" t="n">
        <v>1153365000</v>
      </c>
      <c r="AB371" s="30" t="n">
        <v>892673821</v>
      </c>
      <c r="AC371" s="35" t="n">
        <v>0.008648790070926693</v>
      </c>
      <c r="AD371" s="24" t="inlineStr">
        <is>
          <t>yfinance_download</t>
        </is>
      </c>
      <c r="AE371" s="24" t="inlineStr">
        <is>
          <t>102120.KQ</t>
        </is>
      </c>
    </row>
    <row r="372" ht="24" customHeight="1">
      <c r="A372" s="29" t="inlineStr">
        <is>
          <t>2024-12-12</t>
        </is>
      </c>
      <c r="B372" s="31" t="n">
        <v>7500</v>
      </c>
      <c r="C372" s="31" t="n">
        <v>7800</v>
      </c>
      <c r="D372" s="31" t="n">
        <v>7500</v>
      </c>
      <c r="E372" s="31" t="n">
        <v>7760</v>
      </c>
      <c r="F372" s="31" t="n">
        <v>7760</v>
      </c>
      <c r="G372" s="31" t="n">
        <v>151928</v>
      </c>
      <c r="H372" s="36" t="n">
        <v>0.03466666666666662</v>
      </c>
      <c r="I372" s="36" t="n">
        <v>-0.6573951434878587</v>
      </c>
      <c r="J372" s="31" t="n">
        <v>7807.5</v>
      </c>
      <c r="K372" s="31" t="n">
        <v>9436.5</v>
      </c>
      <c r="L372" s="31" t="n">
        <v>11779.58333333333</v>
      </c>
      <c r="M372" s="36" t="n">
        <v>0.6165445951379086</v>
      </c>
      <c r="N372" s="36" t="n">
        <v>0.5214382549784938</v>
      </c>
      <c r="O372" s="36" t="n">
        <v>-0.0384138785625775</v>
      </c>
      <c r="P372" s="36" t="n">
        <v>-0.2623574144486692</v>
      </c>
      <c r="Q372" s="36" t="n">
        <v>-0.4298310066127847</v>
      </c>
      <c r="R372" s="36" t="n">
        <v>-0.006083893691962827</v>
      </c>
      <c r="S372" s="36" t="n">
        <v>-0.1776612091347427</v>
      </c>
      <c r="T372" s="36" t="n">
        <v>-0.341233065685685</v>
      </c>
      <c r="U372" s="31" t="n">
        <v>22650</v>
      </c>
      <c r="V372" s="31" t="n">
        <v>6510</v>
      </c>
      <c r="W372" s="36" t="n">
        <v>-0.6573951434878587</v>
      </c>
      <c r="X372" s="36" t="n">
        <v>0.1920122887864824</v>
      </c>
      <c r="Y372" s="31" t="n">
        <v>17780753</v>
      </c>
      <c r="Z372" s="31" t="n">
        <v>137978643280</v>
      </c>
      <c r="AA372" s="31" t="n">
        <v>1178961280</v>
      </c>
      <c r="AB372" s="31" t="n">
        <v>901459975.5</v>
      </c>
      <c r="AC372" s="36" t="n">
        <v>0.008544520021171207</v>
      </c>
      <c r="AD372" s="29" t="inlineStr">
        <is>
          <t>yfinance_download</t>
        </is>
      </c>
      <c r="AE372" s="29" t="inlineStr">
        <is>
          <t>102120.KQ</t>
        </is>
      </c>
    </row>
    <row r="373" ht="24" customHeight="1">
      <c r="A373" s="24" t="inlineStr">
        <is>
          <t>2024-12-13</t>
        </is>
      </c>
      <c r="B373" s="30" t="n">
        <v>7710</v>
      </c>
      <c r="C373" s="30" t="n">
        <v>7860</v>
      </c>
      <c r="D373" s="30" t="n">
        <v>7650</v>
      </c>
      <c r="E373" s="30" t="n">
        <v>7830</v>
      </c>
      <c r="F373" s="30" t="n">
        <v>7830</v>
      </c>
      <c r="G373" s="30" t="n">
        <v>91989</v>
      </c>
      <c r="H373" s="35" t="n">
        <v>0.009020618556700999</v>
      </c>
      <c r="I373" s="35" t="n">
        <v>-0.6543046357615894</v>
      </c>
      <c r="J373" s="30" t="n">
        <v>7783</v>
      </c>
      <c r="K373" s="30" t="n">
        <v>9380.833333333334</v>
      </c>
      <c r="L373" s="30" t="n">
        <v>11723.33333333333</v>
      </c>
      <c r="M373" s="35" t="n">
        <v>0.6061632742030634</v>
      </c>
      <c r="N373" s="35" t="n">
        <v>0.5036862098374573</v>
      </c>
      <c r="O373" s="35" t="n">
        <v>-0.05889423076923073</v>
      </c>
      <c r="P373" s="35" t="n">
        <v>-0.2990152193375112</v>
      </c>
      <c r="Q373" s="35" t="n">
        <v>-0.4629629629629629</v>
      </c>
      <c r="R373" s="35" t="n">
        <v>0.006038802518309128</v>
      </c>
      <c r="S373" s="35" t="n">
        <v>-0.1653193568446301</v>
      </c>
      <c r="T373" s="35" t="n">
        <v>-0.3321012226329259</v>
      </c>
      <c r="U373" s="30" t="n">
        <v>22650</v>
      </c>
      <c r="V373" s="30" t="n">
        <v>6510</v>
      </c>
      <c r="W373" s="35" t="n">
        <v>-0.6543046357615894</v>
      </c>
      <c r="X373" s="35" t="n">
        <v>0.2027649769585254</v>
      </c>
      <c r="Y373" s="30" t="n">
        <v>17780753</v>
      </c>
      <c r="Z373" s="30" t="n">
        <v>139223295990</v>
      </c>
      <c r="AA373" s="30" t="n">
        <v>720273870</v>
      </c>
      <c r="AB373" s="30" t="n">
        <v>869728901</v>
      </c>
      <c r="AC373" s="35" t="n">
        <v>0.005173515429858342</v>
      </c>
      <c r="AD373" s="24" t="inlineStr">
        <is>
          <t>yfinance_download</t>
        </is>
      </c>
      <c r="AE373" s="24" t="inlineStr">
        <is>
          <t>102120.KQ</t>
        </is>
      </c>
    </row>
    <row r="374" ht="24" customHeight="1">
      <c r="A374" s="29" t="inlineStr">
        <is>
          <t>2024-12-16</t>
        </is>
      </c>
      <c r="B374" s="31" t="n">
        <v>8020</v>
      </c>
      <c r="C374" s="31" t="n">
        <v>8040</v>
      </c>
      <c r="D374" s="31" t="n">
        <v>7870</v>
      </c>
      <c r="E374" s="31" t="n">
        <v>7910</v>
      </c>
      <c r="F374" s="31" t="n">
        <v>7910</v>
      </c>
      <c r="G374" s="31" t="n">
        <v>101648</v>
      </c>
      <c r="H374" s="36" t="n">
        <v>0.01021711366538947</v>
      </c>
      <c r="I374" s="36" t="n">
        <v>-0.6507726269315673</v>
      </c>
      <c r="J374" s="31" t="n">
        <v>7761</v>
      </c>
      <c r="K374" s="31" t="n">
        <v>9329.333333333334</v>
      </c>
      <c r="L374" s="31" t="n">
        <v>11664.91666666667</v>
      </c>
      <c r="M374" s="36" t="n">
        <v>0.6074764387034408</v>
      </c>
      <c r="N374" s="36" t="n">
        <v>0.5042673008542121</v>
      </c>
      <c r="O374" s="36" t="n">
        <v>-0.05269461077844306</v>
      </c>
      <c r="P374" s="36" t="n">
        <v>-0.2809090909090909</v>
      </c>
      <c r="Q374" s="36" t="n">
        <v>-0.4698391420911529</v>
      </c>
      <c r="R374" s="36" t="n">
        <v>0.01919855688699901</v>
      </c>
      <c r="S374" s="36" t="n">
        <v>-0.152136629984279</v>
      </c>
      <c r="T374" s="36" t="n">
        <v>-0.3218982847427114</v>
      </c>
      <c r="U374" s="31" t="n">
        <v>22650</v>
      </c>
      <c r="V374" s="31" t="n">
        <v>6510</v>
      </c>
      <c r="W374" s="36" t="n">
        <v>-0.6507726269315673</v>
      </c>
      <c r="X374" s="36" t="n">
        <v>0.2150537634408602</v>
      </c>
      <c r="Y374" s="31" t="n">
        <v>17780753</v>
      </c>
      <c r="Z374" s="31" t="n">
        <v>140645756230</v>
      </c>
      <c r="AA374" s="31" t="n">
        <v>804035680</v>
      </c>
      <c r="AB374" s="31" t="n">
        <v>874696190</v>
      </c>
      <c r="AC374" s="36" t="n">
        <v>0.005716743267284575</v>
      </c>
      <c r="AD374" s="29" t="inlineStr">
        <is>
          <t>yfinance_download</t>
        </is>
      </c>
      <c r="AE374" s="29" t="inlineStr">
        <is>
          <t>102120.KQ</t>
        </is>
      </c>
    </row>
    <row r="375" ht="24" customHeight="1">
      <c r="A375" s="24" t="inlineStr">
        <is>
          <t>2024-12-17</t>
        </is>
      </c>
      <c r="B375" s="30" t="n">
        <v>8060</v>
      </c>
      <c r="C375" s="30" t="n">
        <v>8220</v>
      </c>
      <c r="D375" s="30" t="n">
        <v>7950</v>
      </c>
      <c r="E375" s="30" t="n">
        <v>8200</v>
      </c>
      <c r="F375" s="30" t="n">
        <v>8200</v>
      </c>
      <c r="G375" s="30" t="n">
        <v>148299</v>
      </c>
      <c r="H375" s="35" t="n">
        <v>0.03666245259165613</v>
      </c>
      <c r="I375" s="35" t="n">
        <v>-0.6379690949227372</v>
      </c>
      <c r="J375" s="30" t="n">
        <v>7765.5</v>
      </c>
      <c r="K375" s="30" t="n">
        <v>9288.833333333334</v>
      </c>
      <c r="L375" s="30" t="n">
        <v>11609</v>
      </c>
      <c r="M375" s="35" t="n">
        <v>0.613636405393632</v>
      </c>
      <c r="N375" s="35" t="n">
        <v>0.5077752780824027</v>
      </c>
      <c r="O375" s="35" t="n">
        <v>0.01109741060419234</v>
      </c>
      <c r="P375" s="35" t="n">
        <v>-0.2285983066792098</v>
      </c>
      <c r="Q375" s="35" t="n">
        <v>-0.4500335345405768</v>
      </c>
      <c r="R375" s="35" t="n">
        <v>0.05595261090721793</v>
      </c>
      <c r="S375" s="35" t="n">
        <v>-0.1172196005956974</v>
      </c>
      <c r="T375" s="35" t="n">
        <v>-0.2936514773020932</v>
      </c>
      <c r="U375" s="30" t="n">
        <v>22650</v>
      </c>
      <c r="V375" s="30" t="n">
        <v>6510</v>
      </c>
      <c r="W375" s="35" t="n">
        <v>-0.6379690949227372</v>
      </c>
      <c r="X375" s="35" t="n">
        <v>0.2596006144393241</v>
      </c>
      <c r="Y375" s="30" t="n">
        <v>17780753</v>
      </c>
      <c r="Z375" s="30" t="n">
        <v>145802174600</v>
      </c>
      <c r="AA375" s="30" t="n">
        <v>1216051800</v>
      </c>
      <c r="AB375" s="30" t="n">
        <v>899554449</v>
      </c>
      <c r="AC375" s="35" t="n">
        <v>0.00834042292809534</v>
      </c>
      <c r="AD375" s="24" t="inlineStr">
        <is>
          <t>yfinance_download</t>
        </is>
      </c>
      <c r="AE375" s="24" t="inlineStr">
        <is>
          <t>102120.KQ</t>
        </is>
      </c>
    </row>
    <row r="376" ht="24" customHeight="1">
      <c r="A376" s="29" t="inlineStr">
        <is>
          <t>2024-12-18</t>
        </is>
      </c>
      <c r="B376" s="31" t="n">
        <v>8200</v>
      </c>
      <c r="C376" s="31" t="n">
        <v>8240</v>
      </c>
      <c r="D376" s="31" t="n">
        <v>7970</v>
      </c>
      <c r="E376" s="31" t="n">
        <v>8170</v>
      </c>
      <c r="F376" s="31" t="n">
        <v>8170</v>
      </c>
      <c r="G376" s="31" t="n">
        <v>120068</v>
      </c>
      <c r="H376" s="36" t="n">
        <v>-0.003658536585365857</v>
      </c>
      <c r="I376" s="36" t="n">
        <v>-0.6392935982339956</v>
      </c>
      <c r="J376" s="31" t="n">
        <v>7769</v>
      </c>
      <c r="K376" s="31" t="n">
        <v>9246.166666666666</v>
      </c>
      <c r="L376" s="31" t="n">
        <v>11557.41666666667</v>
      </c>
      <c r="M376" s="36" t="n">
        <v>0.6138274463860059</v>
      </c>
      <c r="N376" s="36" t="n">
        <v>0.5070277794369908</v>
      </c>
      <c r="O376" s="36" t="n">
        <v>0.008641975308641969</v>
      </c>
      <c r="P376" s="36" t="n">
        <v>-0.2385834109972041</v>
      </c>
      <c r="Q376" s="36" t="n">
        <v>-0.4310584958217271</v>
      </c>
      <c r="R376" s="36" t="n">
        <v>0.05161539451666886</v>
      </c>
      <c r="S376" s="36" t="n">
        <v>-0.1163905762748526</v>
      </c>
      <c r="T376" s="36" t="n">
        <v>-0.2930946217796653</v>
      </c>
      <c r="U376" s="31" t="n">
        <v>22650</v>
      </c>
      <c r="V376" s="31" t="n">
        <v>6510</v>
      </c>
      <c r="W376" s="36" t="n">
        <v>-0.6392935982339956</v>
      </c>
      <c r="X376" s="36" t="n">
        <v>0.2549923195084485</v>
      </c>
      <c r="Y376" s="31" t="n">
        <v>17780753</v>
      </c>
      <c r="Z376" s="31" t="n">
        <v>145268752010</v>
      </c>
      <c r="AA376" s="31" t="n">
        <v>980955560</v>
      </c>
      <c r="AB376" s="31" t="n">
        <v>926393242</v>
      </c>
      <c r="AC376" s="36" t="n">
        <v>0.006752694894305095</v>
      </c>
      <c r="AD376" s="29" t="inlineStr">
        <is>
          <t>yfinance_download</t>
        </is>
      </c>
      <c r="AE376" s="29" t="inlineStr">
        <is>
          <t>102120.KQ</t>
        </is>
      </c>
    </row>
    <row r="377" ht="24" customHeight="1">
      <c r="A377" s="24" t="inlineStr">
        <is>
          <t>2024-12-19</t>
        </is>
      </c>
      <c r="B377" s="30" t="n">
        <v>7950</v>
      </c>
      <c r="C377" s="30" t="n">
        <v>8120</v>
      </c>
      <c r="D377" s="30" t="n">
        <v>7850</v>
      </c>
      <c r="E377" s="30" t="n">
        <v>7950</v>
      </c>
      <c r="F377" s="30" t="n">
        <v>7950</v>
      </c>
      <c r="G377" s="30" t="n">
        <v>69056</v>
      </c>
      <c r="H377" s="35" t="n">
        <v>-0.02692778457772338</v>
      </c>
      <c r="I377" s="35" t="n">
        <v>-0.6490066225165563</v>
      </c>
      <c r="J377" s="30" t="n">
        <v>7763</v>
      </c>
      <c r="K377" s="30" t="n">
        <v>9199.333333333334</v>
      </c>
      <c r="L377" s="30" t="n">
        <v>11500.33333333333</v>
      </c>
      <c r="M377" s="35" t="n">
        <v>0.6217418462277404</v>
      </c>
      <c r="N377" s="35" t="n">
        <v>0.5089739479379776</v>
      </c>
      <c r="O377" s="35" t="n">
        <v>-0.01486988847583648</v>
      </c>
      <c r="P377" s="35" t="n">
        <v>-0.2611524163568774</v>
      </c>
      <c r="Q377" s="35" t="n">
        <v>-0.4628378378378378</v>
      </c>
      <c r="R377" s="35" t="n">
        <v>0.02408862553136681</v>
      </c>
      <c r="S377" s="35" t="n">
        <v>-0.1358069425320676</v>
      </c>
      <c r="T377" s="35" t="n">
        <v>-0.3087156894003072</v>
      </c>
      <c r="U377" s="30" t="n">
        <v>22650</v>
      </c>
      <c r="V377" s="30" t="n">
        <v>6510</v>
      </c>
      <c r="W377" s="35" t="n">
        <v>-0.6490066225165563</v>
      </c>
      <c r="X377" s="35" t="n">
        <v>0.2211981566820276</v>
      </c>
      <c r="Y377" s="30" t="n">
        <v>17780753</v>
      </c>
      <c r="Z377" s="30" t="n">
        <v>141356986350</v>
      </c>
      <c r="AA377" s="30" t="n">
        <v>548995200</v>
      </c>
      <c r="AB377" s="30" t="n">
        <v>918229688.5</v>
      </c>
      <c r="AC377" s="35" t="n">
        <v>0.003883750030159015</v>
      </c>
      <c r="AD377" s="24" t="inlineStr">
        <is>
          <t>yfinance_download</t>
        </is>
      </c>
      <c r="AE377" s="24" t="inlineStr">
        <is>
          <t>102120.KQ</t>
        </is>
      </c>
    </row>
    <row r="378" ht="24" customHeight="1">
      <c r="A378" s="29" t="inlineStr">
        <is>
          <t>2024-12-20</t>
        </is>
      </c>
      <c r="B378" s="31" t="n">
        <v>7910</v>
      </c>
      <c r="C378" s="31" t="n">
        <v>8180</v>
      </c>
      <c r="D378" s="31" t="n">
        <v>7550</v>
      </c>
      <c r="E378" s="31" t="n">
        <v>7650</v>
      </c>
      <c r="F378" s="31" t="n">
        <v>7650</v>
      </c>
      <c r="G378" s="31" t="n">
        <v>111421</v>
      </c>
      <c r="H378" s="36" t="n">
        <v>-0.03773584905660377</v>
      </c>
      <c r="I378" s="36" t="n">
        <v>-0.6622516556291391</v>
      </c>
      <c r="J378" s="31" t="n">
        <v>7736</v>
      </c>
      <c r="K378" s="31" t="n">
        <v>9144.5</v>
      </c>
      <c r="L378" s="31" t="n">
        <v>11437.41666666667</v>
      </c>
      <c r="M378" s="36" t="n">
        <v>0.6329689440488857</v>
      </c>
      <c r="N378" s="36" t="n">
        <v>0.5114922594451919</v>
      </c>
      <c r="O378" s="36" t="n">
        <v>-0.06593406593406592</v>
      </c>
      <c r="P378" s="36" t="n">
        <v>-0.3007312614259597</v>
      </c>
      <c r="Q378" s="36" t="n">
        <v>-0.4967105263157895</v>
      </c>
      <c r="R378" s="36" t="n">
        <v>-0.0111168562564633</v>
      </c>
      <c r="S378" s="36" t="n">
        <v>-0.1634315708896058</v>
      </c>
      <c r="T378" s="36" t="n">
        <v>-0.3311426677061399</v>
      </c>
      <c r="U378" s="31" t="n">
        <v>22650</v>
      </c>
      <c r="V378" s="31" t="n">
        <v>6510</v>
      </c>
      <c r="W378" s="36" t="n">
        <v>-0.6622516556291391</v>
      </c>
      <c r="X378" s="36" t="n">
        <v>0.1751152073732718</v>
      </c>
      <c r="Y378" s="31" t="n">
        <v>17780753</v>
      </c>
      <c r="Z378" s="31" t="n">
        <v>136022760450</v>
      </c>
      <c r="AA378" s="31" t="n">
        <v>852370650</v>
      </c>
      <c r="AB378" s="31" t="n">
        <v>925870369</v>
      </c>
      <c r="AC378" s="36" t="n">
        <v>0.006266382531718426</v>
      </c>
      <c r="AD378" s="29" t="inlineStr">
        <is>
          <t>yfinance_download</t>
        </is>
      </c>
      <c r="AE378" s="29" t="inlineStr">
        <is>
          <t>102120.KQ</t>
        </is>
      </c>
    </row>
    <row r="379" ht="24" customHeight="1">
      <c r="A379" s="24" t="inlineStr">
        <is>
          <t>2024-12-23</t>
        </is>
      </c>
      <c r="B379" s="30" t="n">
        <v>7740</v>
      </c>
      <c r="C379" s="30" t="n">
        <v>8130</v>
      </c>
      <c r="D379" s="30" t="n">
        <v>7740</v>
      </c>
      <c r="E379" s="30" t="n">
        <v>7910</v>
      </c>
      <c r="F379" s="30" t="n">
        <v>7910</v>
      </c>
      <c r="G379" s="30" t="n">
        <v>93662</v>
      </c>
      <c r="H379" s="35" t="n">
        <v>0.03398692810457526</v>
      </c>
      <c r="I379" s="35" t="n">
        <v>-0.6507726269315673</v>
      </c>
      <c r="J379" s="30" t="n">
        <v>7707.5</v>
      </c>
      <c r="K379" s="30" t="n">
        <v>9094.166666666666</v>
      </c>
      <c r="L379" s="30" t="n">
        <v>11382</v>
      </c>
      <c r="M379" s="35" t="n">
        <v>0.6318538855121386</v>
      </c>
      <c r="N379" s="35" t="n">
        <v>0.5177719710116048</v>
      </c>
      <c r="O379" s="35" t="n">
        <v>-0.06721698113207553</v>
      </c>
      <c r="P379" s="35" t="n">
        <v>-0.2763037511436414</v>
      </c>
      <c r="Q379" s="35" t="n">
        <v>-0.4567307692307693</v>
      </c>
      <c r="R379" s="35" t="n">
        <v>0.02627311060655213</v>
      </c>
      <c r="S379" s="35" t="n">
        <v>-0.1302116741500962</v>
      </c>
      <c r="T379" s="35" t="n">
        <v>-0.3050430504305043</v>
      </c>
      <c r="U379" s="30" t="n">
        <v>22650</v>
      </c>
      <c r="V379" s="30" t="n">
        <v>6510</v>
      </c>
      <c r="W379" s="35" t="n">
        <v>-0.6507726269315673</v>
      </c>
      <c r="X379" s="35" t="n">
        <v>0.2150537634408602</v>
      </c>
      <c r="Y379" s="30" t="n">
        <v>17780753</v>
      </c>
      <c r="Z379" s="30" t="n">
        <v>140645756230</v>
      </c>
      <c r="AA379" s="30" t="n">
        <v>740866420</v>
      </c>
      <c r="AB379" s="30" t="n">
        <v>927665722</v>
      </c>
      <c r="AC379" s="35" t="n">
        <v>0.005267605933224537</v>
      </c>
      <c r="AD379" s="24" t="inlineStr">
        <is>
          <t>yfinance_download</t>
        </is>
      </c>
      <c r="AE379" s="24" t="inlineStr">
        <is>
          <t>102120.KQ</t>
        </is>
      </c>
    </row>
    <row r="380" ht="24" customHeight="1">
      <c r="A380" s="29" t="inlineStr">
        <is>
          <t>2024-12-24</t>
        </is>
      </c>
      <c r="B380" s="31" t="n">
        <v>8010</v>
      </c>
      <c r="C380" s="31" t="n">
        <v>8140</v>
      </c>
      <c r="D380" s="31" t="n">
        <v>7810</v>
      </c>
      <c r="E380" s="31" t="n">
        <v>7850</v>
      </c>
      <c r="F380" s="31" t="n">
        <v>7850</v>
      </c>
      <c r="G380" s="31" t="n">
        <v>44912</v>
      </c>
      <c r="H380" s="36" t="n">
        <v>-0.007585335018963302</v>
      </c>
      <c r="I380" s="36" t="n">
        <v>-0.6534216335540839</v>
      </c>
      <c r="J380" s="31" t="n">
        <v>7676.5</v>
      </c>
      <c r="K380" s="31" t="n">
        <v>9031.666666666666</v>
      </c>
      <c r="L380" s="31" t="n">
        <v>11315.33333333333</v>
      </c>
      <c r="M380" s="36" t="n">
        <v>0.6320552598866316</v>
      </c>
      <c r="N380" s="36" t="n">
        <v>0.4990903312429875</v>
      </c>
      <c r="O380" s="36" t="n">
        <v>-0.07319952774498228</v>
      </c>
      <c r="P380" s="36" t="n">
        <v>-0.3232758620689655</v>
      </c>
      <c r="Q380" s="36" t="n">
        <v>-0.5047318611987381</v>
      </c>
      <c r="R380" s="36" t="n">
        <v>0.0226014459714714</v>
      </c>
      <c r="S380" s="36" t="n">
        <v>-0.1308359475918065</v>
      </c>
      <c r="T380" s="36" t="n">
        <v>-0.3062511046956932</v>
      </c>
      <c r="U380" s="31" t="n">
        <v>22650</v>
      </c>
      <c r="V380" s="31" t="n">
        <v>6510</v>
      </c>
      <c r="W380" s="36" t="n">
        <v>-0.6534216335540839</v>
      </c>
      <c r="X380" s="36" t="n">
        <v>0.2058371735791091</v>
      </c>
      <c r="Y380" s="31" t="n">
        <v>17780753</v>
      </c>
      <c r="Z380" s="31" t="n">
        <v>139578911050</v>
      </c>
      <c r="AA380" s="31" t="n">
        <v>352559200</v>
      </c>
      <c r="AB380" s="31" t="n">
        <v>914281200.5</v>
      </c>
      <c r="AC380" s="36" t="n">
        <v>0.002525877278650685</v>
      </c>
      <c r="AD380" s="29" t="inlineStr">
        <is>
          <t>yfinance_download</t>
        </is>
      </c>
      <c r="AE380" s="29" t="inlineStr">
        <is>
          <t>102120.KQ</t>
        </is>
      </c>
    </row>
    <row r="381" ht="24" customHeight="1">
      <c r="A381" s="24" t="inlineStr">
        <is>
          <t>2024-12-26</t>
        </is>
      </c>
      <c r="B381" s="30" t="n">
        <v>7900</v>
      </c>
      <c r="C381" s="30" t="n">
        <v>7990</v>
      </c>
      <c r="D381" s="30" t="n">
        <v>7630</v>
      </c>
      <c r="E381" s="30" t="n">
        <v>7680</v>
      </c>
      <c r="F381" s="30" t="n">
        <v>7680</v>
      </c>
      <c r="G381" s="30" t="n">
        <v>53225</v>
      </c>
      <c r="H381" s="35" t="n">
        <v>-0.02165605095541401</v>
      </c>
      <c r="I381" s="35" t="n">
        <v>-0.6609271523178808</v>
      </c>
      <c r="J381" s="30" t="n">
        <v>7652</v>
      </c>
      <c r="K381" s="30" t="n">
        <v>8966</v>
      </c>
      <c r="L381" s="30" t="n">
        <v>11239.66666666667</v>
      </c>
      <c r="M381" s="35" t="n">
        <v>0.6245487816458672</v>
      </c>
      <c r="N381" s="35" t="n">
        <v>0.4998442414872277</v>
      </c>
      <c r="O381" s="35" t="n">
        <v>-0.05997552019583841</v>
      </c>
      <c r="P381" s="35" t="n">
        <v>-0.3390705679862306</v>
      </c>
      <c r="Q381" s="35" t="n">
        <v>-0.5417661097852029</v>
      </c>
      <c r="R381" s="35" t="n">
        <v>0.003659174072137894</v>
      </c>
      <c r="S381" s="35" t="n">
        <v>-0.1434307383448583</v>
      </c>
      <c r="T381" s="35" t="n">
        <v>-0.3167057148788517</v>
      </c>
      <c r="U381" s="30" t="n">
        <v>22650</v>
      </c>
      <c r="V381" s="30" t="n">
        <v>6510</v>
      </c>
      <c r="W381" s="35" t="n">
        <v>-0.6609271523178808</v>
      </c>
      <c r="X381" s="35" t="n">
        <v>0.1797235023041475</v>
      </c>
      <c r="Y381" s="30" t="n">
        <v>17780753</v>
      </c>
      <c r="Z381" s="30" t="n">
        <v>136556183040</v>
      </c>
      <c r="AA381" s="30" t="n">
        <v>408768000</v>
      </c>
      <c r="AB381" s="30" t="n">
        <v>895165362.5</v>
      </c>
      <c r="AC381" s="35" t="n">
        <v>0.002993405284916786</v>
      </c>
      <c r="AD381" s="24" t="inlineStr">
        <is>
          <t>yfinance_download</t>
        </is>
      </c>
      <c r="AE381" s="24" t="inlineStr">
        <is>
          <t>102120.KQ</t>
        </is>
      </c>
    </row>
    <row r="382" ht="24" customHeight="1">
      <c r="A382" s="29" t="inlineStr">
        <is>
          <t>2024-12-27</t>
        </is>
      </c>
      <c r="B382" s="31" t="n">
        <v>7540</v>
      </c>
      <c r="C382" s="31" t="n">
        <v>7830</v>
      </c>
      <c r="D382" s="31" t="n">
        <v>7500</v>
      </c>
      <c r="E382" s="31" t="n">
        <v>7530</v>
      </c>
      <c r="F382" s="31" t="n">
        <v>7530</v>
      </c>
      <c r="G382" s="31" t="n">
        <v>68487</v>
      </c>
      <c r="H382" s="36" t="n">
        <v>-0.01953125</v>
      </c>
      <c r="I382" s="36" t="n">
        <v>-0.6675496688741722</v>
      </c>
      <c r="J382" s="31" t="n">
        <v>7624.5</v>
      </c>
      <c r="K382" s="31" t="n">
        <v>8906.166666666666</v>
      </c>
      <c r="L382" s="31" t="n">
        <v>11161.91666666667</v>
      </c>
      <c r="M382" s="36" t="n">
        <v>0.6268419349562064</v>
      </c>
      <c r="N382" s="36" t="n">
        <v>0.4947815414260706</v>
      </c>
      <c r="O382" s="36" t="n">
        <v>-0.06806930693069302</v>
      </c>
      <c r="P382" s="36" t="n">
        <v>-0.322841726618705</v>
      </c>
      <c r="Q382" s="36" t="n">
        <v>-0.5533807829181494</v>
      </c>
      <c r="R382" s="36" t="n">
        <v>-0.01239425536100724</v>
      </c>
      <c r="S382" s="36" t="n">
        <v>-0.1545184048505717</v>
      </c>
      <c r="T382" s="36" t="n">
        <v>-0.3253846785572967</v>
      </c>
      <c r="U382" s="31" t="n">
        <v>22650</v>
      </c>
      <c r="V382" s="31" t="n">
        <v>6510</v>
      </c>
      <c r="W382" s="36" t="n">
        <v>-0.6675496688741722</v>
      </c>
      <c r="X382" s="36" t="n">
        <v>0.1566820276497696</v>
      </c>
      <c r="Y382" s="31" t="n">
        <v>17780753</v>
      </c>
      <c r="Z382" s="31" t="n">
        <v>133889070090</v>
      </c>
      <c r="AA382" s="31" t="n">
        <v>515707110</v>
      </c>
      <c r="AB382" s="31" t="n">
        <v>896167338</v>
      </c>
      <c r="AC382" s="36" t="n">
        <v>0.003851749135708707</v>
      </c>
      <c r="AD382" s="29" t="inlineStr">
        <is>
          <t>yfinance_download</t>
        </is>
      </c>
      <c r="AE382" s="29" t="inlineStr">
        <is>
          <t>102120.KQ</t>
        </is>
      </c>
    </row>
    <row r="383" ht="24" customHeight="1">
      <c r="A383" s="24" t="inlineStr">
        <is>
          <t>2024-12-30</t>
        </is>
      </c>
      <c r="B383" s="30" t="n">
        <v>7500</v>
      </c>
      <c r="C383" s="30" t="n">
        <v>7570</v>
      </c>
      <c r="D383" s="30" t="n">
        <v>7400</v>
      </c>
      <c r="E383" s="30" t="n">
        <v>7570</v>
      </c>
      <c r="F383" s="30" t="n">
        <v>7570</v>
      </c>
      <c r="G383" s="30" t="n">
        <v>51558</v>
      </c>
      <c r="H383" s="35" t="n">
        <v>0.005312084993359889</v>
      </c>
      <c r="I383" s="35" t="n">
        <v>-0.6657836644591612</v>
      </c>
      <c r="J383" s="30" t="n">
        <v>7613.5</v>
      </c>
      <c r="K383" s="30" t="n">
        <v>8851.166666666666</v>
      </c>
      <c r="L383" s="30" t="n">
        <v>11086.83333333333</v>
      </c>
      <c r="M383" s="35" t="n">
        <v>0.6149267890792404</v>
      </c>
      <c r="N383" s="35" t="n">
        <v>0.4941049043747791</v>
      </c>
      <c r="O383" s="35" t="n">
        <v>-0.02824133504492943</v>
      </c>
      <c r="P383" s="35" t="n">
        <v>-0.3035878564857406</v>
      </c>
      <c r="Q383" s="35" t="n">
        <v>-0.5434258142340169</v>
      </c>
      <c r="R383" s="35" t="n">
        <v>-0.005713535167794048</v>
      </c>
      <c r="S383" s="35" t="n">
        <v>-0.1447455137740787</v>
      </c>
      <c r="T383" s="35" t="n">
        <v>-0.3172080996978398</v>
      </c>
      <c r="U383" s="30" t="n">
        <v>22650</v>
      </c>
      <c r="V383" s="30" t="n">
        <v>6510</v>
      </c>
      <c r="W383" s="35" t="n">
        <v>-0.6657836644591612</v>
      </c>
      <c r="X383" s="35" t="n">
        <v>0.1628264208909371</v>
      </c>
      <c r="Y383" s="30" t="n">
        <v>17780753</v>
      </c>
      <c r="Z383" s="30" t="n">
        <v>134600300210</v>
      </c>
      <c r="AA383" s="30" t="n">
        <v>390294060</v>
      </c>
      <c r="AB383" s="30" t="n">
        <v>876906537</v>
      </c>
      <c r="AC383" s="35" t="n">
        <v>0.002899652225077307</v>
      </c>
      <c r="AD383" s="24" t="inlineStr">
        <is>
          <t>yfinance_download</t>
        </is>
      </c>
      <c r="AE383" s="24" t="inlineStr">
        <is>
          <t>102120.KQ</t>
        </is>
      </c>
    </row>
    <row r="384" ht="24" customHeight="1">
      <c r="A384" s="29" t="inlineStr">
        <is>
          <t>2025-01-02</t>
        </is>
      </c>
      <c r="B384" s="31" t="n">
        <v>7510</v>
      </c>
      <c r="C384" s="31" t="n">
        <v>7710</v>
      </c>
      <c r="D384" s="31" t="n">
        <v>7390</v>
      </c>
      <c r="E384" s="31" t="n">
        <v>7710</v>
      </c>
      <c r="F384" s="31" t="n">
        <v>7710</v>
      </c>
      <c r="G384" s="31" t="n">
        <v>62738</v>
      </c>
      <c r="H384" s="36" t="n">
        <v>0.01849405548216643</v>
      </c>
      <c r="I384" s="36" t="n">
        <v>-0.6596026490066225</v>
      </c>
      <c r="J384" s="31" t="n">
        <v>7617</v>
      </c>
      <c r="K384" s="31" t="n">
        <v>8795.666666666666</v>
      </c>
      <c r="L384" s="31" t="n">
        <v>10998.58333333333</v>
      </c>
      <c r="M384" s="36" t="n">
        <v>0.6144361734601496</v>
      </c>
      <c r="N384" s="36" t="n">
        <v>0.4946617429041279</v>
      </c>
      <c r="O384" s="36" t="n">
        <v>0.009162303664921545</v>
      </c>
      <c r="P384" s="36" t="n">
        <v>-0.3016304347826086</v>
      </c>
      <c r="Q384" s="36" t="n">
        <v>-0.578688524590164</v>
      </c>
      <c r="R384" s="36" t="n">
        <v>0.01220953131154001</v>
      </c>
      <c r="S384" s="36" t="n">
        <v>-0.1234319930268692</v>
      </c>
      <c r="T384" s="36" t="n">
        <v>-0.2990006288688695</v>
      </c>
      <c r="U384" s="31" t="n">
        <v>22650</v>
      </c>
      <c r="V384" s="31" t="n">
        <v>6510</v>
      </c>
      <c r="W384" s="36" t="n">
        <v>-0.6596026490066225</v>
      </c>
      <c r="X384" s="36" t="n">
        <v>0.1843317972350231</v>
      </c>
      <c r="Y384" s="31" t="n">
        <v>17780753</v>
      </c>
      <c r="Z384" s="31" t="n">
        <v>137089605630</v>
      </c>
      <c r="AA384" s="31" t="n">
        <v>483709980</v>
      </c>
      <c r="AB384" s="31" t="n">
        <v>852125748</v>
      </c>
      <c r="AC384" s="36" t="n">
        <v>0.003528421996526244</v>
      </c>
      <c r="AD384" s="29" t="inlineStr">
        <is>
          <t>yfinance_download</t>
        </is>
      </c>
      <c r="AE384" s="29" t="inlineStr">
        <is>
          <t>102120.KQ</t>
        </is>
      </c>
    </row>
    <row r="385" ht="24" customHeight="1">
      <c r="A385" s="24" t="inlineStr">
        <is>
          <t>2025-01-03</t>
        </is>
      </c>
      <c r="B385" s="30" t="n">
        <v>7800</v>
      </c>
      <c r="C385" s="30" t="n">
        <v>8180</v>
      </c>
      <c r="D385" s="30" t="n">
        <v>7700</v>
      </c>
      <c r="E385" s="30" t="n">
        <v>8150</v>
      </c>
      <c r="F385" s="30" t="n">
        <v>8150</v>
      </c>
      <c r="G385" s="30" t="n">
        <v>187235</v>
      </c>
      <c r="H385" s="35" t="n">
        <v>0.05706874189364464</v>
      </c>
      <c r="I385" s="35" t="n">
        <v>-0.640176600441501</v>
      </c>
      <c r="J385" s="30" t="n">
        <v>7637</v>
      </c>
      <c r="K385" s="30" t="n">
        <v>8742.166666666666</v>
      </c>
      <c r="L385" s="30" t="n">
        <v>10918.83333333333</v>
      </c>
      <c r="M385" s="35" t="n">
        <v>0.6445555114411424</v>
      </c>
      <c r="N385" s="35" t="n">
        <v>0.5062337903383909</v>
      </c>
      <c r="O385" s="35" t="n">
        <v>0.05161290322580636</v>
      </c>
      <c r="P385" s="35" t="n">
        <v>-0.2825704225352113</v>
      </c>
      <c r="Q385" s="35" t="n">
        <v>-0.5400677200902935</v>
      </c>
      <c r="R385" s="35" t="n">
        <v>0.06717297368076469</v>
      </c>
      <c r="S385" s="35" t="n">
        <v>-0.06773683106781303</v>
      </c>
      <c r="T385" s="35" t="n">
        <v>-0.2535832582846153</v>
      </c>
      <c r="U385" s="30" t="n">
        <v>22650</v>
      </c>
      <c r="V385" s="30" t="n">
        <v>6510</v>
      </c>
      <c r="W385" s="35" t="n">
        <v>-0.640176600441501</v>
      </c>
      <c r="X385" s="35" t="n">
        <v>0.2519201228878649</v>
      </c>
      <c r="Y385" s="30" t="n">
        <v>17780753</v>
      </c>
      <c r="Z385" s="30" t="n">
        <v>144913136950</v>
      </c>
      <c r="AA385" s="30" t="n">
        <v>1525965250</v>
      </c>
      <c r="AB385" s="30" t="n">
        <v>890611760.5</v>
      </c>
      <c r="AC385" s="35" t="n">
        <v>0.01053020645413611</v>
      </c>
      <c r="AD385" s="24" t="inlineStr">
        <is>
          <t>yfinance_download</t>
        </is>
      </c>
      <c r="AE385" s="24" t="inlineStr">
        <is>
          <t>102120.KQ</t>
        </is>
      </c>
    </row>
    <row r="386" ht="24" customHeight="1">
      <c r="A386" s="29" t="inlineStr">
        <is>
          <t>2025-01-06</t>
        </is>
      </c>
      <c r="B386" s="31" t="n">
        <v>8270</v>
      </c>
      <c r="C386" s="31" t="n">
        <v>8600</v>
      </c>
      <c r="D386" s="31" t="n">
        <v>8210</v>
      </c>
      <c r="E386" s="31" t="n">
        <v>8560</v>
      </c>
      <c r="F386" s="31" t="n">
        <v>8560</v>
      </c>
      <c r="G386" s="31" t="n">
        <v>231066</v>
      </c>
      <c r="H386" s="36" t="n">
        <v>0.0503067484662576</v>
      </c>
      <c r="I386" s="36" t="n">
        <v>-0.6220750551876379</v>
      </c>
      <c r="J386" s="31" t="n">
        <v>7695.5</v>
      </c>
      <c r="K386" s="31" t="n">
        <v>8700</v>
      </c>
      <c r="L386" s="31" t="n">
        <v>10836.33333333333</v>
      </c>
      <c r="M386" s="36" t="n">
        <v>0.6369642561334669</v>
      </c>
      <c r="N386" s="36" t="n">
        <v>0.5171603735678417</v>
      </c>
      <c r="O386" s="36" t="n">
        <v>0.1583220568335588</v>
      </c>
      <c r="P386" s="36" t="n">
        <v>-0.2281334535617674</v>
      </c>
      <c r="Q386" s="36" t="n">
        <v>-0.5362946912242688</v>
      </c>
      <c r="R386" s="36" t="n">
        <v>0.1123383795724775</v>
      </c>
      <c r="S386" s="36" t="n">
        <v>-0.01609195402298846</v>
      </c>
      <c r="T386" s="36" t="n">
        <v>-0.2100649051032022</v>
      </c>
      <c r="U386" s="31" t="n">
        <v>22650</v>
      </c>
      <c r="V386" s="31" t="n">
        <v>6510</v>
      </c>
      <c r="W386" s="36" t="n">
        <v>-0.6220750551876379</v>
      </c>
      <c r="X386" s="36" t="n">
        <v>0.314900153609831</v>
      </c>
      <c r="Y386" s="31" t="n">
        <v>17780753</v>
      </c>
      <c r="Z386" s="31" t="n">
        <v>152203245680</v>
      </c>
      <c r="AA386" s="31" t="n">
        <v>1977924960</v>
      </c>
      <c r="AB386" s="31" t="n">
        <v>943332702</v>
      </c>
      <c r="AC386" s="36" t="n">
        <v>0.01299528765738999</v>
      </c>
      <c r="AD386" s="29" t="inlineStr">
        <is>
          <t>yfinance_download</t>
        </is>
      </c>
      <c r="AE386" s="29" t="inlineStr">
        <is>
          <t>102120.KQ</t>
        </is>
      </c>
    </row>
    <row r="387" ht="24" customHeight="1">
      <c r="A387" s="24" t="inlineStr">
        <is>
          <t>2025-01-07</t>
        </is>
      </c>
      <c r="B387" s="30" t="n">
        <v>8770</v>
      </c>
      <c r="C387" s="30" t="n">
        <v>9120</v>
      </c>
      <c r="D387" s="30" t="n">
        <v>8460</v>
      </c>
      <c r="E387" s="30" t="n">
        <v>8580</v>
      </c>
      <c r="F387" s="30" t="n">
        <v>8580</v>
      </c>
      <c r="G387" s="30" t="n">
        <v>321375</v>
      </c>
      <c r="H387" s="35" t="n">
        <v>0.002336448598130758</v>
      </c>
      <c r="I387" s="35" t="n">
        <v>-0.6211920529801325</v>
      </c>
      <c r="J387" s="30" t="n">
        <v>7755</v>
      </c>
      <c r="K387" s="30" t="n">
        <v>8662.833333333334</v>
      </c>
      <c r="L387" s="30" t="n">
        <v>10765.25</v>
      </c>
      <c r="M387" s="35" t="n">
        <v>0.6366222960297659</v>
      </c>
      <c r="N387" s="35" t="n">
        <v>0.5153573161211821</v>
      </c>
      <c r="O387" s="35" t="n">
        <v>0.1610284167794316</v>
      </c>
      <c r="P387" s="35" t="n">
        <v>-0.206290471785384</v>
      </c>
      <c r="Q387" s="35" t="n">
        <v>-0.4985388661601403</v>
      </c>
      <c r="R387" s="35" t="n">
        <v>0.1063829787234043</v>
      </c>
      <c r="S387" s="35" t="n">
        <v>-0.009561921619177793</v>
      </c>
      <c r="T387" s="35" t="n">
        <v>-0.2029911056408351</v>
      </c>
      <c r="U387" s="30" t="n">
        <v>22650</v>
      </c>
      <c r="V387" s="30" t="n">
        <v>6510</v>
      </c>
      <c r="W387" s="35" t="n">
        <v>-0.6211920529801325</v>
      </c>
      <c r="X387" s="35" t="n">
        <v>0.3179723502304148</v>
      </c>
      <c r="Y387" s="30" t="n">
        <v>17780753</v>
      </c>
      <c r="Z387" s="30" t="n">
        <v>152558860740</v>
      </c>
      <c r="AA387" s="30" t="n">
        <v>2757397500</v>
      </c>
      <c r="AB387" s="30" t="n">
        <v>1034092435.5</v>
      </c>
      <c r="AC387" s="35" t="n">
        <v>0.01807431889976763</v>
      </c>
      <c r="AD387" s="24" t="inlineStr">
        <is>
          <t>yfinance_download</t>
        </is>
      </c>
      <c r="AE387" s="24" t="inlineStr">
        <is>
          <t>102120.KQ</t>
        </is>
      </c>
    </row>
    <row r="388" ht="24" customHeight="1">
      <c r="A388" s="29" t="inlineStr">
        <is>
          <t>2025-01-08</t>
        </is>
      </c>
      <c r="B388" s="31" t="n">
        <v>8430</v>
      </c>
      <c r="C388" s="31" t="n">
        <v>8920</v>
      </c>
      <c r="D388" s="31" t="n">
        <v>8290</v>
      </c>
      <c r="E388" s="31" t="n">
        <v>8850</v>
      </c>
      <c r="F388" s="31" t="n">
        <v>8850</v>
      </c>
      <c r="G388" s="31" t="n">
        <v>190963</v>
      </c>
      <c r="H388" s="36" t="n">
        <v>0.03146853146853146</v>
      </c>
      <c r="I388" s="36" t="n">
        <v>-0.6092715231788079</v>
      </c>
      <c r="J388" s="31" t="n">
        <v>7846</v>
      </c>
      <c r="K388" s="31" t="n">
        <v>8629.833333333334</v>
      </c>
      <c r="L388" s="31" t="n">
        <v>10703.75</v>
      </c>
      <c r="M388" s="36" t="n">
        <v>0.6042585532592317</v>
      </c>
      <c r="N388" s="36" t="n">
        <v>0.5201798065607409</v>
      </c>
      <c r="O388" s="36" t="n">
        <v>0.2588904694167853</v>
      </c>
      <c r="P388" s="36" t="n">
        <v>-0.182825484764543</v>
      </c>
      <c r="Q388" s="36" t="n">
        <v>-0.4547134935304991</v>
      </c>
      <c r="R388" s="36" t="n">
        <v>0.1279632933979098</v>
      </c>
      <c r="S388" s="36" t="n">
        <v>0.02551227331543671</v>
      </c>
      <c r="T388" s="36" t="n">
        <v>-0.173186967184398</v>
      </c>
      <c r="U388" s="31" t="n">
        <v>22650</v>
      </c>
      <c r="V388" s="31" t="n">
        <v>6510</v>
      </c>
      <c r="W388" s="36" t="n">
        <v>-0.6092715231788079</v>
      </c>
      <c r="X388" s="36" t="n">
        <v>0.3594470046082949</v>
      </c>
      <c r="Y388" s="31" t="n">
        <v>17780753</v>
      </c>
      <c r="Z388" s="31" t="n">
        <v>157359664050</v>
      </c>
      <c r="AA388" s="31" t="n">
        <v>1690022550</v>
      </c>
      <c r="AB388" s="31" t="n">
        <v>1031659880</v>
      </c>
      <c r="AC388" s="36" t="n">
        <v>0.0107398713654028</v>
      </c>
      <c r="AD388" s="29" t="inlineStr">
        <is>
          <t>yfinance_download</t>
        </is>
      </c>
      <c r="AE388" s="29" t="inlineStr">
        <is>
          <t>102120.KQ</t>
        </is>
      </c>
    </row>
    <row r="389" ht="24" customHeight="1">
      <c r="A389" s="24" t="inlineStr">
        <is>
          <t>2025-01-09</t>
        </is>
      </c>
      <c r="B389" s="30" t="n">
        <v>8840</v>
      </c>
      <c r="C389" s="30" t="n">
        <v>9520</v>
      </c>
      <c r="D389" s="30" t="n">
        <v>8590</v>
      </c>
      <c r="E389" s="30" t="n">
        <v>8690</v>
      </c>
      <c r="F389" s="30" t="n">
        <v>8690</v>
      </c>
      <c r="G389" s="30" t="n">
        <v>373387</v>
      </c>
      <c r="H389" s="35" t="n">
        <v>-0.01807909604519775</v>
      </c>
      <c r="I389" s="35" t="n">
        <v>-0.6163355408388521</v>
      </c>
      <c r="J389" s="30" t="n">
        <v>7955</v>
      </c>
      <c r="K389" s="30" t="n">
        <v>8591.666666666666</v>
      </c>
      <c r="L389" s="30" t="n">
        <v>10641.16666666667</v>
      </c>
      <c r="M389" s="35" t="n">
        <v>0.5259698156500973</v>
      </c>
      <c r="N389" s="35" t="n">
        <v>0.5199219466681982</v>
      </c>
      <c r="O389" s="35" t="n">
        <v>0.3348694316436251</v>
      </c>
      <c r="P389" s="35" t="n">
        <v>-0.2085610200364298</v>
      </c>
      <c r="Q389" s="35" t="n">
        <v>-0.4635802469135802</v>
      </c>
      <c r="R389" s="35" t="n">
        <v>0.09239472030169704</v>
      </c>
      <c r="S389" s="35" t="n">
        <v>0.01144519883608153</v>
      </c>
      <c r="T389" s="35" t="n">
        <v>-0.1833602205271978</v>
      </c>
      <c r="U389" s="30" t="n">
        <v>22650</v>
      </c>
      <c r="V389" s="30" t="n">
        <v>6510</v>
      </c>
      <c r="W389" s="35" t="n">
        <v>-0.6163355408388521</v>
      </c>
      <c r="X389" s="35" t="n">
        <v>0.3348694316436251</v>
      </c>
      <c r="Y389" s="30" t="n">
        <v>17780753</v>
      </c>
      <c r="Z389" s="30" t="n">
        <v>154514743570</v>
      </c>
      <c r="AA389" s="30" t="n">
        <v>3244733030</v>
      </c>
      <c r="AB389" s="30" t="n">
        <v>1128193380</v>
      </c>
      <c r="AC389" s="35" t="n">
        <v>0.02099950435169984</v>
      </c>
      <c r="AD389" s="24" t="inlineStr">
        <is>
          <t>yfinance_download</t>
        </is>
      </c>
      <c r="AE389" s="24" t="inlineStr">
        <is>
          <t>102120.KQ</t>
        </is>
      </c>
    </row>
    <row r="390" ht="24" customHeight="1">
      <c r="A390" s="29" t="inlineStr">
        <is>
          <t>2025-01-10</t>
        </is>
      </c>
      <c r="B390" s="31" t="n">
        <v>8700</v>
      </c>
      <c r="C390" s="31" t="n">
        <v>8770</v>
      </c>
      <c r="D390" s="31" t="n">
        <v>8570</v>
      </c>
      <c r="E390" s="31" t="n">
        <v>8570</v>
      </c>
      <c r="F390" s="31" t="n">
        <v>8570</v>
      </c>
      <c r="G390" s="31" t="n">
        <v>85644</v>
      </c>
      <c r="H390" s="36" t="n">
        <v>-0.0138089758342923</v>
      </c>
      <c r="I390" s="36" t="n">
        <v>-0.6216335540838852</v>
      </c>
      <c r="J390" s="31" t="n">
        <v>8031</v>
      </c>
      <c r="K390" s="31" t="n">
        <v>8551.666666666666</v>
      </c>
      <c r="L390" s="31" t="n">
        <v>10571</v>
      </c>
      <c r="M390" s="36" t="n">
        <v>0.4694178097843324</v>
      </c>
      <c r="N390" s="36" t="n">
        <v>0.5203338234952676</v>
      </c>
      <c r="O390" s="36" t="n">
        <v>0.2156028368794327</v>
      </c>
      <c r="P390" s="36" t="n">
        <v>-0.2187784867821331</v>
      </c>
      <c r="Q390" s="36" t="n">
        <v>-0.4955856386109476</v>
      </c>
      <c r="R390" s="36" t="n">
        <v>0.06711492964761545</v>
      </c>
      <c r="S390" s="36" t="n">
        <v>0.002143831611771674</v>
      </c>
      <c r="T390" s="36" t="n">
        <v>-0.1892914577618011</v>
      </c>
      <c r="U390" s="31" t="n">
        <v>22650</v>
      </c>
      <c r="V390" s="31" t="n">
        <v>6510</v>
      </c>
      <c r="W390" s="36" t="n">
        <v>-0.6216335540838852</v>
      </c>
      <c r="X390" s="36" t="n">
        <v>0.3164362519201229</v>
      </c>
      <c r="Y390" s="31" t="n">
        <v>17780753</v>
      </c>
      <c r="Z390" s="31" t="n">
        <v>152381053210</v>
      </c>
      <c r="AA390" s="31" t="n">
        <v>733969080</v>
      </c>
      <c r="AB390" s="31" t="n">
        <v>1113846309</v>
      </c>
      <c r="AC390" s="36" t="n">
        <v>0.004816668900355345</v>
      </c>
      <c r="AD390" s="29" t="inlineStr">
        <is>
          <t>yfinance_download</t>
        </is>
      </c>
      <c r="AE390" s="29" t="inlineStr">
        <is>
          <t>102120.KQ</t>
        </is>
      </c>
    </row>
    <row r="391" ht="24" customHeight="1">
      <c r="A391" s="24" t="inlineStr">
        <is>
          <t>2025-01-13</t>
        </is>
      </c>
      <c r="B391" s="30" t="n">
        <v>8490</v>
      </c>
      <c r="C391" s="30" t="n">
        <v>8570</v>
      </c>
      <c r="D391" s="30" t="n">
        <v>8270</v>
      </c>
      <c r="E391" s="30" t="n">
        <v>8290</v>
      </c>
      <c r="F391" s="30" t="n">
        <v>8290</v>
      </c>
      <c r="G391" s="30" t="n">
        <v>110735</v>
      </c>
      <c r="H391" s="35" t="n">
        <v>-0.03267211201866982</v>
      </c>
      <c r="I391" s="35" t="n">
        <v>-0.6339955849889625</v>
      </c>
      <c r="J391" s="30" t="n">
        <v>8070.5</v>
      </c>
      <c r="K391" s="30" t="n">
        <v>8514.5</v>
      </c>
      <c r="L391" s="30" t="n">
        <v>10494.91666666667</v>
      </c>
      <c r="M391" s="35" t="n">
        <v>0.4477253101274998</v>
      </c>
      <c r="N391" s="35" t="n">
        <v>0.5180441060238172</v>
      </c>
      <c r="O391" s="35" t="n">
        <v>0.1053333333333333</v>
      </c>
      <c r="P391" s="35" t="n">
        <v>-0.2119771863117871</v>
      </c>
      <c r="Q391" s="35" t="n">
        <v>-0.5241102181400689</v>
      </c>
      <c r="R391" s="35" t="n">
        <v>0.02719781921814013</v>
      </c>
      <c r="S391" s="35" t="n">
        <v>-0.02636678607082032</v>
      </c>
      <c r="T391" s="35" t="n">
        <v>-0.2100937755580082</v>
      </c>
      <c r="U391" s="30" t="n">
        <v>22650</v>
      </c>
      <c r="V391" s="30" t="n">
        <v>6510</v>
      </c>
      <c r="W391" s="35" t="n">
        <v>-0.6339955849889625</v>
      </c>
      <c r="X391" s="35" t="n">
        <v>0.2734254992319509</v>
      </c>
      <c r="Y391" s="30" t="n">
        <v>17780753</v>
      </c>
      <c r="Z391" s="30" t="n">
        <v>147402442370</v>
      </c>
      <c r="AA391" s="30" t="n">
        <v>917993150</v>
      </c>
      <c r="AB391" s="30" t="n">
        <v>1102077716.5</v>
      </c>
      <c r="AC391" s="35" t="n">
        <v>0.006227801488497141</v>
      </c>
      <c r="AD391" s="24" t="inlineStr">
        <is>
          <t>yfinance_download</t>
        </is>
      </c>
      <c r="AE391" s="24" t="inlineStr">
        <is>
          <t>102120.KQ</t>
        </is>
      </c>
    </row>
    <row r="392" ht="24" customHeight="1">
      <c r="A392" s="29" t="inlineStr">
        <is>
          <t>2025-01-14</t>
        </is>
      </c>
      <c r="B392" s="31" t="n">
        <v>8300</v>
      </c>
      <c r="C392" s="31" t="n">
        <v>8570</v>
      </c>
      <c r="D392" s="31" t="n">
        <v>8300</v>
      </c>
      <c r="E392" s="31" t="n">
        <v>8440</v>
      </c>
      <c r="F392" s="31" t="n">
        <v>8440</v>
      </c>
      <c r="G392" s="31" t="n">
        <v>80621</v>
      </c>
      <c r="H392" s="36" t="n">
        <v>0.01809408926417366</v>
      </c>
      <c r="I392" s="36" t="n">
        <v>-0.627373068432671</v>
      </c>
      <c r="J392" s="31" t="n">
        <v>8104.5</v>
      </c>
      <c r="K392" s="31" t="n">
        <v>8478.666666666666</v>
      </c>
      <c r="L392" s="31" t="n">
        <v>10421.25</v>
      </c>
      <c r="M392" s="36" t="n">
        <v>0.4370928116812938</v>
      </c>
      <c r="N392" s="36" t="n">
        <v>0.5195245627586094</v>
      </c>
      <c r="O392" s="36" t="n">
        <v>0.08762886597938135</v>
      </c>
      <c r="P392" s="36" t="n">
        <v>-0.2030217186024551</v>
      </c>
      <c r="Q392" s="36" t="n">
        <v>-0.5115740740740741</v>
      </c>
      <c r="R392" s="36" t="n">
        <v>0.04139675488925909</v>
      </c>
      <c r="S392" s="36" t="n">
        <v>-0.004560465481993958</v>
      </c>
      <c r="T392" s="36" t="n">
        <v>-0.1901163488065252</v>
      </c>
      <c r="U392" s="31" t="n">
        <v>22650</v>
      </c>
      <c r="V392" s="31" t="n">
        <v>6510</v>
      </c>
      <c r="W392" s="36" t="n">
        <v>-0.627373068432671</v>
      </c>
      <c r="X392" s="36" t="n">
        <v>0.2964669738863288</v>
      </c>
      <c r="Y392" s="31" t="n">
        <v>17780753</v>
      </c>
      <c r="Z392" s="31" t="n">
        <v>150069555320</v>
      </c>
      <c r="AA392" s="31" t="n">
        <v>680441240</v>
      </c>
      <c r="AB392" s="31" t="n">
        <v>1077151714.5</v>
      </c>
      <c r="AC392" s="36" t="n">
        <v>0.004534172427905612</v>
      </c>
      <c r="AD392" s="29" t="inlineStr">
        <is>
          <t>yfinance_download</t>
        </is>
      </c>
      <c r="AE392" s="29" t="inlineStr">
        <is>
          <t>102120.KQ</t>
        </is>
      </c>
    </row>
    <row r="393" ht="24" customHeight="1">
      <c r="A393" s="24" t="inlineStr">
        <is>
          <t>2025-01-15</t>
        </is>
      </c>
      <c r="B393" s="30" t="n">
        <v>8380</v>
      </c>
      <c r="C393" s="30" t="n">
        <v>8700</v>
      </c>
      <c r="D393" s="30" t="n">
        <v>8350</v>
      </c>
      <c r="E393" s="30" t="n">
        <v>8380</v>
      </c>
      <c r="F393" s="30" t="n">
        <v>8380</v>
      </c>
      <c r="G393" s="30" t="n">
        <v>98679</v>
      </c>
      <c r="H393" s="35" t="n">
        <v>-0.007109004739336511</v>
      </c>
      <c r="I393" s="35" t="n">
        <v>-0.6300220750551877</v>
      </c>
      <c r="J393" s="30" t="n">
        <v>8132</v>
      </c>
      <c r="K393" s="30" t="n">
        <v>8452.166666666666</v>
      </c>
      <c r="L393" s="30" t="n">
        <v>10353.41666666667</v>
      </c>
      <c r="M393" s="35" t="n">
        <v>0.4386594322733176</v>
      </c>
      <c r="N393" s="35" t="n">
        <v>0.5066762841224725</v>
      </c>
      <c r="O393" s="35" t="n">
        <v>0.07024265644955308</v>
      </c>
      <c r="P393" s="35" t="n">
        <v>-0.1594784353059178</v>
      </c>
      <c r="Q393" s="35" t="n">
        <v>-0.4927360774818402</v>
      </c>
      <c r="R393" s="35" t="n">
        <v>0.03049680275455002</v>
      </c>
      <c r="S393" s="35" t="n">
        <v>-0.008538244631553948</v>
      </c>
      <c r="T393" s="35" t="n">
        <v>-0.1906053557199314</v>
      </c>
      <c r="U393" s="30" t="n">
        <v>22650</v>
      </c>
      <c r="V393" s="30" t="n">
        <v>6510</v>
      </c>
      <c r="W393" s="35" t="n">
        <v>-0.6300220750551877</v>
      </c>
      <c r="X393" s="35" t="n">
        <v>0.2872503840245775</v>
      </c>
      <c r="Y393" s="30" t="n">
        <v>17780753</v>
      </c>
      <c r="Z393" s="30" t="n">
        <v>149002710140</v>
      </c>
      <c r="AA393" s="30" t="n">
        <v>826930020</v>
      </c>
      <c r="AB393" s="30" t="n">
        <v>1082484522</v>
      </c>
      <c r="AC393" s="35" t="n">
        <v>0.005549764962147554</v>
      </c>
      <c r="AD393" s="24" t="inlineStr">
        <is>
          <t>yfinance_download</t>
        </is>
      </c>
      <c r="AE393" s="24" t="inlineStr">
        <is>
          <t>102120.KQ</t>
        </is>
      </c>
    </row>
    <row r="394" ht="24" customHeight="1">
      <c r="A394" s="29" t="inlineStr">
        <is>
          <t>2025-01-16</t>
        </is>
      </c>
      <c r="B394" s="31" t="n">
        <v>8530</v>
      </c>
      <c r="C394" s="31" t="n">
        <v>8800</v>
      </c>
      <c r="D394" s="31" t="n">
        <v>8530</v>
      </c>
      <c r="E394" s="31" t="n">
        <v>8620</v>
      </c>
      <c r="F394" s="31" t="n">
        <v>8620</v>
      </c>
      <c r="G394" s="31" t="n">
        <v>104724</v>
      </c>
      <c r="H394" s="36" t="n">
        <v>0.02863961813842475</v>
      </c>
      <c r="I394" s="36" t="n">
        <v>-0.6194260485651214</v>
      </c>
      <c r="J394" s="31" t="n">
        <v>8167.5</v>
      </c>
      <c r="K394" s="31" t="n">
        <v>8426.5</v>
      </c>
      <c r="L394" s="31" t="n">
        <v>10291.16666666667</v>
      </c>
      <c r="M394" s="36" t="n">
        <v>0.4470506404719916</v>
      </c>
      <c r="N394" s="36" t="n">
        <v>0.5087850658383387</v>
      </c>
      <c r="O394" s="36" t="n">
        <v>0.08975979772439957</v>
      </c>
      <c r="P394" s="36" t="n">
        <v>-0.1515748031496063</v>
      </c>
      <c r="Q394" s="36" t="n">
        <v>-0.4642635177128651</v>
      </c>
      <c r="R394" s="36" t="n">
        <v>0.05540250994796447</v>
      </c>
      <c r="S394" s="36" t="n">
        <v>0.02296327063430836</v>
      </c>
      <c r="T394" s="36" t="n">
        <v>-0.1623884561193256</v>
      </c>
      <c r="U394" s="31" t="n">
        <v>22650</v>
      </c>
      <c r="V394" s="31" t="n">
        <v>6510</v>
      </c>
      <c r="W394" s="36" t="n">
        <v>-0.6194260485651214</v>
      </c>
      <c r="X394" s="36" t="n">
        <v>0.3241167434715821</v>
      </c>
      <c r="Y394" s="31" t="n">
        <v>17780753</v>
      </c>
      <c r="Z394" s="31" t="n">
        <v>153270090860</v>
      </c>
      <c r="AA394" s="31" t="n">
        <v>902720880</v>
      </c>
      <c r="AB394" s="31" t="n">
        <v>1087418782</v>
      </c>
      <c r="AC394" s="36" t="n">
        <v>0.005889739315314712</v>
      </c>
      <c r="AD394" s="29" t="inlineStr">
        <is>
          <t>yfinance_download</t>
        </is>
      </c>
      <c r="AE394" s="29" t="inlineStr">
        <is>
          <t>102120.KQ</t>
        </is>
      </c>
    </row>
    <row r="395" ht="24" customHeight="1">
      <c r="A395" s="24" t="inlineStr">
        <is>
          <t>2025-01-17</t>
        </is>
      </c>
      <c r="B395" s="30" t="n">
        <v>8580</v>
      </c>
      <c r="C395" s="30" t="n">
        <v>8690</v>
      </c>
      <c r="D395" s="30" t="n">
        <v>8400</v>
      </c>
      <c r="E395" s="30" t="n">
        <v>8530</v>
      </c>
      <c r="F395" s="30" t="n">
        <v>8530</v>
      </c>
      <c r="G395" s="30" t="n">
        <v>81457</v>
      </c>
      <c r="H395" s="35" t="n">
        <v>-0.01044083526682138</v>
      </c>
      <c r="I395" s="35" t="n">
        <v>-0.6233995584988963</v>
      </c>
      <c r="J395" s="30" t="n">
        <v>8184</v>
      </c>
      <c r="K395" s="30" t="n">
        <v>8404.5</v>
      </c>
      <c r="L395" s="30" t="n">
        <v>10230.91666666667</v>
      </c>
      <c r="M395" s="35" t="n">
        <v>0.4334157024335895</v>
      </c>
      <c r="N395" s="35" t="n">
        <v>0.5056733037046452</v>
      </c>
      <c r="O395" s="35" t="n">
        <v>0.04024390243902443</v>
      </c>
      <c r="P395" s="35" t="n">
        <v>-0.1340101522842639</v>
      </c>
      <c r="Q395" s="35" t="n">
        <v>-0.4587563451776649</v>
      </c>
      <c r="R395" s="35" t="n">
        <v>0.04227761485825998</v>
      </c>
      <c r="S395" s="35" t="n">
        <v>0.01493247664941411</v>
      </c>
      <c r="T395" s="35" t="n">
        <v>-0.1662526166602861</v>
      </c>
      <c r="U395" s="30" t="n">
        <v>22650</v>
      </c>
      <c r="V395" s="30" t="n">
        <v>6510</v>
      </c>
      <c r="W395" s="35" t="n">
        <v>-0.6233995584988963</v>
      </c>
      <c r="X395" s="35" t="n">
        <v>0.3102918586789554</v>
      </c>
      <c r="Y395" s="30" t="n">
        <v>17780753</v>
      </c>
      <c r="Z395" s="30" t="n">
        <v>151669823090</v>
      </c>
      <c r="AA395" s="30" t="n">
        <v>694828210</v>
      </c>
      <c r="AB395" s="30" t="n">
        <v>1061357602.5</v>
      </c>
      <c r="AC395" s="35" t="n">
        <v>0.004581189559294817</v>
      </c>
      <c r="AD395" s="24" t="inlineStr">
        <is>
          <t>yfinance_download</t>
        </is>
      </c>
      <c r="AE395" s="24" t="inlineStr">
        <is>
          <t>102120.KQ</t>
        </is>
      </c>
    </row>
    <row r="396" ht="24" customHeight="1">
      <c r="A396" s="29" t="inlineStr">
        <is>
          <t>2025-01-20</t>
        </is>
      </c>
      <c r="B396" s="31" t="n">
        <v>8700</v>
      </c>
      <c r="C396" s="31" t="n">
        <v>9900</v>
      </c>
      <c r="D396" s="31" t="n">
        <v>8560</v>
      </c>
      <c r="E396" s="31" t="n">
        <v>9370</v>
      </c>
      <c r="F396" s="31" t="n">
        <v>9370</v>
      </c>
      <c r="G396" s="31" t="n">
        <v>3034057</v>
      </c>
      <c r="H396" s="36" t="n">
        <v>0.09847596717467755</v>
      </c>
      <c r="I396" s="36" t="n">
        <v>-0.5863134657836644</v>
      </c>
      <c r="J396" s="31" t="n">
        <v>8244</v>
      </c>
      <c r="K396" s="31" t="n">
        <v>8392.833333333334</v>
      </c>
      <c r="L396" s="31" t="n">
        <v>10185.75</v>
      </c>
      <c r="M396" s="36" t="n">
        <v>0.5505218353100737</v>
      </c>
      <c r="N396" s="36" t="n">
        <v>0.5438897815041446</v>
      </c>
      <c r="O396" s="36" t="n">
        <v>0.1468788249694002</v>
      </c>
      <c r="P396" s="36" t="n">
        <v>-0.06951340615690171</v>
      </c>
      <c r="Q396" s="36" t="n">
        <v>-0.3664638269100744</v>
      </c>
      <c r="R396" s="36" t="n">
        <v>0.1365841824357108</v>
      </c>
      <c r="S396" s="36" t="n">
        <v>0.1164286990885079</v>
      </c>
      <c r="T396" s="36" t="n">
        <v>-0.08008737697273149</v>
      </c>
      <c r="U396" s="31" t="n">
        <v>22650</v>
      </c>
      <c r="V396" s="31" t="n">
        <v>6510</v>
      </c>
      <c r="W396" s="36" t="n">
        <v>-0.5863134657836644</v>
      </c>
      <c r="X396" s="36" t="n">
        <v>0.4393241167434716</v>
      </c>
      <c r="Y396" s="31" t="n">
        <v>17780753</v>
      </c>
      <c r="Z396" s="31" t="n">
        <v>166605655610</v>
      </c>
      <c r="AA396" s="31" t="n">
        <v>28429114090</v>
      </c>
      <c r="AB396" s="31" t="n">
        <v>2433765529</v>
      </c>
      <c r="AC396" s="36" t="n">
        <v>0.1706371490566232</v>
      </c>
      <c r="AD396" s="29" t="inlineStr">
        <is>
          <t>yfinance_download</t>
        </is>
      </c>
      <c r="AE396" s="29" t="inlineStr">
        <is>
          <t>102120.KQ</t>
        </is>
      </c>
    </row>
    <row r="397" ht="24" customHeight="1">
      <c r="A397" s="24" t="inlineStr">
        <is>
          <t>2025-01-21</t>
        </is>
      </c>
      <c r="B397" s="30" t="n">
        <v>9220</v>
      </c>
      <c r="C397" s="30" t="n">
        <v>9370</v>
      </c>
      <c r="D397" s="30" t="n">
        <v>8960</v>
      </c>
      <c r="E397" s="30" t="n">
        <v>8980</v>
      </c>
      <c r="F397" s="30" t="n">
        <v>8980</v>
      </c>
      <c r="G397" s="30" t="n">
        <v>535350</v>
      </c>
      <c r="H397" s="35" t="n">
        <v>-0.04162219850586979</v>
      </c>
      <c r="I397" s="35" t="n">
        <v>-0.603532008830022</v>
      </c>
      <c r="J397" s="30" t="n">
        <v>8295.5</v>
      </c>
      <c r="K397" s="30" t="n">
        <v>8381</v>
      </c>
      <c r="L397" s="30" t="n">
        <v>10137.66666666667</v>
      </c>
      <c r="M397" s="35" t="n">
        <v>0.5649672121004369</v>
      </c>
      <c r="N397" s="35" t="n">
        <v>0.5450793046653093</v>
      </c>
      <c r="O397" s="35" t="n">
        <v>0.1295597484276729</v>
      </c>
      <c r="P397" s="35" t="n">
        <v>-0.0732714138286894</v>
      </c>
      <c r="Q397" s="35" t="n">
        <v>-0.3911864406779662</v>
      </c>
      <c r="R397" s="35" t="n">
        <v>0.08251461635826662</v>
      </c>
      <c r="S397" s="35" t="n">
        <v>0.07147118482281356</v>
      </c>
      <c r="T397" s="35" t="n">
        <v>-0.114194587840726</v>
      </c>
      <c r="U397" s="30" t="n">
        <v>22650</v>
      </c>
      <c r="V397" s="30" t="n">
        <v>6510</v>
      </c>
      <c r="W397" s="35" t="n">
        <v>-0.603532008830022</v>
      </c>
      <c r="X397" s="35" t="n">
        <v>0.379416282642089</v>
      </c>
      <c r="Y397" s="30" t="n">
        <v>17780753</v>
      </c>
      <c r="Z397" s="30" t="n">
        <v>159671161940</v>
      </c>
      <c r="AA397" s="30" t="n">
        <v>4807443000</v>
      </c>
      <c r="AB397" s="30" t="n">
        <v>2646687919</v>
      </c>
      <c r="AC397" s="35" t="n">
        <v>0.03010839867130486</v>
      </c>
      <c r="AD397" s="24" t="inlineStr">
        <is>
          <t>yfinance_download</t>
        </is>
      </c>
      <c r="AE397" s="24" t="inlineStr">
        <is>
          <t>102120.KQ</t>
        </is>
      </c>
    </row>
    <row r="398" ht="24" customHeight="1">
      <c r="A398" s="29" t="inlineStr">
        <is>
          <t>2025-01-22</t>
        </is>
      </c>
      <c r="B398" s="31" t="n">
        <v>9100</v>
      </c>
      <c r="C398" s="31" t="n">
        <v>9230</v>
      </c>
      <c r="D398" s="31" t="n">
        <v>8880</v>
      </c>
      <c r="E398" s="31" t="n">
        <v>9150</v>
      </c>
      <c r="F398" s="31" t="n">
        <v>9150</v>
      </c>
      <c r="G398" s="31" t="n">
        <v>267602</v>
      </c>
      <c r="H398" s="36" t="n">
        <v>0.01893095768374176</v>
      </c>
      <c r="I398" s="36" t="n">
        <v>-0.5960264900662251</v>
      </c>
      <c r="J398" s="31" t="n">
        <v>8370.5</v>
      </c>
      <c r="K398" s="31" t="n">
        <v>8373</v>
      </c>
      <c r="L398" s="31" t="n">
        <v>10093.91666666667</v>
      </c>
      <c r="M398" s="36" t="n">
        <v>0.5411637547689472</v>
      </c>
      <c r="N398" s="36" t="n">
        <v>0.5464267797142401</v>
      </c>
      <c r="O398" s="36" t="n">
        <v>0.196078431372549</v>
      </c>
      <c r="P398" s="36" t="n">
        <v>-0.04984423676012462</v>
      </c>
      <c r="Q398" s="36" t="n">
        <v>-0.3645833333333334</v>
      </c>
      <c r="R398" s="36" t="n">
        <v>0.09312466399856634</v>
      </c>
      <c r="S398" s="36" t="n">
        <v>0.0927982801863132</v>
      </c>
      <c r="T398" s="36" t="n">
        <v>-0.09351341979905381</v>
      </c>
      <c r="U398" s="31" t="n">
        <v>22650</v>
      </c>
      <c r="V398" s="31" t="n">
        <v>6510</v>
      </c>
      <c r="W398" s="36" t="n">
        <v>-0.5960264900662251</v>
      </c>
      <c r="X398" s="36" t="n">
        <v>0.4055299539170507</v>
      </c>
      <c r="Y398" s="31" t="n">
        <v>17780753</v>
      </c>
      <c r="Z398" s="31" t="n">
        <v>162693889950</v>
      </c>
      <c r="AA398" s="31" t="n">
        <v>2448558300</v>
      </c>
      <c r="AB398" s="31" t="n">
        <v>2726497301.5</v>
      </c>
      <c r="AC398" s="36" t="n">
        <v>0.01505009377274404</v>
      </c>
      <c r="AD398" s="29" t="inlineStr">
        <is>
          <t>yfinance_download</t>
        </is>
      </c>
      <c r="AE398" s="29" t="inlineStr">
        <is>
          <t>102120.KQ</t>
        </is>
      </c>
    </row>
    <row r="399" ht="24" customHeight="1">
      <c r="A399" s="24" t="inlineStr">
        <is>
          <t>2025-01-23</t>
        </is>
      </c>
      <c r="B399" s="30" t="n">
        <v>9310</v>
      </c>
      <c r="C399" s="30" t="n">
        <v>9690</v>
      </c>
      <c r="D399" s="30" t="n">
        <v>9010</v>
      </c>
      <c r="E399" s="30" t="n">
        <v>9030</v>
      </c>
      <c r="F399" s="30" t="n">
        <v>9030</v>
      </c>
      <c r="G399" s="30" t="n">
        <v>1218445</v>
      </c>
      <c r="H399" s="35" t="n">
        <v>-0.0131147540983606</v>
      </c>
      <c r="I399" s="35" t="n">
        <v>-0.6013245033112582</v>
      </c>
      <c r="J399" s="30" t="n">
        <v>8426.5</v>
      </c>
      <c r="K399" s="30" t="n">
        <v>8358.166666666666</v>
      </c>
      <c r="L399" s="30" t="n">
        <v>10055.91666666667</v>
      </c>
      <c r="M399" s="35" t="n">
        <v>0.5387535930997717</v>
      </c>
      <c r="N399" s="35" t="n">
        <v>0.5433314765340543</v>
      </c>
      <c r="O399" s="35" t="n">
        <v>0.1415929203539823</v>
      </c>
      <c r="P399" s="35" t="n">
        <v>-0.08971774193548387</v>
      </c>
      <c r="Q399" s="35" t="n">
        <v>-0.3355408388520972</v>
      </c>
      <c r="R399" s="35" t="n">
        <v>0.0716192962677269</v>
      </c>
      <c r="S399" s="35" t="n">
        <v>0.08038046621069217</v>
      </c>
      <c r="T399" s="35" t="n">
        <v>-0.1020211981337686</v>
      </c>
      <c r="U399" s="30" t="n">
        <v>22650</v>
      </c>
      <c r="V399" s="30" t="n">
        <v>6510</v>
      </c>
      <c r="W399" s="35" t="n">
        <v>-0.6013245033112582</v>
      </c>
      <c r="X399" s="35" t="n">
        <v>0.3870967741935485</v>
      </c>
      <c r="Y399" s="30" t="n">
        <v>17780753</v>
      </c>
      <c r="Z399" s="30" t="n">
        <v>160560199590</v>
      </c>
      <c r="AA399" s="30" t="n">
        <v>11002558350</v>
      </c>
      <c r="AB399" s="30" t="n">
        <v>3239581898</v>
      </c>
      <c r="AC399" s="35" t="n">
        <v>0.06852606298507155</v>
      </c>
      <c r="AD399" s="24" t="inlineStr">
        <is>
          <t>yfinance_download</t>
        </is>
      </c>
      <c r="AE399" s="24" t="inlineStr">
        <is>
          <t>102120.KQ</t>
        </is>
      </c>
    </row>
    <row r="400" ht="24" customHeight="1">
      <c r="A400" s="29" t="inlineStr">
        <is>
          <t>2025-01-24</t>
        </is>
      </c>
      <c r="B400" s="31" t="n">
        <v>9030</v>
      </c>
      <c r="C400" s="31" t="n">
        <v>9180</v>
      </c>
      <c r="D400" s="31" t="n">
        <v>8820</v>
      </c>
      <c r="E400" s="31" t="n">
        <v>8910</v>
      </c>
      <c r="F400" s="31" t="n">
        <v>8910</v>
      </c>
      <c r="G400" s="31" t="n">
        <v>323570</v>
      </c>
      <c r="H400" s="36" t="n">
        <v>-0.01328903654485047</v>
      </c>
      <c r="I400" s="36" t="n">
        <v>-0.6066225165562914</v>
      </c>
      <c r="J400" s="31" t="n">
        <v>8479.5</v>
      </c>
      <c r="K400" s="31" t="n">
        <v>8342.333333333334</v>
      </c>
      <c r="L400" s="31" t="n">
        <v>10011.75</v>
      </c>
      <c r="M400" s="36" t="n">
        <v>0.5412010805638524</v>
      </c>
      <c r="N400" s="36" t="n">
        <v>0.5438215301499395</v>
      </c>
      <c r="O400" s="36" t="n">
        <v>0.1350318471337579</v>
      </c>
      <c r="P400" s="36" t="n">
        <v>-0.09634888438133871</v>
      </c>
      <c r="Q400" s="36" t="n">
        <v>-0.3729767769176636</v>
      </c>
      <c r="R400" s="36" t="n">
        <v>0.05076950291880422</v>
      </c>
      <c r="S400" s="36" t="n">
        <v>0.06804650976944893</v>
      </c>
      <c r="T400" s="36" t="n">
        <v>-0.1100456963068395</v>
      </c>
      <c r="U400" s="31" t="n">
        <v>22650</v>
      </c>
      <c r="V400" s="31" t="n">
        <v>6510</v>
      </c>
      <c r="W400" s="36" t="n">
        <v>-0.6066225165562914</v>
      </c>
      <c r="X400" s="36" t="n">
        <v>0.368663594470046</v>
      </c>
      <c r="Y400" s="31" t="n">
        <v>17780753</v>
      </c>
      <c r="Z400" s="31" t="n">
        <v>158426509230</v>
      </c>
      <c r="AA400" s="31" t="n">
        <v>2883008700</v>
      </c>
      <c r="AB400" s="31" t="n">
        <v>3366104373</v>
      </c>
      <c r="AC400" s="36" t="n">
        <v>0.01819776698995819</v>
      </c>
      <c r="AD400" s="29" t="inlineStr">
        <is>
          <t>yfinance_download</t>
        </is>
      </c>
      <c r="AE400" s="29" t="inlineStr">
        <is>
          <t>102120.KQ</t>
        </is>
      </c>
    </row>
    <row r="401" ht="24" customHeight="1">
      <c r="A401" s="24" t="inlineStr">
        <is>
          <t>2025-01-31</t>
        </is>
      </c>
      <c r="B401" s="30" t="n">
        <v>8600</v>
      </c>
      <c r="C401" s="30" t="n">
        <v>8760</v>
      </c>
      <c r="D401" s="30" t="n">
        <v>8330</v>
      </c>
      <c r="E401" s="30" t="n">
        <v>8340</v>
      </c>
      <c r="F401" s="30" t="n">
        <v>8340</v>
      </c>
      <c r="G401" s="30" t="n">
        <v>393124</v>
      </c>
      <c r="H401" s="35" t="n">
        <v>-0.06397306397306401</v>
      </c>
      <c r="I401" s="35" t="n">
        <v>-0.6317880794701987</v>
      </c>
      <c r="J401" s="30" t="n">
        <v>8512.5</v>
      </c>
      <c r="K401" s="30" t="n">
        <v>8319</v>
      </c>
      <c r="L401" s="30" t="n">
        <v>9961.25</v>
      </c>
      <c r="M401" s="35" t="n">
        <v>0.5894958673965719</v>
      </c>
      <c r="N401" s="35" t="n">
        <v>0.5584841794898775</v>
      </c>
      <c r="O401" s="35" t="n">
        <v>0.0859375</v>
      </c>
      <c r="P401" s="35" t="n">
        <v>-0.1437371663244353</v>
      </c>
      <c r="Q401" s="35" t="n">
        <v>-0.4208333333333333</v>
      </c>
      <c r="R401" s="35" t="n">
        <v>-0.02026431718061672</v>
      </c>
      <c r="S401" s="35" t="n">
        <v>0.00252434186801298</v>
      </c>
      <c r="T401" s="35" t="n">
        <v>-0.1627556782532312</v>
      </c>
      <c r="U401" s="30" t="n">
        <v>22650</v>
      </c>
      <c r="V401" s="30" t="n">
        <v>6510</v>
      </c>
      <c r="W401" s="35" t="n">
        <v>-0.6317880794701987</v>
      </c>
      <c r="X401" s="35" t="n">
        <v>0.2811059907834101</v>
      </c>
      <c r="Y401" s="30" t="n">
        <v>17780753</v>
      </c>
      <c r="Z401" s="30" t="n">
        <v>148291480020</v>
      </c>
      <c r="AA401" s="30" t="n">
        <v>3278654160</v>
      </c>
      <c r="AB401" s="30" t="n">
        <v>3509598681</v>
      </c>
      <c r="AC401" s="35" t="n">
        <v>0.0221095248328347</v>
      </c>
      <c r="AD401" s="24" t="inlineStr">
        <is>
          <t>yfinance_download</t>
        </is>
      </c>
      <c r="AE401" s="24" t="inlineStr">
        <is>
          <t>102120.KQ</t>
        </is>
      </c>
    </row>
    <row r="402" ht="24" customHeight="1">
      <c r="A402" s="29" t="inlineStr">
        <is>
          <t>2025-02-03</t>
        </is>
      </c>
      <c r="B402" s="31" t="n">
        <v>8150</v>
      </c>
      <c r="C402" s="31" t="n">
        <v>9680</v>
      </c>
      <c r="D402" s="31" t="n">
        <v>7550</v>
      </c>
      <c r="E402" s="31" t="n">
        <v>8340</v>
      </c>
      <c r="F402" s="31" t="n">
        <v>8340</v>
      </c>
      <c r="G402" s="31" t="n">
        <v>2670639</v>
      </c>
      <c r="H402" s="36" t="n">
        <v>0</v>
      </c>
      <c r="I402" s="36" t="n">
        <v>-0.6317880794701987</v>
      </c>
      <c r="J402" s="31" t="n">
        <v>8553</v>
      </c>
      <c r="K402" s="31" t="n">
        <v>8294.5</v>
      </c>
      <c r="L402" s="31" t="n">
        <v>9914.333333333334</v>
      </c>
      <c r="M402" s="36" t="n">
        <v>0.5828544920742115</v>
      </c>
      <c r="N402" s="36" t="n">
        <v>0.5581745223255834</v>
      </c>
      <c r="O402" s="36" t="n">
        <v>0.1075697211155378</v>
      </c>
      <c r="P402" s="36" t="n">
        <v>-0.1498470948012233</v>
      </c>
      <c r="Q402" s="36" t="n">
        <v>-0.4030064423765212</v>
      </c>
      <c r="R402" s="36" t="n">
        <v>-0.02490354261662575</v>
      </c>
      <c r="S402" s="36" t="n">
        <v>0.005485562722285842</v>
      </c>
      <c r="T402" s="36" t="n">
        <v>-0.1587936657364759</v>
      </c>
      <c r="U402" s="31" t="n">
        <v>22650</v>
      </c>
      <c r="V402" s="31" t="n">
        <v>6510</v>
      </c>
      <c r="W402" s="36" t="n">
        <v>-0.6317880794701987</v>
      </c>
      <c r="X402" s="36" t="n">
        <v>0.2811059907834101</v>
      </c>
      <c r="Y402" s="31" t="n">
        <v>17780753</v>
      </c>
      <c r="Z402" s="31" t="n">
        <v>148291480020</v>
      </c>
      <c r="AA402" s="31" t="n">
        <v>22273129260</v>
      </c>
      <c r="AB402" s="31" t="n">
        <v>4597469788.5</v>
      </c>
      <c r="AC402" s="36" t="n">
        <v>0.1501983071245633</v>
      </c>
      <c r="AD402" s="29" t="inlineStr">
        <is>
          <t>yfinance_download</t>
        </is>
      </c>
      <c r="AE402" s="29" t="inlineStr">
        <is>
          <t>102120.KQ</t>
        </is>
      </c>
    </row>
    <row r="403" ht="24" customHeight="1">
      <c r="A403" s="24" t="inlineStr">
        <is>
          <t>2025-02-04</t>
        </is>
      </c>
      <c r="B403" s="30" t="n">
        <v>8510</v>
      </c>
      <c r="C403" s="30" t="n">
        <v>9140</v>
      </c>
      <c r="D403" s="30" t="n">
        <v>8430</v>
      </c>
      <c r="E403" s="30" t="n">
        <v>8620</v>
      </c>
      <c r="F403" s="30" t="n">
        <v>8620</v>
      </c>
      <c r="G403" s="30" t="n">
        <v>860341</v>
      </c>
      <c r="H403" s="35" t="n">
        <v>0.03357314148681056</v>
      </c>
      <c r="I403" s="35" t="n">
        <v>-0.6194260485651214</v>
      </c>
      <c r="J403" s="30" t="n">
        <v>8605.5</v>
      </c>
      <c r="K403" s="30" t="n">
        <v>8282</v>
      </c>
      <c r="L403" s="30" t="n">
        <v>9866.166666666666</v>
      </c>
      <c r="M403" s="35" t="n">
        <v>0.5911462171526675</v>
      </c>
      <c r="N403" s="35" t="n">
        <v>0.5556517375582982</v>
      </c>
      <c r="O403" s="35" t="n">
        <v>0.1387054161162484</v>
      </c>
      <c r="P403" s="35" t="n">
        <v>-0.08004268943436499</v>
      </c>
      <c r="Q403" s="35" t="n">
        <v>-0.4013888888888889</v>
      </c>
      <c r="R403" s="35" t="n">
        <v>0.001684968915228735</v>
      </c>
      <c r="S403" s="35" t="n">
        <v>0.04081139821299207</v>
      </c>
      <c r="T403" s="35" t="n">
        <v>-0.1263070763721134</v>
      </c>
      <c r="U403" s="30" t="n">
        <v>22650</v>
      </c>
      <c r="V403" s="30" t="n">
        <v>6510</v>
      </c>
      <c r="W403" s="35" t="n">
        <v>-0.6194260485651214</v>
      </c>
      <c r="X403" s="35" t="n">
        <v>0.3241167434715821</v>
      </c>
      <c r="Y403" s="30" t="n">
        <v>17780753</v>
      </c>
      <c r="Z403" s="30" t="n">
        <v>153270090860</v>
      </c>
      <c r="AA403" s="30" t="n">
        <v>7416139420</v>
      </c>
      <c r="AB403" s="30" t="n">
        <v>4948762056.5</v>
      </c>
      <c r="AC403" s="35" t="n">
        <v>0.04838608353650714</v>
      </c>
      <c r="AD403" s="24" t="inlineStr">
        <is>
          <t>yfinance_download</t>
        </is>
      </c>
      <c r="AE403" s="24" t="inlineStr">
        <is>
          <t>102120.KQ</t>
        </is>
      </c>
    </row>
    <row r="404" ht="24" customHeight="1">
      <c r="A404" s="29" t="inlineStr">
        <is>
          <t>2025-02-05</t>
        </is>
      </c>
      <c r="B404" s="31" t="n">
        <v>8700</v>
      </c>
      <c r="C404" s="31" t="n">
        <v>10540</v>
      </c>
      <c r="D404" s="31" t="n">
        <v>8660</v>
      </c>
      <c r="E404" s="31" t="n">
        <v>10000</v>
      </c>
      <c r="F404" s="31" t="n">
        <v>10000</v>
      </c>
      <c r="G404" s="31" t="n">
        <v>6942235</v>
      </c>
      <c r="H404" s="36" t="n">
        <v>0.160092807424594</v>
      </c>
      <c r="I404" s="36" t="n">
        <v>-0.5584988962472406</v>
      </c>
      <c r="J404" s="31" t="n">
        <v>8720</v>
      </c>
      <c r="K404" s="31" t="n">
        <v>8285.833333333334</v>
      </c>
      <c r="L404" s="31" t="n">
        <v>9831.833333333334</v>
      </c>
      <c r="M404" s="36" t="n">
        <v>0.8028968445929702</v>
      </c>
      <c r="N404" s="36" t="n">
        <v>0.6405053457158749</v>
      </c>
      <c r="O404" s="36" t="n">
        <v>0.2970168612191959</v>
      </c>
      <c r="P404" s="36" t="n">
        <v>0.02354145342886382</v>
      </c>
      <c r="Q404" s="36" t="n">
        <v>-0.2917847025495751</v>
      </c>
      <c r="R404" s="36" t="n">
        <v>0.1467889908256881</v>
      </c>
      <c r="S404" s="36" t="n">
        <v>0.2068792115055818</v>
      </c>
      <c r="T404" s="36" t="n">
        <v>0.01710430404637986</v>
      </c>
      <c r="U404" s="31" t="n">
        <v>22650</v>
      </c>
      <c r="V404" s="31" t="n">
        <v>6510</v>
      </c>
      <c r="W404" s="36" t="n">
        <v>-0.5584988962472406</v>
      </c>
      <c r="X404" s="36" t="n">
        <v>0.5360983102918586</v>
      </c>
      <c r="Y404" s="31" t="n">
        <v>17780753</v>
      </c>
      <c r="Z404" s="31" t="n">
        <v>177807530000</v>
      </c>
      <c r="AA404" s="31" t="n">
        <v>69422350000</v>
      </c>
      <c r="AB404" s="31" t="n">
        <v>8395694057.5</v>
      </c>
      <c r="AC404" s="36" t="n">
        <v>0.3904353769494464</v>
      </c>
      <c r="AD404" s="29" t="inlineStr">
        <is>
          <t>yfinance_download</t>
        </is>
      </c>
      <c r="AE404" s="29" t="inlineStr">
        <is>
          <t>102120.KQ</t>
        </is>
      </c>
    </row>
    <row r="405" ht="24" customHeight="1">
      <c r="A405" s="24" t="inlineStr">
        <is>
          <t>2025-02-06</t>
        </is>
      </c>
      <c r="B405" s="30" t="n">
        <v>10130</v>
      </c>
      <c r="C405" s="30" t="n">
        <v>10220</v>
      </c>
      <c r="D405" s="30" t="n">
        <v>9730</v>
      </c>
      <c r="E405" s="30" t="n">
        <v>9950</v>
      </c>
      <c r="F405" s="30" t="n">
        <v>9950</v>
      </c>
      <c r="G405" s="30" t="n">
        <v>1526381</v>
      </c>
      <c r="H405" s="35" t="n">
        <v>-0.005000000000000004</v>
      </c>
      <c r="I405" s="35" t="n">
        <v>-0.5607064017660044</v>
      </c>
      <c r="J405" s="30" t="n">
        <v>8810</v>
      </c>
      <c r="K405" s="30" t="n">
        <v>8286.333333333334</v>
      </c>
      <c r="L405" s="30" t="n">
        <v>9804.583333333334</v>
      </c>
      <c r="M405" s="35" t="n">
        <v>0.7890982357845995</v>
      </c>
      <c r="N405" s="35" t="n">
        <v>0.6399376187725778</v>
      </c>
      <c r="O405" s="35" t="n">
        <v>0.2208588957055215</v>
      </c>
      <c r="P405" s="35" t="n">
        <v>0.003024193548387011</v>
      </c>
      <c r="Q405" s="35" t="n">
        <v>-0.2473524962178517</v>
      </c>
      <c r="R405" s="35" t="n">
        <v>0.1293984108967083</v>
      </c>
      <c r="S405" s="35" t="n">
        <v>0.2007723560883381</v>
      </c>
      <c r="T405" s="35" t="n">
        <v>0.01483149887382584</v>
      </c>
      <c r="U405" s="30" t="n">
        <v>22650</v>
      </c>
      <c r="V405" s="30" t="n">
        <v>6510</v>
      </c>
      <c r="W405" s="35" t="n">
        <v>-0.5607064017660044</v>
      </c>
      <c r="X405" s="35" t="n">
        <v>0.5284178187403994</v>
      </c>
      <c r="Y405" s="30" t="n">
        <v>17780753</v>
      </c>
      <c r="Z405" s="30" t="n">
        <v>176918492350</v>
      </c>
      <c r="AA405" s="30" t="n">
        <v>15187490950</v>
      </c>
      <c r="AB405" s="30" t="n">
        <v>9078770342.5</v>
      </c>
      <c r="AC405" s="35" t="n">
        <v>0.08584456462558138</v>
      </c>
      <c r="AD405" s="24" t="inlineStr">
        <is>
          <t>yfinance_download</t>
        </is>
      </c>
      <c r="AE405" s="24" t="inlineStr">
        <is>
          <t>102120.KQ</t>
        </is>
      </c>
    </row>
    <row r="406" ht="24" customHeight="1">
      <c r="A406" s="29" t="inlineStr">
        <is>
          <t>2025-02-07</t>
        </is>
      </c>
      <c r="B406" s="31" t="n">
        <v>10060</v>
      </c>
      <c r="C406" s="31" t="n">
        <v>12930</v>
      </c>
      <c r="D406" s="31" t="n">
        <v>9860</v>
      </c>
      <c r="E406" s="31" t="n">
        <v>12930</v>
      </c>
      <c r="F406" s="31" t="n">
        <v>12930</v>
      </c>
      <c r="G406" s="31" t="n">
        <v>14146930</v>
      </c>
      <c r="H406" s="36" t="n">
        <v>0.2994974874371858</v>
      </c>
      <c r="I406" s="36" t="n">
        <v>-0.4291390728476822</v>
      </c>
      <c r="J406" s="31" t="n">
        <v>9028.5</v>
      </c>
      <c r="K406" s="31" t="n">
        <v>8340.333333333334</v>
      </c>
      <c r="L406" s="31" t="n">
        <v>9825</v>
      </c>
      <c r="M406" s="36" t="n">
        <v>1.289953287820633</v>
      </c>
      <c r="N406" s="36" t="n">
        <v>0.8835471022443511</v>
      </c>
      <c r="O406" s="36" t="n">
        <v>0.5105140186915889</v>
      </c>
      <c r="P406" s="36" t="n">
        <v>0.3343653250773995</v>
      </c>
      <c r="Q406" s="36" t="n">
        <v>0.2337786259541985</v>
      </c>
      <c r="R406" s="36" t="n">
        <v>0.4321315833194883</v>
      </c>
      <c r="S406" s="36" t="n">
        <v>0.5502977498900923</v>
      </c>
      <c r="T406" s="36" t="n">
        <v>0.3160305343511451</v>
      </c>
      <c r="U406" s="31" t="n">
        <v>22650</v>
      </c>
      <c r="V406" s="31" t="n">
        <v>6510</v>
      </c>
      <c r="W406" s="36" t="n">
        <v>-0.4291390728476822</v>
      </c>
      <c r="X406" s="36" t="n">
        <v>0.9861751152073732</v>
      </c>
      <c r="Y406" s="31" t="n">
        <v>17780753</v>
      </c>
      <c r="Z406" s="31" t="n">
        <v>229905136290</v>
      </c>
      <c r="AA406" s="31" t="n">
        <v>182919804900</v>
      </c>
      <c r="AB406" s="31" t="n">
        <v>18125864339.5</v>
      </c>
      <c r="AC406" s="36" t="n">
        <v>0.7956316585692406</v>
      </c>
      <c r="AD406" s="29" t="inlineStr">
        <is>
          <t>yfinance_download</t>
        </is>
      </c>
      <c r="AE406" s="29" t="inlineStr">
        <is>
          <t>102120.KQ</t>
        </is>
      </c>
    </row>
    <row r="407" ht="24" customHeight="1">
      <c r="A407" s="24" t="inlineStr">
        <is>
          <t>2025-02-10</t>
        </is>
      </c>
      <c r="B407" s="30" t="n">
        <v>12800</v>
      </c>
      <c r="C407" s="30" t="n">
        <v>14170</v>
      </c>
      <c r="D407" s="30" t="n">
        <v>12540</v>
      </c>
      <c r="E407" s="30" t="n">
        <v>13260</v>
      </c>
      <c r="F407" s="30" t="n">
        <v>13260</v>
      </c>
      <c r="G407" s="30" t="n">
        <v>9527735</v>
      </c>
      <c r="H407" s="35" t="n">
        <v>0.02552204176334105</v>
      </c>
      <c r="I407" s="35" t="n">
        <v>-0.4145695364238411</v>
      </c>
      <c r="J407" s="30" t="n">
        <v>9262.5</v>
      </c>
      <c r="K407" s="30" t="n">
        <v>8403.166666666666</v>
      </c>
      <c r="L407" s="30" t="n">
        <v>9838.833333333334</v>
      </c>
      <c r="M407" s="35" t="n">
        <v>1.287507360040683</v>
      </c>
      <c r="N407" s="35" t="n">
        <v>0.8826210945717554</v>
      </c>
      <c r="O407" s="35" t="n">
        <v>0.5454545454545454</v>
      </c>
      <c r="P407" s="35" t="n">
        <v>0.3972602739726028</v>
      </c>
      <c r="Q407" s="35" t="n">
        <v>0.143103448275862</v>
      </c>
      <c r="R407" s="35" t="n">
        <v>0.4315789473684211</v>
      </c>
      <c r="S407" s="35" t="n">
        <v>0.5779765564568913</v>
      </c>
      <c r="T407" s="35" t="n">
        <v>0.347720766351024</v>
      </c>
      <c r="U407" s="30" t="n">
        <v>22650</v>
      </c>
      <c r="V407" s="30" t="n">
        <v>6510</v>
      </c>
      <c r="W407" s="35" t="n">
        <v>-0.4145695364238411</v>
      </c>
      <c r="X407" s="35" t="n">
        <v>1.036866359447004</v>
      </c>
      <c r="Y407" s="30" t="n">
        <v>17780753</v>
      </c>
      <c r="Z407" s="30" t="n">
        <v>235772784780</v>
      </c>
      <c r="AA407" s="30" t="n">
        <v>126337766100</v>
      </c>
      <c r="AB407" s="30" t="n">
        <v>24304882769.5</v>
      </c>
      <c r="AC407" s="35" t="n">
        <v>0.5358454166704864</v>
      </c>
      <c r="AD407" s="24" t="inlineStr">
        <is>
          <t>yfinance_download</t>
        </is>
      </c>
      <c r="AE407" s="24" t="inlineStr">
        <is>
          <t>102120.KQ</t>
        </is>
      </c>
    </row>
    <row r="408" ht="24" customHeight="1">
      <c r="A408" s="29" t="inlineStr">
        <is>
          <t>2025-02-11</t>
        </is>
      </c>
      <c r="B408" s="31" t="n">
        <v>13150</v>
      </c>
      <c r="C408" s="31" t="n">
        <v>13670</v>
      </c>
      <c r="D408" s="31" t="n">
        <v>12990</v>
      </c>
      <c r="E408" s="31" t="n">
        <v>13050</v>
      </c>
      <c r="F408" s="31" t="n">
        <v>13050</v>
      </c>
      <c r="G408" s="31" t="n">
        <v>2032350</v>
      </c>
      <c r="H408" s="36" t="n">
        <v>-0.01583710407239824</v>
      </c>
      <c r="I408" s="36" t="n">
        <v>-0.4238410596026491</v>
      </c>
      <c r="J408" s="31" t="n">
        <v>9472.5</v>
      </c>
      <c r="K408" s="31" t="n">
        <v>8461.5</v>
      </c>
      <c r="L408" s="31" t="n">
        <v>9848.833333333334</v>
      </c>
      <c r="M408" s="36" t="n">
        <v>1.295165127008225</v>
      </c>
      <c r="N408" s="36" t="n">
        <v>0.8838583517861249</v>
      </c>
      <c r="O408" s="36" t="n">
        <v>0.4745762711864407</v>
      </c>
      <c r="P408" s="36" t="n">
        <v>0.3664921465968587</v>
      </c>
      <c r="Q408" s="36" t="n">
        <v>0.1012658227848102</v>
      </c>
      <c r="R408" s="36" t="n">
        <v>0.3776722090261282</v>
      </c>
      <c r="S408" s="36" t="n">
        <v>0.5422797376351711</v>
      </c>
      <c r="T408" s="36" t="n">
        <v>0.3250300373986765</v>
      </c>
      <c r="U408" s="31" t="n">
        <v>22650</v>
      </c>
      <c r="V408" s="31" t="n">
        <v>6510</v>
      </c>
      <c r="W408" s="36" t="n">
        <v>-0.4238410596026491</v>
      </c>
      <c r="X408" s="36" t="n">
        <v>1.004608294930875</v>
      </c>
      <c r="Y408" s="31" t="n">
        <v>17780753</v>
      </c>
      <c r="Z408" s="31" t="n">
        <v>232038826650</v>
      </c>
      <c r="AA408" s="31" t="n">
        <v>26522167500</v>
      </c>
      <c r="AB408" s="31" t="n">
        <v>25546490017</v>
      </c>
      <c r="AC408" s="36" t="n">
        <v>0.114300558587142</v>
      </c>
      <c r="AD408" s="29" t="inlineStr">
        <is>
          <t>yfinance_download</t>
        </is>
      </c>
      <c r="AE408" s="29" t="inlineStr">
        <is>
          <t>102120.KQ</t>
        </is>
      </c>
    </row>
    <row r="409" ht="24" customHeight="1">
      <c r="A409" s="24" t="inlineStr">
        <is>
          <t>2025-02-12</t>
        </is>
      </c>
      <c r="B409" s="30" t="n">
        <v>13180</v>
      </c>
      <c r="C409" s="30" t="n">
        <v>13220</v>
      </c>
      <c r="D409" s="30" t="n">
        <v>12300</v>
      </c>
      <c r="E409" s="30" t="n">
        <v>12450</v>
      </c>
      <c r="F409" s="30" t="n">
        <v>12450</v>
      </c>
      <c r="G409" s="30" t="n">
        <v>1326118</v>
      </c>
      <c r="H409" s="35" t="n">
        <v>-0.04597701149425293</v>
      </c>
      <c r="I409" s="35" t="n">
        <v>-0.4503311258278145</v>
      </c>
      <c r="J409" s="30" t="n">
        <v>9660.5</v>
      </c>
      <c r="K409" s="30" t="n">
        <v>8519.666666666666</v>
      </c>
      <c r="L409" s="30" t="n">
        <v>9857.25</v>
      </c>
      <c r="M409" s="35" t="n">
        <v>1.310423773214521</v>
      </c>
      <c r="N409" s="35" t="n">
        <v>0.8792172185815604</v>
      </c>
      <c r="O409" s="35" t="n">
        <v>0.4326812428078251</v>
      </c>
      <c r="P409" s="35" t="n">
        <v>0.3895089285714286</v>
      </c>
      <c r="Q409" s="35" t="n">
        <v>0.08828671328671334</v>
      </c>
      <c r="R409" s="35" t="n">
        <v>0.28875317012577</v>
      </c>
      <c r="S409" s="35" t="n">
        <v>0.4613247779647092</v>
      </c>
      <c r="T409" s="35" t="n">
        <v>0.2630297496766338</v>
      </c>
      <c r="U409" s="30" t="n">
        <v>22650</v>
      </c>
      <c r="V409" s="30" t="n">
        <v>6510</v>
      </c>
      <c r="W409" s="35" t="n">
        <v>-0.4503311258278145</v>
      </c>
      <c r="X409" s="35" t="n">
        <v>0.9124423963133641</v>
      </c>
      <c r="Y409" s="30" t="n">
        <v>17780753</v>
      </c>
      <c r="Z409" s="30" t="n">
        <v>221370374850</v>
      </c>
      <c r="AA409" s="30" t="n">
        <v>16510169100</v>
      </c>
      <c r="AB409" s="30" t="n">
        <v>26209761820.5</v>
      </c>
      <c r="AC409" s="35" t="n">
        <v>0.07458165579376756</v>
      </c>
      <c r="AD409" s="24" t="inlineStr">
        <is>
          <t>yfinance_download</t>
        </is>
      </c>
      <c r="AE409" s="24" t="inlineStr">
        <is>
          <t>102120.KQ</t>
        </is>
      </c>
    </row>
    <row r="410" ht="24" customHeight="1">
      <c r="A410" s="29" t="inlineStr">
        <is>
          <t>2025-02-13</t>
        </is>
      </c>
      <c r="B410" s="31" t="n">
        <v>12320</v>
      </c>
      <c r="C410" s="31" t="n">
        <v>14020</v>
      </c>
      <c r="D410" s="31" t="n">
        <v>11910</v>
      </c>
      <c r="E410" s="31" t="n">
        <v>13030</v>
      </c>
      <c r="F410" s="31" t="n">
        <v>13030</v>
      </c>
      <c r="G410" s="31" t="n">
        <v>8478123</v>
      </c>
      <c r="H410" s="36" t="n">
        <v>0.04658634538152606</v>
      </c>
      <c r="I410" s="36" t="n">
        <v>-0.4247240618101545</v>
      </c>
      <c r="J410" s="31" t="n">
        <v>9883.5</v>
      </c>
      <c r="K410" s="31" t="n">
        <v>8593.5</v>
      </c>
      <c r="L410" s="31" t="n">
        <v>9868.083333333334</v>
      </c>
      <c r="M410" s="36" t="n">
        <v>1.3066772158614</v>
      </c>
      <c r="N410" s="36" t="n">
        <v>0.8773663727782189</v>
      </c>
      <c r="O410" s="36" t="n">
        <v>0.5204200700116686</v>
      </c>
      <c r="P410" s="36" t="n">
        <v>0.5151162790697674</v>
      </c>
      <c r="Q410" s="36" t="n">
        <v>0.1108269394714407</v>
      </c>
      <c r="R410" s="36" t="n">
        <v>0.3183588809632216</v>
      </c>
      <c r="S410" s="36" t="n">
        <v>0.516262291266655</v>
      </c>
      <c r="T410" s="36" t="n">
        <v>0.3204185209893848</v>
      </c>
      <c r="U410" s="31" t="n">
        <v>22550</v>
      </c>
      <c r="V410" s="31" t="n">
        <v>6510</v>
      </c>
      <c r="W410" s="36" t="n">
        <v>-0.4221729490022172</v>
      </c>
      <c r="X410" s="36" t="n">
        <v>1.001536098310292</v>
      </c>
      <c r="Y410" s="31" t="n">
        <v>17780753</v>
      </c>
      <c r="Z410" s="31" t="n">
        <v>231683211590</v>
      </c>
      <c r="AA410" s="31" t="n">
        <v>110469942690</v>
      </c>
      <c r="AB410" s="31" t="n">
        <v>31696560501</v>
      </c>
      <c r="AC410" s="36" t="n">
        <v>0.4768146208431105</v>
      </c>
      <c r="AD410" s="29" t="inlineStr">
        <is>
          <t>yfinance_download</t>
        </is>
      </c>
      <c r="AE410" s="29" t="inlineStr">
        <is>
          <t>102120.KQ</t>
        </is>
      </c>
    </row>
    <row r="411" ht="24" customHeight="1">
      <c r="A411" s="24" t="inlineStr">
        <is>
          <t>2025-02-14</t>
        </is>
      </c>
      <c r="B411" s="30" t="n">
        <v>15150</v>
      </c>
      <c r="C411" s="30" t="n">
        <v>16000</v>
      </c>
      <c r="D411" s="30" t="n">
        <v>13710</v>
      </c>
      <c r="E411" s="30" t="n">
        <v>13740</v>
      </c>
      <c r="F411" s="30" t="n">
        <v>13740</v>
      </c>
      <c r="G411" s="30" t="n">
        <v>10620120</v>
      </c>
      <c r="H411" s="35" t="n">
        <v>0.05448963929393713</v>
      </c>
      <c r="I411" s="35" t="n">
        <v>-0.3933774834437086</v>
      </c>
      <c r="J411" s="30" t="n">
        <v>10156</v>
      </c>
      <c r="K411" s="30" t="n">
        <v>8683.166666666666</v>
      </c>
      <c r="L411" s="30" t="n">
        <v>9871.666666666666</v>
      </c>
      <c r="M411" s="35" t="n">
        <v>1.293079894496638</v>
      </c>
      <c r="N411" s="35" t="n">
        <v>0.8790860171018255</v>
      </c>
      <c r="O411" s="35" t="n">
        <v>0.6574185765983112</v>
      </c>
      <c r="P411" s="35" t="n">
        <v>0.6435406698564594</v>
      </c>
      <c r="Q411" s="35" t="n">
        <v>0.0323065364387678</v>
      </c>
      <c r="R411" s="35" t="n">
        <v>0.3528948404883812</v>
      </c>
      <c r="S411" s="35" t="n">
        <v>0.5823720224956335</v>
      </c>
      <c r="T411" s="35" t="n">
        <v>0.3918622319770388</v>
      </c>
      <c r="U411" s="30" t="n">
        <v>22550</v>
      </c>
      <c r="V411" s="30" t="n">
        <v>6510</v>
      </c>
      <c r="W411" s="35" t="n">
        <v>-0.3906873614190688</v>
      </c>
      <c r="X411" s="35" t="n">
        <v>1.110599078341014</v>
      </c>
      <c r="Y411" s="30" t="n">
        <v>17780753</v>
      </c>
      <c r="Z411" s="30" t="n">
        <v>244307546220</v>
      </c>
      <c r="AA411" s="30" t="n">
        <v>145920448800</v>
      </c>
      <c r="AB411" s="30" t="n">
        <v>38946683283.5</v>
      </c>
      <c r="AC411" s="35" t="n">
        <v>0.5972817911592383</v>
      </c>
      <c r="AD411" s="24" t="inlineStr">
        <is>
          <t>yfinance_download</t>
        </is>
      </c>
      <c r="AE411" s="24" t="inlineStr">
        <is>
          <t>102120.KQ</t>
        </is>
      </c>
    </row>
    <row r="412" ht="24" customHeight="1">
      <c r="A412" s="29" t="inlineStr">
        <is>
          <t>2025-02-17</t>
        </is>
      </c>
      <c r="B412" s="31" t="n">
        <v>13950</v>
      </c>
      <c r="C412" s="31" t="n">
        <v>13950</v>
      </c>
      <c r="D412" s="31" t="n">
        <v>13690</v>
      </c>
      <c r="E412" s="31" t="n">
        <v>13820</v>
      </c>
      <c r="F412" s="31" t="n">
        <v>13820</v>
      </c>
      <c r="G412" s="31" t="n">
        <v>507388</v>
      </c>
      <c r="H412" s="36" t="n">
        <v>0.005822416302765587</v>
      </c>
      <c r="I412" s="36" t="n">
        <v>-0.3898454746136866</v>
      </c>
      <c r="J412" s="31" t="n">
        <v>10425</v>
      </c>
      <c r="K412" s="31" t="n">
        <v>8779</v>
      </c>
      <c r="L412" s="31" t="n">
        <v>9875.833333333334</v>
      </c>
      <c r="M412" s="36" t="n">
        <v>1.295106327299194</v>
      </c>
      <c r="N412" s="36" t="n">
        <v>0.8742587434829261</v>
      </c>
      <c r="O412" s="36" t="n">
        <v>0.6374407582938388</v>
      </c>
      <c r="P412" s="36" t="n">
        <v>0.7125154894671624</v>
      </c>
      <c r="Q412" s="36" t="n">
        <v>0.03753753753753752</v>
      </c>
      <c r="R412" s="36" t="n">
        <v>0.3256594724220623</v>
      </c>
      <c r="S412" s="36" t="n">
        <v>0.5742111857842578</v>
      </c>
      <c r="T412" s="36" t="n">
        <v>0.3993755801198211</v>
      </c>
      <c r="U412" s="31" t="n">
        <v>21700</v>
      </c>
      <c r="V412" s="31" t="n">
        <v>6510</v>
      </c>
      <c r="W412" s="36" t="n">
        <v>-0.3631336405529954</v>
      </c>
      <c r="X412" s="36" t="n">
        <v>1.122887864823349</v>
      </c>
      <c r="Y412" s="31" t="n">
        <v>17780753</v>
      </c>
      <c r="Z412" s="31" t="n">
        <v>245730006460</v>
      </c>
      <c r="AA412" s="31" t="n">
        <v>7012102160</v>
      </c>
      <c r="AB412" s="31" t="n">
        <v>39263266329.5</v>
      </c>
      <c r="AC412" s="36" t="n">
        <v>0.02853579935562909</v>
      </c>
      <c r="AD412" s="29" t="inlineStr">
        <is>
          <t>yfinance_download</t>
        </is>
      </c>
      <c r="AE412" s="29" t="inlineStr">
        <is>
          <t>102120.KQ</t>
        </is>
      </c>
    </row>
    <row r="413" ht="24" customHeight="1">
      <c r="A413" s="24" t="inlineStr">
        <is>
          <t>2025-02-18</t>
        </is>
      </c>
      <c r="B413" s="30" t="n">
        <v>14010</v>
      </c>
      <c r="C413" s="30" t="n">
        <v>14430</v>
      </c>
      <c r="D413" s="30" t="n">
        <v>14010</v>
      </c>
      <c r="E413" s="30" t="n">
        <v>14200</v>
      </c>
      <c r="F413" s="30" t="n">
        <v>14200</v>
      </c>
      <c r="G413" s="30" t="n">
        <v>444542</v>
      </c>
      <c r="H413" s="35" t="n">
        <v>0.02749638205499272</v>
      </c>
      <c r="I413" s="35" t="n">
        <v>-0.3730684326710817</v>
      </c>
      <c r="J413" s="30" t="n">
        <v>10716</v>
      </c>
      <c r="K413" s="30" t="n">
        <v>8877</v>
      </c>
      <c r="L413" s="30" t="n">
        <v>9884.5</v>
      </c>
      <c r="M413" s="35" t="n">
        <v>1.288556594032651</v>
      </c>
      <c r="N413" s="35" t="n">
        <v>0.8739370381683604</v>
      </c>
      <c r="O413" s="35" t="n">
        <v>0.694510739856802</v>
      </c>
      <c r="P413" s="35" t="n">
        <v>0.7067307692307692</v>
      </c>
      <c r="Q413" s="35" t="n">
        <v>0.07902735562310026</v>
      </c>
      <c r="R413" s="35" t="n">
        <v>0.3251213139231057</v>
      </c>
      <c r="S413" s="35" t="n">
        <v>0.5996395178551313</v>
      </c>
      <c r="T413" s="35" t="n">
        <v>0.4365926450503312</v>
      </c>
      <c r="U413" s="30" t="n">
        <v>21700</v>
      </c>
      <c r="V413" s="30" t="n">
        <v>6510</v>
      </c>
      <c r="W413" s="35" t="n">
        <v>-0.3456221198156681</v>
      </c>
      <c r="X413" s="35" t="n">
        <v>1.181259600614439</v>
      </c>
      <c r="Y413" s="30" t="n">
        <v>17780753</v>
      </c>
      <c r="Z413" s="30" t="n">
        <v>252486692600</v>
      </c>
      <c r="AA413" s="30" t="n">
        <v>6312496400</v>
      </c>
      <c r="AB413" s="30" t="n">
        <v>39537544648.5</v>
      </c>
      <c r="AC413" s="35" t="n">
        <v>0.02500130337562194</v>
      </c>
      <c r="AD413" s="24" t="inlineStr">
        <is>
          <t>yfinance_download</t>
        </is>
      </c>
      <c r="AE413" s="24" t="inlineStr">
        <is>
          <t>102120.KQ</t>
        </is>
      </c>
    </row>
    <row r="414" ht="24" customHeight="1">
      <c r="A414" s="29" t="inlineStr">
        <is>
          <t>2025-02-19</t>
        </is>
      </c>
      <c r="B414" s="31" t="n">
        <v>14180</v>
      </c>
      <c r="C414" s="31" t="n">
        <v>14600</v>
      </c>
      <c r="D414" s="31" t="n">
        <v>14180</v>
      </c>
      <c r="E414" s="31" t="n">
        <v>14570</v>
      </c>
      <c r="F414" s="31" t="n">
        <v>14570</v>
      </c>
      <c r="G414" s="31" t="n">
        <v>498964</v>
      </c>
      <c r="H414" s="36" t="n">
        <v>0.02605633802816909</v>
      </c>
      <c r="I414" s="36" t="n">
        <v>-0.3567328918322296</v>
      </c>
      <c r="J414" s="31" t="n">
        <v>11013.5</v>
      </c>
      <c r="K414" s="31" t="n">
        <v>8980.666666666666</v>
      </c>
      <c r="L414" s="31" t="n">
        <v>9891.916666666666</v>
      </c>
      <c r="M414" s="36" t="n">
        <v>1.28861192832712</v>
      </c>
      <c r="N414" s="36" t="n">
        <v>0.8744131185300729</v>
      </c>
      <c r="O414" s="36" t="n">
        <v>0.6902552204176333</v>
      </c>
      <c r="P414" s="36" t="n">
        <v>0.7449101796407185</v>
      </c>
      <c r="Q414" s="36" t="n">
        <v>0.06505847953216382</v>
      </c>
      <c r="R414" s="36" t="n">
        <v>0.3229218686157898</v>
      </c>
      <c r="S414" s="36" t="n">
        <v>0.6223739885680351</v>
      </c>
      <c r="T414" s="36" t="n">
        <v>0.4729198082609538</v>
      </c>
      <c r="U414" s="31" t="n">
        <v>21700</v>
      </c>
      <c r="V414" s="31" t="n">
        <v>6510</v>
      </c>
      <c r="W414" s="36" t="n">
        <v>-0.3285714285714286</v>
      </c>
      <c r="X414" s="36" t="n">
        <v>1.238095238095238</v>
      </c>
      <c r="Y414" s="31" t="n">
        <v>17780753</v>
      </c>
      <c r="Z414" s="31" t="n">
        <v>259065571210</v>
      </c>
      <c r="AA414" s="31" t="n">
        <v>7269905480</v>
      </c>
      <c r="AB414" s="31" t="n">
        <v>39855903878.5</v>
      </c>
      <c r="AC414" s="36" t="n">
        <v>0.02806202864411873</v>
      </c>
      <c r="AD414" s="29" t="inlineStr">
        <is>
          <t>yfinance_download</t>
        </is>
      </c>
      <c r="AE414" s="29" t="inlineStr">
        <is>
          <t>102120.KQ</t>
        </is>
      </c>
    </row>
    <row r="415" ht="24" customHeight="1">
      <c r="A415" s="24" t="inlineStr">
        <is>
          <t>2025-02-20</t>
        </is>
      </c>
      <c r="B415" s="30" t="n">
        <v>14620</v>
      </c>
      <c r="C415" s="30" t="n">
        <v>14630</v>
      </c>
      <c r="D415" s="30" t="n">
        <v>13180</v>
      </c>
      <c r="E415" s="30" t="n">
        <v>13400</v>
      </c>
      <c r="F415" s="30" t="n">
        <v>13400</v>
      </c>
      <c r="G415" s="30" t="n">
        <v>1331792</v>
      </c>
      <c r="H415" s="35" t="n">
        <v>-0.08030199039121477</v>
      </c>
      <c r="I415" s="35" t="n">
        <v>-0.4083885209713024</v>
      </c>
      <c r="J415" s="30" t="n">
        <v>11257</v>
      </c>
      <c r="K415" s="30" t="n">
        <v>9068.833333333334</v>
      </c>
      <c r="L415" s="30" t="n">
        <v>9888.583333333334</v>
      </c>
      <c r="M415" s="35" t="n">
        <v>1.340067757866978</v>
      </c>
      <c r="N415" s="35" t="n">
        <v>0.8905761520843285</v>
      </c>
      <c r="O415" s="35" t="n">
        <v>0.5709261430246191</v>
      </c>
      <c r="P415" s="35" t="n">
        <v>0.6522811344019728</v>
      </c>
      <c r="Q415" s="35" t="n">
        <v>-0.02898550724637683</v>
      </c>
      <c r="R415" s="35" t="n">
        <v>0.1903704361730478</v>
      </c>
      <c r="S415" s="35" t="n">
        <v>0.4775880763788065</v>
      </c>
      <c r="T415" s="35" t="n">
        <v>0.3550980507824679</v>
      </c>
      <c r="U415" s="30" t="n">
        <v>21700</v>
      </c>
      <c r="V415" s="30" t="n">
        <v>6510</v>
      </c>
      <c r="W415" s="35" t="n">
        <v>-0.3824884792626728</v>
      </c>
      <c r="X415" s="35" t="n">
        <v>1.05837173579109</v>
      </c>
      <c r="Y415" s="30" t="n">
        <v>17780753</v>
      </c>
      <c r="Z415" s="30" t="n">
        <v>238262090200</v>
      </c>
      <c r="AA415" s="30" t="n">
        <v>17846012800</v>
      </c>
      <c r="AB415" s="30" t="n">
        <v>40713463108</v>
      </c>
      <c r="AC415" s="35" t="n">
        <v>0.07490076488886607</v>
      </c>
      <c r="AD415" s="24" t="inlineStr">
        <is>
          <t>yfinance_download</t>
        </is>
      </c>
      <c r="AE415" s="24" t="inlineStr">
        <is>
          <t>102120.KQ</t>
        </is>
      </c>
    </row>
    <row r="416" ht="24" customHeight="1">
      <c r="A416" s="29" t="inlineStr">
        <is>
          <t>2025-02-21</t>
        </is>
      </c>
      <c r="B416" s="31" t="n">
        <v>13110</v>
      </c>
      <c r="C416" s="31" t="n">
        <v>13850</v>
      </c>
      <c r="D416" s="31" t="n">
        <v>13070</v>
      </c>
      <c r="E416" s="31" t="n">
        <v>13080</v>
      </c>
      <c r="F416" s="31" t="n">
        <v>13080</v>
      </c>
      <c r="G416" s="31" t="n">
        <v>576846</v>
      </c>
      <c r="H416" s="36" t="n">
        <v>-0.0238805970149254</v>
      </c>
      <c r="I416" s="36" t="n">
        <v>-0.4225165562913907</v>
      </c>
      <c r="J416" s="31" t="n">
        <v>11442.5</v>
      </c>
      <c r="K416" s="31" t="n">
        <v>9151.833333333334</v>
      </c>
      <c r="L416" s="31" t="n">
        <v>9879.833333333334</v>
      </c>
      <c r="M416" s="36" t="n">
        <v>1.322409730366135</v>
      </c>
      <c r="N416" s="36" t="n">
        <v>0.8929827667455214</v>
      </c>
      <c r="O416" s="36" t="n">
        <v>0.3959445037353255</v>
      </c>
      <c r="P416" s="36" t="n">
        <v>0.6148148148148149</v>
      </c>
      <c r="Q416" s="36" t="n">
        <v>-0.07430997876857748</v>
      </c>
      <c r="R416" s="36" t="n">
        <v>0.1431068385405287</v>
      </c>
      <c r="S416" s="36" t="n">
        <v>0.4292218316912821</v>
      </c>
      <c r="T416" s="36" t="n">
        <v>0.3239089728234281</v>
      </c>
      <c r="U416" s="31" t="n">
        <v>21700</v>
      </c>
      <c r="V416" s="31" t="n">
        <v>6510</v>
      </c>
      <c r="W416" s="36" t="n">
        <v>-0.3972350230414746</v>
      </c>
      <c r="X416" s="36" t="n">
        <v>1.009216589861751</v>
      </c>
      <c r="Y416" s="31" t="n">
        <v>17780753</v>
      </c>
      <c r="Z416" s="31" t="n">
        <v>232572249240</v>
      </c>
      <c r="AA416" s="31" t="n">
        <v>7545145680</v>
      </c>
      <c r="AB416" s="31" t="n">
        <v>39669264687.5</v>
      </c>
      <c r="AC416" s="36" t="n">
        <v>0.03244215810207813</v>
      </c>
      <c r="AD416" s="29" t="inlineStr">
        <is>
          <t>yfinance_download</t>
        </is>
      </c>
      <c r="AE416" s="29" t="inlineStr">
        <is>
          <t>102120.KQ</t>
        </is>
      </c>
    </row>
    <row r="417" ht="24" customHeight="1">
      <c r="A417" s="24" t="inlineStr">
        <is>
          <t>2025-02-24</t>
        </is>
      </c>
      <c r="B417" s="30" t="n">
        <v>12690</v>
      </c>
      <c r="C417" s="30" t="n">
        <v>13000</v>
      </c>
      <c r="D417" s="30" t="n">
        <v>12420</v>
      </c>
      <c r="E417" s="30" t="n">
        <v>12750</v>
      </c>
      <c r="F417" s="30" t="n">
        <v>12750</v>
      </c>
      <c r="G417" s="30" t="n">
        <v>523187</v>
      </c>
      <c r="H417" s="35" t="n">
        <v>-0.02522935779816515</v>
      </c>
      <c r="I417" s="35" t="n">
        <v>-0.4370860927152318</v>
      </c>
      <c r="J417" s="30" t="n">
        <v>11631</v>
      </c>
      <c r="K417" s="30" t="n">
        <v>9229.833333333334</v>
      </c>
      <c r="L417" s="30" t="n">
        <v>9869.583333333334</v>
      </c>
      <c r="M417" s="35" t="n">
        <v>1.313569443339605</v>
      </c>
      <c r="N417" s="35" t="n">
        <v>0.8954224699242838</v>
      </c>
      <c r="O417" s="35" t="n">
        <v>0.4198218262806237</v>
      </c>
      <c r="P417" s="35" t="n">
        <v>0.5799256505576209</v>
      </c>
      <c r="Q417" s="35" t="n">
        <v>-0.08798283261802575</v>
      </c>
      <c r="R417" s="35" t="n">
        <v>0.09620840856332213</v>
      </c>
      <c r="S417" s="35" t="n">
        <v>0.3813900576030624</v>
      </c>
      <c r="T417" s="35" t="n">
        <v>0.291847849031114</v>
      </c>
      <c r="U417" s="30" t="n">
        <v>21700</v>
      </c>
      <c r="V417" s="30" t="n">
        <v>6510</v>
      </c>
      <c r="W417" s="35" t="n">
        <v>-0.4124423963133641</v>
      </c>
      <c r="X417" s="35" t="n">
        <v>0.9585253456221199</v>
      </c>
      <c r="Y417" s="30" t="n">
        <v>17780753</v>
      </c>
      <c r="Z417" s="30" t="n">
        <v>226704600750</v>
      </c>
      <c r="AA417" s="30" t="n">
        <v>6670634250</v>
      </c>
      <c r="AB417" s="30" t="n">
        <v>39762424250</v>
      </c>
      <c r="AC417" s="35" t="n">
        <v>0.02942434440206216</v>
      </c>
      <c r="AD417" s="24" t="inlineStr">
        <is>
          <t>yfinance_download</t>
        </is>
      </c>
      <c r="AE417" s="24" t="inlineStr">
        <is>
          <t>102120.KQ</t>
        </is>
      </c>
    </row>
    <row r="418" ht="24" customHeight="1">
      <c r="A418" s="29" t="inlineStr">
        <is>
          <t>2025-02-25</t>
        </is>
      </c>
      <c r="B418" s="31" t="n">
        <v>12640</v>
      </c>
      <c r="C418" s="31" t="n">
        <v>13770</v>
      </c>
      <c r="D418" s="31" t="n">
        <v>12340</v>
      </c>
      <c r="E418" s="31" t="n">
        <v>13220</v>
      </c>
      <c r="F418" s="31" t="n">
        <v>13220</v>
      </c>
      <c r="G418" s="31" t="n">
        <v>1281445</v>
      </c>
      <c r="H418" s="36" t="n">
        <v>0.03686274509803922</v>
      </c>
      <c r="I418" s="36" t="n">
        <v>-0.416335540838852</v>
      </c>
      <c r="J418" s="31" t="n">
        <v>11834.5</v>
      </c>
      <c r="K418" s="31" t="n">
        <v>9313.666666666666</v>
      </c>
      <c r="L418" s="31" t="n">
        <v>9866.333333333334</v>
      </c>
      <c r="M418" s="36" t="n">
        <v>1.314813685907162</v>
      </c>
      <c r="N418" s="36" t="n">
        <v>0.897162287219517</v>
      </c>
      <c r="O418" s="36" t="n">
        <v>0.444808743169399</v>
      </c>
      <c r="P418" s="36" t="n">
        <v>0.6141636141636142</v>
      </c>
      <c r="Q418" s="36" t="n">
        <v>-0.02865540044085235</v>
      </c>
      <c r="R418" s="36" t="n">
        <v>0.1170729646372892</v>
      </c>
      <c r="S418" s="36" t="n">
        <v>0.4194194910704701</v>
      </c>
      <c r="T418" s="36" t="n">
        <v>0.3399101320990574</v>
      </c>
      <c r="U418" s="31" t="n">
        <v>21700</v>
      </c>
      <c r="V418" s="31" t="n">
        <v>6510</v>
      </c>
      <c r="W418" s="36" t="n">
        <v>-0.3907834101382488</v>
      </c>
      <c r="X418" s="36" t="n">
        <v>1.030721966205837</v>
      </c>
      <c r="Y418" s="31" t="n">
        <v>17780753</v>
      </c>
      <c r="Z418" s="31" t="n">
        <v>235061554660</v>
      </c>
      <c r="AA418" s="31" t="n">
        <v>16940702900</v>
      </c>
      <c r="AB418" s="31" t="n">
        <v>40487031480</v>
      </c>
      <c r="AC418" s="36" t="n">
        <v>0.07206922001559776</v>
      </c>
      <c r="AD418" s="29" t="inlineStr">
        <is>
          <t>yfinance_download</t>
        </is>
      </c>
      <c r="AE418" s="29" t="inlineStr">
        <is>
          <t>102120.KQ</t>
        </is>
      </c>
    </row>
    <row r="419" ht="24" customHeight="1">
      <c r="A419" s="24" t="inlineStr">
        <is>
          <t>2025-02-26</t>
        </is>
      </c>
      <c r="B419" s="30" t="n">
        <v>13220</v>
      </c>
      <c r="C419" s="30" t="n">
        <v>13460</v>
      </c>
      <c r="D419" s="30" t="n">
        <v>12930</v>
      </c>
      <c r="E419" s="30" t="n">
        <v>12990</v>
      </c>
      <c r="F419" s="30" t="n">
        <v>12990</v>
      </c>
      <c r="G419" s="30" t="n">
        <v>430319</v>
      </c>
      <c r="H419" s="35" t="n">
        <v>-0.01739788199697423</v>
      </c>
      <c r="I419" s="35" t="n">
        <v>-0.4264900662251656</v>
      </c>
      <c r="J419" s="30" t="n">
        <v>12032.5</v>
      </c>
      <c r="K419" s="30" t="n">
        <v>9388.833333333334</v>
      </c>
      <c r="L419" s="30" t="n">
        <v>9863.333333333334</v>
      </c>
      <c r="M419" s="35" t="n">
        <v>1.316394897204693</v>
      </c>
      <c r="N419" s="35" t="n">
        <v>0.8971631368453975</v>
      </c>
      <c r="O419" s="35" t="n">
        <v>0.4385382059800664</v>
      </c>
      <c r="P419" s="35" t="n">
        <v>0.5318396226415094</v>
      </c>
      <c r="Q419" s="35" t="n">
        <v>-0.02696629213483148</v>
      </c>
      <c r="R419" s="35" t="n">
        <v>0.07957614793268242</v>
      </c>
      <c r="S419" s="35" t="n">
        <v>0.3835584825945715</v>
      </c>
      <c r="T419" s="35" t="n">
        <v>0.3169989861439675</v>
      </c>
      <c r="U419" s="30" t="n">
        <v>21700</v>
      </c>
      <c r="V419" s="30" t="n">
        <v>6510</v>
      </c>
      <c r="W419" s="35" t="n">
        <v>-0.4013824884792627</v>
      </c>
      <c r="X419" s="35" t="n">
        <v>0.9953917050691243</v>
      </c>
      <c r="Y419" s="30" t="n">
        <v>17780753</v>
      </c>
      <c r="Z419" s="30" t="n">
        <v>230971981470</v>
      </c>
      <c r="AA419" s="30" t="n">
        <v>5589843810</v>
      </c>
      <c r="AB419" s="30" t="n">
        <v>40216395753</v>
      </c>
      <c r="AC419" s="35" t="n">
        <v>0.02420139349553981</v>
      </c>
      <c r="AD419" s="24" t="inlineStr">
        <is>
          <t>yfinance_download</t>
        </is>
      </c>
      <c r="AE419" s="24" t="inlineStr">
        <is>
          <t>102120.KQ</t>
        </is>
      </c>
    </row>
    <row r="420" ht="24" customHeight="1">
      <c r="A420" s="29" t="inlineStr">
        <is>
          <t>2025-02-27</t>
        </is>
      </c>
      <c r="B420" s="31" t="n">
        <v>13210</v>
      </c>
      <c r="C420" s="31" t="n">
        <v>13980</v>
      </c>
      <c r="D420" s="31" t="n">
        <v>12920</v>
      </c>
      <c r="E420" s="31" t="n">
        <v>12930</v>
      </c>
      <c r="F420" s="31" t="n">
        <v>12930</v>
      </c>
      <c r="G420" s="31" t="n">
        <v>1011625</v>
      </c>
      <c r="H420" s="36" t="n">
        <v>-0.004618937644341847</v>
      </c>
      <c r="I420" s="36" t="n">
        <v>-0.4291390728476822</v>
      </c>
      <c r="J420" s="31" t="n">
        <v>12233.5</v>
      </c>
      <c r="K420" s="31" t="n">
        <v>9463.166666666666</v>
      </c>
      <c r="L420" s="31" t="n">
        <v>9864</v>
      </c>
      <c r="M420" s="36" t="n">
        <v>1.313734328145098</v>
      </c>
      <c r="N420" s="36" t="n">
        <v>0.8973504428989191</v>
      </c>
      <c r="O420" s="36" t="n">
        <v>0.4511784511784511</v>
      </c>
      <c r="P420" s="36" t="n">
        <v>0.526564344746163</v>
      </c>
      <c r="Q420" s="36" t="n">
        <v>0.006225680933852118</v>
      </c>
      <c r="R420" s="36" t="n">
        <v>0.05693382923938373</v>
      </c>
      <c r="S420" s="36" t="n">
        <v>0.3663502351221404</v>
      </c>
      <c r="T420" s="36" t="n">
        <v>0.3108272506082725</v>
      </c>
      <c r="U420" s="31" t="n">
        <v>21700</v>
      </c>
      <c r="V420" s="31" t="n">
        <v>6510</v>
      </c>
      <c r="W420" s="36" t="n">
        <v>-0.404147465437788</v>
      </c>
      <c r="X420" s="36" t="n">
        <v>0.9861751152073732</v>
      </c>
      <c r="Y420" s="31" t="n">
        <v>17780753</v>
      </c>
      <c r="Z420" s="31" t="n">
        <v>229905136290</v>
      </c>
      <c r="AA420" s="31" t="n">
        <v>13080311250</v>
      </c>
      <c r="AB420" s="31" t="n">
        <v>40726260880.5</v>
      </c>
      <c r="AC420" s="36" t="n">
        <v>0.05689438461914408</v>
      </c>
      <c r="AD420" s="29" t="inlineStr">
        <is>
          <t>yfinance_download</t>
        </is>
      </c>
      <c r="AE420" s="29" t="inlineStr">
        <is>
          <t>102120.KQ</t>
        </is>
      </c>
    </row>
    <row r="421" ht="24" customHeight="1">
      <c r="A421" s="24" t="inlineStr">
        <is>
          <t>2025-02-28</t>
        </is>
      </c>
      <c r="B421" s="30" t="n">
        <v>12500</v>
      </c>
      <c r="C421" s="30" t="n">
        <v>13300</v>
      </c>
      <c r="D421" s="30" t="n">
        <v>12210</v>
      </c>
      <c r="E421" s="30" t="n">
        <v>13140</v>
      </c>
      <c r="F421" s="30" t="n">
        <v>13140</v>
      </c>
      <c r="G421" s="30" t="n">
        <v>694637</v>
      </c>
      <c r="H421" s="35" t="n">
        <v>0.01624129930394425</v>
      </c>
      <c r="I421" s="35" t="n">
        <v>-0.4198675496688742</v>
      </c>
      <c r="J421" s="30" t="n">
        <v>12473.5</v>
      </c>
      <c r="K421" s="30" t="n">
        <v>9546</v>
      </c>
      <c r="L421" s="30" t="n">
        <v>9867.833333333334</v>
      </c>
      <c r="M421" s="35" t="n">
        <v>1.274636906859976</v>
      </c>
      <c r="N421" s="35" t="n">
        <v>0.8927821929612003</v>
      </c>
      <c r="O421" s="35" t="n">
        <v>0.5755395683453237</v>
      </c>
      <c r="P421" s="35" t="n">
        <v>0.6083231334149326</v>
      </c>
      <c r="Q421" s="35" t="n">
        <v>0.0362776025236593</v>
      </c>
      <c r="R421" s="35" t="n">
        <v>0.05343327855052715</v>
      </c>
      <c r="S421" s="35" t="n">
        <v>0.3764927718416091</v>
      </c>
      <c r="T421" s="35" t="n">
        <v>0.3315993041363352</v>
      </c>
      <c r="U421" s="30" t="n">
        <v>21700</v>
      </c>
      <c r="V421" s="30" t="n">
        <v>6510</v>
      </c>
      <c r="W421" s="35" t="n">
        <v>-0.3944700460829493</v>
      </c>
      <c r="X421" s="35" t="n">
        <v>1.018433179723502</v>
      </c>
      <c r="Y421" s="30" t="n">
        <v>17780753</v>
      </c>
      <c r="Z421" s="30" t="n">
        <v>233639094420</v>
      </c>
      <c r="AA421" s="30" t="n">
        <v>9127530180</v>
      </c>
      <c r="AB421" s="30" t="n">
        <v>41018704681.5</v>
      </c>
      <c r="AC421" s="35" t="n">
        <v>0.03906679317799421</v>
      </c>
      <c r="AD421" s="24" t="inlineStr">
        <is>
          <t>yfinance_download</t>
        </is>
      </c>
      <c r="AE421" s="24" t="inlineStr">
        <is>
          <t>102120.KQ</t>
        </is>
      </c>
    </row>
    <row r="422" ht="24" customHeight="1">
      <c r="A422" s="29" t="inlineStr">
        <is>
          <t>2025-03-04</t>
        </is>
      </c>
      <c r="B422" s="31" t="n">
        <v>12590</v>
      </c>
      <c r="C422" s="31" t="n">
        <v>12700</v>
      </c>
      <c r="D422" s="31" t="n">
        <v>12000</v>
      </c>
      <c r="E422" s="31" t="n">
        <v>12000</v>
      </c>
      <c r="F422" s="31" t="n">
        <v>12000</v>
      </c>
      <c r="G422" s="31" t="n">
        <v>460953</v>
      </c>
      <c r="H422" s="36" t="n">
        <v>-0.08675799086757996</v>
      </c>
      <c r="I422" s="36" t="n">
        <v>-0.4701986754966887</v>
      </c>
      <c r="J422" s="31" t="n">
        <v>12656.5</v>
      </c>
      <c r="K422" s="31" t="n">
        <v>9611.333333333334</v>
      </c>
      <c r="L422" s="31" t="n">
        <v>9860.083333333334</v>
      </c>
      <c r="M422" s="36" t="n">
        <v>1.333673029479016</v>
      </c>
      <c r="N422" s="36" t="n">
        <v>0.9134257318421058</v>
      </c>
      <c r="O422" s="36" t="n">
        <v>0.4388489208633093</v>
      </c>
      <c r="P422" s="36" t="n">
        <v>0.4851485148514851</v>
      </c>
      <c r="Q422" s="36" t="n">
        <v>-0.07192575406032486</v>
      </c>
      <c r="R422" s="36" t="n">
        <v>-0.05187058033421565</v>
      </c>
      <c r="S422" s="36" t="n">
        <v>0.2485260456405631</v>
      </c>
      <c r="T422" s="36" t="n">
        <v>0.2170282536489718</v>
      </c>
      <c r="U422" s="31" t="n">
        <v>21700</v>
      </c>
      <c r="V422" s="31" t="n">
        <v>6510</v>
      </c>
      <c r="W422" s="36" t="n">
        <v>-0.4470046082949308</v>
      </c>
      <c r="X422" s="36" t="n">
        <v>0.8433179723502304</v>
      </c>
      <c r="Y422" s="31" t="n">
        <v>17780753</v>
      </c>
      <c r="Z422" s="31" t="n">
        <v>213369036000</v>
      </c>
      <c r="AA422" s="31" t="n">
        <v>5531436000</v>
      </c>
      <c r="AB422" s="31" t="n">
        <v>40181620018.5</v>
      </c>
      <c r="AC422" s="36" t="n">
        <v>0.02592426766178013</v>
      </c>
      <c r="AD422" s="29" t="inlineStr">
        <is>
          <t>yfinance_download</t>
        </is>
      </c>
      <c r="AE422" s="29" t="inlineStr">
        <is>
          <t>102120.KQ</t>
        </is>
      </c>
    </row>
    <row r="423" ht="24" customHeight="1">
      <c r="A423" s="24" t="inlineStr">
        <is>
          <t>2025-03-05</t>
        </is>
      </c>
      <c r="B423" s="30" t="n">
        <v>12270</v>
      </c>
      <c r="C423" s="30" t="n">
        <v>12680</v>
      </c>
      <c r="D423" s="30" t="n">
        <v>12110</v>
      </c>
      <c r="E423" s="30" t="n">
        <v>12480</v>
      </c>
      <c r="F423" s="30" t="n">
        <v>12480</v>
      </c>
      <c r="G423" s="30" t="n">
        <v>474521</v>
      </c>
      <c r="H423" s="35" t="n">
        <v>0.04000000000000004</v>
      </c>
      <c r="I423" s="35" t="n">
        <v>-0.4490066225165563</v>
      </c>
      <c r="J423" s="30" t="n">
        <v>12849.5</v>
      </c>
      <c r="K423" s="30" t="n">
        <v>9689.5</v>
      </c>
      <c r="L423" s="30" t="n">
        <v>9862.5</v>
      </c>
      <c r="M423" s="35" t="n">
        <v>1.334648251210297</v>
      </c>
      <c r="N423" s="35" t="n">
        <v>0.9110492234892497</v>
      </c>
      <c r="O423" s="35" t="n">
        <v>0.4477958236658932</v>
      </c>
      <c r="P423" s="35" t="n">
        <v>0.6020539152759949</v>
      </c>
      <c r="Q423" s="35" t="n">
        <v>0.0237899917965545</v>
      </c>
      <c r="R423" s="35" t="n">
        <v>-0.02875598272306312</v>
      </c>
      <c r="S423" s="35" t="n">
        <v>0.2879921564580217</v>
      </c>
      <c r="T423" s="35" t="n">
        <v>0.2653992395437261</v>
      </c>
      <c r="U423" s="30" t="n">
        <v>21700</v>
      </c>
      <c r="V423" s="30" t="n">
        <v>6510</v>
      </c>
      <c r="W423" s="35" t="n">
        <v>-0.4248847926267281</v>
      </c>
      <c r="X423" s="35" t="n">
        <v>0.9170506912442395</v>
      </c>
      <c r="Y423" s="30" t="n">
        <v>17780753</v>
      </c>
      <c r="Z423" s="30" t="n">
        <v>221903797440</v>
      </c>
      <c r="AA423" s="30" t="n">
        <v>5922022080</v>
      </c>
      <c r="AB423" s="30" t="n">
        <v>40106914151.5</v>
      </c>
      <c r="AC423" s="35" t="n">
        <v>0.02668733995686234</v>
      </c>
      <c r="AD423" s="24" t="inlineStr">
        <is>
          <t>yfinance_download</t>
        </is>
      </c>
      <c r="AE423" s="24" t="inlineStr">
        <is>
          <t>102120.KQ</t>
        </is>
      </c>
    </row>
    <row r="424" ht="24" customHeight="1">
      <c r="A424" s="29" t="inlineStr">
        <is>
          <t>2025-03-06</t>
        </is>
      </c>
      <c r="B424" s="31" t="n">
        <v>12700</v>
      </c>
      <c r="C424" s="31" t="n">
        <v>12730</v>
      </c>
      <c r="D424" s="31" t="n">
        <v>11730</v>
      </c>
      <c r="E424" s="31" t="n">
        <v>11730</v>
      </c>
      <c r="F424" s="31" t="n">
        <v>11730</v>
      </c>
      <c r="G424" s="31" t="n">
        <v>365922</v>
      </c>
      <c r="H424" s="36" t="n">
        <v>-0.06009615384615385</v>
      </c>
      <c r="I424" s="36" t="n">
        <v>-0.4821192052980132</v>
      </c>
      <c r="J424" s="31" t="n">
        <v>12936</v>
      </c>
      <c r="K424" s="31" t="n">
        <v>9757.666666666666</v>
      </c>
      <c r="L424" s="31" t="n">
        <v>9857.5</v>
      </c>
      <c r="M424" s="36" t="n">
        <v>1.258471959620139</v>
      </c>
      <c r="N424" s="36" t="n">
        <v>0.9203285523720841</v>
      </c>
      <c r="O424" s="36" t="n">
        <v>0.173</v>
      </c>
      <c r="P424" s="36" t="n">
        <v>0.5353403141361257</v>
      </c>
      <c r="Q424" s="36" t="n">
        <v>-0.04866180048661806</v>
      </c>
      <c r="R424" s="36" t="n">
        <v>-0.0932282003710575</v>
      </c>
      <c r="S424" s="36" t="n">
        <v>0.2021316571584737</v>
      </c>
      <c r="T424" s="36" t="n">
        <v>0.1899568856200862</v>
      </c>
      <c r="U424" s="31" t="n">
        <v>21700</v>
      </c>
      <c r="V424" s="31" t="n">
        <v>6510</v>
      </c>
      <c r="W424" s="36" t="n">
        <v>-0.4594470046082949</v>
      </c>
      <c r="X424" s="36" t="n">
        <v>0.8018433179723503</v>
      </c>
      <c r="Y424" s="31" t="n">
        <v>17780753</v>
      </c>
      <c r="Z424" s="31" t="n">
        <v>208568232690</v>
      </c>
      <c r="AA424" s="31" t="n">
        <v>4292265060</v>
      </c>
      <c r="AB424" s="31" t="n">
        <v>36850409904.5</v>
      </c>
      <c r="AC424" s="36" t="n">
        <v>0.02057966836387638</v>
      </c>
      <c r="AD424" s="29" t="inlineStr">
        <is>
          <t>yfinance_download</t>
        </is>
      </c>
      <c r="AE424" s="29" t="inlineStr">
        <is>
          <t>102120.KQ</t>
        </is>
      </c>
    </row>
    <row r="425" ht="24" customHeight="1">
      <c r="A425" s="24" t="inlineStr">
        <is>
          <t>2025-03-07</t>
        </is>
      </c>
      <c r="B425" s="30" t="n">
        <v>11600</v>
      </c>
      <c r="C425" s="30" t="n">
        <v>12750</v>
      </c>
      <c r="D425" s="30" t="n">
        <v>11430</v>
      </c>
      <c r="E425" s="30" t="n">
        <v>12280</v>
      </c>
      <c r="F425" s="30" t="n">
        <v>12280</v>
      </c>
      <c r="G425" s="30" t="n">
        <v>1088002</v>
      </c>
      <c r="H425" s="35" t="n">
        <v>0.04688832054560965</v>
      </c>
      <c r="I425" s="35" t="n">
        <v>-0.4578366445916114</v>
      </c>
      <c r="J425" s="30" t="n">
        <v>13052.5</v>
      </c>
      <c r="K425" s="30" t="n">
        <v>9833.166666666666</v>
      </c>
      <c r="L425" s="30" t="n">
        <v>9856</v>
      </c>
      <c r="M425" s="35" t="n">
        <v>1.263369407042263</v>
      </c>
      <c r="N425" s="35" t="n">
        <v>0.9235915025586906</v>
      </c>
      <c r="O425" s="35" t="n">
        <v>0.2341708542713568</v>
      </c>
      <c r="P425" s="35" t="n">
        <v>0.584516129032258</v>
      </c>
      <c r="Q425" s="35" t="n">
        <v>-0.014446227929374</v>
      </c>
      <c r="R425" s="35" t="n">
        <v>-0.05918406435548751</v>
      </c>
      <c r="S425" s="35" t="n">
        <v>0.2488347260123054</v>
      </c>
      <c r="T425" s="35" t="n">
        <v>0.2459415584415585</v>
      </c>
      <c r="U425" s="30" t="n">
        <v>21700</v>
      </c>
      <c r="V425" s="30" t="n">
        <v>6510</v>
      </c>
      <c r="W425" s="35" t="n">
        <v>-0.4341013824884793</v>
      </c>
      <c r="X425" s="35" t="n">
        <v>0.8863287250384024</v>
      </c>
      <c r="Y425" s="30" t="n">
        <v>17780753</v>
      </c>
      <c r="Z425" s="30" t="n">
        <v>218347646840</v>
      </c>
      <c r="AA425" s="30" t="n">
        <v>13360664560</v>
      </c>
      <c r="AB425" s="30" t="n">
        <v>36759068585</v>
      </c>
      <c r="AC425" s="35" t="n">
        <v>0.06118987199248536</v>
      </c>
      <c r="AD425" s="24" t="inlineStr">
        <is>
          <t>yfinance_download</t>
        </is>
      </c>
      <c r="AE425" s="24" t="inlineStr">
        <is>
          <t>102120.KQ</t>
        </is>
      </c>
    </row>
    <row r="426" ht="24" customHeight="1">
      <c r="A426" s="29" t="inlineStr">
        <is>
          <t>2025-03-10</t>
        </is>
      </c>
      <c r="B426" s="31" t="n">
        <v>12110</v>
      </c>
      <c r="C426" s="31" t="n">
        <v>12990</v>
      </c>
      <c r="D426" s="31" t="n">
        <v>11810</v>
      </c>
      <c r="E426" s="31" t="n">
        <v>11810</v>
      </c>
      <c r="F426" s="31" t="n">
        <v>11810</v>
      </c>
      <c r="G426" s="31" t="n">
        <v>721775</v>
      </c>
      <c r="H426" s="36" t="n">
        <v>-0.03827361563517917</v>
      </c>
      <c r="I426" s="36" t="n">
        <v>-0.4785871964679912</v>
      </c>
      <c r="J426" s="31" t="n">
        <v>12996.5</v>
      </c>
      <c r="K426" s="31" t="n">
        <v>9906.833333333334</v>
      </c>
      <c r="L426" s="31" t="n">
        <v>9853.916666666666</v>
      </c>
      <c r="M426" s="36" t="n">
        <v>0.6848830709463146</v>
      </c>
      <c r="N426" s="36" t="n">
        <v>0.9216354251466431</v>
      </c>
      <c r="O426" s="36" t="n">
        <v>-0.08662026295436964</v>
      </c>
      <c r="P426" s="36" t="n">
        <v>0.598105548037889</v>
      </c>
      <c r="Q426" s="36" t="n">
        <v>-0.02072968490878935</v>
      </c>
      <c r="R426" s="36" t="n">
        <v>-0.09129380987188862</v>
      </c>
      <c r="S426" s="36" t="n">
        <v>0.1921064585050722</v>
      </c>
      <c r="T426" s="36" t="n">
        <v>0.1985082073963822</v>
      </c>
      <c r="U426" s="31" t="n">
        <v>21700</v>
      </c>
      <c r="V426" s="31" t="n">
        <v>6510</v>
      </c>
      <c r="W426" s="36" t="n">
        <v>-0.4557603686635945</v>
      </c>
      <c r="X426" s="36" t="n">
        <v>0.8141321044546852</v>
      </c>
      <c r="Y426" s="31" t="n">
        <v>17780753</v>
      </c>
      <c r="Z426" s="31" t="n">
        <v>209990692930</v>
      </c>
      <c r="AA426" s="31" t="n">
        <v>8524162750</v>
      </c>
      <c r="AB426" s="31" t="n">
        <v>28039286477.5</v>
      </c>
      <c r="AC426" s="36" t="n">
        <v>0.04059305024933421</v>
      </c>
      <c r="AD426" s="29" t="inlineStr">
        <is>
          <t>yfinance_download</t>
        </is>
      </c>
      <c r="AE426" s="29" t="inlineStr">
        <is>
          <t>102120.KQ</t>
        </is>
      </c>
    </row>
    <row r="427" ht="24" customHeight="1">
      <c r="A427" s="24" t="inlineStr">
        <is>
          <t>2025-03-11</t>
        </is>
      </c>
      <c r="B427" s="30" t="n">
        <v>11110</v>
      </c>
      <c r="C427" s="30" t="n">
        <v>11650</v>
      </c>
      <c r="D427" s="30" t="n">
        <v>11100</v>
      </c>
      <c r="E427" s="30" t="n">
        <v>11570</v>
      </c>
      <c r="F427" s="30" t="n">
        <v>11570</v>
      </c>
      <c r="G427" s="30" t="n">
        <v>281160</v>
      </c>
      <c r="H427" s="35" t="n">
        <v>-0.02032176121930562</v>
      </c>
      <c r="I427" s="35" t="n">
        <v>-0.4891832229580574</v>
      </c>
      <c r="J427" s="30" t="n">
        <v>12912</v>
      </c>
      <c r="K427" s="30" t="n">
        <v>9976.5</v>
      </c>
      <c r="L427" s="30" t="n">
        <v>9854.416666666666</v>
      </c>
      <c r="M427" s="35" t="n">
        <v>0.6783116340053446</v>
      </c>
      <c r="N427" s="35" t="n">
        <v>0.9234572663630302</v>
      </c>
      <c r="O427" s="35" t="n">
        <v>-0.1274509803921569</v>
      </c>
      <c r="P427" s="35" t="n">
        <v>0.5656292286874154</v>
      </c>
      <c r="Q427" s="35" t="n">
        <v>0.005212858384013863</v>
      </c>
      <c r="R427" s="35" t="n">
        <v>-0.1039343246592317</v>
      </c>
      <c r="S427" s="35" t="n">
        <v>0.1597253545832706</v>
      </c>
      <c r="T427" s="35" t="n">
        <v>0.1740928348540842</v>
      </c>
      <c r="U427" s="30" t="n">
        <v>20000</v>
      </c>
      <c r="V427" s="30" t="n">
        <v>6510</v>
      </c>
      <c r="W427" s="35" t="n">
        <v>-0.4215</v>
      </c>
      <c r="X427" s="35" t="n">
        <v>0.7772657450076805</v>
      </c>
      <c r="Y427" s="30" t="n">
        <v>17780753</v>
      </c>
      <c r="Z427" s="30" t="n">
        <v>205723312210</v>
      </c>
      <c r="AA427" s="30" t="n">
        <v>3253021200</v>
      </c>
      <c r="AB427" s="30" t="n">
        <v>21885049232.5</v>
      </c>
      <c r="AC427" s="35" t="n">
        <v>0.0158126036619484</v>
      </c>
      <c r="AD427" s="24" t="inlineStr">
        <is>
          <t>yfinance_download</t>
        </is>
      </c>
      <c r="AE427" s="24" t="inlineStr">
        <is>
          <t>102120.KQ</t>
        </is>
      </c>
    </row>
    <row r="428" ht="24" customHeight="1">
      <c r="A428" s="29" t="inlineStr">
        <is>
          <t>2025-03-12</t>
        </is>
      </c>
      <c r="B428" s="31" t="n">
        <v>11770</v>
      </c>
      <c r="C428" s="31" t="n">
        <v>12900</v>
      </c>
      <c r="D428" s="31" t="n">
        <v>11580</v>
      </c>
      <c r="E428" s="31" t="n">
        <v>12220</v>
      </c>
      <c r="F428" s="31" t="n">
        <v>12220</v>
      </c>
      <c r="G428" s="31" t="n">
        <v>1458934</v>
      </c>
      <c r="H428" s="36" t="n">
        <v>0.05617977528089879</v>
      </c>
      <c r="I428" s="36" t="n">
        <v>-0.460485651214128</v>
      </c>
      <c r="J428" s="31" t="n">
        <v>12870.5</v>
      </c>
      <c r="K428" s="31" t="n">
        <v>10063</v>
      </c>
      <c r="L428" s="31" t="n">
        <v>9863.916666666666</v>
      </c>
      <c r="M428" s="36" t="n">
        <v>0.7116854684317135</v>
      </c>
      <c r="N428" s="36" t="n">
        <v>0.9204565561976246</v>
      </c>
      <c r="O428" s="36" t="n">
        <v>-0.06360153256704981</v>
      </c>
      <c r="P428" s="36" t="n">
        <v>0.7382645803698435</v>
      </c>
      <c r="Q428" s="36" t="n">
        <v>0.1028880866425992</v>
      </c>
      <c r="R428" s="36" t="n">
        <v>-0.05054193698768505</v>
      </c>
      <c r="S428" s="36" t="n">
        <v>0.2143495975355263</v>
      </c>
      <c r="T428" s="36" t="n">
        <v>0.2388588035516657</v>
      </c>
      <c r="U428" s="31" t="n">
        <v>18960</v>
      </c>
      <c r="V428" s="31" t="n">
        <v>6510</v>
      </c>
      <c r="W428" s="36" t="n">
        <v>-0.3554852320675106</v>
      </c>
      <c r="X428" s="36" t="n">
        <v>0.8771121351766513</v>
      </c>
      <c r="Y428" s="31" t="n">
        <v>17780753</v>
      </c>
      <c r="Z428" s="31" t="n">
        <v>217280801660</v>
      </c>
      <c r="AA428" s="31" t="n">
        <v>17828173480</v>
      </c>
      <c r="AB428" s="31" t="n">
        <v>21450349531.5</v>
      </c>
      <c r="AC428" s="36" t="n">
        <v>0.08205130570117025</v>
      </c>
      <c r="AD428" s="29" t="inlineStr">
        <is>
          <t>yfinance_download</t>
        </is>
      </c>
      <c r="AE428" s="29" t="inlineStr">
        <is>
          <t>102120.KQ</t>
        </is>
      </c>
    </row>
    <row r="429" ht="24" customHeight="1">
      <c r="A429" s="24" t="inlineStr">
        <is>
          <t>2025-03-13</t>
        </is>
      </c>
      <c r="B429" s="30" t="n">
        <v>12520</v>
      </c>
      <c r="C429" s="30" t="n">
        <v>12750</v>
      </c>
      <c r="D429" s="30" t="n">
        <v>11800</v>
      </c>
      <c r="E429" s="30" t="n">
        <v>11810</v>
      </c>
      <c r="F429" s="30" t="n">
        <v>11810</v>
      </c>
      <c r="G429" s="30" t="n">
        <v>528200</v>
      </c>
      <c r="H429" s="35" t="n">
        <v>-0.03355155482815053</v>
      </c>
      <c r="I429" s="35" t="n">
        <v>-0.4785871964679912</v>
      </c>
      <c r="J429" s="30" t="n">
        <v>12838.5</v>
      </c>
      <c r="K429" s="30" t="n">
        <v>10151.33333333333</v>
      </c>
      <c r="L429" s="30" t="n">
        <v>9873.333333333334</v>
      </c>
      <c r="M429" s="35" t="n">
        <v>0.7028864463793152</v>
      </c>
      <c r="N429" s="35" t="n">
        <v>0.9082072272001048</v>
      </c>
      <c r="O429" s="35" t="n">
        <v>-0.05140562248995983</v>
      </c>
      <c r="P429" s="35" t="n">
        <v>0.8141321044546852</v>
      </c>
      <c r="Q429" s="35" t="n">
        <v>0.1058052434456929</v>
      </c>
      <c r="R429" s="35" t="n">
        <v>-0.0801106048214355</v>
      </c>
      <c r="S429" s="35" t="n">
        <v>0.1633939712353056</v>
      </c>
      <c r="T429" s="35" t="n">
        <v>0.1961512491559756</v>
      </c>
      <c r="U429" s="30" t="n">
        <v>18460</v>
      </c>
      <c r="V429" s="30" t="n">
        <v>6510</v>
      </c>
      <c r="W429" s="35" t="n">
        <v>-0.3602383531960996</v>
      </c>
      <c r="X429" s="35" t="n">
        <v>0.8141321044546852</v>
      </c>
      <c r="Y429" s="30" t="n">
        <v>17780753</v>
      </c>
      <c r="Z429" s="30" t="n">
        <v>209990692930</v>
      </c>
      <c r="AA429" s="30" t="n">
        <v>6238042000</v>
      </c>
      <c r="AB429" s="30" t="n">
        <v>20936743176.5</v>
      </c>
      <c r="AC429" s="35" t="n">
        <v>0.02970627846863403</v>
      </c>
      <c r="AD429" s="24" t="inlineStr">
        <is>
          <t>yfinance_download</t>
        </is>
      </c>
      <c r="AE429" s="24" t="inlineStr">
        <is>
          <t>102120.KQ</t>
        </is>
      </c>
    </row>
    <row r="430" ht="24" customHeight="1">
      <c r="A430" s="29" t="inlineStr">
        <is>
          <t>2025-03-14</t>
        </is>
      </c>
      <c r="B430" s="31" t="n">
        <v>11890</v>
      </c>
      <c r="C430" s="31" t="n">
        <v>13100</v>
      </c>
      <c r="D430" s="31" t="n">
        <v>11850</v>
      </c>
      <c r="E430" s="31" t="n">
        <v>12440</v>
      </c>
      <c r="F430" s="31" t="n">
        <v>12440</v>
      </c>
      <c r="G430" s="31" t="n">
        <v>1850479</v>
      </c>
      <c r="H430" s="36" t="n">
        <v>0.05334462320067734</v>
      </c>
      <c r="I430" s="36" t="n">
        <v>-0.4507726269315673</v>
      </c>
      <c r="J430" s="31" t="n">
        <v>12809</v>
      </c>
      <c r="K430" s="31" t="n">
        <v>10241.16666666667</v>
      </c>
      <c r="L430" s="31" t="n">
        <v>9887.5</v>
      </c>
      <c r="M430" s="36" t="n">
        <v>0.7094219612543367</v>
      </c>
      <c r="N430" s="36" t="n">
        <v>0.9002449626138568</v>
      </c>
      <c r="O430" s="36" t="n">
        <v>-0.04528012279355331</v>
      </c>
      <c r="P430" s="36" t="n">
        <v>0.7645390070921987</v>
      </c>
      <c r="Q430" s="36" t="n">
        <v>0.1582867783985102</v>
      </c>
      <c r="R430" s="36" t="n">
        <v>-0.02880786946678116</v>
      </c>
      <c r="S430" s="36" t="n">
        <v>0.21470535583511</v>
      </c>
      <c r="T430" s="36" t="n">
        <v>0.2581542351453856</v>
      </c>
      <c r="U430" s="31" t="n">
        <v>18460</v>
      </c>
      <c r="V430" s="31" t="n">
        <v>6510</v>
      </c>
      <c r="W430" s="36" t="n">
        <v>-0.3261105092091008</v>
      </c>
      <c r="X430" s="36" t="n">
        <v>0.9109062980030722</v>
      </c>
      <c r="Y430" s="31" t="n">
        <v>17780753</v>
      </c>
      <c r="Z430" s="31" t="n">
        <v>221192567320</v>
      </c>
      <c r="AA430" s="31" t="n">
        <v>23019958760</v>
      </c>
      <c r="AB430" s="31" t="n">
        <v>16564243980</v>
      </c>
      <c r="AC430" s="36" t="n">
        <v>0.1040720266458906</v>
      </c>
      <c r="AD430" s="29" t="inlineStr">
        <is>
          <t>yfinance_download</t>
        </is>
      </c>
      <c r="AE430" s="29" t="inlineStr">
        <is>
          <t>102120.KQ</t>
        </is>
      </c>
    </row>
    <row r="431" ht="24" customHeight="1">
      <c r="A431" s="24" t="inlineStr">
        <is>
          <t>2025-03-17</t>
        </is>
      </c>
      <c r="B431" s="30" t="n">
        <v>12570</v>
      </c>
      <c r="C431" s="30" t="n">
        <v>12770</v>
      </c>
      <c r="D431" s="30" t="n">
        <v>12390</v>
      </c>
      <c r="E431" s="30" t="n">
        <v>12450</v>
      </c>
      <c r="F431" s="30" t="n">
        <v>12450</v>
      </c>
      <c r="G431" s="30" t="n">
        <v>496404</v>
      </c>
      <c r="H431" s="35" t="n">
        <v>0.000803858520900258</v>
      </c>
      <c r="I431" s="35" t="n">
        <v>-0.4503311258278145</v>
      </c>
      <c r="J431" s="30" t="n">
        <v>12744.5</v>
      </c>
      <c r="K431" s="30" t="n">
        <v>10323.66666666667</v>
      </c>
      <c r="L431" s="30" t="n">
        <v>9903.083333333334</v>
      </c>
      <c r="M431" s="35" t="n">
        <v>0.6782852550284231</v>
      </c>
      <c r="N431" s="35" t="n">
        <v>0.8936783224947111</v>
      </c>
      <c r="O431" s="35" t="n">
        <v>-0.09388646288209612</v>
      </c>
      <c r="P431" s="35" t="n">
        <v>0.6599999999999999</v>
      </c>
      <c r="Q431" s="35" t="n">
        <v>0.1767485822306238</v>
      </c>
      <c r="R431" s="35" t="n">
        <v>-0.02310800737573071</v>
      </c>
      <c r="S431" s="35" t="n">
        <v>0.205966872235317</v>
      </c>
      <c r="T431" s="35" t="n">
        <v>0.2571842103048714</v>
      </c>
      <c r="U431" s="30" t="n">
        <v>18460</v>
      </c>
      <c r="V431" s="30" t="n">
        <v>6510</v>
      </c>
      <c r="W431" s="35" t="n">
        <v>-0.3255687973997833</v>
      </c>
      <c r="X431" s="35" t="n">
        <v>0.9124423963133641</v>
      </c>
      <c r="Y431" s="30" t="n">
        <v>17780753</v>
      </c>
      <c r="Z431" s="30" t="n">
        <v>221370374850</v>
      </c>
      <c r="AA431" s="30" t="n">
        <v>6180229800</v>
      </c>
      <c r="AB431" s="30" t="n">
        <v>9577233030</v>
      </c>
      <c r="AC431" s="35" t="n">
        <v>0.02791805273938624</v>
      </c>
      <c r="AD431" s="24" t="inlineStr">
        <is>
          <t>yfinance_download</t>
        </is>
      </c>
      <c r="AE431" s="24" t="inlineStr">
        <is>
          <t>102120.KQ</t>
        </is>
      </c>
    </row>
    <row r="432" ht="24" customHeight="1">
      <c r="A432" s="29" t="inlineStr">
        <is>
          <t>2025-03-18</t>
        </is>
      </c>
      <c r="B432" s="31" t="n">
        <v>12580</v>
      </c>
      <c r="C432" s="31" t="n">
        <v>12740</v>
      </c>
      <c r="D432" s="31" t="n">
        <v>12350</v>
      </c>
      <c r="E432" s="31" t="n">
        <v>12400</v>
      </c>
      <c r="F432" s="31" t="n">
        <v>12400</v>
      </c>
      <c r="G432" s="31" t="n">
        <v>331763</v>
      </c>
      <c r="H432" s="36" t="n">
        <v>-0.004016064257028162</v>
      </c>
      <c r="I432" s="36" t="n">
        <v>-0.4525386313465783</v>
      </c>
      <c r="J432" s="31" t="n">
        <v>12673.5</v>
      </c>
      <c r="K432" s="31" t="n">
        <v>10401</v>
      </c>
      <c r="L432" s="31" t="n">
        <v>9918.75</v>
      </c>
      <c r="M432" s="36" t="n">
        <v>0.6772868617783139</v>
      </c>
      <c r="N432" s="36" t="n">
        <v>0.8926172064465359</v>
      </c>
      <c r="O432" s="36" t="n">
        <v>-0.1027496382054993</v>
      </c>
      <c r="P432" s="36" t="n">
        <v>0.597938144329897</v>
      </c>
      <c r="Q432" s="36" t="n">
        <v>0.1787072243346008</v>
      </c>
      <c r="R432" s="36" t="n">
        <v>-0.02158046317118401</v>
      </c>
      <c r="S432" s="36" t="n">
        <v>0.1921930583597731</v>
      </c>
      <c r="T432" s="36" t="n">
        <v>0.2501575299306869</v>
      </c>
      <c r="U432" s="31" t="n">
        <v>18460</v>
      </c>
      <c r="V432" s="31" t="n">
        <v>6510</v>
      </c>
      <c r="W432" s="36" t="n">
        <v>-0.3282773564463706</v>
      </c>
      <c r="X432" s="36" t="n">
        <v>0.9047619047619047</v>
      </c>
      <c r="Y432" s="31" t="n">
        <v>17780753</v>
      </c>
      <c r="Z432" s="31" t="n">
        <v>220481337200</v>
      </c>
      <c r="AA432" s="31" t="n">
        <v>4113861200</v>
      </c>
      <c r="AB432" s="31" t="n">
        <v>9432320982</v>
      </c>
      <c r="AC432" s="36" t="n">
        <v>0.01865854612568995</v>
      </c>
      <c r="AD432" s="29" t="inlineStr">
        <is>
          <t>yfinance_download</t>
        </is>
      </c>
      <c r="AE432" s="29" t="inlineStr">
        <is>
          <t>102120.KQ</t>
        </is>
      </c>
    </row>
    <row r="433" ht="24" customHeight="1">
      <c r="A433" s="24" t="inlineStr">
        <is>
          <t>2025-03-19</t>
        </is>
      </c>
      <c r="B433" s="30" t="n">
        <v>12180</v>
      </c>
      <c r="C433" s="30" t="n">
        <v>12820</v>
      </c>
      <c r="D433" s="30" t="n">
        <v>12150</v>
      </c>
      <c r="E433" s="30" t="n">
        <v>12430</v>
      </c>
      <c r="F433" s="30" t="n">
        <v>12430</v>
      </c>
      <c r="G433" s="30" t="n">
        <v>461390</v>
      </c>
      <c r="H433" s="35" t="n">
        <v>0.002419354838709697</v>
      </c>
      <c r="I433" s="35" t="n">
        <v>-0.4512141280353201</v>
      </c>
      <c r="J433" s="30" t="n">
        <v>12585</v>
      </c>
      <c r="K433" s="30" t="n">
        <v>10477.66666666667</v>
      </c>
      <c r="L433" s="30" t="n">
        <v>9929.25</v>
      </c>
      <c r="M433" s="35" t="n">
        <v>0.6673365130378704</v>
      </c>
      <c r="N433" s="35" t="n">
        <v>0.8927274955372068</v>
      </c>
      <c r="O433" s="35" t="n">
        <v>-0.1246478873239436</v>
      </c>
      <c r="P433" s="35" t="n">
        <v>0.5874840357598978</v>
      </c>
      <c r="Q433" s="35" t="n">
        <v>0.1128021486123545</v>
      </c>
      <c r="R433" s="35" t="n">
        <v>-0.01231624950337706</v>
      </c>
      <c r="S433" s="35" t="n">
        <v>0.1863328349187161</v>
      </c>
      <c r="T433" s="35" t="n">
        <v>0.2518568874789133</v>
      </c>
      <c r="U433" s="30" t="n">
        <v>18460</v>
      </c>
      <c r="V433" s="30" t="n">
        <v>6510</v>
      </c>
      <c r="W433" s="35" t="n">
        <v>-0.3266522210184182</v>
      </c>
      <c r="X433" s="35" t="n">
        <v>0.9093701996927803</v>
      </c>
      <c r="Y433" s="30" t="n">
        <v>17780753</v>
      </c>
      <c r="Z433" s="30" t="n">
        <v>221014759790</v>
      </c>
      <c r="AA433" s="30" t="n">
        <v>5735077700</v>
      </c>
      <c r="AB433" s="30" t="n">
        <v>9403450047</v>
      </c>
      <c r="AC433" s="35" t="n">
        <v>0.02594884479864267</v>
      </c>
      <c r="AD433" s="24" t="inlineStr">
        <is>
          <t>yfinance_download</t>
        </is>
      </c>
      <c r="AE433" s="24" t="inlineStr">
        <is>
          <t>102120.KQ</t>
        </is>
      </c>
    </row>
    <row r="434" ht="24" customHeight="1">
      <c r="A434" s="29" t="inlineStr">
        <is>
          <t>2025-03-20</t>
        </is>
      </c>
      <c r="B434" s="31" t="n">
        <v>12720</v>
      </c>
      <c r="C434" s="31" t="n">
        <v>13150</v>
      </c>
      <c r="D434" s="31" t="n">
        <v>12230</v>
      </c>
      <c r="E434" s="31" t="n">
        <v>12560</v>
      </c>
      <c r="F434" s="31" t="n">
        <v>12560</v>
      </c>
      <c r="G434" s="31" t="n">
        <v>1331746</v>
      </c>
      <c r="H434" s="36" t="n">
        <v>0.01045856798069189</v>
      </c>
      <c r="I434" s="36" t="n">
        <v>-0.4454746136865342</v>
      </c>
      <c r="J434" s="31" t="n">
        <v>12484.5</v>
      </c>
      <c r="K434" s="31" t="n">
        <v>10555.16666666667</v>
      </c>
      <c r="L434" s="31" t="n">
        <v>9942.25</v>
      </c>
      <c r="M434" s="36" t="n">
        <v>0.6597197333321246</v>
      </c>
      <c r="N434" s="36" t="n">
        <v>0.8927288576039925</v>
      </c>
      <c r="O434" s="36" t="n">
        <v>-0.1379547014413178</v>
      </c>
      <c r="P434" s="36" t="n">
        <v>0.5878634639696587</v>
      </c>
      <c r="Q434" s="36" t="n">
        <v>0.1418181818181818</v>
      </c>
      <c r="R434" s="36" t="n">
        <v>0.006047498898634318</v>
      </c>
      <c r="S434" s="36" t="n">
        <v>0.1899385766844042</v>
      </c>
      <c r="T434" s="36" t="n">
        <v>0.2632955316955417</v>
      </c>
      <c r="U434" s="31" t="n">
        <v>18460</v>
      </c>
      <c r="V434" s="31" t="n">
        <v>6510</v>
      </c>
      <c r="W434" s="36" t="n">
        <v>-0.3196099674972914</v>
      </c>
      <c r="X434" s="36" t="n">
        <v>0.9293394777265744</v>
      </c>
      <c r="Y434" s="31" t="n">
        <v>17780753</v>
      </c>
      <c r="Z434" s="31" t="n">
        <v>223326257680</v>
      </c>
      <c r="AA434" s="31" t="n">
        <v>16726729760</v>
      </c>
      <c r="AB434" s="31" t="n">
        <v>9876291261</v>
      </c>
      <c r="AC434" s="36" t="n">
        <v>0.07489817782182791</v>
      </c>
      <c r="AD434" s="29" t="inlineStr">
        <is>
          <t>yfinance_download</t>
        </is>
      </c>
      <c r="AE434" s="29" t="inlineStr">
        <is>
          <t>102120.KQ</t>
        </is>
      </c>
    </row>
    <row r="435" ht="24" customHeight="1">
      <c r="A435" s="24" t="inlineStr">
        <is>
          <t>2025-03-21</t>
        </is>
      </c>
      <c r="B435" s="30" t="n">
        <v>13620</v>
      </c>
      <c r="C435" s="30" t="n">
        <v>14300</v>
      </c>
      <c r="D435" s="30" t="n">
        <v>12750</v>
      </c>
      <c r="E435" s="30" t="n">
        <v>12780</v>
      </c>
      <c r="F435" s="30" t="n">
        <v>12780</v>
      </c>
      <c r="G435" s="30" t="n">
        <v>5907265</v>
      </c>
      <c r="H435" s="35" t="n">
        <v>0.01751592356687892</v>
      </c>
      <c r="I435" s="35" t="n">
        <v>-0.4357615894039735</v>
      </c>
      <c r="J435" s="30" t="n">
        <v>12453.5</v>
      </c>
      <c r="K435" s="30" t="n">
        <v>10631.5</v>
      </c>
      <c r="L435" s="30" t="n">
        <v>9960.166666666666</v>
      </c>
      <c r="M435" s="35" t="n">
        <v>0.603701467970397</v>
      </c>
      <c r="N435" s="35" t="n">
        <v>0.8910703715252813</v>
      </c>
      <c r="O435" s="35" t="n">
        <v>-0.04626865671641789</v>
      </c>
      <c r="P435" s="35" t="n">
        <v>0.5585365853658537</v>
      </c>
      <c r="Q435" s="35" t="n">
        <v>0.2022577610536218</v>
      </c>
      <c r="R435" s="35" t="n">
        <v>0.02621752920865617</v>
      </c>
      <c r="S435" s="35" t="n">
        <v>0.2020881343178291</v>
      </c>
      <c r="T435" s="35" t="n">
        <v>0.2831110590518902</v>
      </c>
      <c r="U435" s="30" t="n">
        <v>18460</v>
      </c>
      <c r="V435" s="30" t="n">
        <v>6510</v>
      </c>
      <c r="W435" s="35" t="n">
        <v>-0.3076923076923077</v>
      </c>
      <c r="X435" s="35" t="n">
        <v>0.9631336405529953</v>
      </c>
      <c r="Y435" s="30" t="n">
        <v>17780753</v>
      </c>
      <c r="Z435" s="30" t="n">
        <v>227238023340</v>
      </c>
      <c r="AA435" s="30" t="n">
        <v>75494846700</v>
      </c>
      <c r="AB435" s="30" t="n">
        <v>12758732956</v>
      </c>
      <c r="AC435" s="35" t="n">
        <v>0.3322280558084351</v>
      </c>
      <c r="AD435" s="24" t="inlineStr">
        <is>
          <t>yfinance_download</t>
        </is>
      </c>
      <c r="AE435" s="24" t="inlineStr">
        <is>
          <t>102120.KQ</t>
        </is>
      </c>
    </row>
    <row r="436" ht="24" customHeight="1">
      <c r="A436" s="29" t="inlineStr">
        <is>
          <t>2025-03-24</t>
        </is>
      </c>
      <c r="B436" s="31" t="n">
        <v>12740</v>
      </c>
      <c r="C436" s="31" t="n">
        <v>13160</v>
      </c>
      <c r="D436" s="31" t="n">
        <v>12570</v>
      </c>
      <c r="E436" s="31" t="n">
        <v>12950</v>
      </c>
      <c r="F436" s="31" t="n">
        <v>12950</v>
      </c>
      <c r="G436" s="31" t="n">
        <v>603220</v>
      </c>
      <c r="H436" s="36" t="n">
        <v>0.01330203442879507</v>
      </c>
      <c r="I436" s="36" t="n">
        <v>-0.4282560706401766</v>
      </c>
      <c r="J436" s="31" t="n">
        <v>12447</v>
      </c>
      <c r="K436" s="31" t="n">
        <v>10711.16666666667</v>
      </c>
      <c r="L436" s="31" t="n">
        <v>9978.666666666666</v>
      </c>
      <c r="M436" s="36" t="n">
        <v>0.5999752527009906</v>
      </c>
      <c r="N436" s="36" t="n">
        <v>0.8907320059292176</v>
      </c>
      <c r="O436" s="36" t="n">
        <v>-0.00993883792048933</v>
      </c>
      <c r="P436" s="36" t="n">
        <v>0.5850673194614444</v>
      </c>
      <c r="Q436" s="36" t="n">
        <v>0.2068965517241379</v>
      </c>
      <c r="R436" s="36" t="n">
        <v>0.04041134409897973</v>
      </c>
      <c r="S436" s="36" t="n">
        <v>0.2090186254220674</v>
      </c>
      <c r="T436" s="36" t="n">
        <v>0.2977685729556387</v>
      </c>
      <c r="U436" s="31" t="n">
        <v>18460</v>
      </c>
      <c r="V436" s="31" t="n">
        <v>6510</v>
      </c>
      <c r="W436" s="36" t="n">
        <v>-0.2984832069339112</v>
      </c>
      <c r="X436" s="36" t="n">
        <v>0.989247311827957</v>
      </c>
      <c r="Y436" s="31" t="n">
        <v>17780753</v>
      </c>
      <c r="Z436" s="31" t="n">
        <v>230260751350</v>
      </c>
      <c r="AA436" s="31" t="n">
        <v>7811699000</v>
      </c>
      <c r="AB436" s="31" t="n">
        <v>12772060622</v>
      </c>
      <c r="AC436" s="36" t="n">
        <v>0.03392544736434953</v>
      </c>
      <c r="AD436" s="29" t="inlineStr">
        <is>
          <t>yfinance_download</t>
        </is>
      </c>
      <c r="AE436" s="29" t="inlineStr">
        <is>
          <t>102120.KQ</t>
        </is>
      </c>
    </row>
    <row r="437" ht="24" customHeight="1">
      <c r="A437" s="24" t="inlineStr">
        <is>
          <t>2025-03-25</t>
        </is>
      </c>
      <c r="B437" s="30" t="n">
        <v>12960</v>
      </c>
      <c r="C437" s="30" t="n">
        <v>13160</v>
      </c>
      <c r="D437" s="30" t="n">
        <v>11965</v>
      </c>
      <c r="E437" s="30" t="n">
        <v>11980</v>
      </c>
      <c r="F437" s="30" t="n">
        <v>11980</v>
      </c>
      <c r="G437" s="30" t="n">
        <v>631299</v>
      </c>
      <c r="H437" s="35" t="n">
        <v>-0.07490347490347493</v>
      </c>
      <c r="I437" s="35" t="n">
        <v>-0.4710816777041943</v>
      </c>
      <c r="J437" s="30" t="n">
        <v>12408.5</v>
      </c>
      <c r="K437" s="30" t="n">
        <v>10778.33333333333</v>
      </c>
      <c r="L437" s="30" t="n">
        <v>9988.833333333334</v>
      </c>
      <c r="M437" s="35" t="n">
        <v>0.6515767827554467</v>
      </c>
      <c r="N437" s="35" t="n">
        <v>0.9043481763164695</v>
      </c>
      <c r="O437" s="35" t="n">
        <v>-0.06039215686274513</v>
      </c>
      <c r="P437" s="35" t="n">
        <v>0.5069182389937108</v>
      </c>
      <c r="Q437" s="35" t="n">
        <v>0.1133828996282529</v>
      </c>
      <c r="R437" s="35" t="n">
        <v>-0.03453277994922832</v>
      </c>
      <c r="S437" s="35" t="n">
        <v>0.1114890985000772</v>
      </c>
      <c r="T437" s="35" t="n">
        <v>0.1993392621760965</v>
      </c>
      <c r="U437" s="30" t="n">
        <v>18460</v>
      </c>
      <c r="V437" s="30" t="n">
        <v>6510</v>
      </c>
      <c r="W437" s="35" t="n">
        <v>-0.3510292524377031</v>
      </c>
      <c r="X437" s="35" t="n">
        <v>0.8402457757296466</v>
      </c>
      <c r="Y437" s="30" t="n">
        <v>17780753</v>
      </c>
      <c r="Z437" s="30" t="n">
        <v>213013420940</v>
      </c>
      <c r="AA437" s="30" t="n">
        <v>7562962020</v>
      </c>
      <c r="AB437" s="30" t="n">
        <v>12816677010.5</v>
      </c>
      <c r="AC437" s="35" t="n">
        <v>0.03550462682879629</v>
      </c>
      <c r="AD437" s="24" t="inlineStr">
        <is>
          <t>yfinance_download</t>
        </is>
      </c>
      <c r="AE437" s="24" t="inlineStr">
        <is>
          <t>102120.KQ</t>
        </is>
      </c>
    </row>
    <row r="438" ht="24" customHeight="1">
      <c r="A438" s="29" t="inlineStr">
        <is>
          <t>2025-03-26</t>
        </is>
      </c>
      <c r="B438" s="31" t="n">
        <v>11950</v>
      </c>
      <c r="C438" s="31" t="n">
        <v>12200</v>
      </c>
      <c r="D438" s="31" t="n">
        <v>11580</v>
      </c>
      <c r="E438" s="31" t="n">
        <v>11830</v>
      </c>
      <c r="F438" s="31" t="n">
        <v>11830</v>
      </c>
      <c r="G438" s="31" t="n">
        <v>309463</v>
      </c>
      <c r="H438" s="36" t="n">
        <v>-0.01252086811352249</v>
      </c>
      <c r="I438" s="36" t="n">
        <v>-0.4777041942604856</v>
      </c>
      <c r="J438" s="31" t="n">
        <v>12339</v>
      </c>
      <c r="K438" s="31" t="n">
        <v>10848</v>
      </c>
      <c r="L438" s="31" t="n">
        <v>9996.25</v>
      </c>
      <c r="M438" s="36" t="n">
        <v>0.6355971873304161</v>
      </c>
      <c r="N438" s="36" t="n">
        <v>0.900330329145791</v>
      </c>
      <c r="O438" s="36" t="n">
        <v>-0.1051437216338881</v>
      </c>
      <c r="P438" s="36" t="n">
        <v>0.54640522875817</v>
      </c>
      <c r="Q438" s="36" t="n">
        <v>0.08135283363802559</v>
      </c>
      <c r="R438" s="36" t="n">
        <v>-0.04125131696247675</v>
      </c>
      <c r="S438" s="36" t="n">
        <v>0.090523598820059</v>
      </c>
      <c r="T438" s="36" t="n">
        <v>0.1834437914217832</v>
      </c>
      <c r="U438" s="31" t="n">
        <v>18460</v>
      </c>
      <c r="V438" s="31" t="n">
        <v>6510</v>
      </c>
      <c r="W438" s="36" t="n">
        <v>-0.3591549295774648</v>
      </c>
      <c r="X438" s="36" t="n">
        <v>0.8172043010752688</v>
      </c>
      <c r="Y438" s="31" t="n">
        <v>17780753</v>
      </c>
      <c r="Z438" s="31" t="n">
        <v>210346307990</v>
      </c>
      <c r="AA438" s="31" t="n">
        <v>3660947290</v>
      </c>
      <c r="AB438" s="31" t="n">
        <v>12152689230</v>
      </c>
      <c r="AC438" s="36" t="n">
        <v>0.01740438101805925</v>
      </c>
      <c r="AD438" s="29" t="inlineStr">
        <is>
          <t>yfinance_download</t>
        </is>
      </c>
      <c r="AE438" s="29" t="inlineStr">
        <is>
          <t>102120.KQ</t>
        </is>
      </c>
    </row>
    <row r="439" ht="24" customHeight="1">
      <c r="A439" s="24" t="inlineStr">
        <is>
          <t>2025-03-27</t>
        </is>
      </c>
      <c r="B439" s="30" t="n">
        <v>11600</v>
      </c>
      <c r="C439" s="30" t="n">
        <v>11750</v>
      </c>
      <c r="D439" s="30" t="n">
        <v>11200</v>
      </c>
      <c r="E439" s="30" t="n">
        <v>11230</v>
      </c>
      <c r="F439" s="30" t="n">
        <v>11230</v>
      </c>
      <c r="G439" s="30" t="n">
        <v>312648</v>
      </c>
      <c r="H439" s="35" t="n">
        <v>-0.05071851225697377</v>
      </c>
      <c r="I439" s="35" t="n">
        <v>-0.5041942604856512</v>
      </c>
      <c r="J439" s="30" t="n">
        <v>12251</v>
      </c>
      <c r="K439" s="30" t="n">
        <v>10903.33333333333</v>
      </c>
      <c r="L439" s="30" t="n">
        <v>9998.75</v>
      </c>
      <c r="M439" s="35" t="n">
        <v>0.6550868533990627</v>
      </c>
      <c r="N439" s="35" t="n">
        <v>0.9068986011474721</v>
      </c>
      <c r="O439" s="35" t="n">
        <v>-0.1354888375673595</v>
      </c>
      <c r="P439" s="35" t="n">
        <v>0.4197218710493047</v>
      </c>
      <c r="Q439" s="35" t="n">
        <v>0.02744739249771277</v>
      </c>
      <c r="R439" s="35" t="n">
        <v>-0.08334013549914288</v>
      </c>
      <c r="S439" s="35" t="n">
        <v>0.02996025680220105</v>
      </c>
      <c r="T439" s="35" t="n">
        <v>0.1231403925490686</v>
      </c>
      <c r="U439" s="30" t="n">
        <v>18460</v>
      </c>
      <c r="V439" s="30" t="n">
        <v>6510</v>
      </c>
      <c r="W439" s="35" t="n">
        <v>-0.3916576381365113</v>
      </c>
      <c r="X439" s="35" t="n">
        <v>0.7250384024577572</v>
      </c>
      <c r="Y439" s="30" t="n">
        <v>17780753</v>
      </c>
      <c r="Z439" s="30" t="n">
        <v>199677856190</v>
      </c>
      <c r="AA439" s="30" t="n">
        <v>3511037040</v>
      </c>
      <c r="AB439" s="30" t="n">
        <v>12048748891.5</v>
      </c>
      <c r="AC439" s="35" t="n">
        <v>0.01758350729015807</v>
      </c>
      <c r="AD439" s="24" t="inlineStr">
        <is>
          <t>yfinance_download</t>
        </is>
      </c>
      <c r="AE439" s="24" t="inlineStr">
        <is>
          <t>102120.KQ</t>
        </is>
      </c>
    </row>
    <row r="440" ht="24" customHeight="1">
      <c r="A440" s="29" t="inlineStr">
        <is>
          <t>2025-03-28</t>
        </is>
      </c>
      <c r="B440" s="31" t="n">
        <v>11140</v>
      </c>
      <c r="C440" s="31" t="n">
        <v>11230</v>
      </c>
      <c r="D440" s="31" t="n">
        <v>10490</v>
      </c>
      <c r="E440" s="31" t="n">
        <v>10530</v>
      </c>
      <c r="F440" s="31" t="n">
        <v>10530</v>
      </c>
      <c r="G440" s="31" t="n">
        <v>300253</v>
      </c>
      <c r="H440" s="36" t="n">
        <v>-0.06233303650934996</v>
      </c>
      <c r="I440" s="36" t="n">
        <v>-0.5350993377483444</v>
      </c>
      <c r="J440" s="31" t="n">
        <v>12131</v>
      </c>
      <c r="K440" s="31" t="n">
        <v>10948</v>
      </c>
      <c r="L440" s="31" t="n">
        <v>9989.833333333334</v>
      </c>
      <c r="M440" s="36" t="n">
        <v>0.6843491674580366</v>
      </c>
      <c r="N440" s="36" t="n">
        <v>0.9176223828599276</v>
      </c>
      <c r="O440" s="36" t="n">
        <v>-0.185614849187935</v>
      </c>
      <c r="P440" s="36" t="n">
        <v>0.3414012738853502</v>
      </c>
      <c r="Q440" s="36" t="n">
        <v>-0.09224137931034482</v>
      </c>
      <c r="R440" s="36" t="n">
        <v>-0.1319759294369797</v>
      </c>
      <c r="S440" s="36" t="n">
        <v>-0.03818048958713915</v>
      </c>
      <c r="T440" s="36" t="n">
        <v>0.05407163950015836</v>
      </c>
      <c r="U440" s="31" t="n">
        <v>18460</v>
      </c>
      <c r="V440" s="31" t="n">
        <v>6510</v>
      </c>
      <c r="W440" s="36" t="n">
        <v>-0.4295774647887324</v>
      </c>
      <c r="X440" s="36" t="n">
        <v>0.6175115207373272</v>
      </c>
      <c r="Y440" s="31" t="n">
        <v>17780753</v>
      </c>
      <c r="Z440" s="31" t="n">
        <v>187231329090</v>
      </c>
      <c r="AA440" s="31" t="n">
        <v>3161664090</v>
      </c>
      <c r="AB440" s="31" t="n">
        <v>11552816533.5</v>
      </c>
      <c r="AC440" s="36" t="n">
        <v>0.01688640520454899</v>
      </c>
      <c r="AD440" s="29" t="inlineStr">
        <is>
          <t>yfinance_download</t>
        </is>
      </c>
      <c r="AE440" s="29" t="inlineStr">
        <is>
          <t>102120.KQ</t>
        </is>
      </c>
    </row>
    <row r="441" ht="24" customHeight="1">
      <c r="A441" s="24" t="inlineStr">
        <is>
          <t>2025-03-31</t>
        </is>
      </c>
      <c r="B441" s="30" t="n">
        <v>10200</v>
      </c>
      <c r="C441" s="30" t="n">
        <v>10500</v>
      </c>
      <c r="D441" s="30" t="n">
        <v>10000</v>
      </c>
      <c r="E441" s="30" t="n">
        <v>10000</v>
      </c>
      <c r="F441" s="30" t="n">
        <v>10000</v>
      </c>
      <c r="G441" s="30" t="n">
        <v>181299</v>
      </c>
      <c r="H441" s="35" t="n">
        <v>-0.05033238366571702</v>
      </c>
      <c r="I441" s="35" t="n">
        <v>-0.5584988962472406</v>
      </c>
      <c r="J441" s="30" t="n">
        <v>11974</v>
      </c>
      <c r="K441" s="30" t="n">
        <v>10986.66666666667</v>
      </c>
      <c r="L441" s="30" t="n">
        <v>9976.333333333334</v>
      </c>
      <c r="M441" s="35" t="n">
        <v>0.6921292861400127</v>
      </c>
      <c r="N441" s="35" t="n">
        <v>0.9232347740710333</v>
      </c>
      <c r="O441" s="35" t="n">
        <v>-0.23896499238965</v>
      </c>
      <c r="P441" s="35" t="n">
        <v>0.3020833333333333</v>
      </c>
      <c r="Q441" s="35" t="n">
        <v>-0.1394148020654045</v>
      </c>
      <c r="R441" s="35" t="n">
        <v>-0.1648571905795891</v>
      </c>
      <c r="S441" s="35" t="n">
        <v>-0.08980582524271841</v>
      </c>
      <c r="T441" s="35" t="n">
        <v>0.002372281065187609</v>
      </c>
      <c r="U441" s="30" t="n">
        <v>18460</v>
      </c>
      <c r="V441" s="30" t="n">
        <v>6510</v>
      </c>
      <c r="W441" s="35" t="n">
        <v>-0.4582881906825569</v>
      </c>
      <c r="X441" s="35" t="n">
        <v>0.5360983102918586</v>
      </c>
      <c r="Y441" s="30" t="n">
        <v>17780753</v>
      </c>
      <c r="Z441" s="30" t="n">
        <v>177807530000</v>
      </c>
      <c r="AA441" s="30" t="n">
        <v>1812990000</v>
      </c>
      <c r="AB441" s="30" t="n">
        <v>11187089524.5</v>
      </c>
      <c r="AC441" s="35" t="n">
        <v>0.01019636232503764</v>
      </c>
      <c r="AD441" s="24" t="inlineStr">
        <is>
          <t>yfinance_download</t>
        </is>
      </c>
      <c r="AE441" s="24" t="inlineStr">
        <is>
          <t>102120.KQ</t>
        </is>
      </c>
    </row>
    <row r="442" ht="24" customHeight="1">
      <c r="A442" s="29" t="inlineStr">
        <is>
          <t>2025-04-01</t>
        </is>
      </c>
      <c r="B442" s="31" t="n">
        <v>10200</v>
      </c>
      <c r="C442" s="31" t="n">
        <v>10430</v>
      </c>
      <c r="D442" s="31" t="n">
        <v>10020</v>
      </c>
      <c r="E442" s="31" t="n">
        <v>10280</v>
      </c>
      <c r="F442" s="31" t="n">
        <v>10280</v>
      </c>
      <c r="G442" s="31" t="n">
        <v>182565</v>
      </c>
      <c r="H442" s="36" t="n">
        <v>0.02800000000000002</v>
      </c>
      <c r="I442" s="36" t="n">
        <v>-0.5461368653421634</v>
      </c>
      <c r="J442" s="31" t="n">
        <v>11888</v>
      </c>
      <c r="K442" s="31" t="n">
        <v>11032.5</v>
      </c>
      <c r="L442" s="31" t="n">
        <v>9969.333333333334</v>
      </c>
      <c r="M442" s="36" t="n">
        <v>0.6475889622512525</v>
      </c>
      <c r="N442" s="36" t="n">
        <v>0.9227718709599503</v>
      </c>
      <c r="O442" s="36" t="n">
        <v>-0.1433333333333333</v>
      </c>
      <c r="P442" s="36" t="n">
        <v>0.3652058432934926</v>
      </c>
      <c r="Q442" s="36" t="n">
        <v>-0.07553956834532372</v>
      </c>
      <c r="R442" s="36" t="n">
        <v>-0.1352624495289367</v>
      </c>
      <c r="S442" s="36" t="n">
        <v>-0.06820756854747334</v>
      </c>
      <c r="T442" s="36" t="n">
        <v>0.03116223084124647</v>
      </c>
      <c r="U442" s="31" t="n">
        <v>18460</v>
      </c>
      <c r="V442" s="31" t="n">
        <v>6510</v>
      </c>
      <c r="W442" s="36" t="n">
        <v>-0.4431202600216685</v>
      </c>
      <c r="X442" s="36" t="n">
        <v>0.5791090629800306</v>
      </c>
      <c r="Y442" s="31" t="n">
        <v>17780753</v>
      </c>
      <c r="Z442" s="31" t="n">
        <v>182786140840</v>
      </c>
      <c r="AA442" s="31" t="n">
        <v>1876768200</v>
      </c>
      <c r="AB442" s="31" t="n">
        <v>11004356134.5</v>
      </c>
      <c r="AC442" s="36" t="n">
        <v>0.01026756290917488</v>
      </c>
      <c r="AD442" s="29" t="inlineStr">
        <is>
          <t>yfinance_download</t>
        </is>
      </c>
      <c r="AE442" s="29" t="inlineStr">
        <is>
          <t>102120.KQ</t>
        </is>
      </c>
    </row>
    <row r="443" ht="24" customHeight="1">
      <c r="A443" s="24" t="inlineStr">
        <is>
          <t>2025-04-02</t>
        </is>
      </c>
      <c r="B443" s="30" t="n">
        <v>10370</v>
      </c>
      <c r="C443" s="30" t="n">
        <v>10550</v>
      </c>
      <c r="D443" s="30" t="n">
        <v>9910</v>
      </c>
      <c r="E443" s="30" t="n">
        <v>9990</v>
      </c>
      <c r="F443" s="30" t="n">
        <v>9990</v>
      </c>
      <c r="G443" s="30" t="n">
        <v>220662</v>
      </c>
      <c r="H443" s="35" t="n">
        <v>-0.02821011673151752</v>
      </c>
      <c r="I443" s="35" t="n">
        <v>-0.5589403973509934</v>
      </c>
      <c r="J443" s="30" t="n">
        <v>11763.5</v>
      </c>
      <c r="K443" s="30" t="n">
        <v>11072.83333333333</v>
      </c>
      <c r="L443" s="30" t="n">
        <v>9962</v>
      </c>
      <c r="M443" s="35" t="n">
        <v>0.6269938815873077</v>
      </c>
      <c r="N443" s="35" t="n">
        <v>0.9255458413175702</v>
      </c>
      <c r="O443" s="35" t="n">
        <v>-0.1995192307692307</v>
      </c>
      <c r="P443" s="35" t="n">
        <v>0.3196829590488772</v>
      </c>
      <c r="Q443" s="35" t="n">
        <v>-0.08095676172953081</v>
      </c>
      <c r="R443" s="35" t="n">
        <v>-0.1507629532027033</v>
      </c>
      <c r="S443" s="35" t="n">
        <v>-0.09779189307163183</v>
      </c>
      <c r="T443" s="35" t="n">
        <v>0.002810680586227576</v>
      </c>
      <c r="U443" s="30" t="n">
        <v>18460</v>
      </c>
      <c r="V443" s="30" t="n">
        <v>6510</v>
      </c>
      <c r="W443" s="35" t="n">
        <v>-0.4588299024918743</v>
      </c>
      <c r="X443" s="35" t="n">
        <v>0.5345622119815667</v>
      </c>
      <c r="Y443" s="30" t="n">
        <v>17780753</v>
      </c>
      <c r="Z443" s="30" t="n">
        <v>177629722470</v>
      </c>
      <c r="AA443" s="30" t="n">
        <v>2204413380</v>
      </c>
      <c r="AB443" s="30" t="n">
        <v>10818475699.5</v>
      </c>
      <c r="AC443" s="35" t="n">
        <v>0.01241016058206309</v>
      </c>
      <c r="AD443" s="24" t="inlineStr">
        <is>
          <t>yfinance_download</t>
        </is>
      </c>
      <c r="AE443" s="24" t="inlineStr">
        <is>
          <t>102120.KQ</t>
        </is>
      </c>
    </row>
    <row r="444" ht="24" customHeight="1">
      <c r="A444" s="29" t="inlineStr">
        <is>
          <t>2025-04-03</t>
        </is>
      </c>
      <c r="B444" s="31" t="n">
        <v>9480</v>
      </c>
      <c r="C444" s="31" t="n">
        <v>10030</v>
      </c>
      <c r="D444" s="31" t="n">
        <v>9480</v>
      </c>
      <c r="E444" s="31" t="n">
        <v>9880</v>
      </c>
      <c r="F444" s="31" t="n">
        <v>9880</v>
      </c>
      <c r="G444" s="31" t="n">
        <v>139094</v>
      </c>
      <c r="H444" s="36" t="n">
        <v>-0.01101101101101098</v>
      </c>
      <c r="I444" s="36" t="n">
        <v>-0.5637969094922737</v>
      </c>
      <c r="J444" s="31" t="n">
        <v>11671</v>
      </c>
      <c r="K444" s="31" t="n">
        <v>11109</v>
      </c>
      <c r="L444" s="31" t="n">
        <v>9952.333333333334</v>
      </c>
      <c r="M444" s="36" t="n">
        <v>0.5988872503123649</v>
      </c>
      <c r="N444" s="36" t="n">
        <v>0.9258438389425975</v>
      </c>
      <c r="O444" s="36" t="n">
        <v>-0.1577152600170503</v>
      </c>
      <c r="P444" s="36" t="n">
        <v>0.2814526588845656</v>
      </c>
      <c r="Q444" s="36" t="n">
        <v>-0.105072463768116</v>
      </c>
      <c r="R444" s="36" t="n">
        <v>-0.1534572872932911</v>
      </c>
      <c r="S444" s="36" t="n">
        <v>-0.1106310198937798</v>
      </c>
      <c r="T444" s="36" t="n">
        <v>-0.007267977358743405</v>
      </c>
      <c r="U444" s="31" t="n">
        <v>18460</v>
      </c>
      <c r="V444" s="31" t="n">
        <v>6510</v>
      </c>
      <c r="W444" s="36" t="n">
        <v>-0.4647887323943662</v>
      </c>
      <c r="X444" s="36" t="n">
        <v>0.5176651305683564</v>
      </c>
      <c r="Y444" s="31" t="n">
        <v>17780753</v>
      </c>
      <c r="Z444" s="31" t="n">
        <v>175673839640</v>
      </c>
      <c r="AA444" s="31" t="n">
        <v>1374248720</v>
      </c>
      <c r="AB444" s="31" t="n">
        <v>10672574882.5</v>
      </c>
      <c r="AC444" s="36" t="n">
        <v>0.00782272831752401</v>
      </c>
      <c r="AD444" s="29" t="inlineStr">
        <is>
          <t>yfinance_download</t>
        </is>
      </c>
      <c r="AE444" s="29" t="inlineStr">
        <is>
          <t>102120.KQ</t>
        </is>
      </c>
    </row>
    <row r="445" ht="24" customHeight="1">
      <c r="A445" s="24" t="inlineStr">
        <is>
          <t>2025-04-04</t>
        </is>
      </c>
      <c r="B445" s="30" t="n">
        <v>9490</v>
      </c>
      <c r="C445" s="30" t="n">
        <v>10040</v>
      </c>
      <c r="D445" s="30" t="n">
        <v>9430</v>
      </c>
      <c r="E445" s="30" t="n">
        <v>9760</v>
      </c>
      <c r="F445" s="30" t="n">
        <v>9760</v>
      </c>
      <c r="G445" s="30" t="n">
        <v>202441</v>
      </c>
      <c r="H445" s="35" t="n">
        <v>-0.01214574898785425</v>
      </c>
      <c r="I445" s="35" t="n">
        <v>-0.5690949227373068</v>
      </c>
      <c r="J445" s="30" t="n">
        <v>11545</v>
      </c>
      <c r="K445" s="30" t="n">
        <v>11135.83333333333</v>
      </c>
      <c r="L445" s="30" t="n">
        <v>9939</v>
      </c>
      <c r="M445" s="35" t="n">
        <v>0.5628831737212522</v>
      </c>
      <c r="N445" s="35" t="n">
        <v>0.9202860107844293</v>
      </c>
      <c r="O445" s="35" t="n">
        <v>-0.2052117263843648</v>
      </c>
      <c r="P445" s="35" t="n">
        <v>0.1975460122699386</v>
      </c>
      <c r="Q445" s="35" t="n">
        <v>-0.1408450704225352</v>
      </c>
      <c r="R445" s="35" t="n">
        <v>-0.1546123863144219</v>
      </c>
      <c r="S445" s="35" t="n">
        <v>-0.1235501010252189</v>
      </c>
      <c r="T445" s="35" t="n">
        <v>-0.0180098601468961</v>
      </c>
      <c r="U445" s="30" t="n">
        <v>18460</v>
      </c>
      <c r="V445" s="30" t="n">
        <v>6510</v>
      </c>
      <c r="W445" s="35" t="n">
        <v>-0.4712892741061755</v>
      </c>
      <c r="X445" s="35" t="n">
        <v>0.4992319508448542</v>
      </c>
      <c r="Y445" s="30" t="n">
        <v>17780753</v>
      </c>
      <c r="Z445" s="30" t="n">
        <v>173540149280</v>
      </c>
      <c r="AA445" s="30" t="n">
        <v>1975824160</v>
      </c>
      <c r="AB445" s="30" t="n">
        <v>10103332862.5</v>
      </c>
      <c r="AC445" s="35" t="n">
        <v>0.01138540083201201</v>
      </c>
      <c r="AD445" s="24" t="inlineStr">
        <is>
          <t>yfinance_download</t>
        </is>
      </c>
      <c r="AE445" s="24" t="inlineStr">
        <is>
          <t>102120.KQ</t>
        </is>
      </c>
    </row>
    <row r="446" ht="24" customHeight="1">
      <c r="A446" s="29" t="inlineStr">
        <is>
          <t>2025-04-07</t>
        </is>
      </c>
      <c r="B446" s="31" t="n">
        <v>9450</v>
      </c>
      <c r="C446" s="31" t="n">
        <v>9470</v>
      </c>
      <c r="D446" s="31" t="n">
        <v>8810</v>
      </c>
      <c r="E446" s="31" t="n">
        <v>8880</v>
      </c>
      <c r="F446" s="31" t="n">
        <v>8880</v>
      </c>
      <c r="G446" s="31" t="n">
        <v>199566</v>
      </c>
      <c r="H446" s="36" t="n">
        <v>-0.0901639344262295</v>
      </c>
      <c r="I446" s="36" t="n">
        <v>-0.6079470198675496</v>
      </c>
      <c r="J446" s="31" t="n">
        <v>11398.5</v>
      </c>
      <c r="K446" s="31" t="n">
        <v>11141.16666666667</v>
      </c>
      <c r="L446" s="31" t="n">
        <v>9920.583333333334</v>
      </c>
      <c r="M446" s="36" t="n">
        <v>0.6233449979684528</v>
      </c>
      <c r="N446" s="36" t="n">
        <v>0.9353459653751969</v>
      </c>
      <c r="O446" s="36" t="n">
        <v>-0.2480948348856901</v>
      </c>
      <c r="P446" s="36" t="n">
        <v>0.03738317757009346</v>
      </c>
      <c r="Q446" s="36" t="n">
        <v>-0.1992786293958522</v>
      </c>
      <c r="R446" s="36" t="n">
        <v>-0.2209501250164495</v>
      </c>
      <c r="S446" s="36" t="n">
        <v>-0.2029560040091551</v>
      </c>
      <c r="T446" s="36" t="n">
        <v>-0.1048913454349963</v>
      </c>
      <c r="U446" s="31" t="n">
        <v>18460</v>
      </c>
      <c r="V446" s="31" t="n">
        <v>6510</v>
      </c>
      <c r="W446" s="36" t="n">
        <v>-0.5189599133261105</v>
      </c>
      <c r="X446" s="36" t="n">
        <v>0.3640552995391706</v>
      </c>
      <c r="Y446" s="31" t="n">
        <v>17780753</v>
      </c>
      <c r="Z446" s="31" t="n">
        <v>157893086640</v>
      </c>
      <c r="AA446" s="31" t="n">
        <v>1772146080</v>
      </c>
      <c r="AB446" s="31" t="n">
        <v>9765732029</v>
      </c>
      <c r="AC446" s="36" t="n">
        <v>0.01122370914212688</v>
      </c>
      <c r="AD446" s="29" t="inlineStr">
        <is>
          <t>yfinance_download</t>
        </is>
      </c>
      <c r="AE446" s="29" t="inlineStr">
        <is>
          <t>102120.KQ</t>
        </is>
      </c>
    </row>
    <row r="447" ht="24" customHeight="1">
      <c r="A447" s="24" t="inlineStr">
        <is>
          <t>2025-04-08</t>
        </is>
      </c>
      <c r="B447" s="30" t="n">
        <v>9280</v>
      </c>
      <c r="C447" s="30" t="n">
        <v>9380</v>
      </c>
      <c r="D447" s="30" t="n">
        <v>8720</v>
      </c>
      <c r="E447" s="30" t="n">
        <v>8940</v>
      </c>
      <c r="F447" s="30" t="n">
        <v>8940</v>
      </c>
      <c r="G447" s="30" t="n">
        <v>178984</v>
      </c>
      <c r="H447" s="35" t="n">
        <v>0.006756756756756799</v>
      </c>
      <c r="I447" s="35" t="n">
        <v>-0.6052980132450332</v>
      </c>
      <c r="J447" s="30" t="n">
        <v>11267</v>
      </c>
      <c r="K447" s="30" t="n">
        <v>11147.16666666667</v>
      </c>
      <c r="L447" s="30" t="n">
        <v>9905</v>
      </c>
      <c r="M447" s="35" t="n">
        <v>0.626764207158536</v>
      </c>
      <c r="N447" s="35" t="n">
        <v>0.9353927918862993</v>
      </c>
      <c r="O447" s="35" t="n">
        <v>-0.2273120138288678</v>
      </c>
      <c r="P447" s="35" t="n">
        <v>0.04195804195804187</v>
      </c>
      <c r="Q447" s="35" t="n">
        <v>-0.1729879740980573</v>
      </c>
      <c r="R447" s="35" t="n">
        <v>-0.2065323511138724</v>
      </c>
      <c r="S447" s="35" t="n">
        <v>-0.1980024819460849</v>
      </c>
      <c r="T447" s="35" t="n">
        <v>-0.09742554265522463</v>
      </c>
      <c r="U447" s="30" t="n">
        <v>18460</v>
      </c>
      <c r="V447" s="30" t="n">
        <v>6510</v>
      </c>
      <c r="W447" s="35" t="n">
        <v>-0.5157096424702059</v>
      </c>
      <c r="X447" s="35" t="n">
        <v>0.3732718894009217</v>
      </c>
      <c r="Y447" s="30" t="n">
        <v>17780753</v>
      </c>
      <c r="Z447" s="30" t="n">
        <v>158959931820</v>
      </c>
      <c r="AA447" s="30" t="n">
        <v>1600116960</v>
      </c>
      <c r="AB447" s="30" t="n">
        <v>9683086817</v>
      </c>
      <c r="AC447" s="35" t="n">
        <v>0.01006616536431275</v>
      </c>
      <c r="AD447" s="24" t="inlineStr">
        <is>
          <t>yfinance_download</t>
        </is>
      </c>
      <c r="AE447" s="24" t="inlineStr">
        <is>
          <t>102120.KQ</t>
        </is>
      </c>
    </row>
    <row r="448" ht="24" customHeight="1">
      <c r="A448" s="29" t="inlineStr">
        <is>
          <t>2025-04-09</t>
        </is>
      </c>
      <c r="B448" s="31" t="n">
        <v>8640</v>
      </c>
      <c r="C448" s="31" t="n">
        <v>9010</v>
      </c>
      <c r="D448" s="31" t="n">
        <v>8620</v>
      </c>
      <c r="E448" s="31" t="n">
        <v>8800</v>
      </c>
      <c r="F448" s="31" t="n">
        <v>8800</v>
      </c>
      <c r="G448" s="31" t="n">
        <v>176503</v>
      </c>
      <c r="H448" s="36" t="n">
        <v>-0.01565995525727071</v>
      </c>
      <c r="I448" s="36" t="n">
        <v>-0.6114790286975718</v>
      </c>
      <c r="J448" s="31" t="n">
        <v>11096</v>
      </c>
      <c r="K448" s="31" t="n">
        <v>11146.33333333333</v>
      </c>
      <c r="L448" s="31" t="n">
        <v>9888.083333333334</v>
      </c>
      <c r="M448" s="36" t="n">
        <v>0.5725623940455803</v>
      </c>
      <c r="N448" s="36" t="n">
        <v>0.9340934905527764</v>
      </c>
      <c r="O448" s="36" t="n">
        <v>-0.2798690671031097</v>
      </c>
      <c r="P448" s="36" t="n">
        <v>-0.005649717514124242</v>
      </c>
      <c r="Q448" s="36" t="n">
        <v>-0.1874422899353647</v>
      </c>
      <c r="R448" s="36" t="n">
        <v>-0.2069214131218458</v>
      </c>
      <c r="S448" s="36" t="n">
        <v>-0.2105027064206466</v>
      </c>
      <c r="T448" s="36" t="n">
        <v>-0.1100398627978122</v>
      </c>
      <c r="U448" s="31" t="n">
        <v>18460</v>
      </c>
      <c r="V448" s="31" t="n">
        <v>6510</v>
      </c>
      <c r="W448" s="36" t="n">
        <v>-0.52329360780065</v>
      </c>
      <c r="X448" s="36" t="n">
        <v>0.3517665130568357</v>
      </c>
      <c r="Y448" s="31" t="n">
        <v>17780753</v>
      </c>
      <c r="Z448" s="31" t="n">
        <v>156470626400</v>
      </c>
      <c r="AA448" s="31" t="n">
        <v>1553226400</v>
      </c>
      <c r="AB448" s="31" t="n">
        <v>8869339463</v>
      </c>
      <c r="AC448" s="36" t="n">
        <v>0.009926632466015359</v>
      </c>
      <c r="AD448" s="29" t="inlineStr">
        <is>
          <t>yfinance_download</t>
        </is>
      </c>
      <c r="AE448" s="29" t="inlineStr">
        <is>
          <t>102120.KQ</t>
        </is>
      </c>
    </row>
    <row r="449" ht="24" customHeight="1">
      <c r="A449" s="24" t="inlineStr">
        <is>
          <t>2025-04-10</t>
        </is>
      </c>
      <c r="B449" s="30" t="n">
        <v>9810</v>
      </c>
      <c r="C449" s="30" t="n">
        <v>9990</v>
      </c>
      <c r="D449" s="30" t="n">
        <v>9370</v>
      </c>
      <c r="E449" s="30" t="n">
        <v>9500</v>
      </c>
      <c r="F449" s="30" t="n">
        <v>9500</v>
      </c>
      <c r="G449" s="30" t="n">
        <v>397553</v>
      </c>
      <c r="H449" s="35" t="n">
        <v>0.07954545454545459</v>
      </c>
      <c r="I449" s="35" t="n">
        <v>-0.5805739514348787</v>
      </c>
      <c r="J449" s="30" t="n">
        <v>10980.5</v>
      </c>
      <c r="K449" s="30" t="n">
        <v>11159.83333333333</v>
      </c>
      <c r="L449" s="30" t="n">
        <v>9875.75</v>
      </c>
      <c r="M449" s="35" t="n">
        <v>0.6597596404095093</v>
      </c>
      <c r="N449" s="35" t="n">
        <v>0.9467044892209252</v>
      </c>
      <c r="O449" s="35" t="n">
        <v>-0.1955969517358171</v>
      </c>
      <c r="P449" s="35" t="n">
        <v>0.09321058688147299</v>
      </c>
      <c r="Q449" s="35" t="n">
        <v>-0.1347905282331512</v>
      </c>
      <c r="R449" s="35" t="n">
        <v>-0.1348299257775147</v>
      </c>
      <c r="S449" s="35" t="n">
        <v>-0.148732806642871</v>
      </c>
      <c r="T449" s="35" t="n">
        <v>-0.03804774320937654</v>
      </c>
      <c r="U449" s="30" t="n">
        <v>18460</v>
      </c>
      <c r="V449" s="30" t="n">
        <v>6510</v>
      </c>
      <c r="W449" s="35" t="n">
        <v>-0.485373781148429</v>
      </c>
      <c r="X449" s="35" t="n">
        <v>0.4592933947772657</v>
      </c>
      <c r="Y449" s="30" t="n">
        <v>17780753</v>
      </c>
      <c r="Z449" s="30" t="n">
        <v>168917153500</v>
      </c>
      <c r="AA449" s="30" t="n">
        <v>3776753500</v>
      </c>
      <c r="AB449" s="30" t="n">
        <v>8746275038</v>
      </c>
      <c r="AC449" s="35" t="n">
        <v>0.02235861439613947</v>
      </c>
      <c r="AD449" s="24" t="inlineStr">
        <is>
          <t>yfinance_download</t>
        </is>
      </c>
      <c r="AE449" s="24" t="inlineStr">
        <is>
          <t>102120.KQ</t>
        </is>
      </c>
    </row>
    <row r="450" ht="24" customHeight="1">
      <c r="A450" s="29" t="inlineStr">
        <is>
          <t>2025-04-11</t>
        </is>
      </c>
      <c r="B450" s="31" t="n">
        <v>9210</v>
      </c>
      <c r="C450" s="31" t="n">
        <v>9630</v>
      </c>
      <c r="D450" s="31" t="n">
        <v>9190</v>
      </c>
      <c r="E450" s="31" t="n">
        <v>9630</v>
      </c>
      <c r="F450" s="31" t="n">
        <v>9630</v>
      </c>
      <c r="G450" s="31" t="n">
        <v>153253</v>
      </c>
      <c r="H450" s="36" t="n">
        <v>0.01368421052631574</v>
      </c>
      <c r="I450" s="36" t="n">
        <v>-0.5748344370860927</v>
      </c>
      <c r="J450" s="31" t="n">
        <v>10840</v>
      </c>
      <c r="K450" s="31" t="n">
        <v>11177.5</v>
      </c>
      <c r="L450" s="31" t="n">
        <v>9864.583333333334</v>
      </c>
      <c r="M450" s="36" t="n">
        <v>0.6232715915823003</v>
      </c>
      <c r="N450" s="36" t="n">
        <v>0.946283082739668</v>
      </c>
      <c r="O450" s="36" t="n">
        <v>-0.2258842443729904</v>
      </c>
      <c r="P450" s="36" t="n">
        <v>0.1236872812135357</v>
      </c>
      <c r="Q450" s="36" t="n">
        <v>-0.122151321786691</v>
      </c>
      <c r="R450" s="36" t="n">
        <v>-0.1116236162361623</v>
      </c>
      <c r="S450" s="36" t="n">
        <v>-0.1384477745470812</v>
      </c>
      <c r="T450" s="36" t="n">
        <v>-0.02378035902851117</v>
      </c>
      <c r="U450" s="31" t="n">
        <v>18460</v>
      </c>
      <c r="V450" s="31" t="n">
        <v>6510</v>
      </c>
      <c r="W450" s="36" t="n">
        <v>-0.4783315276273022</v>
      </c>
      <c r="X450" s="36" t="n">
        <v>0.4792626728110598</v>
      </c>
      <c r="Y450" s="31" t="n">
        <v>17780753</v>
      </c>
      <c r="Z450" s="31" t="n">
        <v>171228651390</v>
      </c>
      <c r="AA450" s="31" t="n">
        <v>1475826390</v>
      </c>
      <c r="AB450" s="31" t="n">
        <v>7669068419.5</v>
      </c>
      <c r="AC450" s="36" t="n">
        <v>0.00861903879998783</v>
      </c>
      <c r="AD450" s="29" t="inlineStr">
        <is>
          <t>yfinance_download</t>
        </is>
      </c>
      <c r="AE450" s="29" t="inlineStr">
        <is>
          <t>102120.KQ</t>
        </is>
      </c>
    </row>
    <row r="451" ht="24" customHeight="1">
      <c r="A451" s="24" t="inlineStr">
        <is>
          <t>2025-04-14</t>
        </is>
      </c>
      <c r="B451" s="30" t="n">
        <v>9970</v>
      </c>
      <c r="C451" s="30" t="n">
        <v>10900</v>
      </c>
      <c r="D451" s="30" t="n">
        <v>9790</v>
      </c>
      <c r="E451" s="30" t="n">
        <v>10030</v>
      </c>
      <c r="F451" s="30" t="n">
        <v>10030</v>
      </c>
      <c r="G451" s="30" t="n">
        <v>660918</v>
      </c>
      <c r="H451" s="35" t="n">
        <v>0.04153686396677059</v>
      </c>
      <c r="I451" s="35" t="n">
        <v>-0.5571743929359824</v>
      </c>
      <c r="J451" s="30" t="n">
        <v>10719</v>
      </c>
      <c r="K451" s="30" t="n">
        <v>11206.5</v>
      </c>
      <c r="L451" s="30" t="n">
        <v>9860.5</v>
      </c>
      <c r="M451" s="35" t="n">
        <v>0.650524552030285</v>
      </c>
      <c r="N451" s="35" t="n">
        <v>0.9463670293091966</v>
      </c>
      <c r="O451" s="35" t="n">
        <v>-0.1943775100401607</v>
      </c>
      <c r="P451" s="35" t="n">
        <v>0.209891435464415</v>
      </c>
      <c r="Q451" s="35" t="n">
        <v>-0.04657794676806082</v>
      </c>
      <c r="R451" s="35" t="n">
        <v>-0.06427838417762854</v>
      </c>
      <c r="S451" s="35" t="n">
        <v>-0.1049837148083701</v>
      </c>
      <c r="T451" s="35" t="n">
        <v>0.01718979767760254</v>
      </c>
      <c r="U451" s="30" t="n">
        <v>18460</v>
      </c>
      <c r="V451" s="30" t="n">
        <v>6510</v>
      </c>
      <c r="W451" s="35" t="n">
        <v>-0.4566630552546046</v>
      </c>
      <c r="X451" s="35" t="n">
        <v>0.5407066052227343</v>
      </c>
      <c r="Y451" s="30" t="n">
        <v>17780753</v>
      </c>
      <c r="Z451" s="30" t="n">
        <v>178340952590</v>
      </c>
      <c r="AA451" s="30" t="n">
        <v>6629007540</v>
      </c>
      <c r="AB451" s="30" t="n">
        <v>7691507306.5</v>
      </c>
      <c r="AC451" s="35" t="n">
        <v>0.03717041679843368</v>
      </c>
      <c r="AD451" s="24" t="inlineStr">
        <is>
          <t>yfinance_download</t>
        </is>
      </c>
      <c r="AE451" s="24" t="inlineStr">
        <is>
          <t>102120.KQ</t>
        </is>
      </c>
    </row>
    <row r="452" ht="24" customHeight="1">
      <c r="A452" s="29" t="inlineStr">
        <is>
          <t>2025-04-15</t>
        </is>
      </c>
      <c r="B452" s="31" t="n">
        <v>10040</v>
      </c>
      <c r="C452" s="31" t="n">
        <v>10310</v>
      </c>
      <c r="D452" s="31" t="n">
        <v>9950</v>
      </c>
      <c r="E452" s="31" t="n">
        <v>10170</v>
      </c>
      <c r="F452" s="31" t="n">
        <v>10170</v>
      </c>
      <c r="G452" s="31" t="n">
        <v>216659</v>
      </c>
      <c r="H452" s="36" t="n">
        <v>0.0139581256231307</v>
      </c>
      <c r="I452" s="36" t="n">
        <v>-0.5509933774834437</v>
      </c>
      <c r="J452" s="31" t="n">
        <v>10607.5</v>
      </c>
      <c r="K452" s="31" t="n">
        <v>11235.33333333333</v>
      </c>
      <c r="L452" s="31" t="n">
        <v>9857</v>
      </c>
      <c r="M452" s="36" t="n">
        <v>0.6558027634393616</v>
      </c>
      <c r="N452" s="36" t="n">
        <v>0.9461568119514874</v>
      </c>
      <c r="O452" s="36" t="n">
        <v>-0.1798387096774193</v>
      </c>
      <c r="P452" s="36" t="n">
        <v>0.2049763033175356</v>
      </c>
      <c r="Q452" s="36" t="n">
        <v>-0.03966005665722383</v>
      </c>
      <c r="R452" s="36" t="n">
        <v>-0.04124440254536887</v>
      </c>
      <c r="S452" s="36" t="n">
        <v>-0.09481991336853979</v>
      </c>
      <c r="T452" s="36" t="n">
        <v>0.03175408339251296</v>
      </c>
      <c r="U452" s="31" t="n">
        <v>18460</v>
      </c>
      <c r="V452" s="31" t="n">
        <v>6510</v>
      </c>
      <c r="W452" s="36" t="n">
        <v>-0.4490790899241603</v>
      </c>
      <c r="X452" s="36" t="n">
        <v>0.5622119815668203</v>
      </c>
      <c r="Y452" s="31" t="n">
        <v>17780753</v>
      </c>
      <c r="Z452" s="31" t="n">
        <v>180830258010</v>
      </c>
      <c r="AA452" s="31" t="n">
        <v>2203422030</v>
      </c>
      <c r="AB452" s="31" t="n">
        <v>7595985348</v>
      </c>
      <c r="AC452" s="36" t="n">
        <v>0.01218502950915521</v>
      </c>
      <c r="AD452" s="29" t="inlineStr">
        <is>
          <t>yfinance_download</t>
        </is>
      </c>
      <c r="AE452" s="29" t="inlineStr">
        <is>
          <t>102120.KQ</t>
        </is>
      </c>
    </row>
    <row r="453" ht="24" customHeight="1">
      <c r="A453" s="24" t="inlineStr">
        <is>
          <t>2025-04-16</t>
        </is>
      </c>
      <c r="B453" s="30" t="n">
        <v>10040</v>
      </c>
      <c r="C453" s="30" t="n">
        <v>10160</v>
      </c>
      <c r="D453" s="30" t="n">
        <v>9860</v>
      </c>
      <c r="E453" s="30" t="n">
        <v>9890</v>
      </c>
      <c r="F453" s="30" t="n">
        <v>9890</v>
      </c>
      <c r="G453" s="30" t="n">
        <v>178854</v>
      </c>
      <c r="H453" s="35" t="n">
        <v>-0.02753195673549658</v>
      </c>
      <c r="I453" s="35" t="n">
        <v>-0.5633554083885211</v>
      </c>
      <c r="J453" s="30" t="n">
        <v>10480.5</v>
      </c>
      <c r="K453" s="30" t="n">
        <v>11260.5</v>
      </c>
      <c r="L453" s="30" t="n">
        <v>9856.333333333334</v>
      </c>
      <c r="M453" s="35" t="n">
        <v>0.6574763783090848</v>
      </c>
      <c r="N453" s="35" t="n">
        <v>0.9481720154945991</v>
      </c>
      <c r="O453" s="35" t="n">
        <v>-0.2043443282381335</v>
      </c>
      <c r="P453" s="35" t="n">
        <v>0.1801909307875895</v>
      </c>
      <c r="Q453" s="35" t="n">
        <v>-0.008024072216649913</v>
      </c>
      <c r="R453" s="35" t="n">
        <v>-0.0563427317398979</v>
      </c>
      <c r="S453" s="35" t="n">
        <v>-0.1217086275032192</v>
      </c>
      <c r="T453" s="35" t="n">
        <v>0.003415739456863465</v>
      </c>
      <c r="U453" s="30" t="n">
        <v>18460</v>
      </c>
      <c r="V453" s="30" t="n">
        <v>6510</v>
      </c>
      <c r="W453" s="35" t="n">
        <v>-0.4642470205850487</v>
      </c>
      <c r="X453" s="35" t="n">
        <v>0.5192012288786483</v>
      </c>
      <c r="Y453" s="30" t="n">
        <v>17780753</v>
      </c>
      <c r="Z453" s="30" t="n">
        <v>175851647170</v>
      </c>
      <c r="AA453" s="30" t="n">
        <v>1768866060</v>
      </c>
      <c r="AB453" s="30" t="n">
        <v>7397674766</v>
      </c>
      <c r="AC453" s="35" t="n">
        <v>0.01005885408790055</v>
      </c>
      <c r="AD453" s="24" t="inlineStr">
        <is>
          <t>yfinance_download</t>
        </is>
      </c>
      <c r="AE453" s="24" t="inlineStr">
        <is>
          <t>102120.KQ</t>
        </is>
      </c>
    </row>
    <row r="454" ht="24" customHeight="1">
      <c r="A454" s="29" t="inlineStr">
        <is>
          <t>2025-04-17</t>
        </is>
      </c>
      <c r="B454" s="31" t="n">
        <v>9720</v>
      </c>
      <c r="C454" s="31" t="n">
        <v>10180</v>
      </c>
      <c r="D454" s="31" t="n">
        <v>9720</v>
      </c>
      <c r="E454" s="31" t="n">
        <v>10170</v>
      </c>
      <c r="F454" s="31" t="n">
        <v>10170</v>
      </c>
      <c r="G454" s="31" t="n">
        <v>111730</v>
      </c>
      <c r="H454" s="36" t="n">
        <v>0.02831142568250766</v>
      </c>
      <c r="I454" s="36" t="n">
        <v>-0.5509933774834437</v>
      </c>
      <c r="J454" s="31" t="n">
        <v>10361</v>
      </c>
      <c r="K454" s="31" t="n">
        <v>11286.33333333333</v>
      </c>
      <c r="L454" s="31" t="n">
        <v>9856.416666666666</v>
      </c>
      <c r="M454" s="36" t="n">
        <v>0.6680080706245863</v>
      </c>
      <c r="N454" s="36" t="n">
        <v>0.9481364041436493</v>
      </c>
      <c r="O454" s="36" t="n">
        <v>-0.1902866242038217</v>
      </c>
      <c r="P454" s="36" t="n">
        <v>0.1798143851508121</v>
      </c>
      <c r="Q454" s="36" t="n">
        <v>0.0009842519685039353</v>
      </c>
      <c r="R454" s="36" t="n">
        <v>-0.01843451404304608</v>
      </c>
      <c r="S454" s="36" t="n">
        <v>-0.09891018636108573</v>
      </c>
      <c r="T454" s="36" t="n">
        <v>0.03181514580180433</v>
      </c>
      <c r="U454" s="31" t="n">
        <v>18460</v>
      </c>
      <c r="V454" s="31" t="n">
        <v>6510</v>
      </c>
      <c r="W454" s="36" t="n">
        <v>-0.4490790899241603</v>
      </c>
      <c r="X454" s="36" t="n">
        <v>0.5622119815668203</v>
      </c>
      <c r="Y454" s="31" t="n">
        <v>17780753</v>
      </c>
      <c r="Z454" s="31" t="n">
        <v>180830258010</v>
      </c>
      <c r="AA454" s="31" t="n">
        <v>1136294100</v>
      </c>
      <c r="AB454" s="31" t="n">
        <v>6618152983</v>
      </c>
      <c r="AC454" s="36" t="n">
        <v>0.006283760873344341</v>
      </c>
      <c r="AD454" s="29" t="inlineStr">
        <is>
          <t>yfinance_download</t>
        </is>
      </c>
      <c r="AE454" s="29" t="inlineStr">
        <is>
          <t>102120.KQ</t>
        </is>
      </c>
    </row>
    <row r="455" ht="24" customHeight="1">
      <c r="A455" s="24" t="inlineStr">
        <is>
          <t>2025-04-18</t>
        </is>
      </c>
      <c r="B455" s="30" t="n">
        <v>10100</v>
      </c>
      <c r="C455" s="30" t="n">
        <v>10170</v>
      </c>
      <c r="D455" s="30" t="n">
        <v>9900</v>
      </c>
      <c r="E455" s="30" t="n">
        <v>10050</v>
      </c>
      <c r="F455" s="30" t="n">
        <v>10050</v>
      </c>
      <c r="G455" s="30" t="n">
        <v>99031</v>
      </c>
      <c r="H455" s="35" t="n">
        <v>-0.01179941002949858</v>
      </c>
      <c r="I455" s="35" t="n">
        <v>-0.5562913907284768</v>
      </c>
      <c r="J455" s="30" t="n">
        <v>10224.5</v>
      </c>
      <c r="K455" s="30" t="n">
        <v>11311.66666666667</v>
      </c>
      <c r="L455" s="30" t="n">
        <v>9858.083333333334</v>
      </c>
      <c r="M455" s="35" t="n">
        <v>0.6602584391078861</v>
      </c>
      <c r="N455" s="35" t="n">
        <v>0.9482312258508067</v>
      </c>
      <c r="O455" s="35" t="n">
        <v>-0.2136150234741784</v>
      </c>
      <c r="P455" s="35" t="n">
        <v>0.1781946072684641</v>
      </c>
      <c r="Q455" s="35" t="n">
        <v>0.02030456852791884</v>
      </c>
      <c r="R455" s="35" t="n">
        <v>-0.01706684923468138</v>
      </c>
      <c r="S455" s="35" t="n">
        <v>-0.1115367614557241</v>
      </c>
      <c r="T455" s="35" t="n">
        <v>0.01946794931401463</v>
      </c>
      <c r="U455" s="30" t="n">
        <v>18460</v>
      </c>
      <c r="V455" s="30" t="n">
        <v>6510</v>
      </c>
      <c r="W455" s="35" t="n">
        <v>-0.4555796316359697</v>
      </c>
      <c r="X455" s="35" t="n">
        <v>0.5437788018433181</v>
      </c>
      <c r="Y455" s="30" t="n">
        <v>17780753</v>
      </c>
      <c r="Z455" s="30" t="n">
        <v>178696567650</v>
      </c>
      <c r="AA455" s="30" t="n">
        <v>995261550</v>
      </c>
      <c r="AB455" s="30" t="n">
        <v>2893173725.5</v>
      </c>
      <c r="AC455" s="35" t="n">
        <v>0.005569561649048272</v>
      </c>
      <c r="AD455" s="24" t="inlineStr">
        <is>
          <t>yfinance_download</t>
        </is>
      </c>
      <c r="AE455" s="24" t="inlineStr">
        <is>
          <t>102120.KQ</t>
        </is>
      </c>
    </row>
    <row r="456" ht="24" customHeight="1">
      <c r="A456" s="29" t="inlineStr">
        <is>
          <t>2025-04-21</t>
        </is>
      </c>
      <c r="B456" s="31" t="n">
        <v>9960</v>
      </c>
      <c r="C456" s="31" t="n">
        <v>10360</v>
      </c>
      <c r="D456" s="31" t="n">
        <v>9960</v>
      </c>
      <c r="E456" s="31" t="n">
        <v>10030</v>
      </c>
      <c r="F456" s="31" t="n">
        <v>10030</v>
      </c>
      <c r="G456" s="31" t="n">
        <v>110713</v>
      </c>
      <c r="H456" s="36" t="n">
        <v>-0.001990049751243728</v>
      </c>
      <c r="I456" s="36" t="n">
        <v>-0.5571743929359824</v>
      </c>
      <c r="J456" s="31" t="n">
        <v>10078.5</v>
      </c>
      <c r="K456" s="31" t="n">
        <v>11322.66666666667</v>
      </c>
      <c r="L456" s="31" t="n">
        <v>9857.75</v>
      </c>
      <c r="M456" s="36" t="n">
        <v>0.6549690114614808</v>
      </c>
      <c r="N456" s="36" t="n">
        <v>0.9277742866916753</v>
      </c>
      <c r="O456" s="36" t="n">
        <v>-0.2254826254826254</v>
      </c>
      <c r="P456" s="36" t="n">
        <v>0.07043756670224122</v>
      </c>
      <c r="Q456" s="36" t="n">
        <v>-0.003972194637537285</v>
      </c>
      <c r="R456" s="36" t="n">
        <v>-0.004812224041276014</v>
      </c>
      <c r="S456" s="36" t="n">
        <v>-0.1141662741403674</v>
      </c>
      <c r="T456" s="36" t="n">
        <v>0.01747356141107259</v>
      </c>
      <c r="U456" s="31" t="n">
        <v>18460</v>
      </c>
      <c r="V456" s="31" t="n">
        <v>6510</v>
      </c>
      <c r="W456" s="36" t="n">
        <v>-0.4566630552546046</v>
      </c>
      <c r="X456" s="36" t="n">
        <v>0.5407066052227343</v>
      </c>
      <c r="Y456" s="31" t="n">
        <v>17780753</v>
      </c>
      <c r="Z456" s="31" t="n">
        <v>178340952590</v>
      </c>
      <c r="AA456" s="31" t="n">
        <v>1110451390</v>
      </c>
      <c r="AB456" s="31" t="n">
        <v>2558111345</v>
      </c>
      <c r="AC456" s="36" t="n">
        <v>0.006226564195565846</v>
      </c>
      <c r="AD456" s="29" t="inlineStr">
        <is>
          <t>yfinance_download</t>
        </is>
      </c>
      <c r="AE456" s="29" t="inlineStr">
        <is>
          <t>102120.KQ</t>
        </is>
      </c>
    </row>
    <row r="457" ht="24" customHeight="1">
      <c r="A457" s="24" t="inlineStr">
        <is>
          <t>2025-04-22</t>
        </is>
      </c>
      <c r="B457" s="30" t="n">
        <v>9850</v>
      </c>
      <c r="C457" s="30" t="n">
        <v>10110</v>
      </c>
      <c r="D457" s="30" t="n">
        <v>9850</v>
      </c>
      <c r="E457" s="30" t="n">
        <v>10020</v>
      </c>
      <c r="F457" s="30" t="n">
        <v>10020</v>
      </c>
      <c r="G457" s="30" t="n">
        <v>82796</v>
      </c>
      <c r="H457" s="35" t="n">
        <v>-0.0009970089730807485</v>
      </c>
      <c r="I457" s="35" t="n">
        <v>-0.5576158940397351</v>
      </c>
      <c r="J457" s="30" t="n">
        <v>9980.5</v>
      </c>
      <c r="K457" s="30" t="n">
        <v>11340</v>
      </c>
      <c r="L457" s="30" t="n">
        <v>9860.5</v>
      </c>
      <c r="M457" s="35" t="n">
        <v>0.61175583634701</v>
      </c>
      <c r="N457" s="35" t="n">
        <v>0.9232115246537257</v>
      </c>
      <c r="O457" s="35" t="n">
        <v>-0.1636060100166945</v>
      </c>
      <c r="P457" s="35" t="n">
        <v>0.1158129175946547</v>
      </c>
      <c r="Q457" s="35" t="n">
        <v>0.03405572755417952</v>
      </c>
      <c r="R457" s="35" t="n">
        <v>0.003957717549220918</v>
      </c>
      <c r="S457" s="35" t="n">
        <v>-0.1164021164021164</v>
      </c>
      <c r="T457" s="35" t="n">
        <v>0.01617565032199186</v>
      </c>
      <c r="U457" s="30" t="n">
        <v>18460</v>
      </c>
      <c r="V457" s="30" t="n">
        <v>6510</v>
      </c>
      <c r="W457" s="35" t="n">
        <v>-0.457204767063922</v>
      </c>
      <c r="X457" s="35" t="n">
        <v>0.5391705069124424</v>
      </c>
      <c r="Y457" s="30" t="n">
        <v>17780753</v>
      </c>
      <c r="Z457" s="30" t="n">
        <v>178163145060</v>
      </c>
      <c r="AA457" s="30" t="n">
        <v>829615920</v>
      </c>
      <c r="AB457" s="30" t="n">
        <v>2221444040</v>
      </c>
      <c r="AC457" s="35" t="n">
        <v>0.004656495706340445</v>
      </c>
      <c r="AD457" s="24" t="inlineStr">
        <is>
          <t>yfinance_download</t>
        </is>
      </c>
      <c r="AE457" s="24" t="inlineStr">
        <is>
          <t>102120.KQ</t>
        </is>
      </c>
    </row>
    <row r="458" ht="24" customHeight="1">
      <c r="A458" s="29" t="inlineStr">
        <is>
          <t>2025-04-23</t>
        </is>
      </c>
      <c r="B458" s="31" t="n">
        <v>10350</v>
      </c>
      <c r="C458" s="31" t="n">
        <v>10400</v>
      </c>
      <c r="D458" s="31" t="n">
        <v>10170</v>
      </c>
      <c r="E458" s="31" t="n">
        <v>10390</v>
      </c>
      <c r="F458" s="31" t="n">
        <v>10390</v>
      </c>
      <c r="G458" s="31" t="n">
        <v>154229</v>
      </c>
      <c r="H458" s="36" t="n">
        <v>0.03692614770459079</v>
      </c>
      <c r="I458" s="36" t="n">
        <v>-0.541280353200883</v>
      </c>
      <c r="J458" s="31" t="n">
        <v>9908.5</v>
      </c>
      <c r="K458" s="31" t="n">
        <v>11360.66666666667</v>
      </c>
      <c r="L458" s="31" t="n">
        <v>9866.833333333334</v>
      </c>
      <c r="M458" s="36" t="n">
        <v>0.6319493621394331</v>
      </c>
      <c r="N458" s="36" t="n">
        <v>0.9252417838494305</v>
      </c>
      <c r="O458" s="36" t="n">
        <v>-0.1217244294167371</v>
      </c>
      <c r="P458" s="36" t="n">
        <v>0.1355191256830601</v>
      </c>
      <c r="Q458" s="36" t="n">
        <v>0.07892004153686405</v>
      </c>
      <c r="R458" s="36" t="n">
        <v>0.04859464096482813</v>
      </c>
      <c r="S458" s="36" t="n">
        <v>-0.08544099524675774</v>
      </c>
      <c r="T458" s="36" t="n">
        <v>0.05302275299403725</v>
      </c>
      <c r="U458" s="31" t="n">
        <v>18460</v>
      </c>
      <c r="V458" s="31" t="n">
        <v>6510</v>
      </c>
      <c r="W458" s="36" t="n">
        <v>-0.4371614301191766</v>
      </c>
      <c r="X458" s="36" t="n">
        <v>0.5960061443932412</v>
      </c>
      <c r="Y458" s="31" t="n">
        <v>17780753</v>
      </c>
      <c r="Z458" s="31" t="n">
        <v>184742023670</v>
      </c>
      <c r="AA458" s="31" t="n">
        <v>1602439310</v>
      </c>
      <c r="AB458" s="31" t="n">
        <v>2118518641</v>
      </c>
      <c r="AC458" s="36" t="n">
        <v>0.008673929613667093</v>
      </c>
      <c r="AD458" s="29" t="inlineStr">
        <is>
          <t>yfinance_download</t>
        </is>
      </c>
      <c r="AE458" s="29" t="inlineStr">
        <is>
          <t>102120.KQ</t>
        </is>
      </c>
    </row>
    <row r="459" ht="24" customHeight="1">
      <c r="A459" s="24" t="inlineStr">
        <is>
          <t>2025-04-24</t>
        </is>
      </c>
      <c r="B459" s="30" t="n">
        <v>10740</v>
      </c>
      <c r="C459" s="30" t="n">
        <v>10740</v>
      </c>
      <c r="D459" s="30" t="n">
        <v>10190</v>
      </c>
      <c r="E459" s="30" t="n">
        <v>10200</v>
      </c>
      <c r="F459" s="30" t="n">
        <v>10200</v>
      </c>
      <c r="G459" s="30" t="n">
        <v>194123</v>
      </c>
      <c r="H459" s="35" t="n">
        <v>-0.01828681424446588</v>
      </c>
      <c r="I459" s="35" t="n">
        <v>-0.5496688741721854</v>
      </c>
      <c r="J459" s="30" t="n">
        <v>9857</v>
      </c>
      <c r="K459" s="30" t="n">
        <v>11380.16666666667</v>
      </c>
      <c r="L459" s="30" t="n">
        <v>9869.166666666666</v>
      </c>
      <c r="M459" s="35" t="n">
        <v>0.6114664541125042</v>
      </c>
      <c r="N459" s="35" t="n">
        <v>0.9257030193367771</v>
      </c>
      <c r="O459" s="35" t="n">
        <v>-0.09171861086375777</v>
      </c>
      <c r="P459" s="35" t="n">
        <v>0.1295681063122924</v>
      </c>
      <c r="Q459" s="35" t="n">
        <v>0.02822580645161299</v>
      </c>
      <c r="R459" s="35" t="n">
        <v>0.03479760576240243</v>
      </c>
      <c r="S459" s="35" t="n">
        <v>-0.1037038121878706</v>
      </c>
      <c r="T459" s="35" t="n">
        <v>0.03352191167778451</v>
      </c>
      <c r="U459" s="30" t="n">
        <v>18460</v>
      </c>
      <c r="V459" s="30" t="n">
        <v>6510</v>
      </c>
      <c r="W459" s="35" t="n">
        <v>-0.4474539544962081</v>
      </c>
      <c r="X459" s="35" t="n">
        <v>0.566820276497696</v>
      </c>
      <c r="Y459" s="30" t="n">
        <v>17780753</v>
      </c>
      <c r="Z459" s="30" t="n">
        <v>181363680600</v>
      </c>
      <c r="AA459" s="30" t="n">
        <v>1980054600</v>
      </c>
      <c r="AB459" s="30" t="n">
        <v>2041969519</v>
      </c>
      <c r="AC459" s="35" t="n">
        <v>0.01091759162280698</v>
      </c>
      <c r="AD459" s="24" t="inlineStr">
        <is>
          <t>yfinance_download</t>
        </is>
      </c>
      <c r="AE459" s="24" t="inlineStr">
        <is>
          <t>102120.KQ</t>
        </is>
      </c>
    </row>
    <row r="460" ht="24" customHeight="1">
      <c r="A460" s="29" t="inlineStr">
        <is>
          <t>2025-04-25</t>
        </is>
      </c>
      <c r="B460" s="31" t="n">
        <v>10440</v>
      </c>
      <c r="C460" s="31" t="n">
        <v>10590</v>
      </c>
      <c r="D460" s="31" t="n">
        <v>10220</v>
      </c>
      <c r="E460" s="31" t="n">
        <v>10520</v>
      </c>
      <c r="F460" s="31" t="n">
        <v>10520</v>
      </c>
      <c r="G460" s="31" t="n">
        <v>228885</v>
      </c>
      <c r="H460" s="36" t="n">
        <v>0.03137254901960795</v>
      </c>
      <c r="I460" s="36" t="n">
        <v>-0.5355408388520971</v>
      </c>
      <c r="J460" s="31" t="n">
        <v>9856.5</v>
      </c>
      <c r="K460" s="31" t="n">
        <v>11407</v>
      </c>
      <c r="L460" s="31" t="n">
        <v>9874.666666666666</v>
      </c>
      <c r="M460" s="36" t="n">
        <v>0.5828796940680017</v>
      </c>
      <c r="N460" s="36" t="n">
        <v>0.9267514120726961</v>
      </c>
      <c r="O460" s="36" t="n">
        <v>-0.0009496676163343043</v>
      </c>
      <c r="P460" s="36" t="n">
        <v>0.180695847362514</v>
      </c>
      <c r="Q460" s="36" t="n">
        <v>0.06693711967545646</v>
      </c>
      <c r="R460" s="36" t="n">
        <v>0.06731598437579267</v>
      </c>
      <c r="S460" s="36" t="n">
        <v>-0.07775927062330146</v>
      </c>
      <c r="T460" s="36" t="n">
        <v>0.06535241695922234</v>
      </c>
      <c r="U460" s="31" t="n">
        <v>18460</v>
      </c>
      <c r="V460" s="31" t="n">
        <v>6510</v>
      </c>
      <c r="W460" s="36" t="n">
        <v>-0.4301191765980499</v>
      </c>
      <c r="X460" s="36" t="n">
        <v>0.6159754224270353</v>
      </c>
      <c r="Y460" s="31" t="n">
        <v>17780753</v>
      </c>
      <c r="Z460" s="31" t="n">
        <v>187053521560</v>
      </c>
      <c r="AA460" s="31" t="n">
        <v>2407870200</v>
      </c>
      <c r="AB460" s="31" t="n">
        <v>2004279824.5</v>
      </c>
      <c r="AC460" s="36" t="n">
        <v>0.01287262693542844</v>
      </c>
      <c r="AD460" s="29" t="inlineStr">
        <is>
          <t>yfinance_download</t>
        </is>
      </c>
      <c r="AE460" s="29" t="inlineStr">
        <is>
          <t>102120.KQ</t>
        </is>
      </c>
    </row>
    <row r="461" ht="24" customHeight="1">
      <c r="A461" s="24" t="inlineStr">
        <is>
          <t>2025-04-28</t>
        </is>
      </c>
      <c r="B461" s="30" t="n">
        <v>10730</v>
      </c>
      <c r="C461" s="30" t="n">
        <v>10730</v>
      </c>
      <c r="D461" s="30" t="n">
        <v>10310</v>
      </c>
      <c r="E461" s="30" t="n">
        <v>10350</v>
      </c>
      <c r="F461" s="30" t="n">
        <v>10350</v>
      </c>
      <c r="G461" s="30" t="n">
        <v>149603</v>
      </c>
      <c r="H461" s="35" t="n">
        <v>-0.01615969581749055</v>
      </c>
      <c r="I461" s="35" t="n">
        <v>-0.543046357615894</v>
      </c>
      <c r="J461" s="30" t="n">
        <v>9874</v>
      </c>
      <c r="K461" s="30" t="n">
        <v>11440.5</v>
      </c>
      <c r="L461" s="30" t="n">
        <v>9879.75</v>
      </c>
      <c r="M461" s="35" t="n">
        <v>0.5552435361923909</v>
      </c>
      <c r="N461" s="35" t="n">
        <v>0.9168287037930593</v>
      </c>
      <c r="O461" s="35" t="n">
        <v>0.03499999999999992</v>
      </c>
      <c r="P461" s="35" t="n">
        <v>0.2410071942446044</v>
      </c>
      <c r="Q461" s="35" t="n">
        <v>0.06262833675564683</v>
      </c>
      <c r="R461" s="35" t="n">
        <v>0.04820741340895274</v>
      </c>
      <c r="S461" s="35" t="n">
        <v>-0.09531926052183037</v>
      </c>
      <c r="T461" s="35" t="n">
        <v>0.04759735823274891</v>
      </c>
      <c r="U461" s="30" t="n">
        <v>18460</v>
      </c>
      <c r="V461" s="30" t="n">
        <v>6510</v>
      </c>
      <c r="W461" s="35" t="n">
        <v>-0.4393282773564464</v>
      </c>
      <c r="X461" s="35" t="n">
        <v>0.5898617511520738</v>
      </c>
      <c r="Y461" s="30" t="n">
        <v>17780753</v>
      </c>
      <c r="Z461" s="30" t="n">
        <v>184030793550</v>
      </c>
      <c r="AA461" s="30" t="n">
        <v>1548391050</v>
      </c>
      <c r="AB461" s="30" t="n">
        <v>1991049877</v>
      </c>
      <c r="AC461" s="35" t="n">
        <v>0.008413760654568454</v>
      </c>
      <c r="AD461" s="24" t="inlineStr">
        <is>
          <t>yfinance_download</t>
        </is>
      </c>
      <c r="AE461" s="24" t="inlineStr">
        <is>
          <t>102120.KQ</t>
        </is>
      </c>
    </row>
    <row r="462" ht="24" customHeight="1">
      <c r="A462" s="29" t="inlineStr">
        <is>
          <t>2025-04-29</t>
        </is>
      </c>
      <c r="B462" s="31" t="n">
        <v>10380</v>
      </c>
      <c r="C462" s="31" t="n">
        <v>10480</v>
      </c>
      <c r="D462" s="31" t="n">
        <v>10220</v>
      </c>
      <c r="E462" s="31" t="n">
        <v>10280</v>
      </c>
      <c r="F462" s="31" t="n">
        <v>10280</v>
      </c>
      <c r="G462" s="31" t="n">
        <v>98160</v>
      </c>
      <c r="H462" s="36" t="n">
        <v>-0.006763285024154575</v>
      </c>
      <c r="I462" s="36" t="n">
        <v>-0.5461368653421634</v>
      </c>
      <c r="J462" s="31" t="n">
        <v>9874</v>
      </c>
      <c r="K462" s="31" t="n">
        <v>11472.83333333333</v>
      </c>
      <c r="L462" s="31" t="n">
        <v>9883.666666666666</v>
      </c>
      <c r="M462" s="36" t="n">
        <v>0.5475669132543859</v>
      </c>
      <c r="N462" s="36" t="n">
        <v>0.9170947682360943</v>
      </c>
      <c r="O462" s="36" t="n">
        <v>0</v>
      </c>
      <c r="P462" s="36" t="n">
        <v>0.2326139088729018</v>
      </c>
      <c r="Q462" s="36" t="n">
        <v>0.04791029561671767</v>
      </c>
      <c r="R462" s="36" t="n">
        <v>0.04111808790763627</v>
      </c>
      <c r="S462" s="36" t="n">
        <v>-0.1039702485581883</v>
      </c>
      <c r="T462" s="36" t="n">
        <v>0.04009982799905565</v>
      </c>
      <c r="U462" s="31" t="n">
        <v>18460</v>
      </c>
      <c r="V462" s="31" t="n">
        <v>6510</v>
      </c>
      <c r="W462" s="36" t="n">
        <v>-0.4431202600216685</v>
      </c>
      <c r="X462" s="36" t="n">
        <v>0.5791090629800306</v>
      </c>
      <c r="Y462" s="31" t="n">
        <v>17780753</v>
      </c>
      <c r="Z462" s="31" t="n">
        <v>182786140840</v>
      </c>
      <c r="AA462" s="31" t="n">
        <v>1009084800</v>
      </c>
      <c r="AB462" s="31" t="n">
        <v>1947665707</v>
      </c>
      <c r="AC462" s="36" t="n">
        <v>0.005520576097086552</v>
      </c>
      <c r="AD462" s="29" t="inlineStr">
        <is>
          <t>yfinance_download</t>
        </is>
      </c>
      <c r="AE462" s="29" t="inlineStr">
        <is>
          <t>102120.KQ</t>
        </is>
      </c>
    </row>
    <row r="463" ht="24" customHeight="1">
      <c r="A463" s="24" t="inlineStr">
        <is>
          <t>2025-04-30</t>
        </is>
      </c>
      <c r="B463" s="30" t="n">
        <v>10260</v>
      </c>
      <c r="C463" s="30" t="n">
        <v>10320</v>
      </c>
      <c r="D463" s="30" t="n">
        <v>9980</v>
      </c>
      <c r="E463" s="30" t="n">
        <v>10020</v>
      </c>
      <c r="F463" s="30" t="n">
        <v>10020</v>
      </c>
      <c r="G463" s="30" t="n">
        <v>116732</v>
      </c>
      <c r="H463" s="35" t="n">
        <v>-0.02529182879377434</v>
      </c>
      <c r="I463" s="35" t="n">
        <v>-0.5576158940397351</v>
      </c>
      <c r="J463" s="30" t="n">
        <v>9875.5</v>
      </c>
      <c r="K463" s="30" t="n">
        <v>11496.16666666667</v>
      </c>
      <c r="L463" s="30" t="n">
        <v>9889.083333333334</v>
      </c>
      <c r="M463" s="35" t="n">
        <v>0.545627187308286</v>
      </c>
      <c r="N463" s="35" t="n">
        <v>0.9171979599927731</v>
      </c>
      <c r="O463" s="35" t="n">
        <v>0.003003003003003046</v>
      </c>
      <c r="P463" s="35" t="n">
        <v>0.1624129930394431</v>
      </c>
      <c r="Q463" s="35" t="n">
        <v>0.06937033084311639</v>
      </c>
      <c r="R463" s="35" t="n">
        <v>0.01463217052301147</v>
      </c>
      <c r="S463" s="35" t="n">
        <v>-0.1284051205474288</v>
      </c>
      <c r="T463" s="35" t="n">
        <v>0.01323850373728597</v>
      </c>
      <c r="U463" s="30" t="n">
        <v>18460</v>
      </c>
      <c r="V463" s="30" t="n">
        <v>6510</v>
      </c>
      <c r="W463" s="35" t="n">
        <v>-0.457204767063922</v>
      </c>
      <c r="X463" s="35" t="n">
        <v>0.5391705069124424</v>
      </c>
      <c r="Y463" s="30" t="n">
        <v>17780753</v>
      </c>
      <c r="Z463" s="30" t="n">
        <v>178163145060</v>
      </c>
      <c r="AA463" s="30" t="n">
        <v>1169654640</v>
      </c>
      <c r="AB463" s="30" t="n">
        <v>1895927770</v>
      </c>
      <c r="AC463" s="35" t="n">
        <v>0.006565076293450565</v>
      </c>
      <c r="AD463" s="24" t="inlineStr">
        <is>
          <t>yfinance_download</t>
        </is>
      </c>
      <c r="AE463" s="24" t="inlineStr">
        <is>
          <t>102120.KQ</t>
        </is>
      </c>
    </row>
    <row r="464" ht="24" customHeight="1">
      <c r="A464" s="29" t="inlineStr">
        <is>
          <t>2025-05-02</t>
        </is>
      </c>
      <c r="B464" s="31" t="n">
        <v>10080</v>
      </c>
      <c r="C464" s="31" t="n">
        <v>10280</v>
      </c>
      <c r="D464" s="31" t="n">
        <v>9980</v>
      </c>
      <c r="E464" s="31" t="n">
        <v>10130</v>
      </c>
      <c r="F464" s="31" t="n">
        <v>10130</v>
      </c>
      <c r="G464" s="31" t="n">
        <v>64158</v>
      </c>
      <c r="H464" s="36" t="n">
        <v>0.01097804391217561</v>
      </c>
      <c r="I464" s="36" t="n">
        <v>-0.5527593818984547</v>
      </c>
      <c r="J464" s="31" t="n">
        <v>9888</v>
      </c>
      <c r="K464" s="31" t="n">
        <v>11498.33333333333</v>
      </c>
      <c r="L464" s="31" t="n">
        <v>9892.083333333334</v>
      </c>
      <c r="M464" s="36" t="n">
        <v>0.5449421801141803</v>
      </c>
      <c r="N464" s="36" t="n">
        <v>0.8578133418414896</v>
      </c>
      <c r="O464" s="36" t="n">
        <v>0.02530364372469629</v>
      </c>
      <c r="P464" s="36" t="n">
        <v>0.0129999999999999</v>
      </c>
      <c r="Q464" s="36" t="n">
        <v>0.0368474923234392</v>
      </c>
      <c r="R464" s="36" t="n">
        <v>0.02447411003236244</v>
      </c>
      <c r="S464" s="36" t="n">
        <v>-0.1190027540223221</v>
      </c>
      <c r="T464" s="36" t="n">
        <v>0.02405121940946042</v>
      </c>
      <c r="U464" s="31" t="n">
        <v>18460</v>
      </c>
      <c r="V464" s="31" t="n">
        <v>6510</v>
      </c>
      <c r="W464" s="36" t="n">
        <v>-0.4512459371614301</v>
      </c>
      <c r="X464" s="36" t="n">
        <v>0.556067588325653</v>
      </c>
      <c r="Y464" s="31" t="n">
        <v>17780753</v>
      </c>
      <c r="Z464" s="31" t="n">
        <v>180119027890</v>
      </c>
      <c r="AA464" s="31" t="n">
        <v>649920540</v>
      </c>
      <c r="AB464" s="31" t="n">
        <v>1859711361</v>
      </c>
      <c r="AC464" s="36" t="n">
        <v>0.003608283631182549</v>
      </c>
      <c r="AD464" s="29" t="inlineStr">
        <is>
          <t>yfinance_download</t>
        </is>
      </c>
      <c r="AE464" s="29" t="inlineStr">
        <is>
          <t>102120.KQ</t>
        </is>
      </c>
    </row>
    <row r="465" ht="24" customHeight="1">
      <c r="A465" s="24" t="inlineStr">
        <is>
          <t>2025-05-07</t>
        </is>
      </c>
      <c r="B465" s="30" t="n">
        <v>10170</v>
      </c>
      <c r="C465" s="30" t="n">
        <v>10290</v>
      </c>
      <c r="D465" s="30" t="n">
        <v>10010</v>
      </c>
      <c r="E465" s="30" t="n">
        <v>10290</v>
      </c>
      <c r="F465" s="30" t="n">
        <v>10290</v>
      </c>
      <c r="G465" s="30" t="n">
        <v>105018</v>
      </c>
      <c r="H465" s="35" t="n">
        <v>0.01579466929911155</v>
      </c>
      <c r="I465" s="35" t="n">
        <v>-0.5456953642384106</v>
      </c>
      <c r="J465" s="30" t="n">
        <v>9914.5</v>
      </c>
      <c r="K465" s="30" t="n">
        <v>11504</v>
      </c>
      <c r="L465" s="30" t="n">
        <v>9895.166666666666</v>
      </c>
      <c r="M465" s="35" t="n">
        <v>0.5444740865266678</v>
      </c>
      <c r="N465" s="35" t="n">
        <v>0.858194568921674</v>
      </c>
      <c r="O465" s="35" t="n">
        <v>0.05430327868852469</v>
      </c>
      <c r="P465" s="35" t="n">
        <v>0.0341708542713568</v>
      </c>
      <c r="Q465" s="35" t="n">
        <v>0.03729838709677424</v>
      </c>
      <c r="R465" s="35" t="n">
        <v>0.03787382117101212</v>
      </c>
      <c r="S465" s="35" t="n">
        <v>-0.105528511821975</v>
      </c>
      <c r="T465" s="35" t="n">
        <v>0.03990163547860082</v>
      </c>
      <c r="U465" s="30" t="n">
        <v>18460</v>
      </c>
      <c r="V465" s="30" t="n">
        <v>6510</v>
      </c>
      <c r="W465" s="35" t="n">
        <v>-0.442578548212351</v>
      </c>
      <c r="X465" s="35" t="n">
        <v>0.5806451612903225</v>
      </c>
      <c r="Y465" s="30" t="n">
        <v>17780753</v>
      </c>
      <c r="Z465" s="30" t="n">
        <v>182963948370</v>
      </c>
      <c r="AA465" s="30" t="n">
        <v>1080635220</v>
      </c>
      <c r="AB465" s="30" t="n">
        <v>1814951914</v>
      </c>
      <c r="AC465" s="35" t="n">
        <v>0.005906274048123833</v>
      </c>
      <c r="AD465" s="24" t="inlineStr">
        <is>
          <t>yfinance_download</t>
        </is>
      </c>
      <c r="AE465" s="24" t="inlineStr">
        <is>
          <t>102120.KQ</t>
        </is>
      </c>
    </row>
    <row r="466" ht="24" customHeight="1">
      <c r="A466" s="29" t="inlineStr">
        <is>
          <t>2025-05-08</t>
        </is>
      </c>
      <c r="B466" s="31" t="n">
        <v>10400</v>
      </c>
      <c r="C466" s="31" t="n">
        <v>10590</v>
      </c>
      <c r="D466" s="31" t="n">
        <v>10310</v>
      </c>
      <c r="E466" s="31" t="n">
        <v>10390</v>
      </c>
      <c r="F466" s="31" t="n">
        <v>10390</v>
      </c>
      <c r="G466" s="31" t="n">
        <v>91005</v>
      </c>
      <c r="H466" s="36" t="n">
        <v>0.009718172983479212</v>
      </c>
      <c r="I466" s="36" t="n">
        <v>-0.541280353200883</v>
      </c>
      <c r="J466" s="31" t="n">
        <v>9990</v>
      </c>
      <c r="K466" s="31" t="n">
        <v>11461.66666666667</v>
      </c>
      <c r="L466" s="31" t="n">
        <v>9901</v>
      </c>
      <c r="M466" s="36" t="n">
        <v>0.418040408913589</v>
      </c>
      <c r="N466" s="36" t="n">
        <v>0.5936975738208192</v>
      </c>
      <c r="O466" s="36" t="n">
        <v>0.170045045045045</v>
      </c>
      <c r="P466" s="36" t="n">
        <v>-0.1964423820572312</v>
      </c>
      <c r="Q466" s="36" t="n">
        <v>0.07223942208462342</v>
      </c>
      <c r="R466" s="36" t="n">
        <v>0.04004004004004003</v>
      </c>
      <c r="S466" s="36" t="n">
        <v>-0.09350007270612182</v>
      </c>
      <c r="T466" s="36" t="n">
        <v>0.04938895061104942</v>
      </c>
      <c r="U466" s="31" t="n">
        <v>18460</v>
      </c>
      <c r="V466" s="31" t="n">
        <v>6510</v>
      </c>
      <c r="W466" s="36" t="n">
        <v>-0.4371614301191766</v>
      </c>
      <c r="X466" s="36" t="n">
        <v>0.5960061443932412</v>
      </c>
      <c r="Y466" s="31" t="n">
        <v>17780753</v>
      </c>
      <c r="Z466" s="31" t="n">
        <v>184742023670</v>
      </c>
      <c r="AA466" s="31" t="n">
        <v>945541950</v>
      </c>
      <c r="AB466" s="31" t="n">
        <v>1773621707.5</v>
      </c>
      <c r="AC466" s="36" t="n">
        <v>0.00511817469147679</v>
      </c>
      <c r="AD466" s="29" t="inlineStr">
        <is>
          <t>yfinance_download</t>
        </is>
      </c>
      <c r="AE466" s="29" t="inlineStr">
        <is>
          <t>102120.KQ</t>
        </is>
      </c>
    </row>
    <row r="467" ht="24" customHeight="1">
      <c r="A467" s="24" t="inlineStr">
        <is>
          <t>2025-05-09</t>
        </is>
      </c>
      <c r="B467" s="30" t="n">
        <v>10360</v>
      </c>
      <c r="C467" s="30" t="n">
        <v>10440</v>
      </c>
      <c r="D467" s="30" t="n">
        <v>10090</v>
      </c>
      <c r="E467" s="30" t="n">
        <v>10140</v>
      </c>
      <c r="F467" s="30" t="n">
        <v>10140</v>
      </c>
      <c r="G467" s="30" t="n">
        <v>72166</v>
      </c>
      <c r="H467" s="35" t="n">
        <v>-0.02406159769008664</v>
      </c>
      <c r="I467" s="35" t="n">
        <v>-0.552317880794702</v>
      </c>
      <c r="J467" s="30" t="n">
        <v>10050</v>
      </c>
      <c r="K467" s="30" t="n">
        <v>11409.66666666667</v>
      </c>
      <c r="L467" s="30" t="n">
        <v>9906.416666666666</v>
      </c>
      <c r="M467" s="35" t="n">
        <v>0.4334846381762741</v>
      </c>
      <c r="N467" s="35" t="n">
        <v>0.5922385269005154</v>
      </c>
      <c r="O467" s="35" t="n">
        <v>0.1342281879194631</v>
      </c>
      <c r="P467" s="35" t="n">
        <v>-0.2352941176470589</v>
      </c>
      <c r="Q467" s="35" t="n">
        <v>0.06849315068493156</v>
      </c>
      <c r="R467" s="35" t="n">
        <v>0.008955223880596996</v>
      </c>
      <c r="S467" s="35" t="n">
        <v>-0.1112799088492213</v>
      </c>
      <c r="T467" s="35" t="n">
        <v>0.02357899341336012</v>
      </c>
      <c r="U467" s="30" t="n">
        <v>18460</v>
      </c>
      <c r="V467" s="30" t="n">
        <v>6510</v>
      </c>
      <c r="W467" s="35" t="n">
        <v>-0.4507042253521126</v>
      </c>
      <c r="X467" s="35" t="n">
        <v>0.5576036866359446</v>
      </c>
      <c r="Y467" s="30" t="n">
        <v>17780753</v>
      </c>
      <c r="Z467" s="30" t="n">
        <v>180296835420</v>
      </c>
      <c r="AA467" s="30" t="n">
        <v>731763240</v>
      </c>
      <c r="AB467" s="30" t="n">
        <v>1730204021.5</v>
      </c>
      <c r="AC467" s="35" t="n">
        <v>0.00405865825817388</v>
      </c>
      <c r="AD467" s="24" t="inlineStr">
        <is>
          <t>yfinance_download</t>
        </is>
      </c>
      <c r="AE467" s="24" t="inlineStr">
        <is>
          <t>102120.KQ</t>
        </is>
      </c>
    </row>
    <row r="468" ht="24" customHeight="1">
      <c r="A468" s="29" t="inlineStr">
        <is>
          <t>2025-05-12</t>
        </is>
      </c>
      <c r="B468" s="31" t="n">
        <v>10230</v>
      </c>
      <c r="C468" s="31" t="n">
        <v>10600</v>
      </c>
      <c r="D468" s="31" t="n">
        <v>10220</v>
      </c>
      <c r="E468" s="31" t="n">
        <v>10590</v>
      </c>
      <c r="F468" s="31" t="n">
        <v>10590</v>
      </c>
      <c r="G468" s="31" t="n">
        <v>133485</v>
      </c>
      <c r="H468" s="36" t="n">
        <v>0.04437869822485196</v>
      </c>
      <c r="I468" s="36" t="n">
        <v>-0.5324503311258277</v>
      </c>
      <c r="J468" s="31" t="n">
        <v>10139.5</v>
      </c>
      <c r="K468" s="31" t="n">
        <v>11368.66666666667</v>
      </c>
      <c r="L468" s="31" t="n">
        <v>9915.083333333334</v>
      </c>
      <c r="M468" s="36" t="n">
        <v>0.4447177130730518</v>
      </c>
      <c r="N468" s="36" t="n">
        <v>0.599806091955274</v>
      </c>
      <c r="O468" s="36" t="n">
        <v>0.2034090909090909</v>
      </c>
      <c r="P468" s="36" t="n">
        <v>-0.1885057471264368</v>
      </c>
      <c r="Q468" s="36" t="n">
        <v>0.1089005235602094</v>
      </c>
      <c r="R468" s="36" t="n">
        <v>0.044430198727748</v>
      </c>
      <c r="S468" s="36" t="n">
        <v>-0.06849234738755638</v>
      </c>
      <c r="T468" s="36" t="n">
        <v>0.06806969179953093</v>
      </c>
      <c r="U468" s="31" t="n">
        <v>18460</v>
      </c>
      <c r="V468" s="31" t="n">
        <v>6510</v>
      </c>
      <c r="W468" s="36" t="n">
        <v>-0.4263271939328277</v>
      </c>
      <c r="X468" s="36" t="n">
        <v>0.6267281105990783</v>
      </c>
      <c r="Y468" s="31" t="n">
        <v>17780753</v>
      </c>
      <c r="Z468" s="31" t="n">
        <v>188298174270</v>
      </c>
      <c r="AA468" s="31" t="n">
        <v>1413606150</v>
      </c>
      <c r="AB468" s="31" t="n">
        <v>1723223009</v>
      </c>
      <c r="AC468" s="36" t="n">
        <v>0.007507274860631605</v>
      </c>
      <c r="AD468" s="29" t="inlineStr">
        <is>
          <t>yfinance_download</t>
        </is>
      </c>
      <c r="AE468" s="29" t="inlineStr">
        <is>
          <t>102120.KQ</t>
        </is>
      </c>
    </row>
    <row r="469" ht="24" customHeight="1">
      <c r="A469" s="24" t="inlineStr">
        <is>
          <t>2025-05-13</t>
        </is>
      </c>
      <c r="B469" s="30" t="n">
        <v>11000</v>
      </c>
      <c r="C469" s="30" t="n">
        <v>11100</v>
      </c>
      <c r="D469" s="30" t="n">
        <v>10490</v>
      </c>
      <c r="E469" s="30" t="n">
        <v>10630</v>
      </c>
      <c r="F469" s="30" t="n">
        <v>10630</v>
      </c>
      <c r="G469" s="30" t="n">
        <v>200479</v>
      </c>
      <c r="H469" s="35" t="n">
        <v>0.003777148253068852</v>
      </c>
      <c r="I469" s="35" t="n">
        <v>-0.5306843267108168</v>
      </c>
      <c r="J469" s="30" t="n">
        <v>10196</v>
      </c>
      <c r="K469" s="30" t="n">
        <v>11338.33333333333</v>
      </c>
      <c r="L469" s="30" t="n">
        <v>9929</v>
      </c>
      <c r="M469" s="35" t="n">
        <v>0.3600849220717628</v>
      </c>
      <c r="N469" s="35" t="n">
        <v>0.5931258406473391</v>
      </c>
      <c r="O469" s="35" t="n">
        <v>0.1189473684210527</v>
      </c>
      <c r="P469" s="35" t="n">
        <v>-0.1461847389558233</v>
      </c>
      <c r="Q469" s="35" t="n">
        <v>0.1863839285714286</v>
      </c>
      <c r="R469" s="35" t="n">
        <v>0.04256571204393889</v>
      </c>
      <c r="S469" s="35" t="n">
        <v>-0.06247243863001617</v>
      </c>
      <c r="T469" s="35" t="n">
        <v>0.07060126900997088</v>
      </c>
      <c r="U469" s="30" t="n">
        <v>18460</v>
      </c>
      <c r="V469" s="30" t="n">
        <v>6510</v>
      </c>
      <c r="W469" s="35" t="n">
        <v>-0.4241603466955579</v>
      </c>
      <c r="X469" s="35" t="n">
        <v>0.6328725038402458</v>
      </c>
      <c r="Y469" s="30" t="n">
        <v>17780753</v>
      </c>
      <c r="Z469" s="30" t="n">
        <v>189009404390</v>
      </c>
      <c r="AA469" s="30" t="n">
        <v>2131091770</v>
      </c>
      <c r="AB469" s="30" t="n">
        <v>1640939922.5</v>
      </c>
      <c r="AC469" s="35" t="n">
        <v>0.01127505679877562</v>
      </c>
      <c r="AD469" s="24" t="inlineStr">
        <is>
          <t>yfinance_download</t>
        </is>
      </c>
      <c r="AE469" s="24" t="inlineStr">
        <is>
          <t>102120.KQ</t>
        </is>
      </c>
    </row>
    <row r="470" ht="24" customHeight="1">
      <c r="A470" s="29" t="inlineStr">
        <is>
          <t>2025-05-14</t>
        </is>
      </c>
      <c r="B470" s="31" t="n">
        <v>10830</v>
      </c>
      <c r="C470" s="31" t="n">
        <v>10900</v>
      </c>
      <c r="D470" s="31" t="n">
        <v>10700</v>
      </c>
      <c r="E470" s="31" t="n">
        <v>10860</v>
      </c>
      <c r="F470" s="31" t="n">
        <v>10860</v>
      </c>
      <c r="G470" s="31" t="n">
        <v>103186</v>
      </c>
      <c r="H470" s="36" t="n">
        <v>0.02163687676387593</v>
      </c>
      <c r="I470" s="36" t="n">
        <v>-0.5205298013245033</v>
      </c>
      <c r="J470" s="31" t="n">
        <v>10257.5</v>
      </c>
      <c r="K470" s="31" t="n">
        <v>11302.16666666667</v>
      </c>
      <c r="L470" s="31" t="n">
        <v>9947.833333333334</v>
      </c>
      <c r="M470" s="36" t="n">
        <v>0.3634623150623245</v>
      </c>
      <c r="N470" s="36" t="n">
        <v>0.586575951972792</v>
      </c>
      <c r="O470" s="36" t="n">
        <v>0.1277258566978192</v>
      </c>
      <c r="P470" s="36" t="n">
        <v>-0.1665387567152724</v>
      </c>
      <c r="Q470" s="36" t="n">
        <v>0.2627906976744185</v>
      </c>
      <c r="R470" s="36" t="n">
        <v>0.05873750913965381</v>
      </c>
      <c r="S470" s="36" t="n">
        <v>-0.03912229218586405</v>
      </c>
      <c r="T470" s="36" t="n">
        <v>0.09169500896342586</v>
      </c>
      <c r="U470" s="31" t="n">
        <v>18460</v>
      </c>
      <c r="V470" s="31" t="n">
        <v>6510</v>
      </c>
      <c r="W470" s="36" t="n">
        <v>-0.4117009750812568</v>
      </c>
      <c r="X470" s="36" t="n">
        <v>0.6682027649769586</v>
      </c>
      <c r="Y470" s="31" t="n">
        <v>17780753</v>
      </c>
      <c r="Z470" s="31" t="n">
        <v>193098977580</v>
      </c>
      <c r="AA470" s="31" t="n">
        <v>1120599960</v>
      </c>
      <c r="AB470" s="31" t="n">
        <v>1623178601</v>
      </c>
      <c r="AC470" s="36" t="n">
        <v>0.005803241291299643</v>
      </c>
      <c r="AD470" s="29" t="inlineStr">
        <is>
          <t>yfinance_download</t>
        </is>
      </c>
      <c r="AE470" s="29" t="inlineStr">
        <is>
          <t>102120.KQ</t>
        </is>
      </c>
    </row>
    <row r="471" ht="24" customHeight="1">
      <c r="A471" s="24" t="inlineStr">
        <is>
          <t>2025-05-15</t>
        </is>
      </c>
      <c r="B471" s="30" t="n">
        <v>10870</v>
      </c>
      <c r="C471" s="30" t="n">
        <v>10960</v>
      </c>
      <c r="D471" s="30" t="n">
        <v>10580</v>
      </c>
      <c r="E471" s="30" t="n">
        <v>10640</v>
      </c>
      <c r="F471" s="30" t="n">
        <v>10640</v>
      </c>
      <c r="G471" s="30" t="n">
        <v>131047</v>
      </c>
      <c r="H471" s="35" t="n">
        <v>-0.02025782688766109</v>
      </c>
      <c r="I471" s="35" t="n">
        <v>-0.530242825607064</v>
      </c>
      <c r="J471" s="30" t="n">
        <v>10288</v>
      </c>
      <c r="K471" s="30" t="n">
        <v>11250.5</v>
      </c>
      <c r="L471" s="30" t="n">
        <v>9966.833333333334</v>
      </c>
      <c r="M471" s="35" t="n">
        <v>0.3498840591425588</v>
      </c>
      <c r="N471" s="35" t="n">
        <v>0.5755375611823087</v>
      </c>
      <c r="O471" s="35" t="n">
        <v>0.06081754735792622</v>
      </c>
      <c r="P471" s="35" t="n">
        <v>-0.2256186317321689</v>
      </c>
      <c r="Q471" s="35" t="n">
        <v>0.2727272727272727</v>
      </c>
      <c r="R471" s="35" t="n">
        <v>0.03421461897356148</v>
      </c>
      <c r="S471" s="35" t="n">
        <v>-0.05426425492200349</v>
      </c>
      <c r="T471" s="35" t="n">
        <v>0.06754067657731477</v>
      </c>
      <c r="U471" s="30" t="n">
        <v>18460</v>
      </c>
      <c r="V471" s="30" t="n">
        <v>6510</v>
      </c>
      <c r="W471" s="35" t="n">
        <v>-0.4236186348862405</v>
      </c>
      <c r="X471" s="35" t="n">
        <v>0.6344086021505377</v>
      </c>
      <c r="Y471" s="30" t="n">
        <v>17780753</v>
      </c>
      <c r="Z471" s="30" t="n">
        <v>189187211920</v>
      </c>
      <c r="AA471" s="30" t="n">
        <v>1394340080</v>
      </c>
      <c r="AB471" s="30" t="n">
        <v>1361445228</v>
      </c>
      <c r="AC471" s="35" t="n">
        <v>0.00737016030760902</v>
      </c>
      <c r="AD471" s="24" t="inlineStr">
        <is>
          <t>yfinance_download</t>
        </is>
      </c>
      <c r="AE471" s="24" t="inlineStr">
        <is>
          <t>102120.KQ</t>
        </is>
      </c>
    </row>
    <row r="472" ht="24" customHeight="1">
      <c r="A472" s="29" t="inlineStr">
        <is>
          <t>2025-05-16</t>
        </is>
      </c>
      <c r="B472" s="31" t="n">
        <v>10710</v>
      </c>
      <c r="C472" s="31" t="n">
        <v>10710</v>
      </c>
      <c r="D472" s="31" t="n">
        <v>10340</v>
      </c>
      <c r="E472" s="31" t="n">
        <v>10430</v>
      </c>
      <c r="F472" s="31" t="n">
        <v>10430</v>
      </c>
      <c r="G472" s="31" t="n">
        <v>108456</v>
      </c>
      <c r="H472" s="36" t="n">
        <v>-0.01973684210526316</v>
      </c>
      <c r="I472" s="36" t="n">
        <v>-0.539514348785872</v>
      </c>
      <c r="J472" s="31" t="n">
        <v>10301</v>
      </c>
      <c r="K472" s="31" t="n">
        <v>11194</v>
      </c>
      <c r="L472" s="31" t="n">
        <v>9986.5</v>
      </c>
      <c r="M472" s="36" t="n">
        <v>0.3565049412787879</v>
      </c>
      <c r="N472" s="36" t="n">
        <v>0.576134226028958</v>
      </c>
      <c r="O472" s="36" t="n">
        <v>0.02556538839724687</v>
      </c>
      <c r="P472" s="36" t="n">
        <v>-0.2452966714905933</v>
      </c>
      <c r="Q472" s="36" t="n">
        <v>0.2924411400247831</v>
      </c>
      <c r="R472" s="36" t="n">
        <v>0.01252305601397929</v>
      </c>
      <c r="S472" s="36" t="n">
        <v>-0.06825084866892983</v>
      </c>
      <c r="T472" s="36" t="n">
        <v>0.04440995343714005</v>
      </c>
      <c r="U472" s="31" t="n">
        <v>18460</v>
      </c>
      <c r="V472" s="31" t="n">
        <v>6510</v>
      </c>
      <c r="W472" s="36" t="n">
        <v>-0.4349945828819068</v>
      </c>
      <c r="X472" s="36" t="n">
        <v>0.6021505376344085</v>
      </c>
      <c r="Y472" s="31" t="n">
        <v>17780753</v>
      </c>
      <c r="Z472" s="31" t="n">
        <v>185453253790</v>
      </c>
      <c r="AA472" s="31" t="n">
        <v>1131196080</v>
      </c>
      <c r="AB472" s="31" t="n">
        <v>1307833930.5</v>
      </c>
      <c r="AC472" s="36" t="n">
        <v>0.00609962918893255</v>
      </c>
      <c r="AD472" s="29" t="inlineStr">
        <is>
          <t>yfinance_download</t>
        </is>
      </c>
      <c r="AE472" s="29" t="inlineStr">
        <is>
          <t>102120.KQ</t>
        </is>
      </c>
    </row>
    <row r="473" ht="24" customHeight="1">
      <c r="A473" s="24" t="inlineStr">
        <is>
          <t>2025-05-19</t>
        </is>
      </c>
      <c r="B473" s="30" t="n">
        <v>10310</v>
      </c>
      <c r="C473" s="30" t="n">
        <v>10330</v>
      </c>
      <c r="D473" s="30" t="n">
        <v>10050</v>
      </c>
      <c r="E473" s="30" t="n">
        <v>10150</v>
      </c>
      <c r="F473" s="30" t="n">
        <v>10150</v>
      </c>
      <c r="G473" s="30" t="n">
        <v>78932</v>
      </c>
      <c r="H473" s="35" t="n">
        <v>-0.02684563758389258</v>
      </c>
      <c r="I473" s="35" t="n">
        <v>-0.5518763796909492</v>
      </c>
      <c r="J473" s="30" t="n">
        <v>10314</v>
      </c>
      <c r="K473" s="30" t="n">
        <v>11126.5</v>
      </c>
      <c r="L473" s="30" t="n">
        <v>10001.75</v>
      </c>
      <c r="M473" s="35" t="n">
        <v>0.3557712052770858</v>
      </c>
      <c r="N473" s="35" t="n">
        <v>0.5741967397520651</v>
      </c>
      <c r="O473" s="35" t="n">
        <v>0.02628918099089983</v>
      </c>
      <c r="P473" s="35" t="n">
        <v>-0.2852112676056338</v>
      </c>
      <c r="Q473" s="35" t="n">
        <v>0.2199519230769231</v>
      </c>
      <c r="R473" s="35" t="n">
        <v>-0.0159007174713981</v>
      </c>
      <c r="S473" s="35" t="n">
        <v>-0.08776344762503929</v>
      </c>
      <c r="T473" s="35" t="n">
        <v>0.01482240607893615</v>
      </c>
      <c r="U473" s="30" t="n">
        <v>18460</v>
      </c>
      <c r="V473" s="30" t="n">
        <v>6510</v>
      </c>
      <c r="W473" s="35" t="n">
        <v>-0.4501625135427952</v>
      </c>
      <c r="X473" s="35" t="n">
        <v>0.5591397849462365</v>
      </c>
      <c r="Y473" s="30" t="n">
        <v>17780753</v>
      </c>
      <c r="Z473" s="30" t="n">
        <v>180474642950</v>
      </c>
      <c r="AA473" s="30" t="n">
        <v>801159800</v>
      </c>
      <c r="AB473" s="30" t="n">
        <v>1259448617.5</v>
      </c>
      <c r="AC473" s="35" t="n">
        <v>0.004439182075134838</v>
      </c>
      <c r="AD473" s="24" t="inlineStr">
        <is>
          <t>yfinance_download</t>
        </is>
      </c>
      <c r="AE473" s="24" t="inlineStr">
        <is>
          <t>102120.KQ</t>
        </is>
      </c>
    </row>
    <row r="474" ht="24" customHeight="1">
      <c r="A474" s="29" t="inlineStr">
        <is>
          <t>2025-05-20</t>
        </is>
      </c>
      <c r="B474" s="31" t="n">
        <v>10180</v>
      </c>
      <c r="C474" s="31" t="n">
        <v>10850</v>
      </c>
      <c r="D474" s="31" t="n">
        <v>10180</v>
      </c>
      <c r="E474" s="31" t="n">
        <v>10500</v>
      </c>
      <c r="F474" s="31" t="n">
        <v>10500</v>
      </c>
      <c r="G474" s="31" t="n">
        <v>214539</v>
      </c>
      <c r="H474" s="36" t="n">
        <v>0.03448275862068972</v>
      </c>
      <c r="I474" s="36" t="n">
        <v>-0.5364238410596027</v>
      </c>
      <c r="J474" s="31" t="n">
        <v>10330.5</v>
      </c>
      <c r="K474" s="31" t="n">
        <v>11058.66666666667</v>
      </c>
      <c r="L474" s="31" t="n">
        <v>10019.66666666667</v>
      </c>
      <c r="M474" s="36" t="n">
        <v>0.3625415413889149</v>
      </c>
      <c r="N474" s="36" t="n">
        <v>0.5763943657378714</v>
      </c>
      <c r="O474" s="36" t="n">
        <v>0.03244837758112085</v>
      </c>
      <c r="P474" s="36" t="n">
        <v>-0.2793411118737131</v>
      </c>
      <c r="Q474" s="36" t="n">
        <v>0.2574850299401197</v>
      </c>
      <c r="R474" s="36" t="n">
        <v>0.01640772469870777</v>
      </c>
      <c r="S474" s="36" t="n">
        <v>-0.05051844707017117</v>
      </c>
      <c r="T474" s="36" t="n">
        <v>0.0479390531953825</v>
      </c>
      <c r="U474" s="31" t="n">
        <v>18460</v>
      </c>
      <c r="V474" s="31" t="n">
        <v>6510</v>
      </c>
      <c r="W474" s="36" t="n">
        <v>-0.4312026002166848</v>
      </c>
      <c r="X474" s="36" t="n">
        <v>0.6129032258064515</v>
      </c>
      <c r="Y474" s="31" t="n">
        <v>17780753</v>
      </c>
      <c r="Z474" s="31" t="n">
        <v>186697906500</v>
      </c>
      <c r="AA474" s="31" t="n">
        <v>2252659500</v>
      </c>
      <c r="AB474" s="31" t="n">
        <v>1315266887.5</v>
      </c>
      <c r="AC474" s="36" t="n">
        <v>0.01206579946304861</v>
      </c>
      <c r="AD474" s="29" t="inlineStr">
        <is>
          <t>yfinance_download</t>
        </is>
      </c>
      <c r="AE474" s="29" t="inlineStr">
        <is>
          <t>102120.KQ</t>
        </is>
      </c>
    </row>
    <row r="475" ht="24" customHeight="1">
      <c r="A475" s="24" t="inlineStr">
        <is>
          <t>2025-05-21</t>
        </is>
      </c>
      <c r="B475" s="30" t="n">
        <v>10560</v>
      </c>
      <c r="C475" s="30" t="n">
        <v>10630</v>
      </c>
      <c r="D475" s="30" t="n">
        <v>10250</v>
      </c>
      <c r="E475" s="30" t="n">
        <v>10290</v>
      </c>
      <c r="F475" s="30" t="n">
        <v>10290</v>
      </c>
      <c r="G475" s="30" t="n">
        <v>106013</v>
      </c>
      <c r="H475" s="35" t="n">
        <v>-0.02000000000000002</v>
      </c>
      <c r="I475" s="35" t="n">
        <v>-0.5456953642384106</v>
      </c>
      <c r="J475" s="30" t="n">
        <v>10342.5</v>
      </c>
      <c r="K475" s="30" t="n">
        <v>11006.83333333333</v>
      </c>
      <c r="L475" s="30" t="n">
        <v>10037.83333333333</v>
      </c>
      <c r="M475" s="35" t="n">
        <v>0.3677655939909861</v>
      </c>
      <c r="N475" s="35" t="n">
        <v>0.5555215873130144</v>
      </c>
      <c r="O475" s="35" t="n">
        <v>0.0238805970149254</v>
      </c>
      <c r="P475" s="35" t="n">
        <v>-0.232089552238806</v>
      </c>
      <c r="Q475" s="35" t="n">
        <v>0.2688039457459925</v>
      </c>
      <c r="R475" s="35" t="n">
        <v>-0.005076142131979711</v>
      </c>
      <c r="S475" s="35" t="n">
        <v>-0.06512620947593162</v>
      </c>
      <c r="T475" s="35" t="n">
        <v>0.02512162319225597</v>
      </c>
      <c r="U475" s="30" t="n">
        <v>18460</v>
      </c>
      <c r="V475" s="30" t="n">
        <v>6510</v>
      </c>
      <c r="W475" s="35" t="n">
        <v>-0.442578548212351</v>
      </c>
      <c r="X475" s="35" t="n">
        <v>0.5806451612903225</v>
      </c>
      <c r="Y475" s="30" t="n">
        <v>17780753</v>
      </c>
      <c r="Z475" s="30" t="n">
        <v>182963948370</v>
      </c>
      <c r="AA475" s="30" t="n">
        <v>1090873770</v>
      </c>
      <c r="AB475" s="30" t="n">
        <v>1320047498.5</v>
      </c>
      <c r="AC475" s="35" t="n">
        <v>0.005962233432971033</v>
      </c>
      <c r="AD475" s="24" t="inlineStr">
        <is>
          <t>yfinance_download</t>
        </is>
      </c>
      <c r="AE475" s="24" t="inlineStr">
        <is>
          <t>102120.KQ</t>
        </is>
      </c>
    </row>
    <row r="476" ht="24" customHeight="1">
      <c r="A476" s="29" t="inlineStr">
        <is>
          <t>2025-05-22</t>
        </is>
      </c>
      <c r="B476" s="31" t="n">
        <v>10290</v>
      </c>
      <c r="C476" s="31" t="n">
        <v>10290</v>
      </c>
      <c r="D476" s="31" t="n">
        <v>10010</v>
      </c>
      <c r="E476" s="31" t="n">
        <v>10080</v>
      </c>
      <c r="F476" s="31" t="n">
        <v>10080</v>
      </c>
      <c r="G476" s="31" t="n">
        <v>72111</v>
      </c>
      <c r="H476" s="36" t="n">
        <v>-0.02040816326530615</v>
      </c>
      <c r="I476" s="36" t="n">
        <v>-0.5549668874172186</v>
      </c>
      <c r="J476" s="31" t="n">
        <v>10345</v>
      </c>
      <c r="K476" s="31" t="n">
        <v>10956.83333333333</v>
      </c>
      <c r="L476" s="31" t="n">
        <v>10054.33333333333</v>
      </c>
      <c r="M476" s="36" t="n">
        <v>0.3757639233087329</v>
      </c>
      <c r="N476" s="36" t="n">
        <v>0.5550303869407107</v>
      </c>
      <c r="O476" s="36" t="n">
        <v>0.004985044865403854</v>
      </c>
      <c r="P476" s="36" t="n">
        <v>-0.2293577981651376</v>
      </c>
      <c r="Q476" s="36" t="n">
        <v>0.2444444444444445</v>
      </c>
      <c r="R476" s="36" t="n">
        <v>-0.0256162397293378</v>
      </c>
      <c r="S476" s="36" t="n">
        <v>-0.08002616327710266</v>
      </c>
      <c r="T476" s="36" t="n">
        <v>0.002552796472499397</v>
      </c>
      <c r="U476" s="31" t="n">
        <v>18460</v>
      </c>
      <c r="V476" s="31" t="n">
        <v>6510</v>
      </c>
      <c r="W476" s="36" t="n">
        <v>-0.4539544962080173</v>
      </c>
      <c r="X476" s="36" t="n">
        <v>0.5483870967741935</v>
      </c>
      <c r="Y476" s="31" t="n">
        <v>17780753</v>
      </c>
      <c r="Z476" s="31" t="n">
        <v>179229990240</v>
      </c>
      <c r="AA476" s="31" t="n">
        <v>726878880</v>
      </c>
      <c r="AB476" s="31" t="n">
        <v>1300868873</v>
      </c>
      <c r="AC476" s="36" t="n">
        <v>0.004055565025845643</v>
      </c>
      <c r="AD476" s="29" t="inlineStr">
        <is>
          <t>yfinance_download</t>
        </is>
      </c>
      <c r="AE476" s="29" t="inlineStr">
        <is>
          <t>102120.KQ</t>
        </is>
      </c>
    </row>
    <row r="477" ht="24" customHeight="1">
      <c r="A477" s="24" t="inlineStr">
        <is>
          <t>2025-05-23</t>
        </is>
      </c>
      <c r="B477" s="30" t="n">
        <v>10090</v>
      </c>
      <c r="C477" s="30" t="n">
        <v>10240</v>
      </c>
      <c r="D477" s="30" t="n">
        <v>9870</v>
      </c>
      <c r="E477" s="30" t="n">
        <v>9900</v>
      </c>
      <c r="F477" s="30" t="n">
        <v>9900</v>
      </c>
      <c r="G477" s="30" t="n">
        <v>79004</v>
      </c>
      <c r="H477" s="35" t="n">
        <v>-0.0178571428571429</v>
      </c>
      <c r="I477" s="35" t="n">
        <v>-0.5629139072847682</v>
      </c>
      <c r="J477" s="30" t="n">
        <v>10339</v>
      </c>
      <c r="K477" s="30" t="n">
        <v>10909.33333333333</v>
      </c>
      <c r="L477" s="30" t="n">
        <v>10069.58333333333</v>
      </c>
      <c r="M477" s="35" t="n">
        <v>0.3813862934666936</v>
      </c>
      <c r="N477" s="35" t="n">
        <v>0.5540151212634356</v>
      </c>
      <c r="O477" s="35" t="n">
        <v>-0.0119760479041916</v>
      </c>
      <c r="P477" s="35" t="n">
        <v>-0.2235294117647059</v>
      </c>
      <c r="Q477" s="35" t="n">
        <v>0.2267657992565055</v>
      </c>
      <c r="R477" s="35" t="n">
        <v>-0.04246058613018666</v>
      </c>
      <c r="S477" s="35" t="n">
        <v>-0.09252016621852854</v>
      </c>
      <c r="T477" s="35" t="n">
        <v>-0.01684114701866191</v>
      </c>
      <c r="U477" s="30" t="n">
        <v>18460</v>
      </c>
      <c r="V477" s="30" t="n">
        <v>6510</v>
      </c>
      <c r="W477" s="35" t="n">
        <v>-0.4637053087757314</v>
      </c>
      <c r="X477" s="35" t="n">
        <v>0.5207373271889402</v>
      </c>
      <c r="Y477" s="30" t="n">
        <v>17780753</v>
      </c>
      <c r="Z477" s="30" t="n">
        <v>176029454700</v>
      </c>
      <c r="AA477" s="30" t="n">
        <v>782139600</v>
      </c>
      <c r="AB477" s="30" t="n">
        <v>1298495057</v>
      </c>
      <c r="AC477" s="35" t="n">
        <v>0.00444323139745544</v>
      </c>
      <c r="AD477" s="24" t="inlineStr">
        <is>
          <t>yfinance_download</t>
        </is>
      </c>
      <c r="AE477" s="24" t="inlineStr">
        <is>
          <t>102120.KQ</t>
        </is>
      </c>
    </row>
    <row r="478" ht="24" customHeight="1">
      <c r="A478" s="29" t="inlineStr">
        <is>
          <t>2025-05-26</t>
        </is>
      </c>
      <c r="B478" s="31" t="n">
        <v>9830</v>
      </c>
      <c r="C478" s="31" t="n">
        <v>10360</v>
      </c>
      <c r="D478" s="31" t="n">
        <v>9810</v>
      </c>
      <c r="E478" s="31" t="n">
        <v>10290</v>
      </c>
      <c r="F478" s="31" t="n">
        <v>10290</v>
      </c>
      <c r="G478" s="31" t="n">
        <v>97562</v>
      </c>
      <c r="H478" s="36" t="n">
        <v>0.03939393939393931</v>
      </c>
      <c r="I478" s="36" t="n">
        <v>-0.5456953642384106</v>
      </c>
      <c r="J478" s="31" t="n">
        <v>10334</v>
      </c>
      <c r="K478" s="31" t="n">
        <v>10860.5</v>
      </c>
      <c r="L478" s="31" t="n">
        <v>10087.08333333333</v>
      </c>
      <c r="M478" s="36" t="n">
        <v>0.3846701073953198</v>
      </c>
      <c r="N478" s="36" t="n">
        <v>0.5548284583557131</v>
      </c>
      <c r="O478" s="36" t="n">
        <v>-0.009624639076034613</v>
      </c>
      <c r="P478" s="36" t="n">
        <v>-0.2216338880484114</v>
      </c>
      <c r="Q478" s="36" t="n">
        <v>0.2564102564102564</v>
      </c>
      <c r="R478" s="36" t="n">
        <v>-0.00425778982001157</v>
      </c>
      <c r="S478" s="36" t="n">
        <v>-0.05252980986142441</v>
      </c>
      <c r="T478" s="36" t="n">
        <v>0.02011648560452728</v>
      </c>
      <c r="U478" s="31" t="n">
        <v>18460</v>
      </c>
      <c r="V478" s="31" t="n">
        <v>6510</v>
      </c>
      <c r="W478" s="36" t="n">
        <v>-0.442578548212351</v>
      </c>
      <c r="X478" s="36" t="n">
        <v>0.5806451612903225</v>
      </c>
      <c r="Y478" s="31" t="n">
        <v>17780753</v>
      </c>
      <c r="Z478" s="31" t="n">
        <v>182963948370</v>
      </c>
      <c r="AA478" s="31" t="n">
        <v>1003912980</v>
      </c>
      <c r="AB478" s="31" t="n">
        <v>1268568740.5</v>
      </c>
      <c r="AC478" s="36" t="n">
        <v>0.005486944225590446</v>
      </c>
      <c r="AD478" s="29" t="inlineStr">
        <is>
          <t>yfinance_download</t>
        </is>
      </c>
      <c r="AE478" s="29" t="inlineStr">
        <is>
          <t>102120.KQ</t>
        </is>
      </c>
    </row>
    <row r="479" ht="24" customHeight="1">
      <c r="A479" s="24" t="inlineStr">
        <is>
          <t>2025-05-27</t>
        </is>
      </c>
      <c r="B479" s="30" t="n">
        <v>10190</v>
      </c>
      <c r="C479" s="30" t="n">
        <v>10230</v>
      </c>
      <c r="D479" s="30" t="n">
        <v>10000</v>
      </c>
      <c r="E479" s="30" t="n">
        <v>10010</v>
      </c>
      <c r="F479" s="30" t="n">
        <v>10010</v>
      </c>
      <c r="G479" s="30" t="n">
        <v>61575</v>
      </c>
      <c r="H479" s="35" t="n">
        <v>-0.02721088435374153</v>
      </c>
      <c r="I479" s="35" t="n">
        <v>-0.5580573951434878</v>
      </c>
      <c r="J479" s="30" t="n">
        <v>10324.5</v>
      </c>
      <c r="K479" s="30" t="n">
        <v>10810.83333333333</v>
      </c>
      <c r="L479" s="30" t="n">
        <v>10099.83333333333</v>
      </c>
      <c r="M479" s="35" t="n">
        <v>0.391477321631592</v>
      </c>
      <c r="N479" s="35" t="n">
        <v>0.5562364745109042</v>
      </c>
      <c r="O479" s="35" t="n">
        <v>-0.0186274509803922</v>
      </c>
      <c r="P479" s="35" t="n">
        <v>-0.2294072363356428</v>
      </c>
      <c r="Q479" s="35" t="n">
        <v>0.1804245283018868</v>
      </c>
      <c r="R479" s="35" t="n">
        <v>-0.03046152356046294</v>
      </c>
      <c r="S479" s="35" t="n">
        <v>-0.07407692900639795</v>
      </c>
      <c r="T479" s="35" t="n">
        <v>-0.008894536213468918</v>
      </c>
      <c r="U479" s="30" t="n">
        <v>18460</v>
      </c>
      <c r="V479" s="30" t="n">
        <v>6510</v>
      </c>
      <c r="W479" s="35" t="n">
        <v>-0.4577464788732394</v>
      </c>
      <c r="X479" s="35" t="n">
        <v>0.5376344086021505</v>
      </c>
      <c r="Y479" s="30" t="n">
        <v>17780753</v>
      </c>
      <c r="Z479" s="30" t="n">
        <v>177985337530</v>
      </c>
      <c r="AA479" s="30" t="n">
        <v>616365750</v>
      </c>
      <c r="AB479" s="30" t="n">
        <v>1200384298</v>
      </c>
      <c r="AC479" s="35" t="n">
        <v>0.003463014192930974</v>
      </c>
      <c r="AD479" s="24" t="inlineStr">
        <is>
          <t>yfinance_download</t>
        </is>
      </c>
      <c r="AE479" s="24" t="inlineStr">
        <is>
          <t>102120.KQ</t>
        </is>
      </c>
    </row>
    <row r="480" ht="24" customHeight="1">
      <c r="A480" s="29" t="inlineStr">
        <is>
          <t>2025-05-28</t>
        </is>
      </c>
      <c r="B480" s="31" t="n">
        <v>10200</v>
      </c>
      <c r="C480" s="31" t="n">
        <v>10470</v>
      </c>
      <c r="D480" s="31" t="n">
        <v>10100</v>
      </c>
      <c r="E480" s="31" t="n">
        <v>10470</v>
      </c>
      <c r="F480" s="31" t="n">
        <v>10470</v>
      </c>
      <c r="G480" s="31" t="n">
        <v>142869</v>
      </c>
      <c r="H480" s="36" t="n">
        <v>0.04595404595404595</v>
      </c>
      <c r="I480" s="36" t="n">
        <v>-0.5377483443708609</v>
      </c>
      <c r="J480" s="31" t="n">
        <v>10322</v>
      </c>
      <c r="K480" s="31" t="n">
        <v>10769.83333333333</v>
      </c>
      <c r="L480" s="31" t="n">
        <v>10116.5</v>
      </c>
      <c r="M480" s="36" t="n">
        <v>0.4102691527423728</v>
      </c>
      <c r="N480" s="36" t="n">
        <v>0.5654682429878568</v>
      </c>
      <c r="O480" s="36" t="n">
        <v>-0.004752851711026573</v>
      </c>
      <c r="P480" s="36" t="n">
        <v>-0.1902552204176334</v>
      </c>
      <c r="Q480" s="36" t="n">
        <v>0.2361275088547816</v>
      </c>
      <c r="R480" s="36" t="n">
        <v>0.01433830652974222</v>
      </c>
      <c r="S480" s="36" t="n">
        <v>-0.02784010894628519</v>
      </c>
      <c r="T480" s="36" t="n">
        <v>0.03494291503978642</v>
      </c>
      <c r="U480" s="31" t="n">
        <v>18460</v>
      </c>
      <c r="V480" s="31" t="n">
        <v>6510</v>
      </c>
      <c r="W480" s="36" t="n">
        <v>-0.4328277356446371</v>
      </c>
      <c r="X480" s="36" t="n">
        <v>0.6082949308755761</v>
      </c>
      <c r="Y480" s="31" t="n">
        <v>17780753</v>
      </c>
      <c r="Z480" s="31" t="n">
        <v>186164483910</v>
      </c>
      <c r="AA480" s="31" t="n">
        <v>1495838430</v>
      </c>
      <c r="AB480" s="31" t="n">
        <v>1154782709.5</v>
      </c>
      <c r="AC480" s="36" t="n">
        <v>0.008035036536416653</v>
      </c>
      <c r="AD480" s="29" t="inlineStr">
        <is>
          <t>yfinance_download</t>
        </is>
      </c>
      <c r="AE480" s="29" t="inlineStr">
        <is>
          <t>102120.KQ</t>
        </is>
      </c>
    </row>
    <row r="481" ht="24" customHeight="1">
      <c r="A481" s="24" t="inlineStr">
        <is>
          <t>2025-05-29</t>
        </is>
      </c>
      <c r="B481" s="30" t="n">
        <v>10790</v>
      </c>
      <c r="C481" s="30" t="n">
        <v>10790</v>
      </c>
      <c r="D481" s="30" t="n">
        <v>10490</v>
      </c>
      <c r="E481" s="30" t="n">
        <v>10660</v>
      </c>
      <c r="F481" s="30" t="n">
        <v>10660</v>
      </c>
      <c r="G481" s="30" t="n">
        <v>130669</v>
      </c>
      <c r="H481" s="35" t="n">
        <v>0.01814708691499511</v>
      </c>
      <c r="I481" s="35" t="n">
        <v>-0.5293598233995584</v>
      </c>
      <c r="J481" s="30" t="n">
        <v>10337.5</v>
      </c>
      <c r="K481" s="30" t="n">
        <v>10728.5</v>
      </c>
      <c r="L481" s="30" t="n">
        <v>10137.25</v>
      </c>
      <c r="M481" s="35" t="n">
        <v>0.4103356398791911</v>
      </c>
      <c r="N481" s="35" t="n">
        <v>0.5657569239008831</v>
      </c>
      <c r="O481" s="35" t="n">
        <v>0.02995169082125604</v>
      </c>
      <c r="P481" s="35" t="n">
        <v>-0.1887366818873668</v>
      </c>
      <c r="Q481" s="35" t="n">
        <v>0.3047735618115055</v>
      </c>
      <c r="R481" s="35" t="n">
        <v>0.03119709794437719</v>
      </c>
      <c r="S481" s="35" t="n">
        <v>-0.006384862748753273</v>
      </c>
      <c r="T481" s="35" t="n">
        <v>0.05156723963599585</v>
      </c>
      <c r="U481" s="30" t="n">
        <v>18460</v>
      </c>
      <c r="V481" s="30" t="n">
        <v>6510</v>
      </c>
      <c r="W481" s="35" t="n">
        <v>-0.4225352112676056</v>
      </c>
      <c r="X481" s="35" t="n">
        <v>0.6374807987711213</v>
      </c>
      <c r="Y481" s="30" t="n">
        <v>17780753</v>
      </c>
      <c r="Z481" s="30" t="n">
        <v>189542826980</v>
      </c>
      <c r="AA481" s="30" t="n">
        <v>1392931540</v>
      </c>
      <c r="AB481" s="30" t="n">
        <v>1147009734</v>
      </c>
      <c r="AC481" s="35" t="n">
        <v>0.007348901365425863</v>
      </c>
      <c r="AD481" s="24" t="inlineStr">
        <is>
          <t>yfinance_download</t>
        </is>
      </c>
      <c r="AE481" s="24" t="inlineStr">
        <is>
          <t>102120.KQ</t>
        </is>
      </c>
    </row>
    <row r="482" ht="24" customHeight="1">
      <c r="A482" s="29" t="inlineStr">
        <is>
          <t>2025-05-30</t>
        </is>
      </c>
      <c r="B482" s="31" t="n">
        <v>10520</v>
      </c>
      <c r="C482" s="31" t="n">
        <v>10580</v>
      </c>
      <c r="D482" s="31" t="n">
        <v>10290</v>
      </c>
      <c r="E482" s="31" t="n">
        <v>10310</v>
      </c>
      <c r="F482" s="31" t="n">
        <v>10310</v>
      </c>
      <c r="G482" s="31" t="n">
        <v>72918</v>
      </c>
      <c r="H482" s="36" t="n">
        <v>-0.03283302063789872</v>
      </c>
      <c r="I482" s="36" t="n">
        <v>-0.5448123620309051</v>
      </c>
      <c r="J482" s="31" t="n">
        <v>10339</v>
      </c>
      <c r="K482" s="31" t="n">
        <v>10700.33333333333</v>
      </c>
      <c r="L482" s="31" t="n">
        <v>10155.83333333333</v>
      </c>
      <c r="M482" s="36" t="n">
        <v>0.4276149591724295</v>
      </c>
      <c r="N482" s="36" t="n">
        <v>0.5418871777312524</v>
      </c>
      <c r="O482" s="36" t="n">
        <v>0.00291828793774318</v>
      </c>
      <c r="P482" s="36" t="n">
        <v>-0.1408333333333334</v>
      </c>
      <c r="Q482" s="36" t="n">
        <v>0.2759900990099009</v>
      </c>
      <c r="R482" s="36" t="n">
        <v>-0.002804913434568124</v>
      </c>
      <c r="S482" s="36" t="n">
        <v>-0.03647861437338407</v>
      </c>
      <c r="T482" s="36" t="n">
        <v>0.01518010995322872</v>
      </c>
      <c r="U482" s="31" t="n">
        <v>18460</v>
      </c>
      <c r="V482" s="31" t="n">
        <v>6510</v>
      </c>
      <c r="W482" s="36" t="n">
        <v>-0.4414951245937161</v>
      </c>
      <c r="X482" s="36" t="n">
        <v>0.5837173579109063</v>
      </c>
      <c r="Y482" s="31" t="n">
        <v>17780753</v>
      </c>
      <c r="Z482" s="31" t="n">
        <v>183319563430</v>
      </c>
      <c r="AA482" s="31" t="n">
        <v>751784580</v>
      </c>
      <c r="AB482" s="31" t="n">
        <v>1134144723</v>
      </c>
      <c r="AC482" s="36" t="n">
        <v>0.004100951180189051</v>
      </c>
      <c r="AD482" s="29" t="inlineStr">
        <is>
          <t>yfinance_download</t>
        </is>
      </c>
      <c r="AE482" s="29" t="inlineStr">
        <is>
          <t>102120.KQ</t>
        </is>
      </c>
    </row>
    <row r="483" ht="24" customHeight="1">
      <c r="A483" s="24" t="inlineStr">
        <is>
          <t>2025-06-02</t>
        </is>
      </c>
      <c r="B483" s="30" t="n">
        <v>10470</v>
      </c>
      <c r="C483" s="30" t="n">
        <v>10610</v>
      </c>
      <c r="D483" s="30" t="n">
        <v>10380</v>
      </c>
      <c r="E483" s="30" t="n">
        <v>10420</v>
      </c>
      <c r="F483" s="30" t="n">
        <v>10420</v>
      </c>
      <c r="G483" s="30" t="n">
        <v>80261</v>
      </c>
      <c r="H483" s="35" t="n">
        <v>0.0106692531522794</v>
      </c>
      <c r="I483" s="35" t="n">
        <v>-0.5399558498896248</v>
      </c>
      <c r="J483" s="30" t="n">
        <v>10359</v>
      </c>
      <c r="K483" s="30" t="n">
        <v>10666</v>
      </c>
      <c r="L483" s="30" t="n">
        <v>10177.75</v>
      </c>
      <c r="M483" s="35" t="n">
        <v>0.4178003971625134</v>
      </c>
      <c r="N483" s="35" t="n">
        <v>0.5354849159106453</v>
      </c>
      <c r="O483" s="35" t="n">
        <v>0.03992015968063867</v>
      </c>
      <c r="P483" s="35" t="n">
        <v>-0.1650641025641025</v>
      </c>
      <c r="Q483" s="35" t="n">
        <v>0.3376123234916559</v>
      </c>
      <c r="R483" s="35" t="n">
        <v>0.005888599285645224</v>
      </c>
      <c r="S483" s="35" t="n">
        <v>-0.0230639414963435</v>
      </c>
      <c r="T483" s="35" t="n">
        <v>0.0238019208567708</v>
      </c>
      <c r="U483" s="30" t="n">
        <v>18460</v>
      </c>
      <c r="V483" s="30" t="n">
        <v>6510</v>
      </c>
      <c r="W483" s="35" t="n">
        <v>-0.4355362946912242</v>
      </c>
      <c r="X483" s="35" t="n">
        <v>0.6006144393241168</v>
      </c>
      <c r="Y483" s="30" t="n">
        <v>17780753</v>
      </c>
      <c r="Z483" s="30" t="n">
        <v>185275446260</v>
      </c>
      <c r="AA483" s="30" t="n">
        <v>836319620</v>
      </c>
      <c r="AB483" s="30" t="n">
        <v>1117477972</v>
      </c>
      <c r="AC483" s="35" t="n">
        <v>0.004513925816302606</v>
      </c>
      <c r="AD483" s="24" t="inlineStr">
        <is>
          <t>yfinance_download</t>
        </is>
      </c>
      <c r="AE483" s="24" t="inlineStr">
        <is>
          <t>102120.KQ</t>
        </is>
      </c>
    </row>
    <row r="484" ht="24" customHeight="1">
      <c r="A484" s="29" t="inlineStr">
        <is>
          <t>2025-06-04</t>
        </is>
      </c>
      <c r="B484" s="31" t="n">
        <v>10800</v>
      </c>
      <c r="C484" s="31" t="n">
        <v>11100</v>
      </c>
      <c r="D484" s="31" t="n">
        <v>10760</v>
      </c>
      <c r="E484" s="31" t="n">
        <v>11010</v>
      </c>
      <c r="F484" s="31" t="n">
        <v>11010</v>
      </c>
      <c r="G484" s="31" t="n">
        <v>236319</v>
      </c>
      <c r="H484" s="36" t="n">
        <v>0.05662188099808052</v>
      </c>
      <c r="I484" s="36" t="n">
        <v>-0.5139072847682119</v>
      </c>
      <c r="J484" s="31" t="n">
        <v>10403</v>
      </c>
      <c r="K484" s="31" t="n">
        <v>10654</v>
      </c>
      <c r="L484" s="31" t="n">
        <v>10205.83333333333</v>
      </c>
      <c r="M484" s="36" t="n">
        <v>0.4597080980766379</v>
      </c>
      <c r="N484" s="36" t="n">
        <v>0.5352329879056058</v>
      </c>
      <c r="O484" s="36" t="n">
        <v>0.08687068114511343</v>
      </c>
      <c r="P484" s="36" t="n">
        <v>-0.0613810741687979</v>
      </c>
      <c r="Q484" s="36" t="n">
        <v>0.4410994764397906</v>
      </c>
      <c r="R484" s="36" t="n">
        <v>0.05834855330193212</v>
      </c>
      <c r="S484" s="36" t="n">
        <v>0.03341467993241976</v>
      </c>
      <c r="T484" s="36" t="n">
        <v>0.07879480689148366</v>
      </c>
      <c r="U484" s="31" t="n">
        <v>18460</v>
      </c>
      <c r="V484" s="31" t="n">
        <v>6510</v>
      </c>
      <c r="W484" s="36" t="n">
        <v>-0.4035752979414952</v>
      </c>
      <c r="X484" s="36" t="n">
        <v>0.6912442396313363</v>
      </c>
      <c r="Y484" s="31" t="n">
        <v>17780753</v>
      </c>
      <c r="Z484" s="31" t="n">
        <v>195766090530</v>
      </c>
      <c r="AA484" s="31" t="n">
        <v>2601872190</v>
      </c>
      <c r="AB484" s="31" t="n">
        <v>1215075554.5</v>
      </c>
      <c r="AC484" s="36" t="n">
        <v>0.01329071946503053</v>
      </c>
      <c r="AD484" s="29" t="inlineStr">
        <is>
          <t>yfinance_download</t>
        </is>
      </c>
      <c r="AE484" s="29" t="inlineStr">
        <is>
          <t>102120.KQ</t>
        </is>
      </c>
    </row>
    <row r="485" ht="24" customHeight="1">
      <c r="A485" s="24" t="inlineStr">
        <is>
          <t>2025-06-05</t>
        </is>
      </c>
      <c r="B485" s="30" t="n">
        <v>11320</v>
      </c>
      <c r="C485" s="30" t="n">
        <v>12020</v>
      </c>
      <c r="D485" s="30" t="n">
        <v>11170</v>
      </c>
      <c r="E485" s="30" t="n">
        <v>11910</v>
      </c>
      <c r="F485" s="30" t="n">
        <v>11910</v>
      </c>
      <c r="G485" s="30" t="n">
        <v>668227</v>
      </c>
      <c r="H485" s="35" t="n">
        <v>0.08174386920980936</v>
      </c>
      <c r="I485" s="35" t="n">
        <v>-0.4741721854304636</v>
      </c>
      <c r="J485" s="30" t="n">
        <v>10484</v>
      </c>
      <c r="K485" s="30" t="n">
        <v>10647.83333333333</v>
      </c>
      <c r="L485" s="30" t="n">
        <v>10240.5</v>
      </c>
      <c r="M485" s="35" t="n">
        <v>0.5345766490412255</v>
      </c>
      <c r="N485" s="35" t="n">
        <v>0.5528878698180322</v>
      </c>
      <c r="O485" s="35" t="n">
        <v>0.1574344023323615</v>
      </c>
      <c r="P485" s="35" t="n">
        <v>-0.03013029315960913</v>
      </c>
      <c r="Q485" s="35" t="n">
        <v>0.5367741935483872</v>
      </c>
      <c r="R485" s="35" t="n">
        <v>0.1360167874856926</v>
      </c>
      <c r="S485" s="35" t="n">
        <v>0.1185374176279994</v>
      </c>
      <c r="T485" s="35" t="n">
        <v>0.1630291489673357</v>
      </c>
      <c r="U485" s="30" t="n">
        <v>18460</v>
      </c>
      <c r="V485" s="30" t="n">
        <v>6510</v>
      </c>
      <c r="W485" s="35" t="n">
        <v>-0.3548212351029253</v>
      </c>
      <c r="X485" s="35" t="n">
        <v>0.8294930875576036</v>
      </c>
      <c r="Y485" s="30" t="n">
        <v>17780753</v>
      </c>
      <c r="Z485" s="30" t="n">
        <v>211768768230</v>
      </c>
      <c r="AA485" s="30" t="n">
        <v>7958583570</v>
      </c>
      <c r="AB485" s="30" t="n">
        <v>1558972972</v>
      </c>
      <c r="AC485" s="35" t="n">
        <v>0.0375814792545625</v>
      </c>
      <c r="AD485" s="24" t="inlineStr">
        <is>
          <t>yfinance_download</t>
        </is>
      </c>
      <c r="AE485" s="24" t="inlineStr">
        <is>
          <t>102120.KQ</t>
        </is>
      </c>
    </row>
    <row r="486" ht="24" customHeight="1">
      <c r="A486" s="29" t="inlineStr">
        <is>
          <t>2025-06-09</t>
        </is>
      </c>
      <c r="B486" s="31" t="n">
        <v>12450</v>
      </c>
      <c r="C486" s="31" t="n">
        <v>12450</v>
      </c>
      <c r="D486" s="31" t="n">
        <v>11880</v>
      </c>
      <c r="E486" s="31" t="n">
        <v>11920</v>
      </c>
      <c r="F486" s="31" t="n">
        <v>11920</v>
      </c>
      <c r="G486" s="31" t="n">
        <v>298695</v>
      </c>
      <c r="H486" s="36" t="n">
        <v>0.0008396305625524292</v>
      </c>
      <c r="I486" s="36" t="n">
        <v>-0.4737306843267108</v>
      </c>
      <c r="J486" s="31" t="n">
        <v>10560.5</v>
      </c>
      <c r="K486" s="31" t="n">
        <v>10649.66666666667</v>
      </c>
      <c r="L486" s="31" t="n">
        <v>10278.25</v>
      </c>
      <c r="M486" s="36" t="n">
        <v>0.535097310286227</v>
      </c>
      <c r="N486" s="36" t="n">
        <v>0.5470770600333777</v>
      </c>
      <c r="O486" s="36" t="n">
        <v>0.1472569778633301</v>
      </c>
      <c r="P486" s="36" t="n">
        <v>0.009314140558848383</v>
      </c>
      <c r="Q486" s="36" t="n">
        <v>0.6129905277401895</v>
      </c>
      <c r="R486" s="36" t="n">
        <v>0.128734434922589</v>
      </c>
      <c r="S486" s="36" t="n">
        <v>0.1192838586497231</v>
      </c>
      <c r="T486" s="36" t="n">
        <v>0.1597304988689709</v>
      </c>
      <c r="U486" s="31" t="n">
        <v>18460</v>
      </c>
      <c r="V486" s="31" t="n">
        <v>6510</v>
      </c>
      <c r="W486" s="36" t="n">
        <v>-0.3542795232936078</v>
      </c>
      <c r="X486" s="36" t="n">
        <v>0.8310291858678955</v>
      </c>
      <c r="Y486" s="31" t="n">
        <v>17780753</v>
      </c>
      <c r="Z486" s="31" t="n">
        <v>211946575760</v>
      </c>
      <c r="AA486" s="31" t="n">
        <v>3560444400</v>
      </c>
      <c r="AB486" s="31" t="n">
        <v>1689718094.5</v>
      </c>
      <c r="AC486" s="36" t="n">
        <v>0.01679878236877819</v>
      </c>
      <c r="AD486" s="29" t="inlineStr">
        <is>
          <t>yfinance_download</t>
        </is>
      </c>
      <c r="AE486" s="29" t="inlineStr">
        <is>
          <t>102120.KQ</t>
        </is>
      </c>
    </row>
    <row r="487" ht="24" customHeight="1">
      <c r="A487" s="24" t="inlineStr">
        <is>
          <t>2025-06-10</t>
        </is>
      </c>
      <c r="B487" s="30" t="n">
        <v>12160</v>
      </c>
      <c r="C487" s="30" t="n">
        <v>12160</v>
      </c>
      <c r="D487" s="30" t="n">
        <v>11660</v>
      </c>
      <c r="E487" s="30" t="n">
        <v>11690</v>
      </c>
      <c r="F487" s="30" t="n">
        <v>11690</v>
      </c>
      <c r="G487" s="30" t="n">
        <v>152271</v>
      </c>
      <c r="H487" s="35" t="n">
        <v>-0.01929530201342278</v>
      </c>
      <c r="I487" s="35" t="n">
        <v>-0.4838852097130243</v>
      </c>
      <c r="J487" s="30" t="n">
        <v>10638</v>
      </c>
      <c r="K487" s="30" t="n">
        <v>10651.66666666667</v>
      </c>
      <c r="L487" s="30" t="n">
        <v>10314.08333333333</v>
      </c>
      <c r="M487" s="35" t="n">
        <v>0.531634148490391</v>
      </c>
      <c r="N487" s="35" t="n">
        <v>0.5469123026929272</v>
      </c>
      <c r="O487" s="35" t="n">
        <v>0.1528599605522682</v>
      </c>
      <c r="P487" s="35" t="n">
        <v>0.01037165082108893</v>
      </c>
      <c r="Q487" s="35" t="n">
        <v>0.5818673883626522</v>
      </c>
      <c r="R487" s="35" t="n">
        <v>0.09889076894153037</v>
      </c>
      <c r="S487" s="35" t="n">
        <v>0.09748083242059158</v>
      </c>
      <c r="T487" s="35" t="n">
        <v>0.133401740338857</v>
      </c>
      <c r="U487" s="30" t="n">
        <v>18460</v>
      </c>
      <c r="V487" s="30" t="n">
        <v>6510</v>
      </c>
      <c r="W487" s="35" t="n">
        <v>-0.366738894907909</v>
      </c>
      <c r="X487" s="35" t="n">
        <v>0.7956989247311828</v>
      </c>
      <c r="Y487" s="30" t="n">
        <v>17780753</v>
      </c>
      <c r="Z487" s="30" t="n">
        <v>207857002570</v>
      </c>
      <c r="AA487" s="30" t="n">
        <v>1780047990</v>
      </c>
      <c r="AB487" s="30" t="n">
        <v>1742132332</v>
      </c>
      <c r="AC487" s="35" t="n">
        <v>0.008563810542781849</v>
      </c>
      <c r="AD487" s="24" t="inlineStr">
        <is>
          <t>yfinance_download</t>
        </is>
      </c>
      <c r="AE487" s="24" t="inlineStr">
        <is>
          <t>102120.KQ</t>
        </is>
      </c>
    </row>
    <row r="488" ht="24" customHeight="1">
      <c r="A488" s="29" t="inlineStr">
        <is>
          <t>2025-06-11</t>
        </is>
      </c>
      <c r="B488" s="31" t="n">
        <v>11900</v>
      </c>
      <c r="C488" s="31" t="n">
        <v>12120</v>
      </c>
      <c r="D488" s="31" t="n">
        <v>11700</v>
      </c>
      <c r="E488" s="31" t="n">
        <v>12010</v>
      </c>
      <c r="F488" s="31" t="n">
        <v>12010</v>
      </c>
      <c r="G488" s="31" t="n">
        <v>280478</v>
      </c>
      <c r="H488" s="36" t="n">
        <v>0.0273738237810095</v>
      </c>
      <c r="I488" s="36" t="n">
        <v>-0.469757174392936</v>
      </c>
      <c r="J488" s="31" t="n">
        <v>10709</v>
      </c>
      <c r="K488" s="31" t="n">
        <v>10648.16666666667</v>
      </c>
      <c r="L488" s="31" t="n">
        <v>10355.58333333333</v>
      </c>
      <c r="M488" s="36" t="n">
        <v>0.5193413295297233</v>
      </c>
      <c r="N488" s="36" t="n">
        <v>0.5375499561734891</v>
      </c>
      <c r="O488" s="36" t="n">
        <v>0.1340887629839471</v>
      </c>
      <c r="P488" s="36" t="n">
        <v>-0.01718494271685767</v>
      </c>
      <c r="Q488" s="36" t="n">
        <v>0.7083926031294452</v>
      </c>
      <c r="R488" s="36" t="n">
        <v>0.1214866000560277</v>
      </c>
      <c r="S488" s="36" t="n">
        <v>0.1278936906196686</v>
      </c>
      <c r="T488" s="36" t="n">
        <v>0.1597608375514012</v>
      </c>
      <c r="U488" s="31" t="n">
        <v>18460</v>
      </c>
      <c r="V488" s="31" t="n">
        <v>6510</v>
      </c>
      <c r="W488" s="36" t="n">
        <v>-0.3494041170097508</v>
      </c>
      <c r="X488" s="36" t="n">
        <v>0.8448540706605223</v>
      </c>
      <c r="Y488" s="31" t="n">
        <v>17780753</v>
      </c>
      <c r="Z488" s="31" t="n">
        <v>213546843530</v>
      </c>
      <c r="AA488" s="31" t="n">
        <v>3368540780</v>
      </c>
      <c r="AB488" s="31" t="n">
        <v>1839879063.5</v>
      </c>
      <c r="AC488" s="36" t="n">
        <v>0.01577424758107826</v>
      </c>
      <c r="AD488" s="29" t="inlineStr">
        <is>
          <t>yfinance_download</t>
        </is>
      </c>
      <c r="AE488" s="29" t="inlineStr">
        <is>
          <t>102120.KQ</t>
        </is>
      </c>
    </row>
    <row r="489" ht="24" customHeight="1">
      <c r="A489" s="24" t="inlineStr">
        <is>
          <t>2025-06-12</t>
        </is>
      </c>
      <c r="B489" s="30" t="n">
        <v>12050</v>
      </c>
      <c r="C489" s="30" t="n">
        <v>12150</v>
      </c>
      <c r="D489" s="30" t="n">
        <v>11860</v>
      </c>
      <c r="E489" s="30" t="n">
        <v>12030</v>
      </c>
      <c r="F489" s="30" t="n">
        <v>12030</v>
      </c>
      <c r="G489" s="30" t="n">
        <v>187551</v>
      </c>
      <c r="H489" s="35" t="n">
        <v>0.001665278934221526</v>
      </c>
      <c r="I489" s="35" t="n">
        <v>-0.4688741721854305</v>
      </c>
      <c r="J489" s="30" t="n">
        <v>10779</v>
      </c>
      <c r="K489" s="30" t="n">
        <v>10651.83333333333</v>
      </c>
      <c r="L489" s="30" t="n">
        <v>10401.58333333333</v>
      </c>
      <c r="M489" s="35" t="n">
        <v>0.5195589480814193</v>
      </c>
      <c r="N489" s="35" t="n">
        <v>0.5329093874886767</v>
      </c>
      <c r="O489" s="35" t="n">
        <v>0.1317027281279397</v>
      </c>
      <c r="P489" s="35" t="n">
        <v>0.01862828111769677</v>
      </c>
      <c r="Q489" s="35" t="n">
        <v>0.8479262672811061</v>
      </c>
      <c r="R489" s="35" t="n">
        <v>0.1160590036181464</v>
      </c>
      <c r="S489" s="35" t="n">
        <v>0.1293830483015443</v>
      </c>
      <c r="T489" s="35" t="n">
        <v>0.1565546911928473</v>
      </c>
      <c r="U489" s="30" t="n">
        <v>18460</v>
      </c>
      <c r="V489" s="30" t="n">
        <v>6510</v>
      </c>
      <c r="W489" s="35" t="n">
        <v>-0.3483206933911159</v>
      </c>
      <c r="X489" s="35" t="n">
        <v>0.8479262672811061</v>
      </c>
      <c r="Y489" s="30" t="n">
        <v>17780753</v>
      </c>
      <c r="Z489" s="30" t="n">
        <v>213902458590</v>
      </c>
      <c r="AA489" s="30" t="n">
        <v>2256238530</v>
      </c>
      <c r="AB489" s="30" t="n">
        <v>1846136401.5</v>
      </c>
      <c r="AC489" s="35" t="n">
        <v>0.01054797847987653</v>
      </c>
      <c r="AD489" s="24" t="inlineStr">
        <is>
          <t>yfinance_download</t>
        </is>
      </c>
      <c r="AE489" s="24" t="inlineStr">
        <is>
          <t>102120.KQ</t>
        </is>
      </c>
    </row>
    <row r="490" ht="24" customHeight="1">
      <c r="A490" s="29" t="inlineStr">
        <is>
          <t>2025-06-13</t>
        </is>
      </c>
      <c r="B490" s="31" t="n">
        <v>12140</v>
      </c>
      <c r="C490" s="31" t="n">
        <v>12180</v>
      </c>
      <c r="D490" s="31" t="n">
        <v>11450</v>
      </c>
      <c r="E490" s="31" t="n">
        <v>11610</v>
      </c>
      <c r="F490" s="31" t="n">
        <v>11610</v>
      </c>
      <c r="G490" s="31" t="n">
        <v>212016</v>
      </c>
      <c r="H490" s="36" t="n">
        <v>-0.03491271820448882</v>
      </c>
      <c r="I490" s="36" t="n">
        <v>-0.4874172185430463</v>
      </c>
      <c r="J490" s="31" t="n">
        <v>10816.5</v>
      </c>
      <c r="K490" s="31" t="n">
        <v>10638</v>
      </c>
      <c r="L490" s="31" t="n">
        <v>10439.58333333333</v>
      </c>
      <c r="M490" s="36" t="n">
        <v>0.5365022542880449</v>
      </c>
      <c r="N490" s="36" t="n">
        <v>0.526441135578983</v>
      </c>
      <c r="O490" s="36" t="n">
        <v>0.06906077348066297</v>
      </c>
      <c r="P490" s="36" t="n">
        <v>-0.06672025723472674</v>
      </c>
      <c r="Q490" s="36" t="n">
        <v>0.6468085106382979</v>
      </c>
      <c r="R490" s="36" t="n">
        <v>0.07336014422410209</v>
      </c>
      <c r="S490" s="36" t="n">
        <v>0.09137055837563457</v>
      </c>
      <c r="T490" s="36" t="n">
        <v>0.1121133506286169</v>
      </c>
      <c r="U490" s="31" t="n">
        <v>18460</v>
      </c>
      <c r="V490" s="31" t="n">
        <v>6510</v>
      </c>
      <c r="W490" s="36" t="n">
        <v>-0.3710725893824486</v>
      </c>
      <c r="X490" s="36" t="n">
        <v>0.7834101382488479</v>
      </c>
      <c r="Y490" s="31" t="n">
        <v>17780753</v>
      </c>
      <c r="Z490" s="31" t="n">
        <v>206434542330</v>
      </c>
      <c r="AA490" s="31" t="n">
        <v>2461505760</v>
      </c>
      <c r="AB490" s="31" t="n">
        <v>1913181691.5</v>
      </c>
      <c r="AC490" s="36" t="n">
        <v>0.0119239044600642</v>
      </c>
      <c r="AD490" s="29" t="inlineStr">
        <is>
          <t>yfinance_download</t>
        </is>
      </c>
      <c r="AE490" s="29" t="inlineStr">
        <is>
          <t>102120.KQ</t>
        </is>
      </c>
    </row>
    <row r="491" ht="24" customHeight="1">
      <c r="A491" s="24" t="inlineStr">
        <is>
          <t>2025-06-16</t>
        </is>
      </c>
      <c r="B491" s="30" t="n">
        <v>11340</v>
      </c>
      <c r="C491" s="30" t="n">
        <v>11650</v>
      </c>
      <c r="D491" s="30" t="n">
        <v>11150</v>
      </c>
      <c r="E491" s="30" t="n">
        <v>11640</v>
      </c>
      <c r="F491" s="30" t="n">
        <v>11640</v>
      </c>
      <c r="G491" s="30" t="n">
        <v>165438</v>
      </c>
      <c r="H491" s="35" t="n">
        <v>0.002583979328165453</v>
      </c>
      <c r="I491" s="35" t="n">
        <v>-0.4860927152317881</v>
      </c>
      <c r="J491" s="30" t="n">
        <v>10866.5</v>
      </c>
      <c r="K491" s="30" t="n">
        <v>10624.5</v>
      </c>
      <c r="L491" s="30" t="n">
        <v>10474.08333333333</v>
      </c>
      <c r="M491" s="35" t="n">
        <v>0.5289474151139364</v>
      </c>
      <c r="N491" s="35" t="n">
        <v>0.5264741680912266</v>
      </c>
      <c r="O491" s="35" t="n">
        <v>0.09398496240601495</v>
      </c>
      <c r="P491" s="35" t="n">
        <v>-0.06506024096385543</v>
      </c>
      <c r="Q491" s="35" t="n">
        <v>0.552</v>
      </c>
      <c r="R491" s="35" t="n">
        <v>0.07118207334468329</v>
      </c>
      <c r="S491" s="35" t="n">
        <v>0.09558096851616549</v>
      </c>
      <c r="T491" s="35" t="n">
        <v>0.1113144348351884</v>
      </c>
      <c r="U491" s="30" t="n">
        <v>18460</v>
      </c>
      <c r="V491" s="30" t="n">
        <v>6510</v>
      </c>
      <c r="W491" s="35" t="n">
        <v>-0.3694474539544962</v>
      </c>
      <c r="X491" s="35" t="n">
        <v>0.7880184331797235</v>
      </c>
      <c r="Y491" s="30" t="n">
        <v>17780753</v>
      </c>
      <c r="Z491" s="30" t="n">
        <v>206967964920</v>
      </c>
      <c r="AA491" s="30" t="n">
        <v>1925698320</v>
      </c>
      <c r="AB491" s="30" t="n">
        <v>1939749603.5</v>
      </c>
      <c r="AC491" s="35" t="n">
        <v>0.009304330362161828</v>
      </c>
      <c r="AD491" s="24" t="inlineStr">
        <is>
          <t>yfinance_download</t>
        </is>
      </c>
      <c r="AE491" s="24" t="inlineStr">
        <is>
          <t>102120.KQ</t>
        </is>
      </c>
    </row>
    <row r="492" ht="24" customHeight="1">
      <c r="A492" s="29" t="inlineStr">
        <is>
          <t>2025-06-17</t>
        </is>
      </c>
      <c r="B492" s="31" t="n">
        <v>11890</v>
      </c>
      <c r="C492" s="31" t="n">
        <v>12240</v>
      </c>
      <c r="D492" s="31" t="n">
        <v>11550</v>
      </c>
      <c r="E492" s="31" t="n">
        <v>11820</v>
      </c>
      <c r="F492" s="31" t="n">
        <v>11820</v>
      </c>
      <c r="G492" s="31" t="n">
        <v>293449</v>
      </c>
      <c r="H492" s="36" t="n">
        <v>0.01546391752577314</v>
      </c>
      <c r="I492" s="36" t="n">
        <v>-0.4781456953642385</v>
      </c>
      <c r="J492" s="31" t="n">
        <v>10936</v>
      </c>
      <c r="K492" s="31" t="n">
        <v>10614.83333333333</v>
      </c>
      <c r="L492" s="31" t="n">
        <v>10507.91666666667</v>
      </c>
      <c r="M492" s="36" t="n">
        <v>0.5218069184300036</v>
      </c>
      <c r="N492" s="36" t="n">
        <v>0.5274436341843961</v>
      </c>
      <c r="O492" s="36" t="n">
        <v>0.1332694151486098</v>
      </c>
      <c r="P492" s="36" t="n">
        <v>-0.04677419354838708</v>
      </c>
      <c r="Q492" s="36" t="n">
        <v>0.5231958762886597</v>
      </c>
      <c r="R492" s="36" t="n">
        <v>0.08083394294074608</v>
      </c>
      <c r="S492" s="36" t="n">
        <v>0.1135360894345963</v>
      </c>
      <c r="T492" s="36" t="n">
        <v>0.1248661723303859</v>
      </c>
      <c r="U492" s="31" t="n">
        <v>18460</v>
      </c>
      <c r="V492" s="31" t="n">
        <v>6510</v>
      </c>
      <c r="W492" s="36" t="n">
        <v>-0.3596966413867823</v>
      </c>
      <c r="X492" s="36" t="n">
        <v>0.8156682027649769</v>
      </c>
      <c r="Y492" s="31" t="n">
        <v>17780753</v>
      </c>
      <c r="Z492" s="31" t="n">
        <v>210168500460</v>
      </c>
      <c r="AA492" s="31" t="n">
        <v>3468567180</v>
      </c>
      <c r="AB492" s="31" t="n">
        <v>2056618158.5</v>
      </c>
      <c r="AC492" s="36" t="n">
        <v>0.01650374424525216</v>
      </c>
      <c r="AD492" s="29" t="inlineStr">
        <is>
          <t>yfinance_download</t>
        </is>
      </c>
      <c r="AE492" s="29" t="inlineStr">
        <is>
          <t>102120.KQ</t>
        </is>
      </c>
    </row>
    <row r="493" ht="24" customHeight="1">
      <c r="A493" s="24" t="inlineStr">
        <is>
          <t>2025-06-18</t>
        </is>
      </c>
      <c r="B493" s="30" t="n">
        <v>12050</v>
      </c>
      <c r="C493" s="30" t="n">
        <v>12090</v>
      </c>
      <c r="D493" s="30" t="n">
        <v>11650</v>
      </c>
      <c r="E493" s="30" t="n">
        <v>12000</v>
      </c>
      <c r="F493" s="30" t="n">
        <v>12000</v>
      </c>
      <c r="G493" s="30" t="n">
        <v>246813</v>
      </c>
      <c r="H493" s="35" t="n">
        <v>0.01522842639593902</v>
      </c>
      <c r="I493" s="35" t="n">
        <v>-0.4701986754966887</v>
      </c>
      <c r="J493" s="30" t="n">
        <v>11028.5</v>
      </c>
      <c r="K493" s="30" t="n">
        <v>10607.66666666667</v>
      </c>
      <c r="L493" s="30" t="n">
        <v>10542.66666666667</v>
      </c>
      <c r="M493" s="35" t="n">
        <v>0.5070109095236549</v>
      </c>
      <c r="N493" s="35" t="n">
        <v>0.5283733402878367</v>
      </c>
      <c r="O493" s="35" t="n">
        <v>0.1822660098522169</v>
      </c>
      <c r="P493" s="35" t="n">
        <v>-0.03459372485921164</v>
      </c>
      <c r="Q493" s="35" t="n">
        <v>0.5325670498084292</v>
      </c>
      <c r="R493" s="35" t="n">
        <v>0.08808994876909826</v>
      </c>
      <c r="S493" s="35" t="n">
        <v>0.1312572667567484</v>
      </c>
      <c r="T493" s="35" t="n">
        <v>0.1382319463766284</v>
      </c>
      <c r="U493" s="30" t="n">
        <v>18460</v>
      </c>
      <c r="V493" s="30" t="n">
        <v>6510</v>
      </c>
      <c r="W493" s="35" t="n">
        <v>-0.3499458288190682</v>
      </c>
      <c r="X493" s="35" t="n">
        <v>0.8433179723502304</v>
      </c>
      <c r="Y493" s="30" t="n">
        <v>17780753</v>
      </c>
      <c r="Z493" s="30" t="n">
        <v>213369036000</v>
      </c>
      <c r="AA493" s="30" t="n">
        <v>2961756000</v>
      </c>
      <c r="AB493" s="30" t="n">
        <v>2164647968.5</v>
      </c>
      <c r="AC493" s="35" t="n">
        <v>0.01388090819325818</v>
      </c>
      <c r="AD493" s="24" t="inlineStr">
        <is>
          <t>yfinance_download</t>
        </is>
      </c>
      <c r="AE493" s="24" t="inlineStr">
        <is>
          <t>102120.KQ</t>
        </is>
      </c>
    </row>
    <row r="494" ht="24" customHeight="1">
      <c r="A494" s="29" t="inlineStr">
        <is>
          <t>2025-06-19</t>
        </is>
      </c>
      <c r="B494" s="31" t="n">
        <v>12190</v>
      </c>
      <c r="C494" s="31" t="n">
        <v>12340</v>
      </c>
      <c r="D494" s="31" t="n">
        <v>11940</v>
      </c>
      <c r="E494" s="31" t="n">
        <v>11990</v>
      </c>
      <c r="F494" s="31" t="n">
        <v>11990</v>
      </c>
      <c r="G494" s="31" t="n">
        <v>240977</v>
      </c>
      <c r="H494" s="36" t="n">
        <v>-0.0008333333333333526</v>
      </c>
      <c r="I494" s="36" t="n">
        <v>-0.4706401766004416</v>
      </c>
      <c r="J494" s="31" t="n">
        <v>11103</v>
      </c>
      <c r="K494" s="31" t="n">
        <v>10598.16666666667</v>
      </c>
      <c r="L494" s="31" t="n">
        <v>10576.66666666667</v>
      </c>
      <c r="M494" s="36" t="n">
        <v>0.4987912131676382</v>
      </c>
      <c r="N494" s="36" t="n">
        <v>0.5279215834438369</v>
      </c>
      <c r="O494" s="36" t="n">
        <v>0.141904761904762</v>
      </c>
      <c r="P494" s="36" t="n">
        <v>-0.04538216560509556</v>
      </c>
      <c r="Q494" s="36" t="n">
        <v>0.515802781289507</v>
      </c>
      <c r="R494" s="36" t="n">
        <v>0.07988831847248501</v>
      </c>
      <c r="S494" s="36" t="n">
        <v>0.1313277453647643</v>
      </c>
      <c r="T494" s="36" t="n">
        <v>0.1336274818783487</v>
      </c>
      <c r="U494" s="31" t="n">
        <v>18460</v>
      </c>
      <c r="V494" s="31" t="n">
        <v>6510</v>
      </c>
      <c r="W494" s="36" t="n">
        <v>-0.3504875406283857</v>
      </c>
      <c r="X494" s="36" t="n">
        <v>0.8417818740399385</v>
      </c>
      <c r="Y494" s="31" t="n">
        <v>17780753</v>
      </c>
      <c r="Z494" s="31" t="n">
        <v>213191228470</v>
      </c>
      <c r="AA494" s="31" t="n">
        <v>2889314230</v>
      </c>
      <c r="AB494" s="31" t="n">
        <v>2196480705</v>
      </c>
      <c r="AC494" s="36" t="n">
        <v>0.01355268812293832</v>
      </c>
      <c r="AD494" s="29" t="inlineStr">
        <is>
          <t>yfinance_download</t>
        </is>
      </c>
      <c r="AE494" s="29" t="inlineStr">
        <is>
          <t>102120.KQ</t>
        </is>
      </c>
    </row>
    <row r="495" ht="24" customHeight="1">
      <c r="A495" s="24" t="inlineStr">
        <is>
          <t>2025-06-20</t>
        </is>
      </c>
      <c r="B495" s="30" t="n">
        <v>12020</v>
      </c>
      <c r="C495" s="30" t="n">
        <v>12140</v>
      </c>
      <c r="D495" s="30" t="n">
        <v>11860</v>
      </c>
      <c r="E495" s="30" t="n">
        <v>12030</v>
      </c>
      <c r="F495" s="30" t="n">
        <v>12030</v>
      </c>
      <c r="G495" s="30" t="n">
        <v>135668</v>
      </c>
      <c r="H495" s="35" t="n">
        <v>0.003336113427856446</v>
      </c>
      <c r="I495" s="35" t="n">
        <v>-0.4688741721854305</v>
      </c>
      <c r="J495" s="30" t="n">
        <v>11190</v>
      </c>
      <c r="K495" s="30" t="n">
        <v>10585.66666666667</v>
      </c>
      <c r="L495" s="30" t="n">
        <v>10608.58333333333</v>
      </c>
      <c r="M495" s="35" t="n">
        <v>0.4887417331450118</v>
      </c>
      <c r="N495" s="35" t="n">
        <v>0.5266842605385514</v>
      </c>
      <c r="O495" s="35" t="n">
        <v>0.1690962099125364</v>
      </c>
      <c r="P495" s="35" t="n">
        <v>-0.05868544600938963</v>
      </c>
      <c r="Q495" s="35" t="n">
        <v>0.4670731707317073</v>
      </c>
      <c r="R495" s="35" t="n">
        <v>0.07506702412868638</v>
      </c>
      <c r="S495" s="35" t="n">
        <v>0.1364423591649087</v>
      </c>
      <c r="T495" s="35" t="n">
        <v>0.1339874158503727</v>
      </c>
      <c r="U495" s="30" t="n">
        <v>18460</v>
      </c>
      <c r="V495" s="30" t="n">
        <v>6510</v>
      </c>
      <c r="W495" s="35" t="n">
        <v>-0.3483206933911159</v>
      </c>
      <c r="X495" s="35" t="n">
        <v>0.8479262672811061</v>
      </c>
      <c r="Y495" s="30" t="n">
        <v>17780753</v>
      </c>
      <c r="Z495" s="30" t="n">
        <v>213902458590</v>
      </c>
      <c r="AA495" s="30" t="n">
        <v>1632086040</v>
      </c>
      <c r="AB495" s="30" t="n">
        <v>2223541318.5</v>
      </c>
      <c r="AC495" s="35" t="n">
        <v>0.007630048063768728</v>
      </c>
      <c r="AD495" s="24" t="inlineStr">
        <is>
          <t>yfinance_download</t>
        </is>
      </c>
      <c r="AE495" s="24" t="inlineStr">
        <is>
          <t>102120.KQ</t>
        </is>
      </c>
    </row>
    <row r="496" ht="24" customHeight="1">
      <c r="A496" s="29" t="inlineStr">
        <is>
          <t>2025-06-23</t>
        </is>
      </c>
      <c r="B496" s="31" t="n">
        <v>11690</v>
      </c>
      <c r="C496" s="31" t="n">
        <v>11720</v>
      </c>
      <c r="D496" s="31" t="n">
        <v>11260</v>
      </c>
      <c r="E496" s="31" t="n">
        <v>11640</v>
      </c>
      <c r="F496" s="31" t="n">
        <v>11640</v>
      </c>
      <c r="G496" s="31" t="n">
        <v>144434</v>
      </c>
      <c r="H496" s="36" t="n">
        <v>-0.03241895261845384</v>
      </c>
      <c r="I496" s="36" t="n">
        <v>-0.4860927152317881</v>
      </c>
      <c r="J496" s="31" t="n">
        <v>11268</v>
      </c>
      <c r="K496" s="31" t="n">
        <v>10563.83333333333</v>
      </c>
      <c r="L496" s="31" t="n">
        <v>10637.5</v>
      </c>
      <c r="M496" s="36" t="n">
        <v>0.499827347972002</v>
      </c>
      <c r="N496" s="36" t="n">
        <v>0.5299048570984731</v>
      </c>
      <c r="O496" s="36" t="n">
        <v>0.1547619047619047</v>
      </c>
      <c r="P496" s="36" t="n">
        <v>-0.1011583011583012</v>
      </c>
      <c r="Q496" s="36" t="n">
        <v>0.4247246022031823</v>
      </c>
      <c r="R496" s="36" t="n">
        <v>0.03301384451544198</v>
      </c>
      <c r="S496" s="36" t="n">
        <v>0.1018727419024028</v>
      </c>
      <c r="T496" s="36" t="n">
        <v>0.09424206815511171</v>
      </c>
      <c r="U496" s="31" t="n">
        <v>18460</v>
      </c>
      <c r="V496" s="31" t="n">
        <v>6510</v>
      </c>
      <c r="W496" s="36" t="n">
        <v>-0.3694474539544962</v>
      </c>
      <c r="X496" s="36" t="n">
        <v>0.7880184331797235</v>
      </c>
      <c r="Y496" s="31" t="n">
        <v>17780753</v>
      </c>
      <c r="Z496" s="31" t="n">
        <v>206967964920</v>
      </c>
      <c r="AA496" s="31" t="n">
        <v>1681211760</v>
      </c>
      <c r="AB496" s="31" t="n">
        <v>2271257962.5</v>
      </c>
      <c r="AC496" s="36" t="n">
        <v>0.008123053056301946</v>
      </c>
      <c r="AD496" s="29" t="inlineStr">
        <is>
          <t>yfinance_download</t>
        </is>
      </c>
      <c r="AE496" s="29" t="inlineStr">
        <is>
          <t>102120.KQ</t>
        </is>
      </c>
    </row>
    <row r="497" ht="24" customHeight="1">
      <c r="A497" s="24" t="inlineStr">
        <is>
          <t>2025-06-24</t>
        </is>
      </c>
      <c r="B497" s="30" t="n">
        <v>11910</v>
      </c>
      <c r="C497" s="30" t="n">
        <v>12410</v>
      </c>
      <c r="D497" s="30" t="n">
        <v>11890</v>
      </c>
      <c r="E497" s="30" t="n">
        <v>12260</v>
      </c>
      <c r="F497" s="30" t="n">
        <v>12260</v>
      </c>
      <c r="G497" s="30" t="n">
        <v>374017</v>
      </c>
      <c r="H497" s="35" t="n">
        <v>0.0532646048109966</v>
      </c>
      <c r="I497" s="35" t="n">
        <v>-0.458719646799117</v>
      </c>
      <c r="J497" s="30" t="n">
        <v>11386</v>
      </c>
      <c r="K497" s="30" t="n">
        <v>10568.5</v>
      </c>
      <c r="L497" s="30" t="n">
        <v>10673.41666666667</v>
      </c>
      <c r="M497" s="35" t="n">
        <v>0.5151485463892063</v>
      </c>
      <c r="N497" s="35" t="n">
        <v>0.5187747559477051</v>
      </c>
      <c r="O497" s="35" t="n">
        <v>0.2383838383838384</v>
      </c>
      <c r="P497" s="35" t="n">
        <v>0.02337228714524198</v>
      </c>
      <c r="Q497" s="35" t="n">
        <v>0.5421383647798743</v>
      </c>
      <c r="R497" s="35" t="n">
        <v>0.07676093448094146</v>
      </c>
      <c r="S497" s="35" t="n">
        <v>0.1600510952358423</v>
      </c>
      <c r="T497" s="35" t="n">
        <v>0.1486481211108597</v>
      </c>
      <c r="U497" s="30" t="n">
        <v>18460</v>
      </c>
      <c r="V497" s="30" t="n">
        <v>6510</v>
      </c>
      <c r="W497" s="35" t="n">
        <v>-0.3358613217768147</v>
      </c>
      <c r="X497" s="35" t="n">
        <v>0.8832565284178187</v>
      </c>
      <c r="Y497" s="30" t="n">
        <v>17780753</v>
      </c>
      <c r="Z497" s="30" t="n">
        <v>217992031780</v>
      </c>
      <c r="AA497" s="30" t="n">
        <v>4585448420</v>
      </c>
      <c r="AB497" s="30" t="n">
        <v>2461423403.5</v>
      </c>
      <c r="AC497" s="35" t="n">
        <v>0.0210349359220051</v>
      </c>
      <c r="AD497" s="24" t="inlineStr">
        <is>
          <t>yfinance_download</t>
        </is>
      </c>
      <c r="AE497" s="24" t="inlineStr">
        <is>
          <t>102120.KQ</t>
        </is>
      </c>
    </row>
    <row r="498" ht="24" customHeight="1">
      <c r="A498" s="29" t="inlineStr">
        <is>
          <t>2025-06-25</t>
        </is>
      </c>
      <c r="B498" s="31" t="n">
        <v>12750</v>
      </c>
      <c r="C498" s="31" t="n">
        <v>13330</v>
      </c>
      <c r="D498" s="31" t="n">
        <v>12260</v>
      </c>
      <c r="E498" s="31" t="n">
        <v>12700</v>
      </c>
      <c r="F498" s="31" t="n">
        <v>12700</v>
      </c>
      <c r="G498" s="31" t="n">
        <v>1244573</v>
      </c>
      <c r="H498" s="36" t="n">
        <v>0.03588907014681886</v>
      </c>
      <c r="I498" s="36" t="n">
        <v>-0.4392935982339956</v>
      </c>
      <c r="J498" s="31" t="n">
        <v>11506.5</v>
      </c>
      <c r="K498" s="31" t="n">
        <v>10583</v>
      </c>
      <c r="L498" s="31" t="n">
        <v>10715.5</v>
      </c>
      <c r="M498" s="36" t="n">
        <v>0.5127525834208153</v>
      </c>
      <c r="N498" s="36" t="n">
        <v>0.5228921443503797</v>
      </c>
      <c r="O498" s="36" t="n">
        <v>0.2342079689018464</v>
      </c>
      <c r="P498" s="36" t="n">
        <v>0.073541842772612</v>
      </c>
      <c r="Q498" s="36" t="n">
        <v>0.6601307189542485</v>
      </c>
      <c r="R498" s="36" t="n">
        <v>0.1037239820970757</v>
      </c>
      <c r="S498" s="36" t="n">
        <v>0.2000377964660305</v>
      </c>
      <c r="T498" s="36" t="n">
        <v>0.1851990107787784</v>
      </c>
      <c r="U498" s="31" t="n">
        <v>18460</v>
      </c>
      <c r="V498" s="31" t="n">
        <v>6510</v>
      </c>
      <c r="W498" s="36" t="n">
        <v>-0.3120260021668473</v>
      </c>
      <c r="X498" s="36" t="n">
        <v>0.9508448540706604</v>
      </c>
      <c r="Y498" s="31" t="n">
        <v>17780753</v>
      </c>
      <c r="Z498" s="31" t="n">
        <v>225815563100</v>
      </c>
      <c r="AA498" s="31" t="n">
        <v>15806077100</v>
      </c>
      <c r="AB498" s="31" t="n">
        <v>3201531609.5</v>
      </c>
      <c r="AC498" s="36" t="n">
        <v>0.06999551706274756</v>
      </c>
      <c r="AD498" s="29" t="inlineStr">
        <is>
          <t>yfinance_download</t>
        </is>
      </c>
      <c r="AE498" s="29" t="inlineStr">
        <is>
          <t>102120.KQ</t>
        </is>
      </c>
    </row>
    <row r="499" ht="24" customHeight="1">
      <c r="A499" s="24" t="inlineStr">
        <is>
          <t>2025-06-26</t>
        </is>
      </c>
      <c r="B499" s="30" t="n">
        <v>13280</v>
      </c>
      <c r="C499" s="30" t="n">
        <v>13300</v>
      </c>
      <c r="D499" s="30" t="n">
        <v>12200</v>
      </c>
      <c r="E499" s="30" t="n">
        <v>12390</v>
      </c>
      <c r="F499" s="30" t="n">
        <v>12390</v>
      </c>
      <c r="G499" s="30" t="n">
        <v>533160</v>
      </c>
      <c r="H499" s="35" t="n">
        <v>-0.02440944881889762</v>
      </c>
      <c r="I499" s="35" t="n">
        <v>-0.4529801324503311</v>
      </c>
      <c r="J499" s="30" t="n">
        <v>11625.5</v>
      </c>
      <c r="K499" s="30" t="n">
        <v>10602.33333333333</v>
      </c>
      <c r="L499" s="30" t="n">
        <v>10752.83333333333</v>
      </c>
      <c r="M499" s="35" t="n">
        <v>0.5100684610551723</v>
      </c>
      <c r="N499" s="35" t="n">
        <v>0.5143335902913573</v>
      </c>
      <c r="O499" s="35" t="n">
        <v>0.2377622377622377</v>
      </c>
      <c r="P499" s="35" t="n">
        <v>0.1032947462154943</v>
      </c>
      <c r="Q499" s="35" t="n">
        <v>0.5663716814159292</v>
      </c>
      <c r="R499" s="35" t="n">
        <v>0.06576061244677645</v>
      </c>
      <c r="S499" s="35" t="n">
        <v>0.168610683182947</v>
      </c>
      <c r="T499" s="35" t="n">
        <v>0.1522544445649983</v>
      </c>
      <c r="U499" s="30" t="n">
        <v>18460</v>
      </c>
      <c r="V499" s="30" t="n">
        <v>6510</v>
      </c>
      <c r="W499" s="35" t="n">
        <v>-0.328819068255688</v>
      </c>
      <c r="X499" s="35" t="n">
        <v>0.903225806451613</v>
      </c>
      <c r="Y499" s="30" t="n">
        <v>17780753</v>
      </c>
      <c r="Z499" s="30" t="n">
        <v>220303529670</v>
      </c>
      <c r="AA499" s="30" t="n">
        <v>6605852400</v>
      </c>
      <c r="AB499" s="30" t="n">
        <v>3501005942</v>
      </c>
      <c r="AC499" s="35" t="n">
        <v>0.02998523178405324</v>
      </c>
      <c r="AD499" s="24" t="inlineStr">
        <is>
          <t>yfinance_download</t>
        </is>
      </c>
      <c r="AE499" s="24" t="inlineStr">
        <is>
          <t>102120.KQ</t>
        </is>
      </c>
    </row>
    <row r="500" ht="24" customHeight="1">
      <c r="A500" s="29" t="inlineStr">
        <is>
          <t>2025-06-27</t>
        </is>
      </c>
      <c r="B500" s="31" t="n">
        <v>12600</v>
      </c>
      <c r="C500" s="31" t="n">
        <v>12600</v>
      </c>
      <c r="D500" s="31" t="n">
        <v>11980</v>
      </c>
      <c r="E500" s="31" t="n">
        <v>12110</v>
      </c>
      <c r="F500" s="31" t="n">
        <v>12110</v>
      </c>
      <c r="G500" s="31" t="n">
        <v>166994</v>
      </c>
      <c r="H500" s="36" t="n">
        <v>-0.02259887005649719</v>
      </c>
      <c r="I500" s="36" t="n">
        <v>-0.4653421633554083</v>
      </c>
      <c r="J500" s="31" t="n">
        <v>11707.5</v>
      </c>
      <c r="K500" s="31" t="n">
        <v>10628.66666666667</v>
      </c>
      <c r="L500" s="31" t="n">
        <v>10788.33333333333</v>
      </c>
      <c r="M500" s="36" t="n">
        <v>0.5061540879693367</v>
      </c>
      <c r="N500" s="36" t="n">
        <v>0.4992808474704738</v>
      </c>
      <c r="O500" s="36" t="n">
        <v>0.1566380133715377</v>
      </c>
      <c r="P500" s="36" t="n">
        <v>0.1500474833808167</v>
      </c>
      <c r="Q500" s="36" t="n">
        <v>0.5426751592356689</v>
      </c>
      <c r="R500" s="36" t="n">
        <v>0.03437967115097162</v>
      </c>
      <c r="S500" s="36" t="n">
        <v>0.1393715110079659</v>
      </c>
      <c r="T500" s="36" t="n">
        <v>0.1225088830526804</v>
      </c>
      <c r="U500" s="31" t="n">
        <v>18460</v>
      </c>
      <c r="V500" s="31" t="n">
        <v>6510</v>
      </c>
      <c r="W500" s="36" t="n">
        <v>-0.3439869989165764</v>
      </c>
      <c r="X500" s="36" t="n">
        <v>0.8602150537634408</v>
      </c>
      <c r="Y500" s="31" t="n">
        <v>17780753</v>
      </c>
      <c r="Z500" s="31" t="n">
        <v>215324918830</v>
      </c>
      <c r="AA500" s="31" t="n">
        <v>2022297340</v>
      </c>
      <c r="AB500" s="31" t="n">
        <v>3527328887.5</v>
      </c>
      <c r="AC500" s="36" t="n">
        <v>0.009391840716757046</v>
      </c>
      <c r="AD500" s="29" t="inlineStr">
        <is>
          <t>yfinance_download</t>
        </is>
      </c>
      <c r="AE500" s="29" t="inlineStr">
        <is>
          <t>102120.KQ</t>
        </is>
      </c>
    </row>
    <row r="501" ht="24" customHeight="1">
      <c r="A501" s="24" t="inlineStr">
        <is>
          <t>2025-06-30</t>
        </is>
      </c>
      <c r="B501" s="30" t="n">
        <v>12080</v>
      </c>
      <c r="C501" s="30" t="n">
        <v>12110</v>
      </c>
      <c r="D501" s="30" t="n">
        <v>11860</v>
      </c>
      <c r="E501" s="30" t="n">
        <v>11890</v>
      </c>
      <c r="F501" s="30" t="n">
        <v>11890</v>
      </c>
      <c r="G501" s="30" t="n">
        <v>113173</v>
      </c>
      <c r="H501" s="35" t="n">
        <v>-0.01816680429397188</v>
      </c>
      <c r="I501" s="35" t="n">
        <v>-0.4750551876379691</v>
      </c>
      <c r="J501" s="30" t="n">
        <v>11769</v>
      </c>
      <c r="K501" s="30" t="n">
        <v>10660.16666666667</v>
      </c>
      <c r="L501" s="30" t="n">
        <v>10823.41666666667</v>
      </c>
      <c r="M501" s="35" t="n">
        <v>0.5126574132339241</v>
      </c>
      <c r="N501" s="35" t="n">
        <v>0.4888997421732412</v>
      </c>
      <c r="O501" s="35" t="n">
        <v>0.1153846153846154</v>
      </c>
      <c r="P501" s="35" t="n">
        <v>0.1890000000000001</v>
      </c>
      <c r="Q501" s="35" t="n">
        <v>0.5481770833333333</v>
      </c>
      <c r="R501" s="35" t="n">
        <v>0.01028124734471914</v>
      </c>
      <c r="S501" s="35" t="n">
        <v>0.1153671768734073</v>
      </c>
      <c r="T501" s="35" t="n">
        <v>0.09854405186285908</v>
      </c>
      <c r="U501" s="30" t="n">
        <v>18460</v>
      </c>
      <c r="V501" s="30" t="n">
        <v>6510</v>
      </c>
      <c r="W501" s="35" t="n">
        <v>-0.3559046587215602</v>
      </c>
      <c r="X501" s="35" t="n">
        <v>0.8264208909370199</v>
      </c>
      <c r="Y501" s="30" t="n">
        <v>17780753</v>
      </c>
      <c r="Z501" s="30" t="n">
        <v>211413153170</v>
      </c>
      <c r="AA501" s="30" t="n">
        <v>1345626970</v>
      </c>
      <c r="AB501" s="30" t="n">
        <v>3524963659</v>
      </c>
      <c r="AC501" s="35" t="n">
        <v>0.006364916041519726</v>
      </c>
      <c r="AD501" s="24" t="inlineStr">
        <is>
          <t>yfinance_download</t>
        </is>
      </c>
      <c r="AE501" s="24" t="inlineStr">
        <is>
          <t>102120.KQ</t>
        </is>
      </c>
    </row>
    <row r="502" ht="24" customHeight="1">
      <c r="A502" s="29" t="inlineStr">
        <is>
          <t>2025-07-01</t>
        </is>
      </c>
      <c r="B502" s="31" t="n">
        <v>12090</v>
      </c>
      <c r="C502" s="31" t="n">
        <v>12090</v>
      </c>
      <c r="D502" s="31" t="n">
        <v>11810</v>
      </c>
      <c r="E502" s="31" t="n">
        <v>11820</v>
      </c>
      <c r="F502" s="31" t="n">
        <v>11820</v>
      </c>
      <c r="G502" s="31" t="n">
        <v>129812</v>
      </c>
      <c r="H502" s="36" t="n">
        <v>-0.005887300252312877</v>
      </c>
      <c r="I502" s="36" t="n">
        <v>-0.4781456953642385</v>
      </c>
      <c r="J502" s="31" t="n">
        <v>11844.5</v>
      </c>
      <c r="K502" s="31" t="n">
        <v>10685.83333333333</v>
      </c>
      <c r="L502" s="31" t="n">
        <v>10859.16666666667</v>
      </c>
      <c r="M502" s="36" t="n">
        <v>0.4942040137463529</v>
      </c>
      <c r="N502" s="36" t="n">
        <v>0.4865297926646192</v>
      </c>
      <c r="O502" s="36" t="n">
        <v>0.1464597478176528</v>
      </c>
      <c r="P502" s="36" t="n">
        <v>0.149805447470817</v>
      </c>
      <c r="Q502" s="36" t="n">
        <v>0.5697211155378485</v>
      </c>
      <c r="R502" s="36" t="n">
        <v>-0.002068470598167949</v>
      </c>
      <c r="S502" s="36" t="n">
        <v>0.1061374093425875</v>
      </c>
      <c r="T502" s="36" t="n">
        <v>0.08848131379019275</v>
      </c>
      <c r="U502" s="31" t="n">
        <v>18460</v>
      </c>
      <c r="V502" s="31" t="n">
        <v>6510</v>
      </c>
      <c r="W502" s="36" t="n">
        <v>-0.3596966413867823</v>
      </c>
      <c r="X502" s="36" t="n">
        <v>0.8156682027649769</v>
      </c>
      <c r="Y502" s="31" t="n">
        <v>17780753</v>
      </c>
      <c r="Z502" s="31" t="n">
        <v>210168500460</v>
      </c>
      <c r="AA502" s="31" t="n">
        <v>1534377840</v>
      </c>
      <c r="AB502" s="31" t="n">
        <v>3564093322</v>
      </c>
      <c r="AC502" s="36" t="n">
        <v>0.007300703181693149</v>
      </c>
      <c r="AD502" s="29" t="inlineStr">
        <is>
          <t>yfinance_download</t>
        </is>
      </c>
      <c r="AE502" s="29" t="inlineStr">
        <is>
          <t>102120.KQ</t>
        </is>
      </c>
    </row>
    <row r="503" ht="24" customHeight="1">
      <c r="A503" s="24" t="inlineStr">
        <is>
          <t>2025-07-02</t>
        </is>
      </c>
      <c r="B503" s="30" t="n">
        <v>11840</v>
      </c>
      <c r="C503" s="30" t="n">
        <v>12030</v>
      </c>
      <c r="D503" s="30" t="n">
        <v>11500</v>
      </c>
      <c r="E503" s="30" t="n">
        <v>11830</v>
      </c>
      <c r="F503" s="30" t="n">
        <v>11830</v>
      </c>
      <c r="G503" s="30" t="n">
        <v>191743</v>
      </c>
      <c r="H503" s="35" t="n">
        <v>0.0008460236886633776</v>
      </c>
      <c r="I503" s="35" t="n">
        <v>-0.4777041942604856</v>
      </c>
      <c r="J503" s="30" t="n">
        <v>11915</v>
      </c>
      <c r="K503" s="30" t="n">
        <v>10716.5</v>
      </c>
      <c r="L503" s="30" t="n">
        <v>10894.66666666667</v>
      </c>
      <c r="M503" s="35" t="n">
        <v>0.4945478356436525</v>
      </c>
      <c r="N503" s="35" t="n">
        <v>0.4822479672419052</v>
      </c>
      <c r="O503" s="35" t="n">
        <v>0.13531669865643</v>
      </c>
      <c r="P503" s="35" t="n">
        <v>0.1841841841841843</v>
      </c>
      <c r="Q503" s="35" t="n">
        <v>0.5627476882430646</v>
      </c>
      <c r="R503" s="35" t="n">
        <v>-0.007133864876206486</v>
      </c>
      <c r="S503" s="35" t="n">
        <v>0.1039051929267951</v>
      </c>
      <c r="T503" s="35" t="n">
        <v>0.08585240484640799</v>
      </c>
      <c r="U503" s="30" t="n">
        <v>18460</v>
      </c>
      <c r="V503" s="30" t="n">
        <v>6510</v>
      </c>
      <c r="W503" s="35" t="n">
        <v>-0.3591549295774648</v>
      </c>
      <c r="X503" s="35" t="n">
        <v>0.8172043010752688</v>
      </c>
      <c r="Y503" s="30" t="n">
        <v>17780753</v>
      </c>
      <c r="Z503" s="30" t="n">
        <v>210346307990</v>
      </c>
      <c r="AA503" s="30" t="n">
        <v>2268319690</v>
      </c>
      <c r="AB503" s="30" t="n">
        <v>3635693325.5</v>
      </c>
      <c r="AC503" s="35" t="n">
        <v>0.01078373902387599</v>
      </c>
      <c r="AD503" s="24" t="inlineStr">
        <is>
          <t>yfinance_download</t>
        </is>
      </c>
      <c r="AE503" s="24" t="inlineStr">
        <is>
          <t>102120.KQ</t>
        </is>
      </c>
    </row>
    <row r="504" ht="24" customHeight="1">
      <c r="A504" s="29" t="inlineStr">
        <is>
          <t>2025-07-03</t>
        </is>
      </c>
      <c r="B504" s="31" t="n">
        <v>12110</v>
      </c>
      <c r="C504" s="31" t="n">
        <v>12300</v>
      </c>
      <c r="D504" s="31" t="n">
        <v>11900</v>
      </c>
      <c r="E504" s="31" t="n">
        <v>12200</v>
      </c>
      <c r="F504" s="31" t="n">
        <v>12200</v>
      </c>
      <c r="G504" s="31" t="n">
        <v>281973</v>
      </c>
      <c r="H504" s="36" t="n">
        <v>0.03127641589180041</v>
      </c>
      <c r="I504" s="36" t="n">
        <v>-0.4613686534216336</v>
      </c>
      <c r="J504" s="31" t="n">
        <v>11974.5</v>
      </c>
      <c r="K504" s="31" t="n">
        <v>10755.16666666667</v>
      </c>
      <c r="L504" s="31" t="n">
        <v>10932.08333333333</v>
      </c>
      <c r="M504" s="36" t="n">
        <v>0.4681736806958691</v>
      </c>
      <c r="N504" s="36" t="n">
        <v>0.4846792586344181</v>
      </c>
      <c r="O504" s="36" t="n">
        <v>0.1080835603996366</v>
      </c>
      <c r="P504" s="36" t="n">
        <v>0.2348178137651822</v>
      </c>
      <c r="Q504" s="36" t="n">
        <v>0.5823605706874189</v>
      </c>
      <c r="R504" s="36" t="n">
        <v>0.01883168399515633</v>
      </c>
      <c r="S504" s="36" t="n">
        <v>0.13433853496769</v>
      </c>
      <c r="T504" s="36" t="n">
        <v>0.1159812478560811</v>
      </c>
      <c r="U504" s="31" t="n">
        <v>18460</v>
      </c>
      <c r="V504" s="31" t="n">
        <v>6510</v>
      </c>
      <c r="W504" s="36" t="n">
        <v>-0.3391115926327194</v>
      </c>
      <c r="X504" s="36" t="n">
        <v>0.8740399385560675</v>
      </c>
      <c r="Y504" s="31" t="n">
        <v>17780753</v>
      </c>
      <c r="Z504" s="31" t="n">
        <v>216925186600</v>
      </c>
      <c r="AA504" s="31" t="n">
        <v>3440070600</v>
      </c>
      <c r="AB504" s="31" t="n">
        <v>3677603246</v>
      </c>
      <c r="AC504" s="36" t="n">
        <v>0.01585832725981852</v>
      </c>
      <c r="AD504" s="29" t="inlineStr">
        <is>
          <t>yfinance_download</t>
        </is>
      </c>
      <c r="AE504" s="29" t="inlineStr">
        <is>
          <t>102120.KQ</t>
        </is>
      </c>
    </row>
    <row r="505" ht="24" customHeight="1">
      <c r="A505" s="24" t="inlineStr">
        <is>
          <t>2025-07-04</t>
        </is>
      </c>
      <c r="B505" s="30" t="n">
        <v>12400</v>
      </c>
      <c r="C505" s="30" t="n">
        <v>12400</v>
      </c>
      <c r="D505" s="30" t="n">
        <v>11810</v>
      </c>
      <c r="E505" s="30" t="n">
        <v>11820</v>
      </c>
      <c r="F505" s="30" t="n">
        <v>11820</v>
      </c>
      <c r="G505" s="30" t="n">
        <v>136572</v>
      </c>
      <c r="H505" s="35" t="n">
        <v>-0.0311475409836065</v>
      </c>
      <c r="I505" s="35" t="n">
        <v>-0.4781456953642385</v>
      </c>
      <c r="J505" s="30" t="n">
        <v>11970</v>
      </c>
      <c r="K505" s="30" t="n">
        <v>10789.5</v>
      </c>
      <c r="L505" s="30" t="n">
        <v>10962.66666666667</v>
      </c>
      <c r="M505" s="35" t="n">
        <v>0.3893527294352487</v>
      </c>
      <c r="N505" s="35" t="n">
        <v>0.4889248944812331</v>
      </c>
      <c r="O505" s="35" t="n">
        <v>-0.007556675062972307</v>
      </c>
      <c r="P505" s="35" t="n">
        <v>0.2110655737704918</v>
      </c>
      <c r="Q505" s="35" t="n">
        <v>0.4503067484662577</v>
      </c>
      <c r="R505" s="35" t="n">
        <v>-0.01253132832080206</v>
      </c>
      <c r="S505" s="35" t="n">
        <v>0.09550952314750449</v>
      </c>
      <c r="T505" s="35" t="n">
        <v>0.07820481634638776</v>
      </c>
      <c r="U505" s="30" t="n">
        <v>18460</v>
      </c>
      <c r="V505" s="30" t="n">
        <v>6510</v>
      </c>
      <c r="W505" s="35" t="n">
        <v>-0.3596966413867823</v>
      </c>
      <c r="X505" s="35" t="n">
        <v>0.8156682027649769</v>
      </c>
      <c r="Y505" s="30" t="n">
        <v>17780753</v>
      </c>
      <c r="Z505" s="30" t="n">
        <v>210168500460</v>
      </c>
      <c r="AA505" s="30" t="n">
        <v>1614281040</v>
      </c>
      <c r="AB505" s="30" t="n">
        <v>3360388119.5</v>
      </c>
      <c r="AC505" s="35" t="n">
        <v>0.00768088955512739</v>
      </c>
      <c r="AD505" s="24" t="inlineStr">
        <is>
          <t>yfinance_download</t>
        </is>
      </c>
      <c r="AE505" s="24" t="inlineStr">
        <is>
          <t>102120.KQ</t>
        </is>
      </c>
    </row>
    <row r="506" ht="24" customHeight="1">
      <c r="A506" s="29" t="inlineStr">
        <is>
          <t>2025-07-07</t>
        </is>
      </c>
      <c r="B506" s="31" t="n">
        <v>11750</v>
      </c>
      <c r="C506" s="31" t="n">
        <v>11880</v>
      </c>
      <c r="D506" s="31" t="n">
        <v>11670</v>
      </c>
      <c r="E506" s="31" t="n">
        <v>11680</v>
      </c>
      <c r="F506" s="31" t="n">
        <v>11680</v>
      </c>
      <c r="G506" s="31" t="n">
        <v>65482</v>
      </c>
      <c r="H506" s="36" t="n">
        <v>-0.01184433164128595</v>
      </c>
      <c r="I506" s="36" t="n">
        <v>-0.484326710816777</v>
      </c>
      <c r="J506" s="31" t="n">
        <v>11958</v>
      </c>
      <c r="K506" s="31" t="n">
        <v>10836.16666666667</v>
      </c>
      <c r="L506" s="31" t="n">
        <v>10988.66666666667</v>
      </c>
      <c r="M506" s="36" t="n">
        <v>0.3915458562203551</v>
      </c>
      <c r="N506" s="36" t="n">
        <v>0.4494867427144022</v>
      </c>
      <c r="O506" s="36" t="n">
        <v>-0.02013422818791943</v>
      </c>
      <c r="P506" s="36" t="n">
        <v>0.3153153153153154</v>
      </c>
      <c r="Q506" s="36" t="n">
        <v>0.3644859813084111</v>
      </c>
      <c r="R506" s="36" t="n">
        <v>-0.02324803478842619</v>
      </c>
      <c r="S506" s="36" t="n">
        <v>0.07787194118461338</v>
      </c>
      <c r="T506" s="36" t="n">
        <v>0.06291330461687816</v>
      </c>
      <c r="U506" s="31" t="n">
        <v>18460</v>
      </c>
      <c r="V506" s="31" t="n">
        <v>6510</v>
      </c>
      <c r="W506" s="36" t="n">
        <v>-0.3672806067172264</v>
      </c>
      <c r="X506" s="36" t="n">
        <v>0.7941628264208909</v>
      </c>
      <c r="Y506" s="31" t="n">
        <v>17780753</v>
      </c>
      <c r="Z506" s="31" t="n">
        <v>207679195040</v>
      </c>
      <c r="AA506" s="31" t="n">
        <v>764829760</v>
      </c>
      <c r="AB506" s="31" t="n">
        <v>3220607387.5</v>
      </c>
      <c r="AC506" s="36" t="n">
        <v>0.003682746169411385</v>
      </c>
      <c r="AD506" s="29" t="inlineStr">
        <is>
          <t>yfinance_download</t>
        </is>
      </c>
      <c r="AE506" s="29" t="inlineStr">
        <is>
          <t>102120.KQ</t>
        </is>
      </c>
    </row>
    <row r="507" ht="24" customHeight="1">
      <c r="A507" s="24" t="inlineStr">
        <is>
          <t>2025-07-08</t>
        </is>
      </c>
      <c r="B507" s="30" t="n">
        <v>11510</v>
      </c>
      <c r="C507" s="30" t="n">
        <v>11880</v>
      </c>
      <c r="D507" s="30" t="n">
        <v>11480</v>
      </c>
      <c r="E507" s="30" t="n">
        <v>11740</v>
      </c>
      <c r="F507" s="30" t="n">
        <v>11740</v>
      </c>
      <c r="G507" s="30" t="n">
        <v>91919</v>
      </c>
      <c r="H507" s="35" t="n">
        <v>0.005136986301369939</v>
      </c>
      <c r="I507" s="35" t="n">
        <v>-0.4816777041942605</v>
      </c>
      <c r="J507" s="30" t="n">
        <v>11960.5</v>
      </c>
      <c r="K507" s="30" t="n">
        <v>10882.83333333333</v>
      </c>
      <c r="L507" s="30" t="n">
        <v>11015</v>
      </c>
      <c r="M507" s="35" t="n">
        <v>0.3857421301882801</v>
      </c>
      <c r="N507" s="35" t="n">
        <v>0.4494714347835481</v>
      </c>
      <c r="O507" s="35" t="n">
        <v>0.004277159965782706</v>
      </c>
      <c r="P507" s="35" t="n">
        <v>0.3131991051454139</v>
      </c>
      <c r="Q507" s="35" t="n">
        <v>0.3682983682983683</v>
      </c>
      <c r="R507" s="35" t="n">
        <v>-0.01843568412691776</v>
      </c>
      <c r="S507" s="35" t="n">
        <v>0.07876318973306584</v>
      </c>
      <c r="T507" s="35" t="n">
        <v>0.06581933726736278</v>
      </c>
      <c r="U507" s="30" t="n">
        <v>18460</v>
      </c>
      <c r="V507" s="30" t="n">
        <v>6510</v>
      </c>
      <c r="W507" s="35" t="n">
        <v>-0.3640303358613218</v>
      </c>
      <c r="X507" s="35" t="n">
        <v>0.803379416282642</v>
      </c>
      <c r="Y507" s="30" t="n">
        <v>17780753</v>
      </c>
      <c r="Z507" s="30" t="n">
        <v>208746040220</v>
      </c>
      <c r="AA507" s="30" t="n">
        <v>1079129060</v>
      </c>
      <c r="AB507" s="30" t="n">
        <v>3185561441</v>
      </c>
      <c r="AC507" s="35" t="n">
        <v>0.005169578588713313</v>
      </c>
      <c r="AD507" s="24" t="inlineStr">
        <is>
          <t>yfinance_download</t>
        </is>
      </c>
      <c r="AE507" s="24" t="inlineStr">
        <is>
          <t>102120.KQ</t>
        </is>
      </c>
    </row>
    <row r="508" ht="24" customHeight="1">
      <c r="A508" s="29" t="inlineStr">
        <is>
          <t>2025-07-09</t>
        </is>
      </c>
      <c r="B508" s="31" t="n">
        <v>11740</v>
      </c>
      <c r="C508" s="31" t="n">
        <v>11740</v>
      </c>
      <c r="D508" s="31" t="n">
        <v>11430</v>
      </c>
      <c r="E508" s="31" t="n">
        <v>11620</v>
      </c>
      <c r="F508" s="31" t="n">
        <v>11620</v>
      </c>
      <c r="G508" s="31" t="n">
        <v>93841</v>
      </c>
      <c r="H508" s="36" t="n">
        <v>-0.010221465076661</v>
      </c>
      <c r="I508" s="36" t="n">
        <v>-0.4869757174392936</v>
      </c>
      <c r="J508" s="31" t="n">
        <v>11941</v>
      </c>
      <c r="K508" s="31" t="n">
        <v>10929.83333333333</v>
      </c>
      <c r="L508" s="31" t="n">
        <v>11038.08333333333</v>
      </c>
      <c r="M508" s="36" t="n">
        <v>0.3738955482218201</v>
      </c>
      <c r="N508" s="36" t="n">
        <v>0.4485441165523645</v>
      </c>
      <c r="O508" s="36" t="n">
        <v>-0.03247293921731886</v>
      </c>
      <c r="P508" s="36" t="n">
        <v>0.3204545454545455</v>
      </c>
      <c r="Q508" s="36" t="n">
        <v>0.3129943502824859</v>
      </c>
      <c r="R508" s="36" t="n">
        <v>-0.026882170672473</v>
      </c>
      <c r="S508" s="36" t="n">
        <v>0.06314521416916996</v>
      </c>
      <c r="T508" s="36" t="n">
        <v>0.05271899559857163</v>
      </c>
      <c r="U508" s="31" t="n">
        <v>18460</v>
      </c>
      <c r="V508" s="31" t="n">
        <v>6510</v>
      </c>
      <c r="W508" s="36" t="n">
        <v>-0.3705308775731311</v>
      </c>
      <c r="X508" s="36" t="n">
        <v>0.7849462365591398</v>
      </c>
      <c r="Y508" s="31" t="n">
        <v>17780753</v>
      </c>
      <c r="Z508" s="31" t="n">
        <v>206612349860</v>
      </c>
      <c r="AA508" s="31" t="n">
        <v>1090432420</v>
      </c>
      <c r="AB508" s="31" t="n">
        <v>3071656023</v>
      </c>
      <c r="AC508" s="36" t="n">
        <v>0.005277672998438255</v>
      </c>
      <c r="AD508" s="29" t="inlineStr">
        <is>
          <t>yfinance_download</t>
        </is>
      </c>
      <c r="AE508" s="29" t="inlineStr">
        <is>
          <t>102120.KQ</t>
        </is>
      </c>
    </row>
    <row r="509" ht="24" customHeight="1">
      <c r="A509" s="24" t="inlineStr">
        <is>
          <t>2025-07-10</t>
        </is>
      </c>
      <c r="B509" s="30" t="n">
        <v>11820</v>
      </c>
      <c r="C509" s="30" t="n">
        <v>12030</v>
      </c>
      <c r="D509" s="30" t="n">
        <v>11620</v>
      </c>
      <c r="E509" s="30" t="n">
        <v>11650</v>
      </c>
      <c r="F509" s="30" t="n">
        <v>11650</v>
      </c>
      <c r="G509" s="30" t="n">
        <v>114296</v>
      </c>
      <c r="H509" s="35" t="n">
        <v>0.002581755593803692</v>
      </c>
      <c r="I509" s="35" t="n">
        <v>-0.4856512141280354</v>
      </c>
      <c r="J509" s="30" t="n">
        <v>11922</v>
      </c>
      <c r="K509" s="30" t="n">
        <v>10965.66666666667</v>
      </c>
      <c r="L509" s="30" t="n">
        <v>11062.75</v>
      </c>
      <c r="M509" s="35" t="n">
        <v>0.3740089295357529</v>
      </c>
      <c r="N509" s="35" t="n">
        <v>0.4208080587161375</v>
      </c>
      <c r="O509" s="35" t="n">
        <v>-0.03158769742310885</v>
      </c>
      <c r="P509" s="35" t="n">
        <v>0.2263157894736842</v>
      </c>
      <c r="Q509" s="35" t="n">
        <v>0.3406214039125433</v>
      </c>
      <c r="R509" s="35" t="n">
        <v>-0.02281496393222615</v>
      </c>
      <c r="S509" s="35" t="n">
        <v>0.06240690640483937</v>
      </c>
      <c r="T509" s="35" t="n">
        <v>0.05308354613455069</v>
      </c>
      <c r="U509" s="30" t="n">
        <v>18460</v>
      </c>
      <c r="V509" s="30" t="n">
        <v>6510</v>
      </c>
      <c r="W509" s="35" t="n">
        <v>-0.3689057421451788</v>
      </c>
      <c r="X509" s="35" t="n">
        <v>0.7895545314900154</v>
      </c>
      <c r="Y509" s="30" t="n">
        <v>17780753</v>
      </c>
      <c r="Z509" s="30" t="n">
        <v>207145772450</v>
      </c>
      <c r="AA509" s="30" t="n">
        <v>1331548400</v>
      </c>
      <c r="AB509" s="30" t="n">
        <v>3025421516.5</v>
      </c>
      <c r="AC509" s="35" t="n">
        <v>0.00642807422160355</v>
      </c>
      <c r="AD509" s="24" t="inlineStr">
        <is>
          <t>yfinance_download</t>
        </is>
      </c>
      <c r="AE509" s="24" t="inlineStr">
        <is>
          <t>102120.KQ</t>
        </is>
      </c>
    </row>
    <row r="510" ht="24" customHeight="1">
      <c r="A510" s="29" t="inlineStr">
        <is>
          <t>2025-07-11</t>
        </is>
      </c>
      <c r="B510" s="31" t="n">
        <v>11710</v>
      </c>
      <c r="C510" s="31" t="n">
        <v>12000</v>
      </c>
      <c r="D510" s="31" t="n">
        <v>11690</v>
      </c>
      <c r="E510" s="31" t="n">
        <v>11790</v>
      </c>
      <c r="F510" s="31" t="n">
        <v>11790</v>
      </c>
      <c r="G510" s="31" t="n">
        <v>97288</v>
      </c>
      <c r="H510" s="36" t="n">
        <v>0.01201716738197423</v>
      </c>
      <c r="I510" s="36" t="n">
        <v>-0.4794701986754967</v>
      </c>
      <c r="J510" s="31" t="n">
        <v>11931</v>
      </c>
      <c r="K510" s="31" t="n">
        <v>11001.66666666667</v>
      </c>
      <c r="L510" s="31" t="n">
        <v>11089.58333333333</v>
      </c>
      <c r="M510" s="36" t="n">
        <v>0.3547411418110651</v>
      </c>
      <c r="N510" s="36" t="n">
        <v>0.4206537527067187</v>
      </c>
      <c r="O510" s="36" t="n">
        <v>0.01550387596899228</v>
      </c>
      <c r="P510" s="36" t="n">
        <v>0.2242990654205608</v>
      </c>
      <c r="Q510" s="36" t="n">
        <v>0.3757292882147025</v>
      </c>
      <c r="R510" s="36" t="n">
        <v>-0.0118179532310787</v>
      </c>
      <c r="S510" s="36" t="n">
        <v>0.0716558097257991</v>
      </c>
      <c r="T510" s="36" t="n">
        <v>0.06315987225248909</v>
      </c>
      <c r="U510" s="31" t="n">
        <v>18460</v>
      </c>
      <c r="V510" s="31" t="n">
        <v>6510</v>
      </c>
      <c r="W510" s="36" t="n">
        <v>-0.3613217768147345</v>
      </c>
      <c r="X510" s="36" t="n">
        <v>0.8110599078341014</v>
      </c>
      <c r="Y510" s="31" t="n">
        <v>17780753</v>
      </c>
      <c r="Z510" s="31" t="n">
        <v>209635077870</v>
      </c>
      <c r="AA510" s="31" t="n">
        <v>1147025520</v>
      </c>
      <c r="AB510" s="31" t="n">
        <v>2959697504.5</v>
      </c>
      <c r="AC510" s="36" t="n">
        <v>0.005471534304537047</v>
      </c>
      <c r="AD510" s="29" t="inlineStr">
        <is>
          <t>yfinance_download</t>
        </is>
      </c>
      <c r="AE510" s="29" t="inlineStr">
        <is>
          <t>102120.KQ</t>
        </is>
      </c>
    </row>
    <row r="511" ht="24" customHeight="1">
      <c r="A511" s="24" t="inlineStr">
        <is>
          <t>2025-07-14</t>
        </is>
      </c>
      <c r="B511" s="30" t="n">
        <v>11750</v>
      </c>
      <c r="C511" s="30" t="n">
        <v>12360</v>
      </c>
      <c r="D511" s="30" t="n">
        <v>11580</v>
      </c>
      <c r="E511" s="30" t="n">
        <v>11600</v>
      </c>
      <c r="F511" s="30" t="n">
        <v>11600</v>
      </c>
      <c r="G511" s="30" t="n">
        <v>74535</v>
      </c>
      <c r="H511" s="35" t="n">
        <v>-0.01611535199321457</v>
      </c>
      <c r="I511" s="35" t="n">
        <v>-0.4878587196467992</v>
      </c>
      <c r="J511" s="30" t="n">
        <v>11929</v>
      </c>
      <c r="K511" s="30" t="n">
        <v>11027.83333333333</v>
      </c>
      <c r="L511" s="30" t="n">
        <v>11117.16666666667</v>
      </c>
      <c r="M511" s="35" t="n">
        <v>0.359810721653068</v>
      </c>
      <c r="N511" s="35" t="n">
        <v>0.4150718382336021</v>
      </c>
      <c r="O511" s="35" t="n">
        <v>-0.003436426116838476</v>
      </c>
      <c r="P511" s="35" t="n">
        <v>0.156530408773679</v>
      </c>
      <c r="Q511" s="35" t="n">
        <v>0.3992762364294331</v>
      </c>
      <c r="R511" s="35" t="n">
        <v>-0.02757984743063124</v>
      </c>
      <c r="S511" s="35" t="n">
        <v>0.05188386960267199</v>
      </c>
      <c r="T511" s="35" t="n">
        <v>0.04343132992519072</v>
      </c>
      <c r="U511" s="30" t="n">
        <v>18460</v>
      </c>
      <c r="V511" s="30" t="n">
        <v>6510</v>
      </c>
      <c r="W511" s="35" t="n">
        <v>-0.371614301191766</v>
      </c>
      <c r="X511" s="35" t="n">
        <v>0.781874039938556</v>
      </c>
      <c r="Y511" s="30" t="n">
        <v>17780753</v>
      </c>
      <c r="Z511" s="30" t="n">
        <v>206256734800</v>
      </c>
      <c r="AA511" s="30" t="n">
        <v>864606000</v>
      </c>
      <c r="AB511" s="30" t="n">
        <v>2906642888.5</v>
      </c>
      <c r="AC511" s="35" t="n">
        <v>0.004191892210639223</v>
      </c>
      <c r="AD511" s="24" t="inlineStr">
        <is>
          <t>yfinance_download</t>
        </is>
      </c>
      <c r="AE511" s="24" t="inlineStr">
        <is>
          <t>102120.KQ</t>
        </is>
      </c>
    </row>
    <row r="512" ht="24" customHeight="1">
      <c r="A512" s="29" t="inlineStr">
        <is>
          <t>2025-07-15</t>
        </is>
      </c>
      <c r="B512" s="31" t="n">
        <v>11650</v>
      </c>
      <c r="C512" s="31" t="n">
        <v>11900</v>
      </c>
      <c r="D512" s="31" t="n">
        <v>11520</v>
      </c>
      <c r="E512" s="31" t="n">
        <v>11870</v>
      </c>
      <c r="F512" s="31" t="n">
        <v>11870</v>
      </c>
      <c r="G512" s="31" t="n">
        <v>100143</v>
      </c>
      <c r="H512" s="36" t="n">
        <v>0.02327586206896548</v>
      </c>
      <c r="I512" s="36" t="n">
        <v>-0.4759381898454746</v>
      </c>
      <c r="J512" s="31" t="n">
        <v>11931.5</v>
      </c>
      <c r="K512" s="31" t="n">
        <v>11056.16666666667</v>
      </c>
      <c r="L512" s="31" t="n">
        <v>11145.75</v>
      </c>
      <c r="M512" s="36" t="n">
        <v>0.3652706931914252</v>
      </c>
      <c r="N512" s="36" t="n">
        <v>0.4165822238639818</v>
      </c>
      <c r="O512" s="36" t="n">
        <v>0.004230118443316444</v>
      </c>
      <c r="P512" s="36" t="n">
        <v>0.1671583087512292</v>
      </c>
      <c r="Q512" s="36" t="n">
        <v>0.4063981042654028</v>
      </c>
      <c r="R512" s="36" t="n">
        <v>-0.005154423165570132</v>
      </c>
      <c r="S512" s="36" t="n">
        <v>0.07360899648763142</v>
      </c>
      <c r="T512" s="36" t="n">
        <v>0.0649799250835521</v>
      </c>
      <c r="U512" s="31" t="n">
        <v>18460</v>
      </c>
      <c r="V512" s="31" t="n">
        <v>6510</v>
      </c>
      <c r="W512" s="36" t="n">
        <v>-0.356988082340195</v>
      </c>
      <c r="X512" s="36" t="n">
        <v>0.8233486943164363</v>
      </c>
      <c r="Y512" s="31" t="n">
        <v>17780753</v>
      </c>
      <c r="Z512" s="31" t="n">
        <v>211057538110</v>
      </c>
      <c r="AA512" s="31" t="n">
        <v>1188697410</v>
      </c>
      <c r="AB512" s="31" t="n">
        <v>2792649400</v>
      </c>
      <c r="AC512" s="36" t="n">
        <v>0.005632101182666448</v>
      </c>
      <c r="AD512" s="29" t="inlineStr">
        <is>
          <t>yfinance_download</t>
        </is>
      </c>
      <c r="AE512" s="29" t="inlineStr">
        <is>
          <t>102120.KQ</t>
        </is>
      </c>
    </row>
    <row r="513" ht="24" customHeight="1">
      <c r="A513" s="24" t="inlineStr">
        <is>
          <t>2025-07-16</t>
        </is>
      </c>
      <c r="B513" s="30" t="n">
        <v>12010</v>
      </c>
      <c r="C513" s="30" t="n">
        <v>12100</v>
      </c>
      <c r="D513" s="30" t="n">
        <v>11760</v>
      </c>
      <c r="E513" s="30" t="n">
        <v>11850</v>
      </c>
      <c r="F513" s="30" t="n">
        <v>11850</v>
      </c>
      <c r="G513" s="30" t="n">
        <v>113503</v>
      </c>
      <c r="H513" s="35" t="n">
        <v>-0.001684919966301601</v>
      </c>
      <c r="I513" s="35" t="n">
        <v>-0.4768211920529801</v>
      </c>
      <c r="J513" s="30" t="n">
        <v>11924</v>
      </c>
      <c r="K513" s="30" t="n">
        <v>11088.83333333333</v>
      </c>
      <c r="L513" s="30" t="n">
        <v>11174.66666666667</v>
      </c>
      <c r="M513" s="35" t="n">
        <v>0.3611113646773658</v>
      </c>
      <c r="N513" s="35" t="n">
        <v>0.4118549023018813</v>
      </c>
      <c r="O513" s="35" t="n">
        <v>-0.01249999999999996</v>
      </c>
      <c r="P513" s="35" t="n">
        <v>0.1981799797775532</v>
      </c>
      <c r="Q513" s="35" t="n">
        <v>0.4140811455847255</v>
      </c>
      <c r="R513" s="35" t="n">
        <v>-0.006205971150620604</v>
      </c>
      <c r="S513" s="35" t="n">
        <v>0.06864262847008251</v>
      </c>
      <c r="T513" s="35" t="n">
        <v>0.06043431571411539</v>
      </c>
      <c r="U513" s="30" t="n">
        <v>18460</v>
      </c>
      <c r="V513" s="30" t="n">
        <v>6510</v>
      </c>
      <c r="W513" s="35" t="n">
        <v>-0.3580715059588299</v>
      </c>
      <c r="X513" s="35" t="n">
        <v>0.8202764976958525</v>
      </c>
      <c r="Y513" s="30" t="n">
        <v>17780753</v>
      </c>
      <c r="Z513" s="30" t="n">
        <v>210701923050</v>
      </c>
      <c r="AA513" s="30" t="n">
        <v>1345010550</v>
      </c>
      <c r="AB513" s="30" t="n">
        <v>2711812127.5</v>
      </c>
      <c r="AC513" s="35" t="n">
        <v>0.00638347543548915</v>
      </c>
      <c r="AD513" s="24" t="inlineStr">
        <is>
          <t>yfinance_download</t>
        </is>
      </c>
      <c r="AE513" s="24" t="inlineStr">
        <is>
          <t>102120.KQ</t>
        </is>
      </c>
    </row>
    <row r="514" ht="24" customHeight="1">
      <c r="A514" s="29" t="inlineStr">
        <is>
          <t>2025-07-17</t>
        </is>
      </c>
      <c r="B514" s="31" t="n">
        <v>11850</v>
      </c>
      <c r="C514" s="31" t="n">
        <v>11850</v>
      </c>
      <c r="D514" s="31" t="n">
        <v>11360</v>
      </c>
      <c r="E514" s="31" t="n">
        <v>11720</v>
      </c>
      <c r="F514" s="31" t="n">
        <v>11720</v>
      </c>
      <c r="G514" s="31" t="n">
        <v>110215</v>
      </c>
      <c r="H514" s="36" t="n">
        <v>-0.01097046413502112</v>
      </c>
      <c r="I514" s="36" t="n">
        <v>-0.482560706401766</v>
      </c>
      <c r="J514" s="31" t="n">
        <v>11910.5</v>
      </c>
      <c r="K514" s="31" t="n">
        <v>11114.66666666667</v>
      </c>
      <c r="L514" s="31" t="n">
        <v>11200.5</v>
      </c>
      <c r="M514" s="36" t="n">
        <v>0.3630657112499579</v>
      </c>
      <c r="N514" s="36" t="n">
        <v>0.4095452534662488</v>
      </c>
      <c r="O514" s="36" t="n">
        <v>-0.02251876563803168</v>
      </c>
      <c r="P514" s="36" t="n">
        <v>0.1524090462143559</v>
      </c>
      <c r="Q514" s="36" t="n">
        <v>0.3596287703016241</v>
      </c>
      <c r="R514" s="36" t="n">
        <v>-0.01599429075185765</v>
      </c>
      <c r="S514" s="36" t="n">
        <v>0.05446257197696736</v>
      </c>
      <c r="T514" s="36" t="n">
        <v>0.04638185795276994</v>
      </c>
      <c r="U514" s="31" t="n">
        <v>18460</v>
      </c>
      <c r="V514" s="31" t="n">
        <v>6510</v>
      </c>
      <c r="W514" s="36" t="n">
        <v>-0.3651137594799566</v>
      </c>
      <c r="X514" s="36" t="n">
        <v>0.8003072196620584</v>
      </c>
      <c r="Y514" s="31" t="n">
        <v>17780753</v>
      </c>
      <c r="Z514" s="31" t="n">
        <v>208390425160</v>
      </c>
      <c r="AA514" s="31" t="n">
        <v>1291719800</v>
      </c>
      <c r="AB514" s="31" t="n">
        <v>2631932406</v>
      </c>
      <c r="AC514" s="36" t="n">
        <v>0.006198556382848353</v>
      </c>
      <c r="AD514" s="29" t="inlineStr">
        <is>
          <t>yfinance_download</t>
        </is>
      </c>
      <c r="AE514" s="29" t="inlineStr">
        <is>
          <t>102120.KQ</t>
        </is>
      </c>
    </row>
    <row r="515" ht="24" customHeight="1">
      <c r="A515" s="24" t="inlineStr">
        <is>
          <t>2025-07-18</t>
        </is>
      </c>
      <c r="B515" s="30" t="n">
        <v>11700</v>
      </c>
      <c r="C515" s="30" t="n">
        <v>11760</v>
      </c>
      <c r="D515" s="30" t="n">
        <v>11470</v>
      </c>
      <c r="E515" s="30" t="n">
        <v>11470</v>
      </c>
      <c r="F515" s="30" t="n">
        <v>11470</v>
      </c>
      <c r="G515" s="30" t="n">
        <v>79009</v>
      </c>
      <c r="H515" s="35" t="n">
        <v>-0.02133105802047786</v>
      </c>
      <c r="I515" s="35" t="n">
        <v>-0.493598233995585</v>
      </c>
      <c r="J515" s="30" t="n">
        <v>11882.5</v>
      </c>
      <c r="K515" s="30" t="n">
        <v>11138.33333333333</v>
      </c>
      <c r="L515" s="30" t="n">
        <v>11225</v>
      </c>
      <c r="M515" s="35" t="n">
        <v>0.3697523482210257</v>
      </c>
      <c r="N515" s="35" t="n">
        <v>0.4114469842354305</v>
      </c>
      <c r="O515" s="35" t="n">
        <v>-0.0465502909393184</v>
      </c>
      <c r="P515" s="35" t="n">
        <v>0.1412935323383084</v>
      </c>
      <c r="Q515" s="35" t="n">
        <v>0.3446658851113715</v>
      </c>
      <c r="R515" s="35" t="n">
        <v>-0.03471491689459294</v>
      </c>
      <c r="S515" s="35" t="n">
        <v>0.02977704623671995</v>
      </c>
      <c r="T515" s="35" t="n">
        <v>0.02182628062360803</v>
      </c>
      <c r="U515" s="30" t="n">
        <v>18460</v>
      </c>
      <c r="V515" s="30" t="n">
        <v>6510</v>
      </c>
      <c r="W515" s="35" t="n">
        <v>-0.3786565547128927</v>
      </c>
      <c r="X515" s="35" t="n">
        <v>0.7619047619047619</v>
      </c>
      <c r="Y515" s="30" t="n">
        <v>17780753</v>
      </c>
      <c r="Z515" s="30" t="n">
        <v>203945236910</v>
      </c>
      <c r="AA515" s="30" t="n">
        <v>906233230</v>
      </c>
      <c r="AB515" s="30" t="n">
        <v>2595639765.5</v>
      </c>
      <c r="AC515" s="35" t="n">
        <v>0.004443512600394371</v>
      </c>
      <c r="AD515" s="24" t="inlineStr">
        <is>
          <t>yfinance_download</t>
        </is>
      </c>
      <c r="AE515" s="24" t="inlineStr">
        <is>
          <t>102120.KQ</t>
        </is>
      </c>
    </row>
    <row r="516" ht="24" customHeight="1">
      <c r="A516" s="29" t="inlineStr">
        <is>
          <t>2025-07-21</t>
        </is>
      </c>
      <c r="B516" s="31" t="n">
        <v>11500</v>
      </c>
      <c r="C516" s="31" t="n">
        <v>11560</v>
      </c>
      <c r="D516" s="31" t="n">
        <v>11400</v>
      </c>
      <c r="E516" s="31" t="n">
        <v>11410</v>
      </c>
      <c r="F516" s="31" t="n">
        <v>11410</v>
      </c>
      <c r="G516" s="31" t="n">
        <v>46291</v>
      </c>
      <c r="H516" s="36" t="n">
        <v>-0.005231037489102031</v>
      </c>
      <c r="I516" s="36" t="n">
        <v>-0.4962472406181015</v>
      </c>
      <c r="J516" s="31" t="n">
        <v>11871</v>
      </c>
      <c r="K516" s="31" t="n">
        <v>11161.33333333333</v>
      </c>
      <c r="L516" s="31" t="n">
        <v>11242</v>
      </c>
      <c r="M516" s="36" t="n">
        <v>0.3523960249665858</v>
      </c>
      <c r="N516" s="36" t="n">
        <v>0.4116526391993539</v>
      </c>
      <c r="O516" s="36" t="n">
        <v>-0.01975945017182135</v>
      </c>
      <c r="P516" s="36" t="n">
        <v>0.1375872382851446</v>
      </c>
      <c r="Q516" s="36" t="n">
        <v>0.2177161152614728</v>
      </c>
      <c r="R516" s="36" t="n">
        <v>-0.03883413360289778</v>
      </c>
      <c r="S516" s="36" t="n">
        <v>0.02227929757496105</v>
      </c>
      <c r="T516" s="36" t="n">
        <v>0.01494396014943966</v>
      </c>
      <c r="U516" s="31" t="n">
        <v>18460</v>
      </c>
      <c r="V516" s="31" t="n">
        <v>6510</v>
      </c>
      <c r="W516" s="36" t="n">
        <v>-0.3819068255687974</v>
      </c>
      <c r="X516" s="36" t="n">
        <v>0.7526881720430108</v>
      </c>
      <c r="Y516" s="31" t="n">
        <v>17780753</v>
      </c>
      <c r="Z516" s="31" t="n">
        <v>202878391730</v>
      </c>
      <c r="AA516" s="31" t="n">
        <v>528180310</v>
      </c>
      <c r="AB516" s="31" t="n">
        <v>2537988193</v>
      </c>
      <c r="AC516" s="36" t="n">
        <v>0.002603433049207759</v>
      </c>
      <c r="AD516" s="29" t="inlineStr">
        <is>
          <t>yfinance_download</t>
        </is>
      </c>
      <c r="AE516" s="29" t="inlineStr">
        <is>
          <t>102120.KQ</t>
        </is>
      </c>
    </row>
    <row r="517" ht="24" customHeight="1">
      <c r="A517" s="24" t="inlineStr">
        <is>
          <t>2025-07-22</t>
        </is>
      </c>
      <c r="B517" s="30" t="n">
        <v>11450</v>
      </c>
      <c r="C517" s="30" t="n">
        <v>11470</v>
      </c>
      <c r="D517" s="30" t="n">
        <v>11120</v>
      </c>
      <c r="E517" s="30" t="n">
        <v>11130</v>
      </c>
      <c r="F517" s="30" t="n">
        <v>11130</v>
      </c>
      <c r="G517" s="30" t="n">
        <v>74570</v>
      </c>
      <c r="H517" s="35" t="n">
        <v>-0.02453987730061347</v>
      </c>
      <c r="I517" s="35" t="n">
        <v>-0.5086092715231788</v>
      </c>
      <c r="J517" s="30" t="n">
        <v>11814.5</v>
      </c>
      <c r="K517" s="30" t="n">
        <v>11179.83333333333</v>
      </c>
      <c r="L517" s="30" t="n">
        <v>11259.91666666667</v>
      </c>
      <c r="M517" s="35" t="n">
        <v>0.298237346370302</v>
      </c>
      <c r="N517" s="35" t="n">
        <v>0.4153124102207009</v>
      </c>
      <c r="O517" s="35" t="n">
        <v>-0.09216965742251226</v>
      </c>
      <c r="P517" s="35" t="n">
        <v>0.1107784431137724</v>
      </c>
      <c r="Q517" s="35" t="n">
        <v>0.2394209354120267</v>
      </c>
      <c r="R517" s="35" t="n">
        <v>-0.0579372804604511</v>
      </c>
      <c r="S517" s="35" t="n">
        <v>-0.00445743079056049</v>
      </c>
      <c r="T517" s="35" t="n">
        <v>-0.01153797763452946</v>
      </c>
      <c r="U517" s="30" t="n">
        <v>18460</v>
      </c>
      <c r="V517" s="30" t="n">
        <v>6510</v>
      </c>
      <c r="W517" s="35" t="n">
        <v>-0.3970747562296858</v>
      </c>
      <c r="X517" s="35" t="n">
        <v>0.7096774193548387</v>
      </c>
      <c r="Y517" s="30" t="n">
        <v>17780753</v>
      </c>
      <c r="Z517" s="30" t="n">
        <v>197899780890</v>
      </c>
      <c r="AA517" s="30" t="n">
        <v>829964100</v>
      </c>
      <c r="AB517" s="30" t="n">
        <v>2350213977</v>
      </c>
      <c r="AC517" s="35" t="n">
        <v>0.004193860631211738</v>
      </c>
      <c r="AD517" s="24" t="inlineStr">
        <is>
          <t>yfinance_download</t>
        </is>
      </c>
      <c r="AE517" s="24" t="inlineStr">
        <is>
          <t>102120.KQ</t>
        </is>
      </c>
    </row>
    <row r="518" ht="24" customHeight="1">
      <c r="A518" s="29" t="inlineStr">
        <is>
          <t>2025-07-23</t>
        </is>
      </c>
      <c r="B518" s="31" t="n">
        <v>11140</v>
      </c>
      <c r="C518" s="31" t="n">
        <v>11180</v>
      </c>
      <c r="D518" s="31" t="n">
        <v>10850</v>
      </c>
      <c r="E518" s="31" t="n">
        <v>11100</v>
      </c>
      <c r="F518" s="31" t="n">
        <v>11100</v>
      </c>
      <c r="G518" s="31" t="n">
        <v>73387</v>
      </c>
      <c r="H518" s="36" t="n">
        <v>-0.002695417789757459</v>
      </c>
      <c r="I518" s="36" t="n">
        <v>-0.509933774834437</v>
      </c>
      <c r="J518" s="31" t="n">
        <v>11734.5</v>
      </c>
      <c r="K518" s="31" t="n">
        <v>11191.66666666667</v>
      </c>
      <c r="L518" s="31" t="n">
        <v>11276.16666666667</v>
      </c>
      <c r="M518" s="36" t="n">
        <v>0.2573044990921217</v>
      </c>
      <c r="N518" s="36" t="n">
        <v>0.4090050948553705</v>
      </c>
      <c r="O518" s="36" t="n">
        <v>-0.1259842519685039</v>
      </c>
      <c r="P518" s="36" t="n">
        <v>0.06833493743984609</v>
      </c>
      <c r="Q518" s="36" t="n">
        <v>0.2131147540983607</v>
      </c>
      <c r="R518" s="36" t="n">
        <v>-0.05407132813498661</v>
      </c>
      <c r="S518" s="36" t="n">
        <v>-0.008190618019359608</v>
      </c>
      <c r="T518" s="36" t="n">
        <v>-0.01562292150110112</v>
      </c>
      <c r="U518" s="31" t="n">
        <v>17420</v>
      </c>
      <c r="V518" s="31" t="n">
        <v>6510</v>
      </c>
      <c r="W518" s="36" t="n">
        <v>-0.3628013777267508</v>
      </c>
      <c r="X518" s="36" t="n">
        <v>0.7050691244239631</v>
      </c>
      <c r="Y518" s="31" t="n">
        <v>17780753</v>
      </c>
      <c r="Z518" s="31" t="n">
        <v>197366358300</v>
      </c>
      <c r="AA518" s="31" t="n">
        <v>814595700</v>
      </c>
      <c r="AB518" s="31" t="n">
        <v>1600639907</v>
      </c>
      <c r="AC518" s="36" t="n">
        <v>0.004127328015860745</v>
      </c>
      <c r="AD518" s="29" t="inlineStr">
        <is>
          <t>yfinance_download</t>
        </is>
      </c>
      <c r="AE518" s="29" t="inlineStr">
        <is>
          <t>102120.KQ</t>
        </is>
      </c>
    </row>
    <row r="519" ht="24" customHeight="1">
      <c r="A519" s="24" t="inlineStr">
        <is>
          <t>2025-07-24</t>
        </is>
      </c>
      <c r="B519" s="30" t="n">
        <v>11160</v>
      </c>
      <c r="C519" s="30" t="n">
        <v>11300</v>
      </c>
      <c r="D519" s="30" t="n">
        <v>10900</v>
      </c>
      <c r="E519" s="30" t="n">
        <v>10900</v>
      </c>
      <c r="F519" s="30" t="n">
        <v>10900</v>
      </c>
      <c r="G519" s="30" t="n">
        <v>57870</v>
      </c>
      <c r="H519" s="35" t="n">
        <v>-0.01801801801801806</v>
      </c>
      <c r="I519" s="35" t="n">
        <v>-0.5187637969094923</v>
      </c>
      <c r="J519" s="30" t="n">
        <v>11660</v>
      </c>
      <c r="K519" s="30" t="n">
        <v>11203.33333333333</v>
      </c>
      <c r="L519" s="30" t="n">
        <v>11291.75</v>
      </c>
      <c r="M519" s="35" t="n">
        <v>0.2523854696687878</v>
      </c>
      <c r="N519" s="35" t="n">
        <v>0.4089501342190151</v>
      </c>
      <c r="O519" s="35" t="n">
        <v>-0.1202582728006457</v>
      </c>
      <c r="P519" s="35" t="n">
        <v>0.06862745098039214</v>
      </c>
      <c r="Q519" s="35" t="n">
        <v>0.2070874861572536</v>
      </c>
      <c r="R519" s="35" t="n">
        <v>-0.065180102915952</v>
      </c>
      <c r="S519" s="35" t="n">
        <v>-0.02707527521570963</v>
      </c>
      <c r="T519" s="35" t="n">
        <v>-0.03469347089689379</v>
      </c>
      <c r="U519" s="30" t="n">
        <v>17420</v>
      </c>
      <c r="V519" s="30" t="n">
        <v>6510</v>
      </c>
      <c r="W519" s="35" t="n">
        <v>-0.3742824339839265</v>
      </c>
      <c r="X519" s="35" t="n">
        <v>0.674347158218126</v>
      </c>
      <c r="Y519" s="30" t="n">
        <v>17780753</v>
      </c>
      <c r="Z519" s="30" t="n">
        <v>193810207700</v>
      </c>
      <c r="AA519" s="30" t="n">
        <v>630783000</v>
      </c>
      <c r="AB519" s="30" t="n">
        <v>1301886437</v>
      </c>
      <c r="AC519" s="35" t="n">
        <v>0.003254642815183362</v>
      </c>
      <c r="AD519" s="24" t="inlineStr">
        <is>
          <t>yfinance_download</t>
        </is>
      </c>
      <c r="AE519" s="24" t="inlineStr">
        <is>
          <t>102120.KQ</t>
        </is>
      </c>
    </row>
    <row r="520" ht="24" customHeight="1">
      <c r="A520" s="29" t="inlineStr">
        <is>
          <t>2025-07-25</t>
        </is>
      </c>
      <c r="B520" s="31" t="n">
        <v>11030</v>
      </c>
      <c r="C520" s="31" t="n">
        <v>11040</v>
      </c>
      <c r="D520" s="31" t="n">
        <v>10860</v>
      </c>
      <c r="E520" s="31" t="n">
        <v>10900</v>
      </c>
      <c r="F520" s="31" t="n">
        <v>10900</v>
      </c>
      <c r="G520" s="31" t="n">
        <v>36974</v>
      </c>
      <c r="H520" s="36" t="n">
        <v>0</v>
      </c>
      <c r="I520" s="36" t="n">
        <v>-0.5187637969094923</v>
      </c>
      <c r="J520" s="31" t="n">
        <v>11599.5</v>
      </c>
      <c r="K520" s="31" t="n">
        <v>11209.66666666667</v>
      </c>
      <c r="L520" s="31" t="n">
        <v>11308.33333333333</v>
      </c>
      <c r="M520" s="36" t="n">
        <v>0.2456467486714453</v>
      </c>
      <c r="N520" s="36" t="n">
        <v>0.4041646646993904</v>
      </c>
      <c r="O520" s="36" t="n">
        <v>-0.09991742361684564</v>
      </c>
      <c r="P520" s="36" t="n">
        <v>0.03612167300380231</v>
      </c>
      <c r="Q520" s="36" t="n">
        <v>0.22334455667789</v>
      </c>
      <c r="R520" s="36" t="n">
        <v>-0.06030432346221815</v>
      </c>
      <c r="S520" s="36" t="n">
        <v>-0.02762496654673041</v>
      </c>
      <c r="T520" s="36" t="n">
        <v>-0.03610906411201187</v>
      </c>
      <c r="U520" s="31" t="n">
        <v>17420</v>
      </c>
      <c r="V520" s="31" t="n">
        <v>6510</v>
      </c>
      <c r="W520" s="36" t="n">
        <v>-0.3742824339839265</v>
      </c>
      <c r="X520" s="36" t="n">
        <v>0.674347158218126</v>
      </c>
      <c r="Y520" s="31" t="n">
        <v>17780753</v>
      </c>
      <c r="Z520" s="31" t="n">
        <v>193810207700</v>
      </c>
      <c r="AA520" s="31" t="n">
        <v>403016600</v>
      </c>
      <c r="AB520" s="31" t="n">
        <v>1220922400</v>
      </c>
      <c r="AC520" s="36" t="n">
        <v>0.002079439492804383</v>
      </c>
      <c r="AD520" s="29" t="inlineStr">
        <is>
          <t>yfinance_download</t>
        </is>
      </c>
      <c r="AE520" s="29" t="inlineStr">
        <is>
          <t>102120.KQ</t>
        </is>
      </c>
    </row>
    <row r="521" ht="24" customHeight="1">
      <c r="A521" s="24" t="inlineStr">
        <is>
          <t>2025-07-28</t>
        </is>
      </c>
      <c r="B521" s="30" t="n">
        <v>11080</v>
      </c>
      <c r="C521" s="30" t="n">
        <v>11660</v>
      </c>
      <c r="D521" s="30" t="n">
        <v>10930</v>
      </c>
      <c r="E521" s="30" t="n">
        <v>11590</v>
      </c>
      <c r="F521" s="30" t="n">
        <v>11590</v>
      </c>
      <c r="G521" s="30" t="n">
        <v>225313</v>
      </c>
      <c r="H521" s="35" t="n">
        <v>0.06330275229357807</v>
      </c>
      <c r="I521" s="35" t="n">
        <v>-0.4883002207505519</v>
      </c>
      <c r="J521" s="30" t="n">
        <v>11584.5</v>
      </c>
      <c r="K521" s="30" t="n">
        <v>11230.33333333333</v>
      </c>
      <c r="L521" s="30" t="n">
        <v>11335.41666666667</v>
      </c>
      <c r="M521" s="35" t="n">
        <v>0.3403107264461809</v>
      </c>
      <c r="N521" s="35" t="n">
        <v>0.4222383999223228</v>
      </c>
      <c r="O521" s="35" t="n">
        <v>-0.02523128679562658</v>
      </c>
      <c r="P521" s="35" t="n">
        <v>0.1198067632850242</v>
      </c>
      <c r="Q521" s="35" t="n">
        <v>0.3896882494004796</v>
      </c>
      <c r="R521" s="35" t="n">
        <v>0.0004747723250895231</v>
      </c>
      <c r="S521" s="35" t="n">
        <v>0.03202635718737934</v>
      </c>
      <c r="T521" s="35" t="n">
        <v>0.0224591067818416</v>
      </c>
      <c r="U521" s="30" t="n">
        <v>17420</v>
      </c>
      <c r="V521" s="30" t="n">
        <v>6510</v>
      </c>
      <c r="W521" s="35" t="n">
        <v>-0.3346727898966705</v>
      </c>
      <c r="X521" s="35" t="n">
        <v>0.7803379416282643</v>
      </c>
      <c r="Y521" s="30" t="n">
        <v>17780753</v>
      </c>
      <c r="Z521" s="30" t="n">
        <v>206078927270</v>
      </c>
      <c r="AA521" s="30" t="n">
        <v>2611377670</v>
      </c>
      <c r="AB521" s="30" t="n">
        <v>1284209935</v>
      </c>
      <c r="AC521" s="35" t="n">
        <v>0.01267173555585638</v>
      </c>
      <c r="AD521" s="24" t="inlineStr">
        <is>
          <t>yfinance_download</t>
        </is>
      </c>
      <c r="AE521" s="24" t="inlineStr">
        <is>
          <t>102120.KQ</t>
        </is>
      </c>
    </row>
    <row r="522" ht="24" customHeight="1">
      <c r="A522" s="29" t="inlineStr">
        <is>
          <t>2025-07-29</t>
        </is>
      </c>
      <c r="B522" s="31" t="n">
        <v>11540</v>
      </c>
      <c r="C522" s="31" t="n">
        <v>11550</v>
      </c>
      <c r="D522" s="31" t="n">
        <v>11150</v>
      </c>
      <c r="E522" s="31" t="n">
        <v>11260</v>
      </c>
      <c r="F522" s="31" t="n">
        <v>11260</v>
      </c>
      <c r="G522" s="31" t="n">
        <v>104831</v>
      </c>
      <c r="H522" s="36" t="n">
        <v>-0.02847282139775664</v>
      </c>
      <c r="I522" s="36" t="n">
        <v>-0.502869757174393</v>
      </c>
      <c r="J522" s="31" t="n">
        <v>11556.5</v>
      </c>
      <c r="K522" s="31" t="n">
        <v>11246.66666666667</v>
      </c>
      <c r="L522" s="31" t="n">
        <v>11359.75</v>
      </c>
      <c r="M522" s="36" t="n">
        <v>0.3537362264179533</v>
      </c>
      <c r="N522" s="36" t="n">
        <v>0.4265354907174924</v>
      </c>
      <c r="O522" s="36" t="n">
        <v>-0.04737732656514382</v>
      </c>
      <c r="P522" s="36" t="n">
        <v>0.095330739299611</v>
      </c>
      <c r="Q522" s="36" t="n">
        <v>0.3501199040767387</v>
      </c>
      <c r="R522" s="36" t="n">
        <v>-0.02565655691602131</v>
      </c>
      <c r="S522" s="36" t="n">
        <v>0.001185536455245995</v>
      </c>
      <c r="T522" s="36" t="n">
        <v>-0.008781003103061291</v>
      </c>
      <c r="U522" s="31" t="n">
        <v>17420</v>
      </c>
      <c r="V522" s="31" t="n">
        <v>6510</v>
      </c>
      <c r="W522" s="36" t="n">
        <v>-0.3536165327210103</v>
      </c>
      <c r="X522" s="36" t="n">
        <v>0.7296466973886329</v>
      </c>
      <c r="Y522" s="31" t="n">
        <v>17780753</v>
      </c>
      <c r="Z522" s="31" t="n">
        <v>200211278780</v>
      </c>
      <c r="AA522" s="31" t="n">
        <v>1180397060</v>
      </c>
      <c r="AB522" s="31" t="n">
        <v>1266510896</v>
      </c>
      <c r="AC522" s="36" t="n">
        <v>0.005895757058207827</v>
      </c>
      <c r="AD522" s="29" t="inlineStr">
        <is>
          <t>yfinance_download</t>
        </is>
      </c>
      <c r="AE522" s="29" t="inlineStr">
        <is>
          <t>102120.KQ</t>
        </is>
      </c>
    </row>
    <row r="523" ht="24" customHeight="1">
      <c r="A523" s="24" t="inlineStr">
        <is>
          <t>2025-07-30</t>
        </is>
      </c>
      <c r="B523" s="30" t="n">
        <v>11380</v>
      </c>
      <c r="C523" s="30" t="n">
        <v>12000</v>
      </c>
      <c r="D523" s="30" t="n">
        <v>11350</v>
      </c>
      <c r="E523" s="30" t="n">
        <v>11600</v>
      </c>
      <c r="F523" s="30" t="n">
        <v>11600</v>
      </c>
      <c r="G523" s="30" t="n">
        <v>165673</v>
      </c>
      <c r="H523" s="35" t="n">
        <v>0.03019538188277093</v>
      </c>
      <c r="I523" s="35" t="n">
        <v>-0.4878587196467992</v>
      </c>
      <c r="J523" s="30" t="n">
        <v>11545</v>
      </c>
      <c r="K523" s="30" t="n">
        <v>11273</v>
      </c>
      <c r="L523" s="30" t="n">
        <v>11384.58333333333</v>
      </c>
      <c r="M523" s="35" t="n">
        <v>0.3719513126002104</v>
      </c>
      <c r="N523" s="35" t="n">
        <v>0.4266029270385996</v>
      </c>
      <c r="O523" s="35" t="n">
        <v>-0.01944209636517324</v>
      </c>
      <c r="P523" s="35" t="n">
        <v>0.1576846307385229</v>
      </c>
      <c r="Q523" s="35" t="n">
        <v>0.345707656612529</v>
      </c>
      <c r="R523" s="35" t="n">
        <v>0.004763967085318344</v>
      </c>
      <c r="S523" s="35" t="n">
        <v>0.0290073627250953</v>
      </c>
      <c r="T523" s="35" t="n">
        <v>0.01892178750503226</v>
      </c>
      <c r="U523" s="30" t="n">
        <v>17280</v>
      </c>
      <c r="V523" s="30" t="n">
        <v>6510</v>
      </c>
      <c r="W523" s="35" t="n">
        <v>-0.3287037037037037</v>
      </c>
      <c r="X523" s="35" t="n">
        <v>0.781874039938556</v>
      </c>
      <c r="Y523" s="30" t="n">
        <v>17780753</v>
      </c>
      <c r="Z523" s="30" t="n">
        <v>206256734800</v>
      </c>
      <c r="AA523" s="30" t="n">
        <v>1921806800</v>
      </c>
      <c r="AB523" s="30" t="n">
        <v>1249185251.5</v>
      </c>
      <c r="AC523" s="35" t="n">
        <v>0.009317546900291568</v>
      </c>
      <c r="AD523" s="24" t="inlineStr">
        <is>
          <t>yfinance_download</t>
        </is>
      </c>
      <c r="AE523" s="24" t="inlineStr">
        <is>
          <t>102120.KQ</t>
        </is>
      </c>
    </row>
    <row r="524" ht="24" customHeight="1">
      <c r="A524" s="29" t="inlineStr">
        <is>
          <t>2025-07-31</t>
        </is>
      </c>
      <c r="B524" s="31" t="n">
        <v>12000</v>
      </c>
      <c r="C524" s="31" t="n">
        <v>12000</v>
      </c>
      <c r="D524" s="31" t="n">
        <v>11600</v>
      </c>
      <c r="E524" s="31" t="n">
        <v>11750</v>
      </c>
      <c r="F524" s="31" t="n">
        <v>11750</v>
      </c>
      <c r="G524" s="31" t="n">
        <v>150062</v>
      </c>
      <c r="H524" s="36" t="n">
        <v>0.01293103448275867</v>
      </c>
      <c r="I524" s="36" t="n">
        <v>-0.4812362030905077</v>
      </c>
      <c r="J524" s="31" t="n">
        <v>11522.5</v>
      </c>
      <c r="K524" s="31" t="n">
        <v>11300</v>
      </c>
      <c r="L524" s="31" t="n">
        <v>11399.16666666667</v>
      </c>
      <c r="M524" s="36" t="n">
        <v>0.3563925740779082</v>
      </c>
      <c r="N524" s="36" t="n">
        <v>0.4267817157167048</v>
      </c>
      <c r="O524" s="36" t="n">
        <v>-0.03688524590163933</v>
      </c>
      <c r="P524" s="36" t="n">
        <v>0.1599210266535045</v>
      </c>
      <c r="Q524" s="36" t="n">
        <v>0.175</v>
      </c>
      <c r="R524" s="36" t="n">
        <v>0.01974397917118687</v>
      </c>
      <c r="S524" s="36" t="n">
        <v>0.03982300884955747</v>
      </c>
      <c r="T524" s="36" t="n">
        <v>0.03077710358944374</v>
      </c>
      <c r="U524" s="31" t="n">
        <v>16520</v>
      </c>
      <c r="V524" s="31" t="n">
        <v>6510</v>
      </c>
      <c r="W524" s="36" t="n">
        <v>-0.2887409200968523</v>
      </c>
      <c r="X524" s="36" t="n">
        <v>0.8049155145929339</v>
      </c>
      <c r="Y524" s="31" t="n">
        <v>17780753</v>
      </c>
      <c r="Z524" s="31" t="n">
        <v>208923847750</v>
      </c>
      <c r="AA524" s="31" t="n">
        <v>1763228500</v>
      </c>
      <c r="AB524" s="31" t="n">
        <v>1165343146.5</v>
      </c>
      <c r="AC524" s="36" t="n">
        <v>0.008439575084362287</v>
      </c>
      <c r="AD524" s="29" t="inlineStr">
        <is>
          <t>yfinance_download</t>
        </is>
      </c>
      <c r="AE524" s="29" t="inlineStr">
        <is>
          <t>102120.KQ</t>
        </is>
      </c>
    </row>
    <row r="525" ht="24" customHeight="1">
      <c r="A525" s="24" t="inlineStr">
        <is>
          <t>2025-08-01</t>
        </is>
      </c>
      <c r="B525" s="30" t="n">
        <v>11550</v>
      </c>
      <c r="C525" s="30" t="n">
        <v>11610</v>
      </c>
      <c r="D525" s="30" t="n">
        <v>11030</v>
      </c>
      <c r="E525" s="30" t="n">
        <v>11080</v>
      </c>
      <c r="F525" s="30" t="n">
        <v>11080</v>
      </c>
      <c r="G525" s="30" t="n">
        <v>122915</v>
      </c>
      <c r="H525" s="35" t="n">
        <v>-0.05702127659574463</v>
      </c>
      <c r="I525" s="35" t="n">
        <v>-0.5108167770419426</v>
      </c>
      <c r="J525" s="30" t="n">
        <v>11485.5</v>
      </c>
      <c r="K525" s="30" t="n">
        <v>11313.16666666667</v>
      </c>
      <c r="L525" s="30" t="n">
        <v>11408.58333333333</v>
      </c>
      <c r="M525" s="35" t="n">
        <v>0.394590569640936</v>
      </c>
      <c r="N525" s="35" t="n">
        <v>0.4431077964479937</v>
      </c>
      <c r="O525" s="35" t="n">
        <v>-0.06260575296108295</v>
      </c>
      <c r="P525" s="35" t="n">
        <v>0.07677356656948486</v>
      </c>
      <c r="Q525" s="35" t="n">
        <v>0.1135678391959798</v>
      </c>
      <c r="R525" s="35" t="n">
        <v>-0.03530538505071612</v>
      </c>
      <c r="S525" s="35" t="n">
        <v>-0.02061020345025699</v>
      </c>
      <c r="T525" s="35" t="n">
        <v>-0.02880141413993853</v>
      </c>
      <c r="U525" s="30" t="n">
        <v>16090</v>
      </c>
      <c r="V525" s="30" t="n">
        <v>6510</v>
      </c>
      <c r="W525" s="35" t="n">
        <v>-0.3113735239279055</v>
      </c>
      <c r="X525" s="35" t="n">
        <v>0.7019969278033795</v>
      </c>
      <c r="Y525" s="30" t="n">
        <v>17780753</v>
      </c>
      <c r="Z525" s="30" t="n">
        <v>197010743240</v>
      </c>
      <c r="AA525" s="30" t="n">
        <v>1361898200</v>
      </c>
      <c r="AB525" s="30" t="n">
        <v>1152724004.5</v>
      </c>
      <c r="AC525" s="35" t="n">
        <v>0.006912811847732208</v>
      </c>
      <c r="AD525" s="24" t="inlineStr">
        <is>
          <t>yfinance_download</t>
        </is>
      </c>
      <c r="AE525" s="24" t="inlineStr">
        <is>
          <t>102120.KQ</t>
        </is>
      </c>
    </row>
    <row r="526" ht="24" customHeight="1">
      <c r="A526" s="29" t="inlineStr">
        <is>
          <t>2025-08-04</t>
        </is>
      </c>
      <c r="B526" s="31" t="n">
        <v>11010</v>
      </c>
      <c r="C526" s="31" t="n">
        <v>11230</v>
      </c>
      <c r="D526" s="31" t="n">
        <v>10870</v>
      </c>
      <c r="E526" s="31" t="n">
        <v>11070</v>
      </c>
      <c r="F526" s="31" t="n">
        <v>11070</v>
      </c>
      <c r="G526" s="31" t="n">
        <v>117345</v>
      </c>
      <c r="H526" s="36" t="n">
        <v>-0.0009025270758122872</v>
      </c>
      <c r="I526" s="36" t="n">
        <v>-0.5112582781456954</v>
      </c>
      <c r="J526" s="31" t="n">
        <v>11455</v>
      </c>
      <c r="K526" s="31" t="n">
        <v>11324.5</v>
      </c>
      <c r="L526" s="31" t="n">
        <v>11393.08333333333</v>
      </c>
      <c r="M526" s="36" t="n">
        <v>0.3932231005293942</v>
      </c>
      <c r="N526" s="36" t="n">
        <v>0.4428123895328654</v>
      </c>
      <c r="O526" s="36" t="n">
        <v>-0.05222602739726023</v>
      </c>
      <c r="P526" s="36" t="n">
        <v>0.06544754571703559</v>
      </c>
      <c r="Q526" s="36" t="n">
        <v>-0.1438515081206496</v>
      </c>
      <c r="R526" s="36" t="n">
        <v>-0.0336097773897861</v>
      </c>
      <c r="S526" s="36" t="n">
        <v>-0.02247339838403462</v>
      </c>
      <c r="T526" s="36" t="n">
        <v>-0.02835784869474911</v>
      </c>
      <c r="U526" s="31" t="n">
        <v>15760</v>
      </c>
      <c r="V526" s="31" t="n">
        <v>6510</v>
      </c>
      <c r="W526" s="36" t="n">
        <v>-0.2975888324873096</v>
      </c>
      <c r="X526" s="36" t="n">
        <v>0.7004608294930876</v>
      </c>
      <c r="Y526" s="31" t="n">
        <v>17780753</v>
      </c>
      <c r="Z526" s="31" t="n">
        <v>196832935710</v>
      </c>
      <c r="AA526" s="31" t="n">
        <v>1299009150</v>
      </c>
      <c r="AB526" s="31" t="n">
        <v>1179432974</v>
      </c>
      <c r="AC526" s="36" t="n">
        <v>0.006599551773763462</v>
      </c>
      <c r="AD526" s="29" t="inlineStr">
        <is>
          <t>yfinance_download</t>
        </is>
      </c>
      <c r="AE526" s="29" t="inlineStr">
        <is>
          <t>102120.KQ</t>
        </is>
      </c>
    </row>
    <row r="527" ht="24" customHeight="1">
      <c r="A527" s="24" t="inlineStr">
        <is>
          <t>2025-08-05</t>
        </is>
      </c>
      <c r="B527" s="30" t="n">
        <v>11160</v>
      </c>
      <c r="C527" s="30" t="n">
        <v>11350</v>
      </c>
      <c r="D527" s="30" t="n">
        <v>11000</v>
      </c>
      <c r="E527" s="30" t="n">
        <v>11050</v>
      </c>
      <c r="F527" s="30" t="n">
        <v>11050</v>
      </c>
      <c r="G527" s="30" t="n">
        <v>116944</v>
      </c>
      <c r="H527" s="35" t="n">
        <v>-0.001806684733513975</v>
      </c>
      <c r="I527" s="35" t="n">
        <v>-0.5121412803532008</v>
      </c>
      <c r="J527" s="30" t="n">
        <v>11420.5</v>
      </c>
      <c r="K527" s="30" t="n">
        <v>11339.66666666667</v>
      </c>
      <c r="L527" s="30" t="n">
        <v>11374.66666666667</v>
      </c>
      <c r="M527" s="35" t="n">
        <v>0.3922318863747105</v>
      </c>
      <c r="N527" s="35" t="n">
        <v>0.4396770316946179</v>
      </c>
      <c r="O527" s="35" t="n">
        <v>-0.05877342419080067</v>
      </c>
      <c r="P527" s="35" t="n">
        <v>0.08974358974358965</v>
      </c>
      <c r="Q527" s="35" t="n">
        <v>-0.1666666666666666</v>
      </c>
      <c r="R527" s="35" t="n">
        <v>-0.03244166192373366</v>
      </c>
      <c r="S527" s="35" t="n">
        <v>-0.02554454863458655</v>
      </c>
      <c r="T527" s="35" t="n">
        <v>-0.02854296096588904</v>
      </c>
      <c r="U527" s="30" t="n">
        <v>14790</v>
      </c>
      <c r="V527" s="30" t="n">
        <v>6510</v>
      </c>
      <c r="W527" s="35" t="n">
        <v>-0.2528735632183908</v>
      </c>
      <c r="X527" s="35" t="n">
        <v>0.6973886328725039</v>
      </c>
      <c r="Y527" s="30" t="n">
        <v>17780753</v>
      </c>
      <c r="Z527" s="30" t="n">
        <v>196477320650</v>
      </c>
      <c r="AA527" s="30" t="n">
        <v>1292231200</v>
      </c>
      <c r="AB527" s="30" t="n">
        <v>1190088081</v>
      </c>
      <c r="AC527" s="35" t="n">
        <v>0.006576999298061224</v>
      </c>
      <c r="AD527" s="24" t="inlineStr">
        <is>
          <t>yfinance_download</t>
        </is>
      </c>
      <c r="AE527" s="24" t="inlineStr">
        <is>
          <t>102120.KQ</t>
        </is>
      </c>
    </row>
    <row r="528" ht="24" customHeight="1">
      <c r="A528" s="29" t="inlineStr">
        <is>
          <t>2025-08-06</t>
        </is>
      </c>
      <c r="B528" s="31" t="n">
        <v>10960</v>
      </c>
      <c r="C528" s="31" t="n">
        <v>11070</v>
      </c>
      <c r="D528" s="31" t="n">
        <v>10800</v>
      </c>
      <c r="E528" s="31" t="n">
        <v>11040</v>
      </c>
      <c r="F528" s="31" t="n">
        <v>11040</v>
      </c>
      <c r="G528" s="31" t="n">
        <v>82880</v>
      </c>
      <c r="H528" s="36" t="n">
        <v>-0.0009049773755656076</v>
      </c>
      <c r="I528" s="36" t="n">
        <v>-0.5125827814569537</v>
      </c>
      <c r="J528" s="31" t="n">
        <v>11391.5</v>
      </c>
      <c r="K528" s="31" t="n">
        <v>11347.16666666667</v>
      </c>
      <c r="L528" s="31" t="n">
        <v>11357.91666666667</v>
      </c>
      <c r="M528" s="36" t="n">
        <v>0.391266449429995</v>
      </c>
      <c r="N528" s="36" t="n">
        <v>0.4306505820820601</v>
      </c>
      <c r="O528" s="36" t="n">
        <v>-0.04991394148020656</v>
      </c>
      <c r="P528" s="36" t="n">
        <v>0.04249291784702547</v>
      </c>
      <c r="Q528" s="36" t="n">
        <v>-0.1540229885057471</v>
      </c>
      <c r="R528" s="36" t="n">
        <v>-0.03085634025369788</v>
      </c>
      <c r="S528" s="36" t="n">
        <v>-0.0270698999750304</v>
      </c>
      <c r="T528" s="36" t="n">
        <v>-0.02799075534685791</v>
      </c>
      <c r="U528" s="31" t="n">
        <v>14750</v>
      </c>
      <c r="V528" s="31" t="n">
        <v>6510</v>
      </c>
      <c r="W528" s="36" t="n">
        <v>-0.2515254237288136</v>
      </c>
      <c r="X528" s="36" t="n">
        <v>0.695852534562212</v>
      </c>
      <c r="Y528" s="31" t="n">
        <v>17780753</v>
      </c>
      <c r="Z528" s="31" t="n">
        <v>196299513120</v>
      </c>
      <c r="AA528" s="31" t="n">
        <v>914995200</v>
      </c>
      <c r="AB528" s="31" t="n">
        <v>1181316220</v>
      </c>
      <c r="AC528" s="36" t="n">
        <v>0.004661219915714481</v>
      </c>
      <c r="AD528" s="29" t="inlineStr">
        <is>
          <t>yfinance_download</t>
        </is>
      </c>
      <c r="AE528" s="29" t="inlineStr">
        <is>
          <t>102120.KQ</t>
        </is>
      </c>
    </row>
    <row r="529" ht="24" customHeight="1">
      <c r="A529" s="24" t="inlineStr">
        <is>
          <t>2025-08-07</t>
        </is>
      </c>
      <c r="B529" s="30" t="n">
        <v>11160</v>
      </c>
      <c r="C529" s="30" t="n">
        <v>11240</v>
      </c>
      <c r="D529" s="30" t="n">
        <v>11050</v>
      </c>
      <c r="E529" s="30" t="n">
        <v>11090</v>
      </c>
      <c r="F529" s="30" t="n">
        <v>11090</v>
      </c>
      <c r="G529" s="30" t="n">
        <v>66100</v>
      </c>
      <c r="H529" s="35" t="n">
        <v>0.004528985507246341</v>
      </c>
      <c r="I529" s="35" t="n">
        <v>-0.5103752759381899</v>
      </c>
      <c r="J529" s="30" t="n">
        <v>11363.5</v>
      </c>
      <c r="K529" s="30" t="n">
        <v>11354.83333333333</v>
      </c>
      <c r="L529" s="30" t="n">
        <v>11346.58333333333</v>
      </c>
      <c r="M529" s="35" t="n">
        <v>0.3916475357599046</v>
      </c>
      <c r="N529" s="35" t="n">
        <v>0.4306736665751514</v>
      </c>
      <c r="O529" s="35" t="n">
        <v>-0.04806866952789701</v>
      </c>
      <c r="P529" s="35" t="n">
        <v>0.04327375352775165</v>
      </c>
      <c r="Q529" s="35" t="n">
        <v>-0.1092369477911647</v>
      </c>
      <c r="R529" s="35" t="n">
        <v>-0.02406828881946588</v>
      </c>
      <c r="S529" s="35" t="n">
        <v>-0.02332340119479226</v>
      </c>
      <c r="T529" s="35" t="n">
        <v>-0.02261326831131261</v>
      </c>
      <c r="U529" s="30" t="n">
        <v>14570</v>
      </c>
      <c r="V529" s="30" t="n">
        <v>6510</v>
      </c>
      <c r="W529" s="35" t="n">
        <v>-0.2388469457789979</v>
      </c>
      <c r="X529" s="35" t="n">
        <v>0.7035330261136712</v>
      </c>
      <c r="Y529" s="30" t="n">
        <v>17780753</v>
      </c>
      <c r="Z529" s="30" t="n">
        <v>197188550770</v>
      </c>
      <c r="AA529" s="30" t="n">
        <v>733049000</v>
      </c>
      <c r="AB529" s="30" t="n">
        <v>1151391250</v>
      </c>
      <c r="AC529" s="35" t="n">
        <v>0.003717502852663214</v>
      </c>
      <c r="AD529" s="24" t="inlineStr">
        <is>
          <t>yfinance_download</t>
        </is>
      </c>
      <c r="AE529" s="24" t="inlineStr">
        <is>
          <t>102120.KQ</t>
        </is>
      </c>
    </row>
    <row r="530" ht="24" customHeight="1">
      <c r="A530" s="29" t="inlineStr">
        <is>
          <t>2025-08-08</t>
        </is>
      </c>
      <c r="B530" s="31" t="n">
        <v>11120</v>
      </c>
      <c r="C530" s="31" t="n">
        <v>11480</v>
      </c>
      <c r="D530" s="31" t="n">
        <v>11100</v>
      </c>
      <c r="E530" s="31" t="n">
        <v>11260</v>
      </c>
      <c r="F530" s="31" t="n">
        <v>11260</v>
      </c>
      <c r="G530" s="31" t="n">
        <v>150988</v>
      </c>
      <c r="H530" s="36" t="n">
        <v>0.01532912533814246</v>
      </c>
      <c r="I530" s="36" t="n">
        <v>-0.502869757174393</v>
      </c>
      <c r="J530" s="31" t="n">
        <v>11337</v>
      </c>
      <c r="K530" s="31" t="n">
        <v>11361.5</v>
      </c>
      <c r="L530" s="31" t="n">
        <v>11331.83333333333</v>
      </c>
      <c r="M530" s="36" t="n">
        <v>0.3934114798488496</v>
      </c>
      <c r="N530" s="36" t="n">
        <v>0.4295792756986745</v>
      </c>
      <c r="O530" s="36" t="n">
        <v>-0.04495335029686176</v>
      </c>
      <c r="P530" s="36" t="n">
        <v>0.03683241252302016</v>
      </c>
      <c r="Q530" s="36" t="n">
        <v>-0.13584036838066</v>
      </c>
      <c r="R530" s="36" t="n">
        <v>-0.006791920261091988</v>
      </c>
      <c r="S530" s="36" t="n">
        <v>-0.008933679531751948</v>
      </c>
      <c r="T530" s="36" t="n">
        <v>-0.006339074289244184</v>
      </c>
      <c r="U530" s="31" t="n">
        <v>14570</v>
      </c>
      <c r="V530" s="31" t="n">
        <v>6510</v>
      </c>
      <c r="W530" s="36" t="n">
        <v>-0.2271791352093342</v>
      </c>
      <c r="X530" s="36" t="n">
        <v>0.7296466973886329</v>
      </c>
      <c r="Y530" s="31" t="n">
        <v>17780753</v>
      </c>
      <c r="Z530" s="31" t="n">
        <v>200211278780</v>
      </c>
      <c r="AA530" s="31" t="n">
        <v>1700124880</v>
      </c>
      <c r="AB530" s="31" t="n">
        <v>1179046218</v>
      </c>
      <c r="AC530" s="36" t="n">
        <v>0.008491653868652244</v>
      </c>
      <c r="AD530" s="29" t="inlineStr">
        <is>
          <t>yfinance_download</t>
        </is>
      </c>
      <c r="AE530" s="29" t="inlineStr">
        <is>
          <t>102120.KQ</t>
        </is>
      </c>
    </row>
    <row r="531" ht="24" customHeight="1">
      <c r="A531" s="24" t="inlineStr">
        <is>
          <t>2025-08-11</t>
        </is>
      </c>
      <c r="B531" s="30" t="n">
        <v>11470</v>
      </c>
      <c r="C531" s="30" t="n">
        <v>11480</v>
      </c>
      <c r="D531" s="30" t="n">
        <v>11250</v>
      </c>
      <c r="E531" s="30" t="n">
        <v>11290</v>
      </c>
      <c r="F531" s="30" t="n">
        <v>11290</v>
      </c>
      <c r="G531" s="30" t="n">
        <v>66114</v>
      </c>
      <c r="H531" s="35" t="n">
        <v>0.002664298401420906</v>
      </c>
      <c r="I531" s="35" t="n">
        <v>-0.5015452538631346</v>
      </c>
      <c r="J531" s="30" t="n">
        <v>11321.5</v>
      </c>
      <c r="K531" s="30" t="n">
        <v>11372.33333333333</v>
      </c>
      <c r="L531" s="30" t="n">
        <v>11311.41666666667</v>
      </c>
      <c r="M531" s="35" t="n">
        <v>0.3901127256725813</v>
      </c>
      <c r="N531" s="35" t="n">
        <v>0.4273064644848139</v>
      </c>
      <c r="O531" s="35" t="n">
        <v>-0.02672413793103445</v>
      </c>
      <c r="P531" s="35" t="n">
        <v>0.06109022556390986</v>
      </c>
      <c r="Q531" s="35" t="n">
        <v>-0.1783114992721979</v>
      </c>
      <c r="R531" s="35" t="n">
        <v>-0.002782316830808651</v>
      </c>
      <c r="S531" s="35" t="n">
        <v>-0.007239792478822893</v>
      </c>
      <c r="T531" s="35" t="n">
        <v>-0.001893367320627282</v>
      </c>
      <c r="U531" s="30" t="n">
        <v>14570</v>
      </c>
      <c r="V531" s="30" t="n">
        <v>6510</v>
      </c>
      <c r="W531" s="35" t="n">
        <v>-0.2251201098146877</v>
      </c>
      <c r="X531" s="35" t="n">
        <v>0.7342549923195085</v>
      </c>
      <c r="Y531" s="30" t="n">
        <v>17780753</v>
      </c>
      <c r="Z531" s="30" t="n">
        <v>200744701370</v>
      </c>
      <c r="AA531" s="30" t="n">
        <v>746427060</v>
      </c>
      <c r="AB531" s="30" t="n">
        <v>1173137271</v>
      </c>
      <c r="AC531" s="35" t="n">
        <v>0.00371829022089222</v>
      </c>
      <c r="AD531" s="24" t="inlineStr">
        <is>
          <t>yfinance_download</t>
        </is>
      </c>
      <c r="AE531" s="24" t="inlineStr">
        <is>
          <t>102120.KQ</t>
        </is>
      </c>
    </row>
    <row r="532" ht="24" customHeight="1">
      <c r="A532" s="29" t="inlineStr">
        <is>
          <t>2025-08-12</t>
        </is>
      </c>
      <c r="B532" s="31" t="n">
        <v>11280</v>
      </c>
      <c r="C532" s="31" t="n">
        <v>11500</v>
      </c>
      <c r="D532" s="31" t="n">
        <v>11200</v>
      </c>
      <c r="E532" s="31" t="n">
        <v>11210</v>
      </c>
      <c r="F532" s="31" t="n">
        <v>11210</v>
      </c>
      <c r="G532" s="31" t="n">
        <v>66094</v>
      </c>
      <c r="H532" s="36" t="n">
        <v>-0.007085916740478315</v>
      </c>
      <c r="I532" s="36" t="n">
        <v>-0.5050772626931568</v>
      </c>
      <c r="J532" s="31" t="n">
        <v>11288.5</v>
      </c>
      <c r="K532" s="31" t="n">
        <v>11385.33333333333</v>
      </c>
      <c r="L532" s="31" t="n">
        <v>11289.66666666667</v>
      </c>
      <c r="M532" s="36" t="n">
        <v>0.3797330909709885</v>
      </c>
      <c r="N532" s="36" t="n">
        <v>0.4254235742152728</v>
      </c>
      <c r="O532" s="36" t="n">
        <v>-0.05560235888795284</v>
      </c>
      <c r="P532" s="36" t="n">
        <v>0.07478427612655802</v>
      </c>
      <c r="Q532" s="36" t="n">
        <v>-0.1888567293777135</v>
      </c>
      <c r="R532" s="36" t="n">
        <v>-0.00695397971386813</v>
      </c>
      <c r="S532" s="36" t="n">
        <v>-0.01539992973416093</v>
      </c>
      <c r="T532" s="36" t="n">
        <v>-0.00705660043107259</v>
      </c>
      <c r="U532" s="31" t="n">
        <v>14570</v>
      </c>
      <c r="V532" s="31" t="n">
        <v>6510</v>
      </c>
      <c r="W532" s="36" t="n">
        <v>-0.2306108442004118</v>
      </c>
      <c r="X532" s="36" t="n">
        <v>0.7219662058371736</v>
      </c>
      <c r="Y532" s="31" t="n">
        <v>17780753</v>
      </c>
      <c r="Z532" s="31" t="n">
        <v>199322241130</v>
      </c>
      <c r="AA532" s="31" t="n">
        <v>740913740</v>
      </c>
      <c r="AB532" s="31" t="n">
        <v>1150748087.5</v>
      </c>
      <c r="AC532" s="36" t="n">
        <v>0.003717165409136497</v>
      </c>
      <c r="AD532" s="29" t="inlineStr">
        <is>
          <t>yfinance_download</t>
        </is>
      </c>
      <c r="AE532" s="29" t="inlineStr">
        <is>
          <t>102120.KQ</t>
        </is>
      </c>
    </row>
    <row r="533" ht="24" customHeight="1">
      <c r="A533" s="24" t="inlineStr">
        <is>
          <t>2025-08-13</t>
        </is>
      </c>
      <c r="B533" s="30" t="n">
        <v>11440</v>
      </c>
      <c r="C533" s="30" t="n">
        <v>11520</v>
      </c>
      <c r="D533" s="30" t="n">
        <v>11200</v>
      </c>
      <c r="E533" s="30" t="n">
        <v>11400</v>
      </c>
      <c r="F533" s="30" t="n">
        <v>11400</v>
      </c>
      <c r="G533" s="30" t="n">
        <v>76418</v>
      </c>
      <c r="H533" s="35" t="n">
        <v>0.01694915254237284</v>
      </c>
      <c r="I533" s="35" t="n">
        <v>-0.4966887417218543</v>
      </c>
      <c r="J533" s="30" t="n">
        <v>11266</v>
      </c>
      <c r="K533" s="30" t="n">
        <v>11406.16666666667</v>
      </c>
      <c r="L533" s="30" t="n">
        <v>11266.33333333333</v>
      </c>
      <c r="M533" s="35" t="n">
        <v>0.3860278961871197</v>
      </c>
      <c r="N533" s="35" t="n">
        <v>0.4223945620883102</v>
      </c>
      <c r="O533" s="35" t="n">
        <v>-0.03797468354430378</v>
      </c>
      <c r="P533" s="35" t="n">
        <v>0.1231527093596059</v>
      </c>
      <c r="Q533" s="35" t="n">
        <v>-0.1971830985915493</v>
      </c>
      <c r="R533" s="35" t="n">
        <v>0.01189419492277644</v>
      </c>
      <c r="S533" s="35" t="n">
        <v>-0.0005406432193111321</v>
      </c>
      <c r="T533" s="35" t="n">
        <v>0.01186425633894483</v>
      </c>
      <c r="U533" s="30" t="n">
        <v>14570</v>
      </c>
      <c r="V533" s="30" t="n">
        <v>6510</v>
      </c>
      <c r="W533" s="35" t="n">
        <v>-0.2175703500343171</v>
      </c>
      <c r="X533" s="35" t="n">
        <v>0.7511520737327189</v>
      </c>
      <c r="Y533" s="30" t="n">
        <v>17780753</v>
      </c>
      <c r="Z533" s="30" t="n">
        <v>202700584200</v>
      </c>
      <c r="AA533" s="30" t="n">
        <v>871165200</v>
      </c>
      <c r="AB533" s="30" t="n">
        <v>1127055820</v>
      </c>
      <c r="AC533" s="35" t="n">
        <v>0.004297793237440507</v>
      </c>
      <c r="AD533" s="24" t="inlineStr">
        <is>
          <t>yfinance_download</t>
        </is>
      </c>
      <c r="AE533" s="24" t="inlineStr">
        <is>
          <t>102120.KQ</t>
        </is>
      </c>
    </row>
    <row r="534" ht="24" customHeight="1">
      <c r="A534" s="29" t="inlineStr">
        <is>
          <t>2025-08-14</t>
        </is>
      </c>
      <c r="B534" s="31" t="n">
        <v>11450</v>
      </c>
      <c r="C534" s="31" t="n">
        <v>11470</v>
      </c>
      <c r="D534" s="31" t="n">
        <v>11210</v>
      </c>
      <c r="E534" s="31" t="n">
        <v>11270</v>
      </c>
      <c r="F534" s="31" t="n">
        <v>11270</v>
      </c>
      <c r="G534" s="31" t="n">
        <v>32140</v>
      </c>
      <c r="H534" s="36" t="n">
        <v>-0.01140350877192986</v>
      </c>
      <c r="I534" s="36" t="n">
        <v>-0.5024282560706401</v>
      </c>
      <c r="J534" s="31" t="n">
        <v>11243.5</v>
      </c>
      <c r="K534" s="31" t="n">
        <v>11419</v>
      </c>
      <c r="L534" s="31" t="n">
        <v>11238.83333333333</v>
      </c>
      <c r="M534" s="36" t="n">
        <v>0.3861695467229352</v>
      </c>
      <c r="N534" s="36" t="n">
        <v>0.4178972978595717</v>
      </c>
      <c r="O534" s="36" t="n">
        <v>-0.03839590443686003</v>
      </c>
      <c r="P534" s="36" t="n">
        <v>0.07333333333333325</v>
      </c>
      <c r="Q534" s="36" t="n">
        <v>-0.2264927934111187</v>
      </c>
      <c r="R534" s="36" t="n">
        <v>0.002356917330012864</v>
      </c>
      <c r="S534" s="36" t="n">
        <v>-0.01304842805849904</v>
      </c>
      <c r="T534" s="36" t="n">
        <v>0.002773122951670537</v>
      </c>
      <c r="U534" s="31" t="n">
        <v>14570</v>
      </c>
      <c r="V534" s="31" t="n">
        <v>6510</v>
      </c>
      <c r="W534" s="36" t="n">
        <v>-0.2264927934111187</v>
      </c>
      <c r="X534" s="36" t="n">
        <v>0.7311827956989247</v>
      </c>
      <c r="Y534" s="31" t="n">
        <v>17780753</v>
      </c>
      <c r="Z534" s="31" t="n">
        <v>200389086310</v>
      </c>
      <c r="AA534" s="31" t="n">
        <v>362217800</v>
      </c>
      <c r="AB534" s="31" t="n">
        <v>1080580720</v>
      </c>
      <c r="AC534" s="36" t="n">
        <v>0.001807572491446228</v>
      </c>
      <c r="AD534" s="29" t="inlineStr">
        <is>
          <t>yfinance_download</t>
        </is>
      </c>
      <c r="AE534" s="29" t="inlineStr">
        <is>
          <t>102120.KQ</t>
        </is>
      </c>
    </row>
    <row r="535" ht="24" customHeight="1">
      <c r="A535" s="24" t="inlineStr">
        <is>
          <t>2025-08-18</t>
        </is>
      </c>
      <c r="B535" s="30" t="n">
        <v>11100</v>
      </c>
      <c r="C535" s="30" t="n">
        <v>11190</v>
      </c>
      <c r="D535" s="30" t="n">
        <v>10810</v>
      </c>
      <c r="E535" s="30" t="n">
        <v>10820</v>
      </c>
      <c r="F535" s="30" t="n">
        <v>10820</v>
      </c>
      <c r="G535" s="30" t="n">
        <v>74448</v>
      </c>
      <c r="H535" s="35" t="n">
        <v>-0.03992901508429458</v>
      </c>
      <c r="I535" s="35" t="n">
        <v>-0.5222958057395144</v>
      </c>
      <c r="J535" s="30" t="n">
        <v>11211</v>
      </c>
      <c r="K535" s="30" t="n">
        <v>11427.83333333333</v>
      </c>
      <c r="L535" s="30" t="n">
        <v>11217.33333333333</v>
      </c>
      <c r="M535" s="35" t="n">
        <v>0.4039576445496275</v>
      </c>
      <c r="N535" s="35" t="n">
        <v>0.4242277844476387</v>
      </c>
      <c r="O535" s="35" t="n">
        <v>-0.05666957279860507</v>
      </c>
      <c r="P535" s="35" t="n">
        <v>0.05150631681243922</v>
      </c>
      <c r="Q535" s="35" t="n">
        <v>-0.1925373134328359</v>
      </c>
      <c r="R535" s="35" t="n">
        <v>-0.03487646061903482</v>
      </c>
      <c r="S535" s="35" t="n">
        <v>-0.05318885178001087</v>
      </c>
      <c r="T535" s="35" t="n">
        <v>-0.03542137168667547</v>
      </c>
      <c r="U535" s="30" t="n">
        <v>14570</v>
      </c>
      <c r="V535" s="30" t="n">
        <v>6510</v>
      </c>
      <c r="W535" s="35" t="n">
        <v>-0.2573781743308168</v>
      </c>
      <c r="X535" s="35" t="n">
        <v>0.6620583717357911</v>
      </c>
      <c r="Y535" s="30" t="n">
        <v>17780753</v>
      </c>
      <c r="Z535" s="30" t="n">
        <v>192387747460</v>
      </c>
      <c r="AA535" s="30" t="n">
        <v>805527360</v>
      </c>
      <c r="AB535" s="30" t="n">
        <v>1075545426.5</v>
      </c>
      <c r="AC535" s="35" t="n">
        <v>0.00418699927950183</v>
      </c>
      <c r="AD535" s="24" t="inlineStr">
        <is>
          <t>yfinance_download</t>
        </is>
      </c>
      <c r="AE535" s="24" t="inlineStr">
        <is>
          <t>102120.KQ</t>
        </is>
      </c>
    </row>
    <row r="536" ht="24" customHeight="1">
      <c r="A536" s="29" t="inlineStr">
        <is>
          <t>2025-08-19</t>
        </is>
      </c>
      <c r="B536" s="31" t="n">
        <v>10820</v>
      </c>
      <c r="C536" s="31" t="n">
        <v>10890</v>
      </c>
      <c r="D536" s="31" t="n">
        <v>10510</v>
      </c>
      <c r="E536" s="31" t="n">
        <v>10520</v>
      </c>
      <c r="F536" s="31" t="n">
        <v>10520</v>
      </c>
      <c r="G536" s="31" t="n">
        <v>62980</v>
      </c>
      <c r="H536" s="36" t="n">
        <v>-0.02772643253234752</v>
      </c>
      <c r="I536" s="36" t="n">
        <v>-0.5355408388520971</v>
      </c>
      <c r="J536" s="31" t="n">
        <v>11166.5</v>
      </c>
      <c r="K536" s="31" t="n">
        <v>11435.16666666667</v>
      </c>
      <c r="L536" s="31" t="n">
        <v>11196</v>
      </c>
      <c r="M536" s="36" t="n">
        <v>0.413672114207017</v>
      </c>
      <c r="N536" s="36" t="n">
        <v>0.4260798133806654</v>
      </c>
      <c r="O536" s="36" t="n">
        <v>-0.07800175284837862</v>
      </c>
      <c r="P536" s="36" t="n">
        <v>0.04365079365079372</v>
      </c>
      <c r="Q536" s="36" t="n">
        <v>-0.1957186544342507</v>
      </c>
      <c r="R536" s="36" t="n">
        <v>-0.05789638651323159</v>
      </c>
      <c r="S536" s="36" t="n">
        <v>-0.08003089883546366</v>
      </c>
      <c r="T536" s="36" t="n">
        <v>-0.06037870668095746</v>
      </c>
      <c r="U536" s="31" t="n">
        <v>14570</v>
      </c>
      <c r="V536" s="31" t="n">
        <v>6510</v>
      </c>
      <c r="W536" s="36" t="n">
        <v>-0.2779684282772821</v>
      </c>
      <c r="X536" s="36" t="n">
        <v>0.6159754224270353</v>
      </c>
      <c r="Y536" s="31" t="n">
        <v>17780753</v>
      </c>
      <c r="Z536" s="31" t="n">
        <v>187053521560</v>
      </c>
      <c r="AA536" s="31" t="n">
        <v>662549600</v>
      </c>
      <c r="AB536" s="31" t="n">
        <v>1082263891</v>
      </c>
      <c r="AC536" s="36" t="n">
        <v>0.003542032218770487</v>
      </c>
      <c r="AD536" s="29" t="inlineStr">
        <is>
          <t>yfinance_download</t>
        </is>
      </c>
      <c r="AE536" s="29" t="inlineStr">
        <is>
          <t>102120.KQ</t>
        </is>
      </c>
    </row>
    <row r="537" ht="24" customHeight="1">
      <c r="A537" s="24" t="inlineStr">
        <is>
          <t>2025-08-20</t>
        </is>
      </c>
      <c r="B537" s="30" t="n">
        <v>10260</v>
      </c>
      <c r="C537" s="30" t="n">
        <v>10790</v>
      </c>
      <c r="D537" s="30" t="n">
        <v>10080</v>
      </c>
      <c r="E537" s="30" t="n">
        <v>10250</v>
      </c>
      <c r="F537" s="30" t="n">
        <v>10250</v>
      </c>
      <c r="G537" s="30" t="n">
        <v>62170</v>
      </c>
      <c r="H537" s="35" t="n">
        <v>-0.0256653992395437</v>
      </c>
      <c r="I537" s="35" t="n">
        <v>-0.5474613686534217</v>
      </c>
      <c r="J537" s="30" t="n">
        <v>11122.5</v>
      </c>
      <c r="K537" s="30" t="n">
        <v>11441</v>
      </c>
      <c r="L537" s="30" t="n">
        <v>11175.16666666667</v>
      </c>
      <c r="M537" s="35" t="n">
        <v>0.4144416362274895</v>
      </c>
      <c r="N537" s="35" t="n">
        <v>0.4278574739518973</v>
      </c>
      <c r="O537" s="35" t="n">
        <v>-0.07906558849955081</v>
      </c>
      <c r="P537" s="35" t="n">
        <v>0.03535353535353525</v>
      </c>
      <c r="Q537" s="35" t="n">
        <v>-0.196078431372549</v>
      </c>
      <c r="R537" s="35" t="n">
        <v>-0.07844459429085193</v>
      </c>
      <c r="S537" s="35" t="n">
        <v>-0.1040992920199283</v>
      </c>
      <c r="T537" s="35" t="n">
        <v>-0.08278772874379203</v>
      </c>
      <c r="U537" s="30" t="n">
        <v>14570</v>
      </c>
      <c r="V537" s="30" t="n">
        <v>6510</v>
      </c>
      <c r="W537" s="35" t="n">
        <v>-0.2964996568291008</v>
      </c>
      <c r="X537" s="35" t="n">
        <v>0.5745007680491552</v>
      </c>
      <c r="Y537" s="30" t="n">
        <v>17780753</v>
      </c>
      <c r="Z537" s="30" t="n">
        <v>182252718250</v>
      </c>
      <c r="AA537" s="30" t="n">
        <v>637242500</v>
      </c>
      <c r="AB537" s="30" t="n">
        <v>1072627811</v>
      </c>
      <c r="AC537" s="35" t="n">
        <v>0.003496477342663722</v>
      </c>
      <c r="AD537" s="24" t="inlineStr">
        <is>
          <t>yfinance_download</t>
        </is>
      </c>
      <c r="AE537" s="24" t="inlineStr">
        <is>
          <t>102120.KQ</t>
        </is>
      </c>
    </row>
    <row r="538" ht="24" customHeight="1">
      <c r="A538" s="29" t="inlineStr">
        <is>
          <t>2025-08-21</t>
        </is>
      </c>
      <c r="B538" s="31" t="n">
        <v>10290</v>
      </c>
      <c r="C538" s="31" t="n">
        <v>10390</v>
      </c>
      <c r="D538" s="31" t="n">
        <v>10230</v>
      </c>
      <c r="E538" s="31" t="n">
        <v>10260</v>
      </c>
      <c r="F538" s="31" t="n">
        <v>10260</v>
      </c>
      <c r="G538" s="31" t="n">
        <v>49012</v>
      </c>
      <c r="H538" s="36" t="n">
        <v>0.0009756097560975618</v>
      </c>
      <c r="I538" s="36" t="n">
        <v>-0.5470198675496689</v>
      </c>
      <c r="J538" s="31" t="n">
        <v>11080.5</v>
      </c>
      <c r="K538" s="31" t="n">
        <v>11440.5</v>
      </c>
      <c r="L538" s="31" t="n">
        <v>11150.5</v>
      </c>
      <c r="M538" s="36" t="n">
        <v>0.4147745502054001</v>
      </c>
      <c r="N538" s="36" t="n">
        <v>0.4202838692177005</v>
      </c>
      <c r="O538" s="36" t="n">
        <v>-0.07567567567567568</v>
      </c>
      <c r="P538" s="36" t="n">
        <v>-0.002915451895043719</v>
      </c>
      <c r="Q538" s="36" t="n">
        <v>-0.2239031770045385</v>
      </c>
      <c r="R538" s="36" t="n">
        <v>-0.0740490050087993</v>
      </c>
      <c r="S538" s="36" t="n">
        <v>-0.1031860495607709</v>
      </c>
      <c r="T538" s="36" t="n">
        <v>-0.0798618896013632</v>
      </c>
      <c r="U538" s="31" t="n">
        <v>14570</v>
      </c>
      <c r="V538" s="31" t="n">
        <v>6510</v>
      </c>
      <c r="W538" s="36" t="n">
        <v>-0.2958133150308854</v>
      </c>
      <c r="X538" s="36" t="n">
        <v>0.5760368663594471</v>
      </c>
      <c r="Y538" s="31" t="n">
        <v>17780753</v>
      </c>
      <c r="Z538" s="31" t="n">
        <v>182430525780</v>
      </c>
      <c r="AA538" s="31" t="n">
        <v>502863120</v>
      </c>
      <c r="AB538" s="31" t="n">
        <v>1057041182</v>
      </c>
      <c r="AC538" s="36" t="n">
        <v>0.002756463688573819</v>
      </c>
      <c r="AD538" s="29" t="inlineStr">
        <is>
          <t>yfinance_download</t>
        </is>
      </c>
      <c r="AE538" s="29" t="inlineStr">
        <is>
          <t>102120.KQ</t>
        </is>
      </c>
    </row>
    <row r="539" ht="24" customHeight="1">
      <c r="A539" s="24" t="inlineStr">
        <is>
          <t>2025-08-22</t>
        </is>
      </c>
      <c r="B539" s="30" t="n">
        <v>10200</v>
      </c>
      <c r="C539" s="30" t="n">
        <v>10380</v>
      </c>
      <c r="D539" s="30" t="n">
        <v>10170</v>
      </c>
      <c r="E539" s="30" t="n">
        <v>10240</v>
      </c>
      <c r="F539" s="30" t="n">
        <v>10240</v>
      </c>
      <c r="G539" s="30" t="n">
        <v>64168</v>
      </c>
      <c r="H539" s="35" t="n">
        <v>-0.001949317738791478</v>
      </c>
      <c r="I539" s="35" t="n">
        <v>-0.5479028697571744</v>
      </c>
      <c r="J539" s="30" t="n">
        <v>11047.5</v>
      </c>
      <c r="K539" s="30" t="n">
        <v>11444.33333333333</v>
      </c>
      <c r="L539" s="30" t="n">
        <v>11127.58333333333</v>
      </c>
      <c r="M539" s="35" t="n">
        <v>0.4112748295584783</v>
      </c>
      <c r="N539" s="35" t="n">
        <v>0.4163938575081393</v>
      </c>
      <c r="O539" s="35" t="n">
        <v>-0.06055045871559628</v>
      </c>
      <c r="P539" s="35" t="n">
        <v>0.02297702297702298</v>
      </c>
      <c r="Q539" s="35" t="n">
        <v>-0.2117013086989993</v>
      </c>
      <c r="R539" s="35" t="n">
        <v>-0.07309346005883688</v>
      </c>
      <c r="S539" s="35" t="n">
        <v>-0.1052340313983632</v>
      </c>
      <c r="T539" s="35" t="n">
        <v>-0.07976424950011618</v>
      </c>
      <c r="U539" s="30" t="n">
        <v>14570</v>
      </c>
      <c r="V539" s="30" t="n">
        <v>6510</v>
      </c>
      <c r="W539" s="35" t="n">
        <v>-0.2971859986273164</v>
      </c>
      <c r="X539" s="35" t="n">
        <v>0.5729646697388633</v>
      </c>
      <c r="Y539" s="30" t="n">
        <v>17780753</v>
      </c>
      <c r="Z539" s="30" t="n">
        <v>182074910720</v>
      </c>
      <c r="AA539" s="30" t="n">
        <v>657080320</v>
      </c>
      <c r="AB539" s="30" t="n">
        <v>1058356048</v>
      </c>
      <c r="AC539" s="35" t="n">
        <v>0.00360884603706041</v>
      </c>
      <c r="AD539" s="24" t="inlineStr">
        <is>
          <t>yfinance_download</t>
        </is>
      </c>
      <c r="AE539" s="24" t="inlineStr">
        <is>
          <t>102120.KQ</t>
        </is>
      </c>
    </row>
    <row r="540" ht="24" customHeight="1">
      <c r="A540" s="29" t="inlineStr">
        <is>
          <t>2025-08-25</t>
        </is>
      </c>
      <c r="B540" s="31" t="n">
        <v>10360</v>
      </c>
      <c r="C540" s="31" t="n">
        <v>10590</v>
      </c>
      <c r="D540" s="31" t="n">
        <v>10310</v>
      </c>
      <c r="E540" s="31" t="n">
        <v>10590</v>
      </c>
      <c r="F540" s="31" t="n">
        <v>10590</v>
      </c>
      <c r="G540" s="31" t="n">
        <v>36797</v>
      </c>
      <c r="H540" s="36" t="n">
        <v>0.0341796875</v>
      </c>
      <c r="I540" s="36" t="n">
        <v>-0.5324503311258277</v>
      </c>
      <c r="J540" s="31" t="n">
        <v>11032</v>
      </c>
      <c r="K540" s="31" t="n">
        <v>11446.33333333333</v>
      </c>
      <c r="L540" s="31" t="n">
        <v>11108.08333333333</v>
      </c>
      <c r="M540" s="36" t="n">
        <v>0.4317467037139773</v>
      </c>
      <c r="N540" s="36" t="n">
        <v>0.4116013927142255</v>
      </c>
      <c r="O540" s="36" t="n">
        <v>-0.02844036697247709</v>
      </c>
      <c r="P540" s="36" t="n">
        <v>0.01146131805157591</v>
      </c>
      <c r="Q540" s="36" t="n">
        <v>-0.1809744779582366</v>
      </c>
      <c r="R540" s="36" t="n">
        <v>-0.04006526468455407</v>
      </c>
      <c r="S540" s="36" t="n">
        <v>-0.0748128949590845</v>
      </c>
      <c r="T540" s="36" t="n">
        <v>-0.04664020945707714</v>
      </c>
      <c r="U540" s="31" t="n">
        <v>14570</v>
      </c>
      <c r="V540" s="31" t="n">
        <v>6510</v>
      </c>
      <c r="W540" s="36" t="n">
        <v>-0.2731640356897735</v>
      </c>
      <c r="X540" s="36" t="n">
        <v>0.6267281105990783</v>
      </c>
      <c r="Y540" s="31" t="n">
        <v>17780753</v>
      </c>
      <c r="Z540" s="31" t="n">
        <v>188298174270</v>
      </c>
      <c r="AA540" s="31" t="n">
        <v>389680230</v>
      </c>
      <c r="AB540" s="31" t="n">
        <v>1057689229.5</v>
      </c>
      <c r="AC540" s="36" t="n">
        <v>0.002069484908766237</v>
      </c>
      <c r="AD540" s="29" t="inlineStr">
        <is>
          <t>yfinance_download</t>
        </is>
      </c>
      <c r="AE540" s="29" t="inlineStr">
        <is>
          <t>102120.KQ</t>
        </is>
      </c>
    </row>
    <row r="541" ht="24" customHeight="1">
      <c r="A541" s="24" t="inlineStr">
        <is>
          <t>2025-08-26</t>
        </is>
      </c>
      <c r="B541" s="30" t="n">
        <v>10410</v>
      </c>
      <c r="C541" s="30" t="n">
        <v>10650</v>
      </c>
      <c r="D541" s="30" t="n">
        <v>10410</v>
      </c>
      <c r="E541" s="30" t="n">
        <v>10610</v>
      </c>
      <c r="F541" s="30" t="n">
        <v>10610</v>
      </c>
      <c r="G541" s="30" t="n">
        <v>37107</v>
      </c>
      <c r="H541" s="35" t="n">
        <v>0.001888574126534426</v>
      </c>
      <c r="I541" s="35" t="n">
        <v>-0.5315673289183223</v>
      </c>
      <c r="J541" s="30" t="n">
        <v>10983</v>
      </c>
      <c r="K541" s="30" t="n">
        <v>11445.5</v>
      </c>
      <c r="L541" s="30" t="n">
        <v>11087</v>
      </c>
      <c r="M541" s="35" t="n">
        <v>0.3592018609941596</v>
      </c>
      <c r="N541" s="35" t="n">
        <v>0.4099723089218493</v>
      </c>
      <c r="O541" s="35" t="n">
        <v>-0.08455565142364108</v>
      </c>
      <c r="P541" s="35" t="n">
        <v>-0.004690431519699834</v>
      </c>
      <c r="Q541" s="35" t="n">
        <v>-0.1925418569254186</v>
      </c>
      <c r="R541" s="35" t="n">
        <v>-0.03396157698260949</v>
      </c>
      <c r="S541" s="35" t="n">
        <v>-0.07299812153247998</v>
      </c>
      <c r="T541" s="35" t="n">
        <v>-0.04302336069270318</v>
      </c>
      <c r="U541" s="30" t="n">
        <v>14570</v>
      </c>
      <c r="V541" s="30" t="n">
        <v>6510</v>
      </c>
      <c r="W541" s="35" t="n">
        <v>-0.2717913520933425</v>
      </c>
      <c r="X541" s="35" t="n">
        <v>0.6298003072196621</v>
      </c>
      <c r="Y541" s="30" t="n">
        <v>17780753</v>
      </c>
      <c r="Z541" s="30" t="n">
        <v>188653789330</v>
      </c>
      <c r="AA541" s="30" t="n">
        <v>393705270</v>
      </c>
      <c r="AB541" s="30" t="n">
        <v>946805609.5</v>
      </c>
      <c r="AC541" s="35" t="n">
        <v>0.002086919490979938</v>
      </c>
      <c r="AD541" s="24" t="inlineStr">
        <is>
          <t>yfinance_download</t>
        </is>
      </c>
      <c r="AE541" s="24" t="inlineStr">
        <is>
          <t>102120.KQ</t>
        </is>
      </c>
    </row>
    <row r="542" ht="24" customHeight="1">
      <c r="A542" s="29" t="inlineStr">
        <is>
          <t>2025-08-27</t>
        </is>
      </c>
      <c r="B542" s="31" t="n">
        <v>10660</v>
      </c>
      <c r="C542" s="31" t="n">
        <v>10660</v>
      </c>
      <c r="D542" s="31" t="n">
        <v>10450</v>
      </c>
      <c r="E542" s="31" t="n">
        <v>10620</v>
      </c>
      <c r="F542" s="31" t="n">
        <v>10620</v>
      </c>
      <c r="G542" s="31" t="n">
        <v>29200</v>
      </c>
      <c r="H542" s="36" t="n">
        <v>0.0009425070688029447</v>
      </c>
      <c r="I542" s="36" t="n">
        <v>-0.5311258278145695</v>
      </c>
      <c r="J542" s="31" t="n">
        <v>10951</v>
      </c>
      <c r="K542" s="31" t="n">
        <v>11450.66666666667</v>
      </c>
      <c r="L542" s="31" t="n">
        <v>11075.5</v>
      </c>
      <c r="M542" s="36" t="n">
        <v>0.3477908459476136</v>
      </c>
      <c r="N542" s="36" t="n">
        <v>0.4041344463109515</v>
      </c>
      <c r="O542" s="36" t="n">
        <v>-0.05683836589698044</v>
      </c>
      <c r="P542" s="36" t="n">
        <v>0.03006789524733278</v>
      </c>
      <c r="Q542" s="36" t="n">
        <v>-0.115</v>
      </c>
      <c r="R542" s="36" t="n">
        <v>-0.03022555017806594</v>
      </c>
      <c r="S542" s="36" t="n">
        <v>-0.0725430833721471</v>
      </c>
      <c r="T542" s="36" t="n">
        <v>-0.04112681143063524</v>
      </c>
      <c r="U542" s="31" t="n">
        <v>14570</v>
      </c>
      <c r="V542" s="31" t="n">
        <v>6510</v>
      </c>
      <c r="W542" s="36" t="n">
        <v>-0.271105010295127</v>
      </c>
      <c r="X542" s="36" t="n">
        <v>0.631336405529954</v>
      </c>
      <c r="Y542" s="31" t="n">
        <v>17780753</v>
      </c>
      <c r="Z542" s="31" t="n">
        <v>188831596860</v>
      </c>
      <c r="AA542" s="31" t="n">
        <v>310104000</v>
      </c>
      <c r="AB542" s="31" t="n">
        <v>903290956.5</v>
      </c>
      <c r="AC542" s="36" t="n">
        <v>0.001642225163355005</v>
      </c>
      <c r="AD542" s="29" t="inlineStr">
        <is>
          <t>yfinance_download</t>
        </is>
      </c>
      <c r="AE542" s="29" t="inlineStr">
        <is>
          <t>102120.KQ</t>
        </is>
      </c>
    </row>
    <row r="543" ht="24" customHeight="1">
      <c r="A543" s="24" t="inlineStr">
        <is>
          <t>2025-08-28</t>
        </is>
      </c>
      <c r="B543" s="30" t="n">
        <v>10570</v>
      </c>
      <c r="C543" s="30" t="n">
        <v>11150</v>
      </c>
      <c r="D543" s="30" t="n">
        <v>10430</v>
      </c>
      <c r="E543" s="30" t="n">
        <v>10950</v>
      </c>
      <c r="F543" s="30" t="n">
        <v>10950</v>
      </c>
      <c r="G543" s="30" t="n">
        <v>137888</v>
      </c>
      <c r="H543" s="35" t="n">
        <v>0.03107344632768361</v>
      </c>
      <c r="I543" s="35" t="n">
        <v>-0.5165562913907285</v>
      </c>
      <c r="J543" s="30" t="n">
        <v>10918.5</v>
      </c>
      <c r="K543" s="30" t="n">
        <v>11459.5</v>
      </c>
      <c r="L543" s="30" t="n">
        <v>11062.75</v>
      </c>
      <c r="M543" s="35" t="n">
        <v>0.3489042272205199</v>
      </c>
      <c r="N543" s="35" t="n">
        <v>0.4084017258593386</v>
      </c>
      <c r="O543" s="35" t="n">
        <v>-0.05603448275862066</v>
      </c>
      <c r="P543" s="35" t="n">
        <v>0.05086372360844527</v>
      </c>
      <c r="Q543" s="35" t="n">
        <v>-0.1225961538461539</v>
      </c>
      <c r="R543" s="35" t="n">
        <v>0.002885011677428162</v>
      </c>
      <c r="S543" s="35" t="n">
        <v>-0.04446092761464282</v>
      </c>
      <c r="T543" s="35" t="n">
        <v>-0.01019186007095885</v>
      </c>
      <c r="U543" s="30" t="n">
        <v>14570</v>
      </c>
      <c r="V543" s="30" t="n">
        <v>6510</v>
      </c>
      <c r="W543" s="35" t="n">
        <v>-0.2484557309540151</v>
      </c>
      <c r="X543" s="35" t="n">
        <v>0.6820276497695852</v>
      </c>
      <c r="Y543" s="30" t="n">
        <v>17780753</v>
      </c>
      <c r="Z543" s="30" t="n">
        <v>194699245350</v>
      </c>
      <c r="AA543" s="30" t="n">
        <v>1509873600</v>
      </c>
      <c r="AB543" s="30" t="n">
        <v>882694296.5</v>
      </c>
      <c r="AC543" s="35" t="n">
        <v>0.007754902168653937</v>
      </c>
      <c r="AD543" s="24" t="inlineStr">
        <is>
          <t>yfinance_download</t>
        </is>
      </c>
      <c r="AE543" s="24" t="inlineStr">
        <is>
          <t>102120.KQ</t>
        </is>
      </c>
    </row>
    <row r="544" ht="24" customHeight="1">
      <c r="A544" s="29" t="inlineStr">
        <is>
          <t>2025-08-29</t>
        </is>
      </c>
      <c r="B544" s="31" t="n">
        <v>11240</v>
      </c>
      <c r="C544" s="31" t="n">
        <v>11430</v>
      </c>
      <c r="D544" s="31" t="n">
        <v>11150</v>
      </c>
      <c r="E544" s="31" t="n">
        <v>11340</v>
      </c>
      <c r="F544" s="31" t="n">
        <v>11340</v>
      </c>
      <c r="G544" s="31" t="n">
        <v>156210</v>
      </c>
      <c r="H544" s="36" t="n">
        <v>0.03561643835616435</v>
      </c>
      <c r="I544" s="36" t="n">
        <v>-0.4993377483443708</v>
      </c>
      <c r="J544" s="31" t="n">
        <v>10898</v>
      </c>
      <c r="K544" s="31" t="n">
        <v>11465</v>
      </c>
      <c r="L544" s="31" t="n">
        <v>11059.5</v>
      </c>
      <c r="M544" s="36" t="n">
        <v>0.3709346117958884</v>
      </c>
      <c r="N544" s="36" t="n">
        <v>0.3983606483007858</v>
      </c>
      <c r="O544" s="36" t="n">
        <v>-0.03489361702127658</v>
      </c>
      <c r="P544" s="36" t="n">
        <v>0.02997275204359684</v>
      </c>
      <c r="Q544" s="36" t="n">
        <v>-0.03324808184143224</v>
      </c>
      <c r="R544" s="36" t="n">
        <v>0.04055790053220765</v>
      </c>
      <c r="S544" s="36" t="n">
        <v>-0.01090274749236808</v>
      </c>
      <c r="T544" s="36" t="n">
        <v>0.02536281025362808</v>
      </c>
      <c r="U544" s="31" t="n">
        <v>14570</v>
      </c>
      <c r="V544" s="31" t="n">
        <v>6510</v>
      </c>
      <c r="W544" s="36" t="n">
        <v>-0.2216884008236102</v>
      </c>
      <c r="X544" s="36" t="n">
        <v>0.7419354838709677</v>
      </c>
      <c r="Y544" s="31" t="n">
        <v>17780753</v>
      </c>
      <c r="Z544" s="31" t="n">
        <v>201633739020</v>
      </c>
      <c r="AA544" s="31" t="n">
        <v>1771421400</v>
      </c>
      <c r="AB544" s="31" t="n">
        <v>883103941.5</v>
      </c>
      <c r="AC544" s="36" t="n">
        <v>0.008785342218071417</v>
      </c>
      <c r="AD544" s="29" t="inlineStr">
        <is>
          <t>yfinance_download</t>
        </is>
      </c>
      <c r="AE544" s="29" t="inlineStr">
        <is>
          <t>102120.KQ</t>
        </is>
      </c>
    </row>
    <row r="545" ht="24" customHeight="1">
      <c r="A545" s="24" t="inlineStr">
        <is>
          <t>2025-09-01</t>
        </is>
      </c>
      <c r="B545" s="30" t="n">
        <v>11000</v>
      </c>
      <c r="C545" s="30" t="n">
        <v>11200</v>
      </c>
      <c r="D545" s="30" t="n">
        <v>10900</v>
      </c>
      <c r="E545" s="30" t="n">
        <v>10940</v>
      </c>
      <c r="F545" s="30" t="n">
        <v>10940</v>
      </c>
      <c r="G545" s="30" t="n">
        <v>73876</v>
      </c>
      <c r="H545" s="35" t="n">
        <v>-0.03527336860670194</v>
      </c>
      <c r="I545" s="35" t="n">
        <v>-0.5169977924944813</v>
      </c>
      <c r="J545" s="30" t="n">
        <v>10891</v>
      </c>
      <c r="K545" s="30" t="n">
        <v>11448.83333333333</v>
      </c>
      <c r="L545" s="30" t="n">
        <v>11048.33333333333</v>
      </c>
      <c r="M545" s="35" t="n">
        <v>0.3339600051904144</v>
      </c>
      <c r="N545" s="35" t="n">
        <v>0.3678159320270927</v>
      </c>
      <c r="O545" s="35" t="n">
        <v>-0.0126353790613718</v>
      </c>
      <c r="P545" s="35" t="n">
        <v>-0.08144416456759029</v>
      </c>
      <c r="Q545" s="35" t="n">
        <v>-0.1091205211726385</v>
      </c>
      <c r="R545" s="35" t="n">
        <v>0.004499127720135832</v>
      </c>
      <c r="S545" s="35" t="n">
        <v>-0.04444412094390993</v>
      </c>
      <c r="T545" s="35" t="n">
        <v>-0.00980540051289791</v>
      </c>
      <c r="U545" s="30" t="n">
        <v>14570</v>
      </c>
      <c r="V545" s="30" t="n">
        <v>6510</v>
      </c>
      <c r="W545" s="35" t="n">
        <v>-0.2491420727522307</v>
      </c>
      <c r="X545" s="35" t="n">
        <v>0.6804915514592933</v>
      </c>
      <c r="Y545" s="30" t="n">
        <v>17780753</v>
      </c>
      <c r="Z545" s="30" t="n">
        <v>194521437820</v>
      </c>
      <c r="AA545" s="30" t="n">
        <v>808203440</v>
      </c>
      <c r="AB545" s="30" t="n">
        <v>855419203.5</v>
      </c>
      <c r="AC545" s="35" t="n">
        <v>0.004154829663288164</v>
      </c>
      <c r="AD545" s="24" t="inlineStr">
        <is>
          <t>yfinance_download</t>
        </is>
      </c>
      <c r="AE545" s="24" t="inlineStr">
        <is>
          <t>102120.KQ</t>
        </is>
      </c>
    </row>
    <row r="546" ht="24" customHeight="1">
      <c r="A546" s="29" t="inlineStr">
        <is>
          <t>2025-09-02</t>
        </is>
      </c>
      <c r="B546" s="31" t="n">
        <v>10990</v>
      </c>
      <c r="C546" s="31" t="n">
        <v>11120</v>
      </c>
      <c r="D546" s="31" t="n">
        <v>10900</v>
      </c>
      <c r="E546" s="31" t="n">
        <v>10930</v>
      </c>
      <c r="F546" s="31" t="n">
        <v>10930</v>
      </c>
      <c r="G546" s="31" t="n">
        <v>49597</v>
      </c>
      <c r="H546" s="36" t="n">
        <v>-0.000914076782449702</v>
      </c>
      <c r="I546" s="36" t="n">
        <v>-0.5174392935982339</v>
      </c>
      <c r="J546" s="31" t="n">
        <v>10884</v>
      </c>
      <c r="K546" s="31" t="n">
        <v>11432.33333333333</v>
      </c>
      <c r="L546" s="31" t="n">
        <v>11041</v>
      </c>
      <c r="M546" s="36" t="n">
        <v>0.33396022676131</v>
      </c>
      <c r="N546" s="36" t="n">
        <v>0.3677929360243822</v>
      </c>
      <c r="O546" s="36" t="n">
        <v>-0.01264679313459804</v>
      </c>
      <c r="P546" s="36" t="n">
        <v>-0.08305369127516782</v>
      </c>
      <c r="Q546" s="36" t="n">
        <v>-0.07451312447078751</v>
      </c>
      <c r="R546" s="36" t="n">
        <v>0.004226387357589179</v>
      </c>
      <c r="S546" s="36" t="n">
        <v>-0.04393970318103624</v>
      </c>
      <c r="T546" s="36" t="n">
        <v>-0.01005343718866047</v>
      </c>
      <c r="U546" s="31" t="n">
        <v>14570</v>
      </c>
      <c r="V546" s="31" t="n">
        <v>6510</v>
      </c>
      <c r="W546" s="36" t="n">
        <v>-0.2498284145504461</v>
      </c>
      <c r="X546" s="36" t="n">
        <v>0.6789554531490016</v>
      </c>
      <c r="Y546" s="31" t="n">
        <v>17780753</v>
      </c>
      <c r="Z546" s="31" t="n">
        <v>194343630290</v>
      </c>
      <c r="AA546" s="31" t="n">
        <v>542095210</v>
      </c>
      <c r="AB546" s="31" t="n">
        <v>817573506.5</v>
      </c>
      <c r="AC546" s="36" t="n">
        <v>0.002789364432428705</v>
      </c>
      <c r="AD546" s="29" t="inlineStr">
        <is>
          <t>yfinance_download</t>
        </is>
      </c>
      <c r="AE546" s="29" t="inlineStr">
        <is>
          <t>102120.KQ</t>
        </is>
      </c>
    </row>
    <row r="547" ht="24" customHeight="1">
      <c r="A547" s="24" t="inlineStr">
        <is>
          <t>2025-09-03</t>
        </is>
      </c>
      <c r="B547" s="30" t="n">
        <v>10840</v>
      </c>
      <c r="C547" s="30" t="n">
        <v>11020</v>
      </c>
      <c r="D547" s="30" t="n">
        <v>10830</v>
      </c>
      <c r="E547" s="30" t="n">
        <v>10900</v>
      </c>
      <c r="F547" s="30" t="n">
        <v>10900</v>
      </c>
      <c r="G547" s="30" t="n">
        <v>43918</v>
      </c>
      <c r="H547" s="35" t="n">
        <v>-0.002744739249771255</v>
      </c>
      <c r="I547" s="35" t="n">
        <v>-0.5187637969094923</v>
      </c>
      <c r="J547" s="30" t="n">
        <v>10876.5</v>
      </c>
      <c r="K547" s="30" t="n">
        <v>11419.16666666667</v>
      </c>
      <c r="L547" s="30" t="n">
        <v>11035.41666666667</v>
      </c>
      <c r="M547" s="35" t="n">
        <v>0.3340282734971889</v>
      </c>
      <c r="N547" s="35" t="n">
        <v>0.3658703262087193</v>
      </c>
      <c r="O547" s="35" t="n">
        <v>-0.01357466063348411</v>
      </c>
      <c r="P547" s="35" t="n">
        <v>-0.06757912745936701</v>
      </c>
      <c r="Q547" s="35" t="n">
        <v>-0.05790838375108043</v>
      </c>
      <c r="R547" s="35" t="n">
        <v>0.002160621523467965</v>
      </c>
      <c r="S547" s="35" t="n">
        <v>-0.04546449682551257</v>
      </c>
      <c r="T547" s="35" t="n">
        <v>-0.01227109684727201</v>
      </c>
      <c r="U547" s="30" t="n">
        <v>14570</v>
      </c>
      <c r="V547" s="30" t="n">
        <v>6510</v>
      </c>
      <c r="W547" s="35" t="n">
        <v>-0.2518874399450927</v>
      </c>
      <c r="X547" s="35" t="n">
        <v>0.674347158218126</v>
      </c>
      <c r="Y547" s="30" t="n">
        <v>17780753</v>
      </c>
      <c r="Z547" s="30" t="n">
        <v>193810207700</v>
      </c>
      <c r="AA547" s="30" t="n">
        <v>478706200</v>
      </c>
      <c r="AB547" s="30" t="n">
        <v>776897256.5</v>
      </c>
      <c r="AC547" s="35" t="n">
        <v>0.002469974134391271</v>
      </c>
      <c r="AD547" s="24" t="inlineStr">
        <is>
          <t>yfinance_download</t>
        </is>
      </c>
      <c r="AE547" s="24" t="inlineStr">
        <is>
          <t>102120.KQ</t>
        </is>
      </c>
    </row>
    <row r="548" ht="24" customHeight="1">
      <c r="A548" s="29" t="inlineStr">
        <is>
          <t>2025-09-04</t>
        </is>
      </c>
      <c r="B548" s="31" t="n">
        <v>11020</v>
      </c>
      <c r="C548" s="31" t="n">
        <v>11300</v>
      </c>
      <c r="D548" s="31" t="n">
        <v>10950</v>
      </c>
      <c r="E548" s="31" t="n">
        <v>11150</v>
      </c>
      <c r="F548" s="31" t="n">
        <v>11150</v>
      </c>
      <c r="G548" s="31" t="n">
        <v>51500</v>
      </c>
      <c r="H548" s="36" t="n">
        <v>0.02293577981651373</v>
      </c>
      <c r="I548" s="36" t="n">
        <v>-0.5077262693156732</v>
      </c>
      <c r="J548" s="31" t="n">
        <v>10882</v>
      </c>
      <c r="K548" s="31" t="n">
        <v>11404.83333333333</v>
      </c>
      <c r="L548" s="31" t="n">
        <v>11026.5</v>
      </c>
      <c r="M548" s="36" t="n">
        <v>0.3441844870431022</v>
      </c>
      <c r="N548" s="36" t="n">
        <v>0.3645157370664892</v>
      </c>
      <c r="O548" s="36" t="n">
        <v>0.009963768115942129</v>
      </c>
      <c r="P548" s="36" t="n">
        <v>-0.07160699417152372</v>
      </c>
      <c r="Q548" s="36" t="n">
        <v>-0.08756137479541737</v>
      </c>
      <c r="R548" s="36" t="n">
        <v>0.02462782576732225</v>
      </c>
      <c r="S548" s="36" t="n">
        <v>-0.02234432769732131</v>
      </c>
      <c r="T548" s="36" t="n">
        <v>0.01120029020994884</v>
      </c>
      <c r="U548" s="31" t="n">
        <v>14570</v>
      </c>
      <c r="V548" s="31" t="n">
        <v>6510</v>
      </c>
      <c r="W548" s="36" t="n">
        <v>-0.2347288949897048</v>
      </c>
      <c r="X548" s="36" t="n">
        <v>0.7127496159754225</v>
      </c>
      <c r="Y548" s="31" t="n">
        <v>17780753</v>
      </c>
      <c r="Z548" s="31" t="n">
        <v>198255395950</v>
      </c>
      <c r="AA548" s="31" t="n">
        <v>574225000</v>
      </c>
      <c r="AB548" s="31" t="n">
        <v>759858746.5</v>
      </c>
      <c r="AC548" s="36" t="n">
        <v>0.002896390270985711</v>
      </c>
      <c r="AD548" s="29" t="inlineStr">
        <is>
          <t>yfinance_download</t>
        </is>
      </c>
      <c r="AE548" s="29" t="inlineStr">
        <is>
          <t>102120.KQ</t>
        </is>
      </c>
    </row>
    <row r="549" ht="24" customHeight="1">
      <c r="A549" s="24" t="inlineStr">
        <is>
          <t>2025-09-05</t>
        </is>
      </c>
      <c r="B549" s="30" t="n">
        <v>11440</v>
      </c>
      <c r="C549" s="30" t="n">
        <v>11540</v>
      </c>
      <c r="D549" s="30" t="n">
        <v>11220</v>
      </c>
      <c r="E549" s="30" t="n">
        <v>11280</v>
      </c>
      <c r="F549" s="30" t="n">
        <v>11280</v>
      </c>
      <c r="G549" s="30" t="n">
        <v>72747</v>
      </c>
      <c r="H549" s="35" t="n">
        <v>0.01165919282511219</v>
      </c>
      <c r="I549" s="35" t="n">
        <v>-0.5019867549668875</v>
      </c>
      <c r="J549" s="30" t="n">
        <v>10891.5</v>
      </c>
      <c r="K549" s="30" t="n">
        <v>11392.33333333333</v>
      </c>
      <c r="L549" s="30" t="n">
        <v>11022.08333333333</v>
      </c>
      <c r="M549" s="35" t="n">
        <v>0.3461560991436867</v>
      </c>
      <c r="N549" s="35" t="n">
        <v>0.3653997405786215</v>
      </c>
      <c r="O549" s="35" t="n">
        <v>0.01713255184851215</v>
      </c>
      <c r="P549" s="35" t="n">
        <v>-0.06234413965087282</v>
      </c>
      <c r="Q549" s="35" t="n">
        <v>-0.04487722269263339</v>
      </c>
      <c r="R549" s="35" t="n">
        <v>0.03567001790387003</v>
      </c>
      <c r="S549" s="35" t="n">
        <v>-0.009860432454574797</v>
      </c>
      <c r="T549" s="35" t="n">
        <v>0.02339999243942081</v>
      </c>
      <c r="U549" s="30" t="n">
        <v>14570</v>
      </c>
      <c r="V549" s="30" t="n">
        <v>6510</v>
      </c>
      <c r="W549" s="35" t="n">
        <v>-0.2258064516129032</v>
      </c>
      <c r="X549" s="35" t="n">
        <v>0.7327188940092166</v>
      </c>
      <c r="Y549" s="30" t="n">
        <v>17780753</v>
      </c>
      <c r="Z549" s="30" t="n">
        <v>200566893840</v>
      </c>
      <c r="AA549" s="30" t="n">
        <v>820586160</v>
      </c>
      <c r="AB549" s="30" t="n">
        <v>764235604.5</v>
      </c>
      <c r="AC549" s="35" t="n">
        <v>0.004091334039677623</v>
      </c>
      <c r="AD549" s="24" t="inlineStr">
        <is>
          <t>yfinance_download</t>
        </is>
      </c>
      <c r="AE549" s="24" t="inlineStr">
        <is>
          <t>102120.KQ</t>
        </is>
      </c>
    </row>
    <row r="550" ht="24" customHeight="1">
      <c r="A550" s="29" t="inlineStr">
        <is>
          <t>2025-09-08</t>
        </is>
      </c>
      <c r="B550" s="31" t="n">
        <v>11260</v>
      </c>
      <c r="C550" s="31" t="n">
        <v>11550</v>
      </c>
      <c r="D550" s="31" t="n">
        <v>11140</v>
      </c>
      <c r="E550" s="31" t="n">
        <v>11410</v>
      </c>
      <c r="F550" s="31" t="n">
        <v>11410</v>
      </c>
      <c r="G550" s="31" t="n">
        <v>91116</v>
      </c>
      <c r="H550" s="36" t="n">
        <v>0.01152482269503552</v>
      </c>
      <c r="I550" s="36" t="n">
        <v>-0.4962472406181015</v>
      </c>
      <c r="J550" s="31" t="n">
        <v>10899</v>
      </c>
      <c r="K550" s="31" t="n">
        <v>11389</v>
      </c>
      <c r="L550" s="31" t="n">
        <v>11013.5</v>
      </c>
      <c r="M550" s="36" t="n">
        <v>0.34433714542369</v>
      </c>
      <c r="N550" s="36" t="n">
        <v>0.3592310748495207</v>
      </c>
      <c r="O550" s="36" t="n">
        <v>0.01332149200710475</v>
      </c>
      <c r="P550" s="36" t="n">
        <v>-0.01722652885443587</v>
      </c>
      <c r="Q550" s="36" t="n">
        <v>-0.08279742765273312</v>
      </c>
      <c r="R550" s="36" t="n">
        <v>0.04688503532434174</v>
      </c>
      <c r="S550" s="36" t="n">
        <v>0.001843884449907796</v>
      </c>
      <c r="T550" s="36" t="n">
        <v>0.03600127116720397</v>
      </c>
      <c r="U550" s="31" t="n">
        <v>14570</v>
      </c>
      <c r="V550" s="31" t="n">
        <v>6510</v>
      </c>
      <c r="W550" s="36" t="n">
        <v>-0.2168840082361015</v>
      </c>
      <c r="X550" s="36" t="n">
        <v>0.7526881720430108</v>
      </c>
      <c r="Y550" s="31" t="n">
        <v>17780753</v>
      </c>
      <c r="Z550" s="31" t="n">
        <v>202878391730</v>
      </c>
      <c r="AA550" s="31" t="n">
        <v>1039633560</v>
      </c>
      <c r="AB550" s="31" t="n">
        <v>731211038.5</v>
      </c>
      <c r="AC550" s="36" t="n">
        <v>0.00512441739672105</v>
      </c>
      <c r="AD550" s="29" t="inlineStr">
        <is>
          <t>yfinance_download</t>
        </is>
      </c>
      <c r="AE550" s="29" t="inlineStr">
        <is>
          <t>102120.KQ</t>
        </is>
      </c>
    </row>
    <row r="551" ht="24" customHeight="1">
      <c r="A551" s="24" t="inlineStr">
        <is>
          <t>2025-09-09</t>
        </is>
      </c>
      <c r="B551" s="30" t="n">
        <v>11570</v>
      </c>
      <c r="C551" s="30" t="n">
        <v>11730</v>
      </c>
      <c r="D551" s="30" t="n">
        <v>11460</v>
      </c>
      <c r="E551" s="30" t="n">
        <v>11720</v>
      </c>
      <c r="F551" s="30" t="n">
        <v>11720</v>
      </c>
      <c r="G551" s="30" t="n">
        <v>148118</v>
      </c>
      <c r="H551" s="35" t="n">
        <v>0.02716914986853647</v>
      </c>
      <c r="I551" s="35" t="n">
        <v>-0.482560706401766</v>
      </c>
      <c r="J551" s="30" t="n">
        <v>10920.5</v>
      </c>
      <c r="K551" s="30" t="n">
        <v>11390.33333333333</v>
      </c>
      <c r="L551" s="30" t="n">
        <v>11007.41666666667</v>
      </c>
      <c r="M551" s="35" t="n">
        <v>0.3567775561332106</v>
      </c>
      <c r="N551" s="35" t="n">
        <v>0.3635056540381434</v>
      </c>
      <c r="O551" s="35" t="n">
        <v>0.0380868024800709</v>
      </c>
      <c r="P551" s="35" t="n">
        <v>0.006872852233676952</v>
      </c>
      <c r="Q551" s="35" t="n">
        <v>-0.05863453815261044</v>
      </c>
      <c r="R551" s="35" t="n">
        <v>0.07321093356531305</v>
      </c>
      <c r="S551" s="35" t="n">
        <v>0.02894267068566903</v>
      </c>
      <c r="T551" s="35" t="n">
        <v>0.06473665483121227</v>
      </c>
      <c r="U551" s="30" t="n">
        <v>14570</v>
      </c>
      <c r="V551" s="30" t="n">
        <v>6510</v>
      </c>
      <c r="W551" s="35" t="n">
        <v>-0.1956074124914208</v>
      </c>
      <c r="X551" s="35" t="n">
        <v>0.8003072196620584</v>
      </c>
      <c r="Y551" s="30" t="n">
        <v>17780753</v>
      </c>
      <c r="Z551" s="30" t="n">
        <v>208390425160</v>
      </c>
      <c r="AA551" s="30" t="n">
        <v>1735942960</v>
      </c>
      <c r="AB551" s="30" t="n">
        <v>780686833.5</v>
      </c>
      <c r="AC551" s="35" t="n">
        <v>0.00833024338170605</v>
      </c>
      <c r="AD551" s="24" t="inlineStr">
        <is>
          <t>yfinance_download</t>
        </is>
      </c>
      <c r="AE551" s="24" t="inlineStr">
        <is>
          <t>102120.KQ</t>
        </is>
      </c>
    </row>
    <row r="552" ht="24" customHeight="1">
      <c r="A552" s="29" t="inlineStr">
        <is>
          <t>2025-09-10</t>
        </is>
      </c>
      <c r="B552" s="31" t="n">
        <v>11790</v>
      </c>
      <c r="C552" s="31" t="n">
        <v>12820</v>
      </c>
      <c r="D552" s="31" t="n">
        <v>11650</v>
      </c>
      <c r="E552" s="31" t="n">
        <v>12090</v>
      </c>
      <c r="F552" s="31" t="n">
        <v>12090</v>
      </c>
      <c r="G552" s="31" t="n">
        <v>1540691</v>
      </c>
      <c r="H552" s="36" t="n">
        <v>0.03156996587030725</v>
      </c>
      <c r="I552" s="36" t="n">
        <v>-0.4662251655629139</v>
      </c>
      <c r="J552" s="31" t="n">
        <v>10964.5</v>
      </c>
      <c r="K552" s="31" t="n">
        <v>11394.83333333333</v>
      </c>
      <c r="L552" s="31" t="n">
        <v>11004.83333333333</v>
      </c>
      <c r="M552" s="36" t="n">
        <v>0.3697127047399748</v>
      </c>
      <c r="N552" s="36" t="n">
        <v>0.3678347240975638</v>
      </c>
      <c r="O552" s="36" t="n">
        <v>0.07850133809099025</v>
      </c>
      <c r="P552" s="36" t="n">
        <v>0.02284263959390853</v>
      </c>
      <c r="Q552" s="36" t="n">
        <v>-0.02500000000000002</v>
      </c>
      <c r="R552" s="36" t="n">
        <v>0.1026494596196816</v>
      </c>
      <c r="S552" s="36" t="n">
        <v>0.0610071816173996</v>
      </c>
      <c r="T552" s="36" t="n">
        <v>0.09860818731163579</v>
      </c>
      <c r="U552" s="31" t="n">
        <v>14570</v>
      </c>
      <c r="V552" s="31" t="n">
        <v>6510</v>
      </c>
      <c r="W552" s="36" t="n">
        <v>-0.1702127659574468</v>
      </c>
      <c r="X552" s="36" t="n">
        <v>0.8571428571428572</v>
      </c>
      <c r="Y552" s="31" t="n">
        <v>17780753</v>
      </c>
      <c r="Z552" s="31" t="n">
        <v>214969303770</v>
      </c>
      <c r="AA552" s="31" t="n">
        <v>18626954190</v>
      </c>
      <c r="AB552" s="31" t="n">
        <v>1674988856</v>
      </c>
      <c r="AC552" s="36" t="n">
        <v>0.08664936743680091</v>
      </c>
      <c r="AD552" s="29" t="inlineStr">
        <is>
          <t>yfinance_download</t>
        </is>
      </c>
      <c r="AE552" s="29" t="inlineStr">
        <is>
          <t>102120.KQ</t>
        </is>
      </c>
    </row>
    <row r="553" ht="24" customHeight="1">
      <c r="A553" s="24" t="inlineStr">
        <is>
          <t>2025-09-11</t>
        </is>
      </c>
      <c r="B553" s="30" t="n">
        <v>12300</v>
      </c>
      <c r="C553" s="30" t="n">
        <v>12420</v>
      </c>
      <c r="D553" s="30" t="n">
        <v>12000</v>
      </c>
      <c r="E553" s="30" t="n">
        <v>12040</v>
      </c>
      <c r="F553" s="30" t="n">
        <v>12040</v>
      </c>
      <c r="G553" s="30" t="n">
        <v>201526</v>
      </c>
      <c r="H553" s="35" t="n">
        <v>-0.004135649296939659</v>
      </c>
      <c r="I553" s="35" t="n">
        <v>-0.4684326710816777</v>
      </c>
      <c r="J553" s="30" t="n">
        <v>10996.5</v>
      </c>
      <c r="K553" s="30" t="n">
        <v>11395.5</v>
      </c>
      <c r="L553" s="30" t="n">
        <v>11001.58333333333</v>
      </c>
      <c r="M553" s="35" t="n">
        <v>0.3675202442001565</v>
      </c>
      <c r="N553" s="35" t="n">
        <v>0.3666933721300081</v>
      </c>
      <c r="O553" s="35" t="n">
        <v>0.05614035087719293</v>
      </c>
      <c r="P553" s="35" t="n">
        <v>0.00333333333333341</v>
      </c>
      <c r="Q553" s="35" t="n">
        <v>-0.03137570394207567</v>
      </c>
      <c r="R553" s="35" t="n">
        <v>0.09489382985495376</v>
      </c>
      <c r="S553" s="35" t="n">
        <v>0.05655741301390904</v>
      </c>
      <c r="T553" s="35" t="n">
        <v>0.09438792901021809</v>
      </c>
      <c r="U553" s="30" t="n">
        <v>14570</v>
      </c>
      <c r="V553" s="30" t="n">
        <v>6510</v>
      </c>
      <c r="W553" s="35" t="n">
        <v>-0.1736444749485244</v>
      </c>
      <c r="X553" s="35" t="n">
        <v>0.8494623655913978</v>
      </c>
      <c r="Y553" s="30" t="n">
        <v>17780753</v>
      </c>
      <c r="Z553" s="30" t="n">
        <v>214080266120</v>
      </c>
      <c r="AA553" s="30" t="n">
        <v>2426373040</v>
      </c>
      <c r="AB553" s="30" t="n">
        <v>1752749248</v>
      </c>
      <c r="AC553" s="35" t="n">
        <v>0.0113339406941877</v>
      </c>
      <c r="AD553" s="24" t="inlineStr">
        <is>
          <t>yfinance_download</t>
        </is>
      </c>
      <c r="AE553" s="24" t="inlineStr">
        <is>
          <t>102120.KQ</t>
        </is>
      </c>
    </row>
    <row r="554" ht="24" customHeight="1">
      <c r="A554" s="29" t="inlineStr">
        <is>
          <t>2025-09-12</t>
        </is>
      </c>
      <c r="B554" s="31" t="n">
        <v>12250</v>
      </c>
      <c r="C554" s="31" t="n">
        <v>12440</v>
      </c>
      <c r="D554" s="31" t="n">
        <v>12150</v>
      </c>
      <c r="E554" s="31" t="n">
        <v>12420</v>
      </c>
      <c r="F554" s="31" t="n">
        <v>12420</v>
      </c>
      <c r="G554" s="31" t="n">
        <v>270453</v>
      </c>
      <c r="H554" s="36" t="n">
        <v>0.03156146179401986</v>
      </c>
      <c r="I554" s="36" t="n">
        <v>-0.4516556291390729</v>
      </c>
      <c r="J554" s="31" t="n">
        <v>11054</v>
      </c>
      <c r="K554" s="31" t="n">
        <v>11402.66666666667</v>
      </c>
      <c r="L554" s="31" t="n">
        <v>11000.41666666667</v>
      </c>
      <c r="M554" s="36" t="n">
        <v>0.3767315120782201</v>
      </c>
      <c r="N554" s="36" t="n">
        <v>0.3722275122980235</v>
      </c>
      <c r="O554" s="36" t="n">
        <v>0.1020408163265305</v>
      </c>
      <c r="P554" s="36" t="n">
        <v>0.03586321934945791</v>
      </c>
      <c r="Q554" s="36" t="n">
        <v>-0.01114649681528668</v>
      </c>
      <c r="R554" s="36" t="n">
        <v>0.1235751764067305</v>
      </c>
      <c r="S554" s="36" t="n">
        <v>0.08921889616463985</v>
      </c>
      <c r="T554" s="36" t="n">
        <v>0.1290481421158289</v>
      </c>
      <c r="U554" s="31" t="n">
        <v>14570</v>
      </c>
      <c r="V554" s="31" t="n">
        <v>6510</v>
      </c>
      <c r="W554" s="36" t="n">
        <v>-0.1475634866163349</v>
      </c>
      <c r="X554" s="36" t="n">
        <v>0.9078341013824884</v>
      </c>
      <c r="Y554" s="31" t="n">
        <v>17780753</v>
      </c>
      <c r="Z554" s="31" t="n">
        <v>220836952260</v>
      </c>
      <c r="AA554" s="31" t="n">
        <v>3359026260</v>
      </c>
      <c r="AB554" s="31" t="n">
        <v>1902589671</v>
      </c>
      <c r="AC554" s="36" t="n">
        <v>0.0152104356885223</v>
      </c>
      <c r="AD554" s="29" t="inlineStr">
        <is>
          <t>yfinance_download</t>
        </is>
      </c>
      <c r="AE554" s="29" t="inlineStr">
        <is>
          <t>102120.KQ</t>
        </is>
      </c>
    </row>
    <row r="555" ht="24" customHeight="1">
      <c r="A555" s="24" t="inlineStr">
        <is>
          <t>2025-09-15</t>
        </is>
      </c>
      <c r="B555" s="30" t="n">
        <v>12660</v>
      </c>
      <c r="C555" s="30" t="n">
        <v>13200</v>
      </c>
      <c r="D555" s="30" t="n">
        <v>12270</v>
      </c>
      <c r="E555" s="30" t="n">
        <v>12810</v>
      </c>
      <c r="F555" s="30" t="n">
        <v>12810</v>
      </c>
      <c r="G555" s="30" t="n">
        <v>851689</v>
      </c>
      <c r="H555" s="35" t="n">
        <v>0.0314009661835748</v>
      </c>
      <c r="I555" s="35" t="n">
        <v>-0.4344370860927153</v>
      </c>
      <c r="J555" s="30" t="n">
        <v>11153.5</v>
      </c>
      <c r="K555" s="30" t="n">
        <v>11415.66666666667</v>
      </c>
      <c r="L555" s="30" t="n">
        <v>11000.66666666667</v>
      </c>
      <c r="M555" s="35" t="n">
        <v>0.3475095142568264</v>
      </c>
      <c r="N555" s="35" t="n">
        <v>0.3774331681650395</v>
      </c>
      <c r="O555" s="35" t="n">
        <v>0.1839186691312384</v>
      </c>
      <c r="P555" s="35" t="n">
        <v>0.06483790523690769</v>
      </c>
      <c r="Q555" s="35" t="n">
        <v>0.00234741784037551</v>
      </c>
      <c r="R555" s="35" t="n">
        <v>0.1485184022952437</v>
      </c>
      <c r="S555" s="35" t="n">
        <v>0.1221420854381405</v>
      </c>
      <c r="T555" s="35" t="n">
        <v>0.1644748803102842</v>
      </c>
      <c r="U555" s="30" t="n">
        <v>14570</v>
      </c>
      <c r="V555" s="30" t="n">
        <v>6510</v>
      </c>
      <c r="W555" s="35" t="n">
        <v>-0.12079615648593</v>
      </c>
      <c r="X555" s="35" t="n">
        <v>0.967741935483871</v>
      </c>
      <c r="Y555" s="30" t="n">
        <v>17780753</v>
      </c>
      <c r="Z555" s="30" t="n">
        <v>227771445930</v>
      </c>
      <c r="AA555" s="30" t="n">
        <v>10910136090</v>
      </c>
      <c r="AB555" s="30" t="n">
        <v>2407820107.5</v>
      </c>
      <c r="AC555" s="35" t="n">
        <v>0.04789948997098154</v>
      </c>
      <c r="AD555" s="24" t="inlineStr">
        <is>
          <t>yfinance_download</t>
        </is>
      </c>
      <c r="AE555" s="24" t="inlineStr">
        <is>
          <t>102120.KQ</t>
        </is>
      </c>
    </row>
    <row r="556" ht="24" customHeight="1">
      <c r="A556" s="29" t="inlineStr">
        <is>
          <t>2025-09-16</t>
        </is>
      </c>
      <c r="B556" s="31" t="n">
        <v>12770</v>
      </c>
      <c r="C556" s="31" t="n">
        <v>12770</v>
      </c>
      <c r="D556" s="31" t="n">
        <v>12420</v>
      </c>
      <c r="E556" s="31" t="n">
        <v>12670</v>
      </c>
      <c r="F556" s="31" t="n">
        <v>12670</v>
      </c>
      <c r="G556" s="31" t="n">
        <v>214821</v>
      </c>
      <c r="H556" s="36" t="n">
        <v>-0.01092896174863389</v>
      </c>
      <c r="I556" s="36" t="n">
        <v>-0.4406181015452538</v>
      </c>
      <c r="J556" s="31" t="n">
        <v>11261</v>
      </c>
      <c r="K556" s="31" t="n">
        <v>11432.83333333333</v>
      </c>
      <c r="L556" s="31" t="n">
        <v>10998.33333333333</v>
      </c>
      <c r="M556" s="36" t="n">
        <v>0.3287633393384085</v>
      </c>
      <c r="N556" s="36" t="n">
        <v>0.3717539086242102</v>
      </c>
      <c r="O556" s="36" t="n">
        <v>0.2043726235741445</v>
      </c>
      <c r="P556" s="36" t="n">
        <v>0.08848797250859097</v>
      </c>
      <c r="Q556" s="36" t="n">
        <v>-0.02162162162162162</v>
      </c>
      <c r="R556" s="36" t="n">
        <v>0.1251221028327858</v>
      </c>
      <c r="S556" s="36" t="n">
        <v>0.1082117293759202</v>
      </c>
      <c r="T556" s="36" t="n">
        <v>0.1519927261706318</v>
      </c>
      <c r="U556" s="31" t="n">
        <v>14570</v>
      </c>
      <c r="V556" s="31" t="n">
        <v>6510</v>
      </c>
      <c r="W556" s="36" t="n">
        <v>-0.1304049416609472</v>
      </c>
      <c r="X556" s="36" t="n">
        <v>0.946236559139785</v>
      </c>
      <c r="Y556" s="31" t="n">
        <v>17780753</v>
      </c>
      <c r="Z556" s="31" t="n">
        <v>225282140510</v>
      </c>
      <c r="AA556" s="31" t="n">
        <v>2721782070</v>
      </c>
      <c r="AB556" s="31" t="n">
        <v>2510781731</v>
      </c>
      <c r="AC556" s="36" t="n">
        <v>0.0120816593088043</v>
      </c>
      <c r="AD556" s="29" t="inlineStr">
        <is>
          <t>yfinance_download</t>
        </is>
      </c>
      <c r="AE556" s="29" t="inlineStr">
        <is>
          <t>102120.KQ</t>
        </is>
      </c>
    </row>
    <row r="557" ht="24" customHeight="1">
      <c r="A557" s="24" t="inlineStr">
        <is>
          <t>2025-09-17</t>
        </is>
      </c>
      <c r="B557" s="30" t="n">
        <v>12340</v>
      </c>
      <c r="C557" s="30" t="n">
        <v>12480</v>
      </c>
      <c r="D557" s="30" t="n">
        <v>12250</v>
      </c>
      <c r="E557" s="30" t="n">
        <v>12330</v>
      </c>
      <c r="F557" s="30" t="n">
        <v>12330</v>
      </c>
      <c r="G557" s="30" t="n">
        <v>173929</v>
      </c>
      <c r="H557" s="35" t="n">
        <v>-0.02683504340962906</v>
      </c>
      <c r="I557" s="35" t="n">
        <v>-0.4556291390728476</v>
      </c>
      <c r="J557" s="30" t="n">
        <v>11365</v>
      </c>
      <c r="K557" s="30" t="n">
        <v>11434</v>
      </c>
      <c r="L557" s="30" t="n">
        <v>11001.25</v>
      </c>
      <c r="M557" s="35" t="n">
        <v>0.3304466667343695</v>
      </c>
      <c r="N557" s="35" t="n">
        <v>0.360351896904345</v>
      </c>
      <c r="O557" s="35" t="n">
        <v>0.2029268292682926</v>
      </c>
      <c r="P557" s="35" t="n">
        <v>0.005709624796084833</v>
      </c>
      <c r="Q557" s="35" t="n">
        <v>0.02921535893155269</v>
      </c>
      <c r="R557" s="35" t="n">
        <v>0.08490981082270133</v>
      </c>
      <c r="S557" s="35" t="n">
        <v>0.07836277768060174</v>
      </c>
      <c r="T557" s="35" t="n">
        <v>0.1207817293489377</v>
      </c>
      <c r="U557" s="30" t="n">
        <v>14570</v>
      </c>
      <c r="V557" s="30" t="n">
        <v>6510</v>
      </c>
      <c r="W557" s="35" t="n">
        <v>-0.1537405628002745</v>
      </c>
      <c r="X557" s="35" t="n">
        <v>0.8940092165898617</v>
      </c>
      <c r="Y557" s="30" t="n">
        <v>17780753</v>
      </c>
      <c r="Z557" s="30" t="n">
        <v>219236684490</v>
      </c>
      <c r="AA557" s="30" t="n">
        <v>2144544570</v>
      </c>
      <c r="AB557" s="30" t="n">
        <v>2586146834.5</v>
      </c>
      <c r="AC557" s="35" t="n">
        <v>0.00978186919305386</v>
      </c>
      <c r="AD557" s="24" t="inlineStr">
        <is>
          <t>yfinance_download</t>
        </is>
      </c>
      <c r="AE557" s="24" t="inlineStr">
        <is>
          <t>102120.KQ</t>
        </is>
      </c>
    </row>
    <row r="558" ht="24" customHeight="1">
      <c r="A558" s="29" t="inlineStr">
        <is>
          <t>2025-09-18</t>
        </is>
      </c>
      <c r="B558" s="31" t="n">
        <v>12360</v>
      </c>
      <c r="C558" s="31" t="n">
        <v>12820</v>
      </c>
      <c r="D558" s="31" t="n">
        <v>12210</v>
      </c>
      <c r="E558" s="31" t="n">
        <v>12600</v>
      </c>
      <c r="F558" s="31" t="n">
        <v>12600</v>
      </c>
      <c r="G558" s="31" t="n">
        <v>311401</v>
      </c>
      <c r="H558" s="36" t="n">
        <v>0.02189781021897819</v>
      </c>
      <c r="I558" s="36" t="n">
        <v>-0.4437086092715232</v>
      </c>
      <c r="J558" s="31" t="n">
        <v>11482</v>
      </c>
      <c r="K558" s="31" t="n">
        <v>11432.33333333333</v>
      </c>
      <c r="L558" s="31" t="n">
        <v>11007.66666666667</v>
      </c>
      <c r="M558" s="36" t="n">
        <v>0.3316435297950892</v>
      </c>
      <c r="N558" s="36" t="n">
        <v>0.3555668780012354</v>
      </c>
      <c r="O558" s="36" t="n">
        <v>0.2280701754385965</v>
      </c>
      <c r="P558" s="36" t="n">
        <v>-0.007874015748031482</v>
      </c>
      <c r="Q558" s="36" t="n">
        <v>0.06508875739644981</v>
      </c>
      <c r="R558" s="36" t="n">
        <v>0.09736979620275221</v>
      </c>
      <c r="S558" s="36" t="n">
        <v>0.1021372131673324</v>
      </c>
      <c r="T558" s="36" t="n">
        <v>0.1446567543833086</v>
      </c>
      <c r="U558" s="31" t="n">
        <v>14570</v>
      </c>
      <c r="V558" s="31" t="n">
        <v>6510</v>
      </c>
      <c r="W558" s="36" t="n">
        <v>-0.1352093342484557</v>
      </c>
      <c r="X558" s="36" t="n">
        <v>0.935483870967742</v>
      </c>
      <c r="Y558" s="31" t="n">
        <v>17780753</v>
      </c>
      <c r="Z558" s="31" t="n">
        <v>224037487800</v>
      </c>
      <c r="AA558" s="31" t="n">
        <v>3923652600</v>
      </c>
      <c r="AB558" s="31" t="n">
        <v>2757186308.5</v>
      </c>
      <c r="AC558" s="36" t="n">
        <v>0.01751337527718877</v>
      </c>
      <c r="AD558" s="29" t="inlineStr">
        <is>
          <t>yfinance_download</t>
        </is>
      </c>
      <c r="AE558" s="29" t="inlineStr">
        <is>
          <t>102120.KQ</t>
        </is>
      </c>
    </row>
    <row r="559" ht="24" customHeight="1">
      <c r="A559" s="24" t="inlineStr">
        <is>
          <t>2025-09-19</t>
        </is>
      </c>
      <c r="B559" s="30" t="n">
        <v>13050</v>
      </c>
      <c r="C559" s="30" t="n">
        <v>13160</v>
      </c>
      <c r="D559" s="30" t="n">
        <v>12550</v>
      </c>
      <c r="E559" s="30" t="n">
        <v>12730</v>
      </c>
      <c r="F559" s="30" t="n">
        <v>12730</v>
      </c>
      <c r="G559" s="30" t="n">
        <v>428900</v>
      </c>
      <c r="H559" s="35" t="n">
        <v>0.01031746031746028</v>
      </c>
      <c r="I559" s="35" t="n">
        <v>-0.4379690949227373</v>
      </c>
      <c r="J559" s="30" t="n">
        <v>11606.5</v>
      </c>
      <c r="K559" s="30" t="n">
        <v>11438</v>
      </c>
      <c r="L559" s="30" t="n">
        <v>11020.16666666667</v>
      </c>
      <c r="M559" s="35" t="n">
        <v>0.3283627521975099</v>
      </c>
      <c r="N559" s="35" t="n">
        <v>0.3524454582329653</v>
      </c>
      <c r="O559" s="35" t="n">
        <v>0.2431640625</v>
      </c>
      <c r="P559" s="35" t="n">
        <v>0.02744148506860378</v>
      </c>
      <c r="Q559" s="35" t="n">
        <v>0.1335707925200356</v>
      </c>
      <c r="R559" s="35" t="n">
        <v>0.09679920734071423</v>
      </c>
      <c r="S559" s="35" t="n">
        <v>0.1129568106312293</v>
      </c>
      <c r="T559" s="35" t="n">
        <v>0.1551549432101753</v>
      </c>
      <c r="U559" s="30" t="n">
        <v>14570</v>
      </c>
      <c r="V559" s="30" t="n">
        <v>6510</v>
      </c>
      <c r="W559" s="35" t="n">
        <v>-0.1262868908716541</v>
      </c>
      <c r="X559" s="35" t="n">
        <v>0.9554531490015361</v>
      </c>
      <c r="Y559" s="30" t="n">
        <v>17780753</v>
      </c>
      <c r="Z559" s="30" t="n">
        <v>226348985690</v>
      </c>
      <c r="AA559" s="30" t="n">
        <v>5459897000</v>
      </c>
      <c r="AB559" s="30" t="n">
        <v>2997327142.5</v>
      </c>
      <c r="AC559" s="35" t="n">
        <v>0.02412158810147129</v>
      </c>
      <c r="AD559" s="24" t="inlineStr">
        <is>
          <t>yfinance_download</t>
        </is>
      </c>
      <c r="AE559" s="24" t="inlineStr">
        <is>
          <t>102120.KQ</t>
        </is>
      </c>
    </row>
    <row r="560" ht="24" customHeight="1">
      <c r="A560" s="29" t="inlineStr">
        <is>
          <t>2025-09-22</t>
        </is>
      </c>
      <c r="B560" s="31" t="n">
        <v>12750</v>
      </c>
      <c r="C560" s="31" t="n">
        <v>12920</v>
      </c>
      <c r="D560" s="31" t="n">
        <v>12530</v>
      </c>
      <c r="E560" s="31" t="n">
        <v>12570</v>
      </c>
      <c r="F560" s="31" t="n">
        <v>12570</v>
      </c>
      <c r="G560" s="31" t="n">
        <v>468415</v>
      </c>
      <c r="H560" s="36" t="n">
        <v>-0.01256873527101332</v>
      </c>
      <c r="I560" s="36" t="n">
        <v>-0.4450331125827814</v>
      </c>
      <c r="J560" s="31" t="n">
        <v>11705.5</v>
      </c>
      <c r="K560" s="31" t="n">
        <v>11445.66666666667</v>
      </c>
      <c r="L560" s="31" t="n">
        <v>11037.16666666667</v>
      </c>
      <c r="M560" s="36" t="n">
        <v>0.326793802341845</v>
      </c>
      <c r="N560" s="36" t="n">
        <v>0.3502065670221315</v>
      </c>
      <c r="O560" s="36" t="n">
        <v>0.1869688385269122</v>
      </c>
      <c r="P560" s="36" t="n">
        <v>0.03798513625103217</v>
      </c>
      <c r="Q560" s="36" t="n">
        <v>0.1937321937321936</v>
      </c>
      <c r="R560" s="36" t="n">
        <v>0.07385417111614201</v>
      </c>
      <c r="S560" s="36" t="n">
        <v>0.09823222762617601</v>
      </c>
      <c r="T560" s="36" t="n">
        <v>0.1388792413511923</v>
      </c>
      <c r="U560" s="31" t="n">
        <v>14570</v>
      </c>
      <c r="V560" s="31" t="n">
        <v>6510</v>
      </c>
      <c r="W560" s="36" t="n">
        <v>-0.1372683596431022</v>
      </c>
      <c r="X560" s="36" t="n">
        <v>0.9308755760368663</v>
      </c>
      <c r="Y560" s="31" t="n">
        <v>17780753</v>
      </c>
      <c r="Z560" s="31" t="n">
        <v>223504065210</v>
      </c>
      <c r="AA560" s="31" t="n">
        <v>5887976550</v>
      </c>
      <c r="AB560" s="31" t="n">
        <v>3272241958.5</v>
      </c>
      <c r="AC560" s="36" t="n">
        <v>0.02634393492784023</v>
      </c>
      <c r="AD560" s="29" t="inlineStr">
        <is>
          <t>yfinance_download</t>
        </is>
      </c>
      <c r="AE560" s="29" t="inlineStr">
        <is>
          <t>102120.KQ</t>
        </is>
      </c>
    </row>
    <row r="561" ht="24" customHeight="1">
      <c r="A561" s="24" t="inlineStr">
        <is>
          <t>2025-09-23</t>
        </is>
      </c>
      <c r="B561" s="30" t="n">
        <v>12800</v>
      </c>
      <c r="C561" s="30" t="n">
        <v>12900</v>
      </c>
      <c r="D561" s="30" t="n">
        <v>12150</v>
      </c>
      <c r="E561" s="30" t="n">
        <v>12270</v>
      </c>
      <c r="F561" s="30" t="n">
        <v>12270</v>
      </c>
      <c r="G561" s="30" t="n">
        <v>406869</v>
      </c>
      <c r="H561" s="35" t="n">
        <v>-0.0238663484486874</v>
      </c>
      <c r="I561" s="35" t="n">
        <v>-0.4582781456953643</v>
      </c>
      <c r="J561" s="30" t="n">
        <v>11788.5</v>
      </c>
      <c r="K561" s="30" t="n">
        <v>11452</v>
      </c>
      <c r="L561" s="30" t="n">
        <v>11056.08333333333</v>
      </c>
      <c r="M561" s="35" t="n">
        <v>0.346235619844099</v>
      </c>
      <c r="N561" s="35" t="n">
        <v>0.3517207226065125</v>
      </c>
      <c r="O561" s="35" t="n">
        <v>0.1564561734213006</v>
      </c>
      <c r="P561" s="35" t="n">
        <v>0.03195962994112689</v>
      </c>
      <c r="Q561" s="35" t="n">
        <v>0.2270000000000001</v>
      </c>
      <c r="R561" s="35" t="n">
        <v>0.04084489120753276</v>
      </c>
      <c r="S561" s="35" t="n">
        <v>0.0714285714285714</v>
      </c>
      <c r="T561" s="35" t="n">
        <v>0.1097962660074017</v>
      </c>
      <c r="U561" s="30" t="n">
        <v>14570</v>
      </c>
      <c r="V561" s="30" t="n">
        <v>6510</v>
      </c>
      <c r="W561" s="35" t="n">
        <v>-0.1578586135895677</v>
      </c>
      <c r="X561" s="35" t="n">
        <v>0.8847926267281105</v>
      </c>
      <c r="Y561" s="30" t="n">
        <v>17780753</v>
      </c>
      <c r="Z561" s="30" t="n">
        <v>218169839310</v>
      </c>
      <c r="AA561" s="30" t="n">
        <v>4992282630</v>
      </c>
      <c r="AB561" s="30" t="n">
        <v>3502170826.5</v>
      </c>
      <c r="AC561" s="35" t="n">
        <v>0.02288255171195505</v>
      </c>
      <c r="AD561" s="24" t="inlineStr">
        <is>
          <t>yfinance_download</t>
        </is>
      </c>
      <c r="AE561" s="24" t="inlineStr">
        <is>
          <t>102120.KQ</t>
        </is>
      </c>
    </row>
    <row r="562" ht="24" customHeight="1">
      <c r="A562" s="29" t="inlineStr">
        <is>
          <t>2025-09-24</t>
        </is>
      </c>
      <c r="B562" s="31" t="n">
        <v>12150</v>
      </c>
      <c r="C562" s="31" t="n">
        <v>12350</v>
      </c>
      <c r="D562" s="31" t="n">
        <v>12000</v>
      </c>
      <c r="E562" s="31" t="n">
        <v>12330</v>
      </c>
      <c r="F562" s="31" t="n">
        <v>12330</v>
      </c>
      <c r="G562" s="31" t="n">
        <v>241671</v>
      </c>
      <c r="H562" s="36" t="n">
        <v>0.004889975550122161</v>
      </c>
      <c r="I562" s="36" t="n">
        <v>-0.4556291390728476</v>
      </c>
      <c r="J562" s="31" t="n">
        <v>11874</v>
      </c>
      <c r="K562" s="31" t="n">
        <v>11460.5</v>
      </c>
      <c r="L562" s="31" t="n">
        <v>11073.16666666667</v>
      </c>
      <c r="M562" s="36" t="n">
        <v>0.345523793775683</v>
      </c>
      <c r="N562" s="36" t="n">
        <v>0.3515434837828483</v>
      </c>
      <c r="O562" s="36" t="n">
        <v>0.1610169491525424</v>
      </c>
      <c r="P562" s="36" t="n">
        <v>0.04314720812182737</v>
      </c>
      <c r="Q562" s="36" t="n">
        <v>0.1994163424124513</v>
      </c>
      <c r="R562" s="36" t="n">
        <v>0.03840323395654366</v>
      </c>
      <c r="S562" s="36" t="n">
        <v>0.07586929017058597</v>
      </c>
      <c r="T562" s="36" t="n">
        <v>0.1135026114179924</v>
      </c>
      <c r="U562" s="31" t="n">
        <v>14570</v>
      </c>
      <c r="V562" s="31" t="n">
        <v>6510</v>
      </c>
      <c r="W562" s="36" t="n">
        <v>-0.1537405628002745</v>
      </c>
      <c r="X562" s="36" t="n">
        <v>0.8940092165898617</v>
      </c>
      <c r="Y562" s="31" t="n">
        <v>17780753</v>
      </c>
      <c r="Z562" s="31" t="n">
        <v>219236684490</v>
      </c>
      <c r="AA562" s="31" t="n">
        <v>2979803430</v>
      </c>
      <c r="AB562" s="31" t="n">
        <v>3635655798</v>
      </c>
      <c r="AC562" s="36" t="n">
        <v>0.0135917190908619</v>
      </c>
      <c r="AD562" s="29" t="inlineStr">
        <is>
          <t>yfinance_download</t>
        </is>
      </c>
      <c r="AE562" s="29" t="inlineStr">
        <is>
          <t>102120.KQ</t>
        </is>
      </c>
    </row>
    <row r="563" ht="24" customHeight="1">
      <c r="A563" s="24" t="inlineStr">
        <is>
          <t>2025-09-25</t>
        </is>
      </c>
      <c r="B563" s="30" t="n">
        <v>12330</v>
      </c>
      <c r="C563" s="30" t="n">
        <v>12330</v>
      </c>
      <c r="D563" s="30" t="n">
        <v>11960</v>
      </c>
      <c r="E563" s="30" t="n">
        <v>11990</v>
      </c>
      <c r="F563" s="30" t="n">
        <v>11990</v>
      </c>
      <c r="G563" s="30" t="n">
        <v>174427</v>
      </c>
      <c r="H563" s="35" t="n">
        <v>-0.02757502027575021</v>
      </c>
      <c r="I563" s="35" t="n">
        <v>-0.4706401766004416</v>
      </c>
      <c r="J563" s="30" t="n">
        <v>11926</v>
      </c>
      <c r="K563" s="30" t="n">
        <v>11463.16666666667</v>
      </c>
      <c r="L563" s="30" t="n">
        <v>11089.83333333333</v>
      </c>
      <c r="M563" s="35" t="n">
        <v>0.3555146414706161</v>
      </c>
      <c r="N563" s="35" t="n">
        <v>0.3563698066204269</v>
      </c>
      <c r="O563" s="35" t="n">
        <v>0.0949771689497716</v>
      </c>
      <c r="P563" s="35" t="n">
        <v>0.01352493660185972</v>
      </c>
      <c r="Q563" s="35" t="n">
        <v>0.2002002002002001</v>
      </c>
      <c r="R563" s="35" t="n">
        <v>0.005366426295488891</v>
      </c>
      <c r="S563" s="35" t="n">
        <v>0.04595879556259908</v>
      </c>
      <c r="T563" s="35" t="n">
        <v>0.08117044139527185</v>
      </c>
      <c r="U563" s="30" t="n">
        <v>14570</v>
      </c>
      <c r="V563" s="30" t="n">
        <v>6510</v>
      </c>
      <c r="W563" s="35" t="n">
        <v>-0.1770761839396019</v>
      </c>
      <c r="X563" s="35" t="n">
        <v>0.8417818740399385</v>
      </c>
      <c r="Y563" s="30" t="n">
        <v>17780753</v>
      </c>
      <c r="Z563" s="30" t="n">
        <v>213191228470</v>
      </c>
      <c r="AA563" s="30" t="n">
        <v>2091379730</v>
      </c>
      <c r="AB563" s="30" t="n">
        <v>3664731104.5</v>
      </c>
      <c r="AC563" s="35" t="n">
        <v>0.009809877005771354</v>
      </c>
      <c r="AD563" s="24" t="inlineStr">
        <is>
          <t>yfinance_download</t>
        </is>
      </c>
      <c r="AE563" s="24" t="inlineStr">
        <is>
          <t>102120.KQ</t>
        </is>
      </c>
    </row>
    <row r="564" ht="24" customHeight="1">
      <c r="A564" s="29" t="inlineStr">
        <is>
          <t>2025-09-26</t>
        </is>
      </c>
      <c r="B564" s="31" t="n">
        <v>11880</v>
      </c>
      <c r="C564" s="31" t="n">
        <v>11980</v>
      </c>
      <c r="D564" s="31" t="n">
        <v>11420</v>
      </c>
      <c r="E564" s="31" t="n">
        <v>11490</v>
      </c>
      <c r="F564" s="31" t="n">
        <v>11490</v>
      </c>
      <c r="G564" s="31" t="n">
        <v>251048</v>
      </c>
      <c r="H564" s="36" t="n">
        <v>-0.0417014178482068</v>
      </c>
      <c r="I564" s="36" t="n">
        <v>-0.4927152317880795</v>
      </c>
      <c r="J564" s="31" t="n">
        <v>11933.5</v>
      </c>
      <c r="K564" s="31" t="n">
        <v>11451.33333333333</v>
      </c>
      <c r="L564" s="31" t="n">
        <v>11103.25</v>
      </c>
      <c r="M564" s="36" t="n">
        <v>0.3721293204620342</v>
      </c>
      <c r="N564" s="36" t="n">
        <v>0.3607820211136816</v>
      </c>
      <c r="O564" s="36" t="n">
        <v>0.01322751322751325</v>
      </c>
      <c r="P564" s="36" t="n">
        <v>-0.05819672131147546</v>
      </c>
      <c r="Q564" s="36" t="n">
        <v>0.1629554655870444</v>
      </c>
      <c r="R564" s="36" t="n">
        <v>-0.03716428541500816</v>
      </c>
      <c r="S564" s="36" t="n">
        <v>0.0033766082552249</v>
      </c>
      <c r="T564" s="36" t="n">
        <v>0.03483214374169719</v>
      </c>
      <c r="U564" s="31" t="n">
        <v>14570</v>
      </c>
      <c r="V564" s="31" t="n">
        <v>6510</v>
      </c>
      <c r="W564" s="36" t="n">
        <v>-0.2113932738503775</v>
      </c>
      <c r="X564" s="36" t="n">
        <v>0.7649769585253456</v>
      </c>
      <c r="Y564" s="31" t="n">
        <v>17780753</v>
      </c>
      <c r="Z564" s="31" t="n">
        <v>204300851970</v>
      </c>
      <c r="AA564" s="31" t="n">
        <v>2884541520</v>
      </c>
      <c r="AB564" s="31" t="n">
        <v>3720387110.5</v>
      </c>
      <c r="AC564" s="36" t="n">
        <v>0.01411908708253244</v>
      </c>
      <c r="AD564" s="29" t="inlineStr">
        <is>
          <t>yfinance_download</t>
        </is>
      </c>
      <c r="AE564" s="29" t="inlineStr">
        <is>
          <t>102120.KQ</t>
        </is>
      </c>
    </row>
    <row r="565" ht="24" customHeight="1">
      <c r="A565" s="24" t="inlineStr">
        <is>
          <t>2025-09-29</t>
        </is>
      </c>
      <c r="B565" s="30" t="n">
        <v>11450</v>
      </c>
      <c r="C565" s="30" t="n">
        <v>11880</v>
      </c>
      <c r="D565" s="30" t="n">
        <v>11450</v>
      </c>
      <c r="E565" s="30" t="n">
        <v>11820</v>
      </c>
      <c r="F565" s="30" t="n">
        <v>11820</v>
      </c>
      <c r="G565" s="30" t="n">
        <v>125838</v>
      </c>
      <c r="H565" s="35" t="n">
        <v>0.02872062663185382</v>
      </c>
      <c r="I565" s="35" t="n">
        <v>-0.4781456953642385</v>
      </c>
      <c r="J565" s="30" t="n">
        <v>11977.5</v>
      </c>
      <c r="K565" s="30" t="n">
        <v>11451.33333333333</v>
      </c>
      <c r="L565" s="30" t="n">
        <v>11120.41666666667</v>
      </c>
      <c r="M565" s="35" t="n">
        <v>0.3586675697797583</v>
      </c>
      <c r="N565" s="35" t="n">
        <v>0.3600956878984246</v>
      </c>
      <c r="O565" s="35" t="n">
        <v>0.08043875685557578</v>
      </c>
      <c r="P565" s="35" t="n">
        <v>0</v>
      </c>
      <c r="Q565" s="35" t="n">
        <v>0.2110655737704918</v>
      </c>
      <c r="R565" s="35" t="n">
        <v>-0.01314965560425796</v>
      </c>
      <c r="S565" s="35" t="n">
        <v>0.03219421319205917</v>
      </c>
      <c r="T565" s="35" t="n">
        <v>0.06290981303158616</v>
      </c>
      <c r="U565" s="30" t="n">
        <v>14570</v>
      </c>
      <c r="V565" s="30" t="n">
        <v>6510</v>
      </c>
      <c r="W565" s="35" t="n">
        <v>-0.1887439945092656</v>
      </c>
      <c r="X565" s="35" t="n">
        <v>0.8156682027649769</v>
      </c>
      <c r="Y565" s="30" t="n">
        <v>17780753</v>
      </c>
      <c r="Z565" s="30" t="n">
        <v>210168500460</v>
      </c>
      <c r="AA565" s="30" t="n">
        <v>1487405160</v>
      </c>
      <c r="AB565" s="30" t="n">
        <v>3754347196.5</v>
      </c>
      <c r="AC565" s="35" t="n">
        <v>0.007077203085831067</v>
      </c>
      <c r="AD565" s="24" t="inlineStr">
        <is>
          <t>yfinance_download</t>
        </is>
      </c>
      <c r="AE565" s="24" t="inlineStr">
        <is>
          <t>102120.KQ</t>
        </is>
      </c>
    </row>
    <row r="566" ht="24" customHeight="1">
      <c r="A566" s="29" t="inlineStr">
        <is>
          <t>2025-09-30</t>
        </is>
      </c>
      <c r="B566" s="31" t="n">
        <v>11840</v>
      </c>
      <c r="C566" s="31" t="n">
        <v>12220</v>
      </c>
      <c r="D566" s="31" t="n">
        <v>11820</v>
      </c>
      <c r="E566" s="31" t="n">
        <v>12000</v>
      </c>
      <c r="F566" s="31" t="n">
        <v>12000</v>
      </c>
      <c r="G566" s="31" t="n">
        <v>196002</v>
      </c>
      <c r="H566" s="36" t="n">
        <v>0.01522842639593902</v>
      </c>
      <c r="I566" s="36" t="n">
        <v>-0.4701986754966887</v>
      </c>
      <c r="J566" s="31" t="n">
        <v>12031</v>
      </c>
      <c r="K566" s="31" t="n">
        <v>11456.66666666667</v>
      </c>
      <c r="L566" s="31" t="n">
        <v>11146.41666666667</v>
      </c>
      <c r="M566" s="36" t="n">
        <v>0.3602369069026414</v>
      </c>
      <c r="N566" s="36" t="n">
        <v>0.3604851721971321</v>
      </c>
      <c r="O566" s="36" t="n">
        <v>0.09789569990850877</v>
      </c>
      <c r="P566" s="36" t="n">
        <v>0.02739726027397271</v>
      </c>
      <c r="Q566" s="36" t="n">
        <v>0.3513513513513513</v>
      </c>
      <c r="R566" s="36" t="n">
        <v>-0.002576676917961929</v>
      </c>
      <c r="S566" s="36" t="n">
        <v>0.04742508001163803</v>
      </c>
      <c r="T566" s="36" t="n">
        <v>0.07657916968831535</v>
      </c>
      <c r="U566" s="31" t="n">
        <v>14570</v>
      </c>
      <c r="V566" s="31" t="n">
        <v>6510</v>
      </c>
      <c r="W566" s="36" t="n">
        <v>-0.1763898421413864</v>
      </c>
      <c r="X566" s="36" t="n">
        <v>0.8433179723502304</v>
      </c>
      <c r="Y566" s="31" t="n">
        <v>17780753</v>
      </c>
      <c r="Z566" s="31" t="n">
        <v>213369036000</v>
      </c>
      <c r="AA566" s="31" t="n">
        <v>2352024000</v>
      </c>
      <c r="AB566" s="31" t="n">
        <v>3844843636</v>
      </c>
      <c r="AC566" s="36" t="n">
        <v>0.01102326768725711</v>
      </c>
      <c r="AD566" s="29" t="inlineStr">
        <is>
          <t>yfinance_download</t>
        </is>
      </c>
      <c r="AE566" s="29" t="inlineStr">
        <is>
          <t>102120.KQ</t>
        </is>
      </c>
    </row>
    <row r="567" ht="24" customHeight="1">
      <c r="A567" s="24" t="inlineStr">
        <is>
          <t>2025-10-01</t>
        </is>
      </c>
      <c r="B567" s="30" t="n">
        <v>12280</v>
      </c>
      <c r="C567" s="30" t="n">
        <v>12980</v>
      </c>
      <c r="D567" s="30" t="n">
        <v>12220</v>
      </c>
      <c r="E567" s="30" t="n">
        <v>12900</v>
      </c>
      <c r="F567" s="30" t="n">
        <v>12900</v>
      </c>
      <c r="G567" s="30" t="n">
        <v>1510233</v>
      </c>
      <c r="H567" s="35" t="n">
        <v>0.07499999999999996</v>
      </c>
      <c r="I567" s="35" t="n">
        <v>-0.4304635761589404</v>
      </c>
      <c r="J567" s="30" t="n">
        <v>12131</v>
      </c>
      <c r="K567" s="30" t="n">
        <v>11476</v>
      </c>
      <c r="L567" s="30" t="n">
        <v>11179.41666666667</v>
      </c>
      <c r="M567" s="35" t="n">
        <v>0.4360148099299931</v>
      </c>
      <c r="N567" s="35" t="n">
        <v>0.3912730799562666</v>
      </c>
      <c r="O567" s="35" t="n">
        <v>0.1834862385321101</v>
      </c>
      <c r="P567" s="35" t="n">
        <v>0.09880749574105629</v>
      </c>
      <c r="Q567" s="35" t="n">
        <v>0.4429530201342282</v>
      </c>
      <c r="R567" s="35" t="n">
        <v>0.06339131151595079</v>
      </c>
      <c r="S567" s="35" t="n">
        <v>0.124085047054723</v>
      </c>
      <c r="T567" s="35" t="n">
        <v>0.153906360647917</v>
      </c>
      <c r="U567" s="30" t="n">
        <v>14570</v>
      </c>
      <c r="V567" s="30" t="n">
        <v>6510</v>
      </c>
      <c r="W567" s="35" t="n">
        <v>-0.1146190803019904</v>
      </c>
      <c r="X567" s="35" t="n">
        <v>0.9815668202764978</v>
      </c>
      <c r="Y567" s="30" t="n">
        <v>17780753</v>
      </c>
      <c r="Z567" s="30" t="n">
        <v>229371713700</v>
      </c>
      <c r="AA567" s="30" t="n">
        <v>19482005700</v>
      </c>
      <c r="AB567" s="30" t="n">
        <v>4795008611</v>
      </c>
      <c r="AC567" s="35" t="n">
        <v>0.08493639161401095</v>
      </c>
      <c r="AD567" s="24" t="inlineStr">
        <is>
          <t>yfinance_download</t>
        </is>
      </c>
      <c r="AE567" s="24" t="inlineStr">
        <is>
          <t>102120.KQ</t>
        </is>
      </c>
    </row>
    <row r="568" ht="24" customHeight="1">
      <c r="A568" s="29" t="inlineStr">
        <is>
          <t>2025-10-02</t>
        </is>
      </c>
      <c r="B568" s="31" t="n">
        <v>13350</v>
      </c>
      <c r="C568" s="31" t="n">
        <v>13820</v>
      </c>
      <c r="D568" s="31" t="n">
        <v>13130</v>
      </c>
      <c r="E568" s="31" t="n">
        <v>13350</v>
      </c>
      <c r="F568" s="31" t="n">
        <v>13350</v>
      </c>
      <c r="G568" s="31" t="n">
        <v>2294506</v>
      </c>
      <c r="H568" s="36" t="n">
        <v>0.03488372093023262</v>
      </c>
      <c r="I568" s="36" t="n">
        <v>-0.4105960264900662</v>
      </c>
      <c r="J568" s="31" t="n">
        <v>12241</v>
      </c>
      <c r="K568" s="31" t="n">
        <v>11504.83333333333</v>
      </c>
      <c r="L568" s="31" t="n">
        <v>11217.33333333333</v>
      </c>
      <c r="M568" s="36" t="n">
        <v>0.4431518210982199</v>
      </c>
      <c r="N568" s="36" t="n">
        <v>0.3962084189333968</v>
      </c>
      <c r="O568" s="36" t="n">
        <v>0.1973094170403586</v>
      </c>
      <c r="P568" s="36" t="n">
        <v>0.148881239242685</v>
      </c>
      <c r="Q568" s="36" t="n">
        <v>0.5170454545454546</v>
      </c>
      <c r="R568" s="36" t="n">
        <v>0.09059717343354312</v>
      </c>
      <c r="S568" s="36" t="n">
        <v>0.1603818684900549</v>
      </c>
      <c r="T568" s="36" t="n">
        <v>0.1901224295732793</v>
      </c>
      <c r="U568" s="31" t="n">
        <v>14570</v>
      </c>
      <c r="V568" s="31" t="n">
        <v>6510</v>
      </c>
      <c r="W568" s="36" t="n">
        <v>-0.08373369938229236</v>
      </c>
      <c r="X568" s="36" t="n">
        <v>1.050691244239631</v>
      </c>
      <c r="Y568" s="31" t="n">
        <v>17780753</v>
      </c>
      <c r="Z568" s="31" t="n">
        <v>237373052550</v>
      </c>
      <c r="AA568" s="31" t="n">
        <v>30631655100</v>
      </c>
      <c r="AB568" s="31" t="n">
        <v>6297880116</v>
      </c>
      <c r="AC568" s="36" t="n">
        <v>0.1290443661188027</v>
      </c>
      <c r="AD568" s="29" t="inlineStr">
        <is>
          <t>yfinance_download</t>
        </is>
      </c>
      <c r="AE568" s="29" t="inlineStr">
        <is>
          <t>102120.KQ</t>
        </is>
      </c>
    </row>
    <row r="569" ht="24" customHeight="1">
      <c r="A569" s="24" t="inlineStr">
        <is>
          <t>2025-10-10</t>
        </is>
      </c>
      <c r="B569" s="30" t="n">
        <v>14100</v>
      </c>
      <c r="C569" s="30" t="n">
        <v>14370</v>
      </c>
      <c r="D569" s="30" t="n">
        <v>13560</v>
      </c>
      <c r="E569" s="30" t="n">
        <v>13750</v>
      </c>
      <c r="F569" s="30" t="n">
        <v>13750</v>
      </c>
      <c r="G569" s="30" t="n">
        <v>1248825</v>
      </c>
      <c r="H569" s="35" t="n">
        <v>0.02996254681647947</v>
      </c>
      <c r="I569" s="35" t="n">
        <v>-0.3929359823399559</v>
      </c>
      <c r="J569" s="30" t="n">
        <v>12364.5</v>
      </c>
      <c r="K569" s="30" t="n">
        <v>11539.83333333333</v>
      </c>
      <c r="L569" s="30" t="n">
        <v>11252.75</v>
      </c>
      <c r="M569" s="35" t="n">
        <v>0.4491062520705924</v>
      </c>
      <c r="N569" s="35" t="n">
        <v>0.400151077497021</v>
      </c>
      <c r="O569" s="35" t="n">
        <v>0.2189716312056738</v>
      </c>
      <c r="P569" s="35" t="n">
        <v>0.1802575107296138</v>
      </c>
      <c r="Q569" s="35" t="n">
        <v>0.4473684210526316</v>
      </c>
      <c r="R569" s="35" t="n">
        <v>0.1120546726515428</v>
      </c>
      <c r="S569" s="35" t="n">
        <v>0.1915250075824317</v>
      </c>
      <c r="T569" s="35" t="n">
        <v>0.2219235298038258</v>
      </c>
      <c r="U569" s="30" t="n">
        <v>14570</v>
      </c>
      <c r="V569" s="30" t="n">
        <v>6510</v>
      </c>
      <c r="W569" s="35" t="n">
        <v>-0.05628002745367189</v>
      </c>
      <c r="X569" s="35" t="n">
        <v>1.112135176651306</v>
      </c>
      <c r="Y569" s="30" t="n">
        <v>17780753</v>
      </c>
      <c r="Z569" s="30" t="n">
        <v>244485353750</v>
      </c>
      <c r="AA569" s="30" t="n">
        <v>17171343750</v>
      </c>
      <c r="AB569" s="30" t="n">
        <v>7115417995.5</v>
      </c>
      <c r="AC569" s="35" t="n">
        <v>0.07023465204201419</v>
      </c>
      <c r="AD569" s="24" t="inlineStr">
        <is>
          <t>yfinance_download</t>
        </is>
      </c>
      <c r="AE569" s="24" t="inlineStr">
        <is>
          <t>102120.KQ</t>
        </is>
      </c>
    </row>
    <row r="570" ht="24" customHeight="1">
      <c r="A570" s="29" t="inlineStr">
        <is>
          <t>2025-10-13</t>
        </is>
      </c>
      <c r="B570" s="31" t="n">
        <v>13050</v>
      </c>
      <c r="C570" s="31" t="n">
        <v>13560</v>
      </c>
      <c r="D570" s="31" t="n">
        <v>13050</v>
      </c>
      <c r="E570" s="31" t="n">
        <v>13410</v>
      </c>
      <c r="F570" s="31" t="n">
        <v>13410</v>
      </c>
      <c r="G570" s="31" t="n">
        <v>591109</v>
      </c>
      <c r="H570" s="36" t="n">
        <v>-0.02472727272727271</v>
      </c>
      <c r="I570" s="36" t="n">
        <v>-0.4079470198675497</v>
      </c>
      <c r="J570" s="31" t="n">
        <v>12464.5</v>
      </c>
      <c r="K570" s="31" t="n">
        <v>11566.83333333333</v>
      </c>
      <c r="L570" s="31" t="n">
        <v>11284.25</v>
      </c>
      <c r="M570" s="36" t="n">
        <v>0.4659425866564791</v>
      </c>
      <c r="N570" s="36" t="n">
        <v>0.4037142753465701</v>
      </c>
      <c r="O570" s="36" t="n">
        <v>0.175284837861525</v>
      </c>
      <c r="P570" s="36" t="n">
        <v>0.1374045801526718</v>
      </c>
      <c r="Q570" s="36" t="n">
        <v>0.3925233644859814</v>
      </c>
      <c r="R570" s="36" t="n">
        <v>0.07585542941955148</v>
      </c>
      <c r="S570" s="36" t="n">
        <v>0.1593492889151453</v>
      </c>
      <c r="T570" s="36" t="n">
        <v>0.1883820369098523</v>
      </c>
      <c r="U570" s="31" t="n">
        <v>14570</v>
      </c>
      <c r="V570" s="31" t="n">
        <v>6510</v>
      </c>
      <c r="W570" s="36" t="n">
        <v>-0.0796156485929993</v>
      </c>
      <c r="X570" s="36" t="n">
        <v>1.059907834101383</v>
      </c>
      <c r="Y570" s="31" t="n">
        <v>17780753</v>
      </c>
      <c r="Z570" s="31" t="n">
        <v>238439897730</v>
      </c>
      <c r="AA570" s="31" t="n">
        <v>7926771690</v>
      </c>
      <c r="AB570" s="31" t="n">
        <v>7459774902</v>
      </c>
      <c r="AC570" s="36" t="n">
        <v>0.0332443176056717</v>
      </c>
      <c r="AD570" s="29" t="inlineStr">
        <is>
          <t>yfinance_download</t>
        </is>
      </c>
      <c r="AE570" s="29" t="inlineStr">
        <is>
          <t>102120.KQ</t>
        </is>
      </c>
    </row>
    <row r="571" ht="24" customHeight="1">
      <c r="A571" s="24" t="inlineStr">
        <is>
          <t>2025-10-14</t>
        </is>
      </c>
      <c r="B571" s="30" t="n">
        <v>13990</v>
      </c>
      <c r="C571" s="30" t="n">
        <v>13990</v>
      </c>
      <c r="D571" s="30" t="n">
        <v>12610</v>
      </c>
      <c r="E571" s="30" t="n">
        <v>12770</v>
      </c>
      <c r="F571" s="30" t="n">
        <v>12770</v>
      </c>
      <c r="G571" s="30" t="n">
        <v>1191215</v>
      </c>
      <c r="H571" s="35" t="n">
        <v>-0.04772557792692023</v>
      </c>
      <c r="I571" s="35" t="n">
        <v>-0.4362030905077263</v>
      </c>
      <c r="J571" s="30" t="n">
        <v>12517</v>
      </c>
      <c r="K571" s="30" t="n">
        <v>11586.33333333333</v>
      </c>
      <c r="L571" s="30" t="n">
        <v>11307.08333333333</v>
      </c>
      <c r="M571" s="35" t="n">
        <v>0.5007146999335463</v>
      </c>
      <c r="N571" s="35" t="n">
        <v>0.41496848406752</v>
      </c>
      <c r="O571" s="35" t="n">
        <v>0.08959044368600688</v>
      </c>
      <c r="P571" s="35" t="n">
        <v>0.1008620689655173</v>
      </c>
      <c r="Q571" s="35" t="n">
        <v>0.2731804586241275</v>
      </c>
      <c r="R571" s="35" t="n">
        <v>0.02021251098506038</v>
      </c>
      <c r="S571" s="35" t="n">
        <v>0.1021605915014816</v>
      </c>
      <c r="T571" s="35" t="n">
        <v>0.1293805505398533</v>
      </c>
      <c r="U571" s="30" t="n">
        <v>14570</v>
      </c>
      <c r="V571" s="30" t="n">
        <v>6510</v>
      </c>
      <c r="W571" s="35" t="n">
        <v>-0.123541523678792</v>
      </c>
      <c r="X571" s="35" t="n">
        <v>0.9615975422427034</v>
      </c>
      <c r="Y571" s="30" t="n">
        <v>17780753</v>
      </c>
      <c r="Z571" s="30" t="n">
        <v>227060215810</v>
      </c>
      <c r="AA571" s="30" t="n">
        <v>15211815550</v>
      </c>
      <c r="AB571" s="30" t="n">
        <v>8133568531.5</v>
      </c>
      <c r="AC571" s="35" t="n">
        <v>0.06699463177965523</v>
      </c>
      <c r="AD571" s="24" t="inlineStr">
        <is>
          <t>yfinance_download</t>
        </is>
      </c>
      <c r="AE571" s="24" t="inlineStr">
        <is>
          <t>102120.KQ</t>
        </is>
      </c>
    </row>
    <row r="572" ht="24" customHeight="1">
      <c r="A572" s="29" t="inlineStr">
        <is>
          <t>2025-10-15</t>
        </is>
      </c>
      <c r="B572" s="31" t="n">
        <v>12900</v>
      </c>
      <c r="C572" s="31" t="n">
        <v>13470</v>
      </c>
      <c r="D572" s="31" t="n">
        <v>12900</v>
      </c>
      <c r="E572" s="31" t="n">
        <v>13470</v>
      </c>
      <c r="F572" s="31" t="n">
        <v>13470</v>
      </c>
      <c r="G572" s="31" t="n">
        <v>555690</v>
      </c>
      <c r="H572" s="36" t="n">
        <v>0.05481597494126866</v>
      </c>
      <c r="I572" s="36" t="n">
        <v>-0.4052980132450331</v>
      </c>
      <c r="J572" s="31" t="n">
        <v>12586</v>
      </c>
      <c r="K572" s="31" t="n">
        <v>11613</v>
      </c>
      <c r="L572" s="31" t="n">
        <v>11334.58333333333</v>
      </c>
      <c r="M572" s="36" t="n">
        <v>0.523498430862848</v>
      </c>
      <c r="N572" s="36" t="n">
        <v>0.4267623441136464</v>
      </c>
      <c r="O572" s="36" t="n">
        <v>0.1141439205955335</v>
      </c>
      <c r="P572" s="36" t="n">
        <v>0.1347935973041281</v>
      </c>
      <c r="Q572" s="36" t="n">
        <v>0.3244837758112094</v>
      </c>
      <c r="R572" s="36" t="n">
        <v>0.07023677101541392</v>
      </c>
      <c r="S572" s="36" t="n">
        <v>0.1599070007749936</v>
      </c>
      <c r="T572" s="36" t="n">
        <v>0.1883983384185568</v>
      </c>
      <c r="U572" s="31" t="n">
        <v>14570</v>
      </c>
      <c r="V572" s="31" t="n">
        <v>6510</v>
      </c>
      <c r="W572" s="36" t="n">
        <v>-0.07549759780370624</v>
      </c>
      <c r="X572" s="36" t="n">
        <v>1.069124423963133</v>
      </c>
      <c r="Y572" s="31" t="n">
        <v>17780753</v>
      </c>
      <c r="Z572" s="31" t="n">
        <v>239506742910</v>
      </c>
      <c r="AA572" s="31" t="n">
        <v>7485144300</v>
      </c>
      <c r="AB572" s="31" t="n">
        <v>7576478037</v>
      </c>
      <c r="AC572" s="36" t="n">
        <v>0.03125233222687476</v>
      </c>
      <c r="AD572" s="29" t="inlineStr">
        <is>
          <t>yfinance_download</t>
        </is>
      </c>
      <c r="AE572" s="29" t="inlineStr">
        <is>
          <t>102120.KQ</t>
        </is>
      </c>
    </row>
    <row r="573" ht="24" customHeight="1">
      <c r="A573" s="24" t="inlineStr">
        <is>
          <t>2025-10-16</t>
        </is>
      </c>
      <c r="B573" s="30" t="n">
        <v>13470</v>
      </c>
      <c r="C573" s="30" t="n">
        <v>13600</v>
      </c>
      <c r="D573" s="30" t="n">
        <v>13200</v>
      </c>
      <c r="E573" s="30" t="n">
        <v>13250</v>
      </c>
      <c r="F573" s="30" t="n">
        <v>13250</v>
      </c>
      <c r="G573" s="30" t="n">
        <v>427338</v>
      </c>
      <c r="H573" s="35" t="n">
        <v>-0.0163325909428359</v>
      </c>
      <c r="I573" s="35" t="n">
        <v>-0.4150110375275938</v>
      </c>
      <c r="J573" s="30" t="n">
        <v>12646.5</v>
      </c>
      <c r="K573" s="30" t="n">
        <v>11636.33333333333</v>
      </c>
      <c r="L573" s="30" t="n">
        <v>11362.58333333333</v>
      </c>
      <c r="M573" s="35" t="n">
        <v>0.5283766952938921</v>
      </c>
      <c r="N573" s="35" t="n">
        <v>0.4284229666287504</v>
      </c>
      <c r="O573" s="35" t="n">
        <v>0.1004983388704319</v>
      </c>
      <c r="P573" s="35" t="n">
        <v>0.1181434599156117</v>
      </c>
      <c r="Q573" s="35" t="n">
        <v>0.3397371081900911</v>
      </c>
      <c r="R573" s="35" t="n">
        <v>0.04772071324081772</v>
      </c>
      <c r="S573" s="35" t="n">
        <v>0.1386748402990632</v>
      </c>
      <c r="T573" s="35" t="n">
        <v>0.1661080593468327</v>
      </c>
      <c r="U573" s="30" t="n">
        <v>14570</v>
      </c>
      <c r="V573" s="30" t="n">
        <v>6510</v>
      </c>
      <c r="W573" s="35" t="n">
        <v>-0.09059711736444753</v>
      </c>
      <c r="X573" s="35" t="n">
        <v>1.035330261136713</v>
      </c>
      <c r="Y573" s="30" t="n">
        <v>17780753</v>
      </c>
      <c r="Z573" s="30" t="n">
        <v>235594977250</v>
      </c>
      <c r="AA573" s="30" t="n">
        <v>5662228500</v>
      </c>
      <c r="AB573" s="30" t="n">
        <v>7738270810</v>
      </c>
      <c r="AC573" s="35" t="n">
        <v>0.02403374030334936</v>
      </c>
      <c r="AD573" s="24" t="inlineStr">
        <is>
          <t>yfinance_download</t>
        </is>
      </c>
      <c r="AE573" s="24" t="inlineStr">
        <is>
          <t>102120.KQ</t>
        </is>
      </c>
    </row>
    <row r="574" ht="24" customHeight="1">
      <c r="A574" s="29" t="inlineStr">
        <is>
          <t>2025-10-17</t>
        </is>
      </c>
      <c r="B574" s="31" t="n">
        <v>13000</v>
      </c>
      <c r="C574" s="31" t="n">
        <v>13380</v>
      </c>
      <c r="D574" s="31" t="n">
        <v>12920</v>
      </c>
      <c r="E574" s="31" t="n">
        <v>13000</v>
      </c>
      <c r="F574" s="31" t="n">
        <v>13000</v>
      </c>
      <c r="G574" s="31" t="n">
        <v>346381</v>
      </c>
      <c r="H574" s="36" t="n">
        <v>-0.01886792452830188</v>
      </c>
      <c r="I574" s="36" t="n">
        <v>-0.4260485651214128</v>
      </c>
      <c r="J574" s="31" t="n">
        <v>12675.5</v>
      </c>
      <c r="K574" s="31" t="n">
        <v>11657.66666666667</v>
      </c>
      <c r="L574" s="31" t="n">
        <v>11386.16666666667</v>
      </c>
      <c r="M574" s="36" t="n">
        <v>0.5254741950497434</v>
      </c>
      <c r="N574" s="36" t="n">
        <v>0.4297650342905144</v>
      </c>
      <c r="O574" s="36" t="n">
        <v>0.04669887278582929</v>
      </c>
      <c r="P574" s="36" t="n">
        <v>0.1092150170648465</v>
      </c>
      <c r="Q574" s="36" t="n">
        <v>0.2782694198623401</v>
      </c>
      <c r="R574" s="36" t="n">
        <v>0.02560056802493005</v>
      </c>
      <c r="S574" s="36" t="n">
        <v>0.1151459697480914</v>
      </c>
      <c r="T574" s="36" t="n">
        <v>0.1417363174612469</v>
      </c>
      <c r="U574" s="31" t="n">
        <v>14570</v>
      </c>
      <c r="V574" s="31" t="n">
        <v>6510</v>
      </c>
      <c r="W574" s="36" t="n">
        <v>-0.1077556623198352</v>
      </c>
      <c r="X574" s="36" t="n">
        <v>0.9969278033794162</v>
      </c>
      <c r="Y574" s="31" t="n">
        <v>17780753</v>
      </c>
      <c r="Z574" s="31" t="n">
        <v>231149789000</v>
      </c>
      <c r="AA574" s="31" t="n">
        <v>4502953000</v>
      </c>
      <c r="AB574" s="31" t="n">
        <v>7795467147</v>
      </c>
      <c r="AC574" s="36" t="n">
        <v>0.0194806710379476</v>
      </c>
      <c r="AD574" s="29" t="inlineStr">
        <is>
          <t>yfinance_download</t>
        </is>
      </c>
      <c r="AE574" s="29" t="inlineStr">
        <is>
          <t>102120.KQ</t>
        </is>
      </c>
    </row>
    <row r="575" ht="24" customHeight="1">
      <c r="A575" s="24" t="inlineStr">
        <is>
          <t>2025-10-20</t>
        </is>
      </c>
      <c r="B575" s="30" t="n">
        <v>13200</v>
      </c>
      <c r="C575" s="30" t="n">
        <v>13600</v>
      </c>
      <c r="D575" s="30" t="n">
        <v>12910</v>
      </c>
      <c r="E575" s="30" t="n">
        <v>13510</v>
      </c>
      <c r="F575" s="30" t="n">
        <v>13510</v>
      </c>
      <c r="G575" s="30" t="n">
        <v>497759</v>
      </c>
      <c r="H575" s="35" t="n">
        <v>0.03923076923076918</v>
      </c>
      <c r="I575" s="35" t="n">
        <v>-0.403532008830022</v>
      </c>
      <c r="J575" s="30" t="n">
        <v>12710.5</v>
      </c>
      <c r="K575" s="30" t="n">
        <v>11691.66666666667</v>
      </c>
      <c r="L575" s="30" t="n">
        <v>11415</v>
      </c>
      <c r="M575" s="35" t="n">
        <v>0.531823281300132</v>
      </c>
      <c r="N575" s="35" t="n">
        <v>0.4335749128153877</v>
      </c>
      <c r="O575" s="35" t="n">
        <v>0.05464480874316946</v>
      </c>
      <c r="P575" s="35" t="n">
        <v>0.1778552746294682</v>
      </c>
      <c r="Q575" s="35" t="n">
        <v>0.3442786069651742</v>
      </c>
      <c r="R575" s="35" t="n">
        <v>0.06290075134731121</v>
      </c>
      <c r="S575" s="35" t="n">
        <v>0.1555238774055596</v>
      </c>
      <c r="T575" s="35" t="n">
        <v>0.1835304424003503</v>
      </c>
      <c r="U575" s="30" t="n">
        <v>14570</v>
      </c>
      <c r="V575" s="30" t="n">
        <v>6510</v>
      </c>
      <c r="W575" s="35" t="n">
        <v>-0.07275223061084424</v>
      </c>
      <c r="X575" s="35" t="n">
        <v>1.075268817204301</v>
      </c>
      <c r="Y575" s="30" t="n">
        <v>17780753</v>
      </c>
      <c r="Z575" s="30" t="n">
        <v>240217973030</v>
      </c>
      <c r="AA575" s="30" t="n">
        <v>6724724090</v>
      </c>
      <c r="AB575" s="30" t="n">
        <v>7586196547</v>
      </c>
      <c r="AC575" s="35" t="n">
        <v>0.02799425873583644</v>
      </c>
      <c r="AD575" s="24" t="inlineStr">
        <is>
          <t>yfinance_download</t>
        </is>
      </c>
      <c r="AE575" s="24" t="inlineStr">
        <is>
          <t>102120.KQ</t>
        </is>
      </c>
    </row>
    <row r="576" ht="24" customHeight="1">
      <c r="A576" s="29" t="inlineStr">
        <is>
          <t>2025-10-21</t>
        </is>
      </c>
      <c r="B576" s="31" t="n">
        <v>13600</v>
      </c>
      <c r="C576" s="31" t="n">
        <v>13640</v>
      </c>
      <c r="D576" s="31" t="n">
        <v>13080</v>
      </c>
      <c r="E576" s="31" t="n">
        <v>13200</v>
      </c>
      <c r="F576" s="31" t="n">
        <v>13200</v>
      </c>
      <c r="G576" s="31" t="n">
        <v>468716</v>
      </c>
      <c r="H576" s="36" t="n">
        <v>-0.02294596595114728</v>
      </c>
      <c r="I576" s="36" t="n">
        <v>-0.4172185430463576</v>
      </c>
      <c r="J576" s="31" t="n">
        <v>12737</v>
      </c>
      <c r="K576" s="31" t="n">
        <v>11721.5</v>
      </c>
      <c r="L576" s="31" t="n">
        <v>11441.41666666667</v>
      </c>
      <c r="M576" s="36" t="n">
        <v>0.5377327391334126</v>
      </c>
      <c r="N576" s="36" t="n">
        <v>0.4365380235738153</v>
      </c>
      <c r="O576" s="36" t="n">
        <v>0.04183109707971577</v>
      </c>
      <c r="P576" s="36" t="n">
        <v>0.1568799298860648</v>
      </c>
      <c r="Q576" s="36" t="n">
        <v>0.3160518444666003</v>
      </c>
      <c r="R576" s="36" t="n">
        <v>0.03635078903980538</v>
      </c>
      <c r="S576" s="36" t="n">
        <v>0.1261357334812097</v>
      </c>
      <c r="T576" s="36" t="n">
        <v>0.1537032855779807</v>
      </c>
      <c r="U576" s="31" t="n">
        <v>14570</v>
      </c>
      <c r="V576" s="31" t="n">
        <v>6510</v>
      </c>
      <c r="W576" s="36" t="n">
        <v>-0.09402882635552501</v>
      </c>
      <c r="X576" s="36" t="n">
        <v>1.027649769585254</v>
      </c>
      <c r="Y576" s="31" t="n">
        <v>17780753</v>
      </c>
      <c r="Z576" s="31" t="n">
        <v>234705939600</v>
      </c>
      <c r="AA576" s="31" t="n">
        <v>6187051200</v>
      </c>
      <c r="AB576" s="31" t="n">
        <v>7759460003.5</v>
      </c>
      <c r="AC576" s="36" t="n">
        <v>0.02636086334476386</v>
      </c>
      <c r="AD576" s="29" t="inlineStr">
        <is>
          <t>yfinance_download</t>
        </is>
      </c>
      <c r="AE576" s="29" t="inlineStr">
        <is>
          <t>102120.KQ</t>
        </is>
      </c>
    </row>
    <row r="577" ht="24" customHeight="1">
      <c r="A577" s="24" t="inlineStr">
        <is>
          <t>2025-10-22</t>
        </is>
      </c>
      <c r="B577" s="30" t="n">
        <v>13200</v>
      </c>
      <c r="C577" s="30" t="n">
        <v>13200</v>
      </c>
      <c r="D577" s="30" t="n">
        <v>12670</v>
      </c>
      <c r="E577" s="30" t="n">
        <v>12980</v>
      </c>
      <c r="F577" s="30" t="n">
        <v>12980</v>
      </c>
      <c r="G577" s="30" t="n">
        <v>264111</v>
      </c>
      <c r="H577" s="35" t="n">
        <v>-0.01666666666666672</v>
      </c>
      <c r="I577" s="35" t="n">
        <v>-0.4269315673289183</v>
      </c>
      <c r="J577" s="30" t="n">
        <v>12769.5</v>
      </c>
      <c r="K577" s="30" t="n">
        <v>11752.33333333333</v>
      </c>
      <c r="L577" s="30" t="n">
        <v>11466.08333333333</v>
      </c>
      <c r="M577" s="35" t="n">
        <v>0.5315284220503056</v>
      </c>
      <c r="N577" s="35" t="n">
        <v>0.4347262743021528</v>
      </c>
      <c r="O577" s="35" t="n">
        <v>0.0527169505271694</v>
      </c>
      <c r="P577" s="35" t="n">
        <v>0.1662174303683737</v>
      </c>
      <c r="Q577" s="35" t="n">
        <v>0.2954091816367266</v>
      </c>
      <c r="R577" s="35" t="n">
        <v>0.01648459219233334</v>
      </c>
      <c r="S577" s="35" t="n">
        <v>0.1044615253708483</v>
      </c>
      <c r="T577" s="35" t="n">
        <v>0.1320343331419476</v>
      </c>
      <c r="U577" s="30" t="n">
        <v>14570</v>
      </c>
      <c r="V577" s="30" t="n">
        <v>6510</v>
      </c>
      <c r="W577" s="35" t="n">
        <v>-0.1091283459162663</v>
      </c>
      <c r="X577" s="35" t="n">
        <v>0.9938556067588327</v>
      </c>
      <c r="Y577" s="30" t="n">
        <v>17780753</v>
      </c>
      <c r="Z577" s="30" t="n">
        <v>230794173940</v>
      </c>
      <c r="AA577" s="30" t="n">
        <v>3428160780</v>
      </c>
      <c r="AB577" s="30" t="n">
        <v>7823640814</v>
      </c>
      <c r="AC577" s="35" t="n">
        <v>0.01485375788078266</v>
      </c>
      <c r="AD577" s="24" t="inlineStr">
        <is>
          <t>yfinance_download</t>
        </is>
      </c>
      <c r="AE577" s="24" t="inlineStr">
        <is>
          <t>102120.KQ</t>
        </is>
      </c>
    </row>
    <row r="578" ht="24" customHeight="1">
      <c r="A578" s="29" t="inlineStr">
        <is>
          <t>2025-10-23</t>
        </is>
      </c>
      <c r="B578" s="31" t="n">
        <v>12800</v>
      </c>
      <c r="C578" s="31" t="n">
        <v>12930</v>
      </c>
      <c r="D578" s="31" t="n">
        <v>12590</v>
      </c>
      <c r="E578" s="31" t="n">
        <v>12710</v>
      </c>
      <c r="F578" s="31" t="n">
        <v>12710</v>
      </c>
      <c r="G578" s="31" t="n">
        <v>248075</v>
      </c>
      <c r="H578" s="36" t="n">
        <v>-0.02080123266563949</v>
      </c>
      <c r="I578" s="36" t="n">
        <v>-0.4388520971302429</v>
      </c>
      <c r="J578" s="31" t="n">
        <v>12775</v>
      </c>
      <c r="K578" s="31" t="n">
        <v>11779.16666666667</v>
      </c>
      <c r="L578" s="31" t="n">
        <v>11485.41666666667</v>
      </c>
      <c r="M578" s="36" t="n">
        <v>0.5331058703685476</v>
      </c>
      <c r="N578" s="36" t="n">
        <v>0.4373033771326442</v>
      </c>
      <c r="O578" s="36" t="n">
        <v>0.008730158730158699</v>
      </c>
      <c r="P578" s="36" t="n">
        <v>0.1450450450450451</v>
      </c>
      <c r="Q578" s="36" t="n">
        <v>0.2232916265640039</v>
      </c>
      <c r="R578" s="36" t="n">
        <v>-0.005088062622309208</v>
      </c>
      <c r="S578" s="36" t="n">
        <v>0.07902370003537329</v>
      </c>
      <c r="T578" s="36" t="n">
        <v>0.106620714674406</v>
      </c>
      <c r="U578" s="31" t="n">
        <v>14570</v>
      </c>
      <c r="V578" s="31" t="n">
        <v>6510</v>
      </c>
      <c r="W578" s="36" t="n">
        <v>-0.1276595744680851</v>
      </c>
      <c r="X578" s="36" t="n">
        <v>0.9523809523809523</v>
      </c>
      <c r="Y578" s="31" t="n">
        <v>17780753</v>
      </c>
      <c r="Z578" s="31" t="n">
        <v>225993370630</v>
      </c>
      <c r="AA578" s="31" t="n">
        <v>3153033250</v>
      </c>
      <c r="AB578" s="31" t="n">
        <v>7785109846.5</v>
      </c>
      <c r="AC578" s="36" t="n">
        <v>0.01395188381504428</v>
      </c>
      <c r="AD578" s="29" t="inlineStr">
        <is>
          <t>yfinance_download</t>
        </is>
      </c>
      <c r="AE578" s="29" t="inlineStr">
        <is>
          <t>102120.KQ</t>
        </is>
      </c>
    </row>
    <row r="579" ht="24" customHeight="1">
      <c r="A579" s="24" t="inlineStr">
        <is>
          <t>2025-10-24</t>
        </is>
      </c>
      <c r="B579" s="30" t="n">
        <v>12960</v>
      </c>
      <c r="C579" s="30" t="n">
        <v>13290</v>
      </c>
      <c r="D579" s="30" t="n">
        <v>12860</v>
      </c>
      <c r="E579" s="30" t="n">
        <v>13030</v>
      </c>
      <c r="F579" s="30" t="n">
        <v>13030</v>
      </c>
      <c r="G579" s="30" t="n">
        <v>275780</v>
      </c>
      <c r="H579" s="35" t="n">
        <v>0.025177025963808</v>
      </c>
      <c r="I579" s="35" t="n">
        <v>-0.4247240618101545</v>
      </c>
      <c r="J579" s="30" t="n">
        <v>12790</v>
      </c>
      <c r="K579" s="30" t="n">
        <v>11814.66666666667</v>
      </c>
      <c r="L579" s="30" t="n">
        <v>11509</v>
      </c>
      <c r="M579" s="35" t="n">
        <v>0.5391391886581159</v>
      </c>
      <c r="N579" s="35" t="n">
        <v>0.4375516844723457</v>
      </c>
      <c r="O579" s="35" t="n">
        <v>0.02356637863315014</v>
      </c>
      <c r="P579" s="35" t="n">
        <v>0.1954128440366973</v>
      </c>
      <c r="Q579" s="35" t="n">
        <v>0.2774509803921568</v>
      </c>
      <c r="R579" s="35" t="n">
        <v>0.01876465989053955</v>
      </c>
      <c r="S579" s="35" t="n">
        <v>0.1028664936237444</v>
      </c>
      <c r="T579" s="35" t="n">
        <v>0.1321574420019116</v>
      </c>
      <c r="U579" s="30" t="n">
        <v>14570</v>
      </c>
      <c r="V579" s="30" t="n">
        <v>6510</v>
      </c>
      <c r="W579" s="35" t="n">
        <v>-0.1056966369251887</v>
      </c>
      <c r="X579" s="35" t="n">
        <v>1.001536098310292</v>
      </c>
      <c r="Y579" s="30" t="n">
        <v>17780753</v>
      </c>
      <c r="Z579" s="30" t="n">
        <v>231683211590</v>
      </c>
      <c r="AA579" s="30" t="n">
        <v>3593413400</v>
      </c>
      <c r="AB579" s="30" t="n">
        <v>7691785666.5</v>
      </c>
      <c r="AC579" s="35" t="n">
        <v>0.01551002929965902</v>
      </c>
      <c r="AD579" s="24" t="inlineStr">
        <is>
          <t>yfinance_download</t>
        </is>
      </c>
      <c r="AE579" s="24" t="inlineStr">
        <is>
          <t>102120.KQ</t>
        </is>
      </c>
    </row>
    <row r="580" ht="24" customHeight="1">
      <c r="A580" s="29" t="inlineStr">
        <is>
          <t>2025-10-27</t>
        </is>
      </c>
      <c r="B580" s="31" t="n">
        <v>13120</v>
      </c>
      <c r="C580" s="31" t="n">
        <v>13280</v>
      </c>
      <c r="D580" s="31" t="n">
        <v>12860</v>
      </c>
      <c r="E580" s="31" t="n">
        <v>13030</v>
      </c>
      <c r="F580" s="31" t="n">
        <v>13030</v>
      </c>
      <c r="G580" s="31" t="n">
        <v>309084</v>
      </c>
      <c r="H580" s="36" t="n">
        <v>0</v>
      </c>
      <c r="I580" s="36" t="n">
        <v>-0.4247240618101545</v>
      </c>
      <c r="J580" s="31" t="n">
        <v>12813</v>
      </c>
      <c r="K580" s="31" t="n">
        <v>11850.16666666667</v>
      </c>
      <c r="L580" s="31" t="n">
        <v>11529.91666666667</v>
      </c>
      <c r="M580" s="36" t="n">
        <v>0.5365651174246349</v>
      </c>
      <c r="N580" s="36" t="n">
        <v>0.4375516844723457</v>
      </c>
      <c r="O580" s="36" t="n">
        <v>0.0365950676213207</v>
      </c>
      <c r="P580" s="36" t="n">
        <v>0.1954128440366973</v>
      </c>
      <c r="Q580" s="36" t="n">
        <v>0.2385931558935361</v>
      </c>
      <c r="R580" s="36" t="n">
        <v>0.01693592445172865</v>
      </c>
      <c r="S580" s="36" t="n">
        <v>0.09956259405634249</v>
      </c>
      <c r="T580" s="36" t="n">
        <v>0.130103571144631</v>
      </c>
      <c r="U580" s="31" t="n">
        <v>14570</v>
      </c>
      <c r="V580" s="31" t="n">
        <v>6510</v>
      </c>
      <c r="W580" s="36" t="n">
        <v>-0.1056966369251887</v>
      </c>
      <c r="X580" s="36" t="n">
        <v>1.001536098310292</v>
      </c>
      <c r="Y580" s="31" t="n">
        <v>17780753</v>
      </c>
      <c r="Z580" s="31" t="n">
        <v>231683211590</v>
      </c>
      <c r="AA580" s="31" t="n">
        <v>4027364520</v>
      </c>
      <c r="AB580" s="31" t="n">
        <v>7598755065</v>
      </c>
      <c r="AC580" s="36" t="n">
        <v>0.0173830658352883</v>
      </c>
      <c r="AD580" s="29" t="inlineStr">
        <is>
          <t>yfinance_download</t>
        </is>
      </c>
      <c r="AE580" s="29" t="inlineStr">
        <is>
          <t>102120.KQ</t>
        </is>
      </c>
    </row>
    <row r="581" ht="24" customHeight="1">
      <c r="A581" s="24" t="inlineStr">
        <is>
          <t>2025-10-28</t>
        </is>
      </c>
      <c r="B581" s="30" t="n">
        <v>13000</v>
      </c>
      <c r="C581" s="30" t="n">
        <v>13000</v>
      </c>
      <c r="D581" s="30" t="n">
        <v>12610</v>
      </c>
      <c r="E581" s="30" t="n">
        <v>12790</v>
      </c>
      <c r="F581" s="30" t="n">
        <v>12790</v>
      </c>
      <c r="G581" s="30" t="n">
        <v>282619</v>
      </c>
      <c r="H581" s="35" t="n">
        <v>-0.01841903300076742</v>
      </c>
      <c r="I581" s="35" t="n">
        <v>-0.4353200883002207</v>
      </c>
      <c r="J581" s="30" t="n">
        <v>12839</v>
      </c>
      <c r="K581" s="30" t="n">
        <v>11870.16666666667</v>
      </c>
      <c r="L581" s="30" t="n">
        <v>11550.25</v>
      </c>
      <c r="M581" s="35" t="n">
        <v>0.5333760336411141</v>
      </c>
      <c r="N581" s="35" t="n">
        <v>0.4214837926088524</v>
      </c>
      <c r="O581" s="35" t="n">
        <v>0.04237978810105947</v>
      </c>
      <c r="P581" s="35" t="n">
        <v>0.1035375323554788</v>
      </c>
      <c r="Q581" s="35" t="n">
        <v>0.2357487922705315</v>
      </c>
      <c r="R581" s="35" t="n">
        <v>-0.003816496611885656</v>
      </c>
      <c r="S581" s="35" t="n">
        <v>0.07749118939638588</v>
      </c>
      <c r="T581" s="35" t="n">
        <v>0.1073353390619252</v>
      </c>
      <c r="U581" s="30" t="n">
        <v>14570</v>
      </c>
      <c r="V581" s="30" t="n">
        <v>6510</v>
      </c>
      <c r="W581" s="35" t="n">
        <v>-0.1221688400823611</v>
      </c>
      <c r="X581" s="35" t="n">
        <v>0.9646697388632872</v>
      </c>
      <c r="Y581" s="30" t="n">
        <v>17780753</v>
      </c>
      <c r="Z581" s="30" t="n">
        <v>227415830870</v>
      </c>
      <c r="AA581" s="30" t="n">
        <v>3614697010</v>
      </c>
      <c r="AB581" s="30" t="n">
        <v>7529875784</v>
      </c>
      <c r="AC581" s="35" t="n">
        <v>0.01589465867952836</v>
      </c>
      <c r="AD581" s="24" t="inlineStr">
        <is>
          <t>yfinance_download</t>
        </is>
      </c>
      <c r="AE581" s="24" t="inlineStr">
        <is>
          <t>102120.KQ</t>
        </is>
      </c>
    </row>
    <row r="582" ht="24" customHeight="1">
      <c r="A582" s="29" t="inlineStr">
        <is>
          <t>2025-10-29</t>
        </is>
      </c>
      <c r="B582" s="31" t="n">
        <v>12870</v>
      </c>
      <c r="C582" s="31" t="n">
        <v>13000</v>
      </c>
      <c r="D582" s="31" t="n">
        <v>12620</v>
      </c>
      <c r="E582" s="31" t="n">
        <v>12730</v>
      </c>
      <c r="F582" s="31" t="n">
        <v>12730</v>
      </c>
      <c r="G582" s="31" t="n">
        <v>290405</v>
      </c>
      <c r="H582" s="36" t="n">
        <v>-0.004691164972634887</v>
      </c>
      <c r="I582" s="36" t="n">
        <v>-0.4379690949227373</v>
      </c>
      <c r="J582" s="31" t="n">
        <v>12859</v>
      </c>
      <c r="K582" s="31" t="n">
        <v>11894.66666666667</v>
      </c>
      <c r="L582" s="31" t="n">
        <v>11570.66666666667</v>
      </c>
      <c r="M582" s="36" t="n">
        <v>0.5339161998928406</v>
      </c>
      <c r="N582" s="36" t="n">
        <v>0.4169360334558826</v>
      </c>
      <c r="O582" s="36" t="n">
        <v>0.03244120032441211</v>
      </c>
      <c r="P582" s="36" t="n">
        <v>0.1305506216696271</v>
      </c>
      <c r="Q582" s="36" t="n">
        <v>0.2383268482490273</v>
      </c>
      <c r="R582" s="36" t="n">
        <v>-0.01003188428338131</v>
      </c>
      <c r="S582" s="36" t="n">
        <v>0.07022755296491434</v>
      </c>
      <c r="T582" s="36" t="n">
        <v>0.1001958976722748</v>
      </c>
      <c r="U582" s="31" t="n">
        <v>14570</v>
      </c>
      <c r="V582" s="31" t="n">
        <v>6510</v>
      </c>
      <c r="W582" s="36" t="n">
        <v>-0.1262868908716541</v>
      </c>
      <c r="X582" s="36" t="n">
        <v>0.9554531490015361</v>
      </c>
      <c r="Y582" s="31" t="n">
        <v>17780753</v>
      </c>
      <c r="Z582" s="31" t="n">
        <v>226348985690</v>
      </c>
      <c r="AA582" s="31" t="n">
        <v>3696855650</v>
      </c>
      <c r="AB582" s="31" t="n">
        <v>7565728395</v>
      </c>
      <c r="AC582" s="36" t="n">
        <v>0.01633254789603118</v>
      </c>
      <c r="AD582" s="29" t="inlineStr">
        <is>
          <t>yfinance_download</t>
        </is>
      </c>
      <c r="AE582" s="29" t="inlineStr">
        <is>
          <t>102120.KQ</t>
        </is>
      </c>
    </row>
    <row r="583" ht="24" customHeight="1">
      <c r="A583" s="24" t="inlineStr">
        <is>
          <t>2025-10-30</t>
        </is>
      </c>
      <c r="B583" s="30" t="n">
        <v>12730</v>
      </c>
      <c r="C583" s="30" t="n">
        <v>12760</v>
      </c>
      <c r="D583" s="30" t="n">
        <v>12250</v>
      </c>
      <c r="E583" s="30" t="n">
        <v>12500</v>
      </c>
      <c r="F583" s="30" t="n">
        <v>12500</v>
      </c>
      <c r="G583" s="30" t="n">
        <v>327361</v>
      </c>
      <c r="H583" s="35" t="n">
        <v>-0.01806755695208173</v>
      </c>
      <c r="I583" s="35" t="n">
        <v>-0.4481236203090507</v>
      </c>
      <c r="J583" s="30" t="n">
        <v>12884.5</v>
      </c>
      <c r="K583" s="30" t="n">
        <v>11909.66666666667</v>
      </c>
      <c r="L583" s="30" t="n">
        <v>11591.33333333333</v>
      </c>
      <c r="M583" s="35" t="n">
        <v>0.5279340285617499</v>
      </c>
      <c r="N583" s="35" t="n">
        <v>0.414913396367853</v>
      </c>
      <c r="O583" s="35" t="n">
        <v>0.04253544620517102</v>
      </c>
      <c r="P583" s="35" t="n">
        <v>0.07758620689655182</v>
      </c>
      <c r="Q583" s="35" t="n">
        <v>0.2475049900199602</v>
      </c>
      <c r="R583" s="35" t="n">
        <v>-0.02984205828708919</v>
      </c>
      <c r="S583" s="35" t="n">
        <v>0.04956757815779911</v>
      </c>
      <c r="T583" s="35" t="n">
        <v>0.07839190199574397</v>
      </c>
      <c r="U583" s="30" t="n">
        <v>14570</v>
      </c>
      <c r="V583" s="30" t="n">
        <v>6510</v>
      </c>
      <c r="W583" s="35" t="n">
        <v>-0.1420727522306109</v>
      </c>
      <c r="X583" s="35" t="n">
        <v>0.9201228878648233</v>
      </c>
      <c r="Y583" s="30" t="n">
        <v>17780753</v>
      </c>
      <c r="Z583" s="30" t="n">
        <v>222259412500</v>
      </c>
      <c r="AA583" s="30" t="n">
        <v>4092012500</v>
      </c>
      <c r="AB583" s="30" t="n">
        <v>7665760033.5</v>
      </c>
      <c r="AC583" s="35" t="n">
        <v>0.01841097505825541</v>
      </c>
      <c r="AD583" s="24" t="inlineStr">
        <is>
          <t>yfinance_download</t>
        </is>
      </c>
      <c r="AE583" s="24" t="inlineStr">
        <is>
          <t>102120.KQ</t>
        </is>
      </c>
    </row>
    <row r="584" ht="24" customHeight="1">
      <c r="A584" s="29" t="inlineStr">
        <is>
          <t>2025-10-31</t>
        </is>
      </c>
      <c r="B584" s="31" t="n">
        <v>12500</v>
      </c>
      <c r="C584" s="31" t="n">
        <v>12870</v>
      </c>
      <c r="D584" s="31" t="n">
        <v>12340</v>
      </c>
      <c r="E584" s="31" t="n">
        <v>12600</v>
      </c>
      <c r="F584" s="31" t="n">
        <v>12600</v>
      </c>
      <c r="G584" s="31" t="n">
        <v>338266</v>
      </c>
      <c r="H584" s="36" t="n">
        <v>0.008000000000000007</v>
      </c>
      <c r="I584" s="36" t="n">
        <v>-0.4437086092715232</v>
      </c>
      <c r="J584" s="31" t="n">
        <v>12940</v>
      </c>
      <c r="K584" s="31" t="n">
        <v>11923.83333333333</v>
      </c>
      <c r="L584" s="31" t="n">
        <v>11611.91666666667</v>
      </c>
      <c r="M584" s="36" t="n">
        <v>0.5014256342255063</v>
      </c>
      <c r="N584" s="36" t="n">
        <v>0.4144600610028705</v>
      </c>
      <c r="O584" s="36" t="n">
        <v>0.0966057441253263</v>
      </c>
      <c r="P584" s="36" t="n">
        <v>0.07234042553191489</v>
      </c>
      <c r="Q584" s="36" t="n">
        <v>0.2438302073050345</v>
      </c>
      <c r="R584" s="36" t="n">
        <v>-0.02627511591962906</v>
      </c>
      <c r="S584" s="36" t="n">
        <v>0.05670715513746982</v>
      </c>
      <c r="T584" s="36" t="n">
        <v>0.08509218259977192</v>
      </c>
      <c r="U584" s="31" t="n">
        <v>14570</v>
      </c>
      <c r="V584" s="31" t="n">
        <v>6510</v>
      </c>
      <c r="W584" s="36" t="n">
        <v>-0.1352093342484557</v>
      </c>
      <c r="X584" s="36" t="n">
        <v>0.935483870967742</v>
      </c>
      <c r="Y584" s="31" t="n">
        <v>17780753</v>
      </c>
      <c r="Z584" s="31" t="n">
        <v>224037487800</v>
      </c>
      <c r="AA584" s="31" t="n">
        <v>4262151600</v>
      </c>
      <c r="AB584" s="31" t="n">
        <v>7734640537.5</v>
      </c>
      <c r="AC584" s="36" t="n">
        <v>0.01902427866806316</v>
      </c>
      <c r="AD584" s="29" t="inlineStr">
        <is>
          <t>yfinance_download</t>
        </is>
      </c>
      <c r="AE584" s="29" t="inlineStr">
        <is>
          <t>102120.KQ</t>
        </is>
      </c>
    </row>
    <row r="585" ht="24" customHeight="1">
      <c r="A585" s="24" t="inlineStr">
        <is>
          <t>2025-11-03</t>
        </is>
      </c>
      <c r="B585" s="30" t="n">
        <v>12600</v>
      </c>
      <c r="C585" s="30" t="n">
        <v>12940</v>
      </c>
      <c r="D585" s="30" t="n">
        <v>12400</v>
      </c>
      <c r="E585" s="30" t="n">
        <v>12740</v>
      </c>
      <c r="F585" s="30" t="n">
        <v>12740</v>
      </c>
      <c r="G585" s="30" t="n">
        <v>369580</v>
      </c>
      <c r="H585" s="35" t="n">
        <v>0.01111111111111107</v>
      </c>
      <c r="I585" s="35" t="n">
        <v>-0.4375275938189845</v>
      </c>
      <c r="J585" s="30" t="n">
        <v>12986</v>
      </c>
      <c r="K585" s="30" t="n">
        <v>11951.5</v>
      </c>
      <c r="L585" s="30" t="n">
        <v>11632.33333333333</v>
      </c>
      <c r="M585" s="35" t="n">
        <v>0.4942631138331934</v>
      </c>
      <c r="N585" s="35" t="n">
        <v>0.3965027202835353</v>
      </c>
      <c r="O585" s="35" t="n">
        <v>0.07783417935702208</v>
      </c>
      <c r="P585" s="35" t="n">
        <v>0.1498194945848375</v>
      </c>
      <c r="Q585" s="35" t="n">
        <v>0.2380952380952381</v>
      </c>
      <c r="R585" s="35" t="n">
        <v>-0.01894347759125214</v>
      </c>
      <c r="S585" s="35" t="n">
        <v>0.06597498221980502</v>
      </c>
      <c r="T585" s="35" t="n">
        <v>0.09522308507894661</v>
      </c>
      <c r="U585" s="30" t="n">
        <v>14570</v>
      </c>
      <c r="V585" s="30" t="n">
        <v>6510</v>
      </c>
      <c r="W585" s="35" t="n">
        <v>-0.1256005490734385</v>
      </c>
      <c r="X585" s="35" t="n">
        <v>0.956989247311828</v>
      </c>
      <c r="Y585" s="30" t="n">
        <v>17780753</v>
      </c>
      <c r="Z585" s="30" t="n">
        <v>226526793220</v>
      </c>
      <c r="AA585" s="30" t="n">
        <v>4708449200</v>
      </c>
      <c r="AB585" s="30" t="n">
        <v>7895692739.5</v>
      </c>
      <c r="AC585" s="35" t="n">
        <v>0.02078539643399804</v>
      </c>
      <c r="AD585" s="24" t="inlineStr">
        <is>
          <t>yfinance_download</t>
        </is>
      </c>
      <c r="AE585" s="24" t="inlineStr">
        <is>
          <t>102120.KQ</t>
        </is>
      </c>
    </row>
    <row r="586" ht="24" customHeight="1">
      <c r="A586" s="29" t="inlineStr">
        <is>
          <t>2025-11-04</t>
        </is>
      </c>
      <c r="B586" s="31" t="n">
        <v>12800</v>
      </c>
      <c r="C586" s="31" t="n">
        <v>12800</v>
      </c>
      <c r="D586" s="31" t="n">
        <v>12270</v>
      </c>
      <c r="E586" s="31" t="n">
        <v>12290</v>
      </c>
      <c r="F586" s="31" t="n">
        <v>12290</v>
      </c>
      <c r="G586" s="31" t="n">
        <v>303285</v>
      </c>
      <c r="H586" s="36" t="n">
        <v>-0.0353218210361067</v>
      </c>
      <c r="I586" s="36" t="n">
        <v>-0.4573951434878587</v>
      </c>
      <c r="J586" s="31" t="n">
        <v>13000.5</v>
      </c>
      <c r="K586" s="31" t="n">
        <v>11971.83333333333</v>
      </c>
      <c r="L586" s="31" t="n">
        <v>11648.16666666667</v>
      </c>
      <c r="M586" s="36" t="n">
        <v>0.5115818995799962</v>
      </c>
      <c r="N586" s="36" t="n">
        <v>0.4040172353380201</v>
      </c>
      <c r="O586" s="36" t="n">
        <v>0.02416666666666667</v>
      </c>
      <c r="P586" s="36" t="n">
        <v>0.1102077687443541</v>
      </c>
      <c r="Q586" s="36" t="n">
        <v>0.1828681424446583</v>
      </c>
      <c r="R586" s="36" t="n">
        <v>-0.05465174416368601</v>
      </c>
      <c r="S586" s="36" t="n">
        <v>0.02657626929877077</v>
      </c>
      <c r="T586" s="36" t="n">
        <v>0.0551016612056261</v>
      </c>
      <c r="U586" s="31" t="n">
        <v>14570</v>
      </c>
      <c r="V586" s="31" t="n">
        <v>6510</v>
      </c>
      <c r="W586" s="36" t="n">
        <v>-0.1564859299931366</v>
      </c>
      <c r="X586" s="36" t="n">
        <v>0.8878648233486943</v>
      </c>
      <c r="Y586" s="31" t="n">
        <v>17780753</v>
      </c>
      <c r="Z586" s="31" t="n">
        <v>218525454370</v>
      </c>
      <c r="AA586" s="31" t="n">
        <v>3727372650</v>
      </c>
      <c r="AB586" s="31" t="n">
        <v>7964460172</v>
      </c>
      <c r="AC586" s="36" t="n">
        <v>0.01705692666671653</v>
      </c>
      <c r="AD586" s="29" t="inlineStr">
        <is>
          <t>yfinance_download</t>
        </is>
      </c>
      <c r="AE586" s="29" t="inlineStr">
        <is>
          <t>102120.KQ</t>
        </is>
      </c>
    </row>
    <row r="587" ht="24" customHeight="1">
      <c r="A587" s="24" t="inlineStr">
        <is>
          <t>2025-11-05</t>
        </is>
      </c>
      <c r="B587" s="30" t="n">
        <v>11940</v>
      </c>
      <c r="C587" s="30" t="n">
        <v>12250</v>
      </c>
      <c r="D587" s="30" t="n">
        <v>11320</v>
      </c>
      <c r="E587" s="30" t="n">
        <v>11930</v>
      </c>
      <c r="F587" s="30" t="n">
        <v>11930</v>
      </c>
      <c r="G587" s="30" t="n">
        <v>505620</v>
      </c>
      <c r="H587" s="35" t="n">
        <v>-0.02929210740439381</v>
      </c>
      <c r="I587" s="35" t="n">
        <v>-0.4732891832229581</v>
      </c>
      <c r="J587" s="30" t="n">
        <v>12952</v>
      </c>
      <c r="K587" s="30" t="n">
        <v>11986.5</v>
      </c>
      <c r="L587" s="30" t="n">
        <v>11663.08333333333</v>
      </c>
      <c r="M587" s="35" t="n">
        <v>0.4426370366942208</v>
      </c>
      <c r="N587" s="35" t="n">
        <v>0.4090363828081256</v>
      </c>
      <c r="O587" s="35" t="n">
        <v>-0.07519379844961238</v>
      </c>
      <c r="P587" s="35" t="n">
        <v>0.07963800904977369</v>
      </c>
      <c r="Q587" s="35" t="n">
        <v>0.1765285996055226</v>
      </c>
      <c r="R587" s="35" t="n">
        <v>-0.07890673255095737</v>
      </c>
      <c r="S587" s="35" t="n">
        <v>-0.00471363617402909</v>
      </c>
      <c r="T587" s="35" t="n">
        <v>0.02288560057732014</v>
      </c>
      <c r="U587" s="30" t="n">
        <v>14570</v>
      </c>
      <c r="V587" s="30" t="n">
        <v>6510</v>
      </c>
      <c r="W587" s="35" t="n">
        <v>-0.181194234728895</v>
      </c>
      <c r="X587" s="35" t="n">
        <v>0.8325652841781874</v>
      </c>
      <c r="Y587" s="30" t="n">
        <v>17780753</v>
      </c>
      <c r="Z587" s="30" t="n">
        <v>212124383290</v>
      </c>
      <c r="AA587" s="30" t="n">
        <v>6032046600</v>
      </c>
      <c r="AB587" s="30" t="n">
        <v>7291962217</v>
      </c>
      <c r="AC587" s="35" t="n">
        <v>0.02843636599642321</v>
      </c>
      <c r="AD587" s="24" t="inlineStr">
        <is>
          <t>yfinance_download</t>
        </is>
      </c>
      <c r="AE587" s="24" t="inlineStr">
        <is>
          <t>102120.KQ</t>
        </is>
      </c>
    </row>
    <row r="588" ht="24" customHeight="1">
      <c r="A588" s="29" t="inlineStr">
        <is>
          <t>2025-11-06</t>
        </is>
      </c>
      <c r="B588" s="31" t="n">
        <v>12130</v>
      </c>
      <c r="C588" s="31" t="n">
        <v>12770</v>
      </c>
      <c r="D588" s="31" t="n">
        <v>11980</v>
      </c>
      <c r="E588" s="31" t="n">
        <v>12350</v>
      </c>
      <c r="F588" s="31" t="n">
        <v>12350</v>
      </c>
      <c r="G588" s="31" t="n">
        <v>377445</v>
      </c>
      <c r="H588" s="36" t="n">
        <v>0.03520536462699075</v>
      </c>
      <c r="I588" s="36" t="n">
        <v>-0.4547461368653422</v>
      </c>
      <c r="J588" s="31" t="n">
        <v>12902</v>
      </c>
      <c r="K588" s="31" t="n">
        <v>12008.33333333333</v>
      </c>
      <c r="L588" s="31" t="n">
        <v>11677.75</v>
      </c>
      <c r="M588" s="36" t="n">
        <v>0.4430086112929923</v>
      </c>
      <c r="N588" s="36" t="n">
        <v>0.4147456658650187</v>
      </c>
      <c r="O588" s="36" t="n">
        <v>-0.07490636704119846</v>
      </c>
      <c r="P588" s="36" t="n">
        <v>0.118659420289855</v>
      </c>
      <c r="Q588" s="36" t="n">
        <v>0.166194523135033</v>
      </c>
      <c r="R588" s="36" t="n">
        <v>-0.04278406448612615</v>
      </c>
      <c r="S588" s="36" t="n">
        <v>0.0284524635669674</v>
      </c>
      <c r="T588" s="36" t="n">
        <v>0.05756674016826868</v>
      </c>
      <c r="U588" s="31" t="n">
        <v>14570</v>
      </c>
      <c r="V588" s="31" t="n">
        <v>6510</v>
      </c>
      <c r="W588" s="36" t="n">
        <v>-0.1523678792038435</v>
      </c>
      <c r="X588" s="36" t="n">
        <v>0.8970814132104454</v>
      </c>
      <c r="Y588" s="31" t="n">
        <v>17780753</v>
      </c>
      <c r="Z588" s="31" t="n">
        <v>219592299550</v>
      </c>
      <c r="AA588" s="31" t="n">
        <v>4661445750</v>
      </c>
      <c r="AB588" s="31" t="n">
        <v>5993451749.5</v>
      </c>
      <c r="AC588" s="36" t="n">
        <v>0.02122772865693596</v>
      </c>
      <c r="AD588" s="29" t="inlineStr">
        <is>
          <t>yfinance_download</t>
        </is>
      </c>
      <c r="AE588" s="29" t="inlineStr">
        <is>
          <t>102120.KQ</t>
        </is>
      </c>
    </row>
    <row r="589" ht="24" customHeight="1">
      <c r="A589" s="24" t="inlineStr">
        <is>
          <t>2025-11-07</t>
        </is>
      </c>
      <c r="B589" s="30" t="n">
        <v>12020</v>
      </c>
      <c r="C589" s="30" t="n">
        <v>12240</v>
      </c>
      <c r="D589" s="30" t="n">
        <v>11460</v>
      </c>
      <c r="E589" s="30" t="n">
        <v>11570</v>
      </c>
      <c r="F589" s="30" t="n">
        <v>11570</v>
      </c>
      <c r="G589" s="30" t="n">
        <v>268793</v>
      </c>
      <c r="H589" s="35" t="n">
        <v>-0.06315789473684208</v>
      </c>
      <c r="I589" s="35" t="n">
        <v>-0.4891832229580574</v>
      </c>
      <c r="J589" s="30" t="n">
        <v>12793</v>
      </c>
      <c r="K589" s="30" t="n">
        <v>12016.33333333333</v>
      </c>
      <c r="L589" s="30" t="n">
        <v>11685.58333333333</v>
      </c>
      <c r="M589" s="35" t="n">
        <v>0.4720330977298964</v>
      </c>
      <c r="N589" s="35" t="n">
        <v>0.4357890331351429</v>
      </c>
      <c r="O589" s="35" t="n">
        <v>-0.1585454545454545</v>
      </c>
      <c r="P589" s="35" t="n">
        <v>0.04328223624887295</v>
      </c>
      <c r="Q589" s="35" t="n">
        <v>0.08842897460018806</v>
      </c>
      <c r="R589" s="35" t="n">
        <v>-0.09559915578832179</v>
      </c>
      <c r="S589" s="35" t="n">
        <v>-0.03714388748647679</v>
      </c>
      <c r="T589" s="35" t="n">
        <v>-0.009891105136671352</v>
      </c>
      <c r="U589" s="30" t="n">
        <v>14570</v>
      </c>
      <c r="V589" s="30" t="n">
        <v>6510</v>
      </c>
      <c r="W589" s="35" t="n">
        <v>-0.2059025394646534</v>
      </c>
      <c r="X589" s="35" t="n">
        <v>0.7772657450076805</v>
      </c>
      <c r="Y589" s="30" t="n">
        <v>17780753</v>
      </c>
      <c r="Z589" s="30" t="n">
        <v>205723312210</v>
      </c>
      <c r="AA589" s="30" t="n">
        <v>3109935010</v>
      </c>
      <c r="AB589" s="30" t="n">
        <v>5290381312.5</v>
      </c>
      <c r="AC589" s="35" t="n">
        <v>0.01511707631279733</v>
      </c>
      <c r="AD589" s="24" t="inlineStr">
        <is>
          <t>yfinance_download</t>
        </is>
      </c>
      <c r="AE589" s="24" t="inlineStr">
        <is>
          <t>102120.KQ</t>
        </is>
      </c>
    </row>
    <row r="590" ht="24" customHeight="1">
      <c r="A590" s="29" t="inlineStr">
        <is>
          <t>2025-11-10</t>
        </is>
      </c>
      <c r="B590" s="31" t="n">
        <v>11750</v>
      </c>
      <c r="C590" s="31" t="n">
        <v>11890</v>
      </c>
      <c r="D590" s="31" t="n">
        <v>11400</v>
      </c>
      <c r="E590" s="31" t="n">
        <v>11830</v>
      </c>
      <c r="F590" s="31" t="n">
        <v>11830</v>
      </c>
      <c r="G590" s="31" t="n">
        <v>123669</v>
      </c>
      <c r="H590" s="36" t="n">
        <v>0.02247191011235961</v>
      </c>
      <c r="I590" s="36" t="n">
        <v>-0.4777041942604856</v>
      </c>
      <c r="J590" s="31" t="n">
        <v>12714</v>
      </c>
      <c r="K590" s="31" t="n">
        <v>12025.83333333333</v>
      </c>
      <c r="L590" s="31" t="n">
        <v>11693.66666666667</v>
      </c>
      <c r="M590" s="36" t="n">
        <v>0.4797497333572676</v>
      </c>
      <c r="N590" s="36" t="n">
        <v>0.4370309313244306</v>
      </c>
      <c r="O590" s="36" t="n">
        <v>-0.1178225205070843</v>
      </c>
      <c r="P590" s="36" t="n">
        <v>0.05062166962699832</v>
      </c>
      <c r="Q590" s="36" t="n">
        <v>0.08931860036832417</v>
      </c>
      <c r="R590" s="36" t="n">
        <v>-0.06952965235173825</v>
      </c>
      <c r="S590" s="36" t="n">
        <v>-0.01628438777631491</v>
      </c>
      <c r="T590" s="36" t="n">
        <v>0.01165873264730211</v>
      </c>
      <c r="U590" s="31" t="n">
        <v>14570</v>
      </c>
      <c r="V590" s="31" t="n">
        <v>6510</v>
      </c>
      <c r="W590" s="36" t="n">
        <v>-0.1880576527110501</v>
      </c>
      <c r="X590" s="36" t="n">
        <v>0.8172043010752688</v>
      </c>
      <c r="Y590" s="31" t="n">
        <v>17780753</v>
      </c>
      <c r="Z590" s="31" t="n">
        <v>210346307990</v>
      </c>
      <c r="AA590" s="31" t="n">
        <v>1463004270</v>
      </c>
      <c r="AB590" s="31" t="n">
        <v>4967192941.5</v>
      </c>
      <c r="AC590" s="36" t="n">
        <v>0.00695521725092295</v>
      </c>
      <c r="AD590" s="29" t="inlineStr">
        <is>
          <t>yfinance_download</t>
        </is>
      </c>
      <c r="AE590" s="29" t="inlineStr">
        <is>
          <t>102120.KQ</t>
        </is>
      </c>
    </row>
    <row r="591" ht="24" customHeight="1">
      <c r="A591" s="24" t="inlineStr">
        <is>
          <t>2025-11-11</t>
        </is>
      </c>
      <c r="B591" s="30" t="n">
        <v>11930</v>
      </c>
      <c r="C591" s="30" t="n">
        <v>12530</v>
      </c>
      <c r="D591" s="30" t="n">
        <v>11800</v>
      </c>
      <c r="E591" s="30" t="n">
        <v>12000</v>
      </c>
      <c r="F591" s="30" t="n">
        <v>12000</v>
      </c>
      <c r="G591" s="30" t="n">
        <v>247235</v>
      </c>
      <c r="H591" s="35" t="n">
        <v>0.01437024513947582</v>
      </c>
      <c r="I591" s="35" t="n">
        <v>-0.4701986754966887</v>
      </c>
      <c r="J591" s="30" t="n">
        <v>12675.5</v>
      </c>
      <c r="K591" s="30" t="n">
        <v>12037.66666666667</v>
      </c>
      <c r="L591" s="30" t="n">
        <v>11705</v>
      </c>
      <c r="M591" s="35" t="n">
        <v>0.4579390612130362</v>
      </c>
      <c r="N591" s="35" t="n">
        <v>0.4378566838872571</v>
      </c>
      <c r="O591" s="35" t="n">
        <v>-0.06029757243539546</v>
      </c>
      <c r="P591" s="35" t="n">
        <v>0.06288751107174484</v>
      </c>
      <c r="Q591" s="35" t="n">
        <v>0.1278195488721805</v>
      </c>
      <c r="R591" s="35" t="n">
        <v>-0.05329178336160312</v>
      </c>
      <c r="S591" s="35" t="n">
        <v>-0.003129067094951865</v>
      </c>
      <c r="T591" s="35" t="n">
        <v>0.02520290474156339</v>
      </c>
      <c r="U591" s="30" t="n">
        <v>14570</v>
      </c>
      <c r="V591" s="30" t="n">
        <v>6510</v>
      </c>
      <c r="W591" s="35" t="n">
        <v>-0.1763898421413864</v>
      </c>
      <c r="X591" s="35" t="n">
        <v>0.8433179723502304</v>
      </c>
      <c r="Y591" s="30" t="n">
        <v>17780753</v>
      </c>
      <c r="Z591" s="30" t="n">
        <v>213369036000</v>
      </c>
      <c r="AA591" s="30" t="n">
        <v>2966820000</v>
      </c>
      <c r="AB591" s="30" t="n">
        <v>4354943164</v>
      </c>
      <c r="AC591" s="35" t="n">
        <v>0.01390464172130393</v>
      </c>
      <c r="AD591" s="24" t="inlineStr">
        <is>
          <t>yfinance_download</t>
        </is>
      </c>
      <c r="AE591" s="24" t="inlineStr">
        <is>
          <t>102120.KQ</t>
        </is>
      </c>
    </row>
    <row r="592" ht="24" customHeight="1">
      <c r="A592" s="29" t="inlineStr">
        <is>
          <t>2025-11-12</t>
        </is>
      </c>
      <c r="B592" s="31" t="n">
        <v>12000</v>
      </c>
      <c r="C592" s="31" t="n">
        <v>12210</v>
      </c>
      <c r="D592" s="31" t="n">
        <v>11710</v>
      </c>
      <c r="E592" s="31" t="n">
        <v>12190</v>
      </c>
      <c r="F592" s="31" t="n">
        <v>12190</v>
      </c>
      <c r="G592" s="31" t="n">
        <v>140938</v>
      </c>
      <c r="H592" s="36" t="n">
        <v>0.01583333333333337</v>
      </c>
      <c r="I592" s="36" t="n">
        <v>-0.4618101545253863</v>
      </c>
      <c r="J592" s="31" t="n">
        <v>12611.5</v>
      </c>
      <c r="K592" s="31" t="n">
        <v>12054</v>
      </c>
      <c r="L592" s="31" t="n">
        <v>11719.66666666667</v>
      </c>
      <c r="M592" s="36" t="n">
        <v>0.4115471229853204</v>
      </c>
      <c r="N592" s="36" t="n">
        <v>0.4384805743943394</v>
      </c>
      <c r="O592" s="36" t="n">
        <v>-0.09502598366740911</v>
      </c>
      <c r="P592" s="36" t="n">
        <v>0.08742194469223907</v>
      </c>
      <c r="Q592" s="36" t="n">
        <v>0.1687440076701823</v>
      </c>
      <c r="R592" s="36" t="n">
        <v>-0.03342187685842291</v>
      </c>
      <c r="S592" s="36" t="n">
        <v>0.01128256180520992</v>
      </c>
      <c r="T592" s="36" t="n">
        <v>0.04013197189908713</v>
      </c>
      <c r="U592" s="31" t="n">
        <v>14570</v>
      </c>
      <c r="V592" s="31" t="n">
        <v>6510</v>
      </c>
      <c r="W592" s="36" t="n">
        <v>-0.1633493479752917</v>
      </c>
      <c r="X592" s="36" t="n">
        <v>0.8725038402457757</v>
      </c>
      <c r="Y592" s="31" t="n">
        <v>17780753</v>
      </c>
      <c r="Z592" s="31" t="n">
        <v>216747379070</v>
      </c>
      <c r="AA592" s="31" t="n">
        <v>1718034220</v>
      </c>
      <c r="AB592" s="31" t="n">
        <v>4066587660</v>
      </c>
      <c r="AC592" s="36" t="n">
        <v>0.007926435961401634</v>
      </c>
      <c r="AD592" s="29" t="inlineStr">
        <is>
          <t>yfinance_download</t>
        </is>
      </c>
      <c r="AE592" s="29" t="inlineStr">
        <is>
          <t>102120.KQ</t>
        </is>
      </c>
    </row>
    <row r="593" ht="24" customHeight="1">
      <c r="A593" s="24" t="inlineStr">
        <is>
          <t>2025-11-13</t>
        </is>
      </c>
      <c r="B593" s="30" t="n">
        <v>12190</v>
      </c>
      <c r="C593" s="30" t="n">
        <v>12240</v>
      </c>
      <c r="D593" s="30" t="n">
        <v>11840</v>
      </c>
      <c r="E593" s="30" t="n">
        <v>11940</v>
      </c>
      <c r="F593" s="30" t="n">
        <v>11940</v>
      </c>
      <c r="G593" s="30" t="n">
        <v>136075</v>
      </c>
      <c r="H593" s="35" t="n">
        <v>-0.0205086136177195</v>
      </c>
      <c r="I593" s="35" t="n">
        <v>-0.4728476821192052</v>
      </c>
      <c r="J593" s="30" t="n">
        <v>12546</v>
      </c>
      <c r="K593" s="30" t="n">
        <v>12063</v>
      </c>
      <c r="L593" s="30" t="n">
        <v>11734.58333333333</v>
      </c>
      <c r="M593" s="35" t="n">
        <v>0.4133811698572566</v>
      </c>
      <c r="N593" s="35" t="n">
        <v>0.4396610729202872</v>
      </c>
      <c r="O593" s="35" t="n">
        <v>-0.09886792452830184</v>
      </c>
      <c r="P593" s="35" t="n">
        <v>0.0473684210526315</v>
      </c>
      <c r="Q593" s="35" t="n">
        <v>0.1763546798029556</v>
      </c>
      <c r="R593" s="35" t="n">
        <v>-0.04830224772835967</v>
      </c>
      <c r="S593" s="35" t="n">
        <v>-0.01019646854016409</v>
      </c>
      <c r="T593" s="35" t="n">
        <v>0.01750523736817811</v>
      </c>
      <c r="U593" s="30" t="n">
        <v>14570</v>
      </c>
      <c r="V593" s="30" t="n">
        <v>6510</v>
      </c>
      <c r="W593" s="35" t="n">
        <v>-0.1805078929306795</v>
      </c>
      <c r="X593" s="35" t="n">
        <v>0.8341013824884793</v>
      </c>
      <c r="Y593" s="30" t="n">
        <v>17780753</v>
      </c>
      <c r="Z593" s="30" t="n">
        <v>212302190820</v>
      </c>
      <c r="AA593" s="30" t="n">
        <v>1624735500</v>
      </c>
      <c r="AB593" s="30" t="n">
        <v>3864713010</v>
      </c>
      <c r="AC593" s="35" t="n">
        <v>0.007652937982997683</v>
      </c>
      <c r="AD593" s="24" t="inlineStr">
        <is>
          <t>yfinance_download</t>
        </is>
      </c>
      <c r="AE593" s="24" t="inlineStr">
        <is>
          <t>102120.KQ</t>
        </is>
      </c>
    </row>
    <row r="594" ht="24" customHeight="1">
      <c r="A594" s="29" t="inlineStr">
        <is>
          <t>2025-11-14</t>
        </is>
      </c>
      <c r="B594" s="31" t="n">
        <v>11710</v>
      </c>
      <c r="C594" s="31" t="n">
        <v>11710</v>
      </c>
      <c r="D594" s="31" t="n">
        <v>11360</v>
      </c>
      <c r="E594" s="31" t="n">
        <v>11370</v>
      </c>
      <c r="F594" s="31" t="n">
        <v>11370</v>
      </c>
      <c r="G594" s="31" t="n">
        <v>232601</v>
      </c>
      <c r="H594" s="36" t="n">
        <v>-0.04773869346733672</v>
      </c>
      <c r="I594" s="36" t="n">
        <v>-0.4980132450331126</v>
      </c>
      <c r="J594" s="31" t="n">
        <v>12464.5</v>
      </c>
      <c r="K594" s="31" t="n">
        <v>12064.66666666667</v>
      </c>
      <c r="L594" s="31" t="n">
        <v>11741.83333333333</v>
      </c>
      <c r="M594" s="36" t="n">
        <v>0.4383021233943587</v>
      </c>
      <c r="N594" s="36" t="n">
        <v>0.4502695780894201</v>
      </c>
      <c r="O594" s="36" t="n">
        <v>-0.1253846153846154</v>
      </c>
      <c r="P594" s="36" t="n">
        <v>0.008873114463176623</v>
      </c>
      <c r="Q594" s="36" t="n">
        <v>0.08285714285714296</v>
      </c>
      <c r="R594" s="36" t="n">
        <v>-0.08780937863532434</v>
      </c>
      <c r="S594" s="36" t="n">
        <v>-0.05757860418853944</v>
      </c>
      <c r="T594" s="36" t="n">
        <v>-0.03166740003690516</v>
      </c>
      <c r="U594" s="31" t="n">
        <v>14570</v>
      </c>
      <c r="V594" s="31" t="n">
        <v>6510</v>
      </c>
      <c r="W594" s="36" t="n">
        <v>-0.2196293754289637</v>
      </c>
      <c r="X594" s="36" t="n">
        <v>0.7465437788018434</v>
      </c>
      <c r="Y594" s="31" t="n">
        <v>17780753</v>
      </c>
      <c r="Z594" s="31" t="n">
        <v>202167161610</v>
      </c>
      <c r="AA594" s="31" t="n">
        <v>2644673370</v>
      </c>
      <c r="AB594" s="31" t="n">
        <v>3771799028.5</v>
      </c>
      <c r="AC594" s="36" t="n">
        <v>0.0130816169596417</v>
      </c>
      <c r="AD594" s="29" t="inlineStr">
        <is>
          <t>yfinance_download</t>
        </is>
      </c>
      <c r="AE594" s="29" t="inlineStr">
        <is>
          <t>102120.KQ</t>
        </is>
      </c>
    </row>
    <row r="595" ht="24" customHeight="1">
      <c r="A595" s="24" t="inlineStr">
        <is>
          <t>2025-11-17</t>
        </is>
      </c>
      <c r="B595" s="30" t="n">
        <v>11550</v>
      </c>
      <c r="C595" s="30" t="n">
        <v>11700</v>
      </c>
      <c r="D595" s="30" t="n">
        <v>11310</v>
      </c>
      <c r="E595" s="30" t="n">
        <v>11560</v>
      </c>
      <c r="F595" s="30" t="n">
        <v>11560</v>
      </c>
      <c r="G595" s="30" t="n">
        <v>169690</v>
      </c>
      <c r="H595" s="35" t="n">
        <v>0.01671064204045725</v>
      </c>
      <c r="I595" s="35" t="n">
        <v>-0.4896247240618101</v>
      </c>
      <c r="J595" s="30" t="n">
        <v>12367</v>
      </c>
      <c r="K595" s="30" t="n">
        <v>12077</v>
      </c>
      <c r="L595" s="30" t="n">
        <v>11752.41666666667</v>
      </c>
      <c r="M595" s="35" t="n">
        <v>0.4138763432446294</v>
      </c>
      <c r="N595" s="35" t="n">
        <v>0.443435449203679</v>
      </c>
      <c r="O595" s="35" t="n">
        <v>-0.1443375277572169</v>
      </c>
      <c r="P595" s="35" t="n">
        <v>0.06839186691312382</v>
      </c>
      <c r="Q595" s="35" t="n">
        <v>0.1234207968901846</v>
      </c>
      <c r="R595" s="35" t="n">
        <v>-0.06525430581385949</v>
      </c>
      <c r="S595" s="35" t="n">
        <v>-0.04280864453092659</v>
      </c>
      <c r="T595" s="35" t="n">
        <v>-0.01637251912727167</v>
      </c>
      <c r="U595" s="30" t="n">
        <v>14570</v>
      </c>
      <c r="V595" s="30" t="n">
        <v>6510</v>
      </c>
      <c r="W595" s="35" t="n">
        <v>-0.2065888812628689</v>
      </c>
      <c r="X595" s="35" t="n">
        <v>0.7757296466973886</v>
      </c>
      <c r="Y595" s="30" t="n">
        <v>17780753</v>
      </c>
      <c r="Z595" s="30" t="n">
        <v>205545504680</v>
      </c>
      <c r="AA595" s="30" t="n">
        <v>1961616400</v>
      </c>
      <c r="AB595" s="30" t="n">
        <v>3533643644</v>
      </c>
      <c r="AC595" s="35" t="n">
        <v>0.009543465341428454</v>
      </c>
      <c r="AD595" s="24" t="inlineStr">
        <is>
          <t>yfinance_download</t>
        </is>
      </c>
      <c r="AE595" s="24" t="inlineStr">
        <is>
          <t>102120.KQ</t>
        </is>
      </c>
    </row>
    <row r="596" ht="24" customHeight="1">
      <c r="A596" s="29" t="inlineStr">
        <is>
          <t>2025-11-18</t>
        </is>
      </c>
      <c r="B596" s="31" t="n">
        <v>11330</v>
      </c>
      <c r="C596" s="31" t="n">
        <v>11450</v>
      </c>
      <c r="D596" s="31" t="n">
        <v>10990</v>
      </c>
      <c r="E596" s="31" t="n">
        <v>11010</v>
      </c>
      <c r="F596" s="31" t="n">
        <v>11010</v>
      </c>
      <c r="G596" s="31" t="n">
        <v>177319</v>
      </c>
      <c r="H596" s="36" t="n">
        <v>-0.04757785467128028</v>
      </c>
      <c r="I596" s="36" t="n">
        <v>-0.5139072847682119</v>
      </c>
      <c r="J596" s="31" t="n">
        <v>12257.5</v>
      </c>
      <c r="K596" s="31" t="n">
        <v>12085.16666666667</v>
      </c>
      <c r="L596" s="31" t="n">
        <v>11760.16666666667</v>
      </c>
      <c r="M596" s="36" t="n">
        <v>0.4348242963940708</v>
      </c>
      <c r="N596" s="36" t="n">
        <v>0.4508258726248894</v>
      </c>
      <c r="O596" s="36" t="n">
        <v>-0.1659090909090909</v>
      </c>
      <c r="P596" s="36" t="n">
        <v>0.04657794676806093</v>
      </c>
      <c r="Q596" s="36" t="n">
        <v>0.09226190476190466</v>
      </c>
      <c r="R596" s="36" t="n">
        <v>-0.1017744238221497</v>
      </c>
      <c r="S596" s="36" t="n">
        <v>-0.08896581208368382</v>
      </c>
      <c r="T596" s="36" t="n">
        <v>-0.06378877850370601</v>
      </c>
      <c r="U596" s="31" t="n">
        <v>14570</v>
      </c>
      <c r="V596" s="31" t="n">
        <v>6510</v>
      </c>
      <c r="W596" s="36" t="n">
        <v>-0.244337680164722</v>
      </c>
      <c r="X596" s="36" t="n">
        <v>0.6912442396313363</v>
      </c>
      <c r="Y596" s="31" t="n">
        <v>17780753</v>
      </c>
      <c r="Z596" s="31" t="n">
        <v>195766090530</v>
      </c>
      <c r="AA596" s="31" t="n">
        <v>1952282190</v>
      </c>
      <c r="AB596" s="31" t="n">
        <v>3321905193.5</v>
      </c>
      <c r="AC596" s="36" t="n">
        <v>0.009972524785648841</v>
      </c>
      <c r="AD596" s="29" t="inlineStr">
        <is>
          <t>yfinance_download</t>
        </is>
      </c>
      <c r="AE596" s="29" t="inlineStr">
        <is>
          <t>102120.KQ</t>
        </is>
      </c>
    </row>
    <row r="597" ht="24" customHeight="1">
      <c r="A597" s="24" t="inlineStr">
        <is>
          <t>2025-11-19</t>
        </is>
      </c>
      <c r="B597" s="30" t="n">
        <v>10990</v>
      </c>
      <c r="C597" s="30" t="n">
        <v>11070</v>
      </c>
      <c r="D597" s="30" t="n">
        <v>10580</v>
      </c>
      <c r="E597" s="30" t="n">
        <v>10720</v>
      </c>
      <c r="F597" s="30" t="n">
        <v>10720</v>
      </c>
      <c r="G597" s="30" t="n">
        <v>141596</v>
      </c>
      <c r="H597" s="35" t="n">
        <v>-0.02633969118982737</v>
      </c>
      <c r="I597" s="35" t="n">
        <v>-0.526710816777042</v>
      </c>
      <c r="J597" s="30" t="n">
        <v>12144.5</v>
      </c>
      <c r="K597" s="30" t="n">
        <v>12093</v>
      </c>
      <c r="L597" s="30" t="n">
        <v>11767</v>
      </c>
      <c r="M597" s="35" t="n">
        <v>0.4385241782921065</v>
      </c>
      <c r="N597" s="35" t="n">
        <v>0.4509992974722664</v>
      </c>
      <c r="O597" s="35" t="n">
        <v>-0.1741140215716487</v>
      </c>
      <c r="P597" s="35" t="n">
        <v>0.04585365853658541</v>
      </c>
      <c r="Q597" s="35" t="n">
        <v>0.08282828282828292</v>
      </c>
      <c r="R597" s="35" t="n">
        <v>-0.1172958952612294</v>
      </c>
      <c r="S597" s="35" t="n">
        <v>-0.1135367568014554</v>
      </c>
      <c r="T597" s="35" t="n">
        <v>-0.08897764935837515</v>
      </c>
      <c r="U597" s="30" t="n">
        <v>14570</v>
      </c>
      <c r="V597" s="30" t="n">
        <v>6510</v>
      </c>
      <c r="W597" s="35" t="n">
        <v>-0.2642415923129718</v>
      </c>
      <c r="X597" s="35" t="n">
        <v>0.6466973886328724</v>
      </c>
      <c r="Y597" s="30" t="n">
        <v>17780753</v>
      </c>
      <c r="Z597" s="30" t="n">
        <v>190609672160</v>
      </c>
      <c r="AA597" s="30" t="n">
        <v>1517909120</v>
      </c>
      <c r="AB597" s="30" t="n">
        <v>3226392610.5</v>
      </c>
      <c r="AC597" s="35" t="n">
        <v>0.007963442268164908</v>
      </c>
      <c r="AD597" s="24" t="inlineStr">
        <is>
          <t>yfinance_download</t>
        </is>
      </c>
      <c r="AE597" s="24" t="inlineStr">
        <is>
          <t>102120.KQ</t>
        </is>
      </c>
    </row>
    <row r="598" ht="24" customHeight="1">
      <c r="A598" s="29" t="inlineStr">
        <is>
          <t>2025-11-20</t>
        </is>
      </c>
      <c r="B598" s="31" t="n">
        <v>11050</v>
      </c>
      <c r="C598" s="31" t="n">
        <v>11240</v>
      </c>
      <c r="D598" s="31" t="n">
        <v>10950</v>
      </c>
      <c r="E598" s="31" t="n">
        <v>11070</v>
      </c>
      <c r="F598" s="31" t="n">
        <v>11070</v>
      </c>
      <c r="G598" s="31" t="n">
        <v>118778</v>
      </c>
      <c r="H598" s="36" t="n">
        <v>0.0326492537313432</v>
      </c>
      <c r="I598" s="36" t="n">
        <v>-0.5112582781456954</v>
      </c>
      <c r="J598" s="31" t="n">
        <v>12062.5</v>
      </c>
      <c r="K598" s="31" t="n">
        <v>12106.5</v>
      </c>
      <c r="L598" s="31" t="n">
        <v>11773.5</v>
      </c>
      <c r="M598" s="36" t="n">
        <v>0.4601999565488122</v>
      </c>
      <c r="N598" s="36" t="n">
        <v>0.455596622150205</v>
      </c>
      <c r="O598" s="36" t="n">
        <v>-0.1290322580645161</v>
      </c>
      <c r="P598" s="36" t="n">
        <v>0.07894736842105265</v>
      </c>
      <c r="Q598" s="36" t="n">
        <v>0.07580174927113692</v>
      </c>
      <c r="R598" s="36" t="n">
        <v>-0.08227979274611397</v>
      </c>
      <c r="S598" s="36" t="n">
        <v>-0.08561516540701275</v>
      </c>
      <c r="T598" s="36" t="n">
        <v>-0.05975283475601989</v>
      </c>
      <c r="U598" s="31" t="n">
        <v>14570</v>
      </c>
      <c r="V598" s="31" t="n">
        <v>6510</v>
      </c>
      <c r="W598" s="36" t="n">
        <v>-0.240219629375429</v>
      </c>
      <c r="X598" s="36" t="n">
        <v>0.7004608294930876</v>
      </c>
      <c r="Y598" s="31" t="n">
        <v>17780753</v>
      </c>
      <c r="Z598" s="31" t="n">
        <v>196832935710</v>
      </c>
      <c r="AA598" s="31" t="n">
        <v>1314872460</v>
      </c>
      <c r="AB598" s="31" t="n">
        <v>3134484571</v>
      </c>
      <c r="AC598" s="36" t="n">
        <v>0.006680144536060987</v>
      </c>
      <c r="AD598" s="29" t="inlineStr">
        <is>
          <t>yfinance_download</t>
        </is>
      </c>
      <c r="AE598" s="29" t="inlineStr">
        <is>
          <t>102120.KQ</t>
        </is>
      </c>
    </row>
    <row r="599" ht="24" customHeight="1">
      <c r="A599" s="24" t="inlineStr">
        <is>
          <t>2025-11-21</t>
        </is>
      </c>
      <c r="B599" s="30" t="n">
        <v>10620</v>
      </c>
      <c r="C599" s="30" t="n">
        <v>10770</v>
      </c>
      <c r="D599" s="30" t="n">
        <v>10360</v>
      </c>
      <c r="E599" s="30" t="n">
        <v>10400</v>
      </c>
      <c r="F599" s="30" t="n">
        <v>10400</v>
      </c>
      <c r="G599" s="30" t="n">
        <v>147892</v>
      </c>
      <c r="H599" s="35" t="n">
        <v>-0.06052393857271909</v>
      </c>
      <c r="I599" s="35" t="n">
        <v>-0.5408388520971302</v>
      </c>
      <c r="J599" s="30" t="n">
        <v>11931</v>
      </c>
      <c r="K599" s="30" t="n">
        <v>12109.16666666667</v>
      </c>
      <c r="L599" s="30" t="n">
        <v>11776.75</v>
      </c>
      <c r="M599" s="35" t="n">
        <v>0.4820388017768286</v>
      </c>
      <c r="N599" s="35" t="n">
        <v>0.4730649442294872</v>
      </c>
      <c r="O599" s="35" t="n">
        <v>-0.2018419033000768</v>
      </c>
      <c r="P599" s="35" t="n">
        <v>0.015625</v>
      </c>
      <c r="Q599" s="35" t="n">
        <v>0.03896103896103886</v>
      </c>
      <c r="R599" s="35" t="n">
        <v>-0.1283211801190177</v>
      </c>
      <c r="S599" s="35" t="n">
        <v>-0.1411465143486339</v>
      </c>
      <c r="T599" s="35" t="n">
        <v>-0.1169040694588914</v>
      </c>
      <c r="U599" s="30" t="n">
        <v>14570</v>
      </c>
      <c r="V599" s="30" t="n">
        <v>6510</v>
      </c>
      <c r="W599" s="35" t="n">
        <v>-0.2862045298558682</v>
      </c>
      <c r="X599" s="35" t="n">
        <v>0.5975422427035331</v>
      </c>
      <c r="Y599" s="30" t="n">
        <v>17780753</v>
      </c>
      <c r="Z599" s="30" t="n">
        <v>184919831200</v>
      </c>
      <c r="AA599" s="30" t="n">
        <v>1538076800</v>
      </c>
      <c r="AB599" s="30" t="n">
        <v>3031717741</v>
      </c>
      <c r="AC599" s="35" t="n">
        <v>0.008317533008866385</v>
      </c>
      <c r="AD599" s="24" t="inlineStr">
        <is>
          <t>yfinance_download</t>
        </is>
      </c>
      <c r="AE599" s="24" t="inlineStr">
        <is>
          <t>102120.KQ</t>
        </is>
      </c>
    </row>
    <row r="600" ht="24" customHeight="1">
      <c r="A600" s="29" t="inlineStr">
        <is>
          <t>2025-11-24</t>
        </is>
      </c>
      <c r="B600" s="31" t="n">
        <v>10500</v>
      </c>
      <c r="C600" s="31" t="n">
        <v>10640</v>
      </c>
      <c r="D600" s="31" t="n">
        <v>10360</v>
      </c>
      <c r="E600" s="31" t="n">
        <v>10430</v>
      </c>
      <c r="F600" s="31" t="n">
        <v>10430</v>
      </c>
      <c r="G600" s="31" t="n">
        <v>106414</v>
      </c>
      <c r="H600" s="36" t="n">
        <v>0.002884615384615374</v>
      </c>
      <c r="I600" s="36" t="n">
        <v>-0.539514348785872</v>
      </c>
      <c r="J600" s="31" t="n">
        <v>11801</v>
      </c>
      <c r="K600" s="31" t="n">
        <v>12106.5</v>
      </c>
      <c r="L600" s="31" t="n">
        <v>11776.41666666667</v>
      </c>
      <c r="M600" s="36" t="n">
        <v>0.4830009504163829</v>
      </c>
      <c r="N600" s="36" t="n">
        <v>0.4679235642049547</v>
      </c>
      <c r="O600" s="36" t="n">
        <v>-0.1995395241749808</v>
      </c>
      <c r="P600" s="36" t="n">
        <v>-0.01510859301227574</v>
      </c>
      <c r="Q600" s="36" t="n">
        <v>-0.00382043935052534</v>
      </c>
      <c r="R600" s="36" t="n">
        <v>-0.1161765952037963</v>
      </c>
      <c r="S600" s="36" t="n">
        <v>-0.1384793292859208</v>
      </c>
      <c r="T600" s="36" t="n">
        <v>-0.1143316090774641</v>
      </c>
      <c r="U600" s="31" t="n">
        <v>14570</v>
      </c>
      <c r="V600" s="31" t="n">
        <v>6510</v>
      </c>
      <c r="W600" s="36" t="n">
        <v>-0.2841455044612217</v>
      </c>
      <c r="X600" s="36" t="n">
        <v>0.6021505376344085</v>
      </c>
      <c r="Y600" s="31" t="n">
        <v>17780753</v>
      </c>
      <c r="Z600" s="31" t="n">
        <v>185453253790</v>
      </c>
      <c r="AA600" s="31" t="n">
        <v>1109898020</v>
      </c>
      <c r="AB600" s="31" t="n">
        <v>2885844416</v>
      </c>
      <c r="AC600" s="36" t="n">
        <v>0.005984785908673271</v>
      </c>
      <c r="AD600" s="29" t="inlineStr">
        <is>
          <t>yfinance_download</t>
        </is>
      </c>
      <c r="AE600" s="29" t="inlineStr">
        <is>
          <t>102120.KQ</t>
        </is>
      </c>
    </row>
    <row r="601" ht="24" customHeight="1">
      <c r="A601" s="24" t="inlineStr">
        <is>
          <t>2025-11-25</t>
        </is>
      </c>
      <c r="B601" s="30" t="n">
        <v>10640</v>
      </c>
      <c r="C601" s="30" t="n">
        <v>11090</v>
      </c>
      <c r="D601" s="30" t="n">
        <v>10500</v>
      </c>
      <c r="E601" s="30" t="n">
        <v>10610</v>
      </c>
      <c r="F601" s="30" t="n">
        <v>10610</v>
      </c>
      <c r="G601" s="30" t="n">
        <v>107037</v>
      </c>
      <c r="H601" s="35" t="n">
        <v>0.01725790987535958</v>
      </c>
      <c r="I601" s="35" t="n">
        <v>-0.5315673289183223</v>
      </c>
      <c r="J601" s="30" t="n">
        <v>11692</v>
      </c>
      <c r="K601" s="30" t="n">
        <v>12106.5</v>
      </c>
      <c r="L601" s="30" t="n">
        <v>11776</v>
      </c>
      <c r="M601" s="35" t="n">
        <v>0.4918810966195639</v>
      </c>
      <c r="N601" s="35" t="n">
        <v>0.4692223861303803</v>
      </c>
      <c r="O601" s="35" t="n">
        <v>-0.1704456606724003</v>
      </c>
      <c r="P601" s="35" t="n">
        <v>0</v>
      </c>
      <c r="Q601" s="35" t="n">
        <v>-0.004690431519699834</v>
      </c>
      <c r="R601" s="35" t="n">
        <v>-0.09254190899760517</v>
      </c>
      <c r="S601" s="35" t="n">
        <v>-0.1236112831949779</v>
      </c>
      <c r="T601" s="35" t="n">
        <v>-0.09901494565217395</v>
      </c>
      <c r="U601" s="30" t="n">
        <v>14570</v>
      </c>
      <c r="V601" s="30" t="n">
        <v>6510</v>
      </c>
      <c r="W601" s="35" t="n">
        <v>-0.2717913520933425</v>
      </c>
      <c r="X601" s="35" t="n">
        <v>0.6298003072196621</v>
      </c>
      <c r="Y601" s="30" t="n">
        <v>17780753</v>
      </c>
      <c r="Z601" s="30" t="n">
        <v>188653789330</v>
      </c>
      <c r="AA601" s="30" t="n">
        <v>1135662570</v>
      </c>
      <c r="AB601" s="30" t="n">
        <v>2761892694</v>
      </c>
      <c r="AC601" s="35" t="n">
        <v>0.006019823794864031</v>
      </c>
      <c r="AD601" s="24" t="inlineStr">
        <is>
          <t>yfinance_download</t>
        </is>
      </c>
      <c r="AE601" s="24" t="inlineStr">
        <is>
          <t>102120.KQ</t>
        </is>
      </c>
    </row>
    <row r="602" ht="24" customHeight="1">
      <c r="A602" s="29" t="inlineStr">
        <is>
          <t>2025-11-26</t>
        </is>
      </c>
      <c r="B602" s="31" t="n">
        <v>10740</v>
      </c>
      <c r="C602" s="31" t="n">
        <v>10850</v>
      </c>
      <c r="D602" s="31" t="n">
        <v>10580</v>
      </c>
      <c r="E602" s="31" t="n">
        <v>10770</v>
      </c>
      <c r="F602" s="31" t="n">
        <v>10770</v>
      </c>
      <c r="G602" s="31" t="n">
        <v>87775</v>
      </c>
      <c r="H602" s="36" t="n">
        <v>0.01508011310084822</v>
      </c>
      <c r="I602" s="36" t="n">
        <v>-0.5245033112582782</v>
      </c>
      <c r="J602" s="31" t="n">
        <v>11594</v>
      </c>
      <c r="K602" s="31" t="n">
        <v>12109</v>
      </c>
      <c r="L602" s="31" t="n">
        <v>11779.83333333333</v>
      </c>
      <c r="M602" s="36" t="n">
        <v>0.4990454118324139</v>
      </c>
      <c r="N602" s="36" t="n">
        <v>0.4701818341602926</v>
      </c>
      <c r="O602" s="36" t="n">
        <v>-0.1539670070699136</v>
      </c>
      <c r="P602" s="36" t="n">
        <v>0.01412429378531077</v>
      </c>
      <c r="Q602" s="36" t="n">
        <v>0.04461687681862259</v>
      </c>
      <c r="R602" s="36" t="n">
        <v>-0.07107124374676554</v>
      </c>
      <c r="S602" s="36" t="n">
        <v>-0.1105789082500619</v>
      </c>
      <c r="T602" s="36" t="n">
        <v>-0.08572560449355537</v>
      </c>
      <c r="U602" s="31" t="n">
        <v>14570</v>
      </c>
      <c r="V602" s="31" t="n">
        <v>6510</v>
      </c>
      <c r="W602" s="36" t="n">
        <v>-0.2608098833218943</v>
      </c>
      <c r="X602" s="36" t="n">
        <v>0.6543778801843319</v>
      </c>
      <c r="Y602" s="31" t="n">
        <v>17780753</v>
      </c>
      <c r="Z602" s="31" t="n">
        <v>191498709810</v>
      </c>
      <c r="AA602" s="31" t="n">
        <v>945336750</v>
      </c>
      <c r="AB602" s="31" t="n">
        <v>2624316749</v>
      </c>
      <c r="AC602" s="36" t="n">
        <v>0.004936517592927589</v>
      </c>
      <c r="AD602" s="29" t="inlineStr">
        <is>
          <t>yfinance_download</t>
        </is>
      </c>
      <c r="AE602" s="29" t="inlineStr">
        <is>
          <t>102120.KQ</t>
        </is>
      </c>
    </row>
    <row r="603" ht="24" customHeight="1">
      <c r="A603" s="24" t="inlineStr">
        <is>
          <t>2025-11-27</t>
        </is>
      </c>
      <c r="B603" s="30" t="n">
        <v>10860</v>
      </c>
      <c r="C603" s="30" t="n">
        <v>10940</v>
      </c>
      <c r="D603" s="30" t="n">
        <v>10600</v>
      </c>
      <c r="E603" s="30" t="n">
        <v>10660</v>
      </c>
      <c r="F603" s="30" t="n">
        <v>10660</v>
      </c>
      <c r="G603" s="30" t="n">
        <v>85844</v>
      </c>
      <c r="H603" s="35" t="n">
        <v>-0.01021355617455899</v>
      </c>
      <c r="I603" s="35" t="n">
        <v>-0.5293598233995584</v>
      </c>
      <c r="J603" s="30" t="n">
        <v>11502</v>
      </c>
      <c r="K603" s="30" t="n">
        <v>12104.16666666667</v>
      </c>
      <c r="L603" s="30" t="n">
        <v>11781.83333333333</v>
      </c>
      <c r="M603" s="35" t="n">
        <v>0.4976890326911094</v>
      </c>
      <c r="N603" s="35" t="n">
        <v>0.4663753663090372</v>
      </c>
      <c r="O603" s="35" t="n">
        <v>-0.1472</v>
      </c>
      <c r="P603" s="35" t="n">
        <v>-0.02648401826484015</v>
      </c>
      <c r="Q603" s="35" t="n">
        <v>0.02303262955854124</v>
      </c>
      <c r="R603" s="35" t="n">
        <v>-0.07320466005912019</v>
      </c>
      <c r="S603" s="35" t="n">
        <v>-0.1193115318416523</v>
      </c>
      <c r="T603" s="35" t="n">
        <v>-0.09521721294082708</v>
      </c>
      <c r="U603" s="30" t="n">
        <v>14570</v>
      </c>
      <c r="V603" s="30" t="n">
        <v>6510</v>
      </c>
      <c r="W603" s="35" t="n">
        <v>-0.2683596431022649</v>
      </c>
      <c r="X603" s="35" t="n">
        <v>0.6374807987711213</v>
      </c>
      <c r="Y603" s="30" t="n">
        <v>17780753</v>
      </c>
      <c r="Z603" s="30" t="n">
        <v>189542826980</v>
      </c>
      <c r="AA603" s="30" t="n">
        <v>915097040</v>
      </c>
      <c r="AB603" s="30" t="n">
        <v>2465470976</v>
      </c>
      <c r="AC603" s="35" t="n">
        <v>0.004827917017912571</v>
      </c>
      <c r="AD603" s="24" t="inlineStr">
        <is>
          <t>yfinance_download</t>
        </is>
      </c>
      <c r="AE603" s="24" t="inlineStr">
        <is>
          <t>102120.KQ</t>
        </is>
      </c>
    </row>
    <row r="604" ht="24" customHeight="1">
      <c r="A604" s="29" t="inlineStr">
        <is>
          <t>2025-11-28</t>
        </is>
      </c>
      <c r="B604" s="31" t="n">
        <v>10710</v>
      </c>
      <c r="C604" s="31" t="n">
        <v>11050</v>
      </c>
      <c r="D604" s="31" t="n">
        <v>10670</v>
      </c>
      <c r="E604" s="31" t="n">
        <v>11000</v>
      </c>
      <c r="F604" s="31" t="n">
        <v>11000</v>
      </c>
      <c r="G604" s="31" t="n">
        <v>121416</v>
      </c>
      <c r="H604" s="36" t="n">
        <v>0.03189493433395874</v>
      </c>
      <c r="I604" s="36" t="n">
        <v>-0.5143487858719646</v>
      </c>
      <c r="J604" s="31" t="n">
        <v>11422</v>
      </c>
      <c r="K604" s="31" t="n">
        <v>12098.5</v>
      </c>
      <c r="L604" s="31" t="n">
        <v>11781.75</v>
      </c>
      <c r="M604" s="36" t="n">
        <v>0.5144750976897662</v>
      </c>
      <c r="N604" s="36" t="n">
        <v>0.4652216510151795</v>
      </c>
      <c r="O604" s="36" t="n">
        <v>-0.126984126984127</v>
      </c>
      <c r="P604" s="36" t="n">
        <v>-0.0299823633156967</v>
      </c>
      <c r="Q604" s="36" t="n">
        <v>-0.0009082652134423386</v>
      </c>
      <c r="R604" s="36" t="n">
        <v>-0.03694624409035197</v>
      </c>
      <c r="S604" s="36" t="n">
        <v>-0.09079637971649379</v>
      </c>
      <c r="T604" s="36" t="n">
        <v>-0.06635262163939992</v>
      </c>
      <c r="U604" s="31" t="n">
        <v>14570</v>
      </c>
      <c r="V604" s="31" t="n">
        <v>6510</v>
      </c>
      <c r="W604" s="36" t="n">
        <v>-0.2450240219629375</v>
      </c>
      <c r="X604" s="36" t="n">
        <v>0.6897081413210446</v>
      </c>
      <c r="Y604" s="31" t="n">
        <v>17780753</v>
      </c>
      <c r="Z604" s="31" t="n">
        <v>195588283000</v>
      </c>
      <c r="AA604" s="31" t="n">
        <v>1335576000</v>
      </c>
      <c r="AB604" s="31" t="n">
        <v>2319142196</v>
      </c>
      <c r="AC604" s="36" t="n">
        <v>0.006828507206640798</v>
      </c>
      <c r="AD604" s="29" t="inlineStr">
        <is>
          <t>yfinance_download</t>
        </is>
      </c>
      <c r="AE604" s="29" t="inlineStr">
        <is>
          <t>102120.KQ</t>
        </is>
      </c>
    </row>
    <row r="605" ht="24" customHeight="1">
      <c r="A605" s="24" t="inlineStr">
        <is>
          <t>2025-12-01</t>
        </is>
      </c>
      <c r="B605" s="30" t="n">
        <v>11140</v>
      </c>
      <c r="C605" s="30" t="n">
        <v>11330</v>
      </c>
      <c r="D605" s="30" t="n">
        <v>11070</v>
      </c>
      <c r="E605" s="30" t="n">
        <v>11130</v>
      </c>
      <c r="F605" s="30" t="n">
        <v>11130</v>
      </c>
      <c r="G605" s="30" t="n">
        <v>155424</v>
      </c>
      <c r="H605" s="35" t="n">
        <v>0.01181818181818173</v>
      </c>
      <c r="I605" s="35" t="n">
        <v>-0.5086092715231788</v>
      </c>
      <c r="J605" s="30" t="n">
        <v>11341.5</v>
      </c>
      <c r="K605" s="30" t="n">
        <v>12101.66666666667</v>
      </c>
      <c r="L605" s="30" t="n">
        <v>11775.25</v>
      </c>
      <c r="M605" s="35" t="n">
        <v>0.5147977682265232</v>
      </c>
      <c r="N605" s="35" t="n">
        <v>0.4599885435053961</v>
      </c>
      <c r="O605" s="35" t="n">
        <v>-0.1263736263736264</v>
      </c>
      <c r="P605" s="35" t="n">
        <v>0.01736745886654489</v>
      </c>
      <c r="Q605" s="35" t="n">
        <v>-0.06549118387909325</v>
      </c>
      <c r="R605" s="35" t="n">
        <v>-0.01864832694088081</v>
      </c>
      <c r="S605" s="35" t="n">
        <v>-0.08029197080291961</v>
      </c>
      <c r="T605" s="35" t="n">
        <v>-0.05479713806500919</v>
      </c>
      <c r="U605" s="30" t="n">
        <v>14570</v>
      </c>
      <c r="V605" s="30" t="n">
        <v>6510</v>
      </c>
      <c r="W605" s="35" t="n">
        <v>-0.2361015785861359</v>
      </c>
      <c r="X605" s="35" t="n">
        <v>0.7096774193548387</v>
      </c>
      <c r="Y605" s="30" t="n">
        <v>17780753</v>
      </c>
      <c r="Z605" s="30" t="n">
        <v>197899780890</v>
      </c>
      <c r="AA605" s="30" t="n">
        <v>1729869120</v>
      </c>
      <c r="AB605" s="30" t="n">
        <v>2170213192</v>
      </c>
      <c r="AC605" s="35" t="n">
        <v>0.008741137116071518</v>
      </c>
      <c r="AD605" s="24" t="inlineStr">
        <is>
          <t>yfinance_download</t>
        </is>
      </c>
      <c r="AE605" s="24" t="inlineStr">
        <is>
          <t>102120.KQ</t>
        </is>
      </c>
    </row>
    <row r="606" ht="24" customHeight="1">
      <c r="A606" s="29" t="inlineStr">
        <is>
          <t>2025-12-02</t>
        </is>
      </c>
      <c r="B606" s="31" t="n">
        <v>11180</v>
      </c>
      <c r="C606" s="31" t="n">
        <v>11350</v>
      </c>
      <c r="D606" s="31" t="n">
        <v>11110</v>
      </c>
      <c r="E606" s="31" t="n">
        <v>11190</v>
      </c>
      <c r="F606" s="31" t="n">
        <v>11190</v>
      </c>
      <c r="G606" s="31" t="n">
        <v>118768</v>
      </c>
      <c r="H606" s="36" t="n">
        <v>0.005390835579514919</v>
      </c>
      <c r="I606" s="36" t="n">
        <v>-0.5059602649006623</v>
      </c>
      <c r="J606" s="31" t="n">
        <v>11286.5</v>
      </c>
      <c r="K606" s="31" t="n">
        <v>12106</v>
      </c>
      <c r="L606" s="31" t="n">
        <v>11769.16666666667</v>
      </c>
      <c r="M606" s="36" t="n">
        <v>0.5044581885889924</v>
      </c>
      <c r="N606" s="36" t="n">
        <v>0.4600754787820667</v>
      </c>
      <c r="O606" s="36" t="n">
        <v>-0.08950366151342559</v>
      </c>
      <c r="P606" s="36" t="n">
        <v>0.02378774016468443</v>
      </c>
      <c r="Q606" s="36" t="n">
        <v>-0.06124161073825507</v>
      </c>
      <c r="R606" s="36" t="n">
        <v>-0.008550037655606246</v>
      </c>
      <c r="S606" s="36" t="n">
        <v>-0.07566495952420282</v>
      </c>
      <c r="T606" s="36" t="n">
        <v>-0.04921050768250368</v>
      </c>
      <c r="U606" s="31" t="n">
        <v>14570</v>
      </c>
      <c r="V606" s="31" t="n">
        <v>6510</v>
      </c>
      <c r="W606" s="36" t="n">
        <v>-0.2319835277968428</v>
      </c>
      <c r="X606" s="36" t="n">
        <v>0.7188940092165899</v>
      </c>
      <c r="Y606" s="31" t="n">
        <v>17780753</v>
      </c>
      <c r="Z606" s="31" t="n">
        <v>198966626070</v>
      </c>
      <c r="AA606" s="31" t="n">
        <v>1329013920</v>
      </c>
      <c r="AB606" s="31" t="n">
        <v>2050295255.5</v>
      </c>
      <c r="AC606" s="36" t="n">
        <v>0.006679582130183125</v>
      </c>
      <c r="AD606" s="29" t="inlineStr">
        <is>
          <t>yfinance_download</t>
        </is>
      </c>
      <c r="AE606" s="29" t="inlineStr">
        <is>
          <t>102120.KQ</t>
        </is>
      </c>
    </row>
    <row r="607" ht="24" customHeight="1">
      <c r="A607" s="24" t="inlineStr">
        <is>
          <t>2025-12-03</t>
        </is>
      </c>
      <c r="B607" s="30" t="n">
        <v>11260</v>
      </c>
      <c r="C607" s="30" t="n">
        <v>11360</v>
      </c>
      <c r="D607" s="30" t="n">
        <v>11200</v>
      </c>
      <c r="E607" s="30" t="n">
        <v>11260</v>
      </c>
      <c r="F607" s="30" t="n">
        <v>11260</v>
      </c>
      <c r="G607" s="30" t="n">
        <v>73956</v>
      </c>
      <c r="H607" s="35" t="n">
        <v>0.006255585344057124</v>
      </c>
      <c r="I607" s="35" t="n">
        <v>-0.502869757174393</v>
      </c>
      <c r="J607" s="30" t="n">
        <v>11253</v>
      </c>
      <c r="K607" s="30" t="n">
        <v>12112</v>
      </c>
      <c r="L607" s="30" t="n">
        <v>11765.58333333333</v>
      </c>
      <c r="M607" s="35" t="n">
        <v>0.4967184179479509</v>
      </c>
      <c r="N607" s="35" t="n">
        <v>0.4601485512849017</v>
      </c>
      <c r="O607" s="35" t="n">
        <v>-0.05616093880972339</v>
      </c>
      <c r="P607" s="35" t="n">
        <v>0.03302752293577971</v>
      </c>
      <c r="Q607" s="35" t="n">
        <v>-0.03678357570573143</v>
      </c>
      <c r="R607" s="35" t="n">
        <v>0.0006220563405314739</v>
      </c>
      <c r="S607" s="35" t="n">
        <v>-0.07034346103038314</v>
      </c>
      <c r="T607" s="35" t="n">
        <v>-0.04297137838469556</v>
      </c>
      <c r="U607" s="30" t="n">
        <v>14570</v>
      </c>
      <c r="V607" s="30" t="n">
        <v>6510</v>
      </c>
      <c r="W607" s="35" t="n">
        <v>-0.2271791352093342</v>
      </c>
      <c r="X607" s="35" t="n">
        <v>0.7296466973886329</v>
      </c>
      <c r="Y607" s="30" t="n">
        <v>17780753</v>
      </c>
      <c r="Z607" s="30" t="n">
        <v>200211278780</v>
      </c>
      <c r="AA607" s="30" t="n">
        <v>832744560</v>
      </c>
      <c r="AB607" s="30" t="n">
        <v>1790330153.5</v>
      </c>
      <c r="AC607" s="35" t="n">
        <v>0.004159328910311053</v>
      </c>
      <c r="AD607" s="24" t="inlineStr">
        <is>
          <t>yfinance_download</t>
        </is>
      </c>
      <c r="AE607" s="24" t="inlineStr">
        <is>
          <t>102120.KQ</t>
        </is>
      </c>
    </row>
    <row r="608" ht="24" customHeight="1">
      <c r="A608" s="29" t="inlineStr">
        <is>
          <t>2025-12-04</t>
        </is>
      </c>
      <c r="B608" s="31" t="n">
        <v>11260</v>
      </c>
      <c r="C608" s="31" t="n">
        <v>11270</v>
      </c>
      <c r="D608" s="31" t="n">
        <v>10910</v>
      </c>
      <c r="E608" s="31" t="n">
        <v>10950</v>
      </c>
      <c r="F608" s="31" t="n">
        <v>10950</v>
      </c>
      <c r="G608" s="31" t="n">
        <v>115863</v>
      </c>
      <c r="H608" s="36" t="n">
        <v>-0.02753108348134992</v>
      </c>
      <c r="I608" s="36" t="n">
        <v>-0.5165562913907285</v>
      </c>
      <c r="J608" s="31" t="n">
        <v>11183</v>
      </c>
      <c r="K608" s="31" t="n">
        <v>12108.66666666667</v>
      </c>
      <c r="L608" s="31" t="n">
        <v>11756.75</v>
      </c>
      <c r="M608" s="36" t="n">
        <v>0.4834456531033368</v>
      </c>
      <c r="N608" s="36" t="n">
        <v>0.4614737036849976</v>
      </c>
      <c r="O608" s="36" t="n">
        <v>-0.1133603238866396</v>
      </c>
      <c r="P608" s="36" t="n">
        <v>-0.01793721973094176</v>
      </c>
      <c r="Q608" s="36" t="n">
        <v>-0.08825978351373853</v>
      </c>
      <c r="R608" s="36" t="n">
        <v>-0.02083519628006791</v>
      </c>
      <c r="S608" s="36" t="n">
        <v>-0.09568903815448981</v>
      </c>
      <c r="T608" s="36" t="n">
        <v>-0.06862015437939906</v>
      </c>
      <c r="U608" s="31" t="n">
        <v>14570</v>
      </c>
      <c r="V608" s="31" t="n">
        <v>6510</v>
      </c>
      <c r="W608" s="36" t="n">
        <v>-0.2484557309540151</v>
      </c>
      <c r="X608" s="36" t="n">
        <v>0.6820276497695852</v>
      </c>
      <c r="Y608" s="31" t="n">
        <v>17780753</v>
      </c>
      <c r="Z608" s="31" t="n">
        <v>194699245350</v>
      </c>
      <c r="AA608" s="31" t="n">
        <v>1268699850</v>
      </c>
      <c r="AB608" s="31" t="n">
        <v>1620692858.5</v>
      </c>
      <c r="AC608" s="36" t="n">
        <v>0.006516203222664417</v>
      </c>
      <c r="AD608" s="29" t="inlineStr">
        <is>
          <t>yfinance_download</t>
        </is>
      </c>
      <c r="AE608" s="29" t="inlineStr">
        <is>
          <t>102120.KQ</t>
        </is>
      </c>
    </row>
    <row r="609" ht="24" customHeight="1">
      <c r="A609" s="24" t="inlineStr">
        <is>
          <t>2025-12-05</t>
        </is>
      </c>
      <c r="B609" s="30" t="n">
        <v>10950</v>
      </c>
      <c r="C609" s="30" t="n">
        <v>11080</v>
      </c>
      <c r="D609" s="30" t="n">
        <v>10800</v>
      </c>
      <c r="E609" s="30" t="n">
        <v>11060</v>
      </c>
      <c r="F609" s="30" t="n">
        <v>11060</v>
      </c>
      <c r="G609" s="30" t="n">
        <v>93106</v>
      </c>
      <c r="H609" s="35" t="n">
        <v>0.01004566210045654</v>
      </c>
      <c r="I609" s="35" t="n">
        <v>-0.5116997792494482</v>
      </c>
      <c r="J609" s="30" t="n">
        <v>11157.5</v>
      </c>
      <c r="K609" s="30" t="n">
        <v>12105</v>
      </c>
      <c r="L609" s="30" t="n">
        <v>11748.66666666667</v>
      </c>
      <c r="M609" s="35" t="n">
        <v>0.4351704690958249</v>
      </c>
      <c r="N609" s="35" t="n">
        <v>0.4613131168616437</v>
      </c>
      <c r="O609" s="35" t="n">
        <v>-0.04407951598962834</v>
      </c>
      <c r="P609" s="35" t="n">
        <v>-0.01950354609929073</v>
      </c>
      <c r="Q609" s="35" t="n">
        <v>-0.08063175394846223</v>
      </c>
      <c r="R609" s="35" t="n">
        <v>-0.008738516692807563</v>
      </c>
      <c r="S609" s="35" t="n">
        <v>-0.08632796365138373</v>
      </c>
      <c r="T609" s="35" t="n">
        <v>-0.05861658060489128</v>
      </c>
      <c r="U609" s="30" t="n">
        <v>14570</v>
      </c>
      <c r="V609" s="30" t="n">
        <v>6510</v>
      </c>
      <c r="W609" s="35" t="n">
        <v>-0.2409059711736444</v>
      </c>
      <c r="X609" s="35" t="n">
        <v>0.6989247311827957</v>
      </c>
      <c r="Y609" s="30" t="n">
        <v>17780753</v>
      </c>
      <c r="Z609" s="30" t="n">
        <v>196655128180</v>
      </c>
      <c r="AA609" s="30" t="n">
        <v>1029752360</v>
      </c>
      <c r="AB609" s="30" t="n">
        <v>1516683726</v>
      </c>
      <c r="AC609" s="35" t="n">
        <v>0.005236336166415449</v>
      </c>
      <c r="AD609" s="24" t="inlineStr">
        <is>
          <t>yfinance_download</t>
        </is>
      </c>
      <c r="AE609" s="24" t="inlineStr">
        <is>
          <t>102120.KQ</t>
        </is>
      </c>
    </row>
    <row r="610" ht="24" customHeight="1">
      <c r="A610" s="29" t="inlineStr">
        <is>
          <t>2025-12-08</t>
        </is>
      </c>
      <c r="B610" s="31" t="n">
        <v>11150</v>
      </c>
      <c r="C610" s="31" t="n">
        <v>11190</v>
      </c>
      <c r="D610" s="31" t="n">
        <v>11000</v>
      </c>
      <c r="E610" s="31" t="n">
        <v>11190</v>
      </c>
      <c r="F610" s="31" t="n">
        <v>11190</v>
      </c>
      <c r="G610" s="31" t="n">
        <v>88792</v>
      </c>
      <c r="H610" s="36" t="n">
        <v>0.01175406871609397</v>
      </c>
      <c r="I610" s="36" t="n">
        <v>-0.5059602649006623</v>
      </c>
      <c r="J610" s="31" t="n">
        <v>11125.5</v>
      </c>
      <c r="K610" s="31" t="n">
        <v>12101.33333333333</v>
      </c>
      <c r="L610" s="31" t="n">
        <v>11745.16666666667</v>
      </c>
      <c r="M610" s="36" t="n">
        <v>0.4288297334964749</v>
      </c>
      <c r="N610" s="36" t="n">
        <v>0.4613376308744397</v>
      </c>
      <c r="O610" s="36" t="n">
        <v>-0.05409974640743875</v>
      </c>
      <c r="P610" s="36" t="n">
        <v>-0.01928133216476779</v>
      </c>
      <c r="Q610" s="36" t="n">
        <v>-0.03617571059431524</v>
      </c>
      <c r="R610" s="36" t="n">
        <v>0.005797492247539449</v>
      </c>
      <c r="S610" s="36" t="n">
        <v>-0.07530850594975769</v>
      </c>
      <c r="T610" s="36" t="n">
        <v>-0.04726767038923807</v>
      </c>
      <c r="U610" s="31" t="n">
        <v>14570</v>
      </c>
      <c r="V610" s="31" t="n">
        <v>6510</v>
      </c>
      <c r="W610" s="36" t="n">
        <v>-0.2319835277968428</v>
      </c>
      <c r="X610" s="36" t="n">
        <v>0.7188940092165899</v>
      </c>
      <c r="Y610" s="31" t="n">
        <v>17780753</v>
      </c>
      <c r="Z610" s="31" t="n">
        <v>198966626070</v>
      </c>
      <c r="AA610" s="31" t="n">
        <v>993582480</v>
      </c>
      <c r="AB610" s="31" t="n">
        <v>1493212636.5</v>
      </c>
      <c r="AC610" s="36" t="n">
        <v>0.004993714270706083</v>
      </c>
      <c r="AD610" s="29" t="inlineStr">
        <is>
          <t>yfinance_download</t>
        </is>
      </c>
      <c r="AE610" s="29" t="inlineStr">
        <is>
          <t>102120.KQ</t>
        </is>
      </c>
    </row>
    <row r="611" ht="24" customHeight="1">
      <c r="A611" s="24" t="inlineStr">
        <is>
          <t>2025-12-09</t>
        </is>
      </c>
      <c r="B611" s="30" t="n">
        <v>11210</v>
      </c>
      <c r="C611" s="30" t="n">
        <v>11210</v>
      </c>
      <c r="D611" s="30" t="n">
        <v>11010</v>
      </c>
      <c r="E611" s="30" t="n">
        <v>11100</v>
      </c>
      <c r="F611" s="30" t="n">
        <v>11100</v>
      </c>
      <c r="G611" s="30" t="n">
        <v>75649</v>
      </c>
      <c r="H611" s="35" t="n">
        <v>-0.008042895442359255</v>
      </c>
      <c r="I611" s="35" t="n">
        <v>-0.509933774834437</v>
      </c>
      <c r="J611" s="30" t="n">
        <v>11080.5</v>
      </c>
      <c r="K611" s="30" t="n">
        <v>12091</v>
      </c>
      <c r="L611" s="30" t="n">
        <v>11740.66666666667</v>
      </c>
      <c r="M611" s="35" t="n">
        <v>0.4245462037392175</v>
      </c>
      <c r="N611" s="35" t="n">
        <v>0.4581431818481042</v>
      </c>
      <c r="O611" s="35" t="n">
        <v>-0.07499999999999996</v>
      </c>
      <c r="P611" s="35" t="n">
        <v>-0.05290102389078499</v>
      </c>
      <c r="Q611" s="35" t="n">
        <v>-0.04639175257731953</v>
      </c>
      <c r="R611" s="35" t="n">
        <v>0.00175984838229315</v>
      </c>
      <c r="S611" s="35" t="n">
        <v>-0.08196178976097923</v>
      </c>
      <c r="T611" s="35" t="n">
        <v>-0.0545681676225086</v>
      </c>
      <c r="U611" s="30" t="n">
        <v>14570</v>
      </c>
      <c r="V611" s="30" t="n">
        <v>6510</v>
      </c>
      <c r="W611" s="35" t="n">
        <v>-0.2381606039807824</v>
      </c>
      <c r="X611" s="35" t="n">
        <v>0.7050691244239631</v>
      </c>
      <c r="Y611" s="30" t="n">
        <v>17780753</v>
      </c>
      <c r="Z611" s="30" t="n">
        <v>197366358300</v>
      </c>
      <c r="AA611" s="30" t="n">
        <v>839703900</v>
      </c>
      <c r="AB611" s="30" t="n">
        <v>1386856831.5</v>
      </c>
      <c r="AC611" s="35" t="n">
        <v>0.004254544225432972</v>
      </c>
      <c r="AD611" s="24" t="inlineStr">
        <is>
          <t>yfinance_download</t>
        </is>
      </c>
      <c r="AE611" s="24" t="inlineStr">
        <is>
          <t>102120.KQ</t>
        </is>
      </c>
    </row>
    <row r="612" ht="24" customHeight="1">
      <c r="A612" s="29" t="inlineStr">
        <is>
          <t>2025-12-10</t>
        </is>
      </c>
      <c r="B612" s="31" t="n">
        <v>11100</v>
      </c>
      <c r="C612" s="31" t="n">
        <v>11250</v>
      </c>
      <c r="D612" s="31" t="n">
        <v>11050</v>
      </c>
      <c r="E612" s="31" t="n">
        <v>11120</v>
      </c>
      <c r="F612" s="31" t="n">
        <v>11120</v>
      </c>
      <c r="G612" s="31" t="n">
        <v>139513</v>
      </c>
      <c r="H612" s="36" t="n">
        <v>0.001801801801801783</v>
      </c>
      <c r="I612" s="36" t="n">
        <v>-0.5090507726269315</v>
      </c>
      <c r="J612" s="31" t="n">
        <v>11027</v>
      </c>
      <c r="K612" s="31" t="n">
        <v>12074.83333333333</v>
      </c>
      <c r="L612" s="31" t="n">
        <v>11734.83333333333</v>
      </c>
      <c r="M612" s="36" t="n">
        <v>0.4189361340385253</v>
      </c>
      <c r="N612" s="36" t="n">
        <v>0.4532803714585529</v>
      </c>
      <c r="O612" s="36" t="n">
        <v>-0.08777686628383918</v>
      </c>
      <c r="P612" s="36" t="n">
        <v>-0.0802315963606286</v>
      </c>
      <c r="Q612" s="36" t="n">
        <v>-0.05922165820642977</v>
      </c>
      <c r="R612" s="36" t="n">
        <v>0.00843384420059845</v>
      </c>
      <c r="S612" s="36" t="n">
        <v>-0.07907631575315055</v>
      </c>
      <c r="T612" s="36" t="n">
        <v>-0.05239387010183361</v>
      </c>
      <c r="U612" s="31" t="n">
        <v>14570</v>
      </c>
      <c r="V612" s="31" t="n">
        <v>6510</v>
      </c>
      <c r="W612" s="36" t="n">
        <v>-0.2367879203843514</v>
      </c>
      <c r="X612" s="36" t="n">
        <v>0.7081413210445469</v>
      </c>
      <c r="Y612" s="31" t="n">
        <v>17780753</v>
      </c>
      <c r="Z612" s="31" t="n">
        <v>197721973360</v>
      </c>
      <c r="AA612" s="31" t="n">
        <v>1551384560</v>
      </c>
      <c r="AB612" s="31" t="n">
        <v>1378524348.5</v>
      </c>
      <c r="AC612" s="36" t="n">
        <v>0.007846293123806398</v>
      </c>
      <c r="AD612" s="29" t="inlineStr">
        <is>
          <t>yfinance_download</t>
        </is>
      </c>
      <c r="AE612" s="29" t="inlineStr">
        <is>
          <t>102120.KQ</t>
        </is>
      </c>
    </row>
    <row r="613" ht="24" customHeight="1">
      <c r="A613" s="24" t="inlineStr">
        <is>
          <t>2025-12-11</t>
        </is>
      </c>
      <c r="B613" s="30" t="n">
        <v>11150</v>
      </c>
      <c r="C613" s="30" t="n">
        <v>11340</v>
      </c>
      <c r="D613" s="30" t="n">
        <v>11090</v>
      </c>
      <c r="E613" s="30" t="n">
        <v>11190</v>
      </c>
      <c r="F613" s="30" t="n">
        <v>11190</v>
      </c>
      <c r="G613" s="30" t="n">
        <v>102728</v>
      </c>
      <c r="H613" s="35" t="n">
        <v>0.00629496402877705</v>
      </c>
      <c r="I613" s="35" t="n">
        <v>-0.5059602649006623</v>
      </c>
      <c r="J613" s="30" t="n">
        <v>10989.5</v>
      </c>
      <c r="K613" s="30" t="n">
        <v>12060.66666666667</v>
      </c>
      <c r="L613" s="30" t="n">
        <v>11728.08333333333</v>
      </c>
      <c r="M613" s="35" t="n">
        <v>0.4159296287769499</v>
      </c>
      <c r="N613" s="35" t="n">
        <v>0.4534753388794207</v>
      </c>
      <c r="O613" s="35" t="n">
        <v>-0.06281407035175879</v>
      </c>
      <c r="P613" s="35" t="n">
        <v>-0.07059800664451832</v>
      </c>
      <c r="Q613" s="35" t="n">
        <v>-0.0675</v>
      </c>
      <c r="R613" s="35" t="n">
        <v>0.01824468811137914</v>
      </c>
      <c r="S613" s="35" t="n">
        <v>-0.07219059200707534</v>
      </c>
      <c r="T613" s="35" t="n">
        <v>-0.04587990365007077</v>
      </c>
      <c r="U613" s="30" t="n">
        <v>14570</v>
      </c>
      <c r="V613" s="30" t="n">
        <v>6510</v>
      </c>
      <c r="W613" s="35" t="n">
        <v>-0.2319835277968428</v>
      </c>
      <c r="X613" s="35" t="n">
        <v>0.7188940092165899</v>
      </c>
      <c r="Y613" s="30" t="n">
        <v>17780753</v>
      </c>
      <c r="Z613" s="30" t="n">
        <v>198966626070</v>
      </c>
      <c r="AA613" s="30" t="n">
        <v>1149526320</v>
      </c>
      <c r="AB613" s="30" t="n">
        <v>1354763889.5</v>
      </c>
      <c r="AC613" s="35" t="n">
        <v>0.005777483102093596</v>
      </c>
      <c r="AD613" s="24" t="inlineStr">
        <is>
          <t>yfinance_download</t>
        </is>
      </c>
      <c r="AE613" s="24" t="inlineStr">
        <is>
          <t>102120.KQ</t>
        </is>
      </c>
    </row>
    <row r="614" ht="24" customHeight="1">
      <c r="A614" s="29" t="inlineStr">
        <is>
          <t>2025-12-12</t>
        </is>
      </c>
      <c r="B614" s="31" t="n">
        <v>11150</v>
      </c>
      <c r="C614" s="31" t="n">
        <v>11160</v>
      </c>
      <c r="D614" s="31" t="n">
        <v>10960</v>
      </c>
      <c r="E614" s="31" t="n">
        <v>11050</v>
      </c>
      <c r="F614" s="31" t="n">
        <v>11050</v>
      </c>
      <c r="G614" s="31" t="n">
        <v>124639</v>
      </c>
      <c r="H614" s="36" t="n">
        <v>-0.01251117068811436</v>
      </c>
      <c r="I614" s="36" t="n">
        <v>-0.5121412803532008</v>
      </c>
      <c r="J614" s="31" t="n">
        <v>10973.5</v>
      </c>
      <c r="K614" s="31" t="n">
        <v>12037.83333333333</v>
      </c>
      <c r="L614" s="31" t="n">
        <v>11720.25</v>
      </c>
      <c r="M614" s="36" t="n">
        <v>0.3830665916961603</v>
      </c>
      <c r="N614" s="36" t="n">
        <v>0.4490075195451259</v>
      </c>
      <c r="O614" s="36" t="n">
        <v>-0.02814423922603337</v>
      </c>
      <c r="P614" s="36" t="n">
        <v>-0.1103059581320451</v>
      </c>
      <c r="Q614" s="36" t="n">
        <v>-0.07839866555462882</v>
      </c>
      <c r="R614" s="36" t="n">
        <v>0.006971340046475705</v>
      </c>
      <c r="S614" s="36" t="n">
        <v>-0.08206072521356289</v>
      </c>
      <c r="T614" s="36" t="n">
        <v>-0.05718734668629077</v>
      </c>
      <c r="U614" s="31" t="n">
        <v>14570</v>
      </c>
      <c r="V614" s="31" t="n">
        <v>6510</v>
      </c>
      <c r="W614" s="36" t="n">
        <v>-0.24159231297186</v>
      </c>
      <c r="X614" s="36" t="n">
        <v>0.6973886328725039</v>
      </c>
      <c r="Y614" s="31" t="n">
        <v>17780753</v>
      </c>
      <c r="Z614" s="31" t="n">
        <v>196477320650</v>
      </c>
      <c r="AA614" s="31" t="n">
        <v>1377260950</v>
      </c>
      <c r="AB614" s="31" t="n">
        <v>1291393268.5</v>
      </c>
      <c r="AC614" s="36" t="n">
        <v>0.007009770621075497</v>
      </c>
      <c r="AD614" s="29" t="inlineStr">
        <is>
          <t>yfinance_download</t>
        </is>
      </c>
      <c r="AE614" s="29" t="inlineStr">
        <is>
          <t>102120.KQ</t>
        </is>
      </c>
    </row>
    <row r="615" ht="24" customHeight="1">
      <c r="A615" s="24" t="inlineStr">
        <is>
          <t>2025-12-15</t>
        </is>
      </c>
      <c r="B615" s="30" t="n">
        <v>10950</v>
      </c>
      <c r="C615" s="30" t="n">
        <v>11000</v>
      </c>
      <c r="D615" s="30" t="n">
        <v>10650</v>
      </c>
      <c r="E615" s="30" t="n">
        <v>10860</v>
      </c>
      <c r="F615" s="30" t="n">
        <v>10860</v>
      </c>
      <c r="G615" s="30" t="n">
        <v>80586</v>
      </c>
      <c r="H615" s="35" t="n">
        <v>-0.01719457013574666</v>
      </c>
      <c r="I615" s="35" t="n">
        <v>-0.5205298013245033</v>
      </c>
      <c r="J615" s="30" t="n">
        <v>10938.5</v>
      </c>
      <c r="K615" s="30" t="n">
        <v>12005.33333333333</v>
      </c>
      <c r="L615" s="30" t="n">
        <v>11710.5</v>
      </c>
      <c r="M615" s="35" t="n">
        <v>0.3810058081714741</v>
      </c>
      <c r="N615" s="35" t="n">
        <v>0.44479957305002</v>
      </c>
      <c r="O615" s="35" t="n">
        <v>-0.06055363321799312</v>
      </c>
      <c r="P615" s="35" t="n">
        <v>-0.1522248243559718</v>
      </c>
      <c r="Q615" s="35" t="n">
        <v>-0.09725685785536164</v>
      </c>
      <c r="R615" s="35" t="n">
        <v>-0.00717648672121407</v>
      </c>
      <c r="S615" s="35" t="n">
        <v>-0.09540204353620618</v>
      </c>
      <c r="T615" s="35" t="n">
        <v>-0.07262712949916739</v>
      </c>
      <c r="U615" s="30" t="n">
        <v>14570</v>
      </c>
      <c r="V615" s="30" t="n">
        <v>6510</v>
      </c>
      <c r="W615" s="35" t="n">
        <v>-0.2546328071379547</v>
      </c>
      <c r="X615" s="35" t="n">
        <v>0.6682027649769586</v>
      </c>
      <c r="Y615" s="30" t="n">
        <v>17780753</v>
      </c>
      <c r="Z615" s="30" t="n">
        <v>193098977580</v>
      </c>
      <c r="AA615" s="30" t="n">
        <v>875163960</v>
      </c>
      <c r="AB615" s="30" t="n">
        <v>1237070646.5</v>
      </c>
      <c r="AC615" s="35" t="n">
        <v>0.004532204007333097</v>
      </c>
      <c r="AD615" s="24" t="inlineStr">
        <is>
          <t>yfinance_download</t>
        </is>
      </c>
      <c r="AE615" s="24" t="inlineStr">
        <is>
          <t>102120.KQ</t>
        </is>
      </c>
    </row>
    <row r="616" ht="24" customHeight="1">
      <c r="A616" s="29" t="inlineStr">
        <is>
          <t>2025-12-16</t>
        </is>
      </c>
      <c r="B616" s="31" t="n">
        <v>10950</v>
      </c>
      <c r="C616" s="31" t="n">
        <v>10950</v>
      </c>
      <c r="D616" s="31" t="n">
        <v>10410</v>
      </c>
      <c r="E616" s="31" t="n">
        <v>10450</v>
      </c>
      <c r="F616" s="31" t="n">
        <v>10450</v>
      </c>
      <c r="G616" s="31" t="n">
        <v>132594</v>
      </c>
      <c r="H616" s="36" t="n">
        <v>-0.03775322283609572</v>
      </c>
      <c r="I616" s="36" t="n">
        <v>-0.5386313465783664</v>
      </c>
      <c r="J616" s="31" t="n">
        <v>10910.5</v>
      </c>
      <c r="K616" s="31" t="n">
        <v>11968.33333333333</v>
      </c>
      <c r="L616" s="31" t="n">
        <v>11700.58333333333</v>
      </c>
      <c r="M616" s="36" t="n">
        <v>0.3670456644296432</v>
      </c>
      <c r="N616" s="36" t="n">
        <v>0.4503685069358682</v>
      </c>
      <c r="O616" s="36" t="n">
        <v>-0.05086285195277018</v>
      </c>
      <c r="P616" s="36" t="n">
        <v>-0.175217048145225</v>
      </c>
      <c r="Q616" s="36" t="n">
        <v>-0.102233676975945</v>
      </c>
      <c r="R616" s="36" t="n">
        <v>-0.04220704825626687</v>
      </c>
      <c r="S616" s="36" t="n">
        <v>-0.1268625539618438</v>
      </c>
      <c r="T616" s="36" t="n">
        <v>-0.1068821355060645</v>
      </c>
      <c r="U616" s="31" t="n">
        <v>14570</v>
      </c>
      <c r="V616" s="31" t="n">
        <v>6510</v>
      </c>
      <c r="W616" s="36" t="n">
        <v>-0.2827728208647907</v>
      </c>
      <c r="X616" s="36" t="n">
        <v>0.6052227342549923</v>
      </c>
      <c r="Y616" s="31" t="n">
        <v>17780753</v>
      </c>
      <c r="Z616" s="31" t="n">
        <v>185808868850</v>
      </c>
      <c r="AA616" s="31" t="n">
        <v>1385607300</v>
      </c>
      <c r="AB616" s="31" t="n">
        <v>1208736902</v>
      </c>
      <c r="AC616" s="36" t="n">
        <v>0.007457164496914163</v>
      </c>
      <c r="AD616" s="29" t="inlineStr">
        <is>
          <t>yfinance_download</t>
        </is>
      </c>
      <c r="AE616" s="29" t="inlineStr">
        <is>
          <t>102120.KQ</t>
        </is>
      </c>
    </row>
    <row r="617" ht="24" customHeight="1">
      <c r="A617" s="24" t="inlineStr">
        <is>
          <t>2025-12-17</t>
        </is>
      </c>
      <c r="B617" s="30" t="n">
        <v>10580</v>
      </c>
      <c r="C617" s="30" t="n">
        <v>10640</v>
      </c>
      <c r="D617" s="30" t="n">
        <v>10450</v>
      </c>
      <c r="E617" s="30" t="n">
        <v>10560</v>
      </c>
      <c r="F617" s="30" t="n">
        <v>10560</v>
      </c>
      <c r="G617" s="30" t="n">
        <v>80721</v>
      </c>
      <c r="H617" s="35" t="n">
        <v>0.01052631578947372</v>
      </c>
      <c r="I617" s="35" t="n">
        <v>-0.5337748344370861</v>
      </c>
      <c r="J617" s="30" t="n">
        <v>10902.5</v>
      </c>
      <c r="K617" s="30" t="n">
        <v>11938.83333333333</v>
      </c>
      <c r="L617" s="30" t="n">
        <v>11686.41666666667</v>
      </c>
      <c r="M617" s="35" t="n">
        <v>0.3583104207839501</v>
      </c>
      <c r="N617" s="35" t="n">
        <v>0.4483597298521156</v>
      </c>
      <c r="O617" s="35" t="n">
        <v>-0.0149253731343284</v>
      </c>
      <c r="P617" s="35" t="n">
        <v>-0.1435523114355232</v>
      </c>
      <c r="Q617" s="35" t="n">
        <v>-0.1386623164763459</v>
      </c>
      <c r="R617" s="35" t="n">
        <v>-0.03141481311625771</v>
      </c>
      <c r="S617" s="35" t="n">
        <v>-0.1154914634316586</v>
      </c>
      <c r="T617" s="35" t="n">
        <v>-0.09638683086489297</v>
      </c>
      <c r="U617" s="30" t="n">
        <v>14570</v>
      </c>
      <c r="V617" s="30" t="n">
        <v>6510</v>
      </c>
      <c r="W617" s="35" t="n">
        <v>-0.2752230610844201</v>
      </c>
      <c r="X617" s="35" t="n">
        <v>0.6221198156682028</v>
      </c>
      <c r="Y617" s="30" t="n">
        <v>17780753</v>
      </c>
      <c r="Z617" s="30" t="n">
        <v>187764751680</v>
      </c>
      <c r="AA617" s="30" t="n">
        <v>852413760</v>
      </c>
      <c r="AB617" s="30" t="n">
        <v>1175462134</v>
      </c>
      <c r="AC617" s="35" t="n">
        <v>0.004539796486684225</v>
      </c>
      <c r="AD617" s="24" t="inlineStr">
        <is>
          <t>yfinance_download</t>
        </is>
      </c>
      <c r="AE617" s="24" t="inlineStr">
        <is>
          <t>102120.KQ</t>
        </is>
      </c>
    </row>
    <row r="618" ht="24" customHeight="1">
      <c r="A618" s="29" t="inlineStr">
        <is>
          <t>2025-12-18</t>
        </is>
      </c>
      <c r="B618" s="31" t="n">
        <v>10350</v>
      </c>
      <c r="C618" s="31" t="n">
        <v>10470</v>
      </c>
      <c r="D618" s="31" t="n">
        <v>10240</v>
      </c>
      <c r="E618" s="31" t="n">
        <v>10250</v>
      </c>
      <c r="F618" s="31" t="n">
        <v>10250</v>
      </c>
      <c r="G618" s="31" t="n">
        <v>99087</v>
      </c>
      <c r="H618" s="36" t="n">
        <v>-0.02935606060606055</v>
      </c>
      <c r="I618" s="36" t="n">
        <v>-0.5474613686534217</v>
      </c>
      <c r="J618" s="31" t="n">
        <v>10861.5</v>
      </c>
      <c r="K618" s="31" t="n">
        <v>11899.66666666667</v>
      </c>
      <c r="L618" s="31" t="n">
        <v>11666</v>
      </c>
      <c r="M618" s="36" t="n">
        <v>0.3497091974675655</v>
      </c>
      <c r="N618" s="36" t="n">
        <v>0.4489041164350648</v>
      </c>
      <c r="O618" s="36" t="n">
        <v>-0.07407407407407407</v>
      </c>
      <c r="P618" s="36" t="n">
        <v>-0.1865079365079365</v>
      </c>
      <c r="Q618" s="36" t="n">
        <v>-0.1929133858267716</v>
      </c>
      <c r="R618" s="36" t="n">
        <v>-0.05629977443262901</v>
      </c>
      <c r="S618" s="36" t="n">
        <v>-0.1386313342110422</v>
      </c>
      <c r="T618" s="36" t="n">
        <v>-0.1213783644779701</v>
      </c>
      <c r="U618" s="31" t="n">
        <v>14570</v>
      </c>
      <c r="V618" s="31" t="n">
        <v>6510</v>
      </c>
      <c r="W618" s="36" t="n">
        <v>-0.2964996568291008</v>
      </c>
      <c r="X618" s="36" t="n">
        <v>0.5745007680491552</v>
      </c>
      <c r="Y618" s="31" t="n">
        <v>17780753</v>
      </c>
      <c r="Z618" s="31" t="n">
        <v>182252718250</v>
      </c>
      <c r="AA618" s="31" t="n">
        <v>1015641750</v>
      </c>
      <c r="AB618" s="31" t="n">
        <v>1160500598.5</v>
      </c>
      <c r="AC618" s="36" t="n">
        <v>0.005572711121964295</v>
      </c>
      <c r="AD618" s="29" t="inlineStr">
        <is>
          <t>yfinance_download</t>
        </is>
      </c>
      <c r="AE618" s="29" t="inlineStr">
        <is>
          <t>102120.KQ</t>
        </is>
      </c>
    </row>
    <row r="619" ht="24" customHeight="1">
      <c r="A619" s="24" t="inlineStr">
        <is>
          <t>2025-12-19</t>
        </is>
      </c>
      <c r="B619" s="30" t="n">
        <v>10340</v>
      </c>
      <c r="C619" s="30" t="n">
        <v>10390</v>
      </c>
      <c r="D619" s="30" t="n">
        <v>10180</v>
      </c>
      <c r="E619" s="30" t="n">
        <v>10310</v>
      </c>
      <c r="F619" s="30" t="n">
        <v>10310</v>
      </c>
      <c r="G619" s="30" t="n">
        <v>93344</v>
      </c>
      <c r="H619" s="35" t="n">
        <v>0.005853658536585371</v>
      </c>
      <c r="I619" s="35" t="n">
        <v>-0.5448123620309051</v>
      </c>
      <c r="J619" s="30" t="n">
        <v>10857</v>
      </c>
      <c r="K619" s="30" t="n">
        <v>11859.33333333333</v>
      </c>
      <c r="L619" s="30" t="n">
        <v>11648.66666666667</v>
      </c>
      <c r="M619" s="35" t="n">
        <v>0.2785563405025065</v>
      </c>
      <c r="N619" s="35" t="n">
        <v>0.4484297385705889</v>
      </c>
      <c r="O619" s="35" t="n">
        <v>-0.008653846153846123</v>
      </c>
      <c r="P619" s="35" t="n">
        <v>-0.190102120974077</v>
      </c>
      <c r="Q619" s="35" t="n">
        <v>-0.1678773204196933</v>
      </c>
      <c r="R619" s="35" t="n">
        <v>-0.05038224187160356</v>
      </c>
      <c r="S619" s="35" t="n">
        <v>-0.130642531901737</v>
      </c>
      <c r="T619" s="35" t="n">
        <v>-0.1149201625364848</v>
      </c>
      <c r="U619" s="30" t="n">
        <v>14570</v>
      </c>
      <c r="V619" s="30" t="n">
        <v>6510</v>
      </c>
      <c r="W619" s="35" t="n">
        <v>-0.2923816060398078</v>
      </c>
      <c r="X619" s="35" t="n">
        <v>0.5837173579109063</v>
      </c>
      <c r="Y619" s="30" t="n">
        <v>17780753</v>
      </c>
      <c r="Z619" s="30" t="n">
        <v>183319563430</v>
      </c>
      <c r="AA619" s="30" t="n">
        <v>962376640</v>
      </c>
      <c r="AB619" s="30" t="n">
        <v>1131715590.5</v>
      </c>
      <c r="AC619" s="35" t="n">
        <v>0.005249721426308548</v>
      </c>
      <c r="AD619" s="24" t="inlineStr">
        <is>
          <t>yfinance_download</t>
        </is>
      </c>
      <c r="AE619" s="24" t="inlineStr">
        <is>
          <t>102120.KQ</t>
        </is>
      </c>
    </row>
    <row r="620" ht="24" customHeight="1">
      <c r="A620" s="29" t="inlineStr">
        <is>
          <t>2025-12-22</t>
        </is>
      </c>
      <c r="B620" s="31" t="n">
        <v>10500</v>
      </c>
      <c r="C620" s="31" t="n">
        <v>10840</v>
      </c>
      <c r="D620" s="31" t="n">
        <v>10500</v>
      </c>
      <c r="E620" s="31" t="n">
        <v>10790</v>
      </c>
      <c r="F620" s="31" t="n">
        <v>10790</v>
      </c>
      <c r="G620" s="31" t="n">
        <v>135135</v>
      </c>
      <c r="H620" s="36" t="n">
        <v>0.04655674102812801</v>
      </c>
      <c r="I620" s="36" t="n">
        <v>-0.5236203090507726</v>
      </c>
      <c r="J620" s="31" t="n">
        <v>10875</v>
      </c>
      <c r="K620" s="31" t="n">
        <v>11829.66666666667</v>
      </c>
      <c r="L620" s="31" t="n">
        <v>11637.66666666667</v>
      </c>
      <c r="M620" s="36" t="n">
        <v>0.3244987833054821</v>
      </c>
      <c r="N620" s="36" t="n">
        <v>0.4593439537280756</v>
      </c>
      <c r="O620" s="36" t="n">
        <v>0.03451581975071916</v>
      </c>
      <c r="P620" s="36" t="n">
        <v>-0.141607000795545</v>
      </c>
      <c r="Q620" s="36" t="n">
        <v>-0.1090008257638315</v>
      </c>
      <c r="R620" s="36" t="n">
        <v>-0.007816091954022997</v>
      </c>
      <c r="S620" s="36" t="n">
        <v>-0.08788638733128573</v>
      </c>
      <c r="T620" s="36" t="n">
        <v>-0.07283819780597478</v>
      </c>
      <c r="U620" s="31" t="n">
        <v>14570</v>
      </c>
      <c r="V620" s="31" t="n">
        <v>6510</v>
      </c>
      <c r="W620" s="36" t="n">
        <v>-0.2594371997254633</v>
      </c>
      <c r="X620" s="36" t="n">
        <v>0.6574500768049154</v>
      </c>
      <c r="Y620" s="31" t="n">
        <v>17780753</v>
      </c>
      <c r="Z620" s="31" t="n">
        <v>191854324870</v>
      </c>
      <c r="AA620" s="31" t="n">
        <v>1458106650</v>
      </c>
      <c r="AB620" s="31" t="n">
        <v>1149126022</v>
      </c>
      <c r="AC620" s="36" t="n">
        <v>0.00760007183047872</v>
      </c>
      <c r="AD620" s="29" t="inlineStr">
        <is>
          <t>yfinance_download</t>
        </is>
      </c>
      <c r="AE620" s="29" t="inlineStr">
        <is>
          <t>102120.KQ</t>
        </is>
      </c>
    </row>
    <row r="621" ht="24" customHeight="1">
      <c r="A621" s="24" t="inlineStr">
        <is>
          <t>2025-12-23</t>
        </is>
      </c>
      <c r="B621" s="30" t="n">
        <v>10850</v>
      </c>
      <c r="C621" s="30" t="n">
        <v>10860</v>
      </c>
      <c r="D621" s="30" t="n">
        <v>10660</v>
      </c>
      <c r="E621" s="30" t="n">
        <v>10750</v>
      </c>
      <c r="F621" s="30" t="n">
        <v>10750</v>
      </c>
      <c r="G621" s="30" t="n">
        <v>64908</v>
      </c>
      <c r="H621" s="35" t="n">
        <v>-0.003707136237256714</v>
      </c>
      <c r="I621" s="35" t="n">
        <v>-0.5253863134657837</v>
      </c>
      <c r="J621" s="30" t="n">
        <v>10882</v>
      </c>
      <c r="K621" s="30" t="n">
        <v>11804.33333333333</v>
      </c>
      <c r="L621" s="30" t="n">
        <v>11628.16666666667</v>
      </c>
      <c r="M621" s="35" t="n">
        <v>0.319835360358865</v>
      </c>
      <c r="N621" s="35" t="n">
        <v>0.4571219604683169</v>
      </c>
      <c r="O621" s="35" t="n">
        <v>0.01319509896324211</v>
      </c>
      <c r="P621" s="35" t="n">
        <v>-0.123879380603097</v>
      </c>
      <c r="Q621" s="35" t="n">
        <v>-0.095878889823381</v>
      </c>
      <c r="R621" s="35" t="n">
        <v>-0.01213012313912887</v>
      </c>
      <c r="S621" s="35" t="n">
        <v>-0.0893174822805185</v>
      </c>
      <c r="T621" s="35" t="n">
        <v>-0.07552064670555692</v>
      </c>
      <c r="U621" s="30" t="n">
        <v>14570</v>
      </c>
      <c r="V621" s="30" t="n">
        <v>7050</v>
      </c>
      <c r="W621" s="35" t="n">
        <v>-0.2621825669183253</v>
      </c>
      <c r="X621" s="35" t="n">
        <v>0.5248226950354611</v>
      </c>
      <c r="Y621" s="30" t="n">
        <v>17780753</v>
      </c>
      <c r="Z621" s="30" t="n">
        <v>191143094750</v>
      </c>
      <c r="AA621" s="30" t="n">
        <v>697761000</v>
      </c>
      <c r="AB621" s="30" t="n">
        <v>1127230943.5</v>
      </c>
      <c r="AC621" s="35" t="n">
        <v>0.003650464072022146</v>
      </c>
      <c r="AD621" s="24" t="inlineStr">
        <is>
          <t>yfinance_download</t>
        </is>
      </c>
      <c r="AE621" s="24" t="inlineStr">
        <is>
          <t>102120.KQ</t>
        </is>
      </c>
    </row>
    <row r="622" ht="24" customHeight="1">
      <c r="A622" s="29" t="inlineStr">
        <is>
          <t>2025-12-24</t>
        </is>
      </c>
      <c r="B622" s="31" t="n">
        <v>10850</v>
      </c>
      <c r="C622" s="31" t="n">
        <v>10850</v>
      </c>
      <c r="D622" s="31" t="n">
        <v>10520</v>
      </c>
      <c r="E622" s="31" t="n">
        <v>10550</v>
      </c>
      <c r="F622" s="31" t="n">
        <v>10550</v>
      </c>
      <c r="G622" s="31" t="n">
        <v>60505</v>
      </c>
      <c r="H622" s="36" t="n">
        <v>-0.01860465116279075</v>
      </c>
      <c r="I622" s="36" t="n">
        <v>-0.5342163355408389</v>
      </c>
      <c r="J622" s="31" t="n">
        <v>10871</v>
      </c>
      <c r="K622" s="31" t="n">
        <v>11774.66666666667</v>
      </c>
      <c r="L622" s="31" t="n">
        <v>11617.58333333333</v>
      </c>
      <c r="M622" s="36" t="n">
        <v>0.3222959803867465</v>
      </c>
      <c r="N622" s="36" t="n">
        <v>0.4581893554232356</v>
      </c>
      <c r="O622" s="36" t="n">
        <v>-0.02042711234911787</v>
      </c>
      <c r="P622" s="36" t="n">
        <v>-0.1443633414436334</v>
      </c>
      <c r="Q622" s="36" t="n">
        <v>-0.1074450084602369</v>
      </c>
      <c r="R622" s="36" t="n">
        <v>-0.02952810229049763</v>
      </c>
      <c r="S622" s="36" t="n">
        <v>-0.1040086060468802</v>
      </c>
      <c r="T622" s="36" t="n">
        <v>-0.0918937530037085</v>
      </c>
      <c r="U622" s="31" t="n">
        <v>14570</v>
      </c>
      <c r="V622" s="31" t="n">
        <v>7500</v>
      </c>
      <c r="W622" s="36" t="n">
        <v>-0.2759094028826355</v>
      </c>
      <c r="X622" s="36" t="n">
        <v>0.4066666666666667</v>
      </c>
      <c r="Y622" s="31" t="n">
        <v>17780753</v>
      </c>
      <c r="Z622" s="31" t="n">
        <v>187586944150</v>
      </c>
      <c r="AA622" s="31" t="n">
        <v>638327750</v>
      </c>
      <c r="AB622" s="31" t="n">
        <v>1111880493.5</v>
      </c>
      <c r="AC622" s="36" t="n">
        <v>0.003402836763999815</v>
      </c>
      <c r="AD622" s="29" t="inlineStr">
        <is>
          <t>yfinance_download</t>
        </is>
      </c>
      <c r="AE622" s="29" t="inlineStr">
        <is>
          <t>102120.KQ</t>
        </is>
      </c>
    </row>
    <row r="623" ht="24" customHeight="1">
      <c r="A623" s="24" t="inlineStr">
        <is>
          <t>2025-12-26</t>
        </is>
      </c>
      <c r="B623" s="30" t="n">
        <v>10600</v>
      </c>
      <c r="C623" s="30" t="n">
        <v>11250</v>
      </c>
      <c r="D623" s="30" t="n">
        <v>10600</v>
      </c>
      <c r="E623" s="30" t="n">
        <v>11110</v>
      </c>
      <c r="F623" s="30" t="n">
        <v>11110</v>
      </c>
      <c r="G623" s="30" t="n">
        <v>274508</v>
      </c>
      <c r="H623" s="35" t="n">
        <v>0.05308056872037925</v>
      </c>
      <c r="I623" s="35" t="n">
        <v>-0.5094922737306844</v>
      </c>
      <c r="J623" s="30" t="n">
        <v>10893.5</v>
      </c>
      <c r="K623" s="30" t="n">
        <v>11760</v>
      </c>
      <c r="L623" s="30" t="n">
        <v>11611.58333333333</v>
      </c>
      <c r="M623" s="35" t="n">
        <v>0.372300597103037</v>
      </c>
      <c r="N623" s="35" t="n">
        <v>0.4687925860475741</v>
      </c>
      <c r="O623" s="35" t="n">
        <v>0.04221388367729828</v>
      </c>
      <c r="P623" s="35" t="n">
        <v>-0.07339449541284404</v>
      </c>
      <c r="Q623" s="35" t="n">
        <v>-0.0608622147083685</v>
      </c>
      <c r="R623" s="35" t="n">
        <v>0.01987423693027957</v>
      </c>
      <c r="S623" s="35" t="n">
        <v>-0.05527210884353739</v>
      </c>
      <c r="T623" s="35" t="n">
        <v>-0.04319680778532931</v>
      </c>
      <c r="U623" s="30" t="n">
        <v>14570</v>
      </c>
      <c r="V623" s="30" t="n">
        <v>7530</v>
      </c>
      <c r="W623" s="35" t="n">
        <v>-0.237474262182567</v>
      </c>
      <c r="X623" s="35" t="n">
        <v>0.4754316069057105</v>
      </c>
      <c r="Y623" s="30" t="n">
        <v>17780753</v>
      </c>
      <c r="Z623" s="30" t="n">
        <v>197544165830</v>
      </c>
      <c r="AA623" s="30" t="n">
        <v>3049783880</v>
      </c>
      <c r="AB623" s="30" t="n">
        <v>1218614835.5</v>
      </c>
      <c r="AC623" s="35" t="n">
        <v>0.01543849127199506</v>
      </c>
      <c r="AD623" s="24" t="inlineStr">
        <is>
          <t>yfinance_download</t>
        </is>
      </c>
      <c r="AE623" s="24" t="inlineStr">
        <is>
          <t>102120.KQ</t>
        </is>
      </c>
    </row>
    <row r="624" ht="24" customHeight="1">
      <c r="A624" s="29" t="inlineStr">
        <is>
          <t>2025-12-29</t>
        </is>
      </c>
      <c r="B624" s="31" t="n">
        <v>11450</v>
      </c>
      <c r="C624" s="31" t="n">
        <v>11530</v>
      </c>
      <c r="D624" s="31" t="n">
        <v>11140</v>
      </c>
      <c r="E624" s="31" t="n">
        <v>11290</v>
      </c>
      <c r="F624" s="31" t="n">
        <v>11290</v>
      </c>
      <c r="G624" s="31" t="n">
        <v>246452</v>
      </c>
      <c r="H624" s="36" t="n">
        <v>0.01620162016201609</v>
      </c>
      <c r="I624" s="36" t="n">
        <v>-0.5015452538631346</v>
      </c>
      <c r="J624" s="31" t="n">
        <v>10908</v>
      </c>
      <c r="K624" s="31" t="n">
        <v>11756.66666666667</v>
      </c>
      <c r="L624" s="31" t="n">
        <v>11604</v>
      </c>
      <c r="M624" s="36" t="n">
        <v>0.3597260479804977</v>
      </c>
      <c r="N624" s="36" t="n">
        <v>0.4622091313200237</v>
      </c>
      <c r="O624" s="36" t="n">
        <v>0.02636363636363637</v>
      </c>
      <c r="P624" s="36" t="n">
        <v>-0.0174064403829417</v>
      </c>
      <c r="Q624" s="36" t="n">
        <v>-0.07459016393442619</v>
      </c>
      <c r="R624" s="36" t="n">
        <v>0.03502016868353497</v>
      </c>
      <c r="S624" s="36" t="n">
        <v>-0.03969379075701729</v>
      </c>
      <c r="T624" s="36" t="n">
        <v>-0.0270596346087556</v>
      </c>
      <c r="U624" s="31" t="n">
        <v>14570</v>
      </c>
      <c r="V624" s="31" t="n">
        <v>7530</v>
      </c>
      <c r="W624" s="36" t="n">
        <v>-0.2251201098146877</v>
      </c>
      <c r="X624" s="36" t="n">
        <v>0.49933598937583</v>
      </c>
      <c r="Y624" s="31" t="n">
        <v>17780753</v>
      </c>
      <c r="Z624" s="31" t="n">
        <v>200744701370</v>
      </c>
      <c r="AA624" s="31" t="n">
        <v>2782443080</v>
      </c>
      <c r="AB624" s="31" t="n">
        <v>1290958189.5</v>
      </c>
      <c r="AC624" s="36" t="n">
        <v>0.01386060534106739</v>
      </c>
      <c r="AD624" s="29" t="inlineStr">
        <is>
          <t>yfinance_download</t>
        </is>
      </c>
      <c r="AE624" s="29" t="inlineStr">
        <is>
          <t>102120.KQ</t>
        </is>
      </c>
    </row>
    <row r="625" ht="24" customHeight="1">
      <c r="A625" s="24" t="inlineStr">
        <is>
          <t>2025-12-30</t>
        </is>
      </c>
      <c r="B625" s="30" t="n">
        <v>11310</v>
      </c>
      <c r="C625" s="30" t="n">
        <v>12720</v>
      </c>
      <c r="D625" s="30" t="n">
        <v>11200</v>
      </c>
      <c r="E625" s="30" t="n">
        <v>12090</v>
      </c>
      <c r="F625" s="30" t="n">
        <v>12090</v>
      </c>
      <c r="G625" s="30" t="n">
        <v>2874364</v>
      </c>
      <c r="H625" s="35" t="n">
        <v>0.07085916740478293</v>
      </c>
      <c r="I625" s="35" t="n">
        <v>-0.4662251655629139</v>
      </c>
      <c r="J625" s="30" t="n">
        <v>10956</v>
      </c>
      <c r="K625" s="30" t="n">
        <v>11761.16666666667</v>
      </c>
      <c r="L625" s="30" t="n">
        <v>11606.25</v>
      </c>
      <c r="M625" s="35" t="n">
        <v>0.4352186290864443</v>
      </c>
      <c r="N625" s="35" t="n">
        <v>0.4810288126222229</v>
      </c>
      <c r="O625" s="35" t="n">
        <v>0.08625336927223715</v>
      </c>
      <c r="P625" s="35" t="n">
        <v>0.02284263959390853</v>
      </c>
      <c r="Q625" s="35" t="n">
        <v>0.02284263959390853</v>
      </c>
      <c r="R625" s="35" t="n">
        <v>0.1035049288061336</v>
      </c>
      <c r="S625" s="35" t="n">
        <v>0.02795924440602549</v>
      </c>
      <c r="T625" s="35" t="n">
        <v>0.04168012924071074</v>
      </c>
      <c r="U625" s="30" t="n">
        <v>14570</v>
      </c>
      <c r="V625" s="30" t="n">
        <v>7530</v>
      </c>
      <c r="W625" s="35" t="n">
        <v>-0.1702127659574468</v>
      </c>
      <c r="X625" s="35" t="n">
        <v>0.6055776892430278</v>
      </c>
      <c r="Y625" s="30" t="n">
        <v>17780753</v>
      </c>
      <c r="Z625" s="30" t="n">
        <v>214969303770</v>
      </c>
      <c r="AA625" s="30" t="n">
        <v>34751060760</v>
      </c>
      <c r="AB625" s="30" t="n">
        <v>2942017771.5</v>
      </c>
      <c r="AC625" s="35" t="n">
        <v>0.1616559208712927</v>
      </c>
      <c r="AD625" s="24" t="inlineStr">
        <is>
          <t>yfinance_download</t>
        </is>
      </c>
      <c r="AE625" s="24" t="inlineStr">
        <is>
          <t>102120.KQ</t>
        </is>
      </c>
    </row>
    <row r="626" ht="24" customHeight="1">
      <c r="A626" s="29" t="inlineStr">
        <is>
          <t>2026-01-02</t>
        </is>
      </c>
      <c r="B626" s="31" t="n">
        <v>12100</v>
      </c>
      <c r="C626" s="31" t="n">
        <v>12760</v>
      </c>
      <c r="D626" s="31" t="n">
        <v>12090</v>
      </c>
      <c r="E626" s="31" t="n">
        <v>12720</v>
      </c>
      <c r="F626" s="31" t="n">
        <v>12720</v>
      </c>
      <c r="G626" s="31" t="n">
        <v>1111766</v>
      </c>
      <c r="H626" s="36" t="n">
        <v>0.05210918114143914</v>
      </c>
      <c r="I626" s="36" t="n">
        <v>-0.43841059602649</v>
      </c>
      <c r="J626" s="31" t="n">
        <v>11032.5</v>
      </c>
      <c r="K626" s="31" t="n">
        <v>11773.16666666667</v>
      </c>
      <c r="L626" s="31" t="n">
        <v>11614.91666666667</v>
      </c>
      <c r="M626" s="36" t="n">
        <v>0.4669314615321382</v>
      </c>
      <c r="N626" s="36" t="n">
        <v>0.4915677438478453</v>
      </c>
      <c r="O626" s="36" t="n">
        <v>0.1367292225201073</v>
      </c>
      <c r="P626" s="36" t="n">
        <v>0.06000000000000005</v>
      </c>
      <c r="Q626" s="36" t="n">
        <v>0.08904109589041087</v>
      </c>
      <c r="R626" s="36" t="n">
        <v>0.1529571719918423</v>
      </c>
      <c r="S626" s="36" t="n">
        <v>0.08042299579552381</v>
      </c>
      <c r="T626" s="36" t="n">
        <v>0.09514345776623467</v>
      </c>
      <c r="U626" s="31" t="n">
        <v>14570</v>
      </c>
      <c r="V626" s="31" t="n">
        <v>7530</v>
      </c>
      <c r="W626" s="36" t="n">
        <v>-0.1269732326698696</v>
      </c>
      <c r="X626" s="36" t="n">
        <v>0.6892430278884463</v>
      </c>
      <c r="Y626" s="31" t="n">
        <v>17780753</v>
      </c>
      <c r="Z626" s="31" t="n">
        <v>226171178160</v>
      </c>
      <c r="AA626" s="31" t="n">
        <v>14141663520</v>
      </c>
      <c r="AB626" s="31" t="n">
        <v>3582650251.5</v>
      </c>
      <c r="AC626" s="36" t="n">
        <v>0.06252637332063496</v>
      </c>
      <c r="AD626" s="29" t="inlineStr">
        <is>
          <t>yfinance_download</t>
        </is>
      </c>
      <c r="AE626" s="29" t="inlineStr">
        <is>
          <t>102120.KQ</t>
        </is>
      </c>
    </row>
    <row r="627" ht="24" customHeight="1">
      <c r="A627" s="24" t="inlineStr">
        <is>
          <t>2026-01-05</t>
        </is>
      </c>
      <c r="B627" s="30" t="n">
        <v>13300</v>
      </c>
      <c r="C627" s="30" t="n">
        <v>13590</v>
      </c>
      <c r="D627" s="30" t="n">
        <v>12500</v>
      </c>
      <c r="E627" s="30" t="n">
        <v>12890</v>
      </c>
      <c r="F627" s="30" t="n">
        <v>12890</v>
      </c>
      <c r="G627" s="30" t="n">
        <v>1173073</v>
      </c>
      <c r="H627" s="35" t="n">
        <v>0.01336477987421381</v>
      </c>
      <c r="I627" s="35" t="n">
        <v>-0.4309050772626931</v>
      </c>
      <c r="J627" s="30" t="n">
        <v>11114</v>
      </c>
      <c r="K627" s="30" t="n">
        <v>11773</v>
      </c>
      <c r="L627" s="30" t="n">
        <v>11624.5</v>
      </c>
      <c r="M627" s="35" t="n">
        <v>0.4674966469870735</v>
      </c>
      <c r="N627" s="35" t="n">
        <v>0.4678297471693305</v>
      </c>
      <c r="O627" s="35" t="n">
        <v>0.1447602131438721</v>
      </c>
      <c r="P627" s="35" t="n">
        <v>-0.0007751937984495916</v>
      </c>
      <c r="Q627" s="35" t="n">
        <v>0.09795570698466771</v>
      </c>
      <c r="R627" s="35" t="n">
        <v>0.1597984524023754</v>
      </c>
      <c r="S627" s="35" t="n">
        <v>0.0948781109317931</v>
      </c>
      <c r="T627" s="35" t="n">
        <v>0.1088648974149427</v>
      </c>
      <c r="U627" s="30" t="n">
        <v>14570</v>
      </c>
      <c r="V627" s="30" t="n">
        <v>7530</v>
      </c>
      <c r="W627" s="35" t="n">
        <v>-0.1153054221002059</v>
      </c>
      <c r="X627" s="35" t="n">
        <v>0.7118193891102258</v>
      </c>
      <c r="Y627" s="30" t="n">
        <v>17780753</v>
      </c>
      <c r="Z627" s="30" t="n">
        <v>229193906170</v>
      </c>
      <c r="AA627" s="30" t="n">
        <v>15120910970</v>
      </c>
      <c r="AB627" s="30" t="n">
        <v>4297058572</v>
      </c>
      <c r="AC627" s="35" t="n">
        <v>0.06597431503603925</v>
      </c>
      <c r="AD627" s="24" t="inlineStr">
        <is>
          <t>yfinance_download</t>
        </is>
      </c>
      <c r="AE627" s="24" t="inlineStr">
        <is>
          <t>102120.KQ</t>
        </is>
      </c>
    </row>
    <row r="628" ht="24" customHeight="1">
      <c r="A628" s="29" t="inlineStr">
        <is>
          <t>2026-01-06</t>
        </is>
      </c>
      <c r="B628" s="31" t="n">
        <v>12610</v>
      </c>
      <c r="C628" s="31" t="n">
        <v>12920</v>
      </c>
      <c r="D628" s="31" t="n">
        <v>12410</v>
      </c>
      <c r="E628" s="31" t="n">
        <v>12780</v>
      </c>
      <c r="F628" s="31" t="n">
        <v>12780</v>
      </c>
      <c r="G628" s="31" t="n">
        <v>423456</v>
      </c>
      <c r="H628" s="36" t="n">
        <v>-0.00853374709076804</v>
      </c>
      <c r="I628" s="36" t="n">
        <v>-0.4357615894039735</v>
      </c>
      <c r="J628" s="31" t="n">
        <v>11205.5</v>
      </c>
      <c r="K628" s="31" t="n">
        <v>11763.5</v>
      </c>
      <c r="L628" s="31" t="n">
        <v>11634.16666666667</v>
      </c>
      <c r="M628" s="36" t="n">
        <v>0.4534366368816449</v>
      </c>
      <c r="N628" s="36" t="n">
        <v>0.4625986765630377</v>
      </c>
      <c r="O628" s="36" t="n">
        <v>0.167123287671233</v>
      </c>
      <c r="P628" s="36" t="n">
        <v>-0.04269662921348316</v>
      </c>
      <c r="Q628" s="36" t="n">
        <v>0.09982788296041312</v>
      </c>
      <c r="R628" s="36" t="n">
        <v>0.1405113560305207</v>
      </c>
      <c r="S628" s="36" t="n">
        <v>0.08641135716410941</v>
      </c>
      <c r="T628" s="36" t="n">
        <v>0.09848864694506121</v>
      </c>
      <c r="U628" s="31" t="n">
        <v>14570</v>
      </c>
      <c r="V628" s="31" t="n">
        <v>7530</v>
      </c>
      <c r="W628" s="36" t="n">
        <v>-0.1228551818805765</v>
      </c>
      <c r="X628" s="36" t="n">
        <v>0.6972111553784861</v>
      </c>
      <c r="Y628" s="31" t="n">
        <v>17780753</v>
      </c>
      <c r="Z628" s="31" t="n">
        <v>227238023340</v>
      </c>
      <c r="AA628" s="31" t="n">
        <v>5411767680</v>
      </c>
      <c r="AB628" s="31" t="n">
        <v>4504211963.5</v>
      </c>
      <c r="AC628" s="36" t="n">
        <v>0.0238154143415636</v>
      </c>
      <c r="AD628" s="29" t="inlineStr">
        <is>
          <t>yfinance_download</t>
        </is>
      </c>
      <c r="AE628" s="29" t="inlineStr">
        <is>
          <t>102120.KQ</t>
        </is>
      </c>
    </row>
    <row r="629" ht="24" customHeight="1">
      <c r="A629" s="24" t="inlineStr">
        <is>
          <t>2026-01-07</t>
        </is>
      </c>
      <c r="B629" s="30" t="n">
        <v>13100</v>
      </c>
      <c r="C629" s="30" t="n">
        <v>13120</v>
      </c>
      <c r="D629" s="30" t="n">
        <v>12250</v>
      </c>
      <c r="E629" s="30" t="n">
        <v>12480</v>
      </c>
      <c r="F629" s="30" t="n">
        <v>12480</v>
      </c>
      <c r="G629" s="30" t="n">
        <v>581966</v>
      </c>
      <c r="H629" s="35" t="n">
        <v>-0.02347417840375587</v>
      </c>
      <c r="I629" s="35" t="n">
        <v>-0.4490066225165563</v>
      </c>
      <c r="J629" s="30" t="n">
        <v>11276.5</v>
      </c>
      <c r="K629" s="30" t="n">
        <v>11742.33333333333</v>
      </c>
      <c r="L629" s="30" t="n">
        <v>11641.08333333333</v>
      </c>
      <c r="M629" s="35" t="n">
        <v>0.4669743158594077</v>
      </c>
      <c r="N629" s="35" t="n">
        <v>0.4606212957064507</v>
      </c>
      <c r="O629" s="35" t="n">
        <v>0.1283905967450272</v>
      </c>
      <c r="P629" s="35" t="n">
        <v>-0.09236363636363631</v>
      </c>
      <c r="Q629" s="35" t="n">
        <v>0.07124463519313307</v>
      </c>
      <c r="R629" s="35" t="n">
        <v>0.1067263778654723</v>
      </c>
      <c r="S629" s="35" t="n">
        <v>0.06282113151843749</v>
      </c>
      <c r="T629" s="35" t="n">
        <v>0.07206517148318081</v>
      </c>
      <c r="U629" s="30" t="n">
        <v>14570</v>
      </c>
      <c r="V629" s="30" t="n">
        <v>7530</v>
      </c>
      <c r="W629" s="35" t="n">
        <v>-0.1434454358270418</v>
      </c>
      <c r="X629" s="35" t="n">
        <v>0.6573705179282869</v>
      </c>
      <c r="Y629" s="30" t="n">
        <v>17780753</v>
      </c>
      <c r="Z629" s="30" t="n">
        <v>221903797440</v>
      </c>
      <c r="AA629" s="30" t="n">
        <v>7262935680</v>
      </c>
      <c r="AB629" s="30" t="n">
        <v>4815871129.5</v>
      </c>
      <c r="AC629" s="35" t="n">
        <v>0.03273010991154312</v>
      </c>
      <c r="AD629" s="24" t="inlineStr">
        <is>
          <t>yfinance_download</t>
        </is>
      </c>
      <c r="AE629" s="24" t="inlineStr">
        <is>
          <t>102120.KQ</t>
        </is>
      </c>
    </row>
    <row r="630" ht="24" customHeight="1">
      <c r="A630" s="29" t="inlineStr">
        <is>
          <t>2026-01-08</t>
        </is>
      </c>
      <c r="B630" s="31" t="n">
        <v>12500</v>
      </c>
      <c r="C630" s="31" t="n">
        <v>12850</v>
      </c>
      <c r="D630" s="31" t="n">
        <v>12310</v>
      </c>
      <c r="E630" s="31" t="n">
        <v>12500</v>
      </c>
      <c r="F630" s="31" t="n">
        <v>12500</v>
      </c>
      <c r="G630" s="31" t="n">
        <v>378646</v>
      </c>
      <c r="H630" s="36" t="n">
        <v>0.001602564102564097</v>
      </c>
      <c r="I630" s="36" t="n">
        <v>-0.4481236203090507</v>
      </c>
      <c r="J630" s="31" t="n">
        <v>11342</v>
      </c>
      <c r="K630" s="31" t="n">
        <v>11727.16666666667</v>
      </c>
      <c r="L630" s="31" t="n">
        <v>11647</v>
      </c>
      <c r="M630" s="36" t="n">
        <v>0.4668385398716777</v>
      </c>
      <c r="N630" s="36" t="n">
        <v>0.4580305827678633</v>
      </c>
      <c r="O630" s="36" t="n">
        <v>0.1170688114387846</v>
      </c>
      <c r="P630" s="36" t="n">
        <v>-0.06785980611483966</v>
      </c>
      <c r="Q630" s="36" t="n">
        <v>0.06022052586938087</v>
      </c>
      <c r="R630" s="36" t="n">
        <v>0.1020983953447363</v>
      </c>
      <c r="S630" s="36" t="n">
        <v>0.06590111280076183</v>
      </c>
      <c r="T630" s="36" t="n">
        <v>0.07323774362496782</v>
      </c>
      <c r="U630" s="31" t="n">
        <v>14570</v>
      </c>
      <c r="V630" s="31" t="n">
        <v>7530</v>
      </c>
      <c r="W630" s="36" t="n">
        <v>-0.1420727522306109</v>
      </c>
      <c r="X630" s="36" t="n">
        <v>0.6600265604249669</v>
      </c>
      <c r="Y630" s="31" t="n">
        <v>17780753</v>
      </c>
      <c r="Z630" s="31" t="n">
        <v>222259412500</v>
      </c>
      <c r="AA630" s="31" t="n">
        <v>4733075000</v>
      </c>
      <c r="AB630" s="31" t="n">
        <v>5002845755.5</v>
      </c>
      <c r="AC630" s="36" t="n">
        <v>0.0212952736028671</v>
      </c>
      <c r="AD630" s="29" t="inlineStr">
        <is>
          <t>yfinance_download</t>
        </is>
      </c>
      <c r="AE630" s="29" t="inlineStr">
        <is>
          <t>102120.KQ</t>
        </is>
      </c>
    </row>
    <row r="631" ht="24" customHeight="1">
      <c r="A631" s="24" t="inlineStr">
        <is>
          <t>2026-01-09</t>
        </is>
      </c>
      <c r="B631" s="30" t="n">
        <v>12500</v>
      </c>
      <c r="C631" s="30" t="n">
        <v>12530</v>
      </c>
      <c r="D631" s="30" t="n">
        <v>12150</v>
      </c>
      <c r="E631" s="30" t="n">
        <v>12250</v>
      </c>
      <c r="F631" s="30" t="n">
        <v>12250</v>
      </c>
      <c r="G631" s="30" t="n">
        <v>179353</v>
      </c>
      <c r="H631" s="35" t="n">
        <v>-0.02000000000000002</v>
      </c>
      <c r="I631" s="35" t="n">
        <v>-0.4591611479028698</v>
      </c>
      <c r="J631" s="30" t="n">
        <v>11399.5</v>
      </c>
      <c r="K631" s="30" t="n">
        <v>11718.5</v>
      </c>
      <c r="L631" s="30" t="n">
        <v>11652.41666666667</v>
      </c>
      <c r="M631" s="35" t="n">
        <v>0.4734755334959422</v>
      </c>
      <c r="N631" s="35" t="n">
        <v>0.4493300757521758</v>
      </c>
      <c r="O631" s="35" t="n">
        <v>0.1036036036036037</v>
      </c>
      <c r="P631" s="35" t="n">
        <v>-0.0407204385277995</v>
      </c>
      <c r="Q631" s="35" t="n">
        <v>0.05603448275862077</v>
      </c>
      <c r="R631" s="35" t="n">
        <v>0.07460853546208157</v>
      </c>
      <c r="S631" s="35" t="n">
        <v>0.04535563425353084</v>
      </c>
      <c r="T631" s="35" t="n">
        <v>0.05128406839782884</v>
      </c>
      <c r="U631" s="30" t="n">
        <v>14570</v>
      </c>
      <c r="V631" s="30" t="n">
        <v>7530</v>
      </c>
      <c r="W631" s="35" t="n">
        <v>-0.1592312971859986</v>
      </c>
      <c r="X631" s="35" t="n">
        <v>0.6268260292164676</v>
      </c>
      <c r="Y631" s="30" t="n">
        <v>17780753</v>
      </c>
      <c r="Z631" s="30" t="n">
        <v>217814224250</v>
      </c>
      <c r="AA631" s="30" t="n">
        <v>2197074250</v>
      </c>
      <c r="AB631" s="30" t="n">
        <v>5070714273</v>
      </c>
      <c r="AC631" s="35" t="n">
        <v>0.01008691814120583</v>
      </c>
      <c r="AD631" s="24" t="inlineStr">
        <is>
          <t>yfinance_download</t>
        </is>
      </c>
      <c r="AE631" s="24" t="inlineStr">
        <is>
          <t>102120.KQ</t>
        </is>
      </c>
    </row>
    <row r="632" ht="24" customHeight="1">
      <c r="A632" s="29" t="inlineStr">
        <is>
          <t>2026-01-12</t>
        </is>
      </c>
      <c r="B632" s="31" t="n">
        <v>12400</v>
      </c>
      <c r="C632" s="31" t="n">
        <v>12530</v>
      </c>
      <c r="D632" s="31" t="n">
        <v>11800</v>
      </c>
      <c r="E632" s="31" t="n">
        <v>11970</v>
      </c>
      <c r="F632" s="31" t="n">
        <v>11970</v>
      </c>
      <c r="G632" s="31" t="n">
        <v>254032</v>
      </c>
      <c r="H632" s="36" t="n">
        <v>-0.02285714285714291</v>
      </c>
      <c r="I632" s="36" t="n">
        <v>-0.471523178807947</v>
      </c>
      <c r="J632" s="31" t="n">
        <v>11442</v>
      </c>
      <c r="K632" s="31" t="n">
        <v>11693.5</v>
      </c>
      <c r="L632" s="31" t="n">
        <v>11653.25</v>
      </c>
      <c r="M632" s="36" t="n">
        <v>0.483906407453141</v>
      </c>
      <c r="N632" s="36" t="n">
        <v>0.4366541146936477</v>
      </c>
      <c r="O632" s="36" t="n">
        <v>0.07643884892086339</v>
      </c>
      <c r="P632" s="36" t="n">
        <v>-0.111358574610245</v>
      </c>
      <c r="Q632" s="36" t="n">
        <v>0.008424599831508006</v>
      </c>
      <c r="R632" s="36" t="n">
        <v>0.04614577871001568</v>
      </c>
      <c r="S632" s="36" t="n">
        <v>0.02364561508530372</v>
      </c>
      <c r="T632" s="36" t="n">
        <v>0.0271812584472142</v>
      </c>
      <c r="U632" s="31" t="n">
        <v>14570</v>
      </c>
      <c r="V632" s="31" t="n">
        <v>7530</v>
      </c>
      <c r="W632" s="36" t="n">
        <v>-0.178448867536033</v>
      </c>
      <c r="X632" s="36" t="n">
        <v>0.5896414342629481</v>
      </c>
      <c r="Y632" s="31" t="n">
        <v>17780753</v>
      </c>
      <c r="Z632" s="31" t="n">
        <v>212835613410</v>
      </c>
      <c r="AA632" s="31" t="n">
        <v>3040763040</v>
      </c>
      <c r="AB632" s="31" t="n">
        <v>5145183197</v>
      </c>
      <c r="AC632" s="36" t="n">
        <v>0.01428690899648626</v>
      </c>
      <c r="AD632" s="29" t="inlineStr">
        <is>
          <t>yfinance_download</t>
        </is>
      </c>
      <c r="AE632" s="29" t="inlineStr">
        <is>
          <t>102120.KQ</t>
        </is>
      </c>
    </row>
    <row r="633" ht="24" customHeight="1">
      <c r="A633" s="24" t="inlineStr">
        <is>
          <t>2026-01-13</t>
        </is>
      </c>
      <c r="B633" s="30" t="n">
        <v>11980</v>
      </c>
      <c r="C633" s="30" t="n">
        <v>12270</v>
      </c>
      <c r="D633" s="30" t="n">
        <v>11800</v>
      </c>
      <c r="E633" s="30" t="n">
        <v>11890</v>
      </c>
      <c r="F633" s="30" t="n">
        <v>11890</v>
      </c>
      <c r="G633" s="30" t="n">
        <v>236139</v>
      </c>
      <c r="H633" s="35" t="n">
        <v>-0.006683375104427736</v>
      </c>
      <c r="I633" s="35" t="n">
        <v>-0.4750551876379691</v>
      </c>
      <c r="J633" s="30" t="n">
        <v>11477</v>
      </c>
      <c r="K633" s="30" t="n">
        <v>11670.83333333333</v>
      </c>
      <c r="L633" s="30" t="n">
        <v>11653.58333333333</v>
      </c>
      <c r="M633" s="35" t="n">
        <v>0.4853245763297612</v>
      </c>
      <c r="N633" s="35" t="n">
        <v>0.4357097715178314</v>
      </c>
      <c r="O633" s="35" t="n">
        <v>0.06255585344057191</v>
      </c>
      <c r="P633" s="35" t="n">
        <v>-0.1026415094339622</v>
      </c>
      <c r="Q633" s="35" t="n">
        <v>0.00337552742616043</v>
      </c>
      <c r="R633" s="35" t="n">
        <v>0.0359850135052715</v>
      </c>
      <c r="S633" s="35" t="n">
        <v>0.01877900749732242</v>
      </c>
      <c r="T633" s="35" t="n">
        <v>0.02028703617628325</v>
      </c>
      <c r="U633" s="30" t="n">
        <v>14570</v>
      </c>
      <c r="V633" s="30" t="n">
        <v>7530</v>
      </c>
      <c r="W633" s="35" t="n">
        <v>-0.1839396019217571</v>
      </c>
      <c r="X633" s="35" t="n">
        <v>0.5790172642762283</v>
      </c>
      <c r="Y633" s="30" t="n">
        <v>17780753</v>
      </c>
      <c r="Z633" s="30" t="n">
        <v>211413153170</v>
      </c>
      <c r="AA633" s="30" t="n">
        <v>2807692710</v>
      </c>
      <c r="AB633" s="30" t="n">
        <v>5228091516.5</v>
      </c>
      <c r="AC633" s="35" t="n">
        <v>0.01328059615922903</v>
      </c>
      <c r="AD633" s="24" t="inlineStr">
        <is>
          <t>yfinance_download</t>
        </is>
      </c>
      <c r="AE633" s="24" t="inlineStr">
        <is>
          <t>102120.KQ</t>
        </is>
      </c>
    </row>
    <row r="634" ht="24" customHeight="1">
      <c r="A634" s="29" t="inlineStr">
        <is>
          <t>2026-01-14</t>
        </is>
      </c>
      <c r="B634" s="31" t="n">
        <v>11960</v>
      </c>
      <c r="C634" s="31" t="n">
        <v>12100</v>
      </c>
      <c r="D634" s="31" t="n">
        <v>11750</v>
      </c>
      <c r="E634" s="31" t="n">
        <v>11770</v>
      </c>
      <c r="F634" s="31" t="n">
        <v>11770</v>
      </c>
      <c r="G634" s="31" t="n">
        <v>175842</v>
      </c>
      <c r="H634" s="36" t="n">
        <v>-0.01009251471825068</v>
      </c>
      <c r="I634" s="36" t="n">
        <v>-0.4803532008830023</v>
      </c>
      <c r="J634" s="31" t="n">
        <v>11513</v>
      </c>
      <c r="K634" s="31" t="n">
        <v>11650.33333333333</v>
      </c>
      <c r="L634" s="31" t="n">
        <v>11654</v>
      </c>
      <c r="M634" s="36" t="n">
        <v>0.4843429344037503</v>
      </c>
      <c r="N634" s="36" t="n">
        <v>0.4345796580570056</v>
      </c>
      <c r="O634" s="36" t="n">
        <v>0.06515837104072397</v>
      </c>
      <c r="P634" s="36" t="n">
        <v>-0.09461538461538466</v>
      </c>
      <c r="Q634" s="36" t="n">
        <v>0.00426621160409546</v>
      </c>
      <c r="R634" s="36" t="n">
        <v>0.02232259185268837</v>
      </c>
      <c r="S634" s="36" t="n">
        <v>0.01027152298932776</v>
      </c>
      <c r="T634" s="36" t="n">
        <v>0.009953663978033322</v>
      </c>
      <c r="U634" s="31" t="n">
        <v>14570</v>
      </c>
      <c r="V634" s="31" t="n">
        <v>7570</v>
      </c>
      <c r="W634" s="36" t="n">
        <v>-0.1921757035003432</v>
      </c>
      <c r="X634" s="36" t="n">
        <v>0.5548216644649935</v>
      </c>
      <c r="Y634" s="31" t="n">
        <v>17780753</v>
      </c>
      <c r="Z634" s="31" t="n">
        <v>209279462810</v>
      </c>
      <c r="AA634" s="31" t="n">
        <v>2069660340</v>
      </c>
      <c r="AB634" s="31" t="n">
        <v>5262711486</v>
      </c>
      <c r="AC634" s="36" t="n">
        <v>0.009889457437488727</v>
      </c>
      <c r="AD634" s="29" t="inlineStr">
        <is>
          <t>yfinance_download</t>
        </is>
      </c>
      <c r="AE634" s="29" t="inlineStr">
        <is>
          <t>102120.KQ</t>
        </is>
      </c>
    </row>
    <row r="635" ht="24" customHeight="1">
      <c r="A635" s="24" t="inlineStr">
        <is>
          <t>2026-01-15</t>
        </is>
      </c>
      <c r="B635" s="30" t="n">
        <v>11710</v>
      </c>
      <c r="C635" s="30" t="n">
        <v>11990</v>
      </c>
      <c r="D635" s="30" t="n">
        <v>11490</v>
      </c>
      <c r="E635" s="30" t="n">
        <v>11980</v>
      </c>
      <c r="F635" s="30" t="n">
        <v>11980</v>
      </c>
      <c r="G635" s="30" t="n">
        <v>276141</v>
      </c>
      <c r="H635" s="35" t="n">
        <v>0.01784197111299912</v>
      </c>
      <c r="I635" s="35" t="n">
        <v>-0.4710816777041943</v>
      </c>
      <c r="J635" s="30" t="n">
        <v>11569</v>
      </c>
      <c r="K635" s="30" t="n">
        <v>11624.83333333333</v>
      </c>
      <c r="L635" s="30" t="n">
        <v>11658.25</v>
      </c>
      <c r="M635" s="35" t="n">
        <v>0.4803475734772265</v>
      </c>
      <c r="N635" s="35" t="n">
        <v>0.4282264222692541</v>
      </c>
      <c r="O635" s="35" t="n">
        <v>0.1031307550644567</v>
      </c>
      <c r="P635" s="35" t="n">
        <v>-0.1132494448556625</v>
      </c>
      <c r="Q635" s="35" t="n">
        <v>0.04446381865736715</v>
      </c>
      <c r="R635" s="35" t="n">
        <v>0.03552597458725915</v>
      </c>
      <c r="S635" s="35" t="n">
        <v>0.03055240935353898</v>
      </c>
      <c r="T635" s="35" t="n">
        <v>0.02759848176184243</v>
      </c>
      <c r="U635" s="30" t="n">
        <v>14570</v>
      </c>
      <c r="V635" s="30" t="n">
        <v>7710</v>
      </c>
      <c r="W635" s="35" t="n">
        <v>-0.1777625257378175</v>
      </c>
      <c r="X635" s="35" t="n">
        <v>0.5538261997405967</v>
      </c>
      <c r="Y635" s="30" t="n">
        <v>17780753</v>
      </c>
      <c r="Z635" s="30" t="n">
        <v>213013420940</v>
      </c>
      <c r="AA635" s="30" t="n">
        <v>3308169180</v>
      </c>
      <c r="AB635" s="30" t="n">
        <v>5384361747</v>
      </c>
      <c r="AC635" s="35" t="n">
        <v>0.01553033215184981</v>
      </c>
      <c r="AD635" s="24" t="inlineStr">
        <is>
          <t>yfinance_download</t>
        </is>
      </c>
      <c r="AE635" s="24" t="inlineStr">
        <is>
          <t>102120.KQ</t>
        </is>
      </c>
    </row>
    <row r="636" ht="24" customHeight="1">
      <c r="A636" s="29" t="inlineStr">
        <is>
          <t>2026-01-16</t>
        </is>
      </c>
      <c r="B636" s="31" t="n">
        <v>12350</v>
      </c>
      <c r="C636" s="31" t="n">
        <v>12350</v>
      </c>
      <c r="D636" s="31" t="n">
        <v>11870</v>
      </c>
      <c r="E636" s="31" t="n">
        <v>11920</v>
      </c>
      <c r="F636" s="31" t="n">
        <v>11920</v>
      </c>
      <c r="G636" s="31" t="n">
        <v>289813</v>
      </c>
      <c r="H636" s="36" t="n">
        <v>-0.005008347245408995</v>
      </c>
      <c r="I636" s="36" t="n">
        <v>-0.4737306843267108</v>
      </c>
      <c r="J636" s="31" t="n">
        <v>11642.5</v>
      </c>
      <c r="K636" s="31" t="n">
        <v>11603.5</v>
      </c>
      <c r="L636" s="31" t="n">
        <v>11662.5</v>
      </c>
      <c r="M636" s="36" t="n">
        <v>0.4547605901844823</v>
      </c>
      <c r="N636" s="36" t="n">
        <v>0.4259871629720354</v>
      </c>
      <c r="O636" s="36" t="n">
        <v>0.1406698564593301</v>
      </c>
      <c r="P636" s="36" t="n">
        <v>-0.09696969696969693</v>
      </c>
      <c r="Q636" s="36" t="n">
        <v>0.04469763365468893</v>
      </c>
      <c r="R636" s="36" t="n">
        <v>0.0238350869658579</v>
      </c>
      <c r="S636" s="36" t="n">
        <v>0.02727625285474211</v>
      </c>
      <c r="T636" s="36" t="n">
        <v>0.02207931404072894</v>
      </c>
      <c r="U636" s="31" t="n">
        <v>14570</v>
      </c>
      <c r="V636" s="31" t="n">
        <v>8150</v>
      </c>
      <c r="W636" s="36" t="n">
        <v>-0.1818805765271105</v>
      </c>
      <c r="X636" s="36" t="n">
        <v>0.4625766871165644</v>
      </c>
      <c r="Y636" s="31" t="n">
        <v>17780753</v>
      </c>
      <c r="Z636" s="31" t="n">
        <v>211946575760</v>
      </c>
      <c r="AA636" s="31" t="n">
        <v>3454570960</v>
      </c>
      <c r="AB636" s="31" t="n">
        <v>5487809930</v>
      </c>
      <c r="AC636" s="36" t="n">
        <v>0.01629925346806179</v>
      </c>
      <c r="AD636" s="29" t="inlineStr">
        <is>
          <t>yfinance_download</t>
        </is>
      </c>
      <c r="AE636" s="29" t="inlineStr">
        <is>
          <t>102120.KQ</t>
        </is>
      </c>
    </row>
    <row r="637" ht="24" customHeight="1">
      <c r="A637" s="24" t="inlineStr">
        <is>
          <t>2026-01-19</t>
        </is>
      </c>
      <c r="B637" s="30" t="n">
        <v>11920</v>
      </c>
      <c r="C637" s="30" t="n">
        <v>11930</v>
      </c>
      <c r="D637" s="30" t="n">
        <v>11670</v>
      </c>
      <c r="E637" s="30" t="n">
        <v>11830</v>
      </c>
      <c r="F637" s="30" t="n">
        <v>11830</v>
      </c>
      <c r="G637" s="30" t="n">
        <v>219317</v>
      </c>
      <c r="H637" s="35" t="n">
        <v>-0.007550335570469802</v>
      </c>
      <c r="I637" s="35" t="n">
        <v>-0.4777041942604856</v>
      </c>
      <c r="J637" s="30" t="n">
        <v>11706</v>
      </c>
      <c r="K637" s="30" t="n">
        <v>11584.33333333333</v>
      </c>
      <c r="L637" s="30" t="n">
        <v>11668.33333333333</v>
      </c>
      <c r="M637" s="35" t="n">
        <v>0.4574121318344744</v>
      </c>
      <c r="N637" s="35" t="n">
        <v>0.4249951691187703</v>
      </c>
      <c r="O637" s="35" t="n">
        <v>0.1202651515151516</v>
      </c>
      <c r="P637" s="35" t="n">
        <v>-0.08859784283513095</v>
      </c>
      <c r="Q637" s="35" t="n">
        <v>0.06289308176100628</v>
      </c>
      <c r="R637" s="35" t="n">
        <v>0.01059285836323243</v>
      </c>
      <c r="S637" s="35" t="n">
        <v>0.02120680229044969</v>
      </c>
      <c r="T637" s="35" t="n">
        <v>0.0138551635480646</v>
      </c>
      <c r="U637" s="30" t="n">
        <v>14570</v>
      </c>
      <c r="V637" s="30" t="n">
        <v>8290</v>
      </c>
      <c r="W637" s="35" t="n">
        <v>-0.1880576527110501</v>
      </c>
      <c r="X637" s="35" t="n">
        <v>0.4270205066344994</v>
      </c>
      <c r="Y637" s="30" t="n">
        <v>17780753</v>
      </c>
      <c r="Z637" s="30" t="n">
        <v>210346307990</v>
      </c>
      <c r="AA637" s="30" t="n">
        <v>2594520110</v>
      </c>
      <c r="AB637" s="30" t="n">
        <v>5574915247.5</v>
      </c>
      <c r="AC637" s="35" t="n">
        <v>0.01233451699149074</v>
      </c>
      <c r="AD637" s="24" t="inlineStr">
        <is>
          <t>yfinance_download</t>
        </is>
      </c>
      <c r="AE637" s="24" t="inlineStr">
        <is>
          <t>102120.KQ</t>
        </is>
      </c>
    </row>
    <row r="638" ht="24" customHeight="1">
      <c r="A638" s="29" t="inlineStr">
        <is>
          <t>2026-01-20</t>
        </is>
      </c>
      <c r="B638" s="31" t="n">
        <v>11810</v>
      </c>
      <c r="C638" s="31" t="n">
        <v>11810</v>
      </c>
      <c r="D638" s="31" t="n">
        <v>11250</v>
      </c>
      <c r="E638" s="31" t="n">
        <v>11550</v>
      </c>
      <c r="F638" s="31" t="n">
        <v>11550</v>
      </c>
      <c r="G638" s="31" t="n">
        <v>237823</v>
      </c>
      <c r="H638" s="36" t="n">
        <v>-0.02366863905325445</v>
      </c>
      <c r="I638" s="36" t="n">
        <v>-0.4900662251655629</v>
      </c>
      <c r="J638" s="31" t="n">
        <v>11771</v>
      </c>
      <c r="K638" s="31" t="n">
        <v>11565</v>
      </c>
      <c r="L638" s="31" t="n">
        <v>11672.08333333333</v>
      </c>
      <c r="M638" s="36" t="n">
        <v>0.4519815239137241</v>
      </c>
      <c r="N638" s="36" t="n">
        <v>0.425600436660851</v>
      </c>
      <c r="O638" s="36" t="n">
        <v>0.1268292682926828</v>
      </c>
      <c r="P638" s="36" t="n">
        <v>-0.09126671911880413</v>
      </c>
      <c r="Q638" s="36" t="n">
        <v>0.04054054054054057</v>
      </c>
      <c r="R638" s="36" t="n">
        <v>-0.01877495539886165</v>
      </c>
      <c r="S638" s="36" t="n">
        <v>-0.001297016861219191</v>
      </c>
      <c r="T638" s="36" t="n">
        <v>-0.01045942955056589</v>
      </c>
      <c r="U638" s="31" t="n">
        <v>14570</v>
      </c>
      <c r="V638" s="31" t="n">
        <v>8290</v>
      </c>
      <c r="W638" s="36" t="n">
        <v>-0.2072752230610844</v>
      </c>
      <c r="X638" s="36" t="n">
        <v>0.3932448733413751</v>
      </c>
      <c r="Y638" s="31" t="n">
        <v>17780753</v>
      </c>
      <c r="Z638" s="31" t="n">
        <v>205367697150</v>
      </c>
      <c r="AA638" s="31" t="n">
        <v>2746855650</v>
      </c>
      <c r="AB638" s="31" t="n">
        <v>5661475942.5</v>
      </c>
      <c r="AC638" s="36" t="n">
        <v>0.01337530530906087</v>
      </c>
      <c r="AD638" s="29" t="inlineStr">
        <is>
          <t>yfinance_download</t>
        </is>
      </c>
      <c r="AE638" s="29" t="inlineStr">
        <is>
          <t>102120.KQ</t>
        </is>
      </c>
    </row>
    <row r="639" ht="24" customHeight="1">
      <c r="A639" s="24" t="inlineStr">
        <is>
          <t>2026-01-21</t>
        </is>
      </c>
      <c r="B639" s="30" t="n">
        <v>11250</v>
      </c>
      <c r="C639" s="30" t="n">
        <v>11430</v>
      </c>
      <c r="D639" s="30" t="n">
        <v>11010</v>
      </c>
      <c r="E639" s="30" t="n">
        <v>11260</v>
      </c>
      <c r="F639" s="30" t="n">
        <v>11260</v>
      </c>
      <c r="G639" s="30" t="n">
        <v>233983</v>
      </c>
      <c r="H639" s="35" t="n">
        <v>-0.02510822510822508</v>
      </c>
      <c r="I639" s="35" t="n">
        <v>-0.502869757174393</v>
      </c>
      <c r="J639" s="30" t="n">
        <v>11818.5</v>
      </c>
      <c r="K639" s="30" t="n">
        <v>11535.5</v>
      </c>
      <c r="L639" s="30" t="n">
        <v>11675.08333333333</v>
      </c>
      <c r="M639" s="35" t="n">
        <v>0.4656025170113966</v>
      </c>
      <c r="N639" s="35" t="n">
        <v>0.4247448444306323</v>
      </c>
      <c r="O639" s="35" t="n">
        <v>0.09214354995150331</v>
      </c>
      <c r="P639" s="35" t="n">
        <v>-0.13584036838066</v>
      </c>
      <c r="Q639" s="35" t="n">
        <v>0.03302752293577971</v>
      </c>
      <c r="R639" s="35" t="n">
        <v>-0.04725642001946107</v>
      </c>
      <c r="S639" s="35" t="n">
        <v>-0.02388279658445669</v>
      </c>
      <c r="T639" s="35" t="n">
        <v>-0.0355529225344573</v>
      </c>
      <c r="U639" s="30" t="n">
        <v>14570</v>
      </c>
      <c r="V639" s="30" t="n">
        <v>8290</v>
      </c>
      <c r="W639" s="35" t="n">
        <v>-0.2271791352093342</v>
      </c>
      <c r="X639" s="35" t="n">
        <v>0.3582629674306392</v>
      </c>
      <c r="Y639" s="30" t="n">
        <v>17780753</v>
      </c>
      <c r="Z639" s="30" t="n">
        <v>200211278780</v>
      </c>
      <c r="AA639" s="30" t="n">
        <v>2634648580</v>
      </c>
      <c r="AB639" s="30" t="n">
        <v>5745089539.5</v>
      </c>
      <c r="AC639" s="35" t="n">
        <v>0.01315934145196213</v>
      </c>
      <c r="AD639" s="24" t="inlineStr">
        <is>
          <t>yfinance_download</t>
        </is>
      </c>
      <c r="AE639" s="24" t="inlineStr">
        <is>
          <t>102120.KQ</t>
        </is>
      </c>
    </row>
    <row r="640" ht="24" customHeight="1">
      <c r="A640" s="29" t="inlineStr">
        <is>
          <t>2026-01-22</t>
        </is>
      </c>
      <c r="B640" s="31" t="n">
        <v>11410</v>
      </c>
      <c r="C640" s="31" t="n">
        <v>11810</v>
      </c>
      <c r="D640" s="31" t="n">
        <v>11290</v>
      </c>
      <c r="E640" s="31" t="n">
        <v>11530</v>
      </c>
      <c r="F640" s="31" t="n">
        <v>11530</v>
      </c>
      <c r="G640" s="31" t="n">
        <v>256482</v>
      </c>
      <c r="H640" s="36" t="n">
        <v>0.0239786856127886</v>
      </c>
      <c r="I640" s="36" t="n">
        <v>-0.4909492273730685</v>
      </c>
      <c r="J640" s="31" t="n">
        <v>11855.5</v>
      </c>
      <c r="K640" s="31" t="n">
        <v>11510.5</v>
      </c>
      <c r="L640" s="31" t="n">
        <v>11680.33333333333</v>
      </c>
      <c r="M640" s="36" t="n">
        <v>0.4452077938623467</v>
      </c>
      <c r="N640" s="36" t="n">
        <v>0.4280757061390493</v>
      </c>
      <c r="O640" s="36" t="n">
        <v>0.06858202038924932</v>
      </c>
      <c r="P640" s="36" t="n">
        <v>-0.1151189562547966</v>
      </c>
      <c r="Q640" s="36" t="n">
        <v>0.05779816513761471</v>
      </c>
      <c r="R640" s="36" t="n">
        <v>-0.02745561131964069</v>
      </c>
      <c r="S640" s="36" t="n">
        <v>0.00169410538204251</v>
      </c>
      <c r="T640" s="36" t="n">
        <v>-0.01287063725350313</v>
      </c>
      <c r="U640" s="31" t="n">
        <v>14570</v>
      </c>
      <c r="V640" s="31" t="n">
        <v>8290</v>
      </c>
      <c r="W640" s="36" t="n">
        <v>-0.2086479066575154</v>
      </c>
      <c r="X640" s="36" t="n">
        <v>0.3908323281061521</v>
      </c>
      <c r="Y640" s="31" t="n">
        <v>17780753</v>
      </c>
      <c r="Z640" s="31" t="n">
        <v>205012082090</v>
      </c>
      <c r="AA640" s="31" t="n">
        <v>2957237460</v>
      </c>
      <c r="AB640" s="31" t="n">
        <v>5820046080</v>
      </c>
      <c r="AC640" s="36" t="n">
        <v>0.01442469843656228</v>
      </c>
      <c r="AD640" s="29" t="inlineStr">
        <is>
          <t>yfinance_download</t>
        </is>
      </c>
      <c r="AE640" s="29" t="inlineStr">
        <is>
          <t>102120.KQ</t>
        </is>
      </c>
    </row>
    <row r="641" ht="24" customHeight="1">
      <c r="A641" s="24" t="inlineStr">
        <is>
          <t>2026-01-23</t>
        </is>
      </c>
      <c r="B641" s="30" t="n">
        <v>11620</v>
      </c>
      <c r="C641" s="30" t="n">
        <v>11680</v>
      </c>
      <c r="D641" s="30" t="n">
        <v>11350</v>
      </c>
      <c r="E641" s="30" t="n">
        <v>11560</v>
      </c>
      <c r="F641" s="30" t="n">
        <v>11560</v>
      </c>
      <c r="G641" s="30" t="n">
        <v>162537</v>
      </c>
      <c r="H641" s="35" t="n">
        <v>0.002601908065914982</v>
      </c>
      <c r="I641" s="35" t="n">
        <v>-0.4896247240618101</v>
      </c>
      <c r="J641" s="30" t="n">
        <v>11896</v>
      </c>
      <c r="K641" s="30" t="n">
        <v>11490</v>
      </c>
      <c r="L641" s="30" t="n">
        <v>11680.08333333333</v>
      </c>
      <c r="M641" s="35" t="n">
        <v>0.4443804383972437</v>
      </c>
      <c r="N641" s="35" t="n">
        <v>0.4267302077567938</v>
      </c>
      <c r="O641" s="35" t="n">
        <v>0.0753488372093023</v>
      </c>
      <c r="P641" s="35" t="n">
        <v>-0.09616888193901485</v>
      </c>
      <c r="Q641" s="35" t="n">
        <v>-0.002588438308886998</v>
      </c>
      <c r="R641" s="35" t="n">
        <v>-0.02824478816408882</v>
      </c>
      <c r="S641" s="35" t="n">
        <v>0.006092254134029584</v>
      </c>
      <c r="T641" s="35" t="n">
        <v>-0.0102810339538103</v>
      </c>
      <c r="U641" s="30" t="n">
        <v>14570</v>
      </c>
      <c r="V641" s="30" t="n">
        <v>8290</v>
      </c>
      <c r="W641" s="35" t="n">
        <v>-0.2065888812628689</v>
      </c>
      <c r="X641" s="35" t="n">
        <v>0.3944511459589868</v>
      </c>
      <c r="Y641" s="30" t="n">
        <v>17780753</v>
      </c>
      <c r="Z641" s="30" t="n">
        <v>205545504680</v>
      </c>
      <c r="AA641" s="30" t="n">
        <v>1878927720</v>
      </c>
      <c r="AB641" s="30" t="n">
        <v>5879104416</v>
      </c>
      <c r="AC641" s="35" t="n">
        <v>0.009141176416994263</v>
      </c>
      <c r="AD641" s="24" t="inlineStr">
        <is>
          <t>yfinance_download</t>
        </is>
      </c>
      <c r="AE641" s="24" t="inlineStr">
        <is>
          <t>102120.KQ</t>
        </is>
      </c>
    </row>
    <row r="642" ht="24" customHeight="1">
      <c r="A642" s="29" t="inlineStr">
        <is>
          <t>2026-01-26</t>
        </is>
      </c>
      <c r="B642" s="31" t="n">
        <v>11610</v>
      </c>
      <c r="C642" s="31" t="n">
        <v>12310</v>
      </c>
      <c r="D642" s="31" t="n">
        <v>11610</v>
      </c>
      <c r="E642" s="31" t="n">
        <v>12210</v>
      </c>
      <c r="F642" s="31" t="n">
        <v>12210</v>
      </c>
      <c r="G642" s="31" t="n">
        <v>427537</v>
      </c>
      <c r="H642" s="36" t="n">
        <v>0.05622837370242206</v>
      </c>
      <c r="I642" s="36" t="n">
        <v>-0.4609271523178808</v>
      </c>
      <c r="J642" s="31" t="n">
        <v>11979</v>
      </c>
      <c r="K642" s="31" t="n">
        <v>11481.33333333333</v>
      </c>
      <c r="L642" s="31" t="n">
        <v>11688</v>
      </c>
      <c r="M642" s="36" t="n">
        <v>0.4723945600406269</v>
      </c>
      <c r="N642" s="36" t="n">
        <v>0.4426462264221394</v>
      </c>
      <c r="O642" s="36" t="n">
        <v>0.1573459715639811</v>
      </c>
      <c r="P642" s="36" t="n">
        <v>-0.0408483896307934</v>
      </c>
      <c r="Q642" s="36" t="n">
        <v>0.08436944937833046</v>
      </c>
      <c r="R642" s="36" t="n">
        <v>0.01928374655647391</v>
      </c>
      <c r="S642" s="36" t="n">
        <v>0.06346533503658103</v>
      </c>
      <c r="T642" s="36" t="n">
        <v>0.04466119096509247</v>
      </c>
      <c r="U642" s="31" t="n">
        <v>14570</v>
      </c>
      <c r="V642" s="31" t="n">
        <v>8290</v>
      </c>
      <c r="W642" s="36" t="n">
        <v>-0.1619766643788607</v>
      </c>
      <c r="X642" s="36" t="n">
        <v>0.4728588661037394</v>
      </c>
      <c r="Y642" s="31" t="n">
        <v>17780753</v>
      </c>
      <c r="Z642" s="31" t="n">
        <v>217102994130</v>
      </c>
      <c r="AA642" s="31" t="n">
        <v>5220226770</v>
      </c>
      <c r="AB642" s="31" t="n">
        <v>6108199367</v>
      </c>
      <c r="AC642" s="36" t="n">
        <v>0.0240449321803188</v>
      </c>
      <c r="AD642" s="29" t="inlineStr">
        <is>
          <t>yfinance_download</t>
        </is>
      </c>
      <c r="AE642" s="29" t="inlineStr">
        <is>
          <t>102120.KQ</t>
        </is>
      </c>
    </row>
    <row r="643" ht="24" customHeight="1">
      <c r="A643" s="24" t="inlineStr">
        <is>
          <t>2026-01-27</t>
        </is>
      </c>
      <c r="B643" s="30" t="n">
        <v>12200</v>
      </c>
      <c r="C643" s="30" t="n">
        <v>12270</v>
      </c>
      <c r="D643" s="30" t="n">
        <v>11920</v>
      </c>
      <c r="E643" s="30" t="n">
        <v>12220</v>
      </c>
      <c r="F643" s="30" t="n">
        <v>12220</v>
      </c>
      <c r="G643" s="30" t="n">
        <v>286113</v>
      </c>
      <c r="H643" s="35" t="n">
        <v>0.0008190008190007703</v>
      </c>
      <c r="I643" s="35" t="n">
        <v>-0.460485651214128</v>
      </c>
      <c r="J643" s="30" t="n">
        <v>12034.5</v>
      </c>
      <c r="K643" s="30" t="n">
        <v>11476.66666666667</v>
      </c>
      <c r="L643" s="30" t="n">
        <v>11693.16666666667</v>
      </c>
      <c r="M643" s="35" t="n">
        <v>0.441272136729378</v>
      </c>
      <c r="N643" s="35" t="n">
        <v>0.4411002027304125</v>
      </c>
      <c r="O643" s="35" t="n">
        <v>0.09990999099909992</v>
      </c>
      <c r="P643" s="35" t="n">
        <v>-0.02239999999999998</v>
      </c>
      <c r="Q643" s="35" t="n">
        <v>0.05344827586206891</v>
      </c>
      <c r="R643" s="35" t="n">
        <v>0.01541401803149278</v>
      </c>
      <c r="S643" s="35" t="n">
        <v>0.06476909671797859</v>
      </c>
      <c r="T643" s="35" t="n">
        <v>0.04505480408785756</v>
      </c>
      <c r="U643" s="30" t="n">
        <v>14570</v>
      </c>
      <c r="V643" s="30" t="n">
        <v>8340</v>
      </c>
      <c r="W643" s="35" t="n">
        <v>-0.1612903225806451</v>
      </c>
      <c r="X643" s="35" t="n">
        <v>0.4652278177458034</v>
      </c>
      <c r="Y643" s="30" t="n">
        <v>17780753</v>
      </c>
      <c r="Z643" s="30" t="n">
        <v>217280801660</v>
      </c>
      <c r="AA643" s="30" t="n">
        <v>3496300860</v>
      </c>
      <c r="AB643" s="30" t="n">
        <v>6130525216</v>
      </c>
      <c r="AC643" s="35" t="n">
        <v>0.0160911632932531</v>
      </c>
      <c r="AD643" s="24" t="inlineStr">
        <is>
          <t>yfinance_download</t>
        </is>
      </c>
      <c r="AE643" s="24" t="inlineStr">
        <is>
          <t>102120.KQ</t>
        </is>
      </c>
    </row>
    <row r="644" ht="24" customHeight="1">
      <c r="A644" s="29" t="inlineStr">
        <is>
          <t>2026-01-28</t>
        </is>
      </c>
      <c r="B644" s="31" t="n">
        <v>12560</v>
      </c>
      <c r="C644" s="31" t="n">
        <v>13380</v>
      </c>
      <c r="D644" s="31" t="n">
        <v>12250</v>
      </c>
      <c r="E644" s="31" t="n">
        <v>12930</v>
      </c>
      <c r="F644" s="31" t="n">
        <v>12930</v>
      </c>
      <c r="G644" s="31" t="n">
        <v>1425672</v>
      </c>
      <c r="H644" s="36" t="n">
        <v>0.05810147299508994</v>
      </c>
      <c r="I644" s="36" t="n">
        <v>-0.4291390728476822</v>
      </c>
      <c r="J644" s="31" t="n">
        <v>12116.5</v>
      </c>
      <c r="K644" s="31" t="n">
        <v>11482.16666666667</v>
      </c>
      <c r="L644" s="31" t="n">
        <v>11703</v>
      </c>
      <c r="M644" s="36" t="n">
        <v>0.4786914023980031</v>
      </c>
      <c r="N644" s="36" t="n">
        <v>0.456656539936837</v>
      </c>
      <c r="O644" s="36" t="n">
        <v>0.1452612931798052</v>
      </c>
      <c r="P644" s="36" t="n">
        <v>0.0261904761904761</v>
      </c>
      <c r="Q644" s="36" t="n">
        <v>0.1004255319148937</v>
      </c>
      <c r="R644" s="36" t="n">
        <v>0.0671398506169274</v>
      </c>
      <c r="S644" s="36" t="n">
        <v>0.126094087933462</v>
      </c>
      <c r="T644" s="36" t="n">
        <v>0.1048449115611381</v>
      </c>
      <c r="U644" s="31" t="n">
        <v>14570</v>
      </c>
      <c r="V644" s="31" t="n">
        <v>8340</v>
      </c>
      <c r="W644" s="36" t="n">
        <v>-0.1125600549073439</v>
      </c>
      <c r="X644" s="36" t="n">
        <v>0.5503597122302157</v>
      </c>
      <c r="Y644" s="31" t="n">
        <v>17780753</v>
      </c>
      <c r="Z644" s="31" t="n">
        <v>229905136290</v>
      </c>
      <c r="AA644" s="31" t="n">
        <v>18433938960</v>
      </c>
      <c r="AB644" s="31" t="n">
        <v>6913100010</v>
      </c>
      <c r="AC644" s="36" t="n">
        <v>0.08018063127022798</v>
      </c>
      <c r="AD644" s="29" t="inlineStr">
        <is>
          <t>yfinance_download</t>
        </is>
      </c>
      <c r="AE644" s="29" t="inlineStr">
        <is>
          <t>102120.KQ</t>
        </is>
      </c>
    </row>
    <row r="645" ht="24" customHeight="1">
      <c r="A645" s="24" t="inlineStr">
        <is>
          <t>2026-01-29</t>
        </is>
      </c>
      <c r="B645" s="30" t="n">
        <v>13630</v>
      </c>
      <c r="C645" s="30" t="n">
        <v>13650</v>
      </c>
      <c r="D645" s="30" t="n">
        <v>12320</v>
      </c>
      <c r="E645" s="30" t="n">
        <v>12880</v>
      </c>
      <c r="F645" s="30" t="n">
        <v>12880</v>
      </c>
      <c r="G645" s="30" t="n">
        <v>1126638</v>
      </c>
      <c r="H645" s="35" t="n">
        <v>-0.003866976024748614</v>
      </c>
      <c r="I645" s="35" t="n">
        <v>-0.431346578366446</v>
      </c>
      <c r="J645" s="30" t="n">
        <v>12156</v>
      </c>
      <c r="K645" s="30" t="n">
        <v>11484.5</v>
      </c>
      <c r="L645" s="30" t="n">
        <v>11718</v>
      </c>
      <c r="M645" s="35" t="n">
        <v>0.4163779658894536</v>
      </c>
      <c r="N645" s="35" t="n">
        <v>0.4562486695890598</v>
      </c>
      <c r="O645" s="35" t="n">
        <v>0.06534325889164605</v>
      </c>
      <c r="P645" s="35" t="n">
        <v>0.01098901098901095</v>
      </c>
      <c r="Q645" s="35" t="n">
        <v>0.1624548736462095</v>
      </c>
      <c r="R645" s="35" t="n">
        <v>0.05955906548206658</v>
      </c>
      <c r="S645" s="35" t="n">
        <v>0.1215116025948018</v>
      </c>
      <c r="T645" s="35" t="n">
        <v>0.09916367980884111</v>
      </c>
      <c r="U645" s="30" t="n">
        <v>14570</v>
      </c>
      <c r="V645" s="30" t="n">
        <v>8340</v>
      </c>
      <c r="W645" s="35" t="n">
        <v>-0.1159917638984214</v>
      </c>
      <c r="X645" s="35" t="n">
        <v>0.5443645083932853</v>
      </c>
      <c r="Y645" s="30" t="n">
        <v>17780753</v>
      </c>
      <c r="Z645" s="30" t="n">
        <v>229016098640</v>
      </c>
      <c r="AA645" s="30" t="n">
        <v>14511097440</v>
      </c>
      <c r="AB645" s="30" t="n">
        <v>5901101844</v>
      </c>
      <c r="AC645" s="35" t="n">
        <v>0.06336278334219028</v>
      </c>
      <c r="AD645" s="24" t="inlineStr">
        <is>
          <t>yfinance_download</t>
        </is>
      </c>
      <c r="AE645" s="24" t="inlineStr">
        <is>
          <t>102120.KQ</t>
        </is>
      </c>
    </row>
    <row r="646" ht="24" customHeight="1">
      <c r="A646" s="29" t="inlineStr">
        <is>
          <t>2026-01-30</t>
        </is>
      </c>
      <c r="B646" s="31" t="n">
        <v>12890</v>
      </c>
      <c r="C646" s="31" t="n">
        <v>14170</v>
      </c>
      <c r="D646" s="31" t="n">
        <v>12640</v>
      </c>
      <c r="E646" s="31" t="n">
        <v>13210</v>
      </c>
      <c r="F646" s="31" t="n">
        <v>13210</v>
      </c>
      <c r="G646" s="31" t="n">
        <v>3568159</v>
      </c>
      <c r="H646" s="36" t="n">
        <v>0.02562111801242239</v>
      </c>
      <c r="I646" s="36" t="n">
        <v>-0.4167770419426049</v>
      </c>
      <c r="J646" s="31" t="n">
        <v>12180.5</v>
      </c>
      <c r="K646" s="31" t="n">
        <v>11499.83333333333</v>
      </c>
      <c r="L646" s="31" t="n">
        <v>11735.83333333333</v>
      </c>
      <c r="M646" s="36" t="n">
        <v>0.3847724220681783</v>
      </c>
      <c r="N646" s="36" t="n">
        <v>0.4528440436690206</v>
      </c>
      <c r="O646" s="36" t="n">
        <v>0.03852201257861632</v>
      </c>
      <c r="P646" s="36" t="n">
        <v>0.07485760781122863</v>
      </c>
      <c r="Q646" s="36" t="n">
        <v>0.1933152664859983</v>
      </c>
      <c r="R646" s="36" t="n">
        <v>0.08452033988752516</v>
      </c>
      <c r="S646" s="36" t="n">
        <v>0.1487123001782633</v>
      </c>
      <c r="T646" s="36" t="n">
        <v>0.1256124405311367</v>
      </c>
      <c r="U646" s="31" t="n">
        <v>14570</v>
      </c>
      <c r="V646" s="31" t="n">
        <v>8340</v>
      </c>
      <c r="W646" s="36" t="n">
        <v>-0.09334248455730954</v>
      </c>
      <c r="X646" s="36" t="n">
        <v>0.5839328537170263</v>
      </c>
      <c r="Y646" s="31" t="n">
        <v>17780753</v>
      </c>
      <c r="Z646" s="31" t="n">
        <v>234883747130</v>
      </c>
      <c r="AA646" s="31" t="n">
        <v>47135380390</v>
      </c>
      <c r="AB646" s="31" t="n">
        <v>7550787687.5</v>
      </c>
      <c r="AC646" s="36" t="n">
        <v>0.200675359474371</v>
      </c>
      <c r="AD646" s="29" t="inlineStr">
        <is>
          <t>yfinance_download</t>
        </is>
      </c>
      <c r="AE646" s="29" t="inlineStr">
        <is>
          <t>102120.KQ</t>
        </is>
      </c>
    </row>
    <row r="647" ht="24" customHeight="1">
      <c r="A647" s="24" t="inlineStr">
        <is>
          <t>2026-02-02</t>
        </is>
      </c>
      <c r="B647" s="30" t="n">
        <v>13020</v>
      </c>
      <c r="C647" s="30" t="n">
        <v>13130</v>
      </c>
      <c r="D647" s="30" t="n">
        <v>12250</v>
      </c>
      <c r="E647" s="30" t="n">
        <v>12310</v>
      </c>
      <c r="F647" s="30" t="n">
        <v>12310</v>
      </c>
      <c r="G647" s="30" t="n">
        <v>710277</v>
      </c>
      <c r="H647" s="35" t="n">
        <v>-0.06813020439061312</v>
      </c>
      <c r="I647" s="35" t="n">
        <v>-0.4565121412803532</v>
      </c>
      <c r="J647" s="30" t="n">
        <v>12151.5</v>
      </c>
      <c r="K647" s="30" t="n">
        <v>11506.16666666667</v>
      </c>
      <c r="L647" s="30" t="n">
        <v>11746.33333333333</v>
      </c>
      <c r="M647" s="35" t="n">
        <v>0.4555462464346762</v>
      </c>
      <c r="N647" s="35" t="n">
        <v>0.4708003795522257</v>
      </c>
      <c r="O647" s="35" t="n">
        <v>-0.0449961210240496</v>
      </c>
      <c r="P647" s="35" t="n">
        <v>0.0318524727577536</v>
      </c>
      <c r="Q647" s="35" t="n">
        <v>0.114027149321267</v>
      </c>
      <c r="R647" s="35" t="n">
        <v>0.01304365716166722</v>
      </c>
      <c r="S647" s="35" t="n">
        <v>0.06986108898127097</v>
      </c>
      <c r="T647" s="35" t="n">
        <v>0.04798660574931168</v>
      </c>
      <c r="U647" s="30" t="n">
        <v>14570</v>
      </c>
      <c r="V647" s="30" t="n">
        <v>8340</v>
      </c>
      <c r="W647" s="35" t="n">
        <v>-0.1551132463967055</v>
      </c>
      <c r="X647" s="35" t="n">
        <v>0.4760191846522781</v>
      </c>
      <c r="Y647" s="30" t="n">
        <v>17780753</v>
      </c>
      <c r="Z647" s="30" t="n">
        <v>218881069430</v>
      </c>
      <c r="AA647" s="30" t="n">
        <v>8743509870</v>
      </c>
      <c r="AB647" s="30" t="n">
        <v>7231917632.5</v>
      </c>
      <c r="AC647" s="35" t="n">
        <v>0.03994639597096929</v>
      </c>
      <c r="AD647" s="24" t="inlineStr">
        <is>
          <t>yfinance_download</t>
        </is>
      </c>
      <c r="AE647" s="24" t="inlineStr">
        <is>
          <t>102120.KQ</t>
        </is>
      </c>
    </row>
    <row r="648" ht="24" customHeight="1">
      <c r="A648" s="29" t="inlineStr">
        <is>
          <t>2026-02-03</t>
        </is>
      </c>
      <c r="B648" s="31" t="n">
        <v>12700</v>
      </c>
      <c r="C648" s="31" t="n">
        <v>12880</v>
      </c>
      <c r="D648" s="31" t="n">
        <v>12450</v>
      </c>
      <c r="E648" s="31" t="n">
        <v>12820</v>
      </c>
      <c r="F648" s="31" t="n">
        <v>12820</v>
      </c>
      <c r="G648" s="31" t="n">
        <v>657465</v>
      </c>
      <c r="H648" s="36" t="n">
        <v>0.04142973192526411</v>
      </c>
      <c r="I648" s="36" t="n">
        <v>-0.4339955849889625</v>
      </c>
      <c r="J648" s="31" t="n">
        <v>12153.5</v>
      </c>
      <c r="K648" s="31" t="n">
        <v>11514</v>
      </c>
      <c r="L648" s="31" t="n">
        <v>11761.16666666667</v>
      </c>
      <c r="M648" s="36" t="n">
        <v>0.4797876622163631</v>
      </c>
      <c r="N648" s="36" t="n">
        <v>0.4729025378284928</v>
      </c>
      <c r="O648" s="36" t="n">
        <v>0.003129890453834161</v>
      </c>
      <c r="P648" s="36" t="n">
        <v>0.0380566801619433</v>
      </c>
      <c r="Q648" s="36" t="n">
        <v>0.161231884057971</v>
      </c>
      <c r="R648" s="36" t="n">
        <v>0.05484016949849835</v>
      </c>
      <c r="S648" s="36" t="n">
        <v>0.1134271321869029</v>
      </c>
      <c r="T648" s="36" t="n">
        <v>0.09002791673161692</v>
      </c>
      <c r="U648" s="31" t="n">
        <v>14570</v>
      </c>
      <c r="V648" s="31" t="n">
        <v>8340</v>
      </c>
      <c r="W648" s="36" t="n">
        <v>-0.1201098146877145</v>
      </c>
      <c r="X648" s="36" t="n">
        <v>0.5371702637889688</v>
      </c>
      <c r="Y648" s="31" t="n">
        <v>17780753</v>
      </c>
      <c r="Z648" s="31" t="n">
        <v>227949253460</v>
      </c>
      <c r="AA648" s="31" t="n">
        <v>8428701300</v>
      </c>
      <c r="AB648" s="31" t="n">
        <v>7382764313.5</v>
      </c>
      <c r="AC648" s="36" t="n">
        <v>0.03697621804880817</v>
      </c>
      <c r="AD648" s="29" t="inlineStr">
        <is>
          <t>yfinance_download</t>
        </is>
      </c>
      <c r="AE648" s="29" t="inlineStr">
        <is>
          <t>102120.KQ</t>
        </is>
      </c>
    </row>
    <row r="649" ht="24" customHeight="1">
      <c r="A649" s="24" t="inlineStr">
        <is>
          <t>2026-02-04</t>
        </is>
      </c>
      <c r="B649" s="30" t="n">
        <v>12500</v>
      </c>
      <c r="C649" s="30" t="n">
        <v>13000</v>
      </c>
      <c r="D649" s="30" t="n">
        <v>12360</v>
      </c>
      <c r="E649" s="30" t="n">
        <v>12800</v>
      </c>
      <c r="F649" s="30" t="n">
        <v>12800</v>
      </c>
      <c r="G649" s="30" t="n">
        <v>487855</v>
      </c>
      <c r="H649" s="35" t="n">
        <v>-0.001560062402496065</v>
      </c>
      <c r="I649" s="35" t="n">
        <v>-0.434878587196468</v>
      </c>
      <c r="J649" s="30" t="n">
        <v>12169.5</v>
      </c>
      <c r="K649" s="30" t="n">
        <v>11534.5</v>
      </c>
      <c r="L649" s="30" t="n">
        <v>11775.41666666667</v>
      </c>
      <c r="M649" s="35" t="n">
        <v>0.471443521191037</v>
      </c>
      <c r="N649" s="35" t="n">
        <v>0.4536323452580598</v>
      </c>
      <c r="O649" s="35" t="n">
        <v>0.02564102564102555</v>
      </c>
      <c r="P649" s="35" t="n">
        <v>0.1063094209161626</v>
      </c>
      <c r="Q649" s="35" t="n">
        <v>0.1541929666366095</v>
      </c>
      <c r="R649" s="35" t="n">
        <v>0.05180985250010273</v>
      </c>
      <c r="S649" s="35" t="n">
        <v>0.1097143352551042</v>
      </c>
      <c r="T649" s="35" t="n">
        <v>0.08701036764445713</v>
      </c>
      <c r="U649" s="30" t="n">
        <v>14570</v>
      </c>
      <c r="V649" s="30" t="n">
        <v>8340</v>
      </c>
      <c r="W649" s="35" t="n">
        <v>-0.1214824982841455</v>
      </c>
      <c r="X649" s="35" t="n">
        <v>0.5347721822541966</v>
      </c>
      <c r="Y649" s="30" t="n">
        <v>17780753</v>
      </c>
      <c r="Z649" s="30" t="n">
        <v>227593638400</v>
      </c>
      <c r="AA649" s="30" t="n">
        <v>6244544000</v>
      </c>
      <c r="AB649" s="30" t="n">
        <v>7331844729.5</v>
      </c>
      <c r="AC649" s="35" t="n">
        <v>0.0274372519544026</v>
      </c>
      <c r="AD649" s="24" t="inlineStr">
        <is>
          <t>yfinance_download</t>
        </is>
      </c>
      <c r="AE649" s="24" t="inlineStr">
        <is>
          <t>102120.KQ</t>
        </is>
      </c>
    </row>
    <row r="650" ht="24" customHeight="1">
      <c r="A650" s="29" t="inlineStr">
        <is>
          <t>2026-02-05</t>
        </is>
      </c>
      <c r="B650" s="31" t="n">
        <v>12590</v>
      </c>
      <c r="C650" s="31" t="n">
        <v>12630</v>
      </c>
      <c r="D650" s="31" t="n">
        <v>12110</v>
      </c>
      <c r="E650" s="31" t="n">
        <v>12110</v>
      </c>
      <c r="F650" s="31" t="n">
        <v>12110</v>
      </c>
      <c r="G650" s="31" t="n">
        <v>440858</v>
      </c>
      <c r="H650" s="36" t="n">
        <v>-0.05390625000000004</v>
      </c>
      <c r="I650" s="36" t="n">
        <v>-0.4653421633554083</v>
      </c>
      <c r="J650" s="31" t="n">
        <v>12150</v>
      </c>
      <c r="K650" s="31" t="n">
        <v>11539.16666666667</v>
      </c>
      <c r="L650" s="31" t="n">
        <v>11782.5</v>
      </c>
      <c r="M650" s="36" t="n">
        <v>0.5110809925917899</v>
      </c>
      <c r="N650" s="36" t="n">
        <v>0.4658139714180123</v>
      </c>
      <c r="O650" s="36" t="n">
        <v>-0.03120000000000001</v>
      </c>
      <c r="P650" s="36" t="n">
        <v>0.02366863905325434</v>
      </c>
      <c r="Q650" s="36" t="n">
        <v>0.07548845470692722</v>
      </c>
      <c r="R650" s="36" t="n">
        <v>-0.003292181069958877</v>
      </c>
      <c r="S650" s="36" t="n">
        <v>0.04946919910449932</v>
      </c>
      <c r="T650" s="36" t="n">
        <v>0.02779545936770633</v>
      </c>
      <c r="U650" s="31" t="n">
        <v>14570</v>
      </c>
      <c r="V650" s="31" t="n">
        <v>8340</v>
      </c>
      <c r="W650" s="36" t="n">
        <v>-0.1688400823610158</v>
      </c>
      <c r="X650" s="36" t="n">
        <v>0.4520383693045564</v>
      </c>
      <c r="Y650" s="31" t="n">
        <v>17780753</v>
      </c>
      <c r="Z650" s="31" t="n">
        <v>215324918830</v>
      </c>
      <c r="AA650" s="31" t="n">
        <v>5338790380</v>
      </c>
      <c r="AB650" s="31" t="n">
        <v>7362130498.5</v>
      </c>
      <c r="AC650" s="36" t="n">
        <v>0.02479411305021784</v>
      </c>
      <c r="AD650" s="29" t="inlineStr">
        <is>
          <t>yfinance_download</t>
        </is>
      </c>
      <c r="AE650" s="29" t="inlineStr">
        <is>
          <t>102120.KQ</t>
        </is>
      </c>
    </row>
    <row r="651" ht="24" customHeight="1">
      <c r="A651" s="24" t="inlineStr">
        <is>
          <t>2026-02-06</t>
        </is>
      </c>
      <c r="B651" s="30" t="n">
        <v>11750</v>
      </c>
      <c r="C651" s="30" t="n">
        <v>12070</v>
      </c>
      <c r="D651" s="30" t="n">
        <v>11200</v>
      </c>
      <c r="E651" s="30" t="n">
        <v>11820</v>
      </c>
      <c r="F651" s="30" t="n">
        <v>11820</v>
      </c>
      <c r="G651" s="30" t="n">
        <v>387355</v>
      </c>
      <c r="H651" s="35" t="n">
        <v>-0.02394715111478118</v>
      </c>
      <c r="I651" s="35" t="n">
        <v>-0.4781456953642385</v>
      </c>
      <c r="J651" s="30" t="n">
        <v>12128.5</v>
      </c>
      <c r="K651" s="30" t="n">
        <v>11536.16666666667</v>
      </c>
      <c r="L651" s="30" t="n">
        <v>11786.91666666667</v>
      </c>
      <c r="M651" s="35" t="n">
        <v>0.5132055908820139</v>
      </c>
      <c r="N651" s="35" t="n">
        <v>0.4676661114434716</v>
      </c>
      <c r="O651" s="35" t="n">
        <v>-0.03510204081632651</v>
      </c>
      <c r="P651" s="35" t="n">
        <v>-0.01500000000000001</v>
      </c>
      <c r="Q651" s="35" t="n">
        <v>0.04694419840566866</v>
      </c>
      <c r="R651" s="35" t="n">
        <v>-0.02543595663107556</v>
      </c>
      <c r="S651" s="35" t="n">
        <v>0.02460378230781468</v>
      </c>
      <c r="T651" s="35" t="n">
        <v>0.002806784358363457</v>
      </c>
      <c r="U651" s="30" t="n">
        <v>14570</v>
      </c>
      <c r="V651" s="30" t="n">
        <v>8340</v>
      </c>
      <c r="W651" s="35" t="n">
        <v>-0.1887439945092656</v>
      </c>
      <c r="X651" s="35" t="n">
        <v>0.4172661870503598</v>
      </c>
      <c r="Y651" s="30" t="n">
        <v>17780753</v>
      </c>
      <c r="Z651" s="30" t="n">
        <v>210168500460</v>
      </c>
      <c r="AA651" s="30" t="n">
        <v>4578536100</v>
      </c>
      <c r="AB651" s="30" t="n">
        <v>7481203591</v>
      </c>
      <c r="AC651" s="35" t="n">
        <v>0.02178507288189651</v>
      </c>
      <c r="AD651" s="24" t="inlineStr">
        <is>
          <t>yfinance_download</t>
        </is>
      </c>
      <c r="AE651" s="24" t="inlineStr">
        <is>
          <t>102120.KQ</t>
        </is>
      </c>
    </row>
    <row r="652" ht="24" customHeight="1">
      <c r="A652" s="29" t="inlineStr">
        <is>
          <t>2026-02-09</t>
        </is>
      </c>
      <c r="B652" s="31" t="n">
        <v>12220</v>
      </c>
      <c r="C652" s="31" t="n">
        <v>12650</v>
      </c>
      <c r="D652" s="31" t="n">
        <v>12220</v>
      </c>
      <c r="E652" s="31" t="n">
        <v>12560</v>
      </c>
      <c r="F652" s="31" t="n">
        <v>12560</v>
      </c>
      <c r="G652" s="31" t="n">
        <v>424106</v>
      </c>
      <c r="H652" s="36" t="n">
        <v>0.06260575296108284</v>
      </c>
      <c r="I652" s="36" t="n">
        <v>-0.4454746136865342</v>
      </c>
      <c r="J652" s="31" t="n">
        <v>12158</v>
      </c>
      <c r="K652" s="31" t="n">
        <v>11542.33333333333</v>
      </c>
      <c r="L652" s="31" t="n">
        <v>11798.16666666667</v>
      </c>
      <c r="M652" s="36" t="n">
        <v>0.5536345996312158</v>
      </c>
      <c r="N652" s="36" t="n">
        <v>0.4838969769129136</v>
      </c>
      <c r="O652" s="36" t="n">
        <v>0.04928989139515449</v>
      </c>
      <c r="P652" s="36" t="n">
        <v>0.03035274815422473</v>
      </c>
      <c r="Q652" s="36" t="n">
        <v>0.1204281891168599</v>
      </c>
      <c r="R652" s="36" t="n">
        <v>0.03306464879091964</v>
      </c>
      <c r="S652" s="36" t="n">
        <v>0.0881681924509774</v>
      </c>
      <c r="T652" s="36" t="n">
        <v>0.06457217929339309</v>
      </c>
      <c r="U652" s="31" t="n">
        <v>14570</v>
      </c>
      <c r="V652" s="31" t="n">
        <v>8340</v>
      </c>
      <c r="W652" s="36" t="n">
        <v>-0.1379547014413178</v>
      </c>
      <c r="X652" s="36" t="n">
        <v>0.5059952038369304</v>
      </c>
      <c r="Y652" s="31" t="n">
        <v>17780753</v>
      </c>
      <c r="Z652" s="31" t="n">
        <v>223326257680</v>
      </c>
      <c r="AA652" s="31" t="n">
        <v>5326771360</v>
      </c>
      <c r="AB652" s="31" t="n">
        <v>7595504007</v>
      </c>
      <c r="AC652" s="36" t="n">
        <v>0.02385197072362458</v>
      </c>
      <c r="AD652" s="29" t="inlineStr">
        <is>
          <t>yfinance_download</t>
        </is>
      </c>
      <c r="AE652" s="29" t="inlineStr">
        <is>
          <t>102120.KQ</t>
        </is>
      </c>
    </row>
    <row r="653" ht="24" customHeight="1">
      <c r="A653" s="24" t="inlineStr">
        <is>
          <t>2026-02-10</t>
        </is>
      </c>
      <c r="B653" s="30" t="n">
        <v>12910</v>
      </c>
      <c r="C653" s="30" t="n">
        <v>13130</v>
      </c>
      <c r="D653" s="30" t="n">
        <v>12400</v>
      </c>
      <c r="E653" s="30" t="n">
        <v>12570</v>
      </c>
      <c r="F653" s="30" t="n">
        <v>12570</v>
      </c>
      <c r="G653" s="30" t="n">
        <v>552691</v>
      </c>
      <c r="H653" s="35" t="n">
        <v>0.0007961783439489611</v>
      </c>
      <c r="I653" s="35" t="n">
        <v>-0.4450331125827814</v>
      </c>
      <c r="J653" s="30" t="n">
        <v>12192</v>
      </c>
      <c r="K653" s="30" t="n">
        <v>11552.83333333333</v>
      </c>
      <c r="L653" s="30" t="n">
        <v>11807.91666666667</v>
      </c>
      <c r="M653" s="35" t="n">
        <v>0.5525376439444024</v>
      </c>
      <c r="N653" s="35" t="n">
        <v>0.4818263293812939</v>
      </c>
      <c r="O653" s="35" t="n">
        <v>0.05719091673675347</v>
      </c>
      <c r="P653" s="35" t="n">
        <v>0.05276381909547734</v>
      </c>
      <c r="Q653" s="35" t="n">
        <v>0.1026315789473684</v>
      </c>
      <c r="R653" s="35" t="n">
        <v>0.03100393700787407</v>
      </c>
      <c r="S653" s="35" t="n">
        <v>0.08804477977985203</v>
      </c>
      <c r="T653" s="35" t="n">
        <v>0.0645400331698367</v>
      </c>
      <c r="U653" s="30" t="n">
        <v>14570</v>
      </c>
      <c r="V653" s="30" t="n">
        <v>8340</v>
      </c>
      <c r="W653" s="35" t="n">
        <v>-0.1372683596431022</v>
      </c>
      <c r="X653" s="35" t="n">
        <v>0.5071942446043165</v>
      </c>
      <c r="Y653" s="30" t="n">
        <v>17780753</v>
      </c>
      <c r="Z653" s="30" t="n">
        <v>223504065210</v>
      </c>
      <c r="AA653" s="30" t="n">
        <v>6947325870</v>
      </c>
      <c r="AB653" s="30" t="n">
        <v>7802485665</v>
      </c>
      <c r="AC653" s="35" t="n">
        <v>0.03108366670410415</v>
      </c>
      <c r="AD653" s="24" t="inlineStr">
        <is>
          <t>yfinance_download</t>
        </is>
      </c>
      <c r="AE653" s="24" t="inlineStr">
        <is>
          <t>102120.KQ</t>
        </is>
      </c>
    </row>
    <row r="654" ht="24" customHeight="1">
      <c r="A654" s="29" t="inlineStr">
        <is>
          <t>2026-02-11</t>
        </is>
      </c>
      <c r="B654" s="31" t="n">
        <v>12480</v>
      </c>
      <c r="C654" s="31" t="n">
        <v>12900</v>
      </c>
      <c r="D654" s="31" t="n">
        <v>12210</v>
      </c>
      <c r="E654" s="31" t="n">
        <v>12430</v>
      </c>
      <c r="F654" s="31" t="n">
        <v>12430</v>
      </c>
      <c r="G654" s="31" t="n">
        <v>256975</v>
      </c>
      <c r="H654" s="36" t="n">
        <v>-0.01113762927605411</v>
      </c>
      <c r="I654" s="36" t="n">
        <v>-0.4512141280353201</v>
      </c>
      <c r="J654" s="31" t="n">
        <v>12225</v>
      </c>
      <c r="K654" s="31" t="n">
        <v>11570.5</v>
      </c>
      <c r="L654" s="31" t="n">
        <v>11817.58333333333</v>
      </c>
      <c r="M654" s="36" t="n">
        <v>0.5528874523617459</v>
      </c>
      <c r="N654" s="36" t="n">
        <v>0.4716437898945422</v>
      </c>
      <c r="O654" s="36" t="n">
        <v>0.05607476635514019</v>
      </c>
      <c r="P654" s="36" t="n">
        <v>0.09322779243623569</v>
      </c>
      <c r="Q654" s="36" t="n">
        <v>0.1029281277728482</v>
      </c>
      <c r="R654" s="36" t="n">
        <v>0.0167689161554192</v>
      </c>
      <c r="S654" s="36" t="n">
        <v>0.07428373881854711</v>
      </c>
      <c r="T654" s="36" t="n">
        <v>0.05182249613922751</v>
      </c>
      <c r="U654" s="31" t="n">
        <v>14570</v>
      </c>
      <c r="V654" s="31" t="n">
        <v>8620</v>
      </c>
      <c r="W654" s="36" t="n">
        <v>-0.1468771448181194</v>
      </c>
      <c r="X654" s="36" t="n">
        <v>0.4419953596287702</v>
      </c>
      <c r="Y654" s="31" t="n">
        <v>17780753</v>
      </c>
      <c r="Z654" s="31" t="n">
        <v>221014759790</v>
      </c>
      <c r="AA654" s="31" t="n">
        <v>3194199250</v>
      </c>
      <c r="AB654" s="31" t="n">
        <v>7858712610.5</v>
      </c>
      <c r="AC654" s="36" t="n">
        <v>0.01445242504634084</v>
      </c>
      <c r="AD654" s="29" t="inlineStr">
        <is>
          <t>yfinance_download</t>
        </is>
      </c>
      <c r="AE654" s="29" t="inlineStr">
        <is>
          <t>102120.KQ</t>
        </is>
      </c>
    </row>
    <row r="655" ht="24" customHeight="1">
      <c r="A655" s="24" t="inlineStr">
        <is>
          <t>2026-02-12</t>
        </is>
      </c>
      <c r="B655" s="30" t="n">
        <v>12640</v>
      </c>
      <c r="C655" s="30" t="n">
        <v>12870</v>
      </c>
      <c r="D655" s="30" t="n">
        <v>12300</v>
      </c>
      <c r="E655" s="30" t="n">
        <v>12350</v>
      </c>
      <c r="F655" s="30" t="n">
        <v>12350</v>
      </c>
      <c r="G655" s="30" t="n">
        <v>336459</v>
      </c>
      <c r="H655" s="35" t="n">
        <v>-0.006436041834271933</v>
      </c>
      <c r="I655" s="35" t="n">
        <v>-0.4547461368653422</v>
      </c>
      <c r="J655" s="30" t="n">
        <v>12243.5</v>
      </c>
      <c r="K655" s="30" t="n">
        <v>11583.66666666667</v>
      </c>
      <c r="L655" s="30" t="n">
        <v>11830.33333333333</v>
      </c>
      <c r="M655" s="35" t="n">
        <v>0.5511357827546688</v>
      </c>
      <c r="N655" s="35" t="n">
        <v>0.47092819789708</v>
      </c>
      <c r="O655" s="35" t="n">
        <v>0.03088480801335569</v>
      </c>
      <c r="P655" s="35" t="n">
        <v>0.06833910034602075</v>
      </c>
      <c r="Q655" s="35" t="n">
        <v>0.1414048059149722</v>
      </c>
      <c r="R655" s="35" t="n">
        <v>0.008698493077959668</v>
      </c>
      <c r="S655" s="35" t="n">
        <v>0.0661563696008749</v>
      </c>
      <c r="T655" s="35" t="n">
        <v>0.04392662928629787</v>
      </c>
      <c r="U655" s="30" t="n">
        <v>14570</v>
      </c>
      <c r="V655" s="30" t="n">
        <v>8800</v>
      </c>
      <c r="W655" s="35" t="n">
        <v>-0.1523678792038435</v>
      </c>
      <c r="X655" s="35" t="n">
        <v>0.4034090909090908</v>
      </c>
      <c r="Y655" s="30" t="n">
        <v>17780753</v>
      </c>
      <c r="Z655" s="30" t="n">
        <v>219592299550</v>
      </c>
      <c r="AA655" s="30" t="n">
        <v>4155268650</v>
      </c>
      <c r="AB655" s="30" t="n">
        <v>7901067584</v>
      </c>
      <c r="AC655" s="35" t="n">
        <v>0.01892265192593362</v>
      </c>
      <c r="AD655" s="24" t="inlineStr">
        <is>
          <t>yfinance_download</t>
        </is>
      </c>
      <c r="AE655" s="24" t="inlineStr">
        <is>
          <t>102120.KQ</t>
        </is>
      </c>
    </row>
    <row r="656" ht="24" customHeight="1">
      <c r="A656" s="29" t="inlineStr">
        <is>
          <t>2026-02-13</t>
        </is>
      </c>
      <c r="B656" s="31" t="n">
        <v>12210</v>
      </c>
      <c r="C656" s="31" t="n">
        <v>12300</v>
      </c>
      <c r="D656" s="31" t="n">
        <v>11900</v>
      </c>
      <c r="E656" s="31" t="n">
        <v>12000</v>
      </c>
      <c r="F656" s="31" t="n">
        <v>12000</v>
      </c>
      <c r="G656" s="31" t="n">
        <v>347078</v>
      </c>
      <c r="H656" s="36" t="n">
        <v>-0.02834008097165996</v>
      </c>
      <c r="I656" s="36" t="n">
        <v>-0.4701986754966887</v>
      </c>
      <c r="J656" s="31" t="n">
        <v>12247.5</v>
      </c>
      <c r="K656" s="31" t="n">
        <v>11600.16666666667</v>
      </c>
      <c r="L656" s="31" t="n">
        <v>11842.66666666667</v>
      </c>
      <c r="M656" s="36" t="n">
        <v>0.561252921958773</v>
      </c>
      <c r="N656" s="36" t="n">
        <v>0.4639580079300271</v>
      </c>
      <c r="O656" s="36" t="n">
        <v>0.006711409395973256</v>
      </c>
      <c r="P656" s="36" t="n">
        <v>0.0899182561307903</v>
      </c>
      <c r="Q656" s="36" t="n">
        <v>0.1406844106463878</v>
      </c>
      <c r="R656" s="36" t="n">
        <v>-0.0202082057562768</v>
      </c>
      <c r="S656" s="36" t="n">
        <v>0.03446789557621299</v>
      </c>
      <c r="T656" s="36" t="n">
        <v>0.01328529610448093</v>
      </c>
      <c r="U656" s="31" t="n">
        <v>14570</v>
      </c>
      <c r="V656" s="31" t="n">
        <v>8800</v>
      </c>
      <c r="W656" s="36" t="n">
        <v>-0.1763898421413864</v>
      </c>
      <c r="X656" s="36" t="n">
        <v>0.3636363636363635</v>
      </c>
      <c r="Y656" s="31" t="n">
        <v>17780753</v>
      </c>
      <c r="Z656" s="31" t="n">
        <v>213369036000</v>
      </c>
      <c r="AA656" s="31" t="n">
        <v>4164936000</v>
      </c>
      <c r="AB656" s="31" t="n">
        <v>7936585836</v>
      </c>
      <c r="AC656" s="36" t="n">
        <v>0.01951987072763454</v>
      </c>
      <c r="AD656" s="29" t="inlineStr">
        <is>
          <t>yfinance_download</t>
        </is>
      </c>
      <c r="AE656" s="29" t="inlineStr">
        <is>
          <t>102120.KQ</t>
        </is>
      </c>
    </row>
    <row r="657" ht="24" customHeight="1">
      <c r="A657" s="24" t="inlineStr">
        <is>
          <t>2026-02-19</t>
        </is>
      </c>
      <c r="B657" s="30" t="n">
        <v>12140</v>
      </c>
      <c r="C657" s="30" t="n">
        <v>12530</v>
      </c>
      <c r="D657" s="30" t="n">
        <v>12040</v>
      </c>
      <c r="E657" s="30" t="n">
        <v>12500</v>
      </c>
      <c r="F657" s="30" t="n">
        <v>12500</v>
      </c>
      <c r="G657" s="30" t="n">
        <v>451155</v>
      </c>
      <c r="H657" s="35" t="n">
        <v>0.04166666666666674</v>
      </c>
      <c r="I657" s="35" t="n">
        <v>-0.4481236203090507</v>
      </c>
      <c r="J657" s="30" t="n">
        <v>12281</v>
      </c>
      <c r="K657" s="30" t="n">
        <v>11629.83333333333</v>
      </c>
      <c r="L657" s="30" t="n">
        <v>11861.41666666667</v>
      </c>
      <c r="M657" s="35" t="n">
        <v>0.5783243489571993</v>
      </c>
      <c r="N657" s="35" t="n">
        <v>0.4672289180386132</v>
      </c>
      <c r="O657" s="35" t="n">
        <v>0.05663567202028741</v>
      </c>
      <c r="P657" s="35" t="n">
        <v>0.166044776119403</v>
      </c>
      <c r="Q657" s="35" t="n">
        <v>0.2195121951219512</v>
      </c>
      <c r="R657" s="35" t="n">
        <v>0.0178324240697012</v>
      </c>
      <c r="S657" s="35" t="n">
        <v>0.07482193783229896</v>
      </c>
      <c r="T657" s="35" t="n">
        <v>0.05383702059197537</v>
      </c>
      <c r="U657" s="30" t="n">
        <v>14570</v>
      </c>
      <c r="V657" s="30" t="n">
        <v>8800</v>
      </c>
      <c r="W657" s="35" t="n">
        <v>-0.1420727522306109</v>
      </c>
      <c r="X657" s="35" t="n">
        <v>0.4204545454545454</v>
      </c>
      <c r="Y657" s="30" t="n">
        <v>17780753</v>
      </c>
      <c r="Z657" s="30" t="n">
        <v>222259412500</v>
      </c>
      <c r="AA657" s="30" t="n">
        <v>5639437500</v>
      </c>
      <c r="AB657" s="30" t="n">
        <v>8088831705.5</v>
      </c>
      <c r="AC657" s="35" t="n">
        <v>0.02537322238265162</v>
      </c>
      <c r="AD657" s="24" t="inlineStr">
        <is>
          <t>yfinance_download</t>
        </is>
      </c>
      <c r="AE657" s="24" t="inlineStr">
        <is>
          <t>102120.KQ</t>
        </is>
      </c>
    </row>
    <row r="658" ht="24" customHeight="1">
      <c r="A658" s="29" t="inlineStr">
        <is>
          <t>2026-02-20</t>
        </is>
      </c>
      <c r="B658" s="31" t="n">
        <v>12460</v>
      </c>
      <c r="C658" s="31" t="n">
        <v>12490</v>
      </c>
      <c r="D658" s="31" t="n">
        <v>12070</v>
      </c>
      <c r="E658" s="31" t="n">
        <v>12120</v>
      </c>
      <c r="F658" s="31" t="n">
        <v>12120</v>
      </c>
      <c r="G658" s="31" t="n">
        <v>402460</v>
      </c>
      <c r="H658" s="36" t="n">
        <v>-0.03039999999999998</v>
      </c>
      <c r="I658" s="36" t="n">
        <v>-0.4649006622516556</v>
      </c>
      <c r="J658" s="31" t="n">
        <v>12309.5</v>
      </c>
      <c r="K658" s="31" t="n">
        <v>11647.33333333333</v>
      </c>
      <c r="L658" s="31" t="n">
        <v>11876.91666666667</v>
      </c>
      <c r="M658" s="36" t="n">
        <v>0.5829760273438792</v>
      </c>
      <c r="N658" s="36" t="n">
        <v>0.4679990003541387</v>
      </c>
      <c r="O658" s="36" t="n">
        <v>0.04935064935064926</v>
      </c>
      <c r="P658" s="36" t="n">
        <v>0.09485094850948506</v>
      </c>
      <c r="Q658" s="36" t="n">
        <v>0.1812865497076024</v>
      </c>
      <c r="R658" s="36" t="n">
        <v>-0.0153946139160811</v>
      </c>
      <c r="S658" s="36" t="n">
        <v>0.04058153511533402</v>
      </c>
      <c r="T658" s="36" t="n">
        <v>0.02046687201364006</v>
      </c>
      <c r="U658" s="31" t="n">
        <v>14570</v>
      </c>
      <c r="V658" s="31" t="n">
        <v>8800</v>
      </c>
      <c r="W658" s="36" t="n">
        <v>-0.1681537405628003</v>
      </c>
      <c r="X658" s="36" t="n">
        <v>0.3772727272727272</v>
      </c>
      <c r="Y658" s="31" t="n">
        <v>17780753</v>
      </c>
      <c r="Z658" s="31" t="n">
        <v>215502726360</v>
      </c>
      <c r="AA658" s="31" t="n">
        <v>4877815200</v>
      </c>
      <c r="AB658" s="31" t="n">
        <v>8195379683</v>
      </c>
      <c r="AC658" s="36" t="n">
        <v>0.02263458696040601</v>
      </c>
      <c r="AD658" s="29" t="inlineStr">
        <is>
          <t>yfinance_download</t>
        </is>
      </c>
      <c r="AE658" s="29" t="inlineStr">
        <is>
          <t>102120.KQ</t>
        </is>
      </c>
    </row>
    <row r="659" ht="24" customHeight="1">
      <c r="A659" s="24" t="inlineStr">
        <is>
          <t>2026-02-23</t>
        </is>
      </c>
      <c r="B659" s="30" t="n">
        <v>12350</v>
      </c>
      <c r="C659" s="30" t="n">
        <v>12760</v>
      </c>
      <c r="D659" s="30" t="n">
        <v>12210</v>
      </c>
      <c r="E659" s="30" t="n">
        <v>12360</v>
      </c>
      <c r="F659" s="30" t="n">
        <v>12360</v>
      </c>
      <c r="G659" s="30" t="n">
        <v>552325</v>
      </c>
      <c r="H659" s="35" t="n">
        <v>0.01980198019801982</v>
      </c>
      <c r="I659" s="35" t="n">
        <v>-0.4543046357615894</v>
      </c>
      <c r="J659" s="30" t="n">
        <v>12364.5</v>
      </c>
      <c r="K659" s="30" t="n">
        <v>11680</v>
      </c>
      <c r="L659" s="30" t="n">
        <v>11894.58333333333</v>
      </c>
      <c r="M659" s="35" t="n">
        <v>0.5759586754835013</v>
      </c>
      <c r="N659" s="35" t="n">
        <v>0.4508479342927584</v>
      </c>
      <c r="O659" s="35" t="n">
        <v>0.09769094138543521</v>
      </c>
      <c r="P659" s="35" t="n">
        <v>0.1884615384615385</v>
      </c>
      <c r="Q659" s="35" t="n">
        <v>0.20703125</v>
      </c>
      <c r="R659" s="35" t="n">
        <v>-0.0003639451655950143</v>
      </c>
      <c r="S659" s="35" t="n">
        <v>0.05821917808219168</v>
      </c>
      <c r="T659" s="35" t="n">
        <v>0.03912845482887861</v>
      </c>
      <c r="U659" s="30" t="n">
        <v>14570</v>
      </c>
      <c r="V659" s="30" t="n">
        <v>8800</v>
      </c>
      <c r="W659" s="35" t="n">
        <v>-0.151681537405628</v>
      </c>
      <c r="X659" s="35" t="n">
        <v>0.4045454545454545</v>
      </c>
      <c r="Y659" s="30" t="n">
        <v>17780753</v>
      </c>
      <c r="Z659" s="30" t="n">
        <v>219770107080</v>
      </c>
      <c r="AA659" s="30" t="n">
        <v>6826737000</v>
      </c>
      <c r="AB659" s="30" t="n">
        <v>8404984104</v>
      </c>
      <c r="AC659" s="35" t="n">
        <v>0.03106308264897443</v>
      </c>
      <c r="AD659" s="24" t="inlineStr">
        <is>
          <t>yfinance_download</t>
        </is>
      </c>
      <c r="AE659" s="24" t="inlineStr">
        <is>
          <t>102120.KQ</t>
        </is>
      </c>
    </row>
    <row r="660" ht="24" customHeight="1">
      <c r="A660" s="29" t="inlineStr">
        <is>
          <t>2026-02-24</t>
        </is>
      </c>
      <c r="B660" s="31" t="n">
        <v>12370</v>
      </c>
      <c r="C660" s="31" t="n">
        <v>12910</v>
      </c>
      <c r="D660" s="31" t="n">
        <v>12140</v>
      </c>
      <c r="E660" s="31" t="n">
        <v>12820</v>
      </c>
      <c r="F660" s="31" t="n">
        <v>12820</v>
      </c>
      <c r="G660" s="31" t="n">
        <v>781297</v>
      </c>
      <c r="H660" s="36" t="n">
        <v>0.03721682847896446</v>
      </c>
      <c r="I660" s="36" t="n">
        <v>-0.4339955849889625</v>
      </c>
      <c r="J660" s="31" t="n">
        <v>12429</v>
      </c>
      <c r="K660" s="31" t="n">
        <v>11719.83333333333</v>
      </c>
      <c r="L660" s="31" t="n">
        <v>11913.16666666667</v>
      </c>
      <c r="M660" s="36" t="n">
        <v>0.5835212151524031</v>
      </c>
      <c r="N660" s="36" t="n">
        <v>0.456179634487253</v>
      </c>
      <c r="O660" s="36" t="n">
        <v>0.1118820468343451</v>
      </c>
      <c r="P660" s="36" t="n">
        <v>0.2291466922339405</v>
      </c>
      <c r="Q660" s="36" t="n">
        <v>0.2105760151085929</v>
      </c>
      <c r="R660" s="36" t="n">
        <v>0.0314586853326897</v>
      </c>
      <c r="S660" s="36" t="n">
        <v>0.09387221092450115</v>
      </c>
      <c r="T660" s="36" t="n">
        <v>0.07612025909707754</v>
      </c>
      <c r="U660" s="31" t="n">
        <v>14570</v>
      </c>
      <c r="V660" s="31" t="n">
        <v>8800</v>
      </c>
      <c r="W660" s="36" t="n">
        <v>-0.1201098146877145</v>
      </c>
      <c r="X660" s="36" t="n">
        <v>0.4568181818181818</v>
      </c>
      <c r="Y660" s="31" t="n">
        <v>17780753</v>
      </c>
      <c r="Z660" s="31" t="n">
        <v>227949253460</v>
      </c>
      <c r="AA660" s="31" t="n">
        <v>10016227540</v>
      </c>
      <c r="AB660" s="31" t="n">
        <v>8757933608</v>
      </c>
      <c r="AC660" s="36" t="n">
        <v>0.04394060251554026</v>
      </c>
      <c r="AD660" s="29" t="inlineStr">
        <is>
          <t>yfinance_download</t>
        </is>
      </c>
      <c r="AE660" s="29" t="inlineStr">
        <is>
          <t>102120.KQ</t>
        </is>
      </c>
    </row>
    <row r="661" ht="24" customHeight="1">
      <c r="A661" s="24" t="inlineStr">
        <is>
          <t>2026-02-25</t>
        </is>
      </c>
      <c r="B661" s="30" t="n">
        <v>13300</v>
      </c>
      <c r="C661" s="30" t="n">
        <v>13310</v>
      </c>
      <c r="D661" s="30" t="n">
        <v>12680</v>
      </c>
      <c r="E661" s="30" t="n">
        <v>12760</v>
      </c>
      <c r="F661" s="30" t="n">
        <v>12760</v>
      </c>
      <c r="G661" s="30" t="n">
        <v>871711</v>
      </c>
      <c r="H661" s="35" t="n">
        <v>-0.004680187207488307</v>
      </c>
      <c r="I661" s="35" t="n">
        <v>-0.4366445916114791</v>
      </c>
      <c r="J661" s="30" t="n">
        <v>12489</v>
      </c>
      <c r="K661" s="30" t="n">
        <v>11755.66666666667</v>
      </c>
      <c r="L661" s="30" t="n">
        <v>11931.08333333333</v>
      </c>
      <c r="M661" s="35" t="n">
        <v>0.5846481883550858</v>
      </c>
      <c r="N661" s="35" t="n">
        <v>0.4556402717537654</v>
      </c>
      <c r="O661" s="35" t="n">
        <v>0.1038062283737025</v>
      </c>
      <c r="P661" s="35" t="n">
        <v>0.2026390197926484</v>
      </c>
      <c r="Q661" s="35" t="n">
        <v>0.2026390197926484</v>
      </c>
      <c r="R661" s="35" t="n">
        <v>0.02169909520377922</v>
      </c>
      <c r="S661" s="35" t="n">
        <v>0.08543397510420503</v>
      </c>
      <c r="T661" s="35" t="n">
        <v>0.06947538991290259</v>
      </c>
      <c r="U661" s="30" t="n">
        <v>14570</v>
      </c>
      <c r="V661" s="30" t="n">
        <v>8800</v>
      </c>
      <c r="W661" s="35" t="n">
        <v>-0.1242278654770076</v>
      </c>
      <c r="X661" s="35" t="n">
        <v>0.45</v>
      </c>
      <c r="Y661" s="30" t="n">
        <v>17780753</v>
      </c>
      <c r="Z661" s="30" t="n">
        <v>226882408280</v>
      </c>
      <c r="AA661" s="30" t="n">
        <v>11123032360</v>
      </c>
      <c r="AB661" s="30" t="n">
        <v>9220138840</v>
      </c>
      <c r="AC661" s="35" t="n">
        <v>0.04902553901963545</v>
      </c>
      <c r="AD661" s="24" t="inlineStr">
        <is>
          <t>yfinance_download</t>
        </is>
      </c>
      <c r="AE661" s="24" t="inlineStr">
        <is>
          <t>102120.KQ</t>
        </is>
      </c>
    </row>
    <row r="662" ht="24" customHeight="1">
      <c r="A662" s="29" t="inlineStr">
        <is>
          <t>2026-02-26</t>
        </is>
      </c>
      <c r="B662" s="31" t="n">
        <v>13000</v>
      </c>
      <c r="C662" s="31" t="n">
        <v>14270</v>
      </c>
      <c r="D662" s="31" t="n">
        <v>12610</v>
      </c>
      <c r="E662" s="31" t="n">
        <v>13300</v>
      </c>
      <c r="F662" s="31" t="n">
        <v>13300</v>
      </c>
      <c r="G662" s="31" t="n">
        <v>3728440</v>
      </c>
      <c r="H662" s="36" t="n">
        <v>0.04231974921630099</v>
      </c>
      <c r="I662" s="36" t="n">
        <v>-0.41280353200883</v>
      </c>
      <c r="J662" s="31" t="n">
        <v>12543.5</v>
      </c>
      <c r="K662" s="31" t="n">
        <v>11797.83333333333</v>
      </c>
      <c r="L662" s="31" t="n">
        <v>11953.41666666667</v>
      </c>
      <c r="M662" s="36" t="n">
        <v>0.5705871901617358</v>
      </c>
      <c r="N662" s="36" t="n">
        <v>0.461977579750827</v>
      </c>
      <c r="O662" s="36" t="n">
        <v>0.08927108927108929</v>
      </c>
      <c r="P662" s="36" t="n">
        <v>0.234911792014856</v>
      </c>
      <c r="Q662" s="36" t="n">
        <v>0.2523540489642184</v>
      </c>
      <c r="R662" s="36" t="n">
        <v>0.06031012077968678</v>
      </c>
      <c r="S662" s="36" t="n">
        <v>0.1273256388884965</v>
      </c>
      <c r="T662" s="36" t="n">
        <v>0.1126525888692913</v>
      </c>
      <c r="U662" s="31" t="n">
        <v>14570</v>
      </c>
      <c r="V662" s="31" t="n">
        <v>8800</v>
      </c>
      <c r="W662" s="36" t="n">
        <v>-0.08716540837336995</v>
      </c>
      <c r="X662" s="36" t="n">
        <v>0.5113636363636365</v>
      </c>
      <c r="Y662" s="31" t="n">
        <v>17780753</v>
      </c>
      <c r="Z662" s="31" t="n">
        <v>236484014900</v>
      </c>
      <c r="AA662" s="31" t="n">
        <v>49588252000</v>
      </c>
      <c r="AB662" s="31" t="n">
        <v>11438540101.5</v>
      </c>
      <c r="AC662" s="36" t="n">
        <v>0.2096896571253197</v>
      </c>
      <c r="AD662" s="29" t="inlineStr">
        <is>
          <t>yfinance_download</t>
        </is>
      </c>
      <c r="AE662" s="29" t="inlineStr">
        <is>
          <t>102120.KQ</t>
        </is>
      </c>
    </row>
    <row r="663" ht="24" customHeight="1">
      <c r="A663" s="24" t="inlineStr">
        <is>
          <t>2026-02-27</t>
        </is>
      </c>
      <c r="B663" s="30" t="n">
        <v>12900</v>
      </c>
      <c r="C663" s="30" t="n">
        <v>13240</v>
      </c>
      <c r="D663" s="30" t="n">
        <v>12550</v>
      </c>
      <c r="E663" s="30" t="n">
        <v>12710</v>
      </c>
      <c r="F663" s="30" t="n">
        <v>12710</v>
      </c>
      <c r="G663" s="30" t="n">
        <v>822624</v>
      </c>
      <c r="H663" s="35" t="n">
        <v>-0.04436090225563905</v>
      </c>
      <c r="I663" s="35" t="n">
        <v>-0.4388520971302429</v>
      </c>
      <c r="J663" s="30" t="n">
        <v>12568</v>
      </c>
      <c r="K663" s="30" t="n">
        <v>11832</v>
      </c>
      <c r="L663" s="30" t="n">
        <v>11968.08333333333</v>
      </c>
      <c r="M663" s="35" t="n">
        <v>0.5968069158046708</v>
      </c>
      <c r="N663" s="35" t="n">
        <v>0.4716439325799505</v>
      </c>
      <c r="O663" s="35" t="n">
        <v>0.0400981996726677</v>
      </c>
      <c r="P663" s="35" t="n">
        <v>0.1923076923076923</v>
      </c>
      <c r="Q663" s="35" t="n">
        <v>0.160730593607306</v>
      </c>
      <c r="R663" s="35" t="n">
        <v>0.01129853596435382</v>
      </c>
      <c r="S663" s="35" t="n">
        <v>0.07420554428668025</v>
      </c>
      <c r="T663" s="35" t="n">
        <v>0.06199126844315073</v>
      </c>
      <c r="U663" s="30" t="n">
        <v>14570</v>
      </c>
      <c r="V663" s="30" t="n">
        <v>8800</v>
      </c>
      <c r="W663" s="35" t="n">
        <v>-0.1276595744680851</v>
      </c>
      <c r="X663" s="35" t="n">
        <v>0.4443181818181818</v>
      </c>
      <c r="Y663" s="30" t="n">
        <v>17780753</v>
      </c>
      <c r="Z663" s="30" t="n">
        <v>225993370630</v>
      </c>
      <c r="AA663" s="30" t="n">
        <v>10455551040</v>
      </c>
      <c r="AB663" s="30" t="n">
        <v>11786502610.5</v>
      </c>
      <c r="AC663" s="35" t="n">
        <v>0.04626485728697766</v>
      </c>
      <c r="AD663" s="24" t="inlineStr">
        <is>
          <t>yfinance_download</t>
        </is>
      </c>
      <c r="AE663" s="24" t="inlineStr">
        <is>
          <t>102120.KQ</t>
        </is>
      </c>
    </row>
    <row r="664" ht="24" customHeight="1">
      <c r="A664" s="29" t="inlineStr">
        <is>
          <t>2026-03-03</t>
        </is>
      </c>
      <c r="B664" s="31" t="n">
        <v>12100</v>
      </c>
      <c r="C664" s="31" t="n">
        <v>12900</v>
      </c>
      <c r="D664" s="31" t="n">
        <v>11700</v>
      </c>
      <c r="E664" s="31" t="n">
        <v>11700</v>
      </c>
      <c r="F664" s="31" t="n">
        <v>11700</v>
      </c>
      <c r="G664" s="31" t="n">
        <v>664024</v>
      </c>
      <c r="H664" s="36" t="n">
        <v>-0.07946498819826908</v>
      </c>
      <c r="I664" s="36" t="n">
        <v>-0.4834437086092715</v>
      </c>
      <c r="J664" s="31" t="n">
        <v>12506.5</v>
      </c>
      <c r="K664" s="31" t="n">
        <v>11843.66666666667</v>
      </c>
      <c r="L664" s="31" t="n">
        <v>11971.08333333333</v>
      </c>
      <c r="M664" s="36" t="n">
        <v>0.6262908991439613</v>
      </c>
      <c r="N664" s="36" t="n">
        <v>0.4973871517884164</v>
      </c>
      <c r="O664" s="36" t="n">
        <v>-0.09512761020881666</v>
      </c>
      <c r="P664" s="36" t="n">
        <v>0.06363636363636371</v>
      </c>
      <c r="Q664" s="36" t="n">
        <v>0.03174603174603186</v>
      </c>
      <c r="R664" s="36" t="n">
        <v>-0.06448646703714067</v>
      </c>
      <c r="S664" s="36" t="n">
        <v>-0.01213025245560206</v>
      </c>
      <c r="T664" s="36" t="n">
        <v>-0.02264484556535551</v>
      </c>
      <c r="U664" s="31" t="n">
        <v>14570</v>
      </c>
      <c r="V664" s="31" t="n">
        <v>8800</v>
      </c>
      <c r="W664" s="36" t="n">
        <v>-0.1969800960878517</v>
      </c>
      <c r="X664" s="36" t="n">
        <v>0.3295454545454546</v>
      </c>
      <c r="Y664" s="31" t="n">
        <v>17780753</v>
      </c>
      <c r="Z664" s="31" t="n">
        <v>208034810100</v>
      </c>
      <c r="AA664" s="31" t="n">
        <v>7769080800</v>
      </c>
      <c r="AB664" s="31" t="n">
        <v>11253259702.5</v>
      </c>
      <c r="AC664" s="36" t="n">
        <v>0.0373451000640974</v>
      </c>
      <c r="AD664" s="29" t="inlineStr">
        <is>
          <t>yfinance_download</t>
        </is>
      </c>
      <c r="AE664" s="29" t="inlineStr">
        <is>
          <t>102120.KQ</t>
        </is>
      </c>
    </row>
    <row r="665" ht="24" customHeight="1">
      <c r="A665" s="24" t="inlineStr">
        <is>
          <t>2026-03-04</t>
        </is>
      </c>
      <c r="B665" s="30" t="n">
        <v>11160</v>
      </c>
      <c r="C665" s="30" t="n">
        <v>11560</v>
      </c>
      <c r="D665" s="30" t="n">
        <v>9920</v>
      </c>
      <c r="E665" s="30" t="n">
        <v>9920</v>
      </c>
      <c r="F665" s="30" t="n">
        <v>9920</v>
      </c>
      <c r="G665" s="30" t="n">
        <v>748912</v>
      </c>
      <c r="H665" s="35" t="n">
        <v>-0.1521367521367522</v>
      </c>
      <c r="I665" s="35" t="n">
        <v>-0.5620309050772627</v>
      </c>
      <c r="J665" s="30" t="n">
        <v>12358.5</v>
      </c>
      <c r="K665" s="30" t="n">
        <v>11823.5</v>
      </c>
      <c r="L665" s="30" t="n">
        <v>11962.58333333333</v>
      </c>
      <c r="M665" s="35" t="n">
        <v>0.8171756581881192</v>
      </c>
      <c r="N665" s="35" t="n">
        <v>0.5880975308650088</v>
      </c>
      <c r="O665" s="35" t="n">
        <v>-0.2298136645962733</v>
      </c>
      <c r="P665" s="35" t="n">
        <v>-0.1087151841868823</v>
      </c>
      <c r="Q665" s="35" t="n">
        <v>-0.09323583180987205</v>
      </c>
      <c r="R665" s="35" t="n">
        <v>-0.1973135898369544</v>
      </c>
      <c r="S665" s="35" t="n">
        <v>-0.1609929377933776</v>
      </c>
      <c r="T665" s="35" t="n">
        <v>-0.1707476785254022</v>
      </c>
      <c r="U665" s="30" t="n">
        <v>14570</v>
      </c>
      <c r="V665" s="30" t="n">
        <v>8800</v>
      </c>
      <c r="W665" s="35" t="n">
        <v>-0.3191489361702128</v>
      </c>
      <c r="X665" s="35" t="n">
        <v>0.1272727272727272</v>
      </c>
      <c r="Y665" s="30" t="n">
        <v>17780753</v>
      </c>
      <c r="Z665" s="30" t="n">
        <v>176385069760</v>
      </c>
      <c r="AA665" s="30" t="n">
        <v>7429207040</v>
      </c>
      <c r="AB665" s="30" t="n">
        <v>10899165182.5</v>
      </c>
      <c r="AC665" s="35" t="n">
        <v>0.04211925108008643</v>
      </c>
      <c r="AD665" s="24" t="inlineStr">
        <is>
          <t>yfinance_download</t>
        </is>
      </c>
      <c r="AE665" s="24" t="inlineStr">
        <is>
          <t>102120.KQ</t>
        </is>
      </c>
    </row>
    <row r="666" ht="24" customHeight="1">
      <c r="A666" s="29" t="inlineStr">
        <is>
          <t>2026-03-05</t>
        </is>
      </c>
      <c r="B666" s="31" t="n">
        <v>10550</v>
      </c>
      <c r="C666" s="31" t="n">
        <v>11730</v>
      </c>
      <c r="D666" s="31" t="n">
        <v>10550</v>
      </c>
      <c r="E666" s="31" t="n">
        <v>11500</v>
      </c>
      <c r="F666" s="31" t="n">
        <v>11500</v>
      </c>
      <c r="G666" s="31" t="n">
        <v>590867</v>
      </c>
      <c r="H666" s="36" t="n">
        <v>0.159274193548387</v>
      </c>
      <c r="I666" s="36" t="n">
        <v>-0.4922737306843267</v>
      </c>
      <c r="J666" s="31" t="n">
        <v>12273</v>
      </c>
      <c r="K666" s="31" t="n">
        <v>11828.66666666667</v>
      </c>
      <c r="L666" s="31" t="n">
        <v>11967.33333333333</v>
      </c>
      <c r="M666" s="36" t="n">
        <v>1.01242152500433</v>
      </c>
      <c r="N666" s="36" t="n">
        <v>0.6738009990354318</v>
      </c>
      <c r="O666" s="36" t="n">
        <v>-0.1294473883421651</v>
      </c>
      <c r="P666" s="36" t="n">
        <v>0.0277033065236818</v>
      </c>
      <c r="Q666" s="36" t="n">
        <v>0.05215004574565407</v>
      </c>
      <c r="R666" s="36" t="n">
        <v>-0.06298378554550643</v>
      </c>
      <c r="S666" s="36" t="n">
        <v>-0.02778560559093723</v>
      </c>
      <c r="T666" s="36" t="n">
        <v>-0.03905074926187957</v>
      </c>
      <c r="U666" s="31" t="n">
        <v>13750</v>
      </c>
      <c r="V666" s="31" t="n">
        <v>8800</v>
      </c>
      <c r="W666" s="36" t="n">
        <v>-0.1636363636363637</v>
      </c>
      <c r="X666" s="36" t="n">
        <v>0.3068181818181819</v>
      </c>
      <c r="Y666" s="31" t="n">
        <v>17780753</v>
      </c>
      <c r="Z666" s="31" t="n">
        <v>204478659500</v>
      </c>
      <c r="AA666" s="31" t="n">
        <v>6794970500</v>
      </c>
      <c r="AB666" s="31" t="n">
        <v>8882144688</v>
      </c>
      <c r="AC666" s="36" t="n">
        <v>0.03323070738342746</v>
      </c>
      <c r="AD666" s="29" t="inlineStr">
        <is>
          <t>yfinance_download</t>
        </is>
      </c>
      <c r="AE666" s="29" t="inlineStr">
        <is>
          <t>102120.KQ</t>
        </is>
      </c>
    </row>
    <row r="667" ht="24" customHeight="1">
      <c r="A667" s="24" t="inlineStr">
        <is>
          <t>2026-03-06</t>
        </is>
      </c>
      <c r="B667" s="30" t="n">
        <v>11260</v>
      </c>
      <c r="C667" s="30" t="n">
        <v>11740</v>
      </c>
      <c r="D667" s="30" t="n">
        <v>11000</v>
      </c>
      <c r="E667" s="30" t="n">
        <v>11730</v>
      </c>
      <c r="F667" s="30" t="n">
        <v>11730</v>
      </c>
      <c r="G667" s="30" t="n">
        <v>345500</v>
      </c>
      <c r="H667" s="35" t="n">
        <v>0.02000000000000002</v>
      </c>
      <c r="I667" s="35" t="n">
        <v>-0.4821192052980132</v>
      </c>
      <c r="J667" s="30" t="n">
        <v>12244</v>
      </c>
      <c r="K667" s="30" t="n">
        <v>11836.5</v>
      </c>
      <c r="L667" s="30" t="n">
        <v>11974.25</v>
      </c>
      <c r="M667" s="35" t="n">
        <v>0.9875248985640047</v>
      </c>
      <c r="N667" s="35" t="n">
        <v>0.674817025497058</v>
      </c>
      <c r="O667" s="35" t="n">
        <v>-0.04711616571892774</v>
      </c>
      <c r="P667" s="35" t="n">
        <v>0.04174067495559508</v>
      </c>
      <c r="Q667" s="35" t="n">
        <v>0.07614678899082561</v>
      </c>
      <c r="R667" s="35" t="n">
        <v>-0.04197974518131331</v>
      </c>
      <c r="S667" s="35" t="n">
        <v>-0.008997592193638271</v>
      </c>
      <c r="T667" s="35" t="n">
        <v>-0.02039793724032823</v>
      </c>
      <c r="U667" s="30" t="n">
        <v>13750</v>
      </c>
      <c r="V667" s="30" t="n">
        <v>8800</v>
      </c>
      <c r="W667" s="35" t="n">
        <v>-0.1469090909090909</v>
      </c>
      <c r="X667" s="35" t="n">
        <v>0.3329545454545455</v>
      </c>
      <c r="Y667" s="30" t="n">
        <v>17780753</v>
      </c>
      <c r="Z667" s="30" t="n">
        <v>208568232690</v>
      </c>
      <c r="AA667" s="30" t="n">
        <v>4052715000</v>
      </c>
      <c r="AB667" s="30" t="n">
        <v>8647604944.5</v>
      </c>
      <c r="AC667" s="35" t="n">
        <v>0.01943112308010803</v>
      </c>
      <c r="AD667" s="24" t="inlineStr">
        <is>
          <t>yfinance_download</t>
        </is>
      </c>
      <c r="AE667" s="24" t="inlineStr">
        <is>
          <t>102120.KQ</t>
        </is>
      </c>
    </row>
    <row r="668" ht="24" customHeight="1">
      <c r="A668" s="29" t="inlineStr">
        <is>
          <t>2026-03-09</t>
        </is>
      </c>
      <c r="B668" s="31" t="n">
        <v>10790</v>
      </c>
      <c r="C668" s="31" t="n">
        <v>11460</v>
      </c>
      <c r="D668" s="31" t="n">
        <v>10510</v>
      </c>
      <c r="E668" s="31" t="n">
        <v>10860</v>
      </c>
      <c r="F668" s="31" t="n">
        <v>10860</v>
      </c>
      <c r="G668" s="31" t="n">
        <v>419559</v>
      </c>
      <c r="H668" s="36" t="n">
        <v>-0.07416879795396425</v>
      </c>
      <c r="I668" s="36" t="n">
        <v>-0.5205298013245033</v>
      </c>
      <c r="J668" s="31" t="n">
        <v>12146</v>
      </c>
      <c r="K668" s="31" t="n">
        <v>11835</v>
      </c>
      <c r="L668" s="31" t="n">
        <v>11971.83333333333</v>
      </c>
      <c r="M668" s="36" t="n">
        <v>1.007379270085863</v>
      </c>
      <c r="N668" s="36" t="n">
        <v>0.6900056865301942</v>
      </c>
      <c r="O668" s="36" t="n">
        <v>-0.1528861154446178</v>
      </c>
      <c r="P668" s="36" t="n">
        <v>-0.008219178082191747</v>
      </c>
      <c r="Q668" s="36" t="n">
        <v>-0.02600896860986546</v>
      </c>
      <c r="R668" s="36" t="n">
        <v>-0.1058784785114441</v>
      </c>
      <c r="S668" s="36" t="n">
        <v>-0.08238276299112801</v>
      </c>
      <c r="T668" s="36" t="n">
        <v>-0.09287076610377143</v>
      </c>
      <c r="U668" s="31" t="n">
        <v>13750</v>
      </c>
      <c r="V668" s="31" t="n">
        <v>8800</v>
      </c>
      <c r="W668" s="36" t="n">
        <v>-0.2101818181818181</v>
      </c>
      <c r="X668" s="36" t="n">
        <v>0.2340909090909091</v>
      </c>
      <c r="Y668" s="31" t="n">
        <v>17780753</v>
      </c>
      <c r="Z668" s="31" t="n">
        <v>193098977580</v>
      </c>
      <c r="AA668" s="31" t="n">
        <v>4556410740</v>
      </c>
      <c r="AB668" s="31" t="n">
        <v>8453990416.5</v>
      </c>
      <c r="AC668" s="36" t="n">
        <v>0.02359624477096105</v>
      </c>
      <c r="AD668" s="29" t="inlineStr">
        <is>
          <t>yfinance_download</t>
        </is>
      </c>
      <c r="AE668" s="29" t="inlineStr">
        <is>
          <t>102120.KQ</t>
        </is>
      </c>
    </row>
    <row r="669" ht="24" customHeight="1">
      <c r="A669" s="24" t="inlineStr">
        <is>
          <t>2026-03-10</t>
        </is>
      </c>
      <c r="B669" s="30" t="n">
        <v>11500</v>
      </c>
      <c r="C669" s="30" t="n">
        <v>11700</v>
      </c>
      <c r="D669" s="30" t="n">
        <v>11210</v>
      </c>
      <c r="E669" s="30" t="n">
        <v>11490</v>
      </c>
      <c r="F669" s="30" t="n">
        <v>11490</v>
      </c>
      <c r="G669" s="30" t="n">
        <v>337919</v>
      </c>
      <c r="H669" s="35" t="n">
        <v>0.05801104972375692</v>
      </c>
      <c r="I669" s="35" t="n">
        <v>-0.4927152317880795</v>
      </c>
      <c r="J669" s="30" t="n">
        <v>12080.5</v>
      </c>
      <c r="K669" s="30" t="n">
        <v>11842.16666666667</v>
      </c>
      <c r="L669" s="30" t="n">
        <v>11973.58333333333</v>
      </c>
      <c r="M669" s="35" t="n">
        <v>1.032997891200022</v>
      </c>
      <c r="N669" s="35" t="n">
        <v>0.6996865259930953</v>
      </c>
      <c r="O669" s="35" t="n">
        <v>-0.10234375</v>
      </c>
      <c r="P669" s="35" t="n">
        <v>0.03887884267631092</v>
      </c>
      <c r="Q669" s="35" t="n">
        <v>0.0186170212765957</v>
      </c>
      <c r="R669" s="35" t="n">
        <v>-0.04888042713463847</v>
      </c>
      <c r="S669" s="35" t="n">
        <v>-0.02973836431959231</v>
      </c>
      <c r="T669" s="35" t="n">
        <v>-0.04038751974833488</v>
      </c>
      <c r="U669" s="30" t="n">
        <v>13750</v>
      </c>
      <c r="V669" s="30" t="n">
        <v>8800</v>
      </c>
      <c r="W669" s="35" t="n">
        <v>-0.1643636363636364</v>
      </c>
      <c r="X669" s="35" t="n">
        <v>0.3056818181818182</v>
      </c>
      <c r="Y669" s="30" t="n">
        <v>17780753</v>
      </c>
      <c r="Z669" s="30" t="n">
        <v>204300851970</v>
      </c>
      <c r="AA669" s="30" t="n">
        <v>3882689310</v>
      </c>
      <c r="AB669" s="30" t="n">
        <v>8335897682</v>
      </c>
      <c r="AC669" s="35" t="n">
        <v>0.01900476318410137</v>
      </c>
      <c r="AD669" s="24" t="inlineStr">
        <is>
          <t>yfinance_download</t>
        </is>
      </c>
      <c r="AE669" s="24" t="inlineStr">
        <is>
          <t>102120.KQ</t>
        </is>
      </c>
    </row>
    <row r="670" ht="24" customHeight="1">
      <c r="A670" s="29" t="inlineStr">
        <is>
          <t>2026-03-11</t>
        </is>
      </c>
      <c r="B670" s="31" t="n">
        <v>11610</v>
      </c>
      <c r="C670" s="31" t="n">
        <v>12260</v>
      </c>
      <c r="D670" s="31" t="n">
        <v>11610</v>
      </c>
      <c r="E670" s="31" t="n">
        <v>11900</v>
      </c>
      <c r="F670" s="31" t="n">
        <v>11900</v>
      </c>
      <c r="G670" s="31" t="n">
        <v>378940</v>
      </c>
      <c r="H670" s="36" t="n">
        <v>0.03568320278503045</v>
      </c>
      <c r="I670" s="36" t="n">
        <v>-0.4746136865342163</v>
      </c>
      <c r="J670" s="31" t="n">
        <v>12070</v>
      </c>
      <c r="K670" s="31" t="n">
        <v>11854</v>
      </c>
      <c r="L670" s="31" t="n">
        <v>11977.66666666667</v>
      </c>
      <c r="M670" s="36" t="n">
        <v>1.023769433569909</v>
      </c>
      <c r="N670" s="36" t="n">
        <v>0.7028819333561764</v>
      </c>
      <c r="O670" s="36" t="n">
        <v>-0.01734104046242779</v>
      </c>
      <c r="P670" s="36" t="n">
        <v>0.06344950848972286</v>
      </c>
      <c r="Q670" s="36" t="n">
        <v>0.04294478527607359</v>
      </c>
      <c r="R670" s="36" t="n">
        <v>-0.0140845070422535</v>
      </c>
      <c r="S670" s="36" t="n">
        <v>0.003880546650919525</v>
      </c>
      <c r="T670" s="36" t="n">
        <v>-0.006484290206773657</v>
      </c>
      <c r="U670" s="31" t="n">
        <v>13750</v>
      </c>
      <c r="V670" s="31" t="n">
        <v>8800</v>
      </c>
      <c r="W670" s="36" t="n">
        <v>-0.1345454545454545</v>
      </c>
      <c r="X670" s="36" t="n">
        <v>0.3522727272727273</v>
      </c>
      <c r="Y670" s="31" t="n">
        <v>17780753</v>
      </c>
      <c r="Z670" s="31" t="n">
        <v>211590960700</v>
      </c>
      <c r="AA670" s="31" t="n">
        <v>4509386000</v>
      </c>
      <c r="AB670" s="31" t="n">
        <v>8294427463</v>
      </c>
      <c r="AC670" s="36" t="n">
        <v>0.02131180833567622</v>
      </c>
      <c r="AD670" s="29" t="inlineStr">
        <is>
          <t>yfinance_download</t>
        </is>
      </c>
      <c r="AE670" s="29" t="inlineStr">
        <is>
          <t>102120.KQ</t>
        </is>
      </c>
    </row>
    <row r="671" ht="24" customHeight="1">
      <c r="A671" s="24" t="inlineStr">
        <is>
          <t>2026-03-12</t>
        </is>
      </c>
      <c r="B671" s="30" t="n">
        <v>11800</v>
      </c>
      <c r="C671" s="30" t="n">
        <v>11980</v>
      </c>
      <c r="D671" s="30" t="n">
        <v>11580</v>
      </c>
      <c r="E671" s="30" t="n">
        <v>11720</v>
      </c>
      <c r="F671" s="30" t="n">
        <v>11720</v>
      </c>
      <c r="G671" s="30" t="n">
        <v>193615</v>
      </c>
      <c r="H671" s="35" t="n">
        <v>-0.01512605042016801</v>
      </c>
      <c r="I671" s="35" t="n">
        <v>-0.482560706401766</v>
      </c>
      <c r="J671" s="30" t="n">
        <v>12065</v>
      </c>
      <c r="K671" s="30" t="n">
        <v>11864.33333333333</v>
      </c>
      <c r="L671" s="30" t="n">
        <v>11977.66666666667</v>
      </c>
      <c r="M671" s="35" t="n">
        <v>1.021381378671476</v>
      </c>
      <c r="N671" s="35" t="n">
        <v>0.7034635449742348</v>
      </c>
      <c r="O671" s="35" t="n">
        <v>-0.008460236886632777</v>
      </c>
      <c r="P671" s="35" t="n">
        <v>0.05585585585585595</v>
      </c>
      <c r="Q671" s="35" t="n">
        <v>0</v>
      </c>
      <c r="R671" s="35" t="n">
        <v>-0.02859510982179858</v>
      </c>
      <c r="S671" s="35" t="n">
        <v>-0.01216531340432114</v>
      </c>
      <c r="T671" s="35" t="n">
        <v>-0.02151225892633513</v>
      </c>
      <c r="U671" s="30" t="n">
        <v>13750</v>
      </c>
      <c r="V671" s="30" t="n">
        <v>8800</v>
      </c>
      <c r="W671" s="35" t="n">
        <v>-0.1476363636363637</v>
      </c>
      <c r="X671" s="35" t="n">
        <v>0.3318181818181818</v>
      </c>
      <c r="Y671" s="30" t="n">
        <v>17780753</v>
      </c>
      <c r="Z671" s="30" t="n">
        <v>208390425160</v>
      </c>
      <c r="AA671" s="30" t="n">
        <v>2269167800</v>
      </c>
      <c r="AB671" s="30" t="n">
        <v>8178959048</v>
      </c>
      <c r="AC671" s="35" t="n">
        <v>0.01088902140421162</v>
      </c>
      <c r="AD671" s="24" t="inlineStr">
        <is>
          <t>yfinance_download</t>
        </is>
      </c>
      <c r="AE671" s="24" t="inlineStr">
        <is>
          <t>102120.KQ</t>
        </is>
      </c>
    </row>
    <row r="672" ht="24" customHeight="1">
      <c r="A672" s="29" t="inlineStr">
        <is>
          <t>2026-03-13</t>
        </is>
      </c>
      <c r="B672" s="31" t="n">
        <v>11580</v>
      </c>
      <c r="C672" s="31" t="n">
        <v>11990</v>
      </c>
      <c r="D672" s="31" t="n">
        <v>11260</v>
      </c>
      <c r="E672" s="31" t="n">
        <v>11750</v>
      </c>
      <c r="F672" s="31" t="n">
        <v>11750</v>
      </c>
      <c r="G672" s="31" t="n">
        <v>271334</v>
      </c>
      <c r="H672" s="36" t="n">
        <v>0.00255972696245732</v>
      </c>
      <c r="I672" s="36" t="n">
        <v>-0.4812362030905077</v>
      </c>
      <c r="J672" s="31" t="n">
        <v>12024.5</v>
      </c>
      <c r="K672" s="31" t="n">
        <v>11874.83333333333</v>
      </c>
      <c r="L672" s="31" t="n">
        <v>11974.83333333333</v>
      </c>
      <c r="M672" s="36" t="n">
        <v>0.9956956531597352</v>
      </c>
      <c r="N672" s="36" t="n">
        <v>0.7034649242315164</v>
      </c>
      <c r="O672" s="36" t="n">
        <v>-0.06449044585987262</v>
      </c>
      <c r="P672" s="36" t="n">
        <v>0.05665467625899279</v>
      </c>
      <c r="Q672" s="36" t="n">
        <v>-0.02812241521918946</v>
      </c>
      <c r="R672" s="36" t="n">
        <v>-0.02282839203293274</v>
      </c>
      <c r="S672" s="36" t="n">
        <v>-0.01051242824460696</v>
      </c>
      <c r="T672" s="36" t="n">
        <v>-0.01877548748068869</v>
      </c>
      <c r="U672" s="31" t="n">
        <v>13750</v>
      </c>
      <c r="V672" s="31" t="n">
        <v>8800</v>
      </c>
      <c r="W672" s="36" t="n">
        <v>-0.1454545454545455</v>
      </c>
      <c r="X672" s="36" t="n">
        <v>0.3352272727272727</v>
      </c>
      <c r="Y672" s="31" t="n">
        <v>17780753</v>
      </c>
      <c r="Z672" s="31" t="n">
        <v>208923847750</v>
      </c>
      <c r="AA672" s="31" t="n">
        <v>3188174500</v>
      </c>
      <c r="AB672" s="31" t="n">
        <v>8072029205</v>
      </c>
      <c r="AC672" s="36" t="n">
        <v>0.01525998364636188</v>
      </c>
      <c r="AD672" s="29" t="inlineStr">
        <is>
          <t>yfinance_download</t>
        </is>
      </c>
      <c r="AE672" s="29" t="inlineStr">
        <is>
          <t>102120.KQ</t>
        </is>
      </c>
    </row>
    <row r="673" ht="24" customHeight="1">
      <c r="A673" s="24" t="inlineStr">
        <is>
          <t>2026-03-16</t>
        </is>
      </c>
      <c r="B673" s="30" t="n">
        <v>11750</v>
      </c>
      <c r="C673" s="30" t="n">
        <v>12080</v>
      </c>
      <c r="D673" s="30" t="n">
        <v>11300</v>
      </c>
      <c r="E673" s="30" t="n">
        <v>11570</v>
      </c>
      <c r="F673" s="30" t="n">
        <v>11570</v>
      </c>
      <c r="G673" s="30" t="n">
        <v>341065</v>
      </c>
      <c r="H673" s="35" t="n">
        <v>-0.01531914893617026</v>
      </c>
      <c r="I673" s="35" t="n">
        <v>-0.4891832229580574</v>
      </c>
      <c r="J673" s="30" t="n">
        <v>11974.5</v>
      </c>
      <c r="K673" s="30" t="n">
        <v>11881.16666666667</v>
      </c>
      <c r="L673" s="30" t="n">
        <v>11970.91666666667</v>
      </c>
      <c r="M673" s="35" t="n">
        <v>0.9968568476207268</v>
      </c>
      <c r="N673" s="35" t="n">
        <v>0.7042806344500265</v>
      </c>
      <c r="O673" s="35" t="n">
        <v>-0.07955449482895782</v>
      </c>
      <c r="P673" s="35" t="n">
        <v>0.03395889186773915</v>
      </c>
      <c r="Q673" s="35" t="n">
        <v>-0.03903654485049834</v>
      </c>
      <c r="R673" s="35" t="n">
        <v>-0.03378011608000331</v>
      </c>
      <c r="S673" s="35" t="n">
        <v>-0.0261899083984457</v>
      </c>
      <c r="T673" s="35" t="n">
        <v>-0.03349089111805692</v>
      </c>
      <c r="U673" s="30" t="n">
        <v>13750</v>
      </c>
      <c r="V673" s="30" t="n">
        <v>8800</v>
      </c>
      <c r="W673" s="35" t="n">
        <v>-0.1585454545454545</v>
      </c>
      <c r="X673" s="35" t="n">
        <v>0.3147727272727272</v>
      </c>
      <c r="Y673" s="30" t="n">
        <v>17780753</v>
      </c>
      <c r="Z673" s="30" t="n">
        <v>205723312210</v>
      </c>
      <c r="AA673" s="30" t="n">
        <v>3946122050</v>
      </c>
      <c r="AB673" s="30" t="n">
        <v>7921969014</v>
      </c>
      <c r="AC673" s="35" t="n">
        <v>0.01918169607327654</v>
      </c>
      <c r="AD673" s="24" t="inlineStr">
        <is>
          <t>yfinance_download</t>
        </is>
      </c>
      <c r="AE673" s="24" t="inlineStr">
        <is>
          <t>102120.KQ</t>
        </is>
      </c>
    </row>
    <row r="674" ht="24" customHeight="1">
      <c r="A674" s="29" t="inlineStr">
        <is>
          <t>2026-03-17</t>
        </is>
      </c>
      <c r="B674" s="31" t="n">
        <v>11820</v>
      </c>
      <c r="C674" s="31" t="n">
        <v>12000</v>
      </c>
      <c r="D674" s="31" t="n">
        <v>11730</v>
      </c>
      <c r="E674" s="31" t="n">
        <v>11760</v>
      </c>
      <c r="F674" s="31" t="n">
        <v>11760</v>
      </c>
      <c r="G674" s="31" t="n">
        <v>236127</v>
      </c>
      <c r="H674" s="36" t="n">
        <v>0.01642178046672438</v>
      </c>
      <c r="I674" s="36" t="n">
        <v>-0.480794701986755</v>
      </c>
      <c r="J674" s="31" t="n">
        <v>11941</v>
      </c>
      <c r="K674" s="31" t="n">
        <v>11893</v>
      </c>
      <c r="L674" s="31" t="n">
        <v>11965.41666666667</v>
      </c>
      <c r="M674" s="36" t="n">
        <v>0.9983975166602063</v>
      </c>
      <c r="N674" s="36" t="n">
        <v>0.7043134582135312</v>
      </c>
      <c r="O674" s="36" t="n">
        <v>-0.05390185036202733</v>
      </c>
      <c r="P674" s="36" t="n">
        <v>0.06425339366515836</v>
      </c>
      <c r="Q674" s="36" t="n">
        <v>-0.0531400966183575</v>
      </c>
      <c r="R674" s="36" t="n">
        <v>-0.01515785947575576</v>
      </c>
      <c r="S674" s="36" t="n">
        <v>-0.01118304885226606</v>
      </c>
      <c r="T674" s="36" t="n">
        <v>-0.01716753142737748</v>
      </c>
      <c r="U674" s="31" t="n">
        <v>13750</v>
      </c>
      <c r="V674" s="31" t="n">
        <v>8800</v>
      </c>
      <c r="W674" s="36" t="n">
        <v>-0.1447272727272727</v>
      </c>
      <c r="X674" s="36" t="n">
        <v>0.3363636363636364</v>
      </c>
      <c r="Y674" s="31" t="n">
        <v>17780753</v>
      </c>
      <c r="Z674" s="31" t="n">
        <v>209101655280</v>
      </c>
      <c r="AA674" s="31" t="n">
        <v>2776853520</v>
      </c>
      <c r="AB674" s="31" t="n">
        <v>7901101727.5</v>
      </c>
      <c r="AC674" s="36" t="n">
        <v>0.01327992127217559</v>
      </c>
      <c r="AD674" s="29" t="inlineStr">
        <is>
          <t>yfinance_download</t>
        </is>
      </c>
      <c r="AE674" s="29" t="inlineStr">
        <is>
          <t>102120.KQ</t>
        </is>
      </c>
    </row>
    <row r="675" ht="24" customHeight="1">
      <c r="A675" s="24" t="inlineStr">
        <is>
          <t>2026-03-18</t>
        </is>
      </c>
      <c r="B675" s="30" t="n">
        <v>12000</v>
      </c>
      <c r="C675" s="30" t="n">
        <v>12260</v>
      </c>
      <c r="D675" s="30" t="n">
        <v>11980</v>
      </c>
      <c r="E675" s="30" t="n">
        <v>12160</v>
      </c>
      <c r="F675" s="30" t="n">
        <v>12160</v>
      </c>
      <c r="G675" s="30" t="n">
        <v>364564</v>
      </c>
      <c r="H675" s="35" t="n">
        <v>0.03401360544217691</v>
      </c>
      <c r="I675" s="35" t="n">
        <v>-0.4631346578366445</v>
      </c>
      <c r="J675" s="30" t="n">
        <v>11931.5</v>
      </c>
      <c r="K675" s="30" t="n">
        <v>11914.66666666667</v>
      </c>
      <c r="L675" s="30" t="n">
        <v>11960</v>
      </c>
      <c r="M675" s="35" t="n">
        <v>1.005706375336849</v>
      </c>
      <c r="N675" s="35" t="n">
        <v>0.7061660320436692</v>
      </c>
      <c r="O675" s="35" t="n">
        <v>-0.01538461538461533</v>
      </c>
      <c r="P675" s="35" t="n">
        <v>0.1197053406998159</v>
      </c>
      <c r="Q675" s="35" t="n">
        <v>-0.05074160811865724</v>
      </c>
      <c r="R675" s="35" t="n">
        <v>0.01915098688345984</v>
      </c>
      <c r="S675" s="35" t="n">
        <v>0.02059086839749336</v>
      </c>
      <c r="T675" s="35" t="n">
        <v>0.01672240802675584</v>
      </c>
      <c r="U675" s="30" t="n">
        <v>13750</v>
      </c>
      <c r="V675" s="30" t="n">
        <v>8800</v>
      </c>
      <c r="W675" s="35" t="n">
        <v>-0.1156363636363636</v>
      </c>
      <c r="X675" s="35" t="n">
        <v>0.3818181818181818</v>
      </c>
      <c r="Y675" s="30" t="n">
        <v>17780753</v>
      </c>
      <c r="Z675" s="30" t="n">
        <v>216213956480</v>
      </c>
      <c r="AA675" s="30" t="n">
        <v>4433098240</v>
      </c>
      <c r="AB675" s="30" t="n">
        <v>7914993207</v>
      </c>
      <c r="AC675" s="35" t="n">
        <v>0.02050329364566281</v>
      </c>
      <c r="AD675" s="24" t="inlineStr">
        <is>
          <t>yfinance_download</t>
        </is>
      </c>
      <c r="AE675" s="24" t="inlineStr">
        <is>
          <t>102120.KQ</t>
        </is>
      </c>
    </row>
    <row r="676" ht="24" customHeight="1">
      <c r="A676" s="29" t="inlineStr">
        <is>
          <t>2026-03-19</t>
        </is>
      </c>
      <c r="B676" s="31" t="n">
        <v>11950</v>
      </c>
      <c r="C676" s="31" t="n">
        <v>11960</v>
      </c>
      <c r="D676" s="31" t="n">
        <v>11680</v>
      </c>
      <c r="E676" s="31" t="n">
        <v>11710</v>
      </c>
      <c r="F676" s="31" t="n">
        <v>11710</v>
      </c>
      <c r="G676" s="31" t="n">
        <v>188801</v>
      </c>
      <c r="H676" s="36" t="n">
        <v>-0.03700657894736847</v>
      </c>
      <c r="I676" s="36" t="n">
        <v>-0.4830022075055188</v>
      </c>
      <c r="J676" s="31" t="n">
        <v>11917</v>
      </c>
      <c r="K676" s="31" t="n">
        <v>11935.66666666667</v>
      </c>
      <c r="L676" s="31" t="n">
        <v>11952</v>
      </c>
      <c r="M676" s="36" t="n">
        <v>1.009539912889358</v>
      </c>
      <c r="N676" s="36" t="n">
        <v>0.7059842439118232</v>
      </c>
      <c r="O676" s="36" t="n">
        <v>-0.02416666666666667</v>
      </c>
      <c r="P676" s="36" t="n">
        <v>0.1205741626794259</v>
      </c>
      <c r="Q676" s="36" t="n">
        <v>-0.07576953433307021</v>
      </c>
      <c r="R676" s="36" t="n">
        <v>-0.01737014349248978</v>
      </c>
      <c r="S676" s="36" t="n">
        <v>-0.01890691764180186</v>
      </c>
      <c r="T676" s="36" t="n">
        <v>-0.0202476572958501</v>
      </c>
      <c r="U676" s="31" t="n">
        <v>13750</v>
      </c>
      <c r="V676" s="31" t="n">
        <v>8800</v>
      </c>
      <c r="W676" s="36" t="n">
        <v>-0.1483636363636364</v>
      </c>
      <c r="X676" s="36" t="n">
        <v>0.3306818181818181</v>
      </c>
      <c r="Y676" s="31" t="n">
        <v>17780753</v>
      </c>
      <c r="Z676" s="31" t="n">
        <v>208212617630</v>
      </c>
      <c r="AA676" s="31" t="n">
        <v>2210859710</v>
      </c>
      <c r="AB676" s="31" t="n">
        <v>7817289392.5</v>
      </c>
      <c r="AC676" s="36" t="n">
        <v>0.01061827921460919</v>
      </c>
      <c r="AD676" s="29" t="inlineStr">
        <is>
          <t>yfinance_download</t>
        </is>
      </c>
      <c r="AE676" s="29" t="inlineStr">
        <is>
          <t>102120.KQ</t>
        </is>
      </c>
    </row>
    <row r="677" ht="24" customHeight="1">
      <c r="A677" s="24" t="inlineStr">
        <is>
          <t>2026-03-20</t>
        </is>
      </c>
      <c r="B677" s="30" t="n">
        <v>11810</v>
      </c>
      <c r="C677" s="30" t="n">
        <v>12040</v>
      </c>
      <c r="D677" s="30" t="n">
        <v>11590</v>
      </c>
      <c r="E677" s="30" t="n">
        <v>11840</v>
      </c>
      <c r="F677" s="30" t="n">
        <v>11840</v>
      </c>
      <c r="G677" s="30" t="n">
        <v>244945</v>
      </c>
      <c r="H677" s="35" t="n">
        <v>0.01110162254483349</v>
      </c>
      <c r="I677" s="35" t="n">
        <v>-0.4772626931567329</v>
      </c>
      <c r="J677" s="30" t="n">
        <v>11884</v>
      </c>
      <c r="K677" s="30" t="n">
        <v>11957</v>
      </c>
      <c r="L677" s="30" t="n">
        <v>11947.91666666667</v>
      </c>
      <c r="M677" s="35" t="n">
        <v>0.9988691300780312</v>
      </c>
      <c r="N677" s="35" t="n">
        <v>0.7060118580953219</v>
      </c>
      <c r="O677" s="35" t="n">
        <v>-0.05279999999999996</v>
      </c>
      <c r="P677" s="35" t="n">
        <v>0.1212121212121211</v>
      </c>
      <c r="Q677" s="35" t="n">
        <v>-0.03974047039740469</v>
      </c>
      <c r="R677" s="35" t="n">
        <v>-0.003702457085156485</v>
      </c>
      <c r="S677" s="35" t="n">
        <v>-0.009785063142928818</v>
      </c>
      <c r="T677" s="35" t="n">
        <v>-0.00903225806451613</v>
      </c>
      <c r="U677" s="30" t="n">
        <v>13750</v>
      </c>
      <c r="V677" s="30" t="n">
        <v>8800</v>
      </c>
      <c r="W677" s="35" t="n">
        <v>-0.1389090909090909</v>
      </c>
      <c r="X677" s="35" t="n">
        <v>0.3454545454545455</v>
      </c>
      <c r="Y677" s="30" t="n">
        <v>17780753</v>
      </c>
      <c r="Z677" s="30" t="n">
        <v>210524115520</v>
      </c>
      <c r="AA677" s="30" t="n">
        <v>2900148800</v>
      </c>
      <c r="AB677" s="30" t="n">
        <v>7680324957.5</v>
      </c>
      <c r="AC677" s="35" t="n">
        <v>0.01377585077527369</v>
      </c>
      <c r="AD677" s="24" t="inlineStr">
        <is>
          <t>yfinance_download</t>
        </is>
      </c>
      <c r="AE677" s="24" t="inlineStr">
        <is>
          <t>102120.KQ</t>
        </is>
      </c>
    </row>
    <row r="678" ht="24" customHeight="1">
      <c r="A678" s="29" t="inlineStr">
        <is>
          <t>2026-03-23</t>
        </is>
      </c>
      <c r="B678" s="31" t="n">
        <v>11570</v>
      </c>
      <c r="C678" s="31" t="n">
        <v>11680</v>
      </c>
      <c r="D678" s="31" t="n">
        <v>11150</v>
      </c>
      <c r="E678" s="31" t="n">
        <v>11160</v>
      </c>
      <c r="F678" s="31" t="n">
        <v>11160</v>
      </c>
      <c r="G678" s="31" t="n">
        <v>214501</v>
      </c>
      <c r="H678" s="36" t="n">
        <v>-0.05743243243243246</v>
      </c>
      <c r="I678" s="36" t="n">
        <v>-0.5072847682119206</v>
      </c>
      <c r="J678" s="31" t="n">
        <v>11836</v>
      </c>
      <c r="K678" s="31" t="n">
        <v>11972.16666666667</v>
      </c>
      <c r="L678" s="31" t="n">
        <v>11935.91666666667</v>
      </c>
      <c r="M678" s="36" t="n">
        <v>1.01398373072496</v>
      </c>
      <c r="N678" s="36" t="n">
        <v>0.7137899917602551</v>
      </c>
      <c r="O678" s="36" t="n">
        <v>-0.07920792079207917</v>
      </c>
      <c r="P678" s="36" t="n">
        <v>0.08878048780487813</v>
      </c>
      <c r="Q678" s="36" t="n">
        <v>-0.1142857142857143</v>
      </c>
      <c r="R678" s="36" t="n">
        <v>-0.05711388982764443</v>
      </c>
      <c r="S678" s="36" t="n">
        <v>-0.06783790180000826</v>
      </c>
      <c r="T678" s="36" t="n">
        <v>-0.06500687700288343</v>
      </c>
      <c r="U678" s="31" t="n">
        <v>13750</v>
      </c>
      <c r="V678" s="31" t="n">
        <v>8800</v>
      </c>
      <c r="W678" s="36" t="n">
        <v>-0.1883636363636364</v>
      </c>
      <c r="X678" s="36" t="n">
        <v>0.2681818181818181</v>
      </c>
      <c r="Y678" s="31" t="n">
        <v>17780753</v>
      </c>
      <c r="Z678" s="31" t="n">
        <v>198433203480</v>
      </c>
      <c r="AA678" s="31" t="n">
        <v>2393831160</v>
      </c>
      <c r="AB678" s="31" t="n">
        <v>7556125755.5</v>
      </c>
      <c r="AC678" s="36" t="n">
        <v>0.01206366232071274</v>
      </c>
      <c r="AD678" s="29" t="inlineStr">
        <is>
          <t>yfinance_download</t>
        </is>
      </c>
      <c r="AE678" s="29" t="inlineStr">
        <is>
          <t>102120.KQ</t>
        </is>
      </c>
    </row>
    <row r="679" ht="24" customHeight="1">
      <c r="A679" s="24" t="inlineStr">
        <is>
          <t>2026-03-24</t>
        </is>
      </c>
      <c r="B679" s="30" t="n">
        <v>11500</v>
      </c>
      <c r="C679" s="30" t="n">
        <v>11700</v>
      </c>
      <c r="D679" s="30" t="n">
        <v>11100</v>
      </c>
      <c r="E679" s="30" t="n">
        <v>11430</v>
      </c>
      <c r="F679" s="30" t="n">
        <v>11430</v>
      </c>
      <c r="G679" s="30" t="n">
        <v>158903</v>
      </c>
      <c r="H679" s="35" t="n">
        <v>0.02419354838709675</v>
      </c>
      <c r="I679" s="35" t="n">
        <v>-0.4953642384105961</v>
      </c>
      <c r="J679" s="30" t="n">
        <v>11789.5</v>
      </c>
      <c r="K679" s="30" t="n">
        <v>11990.83333333333</v>
      </c>
      <c r="L679" s="30" t="n">
        <v>11925.08333333333</v>
      </c>
      <c r="M679" s="35" t="n">
        <v>1.015364438182765</v>
      </c>
      <c r="N679" s="35" t="n">
        <v>0.7151554039427849</v>
      </c>
      <c r="O679" s="35" t="n">
        <v>-0.07524271844660191</v>
      </c>
      <c r="P679" s="35" t="n">
        <v>0.1086323957322988</v>
      </c>
      <c r="Q679" s="35" t="n">
        <v>-0.1021209740769835</v>
      </c>
      <c r="R679" s="35" t="n">
        <v>-0.03049323550617078</v>
      </c>
      <c r="S679" s="35" t="n">
        <v>-0.04677183959969422</v>
      </c>
      <c r="T679" s="35" t="n">
        <v>-0.04151613196273962</v>
      </c>
      <c r="U679" s="30" t="n">
        <v>13750</v>
      </c>
      <c r="V679" s="30" t="n">
        <v>8800</v>
      </c>
      <c r="W679" s="35" t="n">
        <v>-0.1687272727272727</v>
      </c>
      <c r="X679" s="35" t="n">
        <v>0.2988636363636363</v>
      </c>
      <c r="Y679" s="30" t="n">
        <v>17780753</v>
      </c>
      <c r="Z679" s="30" t="n">
        <v>203234006790</v>
      </c>
      <c r="AA679" s="30" t="n">
        <v>1816261290</v>
      </c>
      <c r="AB679" s="30" t="n">
        <v>7305601970</v>
      </c>
      <c r="AC679" s="35" t="n">
        <v>0.008936798120979465</v>
      </c>
      <c r="AD679" s="24" t="inlineStr">
        <is>
          <t>yfinance_download</t>
        </is>
      </c>
      <c r="AE679" s="24" t="inlineStr">
        <is>
          <t>102120.KQ</t>
        </is>
      </c>
    </row>
    <row r="680" ht="24" customHeight="1">
      <c r="A680" s="29" t="inlineStr">
        <is>
          <t>2026-03-25</t>
        </is>
      </c>
      <c r="B680" s="31" t="n">
        <v>11600</v>
      </c>
      <c r="C680" s="31" t="n">
        <v>12130</v>
      </c>
      <c r="D680" s="31" t="n">
        <v>11590</v>
      </c>
      <c r="E680" s="31" t="n">
        <v>12130</v>
      </c>
      <c r="F680" s="31" t="n">
        <v>12130</v>
      </c>
      <c r="G680" s="31" t="n">
        <v>367988</v>
      </c>
      <c r="H680" s="36" t="n">
        <v>0.0612423447069117</v>
      </c>
      <c r="I680" s="36" t="n">
        <v>-0.4644591611479029</v>
      </c>
      <c r="J680" s="31" t="n">
        <v>11755</v>
      </c>
      <c r="K680" s="31" t="n">
        <v>12013.16666666667</v>
      </c>
      <c r="L680" s="31" t="n">
        <v>11921.41666666667</v>
      </c>
      <c r="M680" s="36" t="n">
        <v>1.031114039815678</v>
      </c>
      <c r="N680" s="36" t="n">
        <v>0.7196193753625653</v>
      </c>
      <c r="O680" s="36" t="n">
        <v>-0.05382215288611547</v>
      </c>
      <c r="P680" s="36" t="n">
        <v>0.1241890639481</v>
      </c>
      <c r="Q680" s="36" t="n">
        <v>-0.0350039777247414</v>
      </c>
      <c r="R680" s="36" t="n">
        <v>0.03190131858783496</v>
      </c>
      <c r="S680" s="36" t="n">
        <v>0.009725440142066333</v>
      </c>
      <c r="T680" s="36" t="n">
        <v>0.01749652236521104</v>
      </c>
      <c r="U680" s="31" t="n">
        <v>13750</v>
      </c>
      <c r="V680" s="31" t="n">
        <v>8800</v>
      </c>
      <c r="W680" s="36" t="n">
        <v>-0.1178181818181818</v>
      </c>
      <c r="X680" s="36" t="n">
        <v>0.3784090909090909</v>
      </c>
      <c r="Y680" s="31" t="n">
        <v>17780753</v>
      </c>
      <c r="Z680" s="31" t="n">
        <v>215680533890</v>
      </c>
      <c r="AA680" s="31" t="n">
        <v>4463694440</v>
      </c>
      <c r="AB680" s="31" t="n">
        <v>7027975315</v>
      </c>
      <c r="AC680" s="36" t="n">
        <v>0.02069586141824252</v>
      </c>
      <c r="AD680" s="29" t="inlineStr">
        <is>
          <t>yfinance_download</t>
        </is>
      </c>
      <c r="AE680" s="29" t="inlineStr">
        <is>
          <t>102120.KQ</t>
        </is>
      </c>
    </row>
    <row r="681" ht="24" customHeight="1">
      <c r="A681" s="24" t="inlineStr">
        <is>
          <t>2026-03-26</t>
        </is>
      </c>
      <c r="B681" s="30" t="n">
        <v>12130</v>
      </c>
      <c r="C681" s="30" t="n">
        <v>12130</v>
      </c>
      <c r="D681" s="30" t="n">
        <v>11450</v>
      </c>
      <c r="E681" s="30" t="n">
        <v>11460</v>
      </c>
      <c r="F681" s="30" t="n">
        <v>11460</v>
      </c>
      <c r="G681" s="30" t="n">
        <v>242010</v>
      </c>
      <c r="H681" s="35" t="n">
        <v>-0.05523495465787309</v>
      </c>
      <c r="I681" s="35" t="n">
        <v>-0.4940397350993377</v>
      </c>
      <c r="J681" s="30" t="n">
        <v>11690</v>
      </c>
      <c r="K681" s="30" t="n">
        <v>12025</v>
      </c>
      <c r="L681" s="30" t="n">
        <v>11914.66666666667</v>
      </c>
      <c r="M681" s="35" t="n">
        <v>1.049131990815562</v>
      </c>
      <c r="N681" s="35" t="n">
        <v>0.7293431510395851</v>
      </c>
      <c r="O681" s="35" t="n">
        <v>-0.1018808777429467</v>
      </c>
      <c r="P681" s="35" t="n">
        <v>0.06604651162790698</v>
      </c>
      <c r="Q681" s="35" t="n">
        <v>-0.06601466992665039</v>
      </c>
      <c r="R681" s="35" t="n">
        <v>-0.01967493584260049</v>
      </c>
      <c r="S681" s="35" t="n">
        <v>-0.04698544698544693</v>
      </c>
      <c r="T681" s="35" t="n">
        <v>-0.03816025067144135</v>
      </c>
      <c r="U681" s="30" t="n">
        <v>13750</v>
      </c>
      <c r="V681" s="30" t="n">
        <v>8800</v>
      </c>
      <c r="W681" s="35" t="n">
        <v>-0.1665454545454546</v>
      </c>
      <c r="X681" s="35" t="n">
        <v>0.3022727272727272</v>
      </c>
      <c r="Y681" s="30" t="n">
        <v>17780753</v>
      </c>
      <c r="Z681" s="30" t="n">
        <v>203767429380</v>
      </c>
      <c r="AA681" s="30" t="n">
        <v>2773434600</v>
      </c>
      <c r="AB681" s="30" t="n">
        <v>6610495427</v>
      </c>
      <c r="AC681" s="35" t="n">
        <v>0.0136107846501214</v>
      </c>
      <c r="AD681" s="24" t="inlineStr">
        <is>
          <t>yfinance_download</t>
        </is>
      </c>
      <c r="AE681" s="24" t="inlineStr">
        <is>
          <t>102120.KQ</t>
        </is>
      </c>
    </row>
    <row r="682" ht="24" customHeight="1">
      <c r="A682" s="29" t="inlineStr">
        <is>
          <t>2026-03-27</t>
        </is>
      </c>
      <c r="B682" s="31" t="n">
        <v>11250</v>
      </c>
      <c r="C682" s="31" t="n">
        <v>11370</v>
      </c>
      <c r="D682" s="31" t="n">
        <v>10930</v>
      </c>
      <c r="E682" s="31" t="n">
        <v>11220</v>
      </c>
      <c r="F682" s="31" t="n">
        <v>11220</v>
      </c>
      <c r="G682" s="31" t="n">
        <v>211095</v>
      </c>
      <c r="H682" s="36" t="n">
        <v>-0.02094240837696337</v>
      </c>
      <c r="I682" s="36" t="n">
        <v>-0.5046357615894039</v>
      </c>
      <c r="J682" s="31" t="n">
        <v>11586</v>
      </c>
      <c r="K682" s="31" t="n">
        <v>12036.16666666667</v>
      </c>
      <c r="L682" s="31" t="n">
        <v>11905.41666666667</v>
      </c>
      <c r="M682" s="36" t="n">
        <v>1.036627801455939</v>
      </c>
      <c r="N682" s="36" t="n">
        <v>0.7296423970695363</v>
      </c>
      <c r="O682" s="36" t="n">
        <v>-0.156390977443609</v>
      </c>
      <c r="P682" s="36" t="n">
        <v>0.06350710900473944</v>
      </c>
      <c r="Q682" s="36" t="n">
        <v>-0.09002433090024331</v>
      </c>
      <c r="R682" s="36" t="n">
        <v>-0.0315898498187468</v>
      </c>
      <c r="S682" s="36" t="n">
        <v>-0.06780951853441708</v>
      </c>
      <c r="T682" s="36" t="n">
        <v>-0.05757183354915474</v>
      </c>
      <c r="U682" s="31" t="n">
        <v>13750</v>
      </c>
      <c r="V682" s="31" t="n">
        <v>8800</v>
      </c>
      <c r="W682" s="36" t="n">
        <v>-0.1840000000000001</v>
      </c>
      <c r="X682" s="36" t="n">
        <v>0.2749999999999999</v>
      </c>
      <c r="Y682" s="31" t="n">
        <v>17780753</v>
      </c>
      <c r="Z682" s="31" t="n">
        <v>199500048660</v>
      </c>
      <c r="AA682" s="31" t="n">
        <v>2368485900</v>
      </c>
      <c r="AB682" s="31" t="n">
        <v>4249507122</v>
      </c>
      <c r="AC682" s="36" t="n">
        <v>0.01187210687871318</v>
      </c>
      <c r="AD682" s="29" t="inlineStr">
        <is>
          <t>yfinance_download</t>
        </is>
      </c>
      <c r="AE682" s="29" t="inlineStr">
        <is>
          <t>102120.KQ</t>
        </is>
      </c>
    </row>
    <row r="683" ht="24" customHeight="1">
      <c r="A683" s="24" t="inlineStr">
        <is>
          <t>2026-03-30</t>
        </is>
      </c>
      <c r="B683" s="30" t="n">
        <v>10950</v>
      </c>
      <c r="C683" s="30" t="n">
        <v>10950</v>
      </c>
      <c r="D683" s="30" t="n">
        <v>10610</v>
      </c>
      <c r="E683" s="30" t="n">
        <v>10760</v>
      </c>
      <c r="F683" s="30" t="n">
        <v>10760</v>
      </c>
      <c r="G683" s="30" t="n">
        <v>157594</v>
      </c>
      <c r="H683" s="35" t="n">
        <v>-0.04099821746880572</v>
      </c>
      <c r="I683" s="35" t="n">
        <v>-0.5249448123620308</v>
      </c>
      <c r="J683" s="30" t="n">
        <v>11488.5</v>
      </c>
      <c r="K683" s="30" t="n">
        <v>12030.33333333333</v>
      </c>
      <c r="L683" s="30" t="n">
        <v>11895.16666666667</v>
      </c>
      <c r="M683" s="35" t="n">
        <v>1.035063603073152</v>
      </c>
      <c r="N683" s="35" t="n">
        <v>0.7270186829443946</v>
      </c>
      <c r="O683" s="35" t="n">
        <v>-0.1534225019669552</v>
      </c>
      <c r="P683" s="35" t="n">
        <v>-0.03150315031503148</v>
      </c>
      <c r="Q683" s="35" t="n">
        <v>-0.1025854879065888</v>
      </c>
      <c r="R683" s="35" t="n">
        <v>-0.06341123732428078</v>
      </c>
      <c r="S683" s="35" t="n">
        <v>-0.1055941924579535</v>
      </c>
      <c r="T683" s="35" t="n">
        <v>-0.09543091731935938</v>
      </c>
      <c r="U683" s="30" t="n">
        <v>13750</v>
      </c>
      <c r="V683" s="30" t="n">
        <v>8800</v>
      </c>
      <c r="W683" s="35" t="n">
        <v>-0.2174545454545455</v>
      </c>
      <c r="X683" s="35" t="n">
        <v>0.2227272727272727</v>
      </c>
      <c r="Y683" s="30" t="n">
        <v>17780753</v>
      </c>
      <c r="Z683" s="30" t="n">
        <v>191320902280</v>
      </c>
      <c r="AA683" s="30" t="n">
        <v>1695711440</v>
      </c>
      <c r="AB683" s="30" t="n">
        <v>3811515142</v>
      </c>
      <c r="AC683" s="35" t="n">
        <v>0.00886317919156742</v>
      </c>
      <c r="AD683" s="24" t="inlineStr">
        <is>
          <t>yfinance_download</t>
        </is>
      </c>
      <c r="AE683" s="24" t="inlineStr">
        <is>
          <t>102120.KQ</t>
        </is>
      </c>
    </row>
    <row r="684" ht="24" customHeight="1">
      <c r="A684" s="29" t="inlineStr">
        <is>
          <t>2026-03-31</t>
        </is>
      </c>
      <c r="B684" s="31" t="n">
        <v>10610</v>
      </c>
      <c r="C684" s="31" t="n">
        <v>10650</v>
      </c>
      <c r="D684" s="31" t="n">
        <v>10220</v>
      </c>
      <c r="E684" s="31" t="n">
        <v>10230</v>
      </c>
      <c r="F684" s="31" t="n">
        <v>10230</v>
      </c>
      <c r="G684" s="31" t="n">
        <v>207311</v>
      </c>
      <c r="H684" s="36" t="n">
        <v>-0.0492565055762082</v>
      </c>
      <c r="I684" s="36" t="n">
        <v>-0.5483443708609271</v>
      </c>
      <c r="J684" s="31" t="n">
        <v>11415</v>
      </c>
      <c r="K684" s="31" t="n">
        <v>12012.66666666667</v>
      </c>
      <c r="L684" s="31" t="n">
        <v>11884.66666666667</v>
      </c>
      <c r="M684" s="36" t="n">
        <v>1.012027370601533</v>
      </c>
      <c r="N684" s="36" t="n">
        <v>0.7333302354662874</v>
      </c>
      <c r="O684" s="36" t="n">
        <v>-0.1256410256410256</v>
      </c>
      <c r="P684" s="36" t="n">
        <v>-0.09388839681133743</v>
      </c>
      <c r="Q684" s="36" t="n">
        <v>-0.1096605744125326</v>
      </c>
      <c r="R684" s="36" t="n">
        <v>-0.1038107752956636</v>
      </c>
      <c r="S684" s="36" t="n">
        <v>-0.1483989122592818</v>
      </c>
      <c r="T684" s="36" t="n">
        <v>-0.1392270152016604</v>
      </c>
      <c r="U684" s="31" t="n">
        <v>13750</v>
      </c>
      <c r="V684" s="31" t="n">
        <v>8800</v>
      </c>
      <c r="W684" s="36" t="n">
        <v>-0.256</v>
      </c>
      <c r="X684" s="36" t="n">
        <v>0.1625000000000001</v>
      </c>
      <c r="Y684" s="31" t="n">
        <v>17780753</v>
      </c>
      <c r="Z684" s="31" t="n">
        <v>181897103190</v>
      </c>
      <c r="AA684" s="31" t="n">
        <v>2120791530</v>
      </c>
      <c r="AB684" s="31" t="n">
        <v>3529100678.5</v>
      </c>
      <c r="AC684" s="36" t="n">
        <v>0.01165929249453046</v>
      </c>
      <c r="AD684" s="29" t="inlineStr">
        <is>
          <t>yfinance_download</t>
        </is>
      </c>
      <c r="AE684" s="29" t="inlineStr">
        <is>
          <t>102120.KQ</t>
        </is>
      </c>
    </row>
    <row r="685" ht="24" customHeight="1">
      <c r="A685" s="24" t="inlineStr">
        <is>
          <t>2026-04-01</t>
        </is>
      </c>
      <c r="B685" s="30" t="n">
        <v>10610</v>
      </c>
      <c r="C685" s="30" t="n">
        <v>11050</v>
      </c>
      <c r="D685" s="30" t="n">
        <v>10610</v>
      </c>
      <c r="E685" s="30" t="n">
        <v>11000</v>
      </c>
      <c r="F685" s="30" t="n">
        <v>11000</v>
      </c>
      <c r="G685" s="30" t="n">
        <v>184860</v>
      </c>
      <c r="H685" s="35" t="n">
        <v>0.07526881720430101</v>
      </c>
      <c r="I685" s="35" t="n">
        <v>-0.5143487858719646</v>
      </c>
      <c r="J685" s="30" t="n">
        <v>11469</v>
      </c>
      <c r="K685" s="30" t="n">
        <v>11994.5</v>
      </c>
      <c r="L685" s="30" t="n">
        <v>11877.83333333333</v>
      </c>
      <c r="M685" s="35" t="n">
        <v>0.8869905535681837</v>
      </c>
      <c r="N685" s="35" t="n">
        <v>0.7352185317612028</v>
      </c>
      <c r="O685" s="35" t="n">
        <v>0.1088709677419355</v>
      </c>
      <c r="P685" s="35" t="n">
        <v>-0.09015715467328367</v>
      </c>
      <c r="Q685" s="35" t="n">
        <v>-0.06937394247038919</v>
      </c>
      <c r="R685" s="35" t="n">
        <v>-0.04089284157293571</v>
      </c>
      <c r="S685" s="35" t="n">
        <v>-0.08291300179248817</v>
      </c>
      <c r="T685" s="35" t="n">
        <v>-0.07390517350246262</v>
      </c>
      <c r="U685" s="30" t="n">
        <v>13750</v>
      </c>
      <c r="V685" s="30" t="n">
        <v>8800</v>
      </c>
      <c r="W685" s="35" t="n">
        <v>-0.2</v>
      </c>
      <c r="X685" s="35" t="n">
        <v>0.25</v>
      </c>
      <c r="Y685" s="30" t="n">
        <v>17780753</v>
      </c>
      <c r="Z685" s="30" t="n">
        <v>195588283000</v>
      </c>
      <c r="AA685" s="30" t="n">
        <v>2033460000</v>
      </c>
      <c r="AB685" s="30" t="n">
        <v>3259313326.5</v>
      </c>
      <c r="AC685" s="35" t="n">
        <v>0.01039663505814405</v>
      </c>
      <c r="AD685" s="24" t="inlineStr">
        <is>
          <t>yfinance_download</t>
        </is>
      </c>
      <c r="AE685" s="24" t="inlineStr">
        <is>
          <t>102120.KQ</t>
        </is>
      </c>
    </row>
    <row r="686" ht="24" customHeight="1">
      <c r="A686" s="29" t="inlineStr">
        <is>
          <t>2026-04-02</t>
        </is>
      </c>
      <c r="B686" s="31" t="n">
        <v>11150</v>
      </c>
      <c r="C686" s="31" t="n">
        <v>11180</v>
      </c>
      <c r="D686" s="31" t="n">
        <v>10300</v>
      </c>
      <c r="E686" s="31" t="n">
        <v>10400</v>
      </c>
      <c r="F686" s="31" t="n">
        <v>10400</v>
      </c>
      <c r="G686" s="31" t="n">
        <v>188861</v>
      </c>
      <c r="H686" s="36" t="n">
        <v>-0.05454545454545456</v>
      </c>
      <c r="I686" s="36" t="n">
        <v>-0.5408388520971302</v>
      </c>
      <c r="J686" s="31" t="n">
        <v>11414</v>
      </c>
      <c r="K686" s="31" t="n">
        <v>11955.83333333333</v>
      </c>
      <c r="L686" s="31" t="n">
        <v>11864.5</v>
      </c>
      <c r="M686" s="36" t="n">
        <v>0.7049437370063211</v>
      </c>
      <c r="N686" s="36" t="n">
        <v>0.7351029454131766</v>
      </c>
      <c r="O686" s="36" t="n">
        <v>-0.09565217391304348</v>
      </c>
      <c r="P686" s="36" t="n">
        <v>-0.1823899371069182</v>
      </c>
      <c r="Q686" s="36" t="n">
        <v>-0.1333333333333333</v>
      </c>
      <c r="R686" s="36" t="n">
        <v>-0.08883826879271073</v>
      </c>
      <c r="S686" s="36" t="n">
        <v>-0.1301317348574615</v>
      </c>
      <c r="T686" s="36" t="n">
        <v>-0.1234354587213957</v>
      </c>
      <c r="U686" s="31" t="n">
        <v>13750</v>
      </c>
      <c r="V686" s="31" t="n">
        <v>8800</v>
      </c>
      <c r="W686" s="36" t="n">
        <v>-0.2436363636363637</v>
      </c>
      <c r="X686" s="36" t="n">
        <v>0.1818181818181819</v>
      </c>
      <c r="Y686" s="31" t="n">
        <v>17780753</v>
      </c>
      <c r="Z686" s="31" t="n">
        <v>184919831200</v>
      </c>
      <c r="AA686" s="31" t="n">
        <v>1964154400</v>
      </c>
      <c r="AB686" s="31" t="n">
        <v>3017772521.5</v>
      </c>
      <c r="AC686" s="36" t="n">
        <v>0.01062165364987636</v>
      </c>
      <c r="AD686" s="29" t="inlineStr">
        <is>
          <t>yfinance_download</t>
        </is>
      </c>
      <c r="AE686" s="29" t="inlineStr">
        <is>
          <t>102120.KQ</t>
        </is>
      </c>
    </row>
    <row r="687" ht="24" customHeight="1">
      <c r="A687" s="24" t="inlineStr">
        <is>
          <t>2026-04-03</t>
        </is>
      </c>
      <c r="B687" s="30" t="n">
        <v>10630</v>
      </c>
      <c r="C687" s="30" t="n">
        <v>10840</v>
      </c>
      <c r="D687" s="30" t="n">
        <v>10360</v>
      </c>
      <c r="E687" s="30" t="n">
        <v>10420</v>
      </c>
      <c r="F687" s="30" t="n">
        <v>10420</v>
      </c>
      <c r="G687" s="30" t="n">
        <v>142807</v>
      </c>
      <c r="H687" s="35" t="n">
        <v>0.001923076923076916</v>
      </c>
      <c r="I687" s="35" t="n">
        <v>-0.5399558498896248</v>
      </c>
      <c r="J687" s="30" t="n">
        <v>11348.5</v>
      </c>
      <c r="K687" s="30" t="n">
        <v>11914.66666666667</v>
      </c>
      <c r="L687" s="30" t="n">
        <v>11843.83333333333</v>
      </c>
      <c r="M687" s="35" t="n">
        <v>0.6996555581034086</v>
      </c>
      <c r="N687" s="35" t="n">
        <v>0.7344356662063958</v>
      </c>
      <c r="O687" s="35" t="n">
        <v>-0.1116794543904518</v>
      </c>
      <c r="P687" s="35" t="n">
        <v>-0.1916214119472459</v>
      </c>
      <c r="Q687" s="35" t="n">
        <v>-0.1922480620155039</v>
      </c>
      <c r="R687" s="35" t="n">
        <v>-0.08181698021764994</v>
      </c>
      <c r="S687" s="35" t="n">
        <v>-0.1254476275738585</v>
      </c>
      <c r="T687" s="35" t="n">
        <v>-0.1202172719980863</v>
      </c>
      <c r="U687" s="30" t="n">
        <v>13750</v>
      </c>
      <c r="V687" s="30" t="n">
        <v>8800</v>
      </c>
      <c r="W687" s="35" t="n">
        <v>-0.2421818181818182</v>
      </c>
      <c r="X687" s="35" t="n">
        <v>0.1840909090909091</v>
      </c>
      <c r="Y687" s="30" t="n">
        <v>17780753</v>
      </c>
      <c r="Z687" s="30" t="n">
        <v>185275446260</v>
      </c>
      <c r="AA687" s="30" t="n">
        <v>1488048940</v>
      </c>
      <c r="AB687" s="30" t="n">
        <v>2889539218.5</v>
      </c>
      <c r="AC687" s="35" t="n">
        <v>0.008031549619973911</v>
      </c>
      <c r="AD687" s="24" t="inlineStr">
        <is>
          <t>yfinance_download</t>
        </is>
      </c>
      <c r="AE687" s="24" t="inlineStr">
        <is>
          <t>102120.KQ</t>
        </is>
      </c>
    </row>
    <row r="688" ht="24" customHeight="1">
      <c r="A688" s="29" t="inlineStr">
        <is>
          <t>2026-04-06</t>
        </is>
      </c>
      <c r="B688" s="31" t="n">
        <v>10440</v>
      </c>
      <c r="C688" s="31" t="n">
        <v>10770</v>
      </c>
      <c r="D688" s="31" t="n">
        <v>10440</v>
      </c>
      <c r="E688" s="31" t="n">
        <v>10600</v>
      </c>
      <c r="F688" s="31" t="n">
        <v>10600</v>
      </c>
      <c r="G688" s="31" t="n">
        <v>123234</v>
      </c>
      <c r="H688" s="36" t="n">
        <v>0.01727447216890599</v>
      </c>
      <c r="I688" s="36" t="n">
        <v>-0.5320088300220751</v>
      </c>
      <c r="J688" s="31" t="n">
        <v>11335.5</v>
      </c>
      <c r="K688" s="31" t="n">
        <v>11878.33333333333</v>
      </c>
      <c r="L688" s="31" t="n">
        <v>11820.91666666667</v>
      </c>
      <c r="M688" s="36" t="n">
        <v>0.6534913092806276</v>
      </c>
      <c r="N688" s="36" t="n">
        <v>0.7354315084555338</v>
      </c>
      <c r="O688" s="36" t="n">
        <v>-0.02394106813996322</v>
      </c>
      <c r="P688" s="36" t="n">
        <v>-0.1705790297339593</v>
      </c>
      <c r="Q688" s="36" t="n">
        <v>-0.2059925093632958</v>
      </c>
      <c r="R688" s="36" t="n">
        <v>-0.06488465440430502</v>
      </c>
      <c r="S688" s="36" t="n">
        <v>-0.1076189139890558</v>
      </c>
      <c r="T688" s="36" t="n">
        <v>-0.1032844322563816</v>
      </c>
      <c r="U688" s="31" t="n">
        <v>13750</v>
      </c>
      <c r="V688" s="31" t="n">
        <v>8800</v>
      </c>
      <c r="W688" s="36" t="n">
        <v>-0.2290909090909091</v>
      </c>
      <c r="X688" s="36" t="n">
        <v>0.2045454545454546</v>
      </c>
      <c r="Y688" s="31" t="n">
        <v>17780753</v>
      </c>
      <c r="Z688" s="31" t="n">
        <v>188475981800</v>
      </c>
      <c r="AA688" s="31" t="n">
        <v>1306280400</v>
      </c>
      <c r="AB688" s="31" t="n">
        <v>2727032701.5</v>
      </c>
      <c r="AC688" s="36" t="n">
        <v>0.006930752595235984</v>
      </c>
      <c r="AD688" s="29" t="inlineStr">
        <is>
          <t>yfinance_download</t>
        </is>
      </c>
      <c r="AE688" s="29" t="inlineStr">
        <is>
          <t>102120.KQ</t>
        </is>
      </c>
    </row>
    <row r="689" ht="24" customHeight="1">
      <c r="A689" s="24" t="inlineStr">
        <is>
          <t>2026-04-07</t>
        </is>
      </c>
      <c r="B689" s="30" t="n">
        <v>10910</v>
      </c>
      <c r="C689" s="30" t="n">
        <v>11050</v>
      </c>
      <c r="D689" s="30" t="n">
        <v>10390</v>
      </c>
      <c r="E689" s="30" t="n">
        <v>10480</v>
      </c>
      <c r="F689" s="30" t="n">
        <v>10480</v>
      </c>
      <c r="G689" s="30" t="n">
        <v>108249</v>
      </c>
      <c r="H689" s="35" t="n">
        <v>-0.01132075471698113</v>
      </c>
      <c r="I689" s="35" t="n">
        <v>-0.5373068432671082</v>
      </c>
      <c r="J689" s="30" t="n">
        <v>11285</v>
      </c>
      <c r="K689" s="30" t="n">
        <v>11845</v>
      </c>
      <c r="L689" s="30" t="n">
        <v>11793.66666666667</v>
      </c>
      <c r="M689" s="35" t="n">
        <v>0.6165853961866389</v>
      </c>
      <c r="N689" s="35" t="n">
        <v>0.7343405520407034</v>
      </c>
      <c r="O689" s="35" t="n">
        <v>-0.08790252393385556</v>
      </c>
      <c r="P689" s="35" t="n">
        <v>-0.1602564102564102</v>
      </c>
      <c r="Q689" s="35" t="n">
        <v>-0.2378181818181818</v>
      </c>
      <c r="R689" s="35" t="n">
        <v>-0.07133362871067794</v>
      </c>
      <c r="S689" s="35" t="n">
        <v>-0.1152384972562263</v>
      </c>
      <c r="T689" s="35" t="n">
        <v>-0.1113874678499759</v>
      </c>
      <c r="U689" s="30" t="n">
        <v>13750</v>
      </c>
      <c r="V689" s="30" t="n">
        <v>8800</v>
      </c>
      <c r="W689" s="35" t="n">
        <v>-0.2378181818181818</v>
      </c>
      <c r="X689" s="35" t="n">
        <v>0.1909090909090909</v>
      </c>
      <c r="Y689" s="30" t="n">
        <v>17780753</v>
      </c>
      <c r="Z689" s="30" t="n">
        <v>186342291440</v>
      </c>
      <c r="AA689" s="30" t="n">
        <v>1134449520</v>
      </c>
      <c r="AB689" s="30" t="n">
        <v>2589620712</v>
      </c>
      <c r="AC689" s="35" t="n">
        <v>0.006087987387260821</v>
      </c>
      <c r="AD689" s="24" t="inlineStr">
        <is>
          <t>yfinance_download</t>
        </is>
      </c>
      <c r="AE689" s="24" t="inlineStr">
        <is>
          <t>102120.KQ</t>
        </is>
      </c>
    </row>
    <row r="690" ht="24" customHeight="1">
      <c r="A690" s="29" t="inlineStr">
        <is>
          <t>2026-04-08</t>
        </is>
      </c>
      <c r="B690" s="31" t="n">
        <v>10930</v>
      </c>
      <c r="C690" s="31" t="n">
        <v>11170</v>
      </c>
      <c r="D690" s="31" t="n">
        <v>10850</v>
      </c>
      <c r="E690" s="31" t="n">
        <v>11150</v>
      </c>
      <c r="F690" s="31" t="n">
        <v>11150</v>
      </c>
      <c r="G690" s="31" t="n">
        <v>200891</v>
      </c>
      <c r="H690" s="36" t="n">
        <v>0.06393129770992356</v>
      </c>
      <c r="I690" s="36" t="n">
        <v>-0.5077262693156732</v>
      </c>
      <c r="J690" s="31" t="n">
        <v>11247.5</v>
      </c>
      <c r="K690" s="31" t="n">
        <v>11822.5</v>
      </c>
      <c r="L690" s="31" t="n">
        <v>11774.83333333333</v>
      </c>
      <c r="M690" s="36" t="n">
        <v>0.6479764367420561</v>
      </c>
      <c r="N690" s="36" t="n">
        <v>0.7465999931558586</v>
      </c>
      <c r="O690" s="36" t="n">
        <v>-0.06302521008403361</v>
      </c>
      <c r="P690" s="36" t="n">
        <v>-0.108</v>
      </c>
      <c r="Q690" s="36" t="n">
        <v>-0.1685309470544369</v>
      </c>
      <c r="R690" s="36" t="n">
        <v>-0.008668593020671245</v>
      </c>
      <c r="S690" s="36" t="n">
        <v>-0.05688306195813064</v>
      </c>
      <c r="T690" s="36" t="n">
        <v>-0.05306515308072302</v>
      </c>
      <c r="U690" s="31" t="n">
        <v>13750</v>
      </c>
      <c r="V690" s="31" t="n">
        <v>8800</v>
      </c>
      <c r="W690" s="36" t="n">
        <v>-0.1890909090909091</v>
      </c>
      <c r="X690" s="36" t="n">
        <v>0.2670454545454546</v>
      </c>
      <c r="Y690" s="31" t="n">
        <v>17780753</v>
      </c>
      <c r="Z690" s="31" t="n">
        <v>198255395950</v>
      </c>
      <c r="AA690" s="31" t="n">
        <v>2239934650</v>
      </c>
      <c r="AB690" s="31" t="n">
        <v>2476148144.5</v>
      </c>
      <c r="AC690" s="36" t="n">
        <v>0.01129822792094351</v>
      </c>
      <c r="AD690" s="29" t="inlineStr">
        <is>
          <t>yfinance_download</t>
        </is>
      </c>
      <c r="AE690" s="29" t="inlineStr">
        <is>
          <t>102120.KQ</t>
        </is>
      </c>
    </row>
    <row r="691" ht="24" customHeight="1">
      <c r="A691" s="24" t="inlineStr">
        <is>
          <t>2026-04-09</t>
        </is>
      </c>
      <c r="B691" s="30" t="n">
        <v>11150</v>
      </c>
      <c r="C691" s="30" t="n">
        <v>11250</v>
      </c>
      <c r="D691" s="30" t="n">
        <v>10950</v>
      </c>
      <c r="E691" s="30" t="n">
        <v>10970</v>
      </c>
      <c r="F691" s="30" t="n">
        <v>10970</v>
      </c>
      <c r="G691" s="30" t="n">
        <v>146541</v>
      </c>
      <c r="H691" s="35" t="n">
        <v>-0.01614349775784751</v>
      </c>
      <c r="I691" s="35" t="n">
        <v>-0.515673289183223</v>
      </c>
      <c r="J691" s="30" t="n">
        <v>11210</v>
      </c>
      <c r="K691" s="30" t="n">
        <v>11801.16666666667</v>
      </c>
      <c r="L691" s="30" t="n">
        <v>11759.83333333333</v>
      </c>
      <c r="M691" s="35" t="n">
        <v>0.6482501687581553</v>
      </c>
      <c r="N691" s="35" t="n">
        <v>0.7462184082376895</v>
      </c>
      <c r="O691" s="35" t="n">
        <v>-0.06399317406143346</v>
      </c>
      <c r="P691" s="35" t="n">
        <v>-0.1044897959183674</v>
      </c>
      <c r="Q691" s="35" t="n">
        <v>-0.1409553641346907</v>
      </c>
      <c r="R691" s="35" t="n">
        <v>-0.02140945584299736</v>
      </c>
      <c r="S691" s="35" t="n">
        <v>-0.07043088960131061</v>
      </c>
      <c r="T691" s="35" t="n">
        <v>-0.06716365027849036</v>
      </c>
      <c r="U691" s="30" t="n">
        <v>13750</v>
      </c>
      <c r="V691" s="30" t="n">
        <v>8800</v>
      </c>
      <c r="W691" s="35" t="n">
        <v>-0.2021818181818181</v>
      </c>
      <c r="X691" s="35" t="n">
        <v>0.2465909090909091</v>
      </c>
      <c r="Y691" s="30" t="n">
        <v>17780753</v>
      </c>
      <c r="Z691" s="30" t="n">
        <v>195054860410</v>
      </c>
      <c r="AA691" s="30" t="n">
        <v>1607554770</v>
      </c>
      <c r="AB691" s="30" t="n">
        <v>2443067493</v>
      </c>
      <c r="AC691" s="35" t="n">
        <v>0.008241551974767322</v>
      </c>
      <c r="AD691" s="24" t="inlineStr">
        <is>
          <t>yfinance_download</t>
        </is>
      </c>
      <c r="AE691" s="24" t="inlineStr">
        <is>
          <t>102120.KQ</t>
        </is>
      </c>
    </row>
    <row r="692" ht="24" customHeight="1">
      <c r="A692" s="29" t="inlineStr">
        <is>
          <t>2026-04-10</t>
        </is>
      </c>
      <c r="B692" s="31" t="n">
        <v>11140</v>
      </c>
      <c r="C692" s="31" t="n">
        <v>11460</v>
      </c>
      <c r="D692" s="31" t="n">
        <v>11140</v>
      </c>
      <c r="E692" s="31" t="n">
        <v>11250</v>
      </c>
      <c r="F692" s="31" t="n">
        <v>11250</v>
      </c>
      <c r="G692" s="31" t="n">
        <v>157762</v>
      </c>
      <c r="H692" s="36" t="n">
        <v>0.02552415679124875</v>
      </c>
      <c r="I692" s="36" t="n">
        <v>-0.5033112582781457</v>
      </c>
      <c r="J692" s="31" t="n">
        <v>11185</v>
      </c>
      <c r="K692" s="31" t="n">
        <v>11789.16666666667</v>
      </c>
      <c r="L692" s="31" t="n">
        <v>11741.33333333333</v>
      </c>
      <c r="M692" s="36" t="n">
        <v>0.6557160102418018</v>
      </c>
      <c r="N692" s="36" t="n">
        <v>0.7466831363254534</v>
      </c>
      <c r="O692" s="36" t="n">
        <v>-0.04255319148936165</v>
      </c>
      <c r="P692" s="36" t="n">
        <v>-0.06015037593984962</v>
      </c>
      <c r="Q692" s="36" t="n">
        <v>-0.1648106904231625</v>
      </c>
      <c r="R692" s="36" t="n">
        <v>0.005811354492624154</v>
      </c>
      <c r="S692" s="36" t="n">
        <v>-0.04573407789637374</v>
      </c>
      <c r="T692" s="36" t="n">
        <v>-0.04184646831705663</v>
      </c>
      <c r="U692" s="31" t="n">
        <v>13750</v>
      </c>
      <c r="V692" s="31" t="n">
        <v>8800</v>
      </c>
      <c r="W692" s="36" t="n">
        <v>-0.1818181818181818</v>
      </c>
      <c r="X692" s="36" t="n">
        <v>0.2784090909090908</v>
      </c>
      <c r="Y692" s="31" t="n">
        <v>17780753</v>
      </c>
      <c r="Z692" s="31" t="n">
        <v>200033471250</v>
      </c>
      <c r="AA692" s="31" t="n">
        <v>1774822500</v>
      </c>
      <c r="AB692" s="31" t="n">
        <v>2372399893</v>
      </c>
      <c r="AC692" s="36" t="n">
        <v>0.008872627610315492</v>
      </c>
      <c r="AD692" s="29" t="inlineStr">
        <is>
          <t>yfinance_download</t>
        </is>
      </c>
      <c r="AE692" s="29" t="inlineStr">
        <is>
          <t>102120.KQ</t>
        </is>
      </c>
    </row>
    <row r="693" ht="24" customHeight="1">
      <c r="A693" s="24" t="inlineStr">
        <is>
          <t>2026-04-13</t>
        </is>
      </c>
      <c r="B693" s="30" t="n">
        <v>11140</v>
      </c>
      <c r="C693" s="30" t="n">
        <v>11340</v>
      </c>
      <c r="D693" s="30" t="n">
        <v>10930</v>
      </c>
      <c r="E693" s="30" t="n">
        <v>11160</v>
      </c>
      <c r="F693" s="30" t="n">
        <v>11160</v>
      </c>
      <c r="G693" s="30" t="n">
        <v>88752</v>
      </c>
      <c r="H693" s="35" t="n">
        <v>-0.008000000000000007</v>
      </c>
      <c r="I693" s="35" t="n">
        <v>-0.5072847682119206</v>
      </c>
      <c r="J693" s="30" t="n">
        <v>11164.5</v>
      </c>
      <c r="K693" s="30" t="n">
        <v>11777</v>
      </c>
      <c r="L693" s="30" t="n">
        <v>11723.91666666667</v>
      </c>
      <c r="M693" s="35" t="n">
        <v>0.6541630678426331</v>
      </c>
      <c r="N693" s="35" t="n">
        <v>0.746738781293102</v>
      </c>
      <c r="O693" s="35" t="n">
        <v>-0.03543647363872082</v>
      </c>
      <c r="P693" s="35" t="n">
        <v>-0.06139613120269138</v>
      </c>
      <c r="Q693" s="35" t="n">
        <v>-0.1577358490566038</v>
      </c>
      <c r="R693" s="35" t="n">
        <v>-0.0004030632809350898</v>
      </c>
      <c r="S693" s="35" t="n">
        <v>-0.05239025218646509</v>
      </c>
      <c r="T693" s="35" t="n">
        <v>-0.04809968227341543</v>
      </c>
      <c r="U693" s="30" t="n">
        <v>13750</v>
      </c>
      <c r="V693" s="30" t="n">
        <v>8800</v>
      </c>
      <c r="W693" s="35" t="n">
        <v>-0.1883636363636364</v>
      </c>
      <c r="X693" s="35" t="n">
        <v>0.2681818181818181</v>
      </c>
      <c r="Y693" s="30" t="n">
        <v>17780753</v>
      </c>
      <c r="Z693" s="30" t="n">
        <v>198433203480</v>
      </c>
      <c r="AA693" s="30" t="n">
        <v>990472320</v>
      </c>
      <c r="AB693" s="30" t="n">
        <v>2224617406.5</v>
      </c>
      <c r="AC693" s="35" t="n">
        <v>0.004991464647194638</v>
      </c>
      <c r="AD693" s="24" t="inlineStr">
        <is>
          <t>yfinance_download</t>
        </is>
      </c>
      <c r="AE693" s="24" t="inlineStr">
        <is>
          <t>102120.KQ</t>
        </is>
      </c>
    </row>
    <row r="694" ht="24" customHeight="1">
      <c r="A694" s="29" t="inlineStr">
        <is>
          <t>2026-04-14</t>
        </is>
      </c>
      <c r="B694" s="31" t="n">
        <v>11400</v>
      </c>
      <c r="C694" s="31" t="n">
        <v>13130</v>
      </c>
      <c r="D694" s="31" t="n">
        <v>11380</v>
      </c>
      <c r="E694" s="31" t="n">
        <v>12160</v>
      </c>
      <c r="F694" s="31" t="n">
        <v>12160</v>
      </c>
      <c r="G694" s="31" t="n">
        <v>3483013</v>
      </c>
      <c r="H694" s="36" t="n">
        <v>0.08960573476702516</v>
      </c>
      <c r="I694" s="36" t="n">
        <v>-0.4631346578366445</v>
      </c>
      <c r="J694" s="31" t="n">
        <v>11184.5</v>
      </c>
      <c r="K694" s="31" t="n">
        <v>11783.5</v>
      </c>
      <c r="L694" s="31" t="n">
        <v>11716.91666666667</v>
      </c>
      <c r="M694" s="36" t="n">
        <v>0.7274840970124768</v>
      </c>
      <c r="N694" s="36" t="n">
        <v>0.7685958891931004</v>
      </c>
      <c r="O694" s="36" t="n">
        <v>0.03401360544217691</v>
      </c>
      <c r="P694" s="36" t="n">
        <v>0.03313508920985564</v>
      </c>
      <c r="Q694" s="36" t="n">
        <v>-0.06461538461538463</v>
      </c>
      <c r="R694" s="36" t="n">
        <v>0.08721891903974255</v>
      </c>
      <c r="S694" s="36" t="n">
        <v>0.03195145754656936</v>
      </c>
      <c r="T694" s="36" t="n">
        <v>0.03781569383299077</v>
      </c>
      <c r="U694" s="31" t="n">
        <v>13750</v>
      </c>
      <c r="V694" s="31" t="n">
        <v>8800</v>
      </c>
      <c r="W694" s="36" t="n">
        <v>-0.1156363636363636</v>
      </c>
      <c r="X694" s="36" t="n">
        <v>0.3818181818181818</v>
      </c>
      <c r="Y694" s="31" t="n">
        <v>17780753</v>
      </c>
      <c r="Z694" s="31" t="n">
        <v>216213956480</v>
      </c>
      <c r="AA694" s="31" t="n">
        <v>42353438080</v>
      </c>
      <c r="AB694" s="31" t="n">
        <v>4203446634.5</v>
      </c>
      <c r="AC694" s="36" t="n">
        <v>0.1958866983867331</v>
      </c>
      <c r="AD694" s="29" t="inlineStr">
        <is>
          <t>yfinance_download</t>
        </is>
      </c>
      <c r="AE694" s="29" t="inlineStr">
        <is>
          <t>102120.KQ</t>
        </is>
      </c>
    </row>
    <row r="695" ht="24" customHeight="1">
      <c r="A695" s="24" t="inlineStr">
        <is>
          <t>2026-04-15</t>
        </is>
      </c>
      <c r="B695" s="30" t="n">
        <v>12470</v>
      </c>
      <c r="C695" s="30" t="n">
        <v>12470</v>
      </c>
      <c r="D695" s="30" t="n">
        <v>12120</v>
      </c>
      <c r="E695" s="30" t="n">
        <v>12230</v>
      </c>
      <c r="F695" s="30" t="n">
        <v>12230</v>
      </c>
      <c r="G695" s="30" t="n">
        <v>552193</v>
      </c>
      <c r="H695" s="35" t="n">
        <v>0.005756578947368363</v>
      </c>
      <c r="I695" s="35" t="n">
        <v>-0.4600441501103752</v>
      </c>
      <c r="J695" s="30" t="n">
        <v>11188</v>
      </c>
      <c r="K695" s="30" t="n">
        <v>11787.66666666667</v>
      </c>
      <c r="L695" s="30" t="n">
        <v>11706.25</v>
      </c>
      <c r="M695" s="35" t="n">
        <v>0.718186867210594</v>
      </c>
      <c r="N695" s="35" t="n">
        <v>0.7679103953866914</v>
      </c>
      <c r="O695" s="35" t="n">
        <v>0.005756578947368363</v>
      </c>
      <c r="P695" s="35" t="n">
        <v>0.02086811352253748</v>
      </c>
      <c r="Q695" s="35" t="n">
        <v>-0.09474463360473728</v>
      </c>
      <c r="R695" s="35" t="n">
        <v>0.09313550232391843</v>
      </c>
      <c r="S695" s="35" t="n">
        <v>0.0375250968526426</v>
      </c>
      <c r="T695" s="35" t="n">
        <v>0.04474105712760279</v>
      </c>
      <c r="U695" s="30" t="n">
        <v>13750</v>
      </c>
      <c r="V695" s="30" t="n">
        <v>8800</v>
      </c>
      <c r="W695" s="35" t="n">
        <v>-0.1105454545454545</v>
      </c>
      <c r="X695" s="35" t="n">
        <v>0.3897727272727274</v>
      </c>
      <c r="Y695" s="30" t="n">
        <v>17780753</v>
      </c>
      <c r="Z695" s="30" t="n">
        <v>217458609190</v>
      </c>
      <c r="AA695" s="30" t="n">
        <v>6753320390</v>
      </c>
      <c r="AB695" s="30" t="n">
        <v>4319457742</v>
      </c>
      <c r="AC695" s="35" t="n">
        <v>0.03105565889138666</v>
      </c>
      <c r="AD695" s="24" t="inlineStr">
        <is>
          <t>yfinance_download</t>
        </is>
      </c>
      <c r="AE695" s="24" t="inlineStr">
        <is>
          <t>102120.KQ</t>
        </is>
      </c>
    </row>
    <row r="696" ht="24" customHeight="1">
      <c r="A696" s="29" t="inlineStr">
        <is>
          <t>2026-04-16</t>
        </is>
      </c>
      <c r="B696" s="31" t="n">
        <v>12310</v>
      </c>
      <c r="C696" s="31" t="n">
        <v>12440</v>
      </c>
      <c r="D696" s="31" t="n">
        <v>12040</v>
      </c>
      <c r="E696" s="31" t="n">
        <v>12320</v>
      </c>
      <c r="F696" s="31" t="n">
        <v>12320</v>
      </c>
      <c r="G696" s="31" t="n">
        <v>376731</v>
      </c>
      <c r="H696" s="36" t="n">
        <v>0.007358953393295176</v>
      </c>
      <c r="I696" s="36" t="n">
        <v>-0.4560706401766005</v>
      </c>
      <c r="J696" s="31" t="n">
        <v>11218.5</v>
      </c>
      <c r="K696" s="31" t="n">
        <v>11794.33333333333</v>
      </c>
      <c r="L696" s="31" t="n">
        <v>11698.91666666667</v>
      </c>
      <c r="M696" s="36" t="n">
        <v>0.7039701912992992</v>
      </c>
      <c r="N696" s="36" t="n">
        <v>0.7678812280785703</v>
      </c>
      <c r="O696" s="36" t="n">
        <v>0.05209222886421871</v>
      </c>
      <c r="P696" s="36" t="n">
        <v>0.03355704697986583</v>
      </c>
      <c r="Q696" s="36" t="n">
        <v>-0.06666666666666665</v>
      </c>
      <c r="R696" s="36" t="n">
        <v>0.09818603200071307</v>
      </c>
      <c r="S696" s="36" t="n">
        <v>0.04456942599553448</v>
      </c>
      <c r="T696" s="36" t="n">
        <v>0.05308896122860385</v>
      </c>
      <c r="U696" s="31" t="n">
        <v>13750</v>
      </c>
      <c r="V696" s="31" t="n">
        <v>8800</v>
      </c>
      <c r="W696" s="36" t="n">
        <v>-0.104</v>
      </c>
      <c r="X696" s="36" t="n">
        <v>0.3999999999999999</v>
      </c>
      <c r="Y696" s="31" t="n">
        <v>17780753</v>
      </c>
      <c r="Z696" s="31" t="n">
        <v>219058876960</v>
      </c>
      <c r="AA696" s="31" t="n">
        <v>4641325920</v>
      </c>
      <c r="AB696" s="31" t="n">
        <v>4440981052.5</v>
      </c>
      <c r="AC696" s="36" t="n">
        <v>0.02118757287725666</v>
      </c>
      <c r="AD696" s="29" t="inlineStr">
        <is>
          <t>yfinance_download</t>
        </is>
      </c>
      <c r="AE696" s="29" t="inlineStr">
        <is>
          <t>102120.KQ</t>
        </is>
      </c>
    </row>
    <row r="697" ht="24" customHeight="1">
      <c r="A697" s="24" t="inlineStr">
        <is>
          <t>2026-04-17</t>
        </is>
      </c>
      <c r="B697" s="30" t="n">
        <v>12390</v>
      </c>
      <c r="C697" s="30" t="n">
        <v>12390</v>
      </c>
      <c r="D697" s="30" t="n">
        <v>12110</v>
      </c>
      <c r="E697" s="30" t="n">
        <v>12280</v>
      </c>
      <c r="F697" s="30" t="n">
        <v>12280</v>
      </c>
      <c r="G697" s="30" t="n">
        <v>240499</v>
      </c>
      <c r="H697" s="35" t="n">
        <v>-0.003246753246753276</v>
      </c>
      <c r="I697" s="35" t="n">
        <v>-0.4578366445916114</v>
      </c>
      <c r="J697" s="30" t="n">
        <v>11240.5</v>
      </c>
      <c r="K697" s="30" t="n">
        <v>11801.83333333333</v>
      </c>
      <c r="L697" s="30" t="n">
        <v>11693.08333333333</v>
      </c>
      <c r="M697" s="35" t="n">
        <v>0.7037482620595041</v>
      </c>
      <c r="N697" s="35" t="n">
        <v>0.7677103701014345</v>
      </c>
      <c r="O697" s="35" t="n">
        <v>0.03716216216216206</v>
      </c>
      <c r="P697" s="35" t="n">
        <v>0.03803888419273038</v>
      </c>
      <c r="Q697" s="35" t="n">
        <v>-0.05392912172573194</v>
      </c>
      <c r="R697" s="35" t="n">
        <v>0.09247809261153872</v>
      </c>
      <c r="S697" s="35" t="n">
        <v>0.04051630396407324</v>
      </c>
      <c r="T697" s="35" t="n">
        <v>0.0501934904537582</v>
      </c>
      <c r="U697" s="30" t="n">
        <v>13750</v>
      </c>
      <c r="V697" s="30" t="n">
        <v>8800</v>
      </c>
      <c r="W697" s="35" t="n">
        <v>-0.106909090909091</v>
      </c>
      <c r="X697" s="35" t="n">
        <v>0.3954545454545455</v>
      </c>
      <c r="Y697" s="30" t="n">
        <v>17780753</v>
      </c>
      <c r="Z697" s="30" t="n">
        <v>218347646840</v>
      </c>
      <c r="AA697" s="30" t="n">
        <v>2953327720</v>
      </c>
      <c r="AB697" s="30" t="n">
        <v>4443639998.5</v>
      </c>
      <c r="AC697" s="35" t="n">
        <v>0.01352580512197656</v>
      </c>
      <c r="AD697" s="24" t="inlineStr">
        <is>
          <t>yfinance_download</t>
        </is>
      </c>
      <c r="AE697" s="24" t="inlineStr">
        <is>
          <t>102120.KQ</t>
        </is>
      </c>
    </row>
    <row r="698" ht="24" customHeight="1">
      <c r="A698" s="29" t="inlineStr">
        <is>
          <t>2026-04-20</t>
        </is>
      </c>
      <c r="B698" s="31" t="n">
        <v>12300</v>
      </c>
      <c r="C698" s="31" t="n">
        <v>12640</v>
      </c>
      <c r="D698" s="31" t="n">
        <v>12180</v>
      </c>
      <c r="E698" s="31" t="n">
        <v>12570</v>
      </c>
      <c r="F698" s="31" t="n">
        <v>12570</v>
      </c>
      <c r="G698" s="31" t="n">
        <v>428850</v>
      </c>
      <c r="H698" s="36" t="n">
        <v>0.02361563517915299</v>
      </c>
      <c r="I698" s="36" t="n">
        <v>-0.4450331125827814</v>
      </c>
      <c r="J698" s="31" t="n">
        <v>11311</v>
      </c>
      <c r="K698" s="31" t="n">
        <v>11818.83333333333</v>
      </c>
      <c r="L698" s="31" t="n">
        <v>11691.91666666667</v>
      </c>
      <c r="M698" s="36" t="n">
        <v>0.6698106186121334</v>
      </c>
      <c r="N698" s="36" t="n">
        <v>0.7671328143250804</v>
      </c>
      <c r="O698" s="36" t="n">
        <v>0.1263440860215055</v>
      </c>
      <c r="P698" s="36" t="n">
        <v>0.08831168831168834</v>
      </c>
      <c r="Q698" s="36" t="n">
        <v>-0.01101494885916598</v>
      </c>
      <c r="R698" s="36" t="n">
        <v>0.1113075766952525</v>
      </c>
      <c r="S698" s="36" t="n">
        <v>0.0635567526405596</v>
      </c>
      <c r="T698" s="36" t="n">
        <v>0.07510174408245018</v>
      </c>
      <c r="U698" s="31" t="n">
        <v>13750</v>
      </c>
      <c r="V698" s="31" t="n">
        <v>8800</v>
      </c>
      <c r="W698" s="36" t="n">
        <v>-0.08581818181818179</v>
      </c>
      <c r="X698" s="36" t="n">
        <v>0.428409090909091</v>
      </c>
      <c r="Y698" s="31" t="n">
        <v>17780753</v>
      </c>
      <c r="Z698" s="31" t="n">
        <v>223504065210</v>
      </c>
      <c r="AA698" s="31" t="n">
        <v>5390644500</v>
      </c>
      <c r="AB698" s="31" t="n">
        <v>4593480665.5</v>
      </c>
      <c r="AC698" s="36" t="n">
        <v>0.02411877607208199</v>
      </c>
      <c r="AD698" s="29" t="inlineStr">
        <is>
          <t>yfinance_download</t>
        </is>
      </c>
      <c r="AE698" s="29" t="inlineStr">
        <is>
          <t>102120.KQ</t>
        </is>
      </c>
    </row>
    <row r="699" ht="24" customHeight="1">
      <c r="A699" s="24" t="inlineStr">
        <is>
          <t>2026-04-21</t>
        </is>
      </c>
      <c r="B699" s="30" t="n">
        <v>12620</v>
      </c>
      <c r="C699" s="30" t="n">
        <v>13200</v>
      </c>
      <c r="D699" s="30" t="n">
        <v>12620</v>
      </c>
      <c r="E699" s="30" t="n">
        <v>12890</v>
      </c>
      <c r="F699" s="30" t="n">
        <v>12890</v>
      </c>
      <c r="G699" s="30" t="n">
        <v>830168</v>
      </c>
      <c r="H699" s="35" t="n">
        <v>0.02545743834526659</v>
      </c>
      <c r="I699" s="35" t="n">
        <v>-0.4309050772626931</v>
      </c>
      <c r="J699" s="30" t="n">
        <v>11384</v>
      </c>
      <c r="K699" s="30" t="n">
        <v>11846</v>
      </c>
      <c r="L699" s="30" t="n">
        <v>11690.75</v>
      </c>
      <c r="M699" s="35" t="n">
        <v>0.670260788189564</v>
      </c>
      <c r="N699" s="35" t="n">
        <v>0.7663415877406177</v>
      </c>
      <c r="O699" s="35" t="n">
        <v>0.1277340332458443</v>
      </c>
      <c r="P699" s="35" t="n">
        <v>0.1447602131438721</v>
      </c>
      <c r="Q699" s="35" t="n">
        <v>-0.01074443591711438</v>
      </c>
      <c r="R699" s="35" t="n">
        <v>0.132290934645116</v>
      </c>
      <c r="S699" s="35" t="n">
        <v>0.08813101468850237</v>
      </c>
      <c r="T699" s="35" t="n">
        <v>0.1025811004426576</v>
      </c>
      <c r="U699" s="30" t="n">
        <v>13750</v>
      </c>
      <c r="V699" s="30" t="n">
        <v>8800</v>
      </c>
      <c r="W699" s="35" t="n">
        <v>-0.06254545454545457</v>
      </c>
      <c r="X699" s="35" t="n">
        <v>0.4647727272727273</v>
      </c>
      <c r="Y699" s="30" t="n">
        <v>17780753</v>
      </c>
      <c r="Z699" s="30" t="n">
        <v>229193906170</v>
      </c>
      <c r="AA699" s="30" t="n">
        <v>10700865520</v>
      </c>
      <c r="AB699" s="30" t="n">
        <v>5037710877</v>
      </c>
      <c r="AC699" s="35" t="n">
        <v>0.04668913628123623</v>
      </c>
      <c r="AD699" s="24" t="inlineStr">
        <is>
          <t>yfinance_download</t>
        </is>
      </c>
      <c r="AE699" s="24" t="inlineStr">
        <is>
          <t>102120.KQ</t>
        </is>
      </c>
    </row>
    <row r="700" ht="24" customHeight="1">
      <c r="A700" s="29" t="inlineStr">
        <is>
          <t>2026-04-22</t>
        </is>
      </c>
      <c r="B700" s="31" t="n">
        <v>12810</v>
      </c>
      <c r="C700" s="31" t="n">
        <v>13050</v>
      </c>
      <c r="D700" s="31" t="n">
        <v>12450</v>
      </c>
      <c r="E700" s="31" t="n">
        <v>13040</v>
      </c>
      <c r="F700" s="31" t="n">
        <v>13040</v>
      </c>
      <c r="G700" s="31" t="n">
        <v>418851</v>
      </c>
      <c r="H700" s="36" t="n">
        <v>0.01163692785104731</v>
      </c>
      <c r="I700" s="36" t="n">
        <v>-0.4242825607064018</v>
      </c>
      <c r="J700" s="31" t="n">
        <v>11429.5</v>
      </c>
      <c r="K700" s="31" t="n">
        <v>11871.16666666667</v>
      </c>
      <c r="L700" s="31" t="n">
        <v>11690.83333333333</v>
      </c>
      <c r="M700" s="36" t="n">
        <v>0.6392964591686214</v>
      </c>
      <c r="N700" s="36" t="n">
        <v>0.7653431395341812</v>
      </c>
      <c r="O700" s="36" t="n">
        <v>0.07502061005770821</v>
      </c>
      <c r="P700" s="36" t="n">
        <v>0.1309627059843885</v>
      </c>
      <c r="Q700" s="36" t="n">
        <v>0.0007674597083653367</v>
      </c>
      <c r="R700" s="36" t="n">
        <v>0.1409073012817708</v>
      </c>
      <c r="S700" s="36" t="n">
        <v>0.0984598537071617</v>
      </c>
      <c r="T700" s="36" t="n">
        <v>0.1154038064010263</v>
      </c>
      <c r="U700" s="31" t="n">
        <v>13750</v>
      </c>
      <c r="V700" s="31" t="n">
        <v>9500</v>
      </c>
      <c r="W700" s="36" t="n">
        <v>-0.05163636363636359</v>
      </c>
      <c r="X700" s="36" t="n">
        <v>0.3726315789473684</v>
      </c>
      <c r="Y700" s="31" t="n">
        <v>17780753</v>
      </c>
      <c r="Z700" s="31" t="n">
        <v>231861019120</v>
      </c>
      <c r="AA700" s="31" t="n">
        <v>5461817040</v>
      </c>
      <c r="AB700" s="31" t="n">
        <v>5087617007</v>
      </c>
      <c r="AC700" s="36" t="n">
        <v>0.02355642643480847</v>
      </c>
      <c r="AD700" s="29" t="inlineStr">
        <is>
          <t>yfinance_download</t>
        </is>
      </c>
      <c r="AE700" s="29" t="inlineStr">
        <is>
          <t>102120.KQ</t>
        </is>
      </c>
    </row>
    <row r="701" ht="24" customHeight="1">
      <c r="A701" s="24" t="inlineStr">
        <is>
          <t>2026-04-23</t>
        </is>
      </c>
      <c r="B701" s="30" t="n">
        <v>13150</v>
      </c>
      <c r="C701" s="30" t="n">
        <v>13890</v>
      </c>
      <c r="D701" s="30" t="n">
        <v>12560</v>
      </c>
      <c r="E701" s="30" t="n">
        <v>13670</v>
      </c>
      <c r="F701" s="30" t="n">
        <v>13670</v>
      </c>
      <c r="G701" s="30" t="n">
        <v>1833476</v>
      </c>
      <c r="H701" s="35" t="n">
        <v>0.04831288343558282</v>
      </c>
      <c r="I701" s="35" t="n">
        <v>-0.3964679911699779</v>
      </c>
      <c r="J701" s="30" t="n">
        <v>11540</v>
      </c>
      <c r="K701" s="30" t="n">
        <v>11906.33333333333</v>
      </c>
      <c r="L701" s="30" t="n">
        <v>11698.16666666667</v>
      </c>
      <c r="M701" s="35" t="n">
        <v>0.6164765283639499</v>
      </c>
      <c r="N701" s="35" t="n">
        <v>0.7709038515505692</v>
      </c>
      <c r="O701" s="35" t="n">
        <v>0.1928446771378709</v>
      </c>
      <c r="P701" s="35" t="n">
        <v>0.1825259515570934</v>
      </c>
      <c r="Q701" s="35" t="n">
        <v>0.06880375293197805</v>
      </c>
      <c r="R701" s="35" t="n">
        <v>0.1845753899480069</v>
      </c>
      <c r="S701" s="35" t="n">
        <v>0.14812844704499</v>
      </c>
      <c r="T701" s="35" t="n">
        <v>0.1685591759392497</v>
      </c>
      <c r="U701" s="30" t="n">
        <v>13750</v>
      </c>
      <c r="V701" s="30" t="n">
        <v>9630</v>
      </c>
      <c r="W701" s="35" t="n">
        <v>-0.005818181818181833</v>
      </c>
      <c r="X701" s="35" t="n">
        <v>0.4195223260643821</v>
      </c>
      <c r="Y701" s="30" t="n">
        <v>17780753</v>
      </c>
      <c r="Z701" s="30" t="n">
        <v>243062893510</v>
      </c>
      <c r="AA701" s="30" t="n">
        <v>25063616920</v>
      </c>
      <c r="AB701" s="30" t="n">
        <v>6202126123</v>
      </c>
      <c r="AC701" s="35" t="n">
        <v>0.1031157679317631</v>
      </c>
      <c r="AD701" s="24" t="inlineStr">
        <is>
          <t>yfinance_download</t>
        </is>
      </c>
      <c r="AE701" s="24" t="inlineStr">
        <is>
          <t>102120.KQ</t>
        </is>
      </c>
    </row>
    <row r="702" ht="24" customHeight="1">
      <c r="A702" s="29" t="inlineStr">
        <is>
          <t>2026-04-24</t>
        </is>
      </c>
      <c r="B702" s="31" t="n">
        <v>13850</v>
      </c>
      <c r="C702" s="31" t="n">
        <v>15800</v>
      </c>
      <c r="D702" s="31" t="n">
        <v>13850</v>
      </c>
      <c r="E702" s="31" t="n">
        <v>14920</v>
      </c>
      <c r="F702" s="31" t="n">
        <v>14920</v>
      </c>
      <c r="G702" s="31" t="n">
        <v>6061141</v>
      </c>
      <c r="H702" s="36" t="n">
        <v>0.0914411119239209</v>
      </c>
      <c r="I702" s="36" t="n">
        <v>-0.341280353200883</v>
      </c>
      <c r="J702" s="31" t="n">
        <v>11725</v>
      </c>
      <c r="K702" s="31" t="n">
        <v>11951.5</v>
      </c>
      <c r="L702" s="31" t="n">
        <v>11716.41666666667</v>
      </c>
      <c r="M702" s="36" t="n">
        <v>0.6695138557584197</v>
      </c>
      <c r="N702" s="36" t="n">
        <v>0.7843612060594882</v>
      </c>
      <c r="O702" s="36" t="n">
        <v>0.3297682709447416</v>
      </c>
      <c r="P702" s="36" t="n">
        <v>0.2219492219492218</v>
      </c>
      <c r="Q702" s="36" t="n">
        <v>0.1720345640219954</v>
      </c>
      <c r="R702" s="36" t="n">
        <v>0.2724946695095949</v>
      </c>
      <c r="S702" s="36" t="n">
        <v>0.2483788645776681</v>
      </c>
      <c r="T702" s="36" t="n">
        <v>0.2734268867756782</v>
      </c>
      <c r="U702" s="31" t="n">
        <v>14920</v>
      </c>
      <c r="V702" s="31" t="n">
        <v>9890</v>
      </c>
      <c r="W702" s="36" t="n">
        <v>0</v>
      </c>
      <c r="X702" s="36" t="n">
        <v>0.5085945399393326</v>
      </c>
      <c r="Y702" s="31" t="n">
        <v>17780753</v>
      </c>
      <c r="Z702" s="31" t="n">
        <v>265288834760</v>
      </c>
      <c r="AA702" s="31" t="n">
        <v>90432223720</v>
      </c>
      <c r="AB702" s="31" t="n">
        <v>10605313014</v>
      </c>
      <c r="AC702" s="36" t="n">
        <v>0.3408821324946137</v>
      </c>
      <c r="AD702" s="29" t="inlineStr">
        <is>
          <t>yfinance_download</t>
        </is>
      </c>
      <c r="AE702" s="29" t="inlineStr">
        <is>
          <t>102120.KQ</t>
        </is>
      </c>
    </row>
    <row r="703" ht="24" customHeight="1">
      <c r="A703" s="24" t="inlineStr">
        <is>
          <t>2026-04-27</t>
        </is>
      </c>
      <c r="B703" s="30" t="n">
        <v>15070</v>
      </c>
      <c r="C703" s="30" t="n">
        <v>15090</v>
      </c>
      <c r="D703" s="30" t="n">
        <v>14020</v>
      </c>
      <c r="E703" s="30" t="n">
        <v>14590</v>
      </c>
      <c r="F703" s="30" t="n">
        <v>14590</v>
      </c>
      <c r="G703" s="30" t="n">
        <v>1674336</v>
      </c>
      <c r="H703" s="35" t="n">
        <v>-0.02211796246648789</v>
      </c>
      <c r="I703" s="35" t="n">
        <v>-0.3558498896247241</v>
      </c>
      <c r="J703" s="30" t="n">
        <v>11916.5</v>
      </c>
      <c r="K703" s="30" t="n">
        <v>11991</v>
      </c>
      <c r="L703" s="30" t="n">
        <v>11733.83333333333</v>
      </c>
      <c r="M703" s="35" t="n">
        <v>0.6516171997271997</v>
      </c>
      <c r="N703" s="35" t="n">
        <v>0.7862332847844661</v>
      </c>
      <c r="O703" s="35" t="n">
        <v>0.3559479553903346</v>
      </c>
      <c r="P703" s="35" t="n">
        <v>0.1939443535188217</v>
      </c>
      <c r="Q703" s="35" t="n">
        <v>0.1672</v>
      </c>
      <c r="R703" s="35" t="n">
        <v>0.2243527881508833</v>
      </c>
      <c r="S703" s="35" t="n">
        <v>0.216745892752898</v>
      </c>
      <c r="T703" s="35" t="n">
        <v>0.2434129227447694</v>
      </c>
      <c r="U703" s="30" t="n">
        <v>14920</v>
      </c>
      <c r="V703" s="30" t="n">
        <v>9890</v>
      </c>
      <c r="W703" s="35" t="n">
        <v>-0.02211796246648789</v>
      </c>
      <c r="X703" s="35" t="n">
        <v>0.4752275025278059</v>
      </c>
      <c r="Y703" s="30" t="n">
        <v>17780753</v>
      </c>
      <c r="Z703" s="30" t="n">
        <v>259421186270</v>
      </c>
      <c r="AA703" s="30" t="n">
        <v>24428562240</v>
      </c>
      <c r="AB703" s="30" t="n">
        <v>11741955554</v>
      </c>
      <c r="AC703" s="35" t="n">
        <v>0.09416564079147829</v>
      </c>
      <c r="AD703" s="24" t="inlineStr">
        <is>
          <t>yfinance_download</t>
        </is>
      </c>
      <c r="AE703" s="24" t="inlineStr">
        <is>
          <t>102120.KQ</t>
        </is>
      </c>
    </row>
    <row r="704" ht="24" customHeight="1">
      <c r="A704" s="29" t="inlineStr">
        <is>
          <t>2026-04-28</t>
        </is>
      </c>
      <c r="B704" s="31" t="n">
        <v>14550</v>
      </c>
      <c r="C704" s="31" t="n">
        <v>14550</v>
      </c>
      <c r="D704" s="31" t="n">
        <v>13700</v>
      </c>
      <c r="E704" s="31" t="n">
        <v>13750</v>
      </c>
      <c r="F704" s="31" t="n">
        <v>13750</v>
      </c>
      <c r="G704" s="31" t="n">
        <v>1131582</v>
      </c>
      <c r="H704" s="36" t="n">
        <v>-0.05757368060315282</v>
      </c>
      <c r="I704" s="36" t="n">
        <v>-0.3929359823399559</v>
      </c>
      <c r="J704" s="31" t="n">
        <v>12092.5</v>
      </c>
      <c r="K704" s="31" t="n">
        <v>12004.66666666667</v>
      </c>
      <c r="L704" s="31" t="n">
        <v>11743.41666666667</v>
      </c>
      <c r="M704" s="36" t="n">
        <v>0.6632503690331589</v>
      </c>
      <c r="N704" s="36" t="n">
        <v>0.7880772564446318</v>
      </c>
      <c r="O704" s="36" t="n">
        <v>0.3440860215053763</v>
      </c>
      <c r="P704" s="36" t="n">
        <v>0.06341840680587785</v>
      </c>
      <c r="Q704" s="36" t="n">
        <v>0.09126984126984117</v>
      </c>
      <c r="R704" s="36" t="n">
        <v>0.1370684308455654</v>
      </c>
      <c r="S704" s="36" t="n">
        <v>0.1453879047037263</v>
      </c>
      <c r="T704" s="36" t="n">
        <v>0.1708687846382015</v>
      </c>
      <c r="U704" s="31" t="n">
        <v>14920</v>
      </c>
      <c r="V704" s="31" t="n">
        <v>9890</v>
      </c>
      <c r="W704" s="36" t="n">
        <v>-0.07841823056300268</v>
      </c>
      <c r="X704" s="36" t="n">
        <v>0.3902932254802831</v>
      </c>
      <c r="Y704" s="31" t="n">
        <v>17780753</v>
      </c>
      <c r="Z704" s="31" t="n">
        <v>244485353750</v>
      </c>
      <c r="AA704" s="31" t="n">
        <v>15559252500</v>
      </c>
      <c r="AB704" s="31" t="n">
        <v>12413878602.5</v>
      </c>
      <c r="AC704" s="36" t="n">
        <v>0.06364083680820491</v>
      </c>
      <c r="AD704" s="29" t="inlineStr">
        <is>
          <t>yfinance_download</t>
        </is>
      </c>
      <c r="AE704" s="29" t="inlineStr">
        <is>
          <t>102120.KQ</t>
        </is>
      </c>
    </row>
    <row r="705" ht="24" customHeight="1">
      <c r="A705" s="24" t="inlineStr">
        <is>
          <t>2026-04-29</t>
        </is>
      </c>
      <c r="B705" s="30" t="n">
        <v>13720</v>
      </c>
      <c r="C705" s="30" t="n">
        <v>14100</v>
      </c>
      <c r="D705" s="30" t="n">
        <v>13470</v>
      </c>
      <c r="E705" s="30" t="n">
        <v>13850</v>
      </c>
      <c r="F705" s="30" t="n">
        <v>13850</v>
      </c>
      <c r="G705" s="30" t="n">
        <v>700719</v>
      </c>
      <c r="H705" s="35" t="n">
        <v>0.00727272727272732</v>
      </c>
      <c r="I705" s="35" t="n">
        <v>-0.3885209713024282</v>
      </c>
      <c r="J705" s="30" t="n">
        <v>12235</v>
      </c>
      <c r="K705" s="30" t="n">
        <v>12020.83333333333</v>
      </c>
      <c r="L705" s="30" t="n">
        <v>11752.66666666667</v>
      </c>
      <c r="M705" s="35" t="n">
        <v>0.6250821246565202</v>
      </c>
      <c r="N705" s="35" t="n">
        <v>0.7880393574142447</v>
      </c>
      <c r="O705" s="35" t="n">
        <v>0.259090909090909</v>
      </c>
      <c r="P705" s="35" t="n">
        <v>0.07531055900621109</v>
      </c>
      <c r="Q705" s="35" t="n">
        <v>0.08712715855573006</v>
      </c>
      <c r="R705" s="35" t="n">
        <v>0.1319983653453207</v>
      </c>
      <c r="S705" s="35" t="n">
        <v>0.1521663778162912</v>
      </c>
      <c r="T705" s="35" t="n">
        <v>0.178455953258835</v>
      </c>
      <c r="U705" s="30" t="n">
        <v>14920</v>
      </c>
      <c r="V705" s="30" t="n">
        <v>9900</v>
      </c>
      <c r="W705" s="35" t="n">
        <v>-0.07171581769436997</v>
      </c>
      <c r="X705" s="35" t="n">
        <v>0.398989898989899</v>
      </c>
      <c r="Y705" s="30" t="n">
        <v>17780753</v>
      </c>
      <c r="Z705" s="30" t="n">
        <v>246263429050</v>
      </c>
      <c r="AA705" s="30" t="n">
        <v>9704958150</v>
      </c>
      <c r="AB705" s="30" t="n">
        <v>12797453510</v>
      </c>
      <c r="AC705" s="35" t="n">
        <v>0.03940884843290945</v>
      </c>
      <c r="AD705" s="24" t="inlineStr">
        <is>
          <t>yfinance_download</t>
        </is>
      </c>
      <c r="AE705" s="24" t="inlineStr">
        <is>
          <t>102120.KQ</t>
        </is>
      </c>
    </row>
    <row r="706" ht="24" customHeight="1">
      <c r="A706" s="29" t="inlineStr">
        <is>
          <t>2026-04-30</t>
        </is>
      </c>
      <c r="B706" s="31" t="n">
        <v>13850</v>
      </c>
      <c r="C706" s="31" t="n">
        <v>14480</v>
      </c>
      <c r="D706" s="31" t="n">
        <v>13820</v>
      </c>
      <c r="E706" s="31" t="n">
        <v>13930</v>
      </c>
      <c r="F706" s="31" t="n">
        <v>13930</v>
      </c>
      <c r="G706" s="31" t="n">
        <v>1236526</v>
      </c>
      <c r="H706" s="36" t="n">
        <v>0.005776173285198638</v>
      </c>
      <c r="I706" s="36" t="n">
        <v>-0.3849889624724062</v>
      </c>
      <c r="J706" s="31" t="n">
        <v>12411.5</v>
      </c>
      <c r="K706" s="31" t="n">
        <v>12032.83333333333</v>
      </c>
      <c r="L706" s="31" t="n">
        <v>11766.33333333333</v>
      </c>
      <c r="M706" s="36" t="n">
        <v>0.5741098484432881</v>
      </c>
      <c r="N706" s="36" t="n">
        <v>0.7865923593356394</v>
      </c>
      <c r="O706" s="36" t="n">
        <v>0.3394230769230768</v>
      </c>
      <c r="P706" s="36" t="n">
        <v>0.05450416351249054</v>
      </c>
      <c r="Q706" s="36" t="n">
        <v>0.1334418226200162</v>
      </c>
      <c r="R706" s="36" t="n">
        <v>0.1223462111751199</v>
      </c>
      <c r="S706" s="36" t="n">
        <v>0.1576658309902073</v>
      </c>
      <c r="T706" s="36" t="n">
        <v>0.183886229071645</v>
      </c>
      <c r="U706" s="31" t="n">
        <v>14920</v>
      </c>
      <c r="V706" s="31" t="n">
        <v>9900</v>
      </c>
      <c r="W706" s="36" t="n">
        <v>-0.0663538873994638</v>
      </c>
      <c r="X706" s="36" t="n">
        <v>0.4070707070707071</v>
      </c>
      <c r="Y706" s="31" t="n">
        <v>17780753</v>
      </c>
      <c r="Z706" s="31" t="n">
        <v>247685889290</v>
      </c>
      <c r="AA706" s="31" t="n">
        <v>17224807180</v>
      </c>
      <c r="AB706" s="31" t="n">
        <v>13560486149</v>
      </c>
      <c r="AC706" s="36" t="n">
        <v>0.06954294905283258</v>
      </c>
      <c r="AD706" s="29" t="inlineStr">
        <is>
          <t>yfinance_download</t>
        </is>
      </c>
      <c r="AE706" s="29" t="inlineStr">
        <is>
          <t>102120.KQ</t>
        </is>
      </c>
    </row>
    <row r="707" ht="24" customHeight="1">
      <c r="A707" s="24" t="inlineStr">
        <is>
          <t>2026-05-04</t>
        </is>
      </c>
      <c r="B707" s="30" t="n">
        <v>14150</v>
      </c>
      <c r="C707" s="30" t="n">
        <v>14930</v>
      </c>
      <c r="D707" s="30" t="n">
        <v>14150</v>
      </c>
      <c r="E707" s="30" t="n">
        <v>14570</v>
      </c>
      <c r="F707" s="30" t="n">
        <v>14570</v>
      </c>
      <c r="G707" s="30" t="n">
        <v>1461529</v>
      </c>
      <c r="H707" s="35" t="n">
        <v>0.04594400574300073</v>
      </c>
      <c r="I707" s="35" t="n">
        <v>-0.3567328918322296</v>
      </c>
      <c r="J707" s="30" t="n">
        <v>12619</v>
      </c>
      <c r="K707" s="30" t="n">
        <v>12070.5</v>
      </c>
      <c r="L707" s="30" t="n">
        <v>11788.33333333333</v>
      </c>
      <c r="M707" s="35" t="n">
        <v>0.5816959968359271</v>
      </c>
      <c r="N707" s="35" t="n">
        <v>0.7777866852465272</v>
      </c>
      <c r="O707" s="35" t="n">
        <v>0.3982725527831095</v>
      </c>
      <c r="P707" s="35" t="n">
        <v>0.1835905767668562</v>
      </c>
      <c r="Q707" s="35" t="n">
        <v>0.2212908633696564</v>
      </c>
      <c r="R707" s="35" t="n">
        <v>0.1546081305967193</v>
      </c>
      <c r="S707" s="35" t="n">
        <v>0.2070751004515141</v>
      </c>
      <c r="T707" s="35" t="n">
        <v>0.2359677647391487</v>
      </c>
      <c r="U707" s="30" t="n">
        <v>14920</v>
      </c>
      <c r="V707" s="30" t="n">
        <v>9900</v>
      </c>
      <c r="W707" s="35" t="n">
        <v>-0.02345844504021444</v>
      </c>
      <c r="X707" s="35" t="n">
        <v>0.4717171717171718</v>
      </c>
      <c r="Y707" s="30" t="n">
        <v>17780753</v>
      </c>
      <c r="Z707" s="30" t="n">
        <v>259065571210</v>
      </c>
      <c r="AA707" s="30" t="n">
        <v>21294477530</v>
      </c>
      <c r="AB707" s="30" t="n">
        <v>14550807578.5</v>
      </c>
      <c r="AC707" s="35" t="n">
        <v>0.08219725002647525</v>
      </c>
      <c r="AD707" s="24" t="inlineStr">
        <is>
          <t>yfinance_download</t>
        </is>
      </c>
      <c r="AE707" s="24" t="inlineStr">
        <is>
          <t>102120.KQ</t>
        </is>
      </c>
    </row>
    <row r="708" ht="24" customHeight="1">
      <c r="A708" s="29" t="inlineStr">
        <is>
          <t>2026-05-06</t>
        </is>
      </c>
      <c r="B708" s="31" t="n">
        <v>15070</v>
      </c>
      <c r="C708" s="31" t="n">
        <v>16850</v>
      </c>
      <c r="D708" s="31" t="n">
        <v>15030</v>
      </c>
      <c r="E708" s="31" t="n">
        <v>15250</v>
      </c>
      <c r="F708" s="31" t="n">
        <v>15250</v>
      </c>
      <c r="G708" s="31" t="n">
        <v>4502379</v>
      </c>
      <c r="H708" s="36" t="n">
        <v>0.04667124227865482</v>
      </c>
      <c r="I708" s="36" t="n">
        <v>-0.3267108167770419</v>
      </c>
      <c r="J708" s="31" t="n">
        <v>12851.5</v>
      </c>
      <c r="K708" s="31" t="n">
        <v>12111</v>
      </c>
      <c r="L708" s="31" t="n">
        <v>11812.5</v>
      </c>
      <c r="M708" s="36" t="n">
        <v>0.5908157114464999</v>
      </c>
      <c r="N708" s="36" t="n">
        <v>0.7789375473047986</v>
      </c>
      <c r="O708" s="36" t="n">
        <v>0.4386792452830188</v>
      </c>
      <c r="P708" s="36" t="n">
        <v>0.1895475819032761</v>
      </c>
      <c r="Q708" s="36" t="n">
        <v>0.2348178137651822</v>
      </c>
      <c r="R708" s="36" t="n">
        <v>0.1866319106719061</v>
      </c>
      <c r="S708" s="36" t="n">
        <v>0.2591858640904963</v>
      </c>
      <c r="T708" s="36" t="n">
        <v>0.2910052910052909</v>
      </c>
      <c r="U708" s="31" t="n">
        <v>15250</v>
      </c>
      <c r="V708" s="31" t="n">
        <v>9900</v>
      </c>
      <c r="W708" s="36" t="n">
        <v>0</v>
      </c>
      <c r="X708" s="36" t="n">
        <v>0.5404040404040404</v>
      </c>
      <c r="Y708" s="31" t="n">
        <v>17780753</v>
      </c>
      <c r="Z708" s="31" t="n">
        <v>271156483250</v>
      </c>
      <c r="AA708" s="31" t="n">
        <v>68661279750</v>
      </c>
      <c r="AB708" s="31" t="n">
        <v>17918557546</v>
      </c>
      <c r="AC708" s="36" t="n">
        <v>0.2532164413959296</v>
      </c>
      <c r="AD708" s="29" t="inlineStr">
        <is>
          <t>yfinance_download</t>
        </is>
      </c>
      <c r="AE708" s="29" t="inlineStr">
        <is>
          <t>102120.KQ</t>
        </is>
      </c>
    </row>
    <row r="709" ht="24" customHeight="1">
      <c r="A709" s="24" t="inlineStr">
        <is>
          <t>2026-05-07</t>
        </is>
      </c>
      <c r="B709" s="30" t="n">
        <v>15250</v>
      </c>
      <c r="C709" s="30" t="n">
        <v>15450</v>
      </c>
      <c r="D709" s="30" t="n">
        <v>14240</v>
      </c>
      <c r="E709" s="30" t="n">
        <v>14550</v>
      </c>
      <c r="F709" s="30" t="n">
        <v>14550</v>
      </c>
      <c r="G709" s="30" t="n">
        <v>941954</v>
      </c>
      <c r="H709" s="35" t="n">
        <v>-0.04590163934426228</v>
      </c>
      <c r="I709" s="35" t="n">
        <v>-0.3576158940397351</v>
      </c>
      <c r="J709" s="30" t="n">
        <v>13055</v>
      </c>
      <c r="K709" s="30" t="n">
        <v>12140.16666666667</v>
      </c>
      <c r="L709" s="30" t="n">
        <v>11837.33333333333</v>
      </c>
      <c r="M709" s="35" t="n">
        <v>0.6260508022745588</v>
      </c>
      <c r="N709" s="35" t="n">
        <v>0.7855816166221454</v>
      </c>
      <c r="O709" s="35" t="n">
        <v>0.3883587786259541</v>
      </c>
      <c r="P709" s="35" t="n">
        <v>0.13671875</v>
      </c>
      <c r="Q709" s="35" t="n">
        <v>0.2575626620570441</v>
      </c>
      <c r="R709" s="35" t="n">
        <v>0.1145155112983531</v>
      </c>
      <c r="S709" s="35" t="n">
        <v>0.1985008443047185</v>
      </c>
      <c r="T709" s="35" t="n">
        <v>0.2291619734174364</v>
      </c>
      <c r="U709" s="30" t="n">
        <v>15250</v>
      </c>
      <c r="V709" s="30" t="n">
        <v>9900</v>
      </c>
      <c r="W709" s="35" t="n">
        <v>-0.04590163934426228</v>
      </c>
      <c r="X709" s="35" t="n">
        <v>0.4696969696969697</v>
      </c>
      <c r="Y709" s="30" t="n">
        <v>17780753</v>
      </c>
      <c r="Z709" s="30" t="n">
        <v>258709956150</v>
      </c>
      <c r="AA709" s="30" t="n">
        <v>13705430700</v>
      </c>
      <c r="AB709" s="30" t="n">
        <v>18547106605</v>
      </c>
      <c r="AC709" s="35" t="n">
        <v>0.0529760466274966</v>
      </c>
      <c r="AD709" s="24" t="inlineStr">
        <is>
          <t>yfinance_download</t>
        </is>
      </c>
      <c r="AE709" s="24" t="inlineStr">
        <is>
          <t>102120.KQ</t>
        </is>
      </c>
    </row>
    <row r="710" ht="24" customHeight="1">
      <c r="A710" s="29" t="inlineStr">
        <is>
          <t>2026-05-08</t>
        </is>
      </c>
      <c r="B710" s="31" t="n">
        <v>14390</v>
      </c>
      <c r="C710" s="31" t="n">
        <v>14840</v>
      </c>
      <c r="D710" s="31" t="n">
        <v>14040</v>
      </c>
      <c r="E710" s="31" t="n">
        <v>14420</v>
      </c>
      <c r="F710" s="31" t="n">
        <v>14420</v>
      </c>
      <c r="G710" s="31" t="n">
        <v>496115</v>
      </c>
      <c r="H710" s="36" t="n">
        <v>-0.008934707903780037</v>
      </c>
      <c r="I710" s="36" t="n">
        <v>-0.363355408388521</v>
      </c>
      <c r="J710" s="31" t="n">
        <v>13218.5</v>
      </c>
      <c r="K710" s="31" t="n">
        <v>12178.66666666667</v>
      </c>
      <c r="L710" s="31" t="n">
        <v>11858.91666666667</v>
      </c>
      <c r="M710" s="36" t="n">
        <v>0.6071581896207523</v>
      </c>
      <c r="N710" s="36" t="n">
        <v>0.7769426815697263</v>
      </c>
      <c r="O710" s="36" t="n">
        <v>0.2932735426008968</v>
      </c>
      <c r="P710" s="36" t="n">
        <v>0.1907514450867052</v>
      </c>
      <c r="Q710" s="36" t="n">
        <v>0.2189349112426036</v>
      </c>
      <c r="R710" s="36" t="n">
        <v>0.09089533608200617</v>
      </c>
      <c r="S710" s="36" t="n">
        <v>0.1840376614845631</v>
      </c>
      <c r="T710" s="36" t="n">
        <v>0.2159626722508381</v>
      </c>
      <c r="U710" s="31" t="n">
        <v>15250</v>
      </c>
      <c r="V710" s="31" t="n">
        <v>9900</v>
      </c>
      <c r="W710" s="36" t="n">
        <v>-0.05442622950819676</v>
      </c>
      <c r="X710" s="36" t="n">
        <v>0.4565656565656566</v>
      </c>
      <c r="Y710" s="31" t="n">
        <v>17780753</v>
      </c>
      <c r="Z710" s="31" t="n">
        <v>256398458260</v>
      </c>
      <c r="AA710" s="31" t="n">
        <v>7153978300</v>
      </c>
      <c r="AB710" s="31" t="n">
        <v>18792808787.5</v>
      </c>
      <c r="AC710" s="36" t="n">
        <v>0.02790179920951604</v>
      </c>
      <c r="AD710" s="29" t="inlineStr">
        <is>
          <t>yfinance_download</t>
        </is>
      </c>
      <c r="AE710" s="29" t="inlineStr">
        <is>
          <t>102120.KQ</t>
        </is>
      </c>
    </row>
    <row r="711" ht="24" customHeight="1">
      <c r="A711" s="24" t="inlineStr">
        <is>
          <t>2026-05-11</t>
        </is>
      </c>
      <c r="B711" s="30" t="n">
        <v>14850</v>
      </c>
      <c r="C711" s="30" t="n">
        <v>15050</v>
      </c>
      <c r="D711" s="30" t="n">
        <v>13530</v>
      </c>
      <c r="E711" s="30" t="n">
        <v>13620</v>
      </c>
      <c r="F711" s="30" t="n">
        <v>13620</v>
      </c>
      <c r="G711" s="30" t="n">
        <v>766544</v>
      </c>
      <c r="H711" s="35" t="n">
        <v>-0.0554785020804438</v>
      </c>
      <c r="I711" s="35" t="n">
        <v>-0.3986754966887417</v>
      </c>
      <c r="J711" s="30" t="n">
        <v>13351</v>
      </c>
      <c r="K711" s="30" t="n">
        <v>12208.66666666667</v>
      </c>
      <c r="L711" s="30" t="n">
        <v>11872.41666666667</v>
      </c>
      <c r="M711" s="35" t="n">
        <v>0.6474525642608133</v>
      </c>
      <c r="N711" s="35" t="n">
        <v>0.7844539725703784</v>
      </c>
      <c r="O711" s="35" t="n">
        <v>0.2415679124886052</v>
      </c>
      <c r="P711" s="35" t="n">
        <v>0.1522842639593909</v>
      </c>
      <c r="Q711" s="35" t="n">
        <v>0.135</v>
      </c>
      <c r="R711" s="35" t="n">
        <v>0.02014830349786534</v>
      </c>
      <c r="S711" s="35" t="n">
        <v>0.1156009392235025</v>
      </c>
      <c r="T711" s="35" t="n">
        <v>0.1471969340698678</v>
      </c>
      <c r="U711" s="30" t="n">
        <v>15250</v>
      </c>
      <c r="V711" s="30" t="n">
        <v>9900</v>
      </c>
      <c r="W711" s="35" t="n">
        <v>-0.1068852459016394</v>
      </c>
      <c r="X711" s="35" t="n">
        <v>0.3757575757575757</v>
      </c>
      <c r="Y711" s="30" t="n">
        <v>17780753</v>
      </c>
      <c r="Z711" s="30" t="n">
        <v>242173855860</v>
      </c>
      <c r="AA711" s="30" t="n">
        <v>10440329280</v>
      </c>
      <c r="AB711" s="30" t="n">
        <v>19234447513</v>
      </c>
      <c r="AC711" s="35" t="n">
        <v>0.04311088512393148</v>
      </c>
      <c r="AD711" s="24" t="inlineStr">
        <is>
          <t>yfinance_download</t>
        </is>
      </c>
      <c r="AE711" s="24" t="inlineStr">
        <is>
          <t>102120.KQ</t>
        </is>
      </c>
    </row>
    <row r="712" ht="24" customHeight="1">
      <c r="A712" s="29" t="inlineStr">
        <is>
          <t>2026-05-12</t>
        </is>
      </c>
      <c r="B712" s="31" t="n">
        <v>13620</v>
      </c>
      <c r="C712" s="31" t="n">
        <v>13910</v>
      </c>
      <c r="D712" s="31" t="n">
        <v>12300</v>
      </c>
      <c r="E712" s="31" t="n">
        <v>13060</v>
      </c>
      <c r="F712" s="31" t="n">
        <v>13060</v>
      </c>
      <c r="G712" s="31" t="n">
        <v>750136</v>
      </c>
      <c r="H712" s="36" t="n">
        <v>-0.04111600587371511</v>
      </c>
      <c r="I712" s="36" t="n">
        <v>-0.4233995584988962</v>
      </c>
      <c r="J712" s="31" t="n">
        <v>13441.5</v>
      </c>
      <c r="K712" s="31" t="n">
        <v>12217</v>
      </c>
      <c r="L712" s="31" t="n">
        <v>11879.66666666667</v>
      </c>
      <c r="M712" s="36" t="n">
        <v>0.6712937831684122</v>
      </c>
      <c r="N712" s="36" t="n">
        <v>0.7798985312528762</v>
      </c>
      <c r="O712" s="36" t="n">
        <v>0.1608888888888889</v>
      </c>
      <c r="P712" s="36" t="n">
        <v>0.03980891719745228</v>
      </c>
      <c r="Q712" s="36" t="n">
        <v>0.07136997538966372</v>
      </c>
      <c r="R712" s="36" t="n">
        <v>-0.02838224900494735</v>
      </c>
      <c r="S712" s="36" t="n">
        <v>0.0690022100351968</v>
      </c>
      <c r="T712" s="36" t="n">
        <v>0.09935744549510384</v>
      </c>
      <c r="U712" s="31" t="n">
        <v>15250</v>
      </c>
      <c r="V712" s="31" t="n">
        <v>9900</v>
      </c>
      <c r="W712" s="36" t="n">
        <v>-0.1436065573770492</v>
      </c>
      <c r="X712" s="36" t="n">
        <v>0.3191919191919192</v>
      </c>
      <c r="Y712" s="31" t="n">
        <v>17780753</v>
      </c>
      <c r="Z712" s="31" t="n">
        <v>232216634180</v>
      </c>
      <c r="AA712" s="31" t="n">
        <v>9796776160</v>
      </c>
      <c r="AB712" s="31" t="n">
        <v>19635545196</v>
      </c>
      <c r="AC712" s="36" t="n">
        <v>0.04218808955953665</v>
      </c>
      <c r="AD712" s="29" t="inlineStr">
        <is>
          <t>yfinance_download</t>
        </is>
      </c>
      <c r="AE712" s="29" t="inlineStr">
        <is>
          <t>102120.KQ</t>
        </is>
      </c>
    </row>
    <row r="713" ht="24" customHeight="1">
      <c r="A713" s="24" t="inlineStr">
        <is>
          <t>2026-05-13</t>
        </is>
      </c>
      <c r="B713" s="30" t="n">
        <v>12910</v>
      </c>
      <c r="C713" s="30" t="n">
        <v>13340</v>
      </c>
      <c r="D713" s="30" t="n">
        <v>12510</v>
      </c>
      <c r="E713" s="30" t="n">
        <v>12870</v>
      </c>
      <c r="F713" s="30" t="n">
        <v>12870</v>
      </c>
      <c r="G713" s="30" t="n">
        <v>456641</v>
      </c>
      <c r="H713" s="35" t="n">
        <v>-0.01454823889739665</v>
      </c>
      <c r="I713" s="35" t="n">
        <v>-0.4317880794701987</v>
      </c>
      <c r="J713" s="30" t="n">
        <v>13527</v>
      </c>
      <c r="K713" s="30" t="n">
        <v>12222</v>
      </c>
      <c r="L713" s="30" t="n">
        <v>11887.41666666667</v>
      </c>
      <c r="M713" s="35" t="n">
        <v>0.6738034691412159</v>
      </c>
      <c r="N713" s="35" t="n">
        <v>0.7806196991121713</v>
      </c>
      <c r="O713" s="35" t="n">
        <v>0.153225806451613</v>
      </c>
      <c r="P713" s="35" t="n">
        <v>0.0238663484486874</v>
      </c>
      <c r="Q713" s="35" t="n">
        <v>0.07788944723618085</v>
      </c>
      <c r="R713" s="35" t="n">
        <v>-0.04856952761144373</v>
      </c>
      <c r="S713" s="35" t="n">
        <v>0.05301914580265099</v>
      </c>
      <c r="T713" s="35" t="n">
        <v>0.0826574318782467</v>
      </c>
      <c r="U713" s="30" t="n">
        <v>15250</v>
      </c>
      <c r="V713" s="30" t="n">
        <v>9900</v>
      </c>
      <c r="W713" s="35" t="n">
        <v>-0.1560655737704918</v>
      </c>
      <c r="X713" s="35" t="n">
        <v>0.3</v>
      </c>
      <c r="Y713" s="30" t="n">
        <v>17780753</v>
      </c>
      <c r="Z713" s="30" t="n">
        <v>228838291110</v>
      </c>
      <c r="AA713" s="30" t="n">
        <v>5876969670</v>
      </c>
      <c r="AB713" s="30" t="n">
        <v>19879870063.5</v>
      </c>
      <c r="AC713" s="35" t="n">
        <v>0.02568175824724633</v>
      </c>
      <c r="AD713" s="24" t="inlineStr">
        <is>
          <t>yfinance_download</t>
        </is>
      </c>
      <c r="AE713" s="24" t="inlineStr">
        <is>
          <t>102120.KQ</t>
        </is>
      </c>
    </row>
    <row r="714" ht="24" customHeight="1">
      <c r="A714" s="29" t="inlineStr">
        <is>
          <t>2026-05-14</t>
        </is>
      </c>
      <c r="B714" s="31" t="n">
        <v>12850</v>
      </c>
      <c r="C714" s="31" t="n">
        <v>13300</v>
      </c>
      <c r="D714" s="31" t="n">
        <v>12390</v>
      </c>
      <c r="E714" s="31" t="n">
        <v>13270</v>
      </c>
      <c r="F714" s="31" t="n">
        <v>13270</v>
      </c>
      <c r="G714" s="31" t="n">
        <v>645659</v>
      </c>
      <c r="H714" s="36" t="n">
        <v>0.03108003108003099</v>
      </c>
      <c r="I714" s="36" t="n">
        <v>-0.4141280353200884</v>
      </c>
      <c r="J714" s="31" t="n">
        <v>13582.5</v>
      </c>
      <c r="K714" s="31" t="n">
        <v>12236</v>
      </c>
      <c r="L714" s="31" t="n">
        <v>11903.25</v>
      </c>
      <c r="M714" s="36" t="n">
        <v>0.6086653598720903</v>
      </c>
      <c r="N714" s="36" t="n">
        <v>0.7824741388842131</v>
      </c>
      <c r="O714" s="36" t="n">
        <v>0.09128289473684204</v>
      </c>
      <c r="P714" s="36" t="n">
        <v>0.06757843925985529</v>
      </c>
      <c r="Q714" s="36" t="n">
        <v>0.1671064204045734</v>
      </c>
      <c r="R714" s="36" t="n">
        <v>-0.02300754647524383</v>
      </c>
      <c r="S714" s="36" t="n">
        <v>0.08450474011114739</v>
      </c>
      <c r="T714" s="36" t="n">
        <v>0.1148215823409573</v>
      </c>
      <c r="U714" s="31" t="n">
        <v>15250</v>
      </c>
      <c r="V714" s="31" t="n">
        <v>9900</v>
      </c>
      <c r="W714" s="36" t="n">
        <v>-0.1298360655737705</v>
      </c>
      <c r="X714" s="36" t="n">
        <v>0.3404040404040405</v>
      </c>
      <c r="Y714" s="31" t="n">
        <v>17780753</v>
      </c>
      <c r="Z714" s="31" t="n">
        <v>235950592310</v>
      </c>
      <c r="AA714" s="31" t="n">
        <v>8567894930</v>
      </c>
      <c r="AB714" s="31" t="n">
        <v>18190592906</v>
      </c>
      <c r="AC714" s="36" t="n">
        <v>0.03631224166940512</v>
      </c>
      <c r="AD714" s="29" t="inlineStr">
        <is>
          <t>yfinance_download</t>
        </is>
      </c>
      <c r="AE714" s="29" t="inlineStr">
        <is>
          <t>102120.KQ</t>
        </is>
      </c>
    </row>
    <row r="715" ht="24" customHeight="1">
      <c r="A715" s="24" t="inlineStr">
        <is>
          <t>2026-05-15</t>
        </is>
      </c>
      <c r="B715" s="30" t="n">
        <v>13290</v>
      </c>
      <c r="C715" s="30" t="n">
        <v>14130</v>
      </c>
      <c r="D715" s="30" t="n">
        <v>12500</v>
      </c>
      <c r="E715" s="30" t="n">
        <v>12790</v>
      </c>
      <c r="F715" s="30" t="n">
        <v>12790</v>
      </c>
      <c r="G715" s="30" t="n">
        <v>934135</v>
      </c>
      <c r="H715" s="35" t="n">
        <v>-0.03617181612660136</v>
      </c>
      <c r="I715" s="35" t="n">
        <v>-0.4353200883002207</v>
      </c>
      <c r="J715" s="30" t="n">
        <v>13610.5</v>
      </c>
      <c r="K715" s="30" t="n">
        <v>12243.33333333333</v>
      </c>
      <c r="L715" s="30" t="n">
        <v>11913.5</v>
      </c>
      <c r="M715" s="35" t="n">
        <v>0.6259879606989576</v>
      </c>
      <c r="N715" s="35" t="n">
        <v>0.7862536900629258</v>
      </c>
      <c r="O715" s="35" t="n">
        <v>0.04578904333605882</v>
      </c>
      <c r="P715" s="35" t="n">
        <v>0.03562753036437249</v>
      </c>
      <c r="Q715" s="35" t="n">
        <v>0.1064013840830449</v>
      </c>
      <c r="R715" s="35" t="n">
        <v>-0.06028433929686638</v>
      </c>
      <c r="S715" s="35" t="n">
        <v>0.04465014974135584</v>
      </c>
      <c r="T715" s="35" t="n">
        <v>0.07357199815335536</v>
      </c>
      <c r="U715" s="30" t="n">
        <v>15250</v>
      </c>
      <c r="V715" s="30" t="n">
        <v>9900</v>
      </c>
      <c r="W715" s="35" t="n">
        <v>-0.161311475409836</v>
      </c>
      <c r="X715" s="35" t="n">
        <v>0.2919191919191919</v>
      </c>
      <c r="Y715" s="30" t="n">
        <v>17780753</v>
      </c>
      <c r="Z715" s="30" t="n">
        <v>227415830870</v>
      </c>
      <c r="AA715" s="30" t="n">
        <v>11947586650</v>
      </c>
      <c r="AB715" s="30" t="n">
        <v>18450306219</v>
      </c>
      <c r="AC715" s="35" t="n">
        <v>0.05253630147159685</v>
      </c>
      <c r="AD715" s="24" t="inlineStr">
        <is>
          <t>yfinance_download</t>
        </is>
      </c>
      <c r="AE715" s="24" t="inlineStr">
        <is>
          <t>102120.KQ</t>
        </is>
      </c>
    </row>
    <row r="716" ht="24" customHeight="1">
      <c r="A716" s="29" t="inlineStr">
        <is>
          <t>2026-05-18</t>
        </is>
      </c>
      <c r="B716" s="31" t="n">
        <v>12550</v>
      </c>
      <c r="C716" s="31" t="n">
        <v>12700</v>
      </c>
      <c r="D716" s="31" t="n">
        <v>11720</v>
      </c>
      <c r="E716" s="31" t="n">
        <v>12500</v>
      </c>
      <c r="F716" s="31" t="n">
        <v>12500</v>
      </c>
      <c r="G716" s="31" t="n">
        <v>393437</v>
      </c>
      <c r="H716" s="36" t="n">
        <v>-0.02267396403440192</v>
      </c>
      <c r="I716" s="36" t="n">
        <v>-0.4481236203090507</v>
      </c>
      <c r="J716" s="31" t="n">
        <v>13619.5</v>
      </c>
      <c r="K716" s="31" t="n">
        <v>12251.66666666667</v>
      </c>
      <c r="L716" s="31" t="n">
        <v>11925.91666666667</v>
      </c>
      <c r="M716" s="36" t="n">
        <v>0.6322439488544467</v>
      </c>
      <c r="N716" s="36" t="n">
        <v>0.7854115829080913</v>
      </c>
      <c r="O716" s="36" t="n">
        <v>0.01461038961038952</v>
      </c>
      <c r="P716" s="36" t="n">
        <v>0.04166666666666674</v>
      </c>
      <c r="Q716" s="36" t="n">
        <v>0.1353315168029066</v>
      </c>
      <c r="R716" s="36" t="n">
        <v>-0.08219831858731963</v>
      </c>
      <c r="S716" s="36" t="n">
        <v>0.02026935110869266</v>
      </c>
      <c r="T716" s="36" t="n">
        <v>0.0481374597340527</v>
      </c>
      <c r="U716" s="31" t="n">
        <v>15250</v>
      </c>
      <c r="V716" s="31" t="n">
        <v>9900</v>
      </c>
      <c r="W716" s="36" t="n">
        <v>-0.180327868852459</v>
      </c>
      <c r="X716" s="36" t="n">
        <v>0.2626262626262625</v>
      </c>
      <c r="Y716" s="31" t="n">
        <v>17780753</v>
      </c>
      <c r="Z716" s="31" t="n">
        <v>222259412500</v>
      </c>
      <c r="AA716" s="31" t="n">
        <v>4917962500</v>
      </c>
      <c r="AB716" s="31" t="n">
        <v>18464138048</v>
      </c>
      <c r="AC716" s="36" t="n">
        <v>0.02212712813681175</v>
      </c>
      <c r="AD716" s="29" t="inlineStr">
        <is>
          <t>yfinance_download</t>
        </is>
      </c>
      <c r="AE716" s="29" t="inlineStr">
        <is>
          <t>102120.KQ</t>
        </is>
      </c>
    </row>
    <row r="717" ht="24" customHeight="1">
      <c r="A717" s="24" t="inlineStr">
        <is>
          <t>2026-05-19</t>
        </is>
      </c>
      <c r="B717" s="30" t="n">
        <v>12480</v>
      </c>
      <c r="C717" s="30" t="n">
        <v>12480</v>
      </c>
      <c r="D717" s="30" t="n">
        <v>11790</v>
      </c>
      <c r="E717" s="30" t="n">
        <v>12200</v>
      </c>
      <c r="F717" s="30" t="n">
        <v>12200</v>
      </c>
      <c r="G717" s="30" t="n">
        <v>309317</v>
      </c>
      <c r="H717" s="35" t="n">
        <v>-0.02400000000000002</v>
      </c>
      <c r="I717" s="35" t="n">
        <v>-0.4613686534216336</v>
      </c>
      <c r="J717" s="30" t="n">
        <v>13615.5</v>
      </c>
      <c r="K717" s="30" t="n">
        <v>12246.66666666667</v>
      </c>
      <c r="L717" s="30" t="n">
        <v>11938.25</v>
      </c>
      <c r="M717" s="35" t="n">
        <v>0.6385585633178338</v>
      </c>
      <c r="N717" s="35" t="n">
        <v>0.7827300453214984</v>
      </c>
      <c r="O717" s="35" t="n">
        <v>-0.006514657980456029</v>
      </c>
      <c r="P717" s="35" t="n">
        <v>-0.02400000000000002</v>
      </c>
      <c r="Q717" s="35" t="n">
        <v>0.1380597014925373</v>
      </c>
      <c r="R717" s="35" t="n">
        <v>-0.1039623957989056</v>
      </c>
      <c r="S717" s="35" t="n">
        <v>-0.003810560696788201</v>
      </c>
      <c r="T717" s="35" t="n">
        <v>0.02192532406340963</v>
      </c>
      <c r="U717" s="30" t="n">
        <v>15250</v>
      </c>
      <c r="V717" s="30" t="n">
        <v>9900</v>
      </c>
      <c r="W717" s="35" t="n">
        <v>-0.2</v>
      </c>
      <c r="X717" s="35" t="n">
        <v>0.2323232323232323</v>
      </c>
      <c r="Y717" s="30" t="n">
        <v>17780753</v>
      </c>
      <c r="Z717" s="30" t="n">
        <v>216925186600</v>
      </c>
      <c r="AA717" s="30" t="n">
        <v>3773667400</v>
      </c>
      <c r="AB717" s="30" t="n">
        <v>18505155032</v>
      </c>
      <c r="AC717" s="35" t="n">
        <v>0.01739616989224247</v>
      </c>
      <c r="AD717" s="24" t="inlineStr">
        <is>
          <t>yfinance_download</t>
        </is>
      </c>
      <c r="AE717" s="24" t="inlineStr">
        <is>
          <t>102120.KQ</t>
        </is>
      </c>
    </row>
    <row r="718" ht="24" customHeight="1">
      <c r="A718" s="29" t="inlineStr">
        <is>
          <t>2026-05-20</t>
        </is>
      </c>
      <c r="B718" s="31" t="n">
        <v>12200</v>
      </c>
      <c r="C718" s="31" t="n">
        <v>12480</v>
      </c>
      <c r="D718" s="31" t="n">
        <v>11610</v>
      </c>
      <c r="E718" s="31" t="n">
        <v>11890</v>
      </c>
      <c r="F718" s="31" t="n">
        <v>11890</v>
      </c>
      <c r="G718" s="31" t="n">
        <v>156333</v>
      </c>
      <c r="H718" s="36" t="n">
        <v>-0.02540983606557379</v>
      </c>
      <c r="I718" s="36" t="n">
        <v>-0.4750551876379691</v>
      </c>
      <c r="J718" s="31" t="n">
        <v>13581.5</v>
      </c>
      <c r="K718" s="31" t="n">
        <v>12242.83333333333</v>
      </c>
      <c r="L718" s="31" t="n">
        <v>11945.08333333333</v>
      </c>
      <c r="M718" s="36" t="n">
        <v>0.6386665395275603</v>
      </c>
      <c r="N718" s="36" t="n">
        <v>0.7819471567095725</v>
      </c>
      <c r="O718" s="36" t="n">
        <v>-0.05409705648369134</v>
      </c>
      <c r="P718" s="36" t="n">
        <v>-0.01897689768976896</v>
      </c>
      <c r="Q718" s="36" t="n">
        <v>0.07407407407407418</v>
      </c>
      <c r="R718" s="36" t="n">
        <v>-0.1245444170378824</v>
      </c>
      <c r="S718" s="36" t="n">
        <v>-0.02881958152388475</v>
      </c>
      <c r="T718" s="36" t="n">
        <v>-0.004611381251700575</v>
      </c>
      <c r="U718" s="31" t="n">
        <v>15250</v>
      </c>
      <c r="V718" s="31" t="n">
        <v>9900</v>
      </c>
      <c r="W718" s="36" t="n">
        <v>-0.220327868852459</v>
      </c>
      <c r="X718" s="36" t="n">
        <v>0.2010101010101011</v>
      </c>
      <c r="Y718" s="31" t="n">
        <v>17780753</v>
      </c>
      <c r="Z718" s="31" t="n">
        <v>211413153170</v>
      </c>
      <c r="AA718" s="31" t="n">
        <v>1858799370</v>
      </c>
      <c r="AB718" s="31" t="n">
        <v>18328562775.5</v>
      </c>
      <c r="AC718" s="36" t="n">
        <v>0.008792259810369111</v>
      </c>
      <c r="AD718" s="29" t="inlineStr">
        <is>
          <t>yfinance_download</t>
        </is>
      </c>
      <c r="AE718" s="29" t="inlineStr">
        <is>
          <t>102120.KQ</t>
        </is>
      </c>
    </row>
  </sheetData>
  <autoFilter ref="A18:AE718"/>
  <mergeCells count="4">
    <mergeCell ref="A2:L2"/>
    <mergeCell ref="A17:F17"/>
    <mergeCell ref="A1:L1"/>
    <mergeCell ref="A4:F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 ht="24" customHeight="1">
      <c r="A1" s="22" t="inlineStr">
        <is>
          <t>정규화 재무제표</t>
        </is>
      </c>
    </row>
    <row r="2" ht="24" customHeight="1">
      <c r="A2" s="25" t="inlineStr">
        <is>
          <t>연도</t>
        </is>
      </c>
      <c r="B2" s="25" t="inlineStr">
        <is>
          <t>매출액</t>
        </is>
      </c>
      <c r="C2" s="25" t="inlineStr">
        <is>
          <t>영업이익</t>
        </is>
      </c>
      <c r="D2" s="25" t="inlineStr">
        <is>
          <t>순이익</t>
        </is>
      </c>
      <c r="E2" s="25" t="inlineStr">
        <is>
          <t>자산총계</t>
        </is>
      </c>
      <c r="F2" s="25" t="inlineStr">
        <is>
          <t>부채총계</t>
        </is>
      </c>
      <c r="G2" s="25" t="inlineStr">
        <is>
          <t>자본총계</t>
        </is>
      </c>
      <c r="H2" s="25" t="inlineStr">
        <is>
          <t>현금성자산</t>
        </is>
      </c>
      <c r="I2" s="25" t="inlineStr">
        <is>
          <t>영업현금흐름</t>
        </is>
      </c>
      <c r="J2" s="25" t="inlineStr">
        <is>
          <t>CAPEX</t>
        </is>
      </c>
      <c r="K2" s="25" t="inlineStr">
        <is>
          <t>FCF</t>
        </is>
      </c>
      <c r="L2" s="25" t="inlineStr">
        <is>
          <t>투자현금흐름</t>
        </is>
      </c>
      <c r="M2" s="25" t="inlineStr">
        <is>
          <t>원천계정수</t>
        </is>
      </c>
      <c r="N2" s="25" t="inlineStr">
        <is>
          <t>매출 원천계정</t>
        </is>
      </c>
      <c r="O2" s="25" t="inlineStr">
        <is>
          <t>영업이익 원천계정</t>
        </is>
      </c>
      <c r="P2" s="25" t="inlineStr">
        <is>
          <t>순이익 원천계정</t>
        </is>
      </c>
      <c r="Q2" s="25" t="inlineStr">
        <is>
          <t>자산 원천계정</t>
        </is>
      </c>
      <c r="R2" s="25" t="inlineStr">
        <is>
          <t>부채 원천계정</t>
        </is>
      </c>
      <c r="S2" s="25" t="inlineStr">
        <is>
          <t>자본 원천계정</t>
        </is>
      </c>
      <c r="T2" s="25" t="inlineStr">
        <is>
          <t>영업현금흐름 원천계정</t>
        </is>
      </c>
      <c r="U2" s="25" t="inlineStr">
        <is>
          <t>CAPEX 원천계정</t>
        </is>
      </c>
      <c r="V2" s="25" t="inlineStr">
        <is>
          <t>현금 원천계정</t>
        </is>
      </c>
      <c r="W2" s="25" t="inlineStr">
        <is>
          <t>영업이익률</t>
        </is>
      </c>
      <c r="X2" s="25" t="inlineStr">
        <is>
          <t>순이익률</t>
        </is>
      </c>
      <c r="Y2" s="25" t="inlineStr">
        <is>
          <t>ROE</t>
        </is>
      </c>
      <c r="Z2" s="25" t="inlineStr">
        <is>
          <t>ROA</t>
        </is>
      </c>
      <c r="AA2" s="25" t="inlineStr">
        <is>
          <t>부채/자본</t>
        </is>
      </c>
      <c r="AB2" s="25" t="inlineStr">
        <is>
          <t>부채/자산</t>
        </is>
      </c>
      <c r="AC2" s="25" t="inlineStr">
        <is>
          <t>자본비율</t>
        </is>
      </c>
      <c r="AD2" s="25" t="inlineStr">
        <is>
          <t>현금/자산</t>
        </is>
      </c>
      <c r="AE2" s="25" t="inlineStr">
        <is>
          <t>CFO margin</t>
        </is>
      </c>
      <c r="AF2" s="25" t="inlineStr">
        <is>
          <t>CAPEX/매출</t>
        </is>
      </c>
      <c r="AG2" s="25" t="inlineStr">
        <is>
          <t>FCF margin</t>
        </is>
      </c>
      <c r="AH2" s="25" t="inlineStr">
        <is>
          <t>FCF 전환율</t>
        </is>
      </c>
      <c r="AI2" s="25" t="inlineStr">
        <is>
          <t>매출성장률</t>
        </is>
      </c>
      <c r="AJ2" s="25" t="inlineStr">
        <is>
          <t>영업이익성장률</t>
        </is>
      </c>
      <c r="AK2" s="25" t="inlineStr">
        <is>
          <t>자산성장률</t>
        </is>
      </c>
    </row>
    <row r="3" ht="24" customHeight="1">
      <c r="A3" s="30" t="n">
        <v>2021</v>
      </c>
      <c r="B3" s="30" t="n">
        <v>167498755290</v>
      </c>
      <c r="C3" s="30" t="n">
        <v>17622418239</v>
      </c>
      <c r="D3" s="30" t="n">
        <v>13707442319</v>
      </c>
      <c r="E3" s="30" t="n">
        <v>134011924288</v>
      </c>
      <c r="F3" s="30" t="n">
        <v>22183164030</v>
      </c>
      <c r="G3" s="30" t="n">
        <v>111828760258</v>
      </c>
      <c r="H3" s="30" t="n">
        <v>7288235212</v>
      </c>
      <c r="I3" s="30" t="n">
        <v>13559523477</v>
      </c>
      <c r="J3" s="24" t="inlineStr">
        <is>
          <t>해당 없음</t>
        </is>
      </c>
      <c r="K3" s="30" t="n">
        <v>9461736258</v>
      </c>
      <c r="L3" s="30" t="n">
        <v>-8195574438</v>
      </c>
      <c r="M3" s="30" t="n">
        <v>147</v>
      </c>
      <c r="N3" s="24" t="inlineStr">
        <is>
          <t>수익(매출액)</t>
        </is>
      </c>
      <c r="O3" s="24" t="inlineStr">
        <is>
          <t>영업이익(손실)</t>
        </is>
      </c>
      <c r="P3" s="24" t="inlineStr">
        <is>
          <t>당기순이익(손실)</t>
        </is>
      </c>
      <c r="Q3" s="24" t="inlineStr">
        <is>
          <t>자산총계</t>
        </is>
      </c>
      <c r="R3" s="24" t="inlineStr">
        <is>
          <t>부채총계</t>
        </is>
      </c>
      <c r="S3" s="24" t="inlineStr">
        <is>
          <t>자본총계</t>
        </is>
      </c>
      <c r="T3" s="24" t="inlineStr">
        <is>
          <t>영업활동현금흐름</t>
        </is>
      </c>
      <c r="U3" s="24" t="inlineStr">
        <is>
          <t>투자활동현금흐름 50% proxy</t>
        </is>
      </c>
      <c r="V3" s="24" t="inlineStr">
        <is>
          <t>현금및현금성자산</t>
        </is>
      </c>
      <c r="W3" s="35" t="n">
        <v>0.1052092489194282</v>
      </c>
      <c r="X3" s="35" t="n">
        <v>0.08183608466383846</v>
      </c>
      <c r="Y3" s="35" t="n">
        <v>0.1225752864234172</v>
      </c>
      <c r="Z3" s="35" t="n">
        <v>0.1022852435843086</v>
      </c>
      <c r="AA3" s="35" t="n">
        <v>0.1983672534580661</v>
      </c>
      <c r="AB3" s="35" t="n">
        <v>0.1655312700556929</v>
      </c>
      <c r="AC3" s="35" t="n">
        <v>0.8344687299443071</v>
      </c>
      <c r="AD3" s="35" t="n">
        <v>0.05438497544693954</v>
      </c>
      <c r="AE3" s="35" t="n">
        <v>0.08095298053722033</v>
      </c>
      <c r="AF3" s="24" t="inlineStr">
        <is>
          <t>해당 없음</t>
        </is>
      </c>
      <c r="AG3" s="35" t="n">
        <v>0.05648839743088457</v>
      </c>
      <c r="AH3" s="35" t="n">
        <v>0.5369147485706771</v>
      </c>
      <c r="AI3" s="24" t="inlineStr">
        <is>
          <t>해당 없음</t>
        </is>
      </c>
      <c r="AJ3" s="24" t="inlineStr">
        <is>
          <t>해당 없음</t>
        </is>
      </c>
      <c r="AK3" s="24" t="inlineStr">
        <is>
          <t>해당 없음</t>
        </is>
      </c>
    </row>
    <row r="4" ht="24" customHeight="1">
      <c r="A4" s="31" t="n">
        <v>2022</v>
      </c>
      <c r="B4" s="31" t="n">
        <v>242576796583</v>
      </c>
      <c r="C4" s="31" t="n">
        <v>25825288073</v>
      </c>
      <c r="D4" s="31" t="n">
        <v>12654577621</v>
      </c>
      <c r="E4" s="31" t="n">
        <v>331531563148</v>
      </c>
      <c r="F4" s="31" t="n">
        <v>158462978855</v>
      </c>
      <c r="G4" s="31" t="n">
        <v>173068584293</v>
      </c>
      <c r="H4" s="31" t="n">
        <v>20717623910</v>
      </c>
      <c r="I4" s="31" t="n">
        <v>-2411168884</v>
      </c>
      <c r="J4" s="31" t="n">
        <v>22224198338</v>
      </c>
      <c r="K4" s="31" t="n">
        <v>-24635367222</v>
      </c>
      <c r="L4" s="31" t="n">
        <v>-17185886351</v>
      </c>
      <c r="M4" s="31" t="n">
        <v>222</v>
      </c>
      <c r="N4" s="29" t="inlineStr">
        <is>
          <t>수익(매출액)</t>
        </is>
      </c>
      <c r="O4" s="29" t="inlineStr">
        <is>
          <t>영업이익(손실)</t>
        </is>
      </c>
      <c r="P4" s="29" t="inlineStr">
        <is>
          <t>당기순이익(손실)</t>
        </is>
      </c>
      <c r="Q4" s="29" t="inlineStr">
        <is>
          <t>자산총계</t>
        </is>
      </c>
      <c r="R4" s="29" t="inlineStr">
        <is>
          <t>부채총계</t>
        </is>
      </c>
      <c r="S4" s="29" t="inlineStr">
        <is>
          <t>자본총계</t>
        </is>
      </c>
      <c r="T4" s="29" t="inlineStr">
        <is>
          <t>영업활동현금흐름</t>
        </is>
      </c>
      <c r="U4" s="29" t="inlineStr">
        <is>
          <t>유형자산의 취득</t>
        </is>
      </c>
      <c r="V4" s="29" t="inlineStr">
        <is>
          <t>현금 및 현금성자산</t>
        </is>
      </c>
      <c r="W4" s="36" t="n">
        <v>0.1064623180649664</v>
      </c>
      <c r="X4" s="36" t="n">
        <v>0.05216730453718443</v>
      </c>
      <c r="Y4" s="36" t="n">
        <v>0.07311886020617221</v>
      </c>
      <c r="Z4" s="36" t="n">
        <v>0.03817005385804196</v>
      </c>
      <c r="AA4" s="36" t="n">
        <v>0.9156079914927071</v>
      </c>
      <c r="AB4" s="36" t="n">
        <v>0.4779725265080118</v>
      </c>
      <c r="AC4" s="36" t="n">
        <v>0.5220274734919883</v>
      </c>
      <c r="AD4" s="36" t="n">
        <v>0.06249065311694435</v>
      </c>
      <c r="AE4" s="36" t="n">
        <v>-0.009939816659978834</v>
      </c>
      <c r="AF4" s="36" t="n">
        <v>0.09161716475382581</v>
      </c>
      <c r="AG4" s="36" t="n">
        <v>-0.1015569814138046</v>
      </c>
      <c r="AH4" s="36" t="n">
        <v>-0.9539241983424748</v>
      </c>
      <c r="AI4" s="36" t="n">
        <v>0.4482304430442672</v>
      </c>
      <c r="AJ4" s="36" t="n">
        <v>0.465479239157218</v>
      </c>
      <c r="AK4" s="36" t="n">
        <v>1.473895997758512</v>
      </c>
    </row>
    <row r="5" ht="24" customHeight="1">
      <c r="A5" s="30" t="n">
        <v>2023</v>
      </c>
      <c r="B5" s="30" t="n">
        <v>232436389092</v>
      </c>
      <c r="C5" s="30" t="n">
        <v>-14643077325</v>
      </c>
      <c r="D5" s="30" t="n">
        <v>-33443728959</v>
      </c>
      <c r="E5" s="30" t="n">
        <v>288316792095</v>
      </c>
      <c r="F5" s="30" t="n">
        <v>147690807918</v>
      </c>
      <c r="G5" s="30" t="n">
        <v>140625984177</v>
      </c>
      <c r="H5" s="30" t="n">
        <v>43417473689</v>
      </c>
      <c r="I5" s="30" t="n">
        <v>32413346108</v>
      </c>
      <c r="J5" s="30" t="n">
        <v>4970597455</v>
      </c>
      <c r="K5" s="30" t="n">
        <v>27442748653</v>
      </c>
      <c r="L5" s="30" t="n">
        <v>-14573084319</v>
      </c>
      <c r="M5" s="30" t="n">
        <v>175</v>
      </c>
      <c r="N5" s="24" t="inlineStr">
        <is>
          <t>수익(매출액)</t>
        </is>
      </c>
      <c r="O5" s="24" t="inlineStr">
        <is>
          <t>영업이익(손실)</t>
        </is>
      </c>
      <c r="P5" s="24" t="inlineStr">
        <is>
          <t>당기순이익(손실)</t>
        </is>
      </c>
      <c r="Q5" s="24" t="inlineStr">
        <is>
          <t>자산총계</t>
        </is>
      </c>
      <c r="R5" s="24" t="inlineStr">
        <is>
          <t>부채총계</t>
        </is>
      </c>
      <c r="S5" s="24" t="inlineStr">
        <is>
          <t>자본총계</t>
        </is>
      </c>
      <c r="T5" s="24" t="inlineStr">
        <is>
          <t>영업활동현금흐름</t>
        </is>
      </c>
      <c r="U5" s="24" t="inlineStr">
        <is>
          <t>투자활동으로 분류된 무형자산의 취득</t>
        </is>
      </c>
      <c r="V5" s="24" t="inlineStr">
        <is>
          <t>현금 및 현금성자산</t>
        </is>
      </c>
      <c r="W5" s="35" t="n">
        <v>-0.06299821375733111</v>
      </c>
      <c r="X5" s="35" t="n">
        <v>-0.1438833613344541</v>
      </c>
      <c r="Y5" s="35" t="n">
        <v>-0.2378204081893271</v>
      </c>
      <c r="Z5" s="35" t="n">
        <v>-0.1159964659567256</v>
      </c>
      <c r="AA5" s="35" t="n">
        <v>1.050238395004637</v>
      </c>
      <c r="AB5" s="35" t="n">
        <v>0.5122518423045442</v>
      </c>
      <c r="AC5" s="35" t="n">
        <v>0.4877481576954558</v>
      </c>
      <c r="AD5" s="35" t="n">
        <v>0.1505894726891037</v>
      </c>
      <c r="AE5" s="35" t="n">
        <v>0.139450394297644</v>
      </c>
      <c r="AF5" s="35" t="n">
        <v>0.02138476455608937</v>
      </c>
      <c r="AG5" s="35" t="n">
        <v>0.1180656297415546</v>
      </c>
      <c r="AH5" s="35" t="n">
        <v>-1.874110751716596</v>
      </c>
      <c r="AI5" s="35" t="n">
        <v>-0.04180287494039181</v>
      </c>
      <c r="AJ5" s="35" t="n">
        <v>-1.567005381841573</v>
      </c>
      <c r="AK5" s="35" t="n">
        <v>-0.1303488893867651</v>
      </c>
    </row>
    <row r="6" ht="24" customHeight="1">
      <c r="A6" s="31" t="n">
        <v>2024</v>
      </c>
      <c r="B6" s="31" t="n">
        <v>232116611005</v>
      </c>
      <c r="C6" s="31" t="n">
        <v>-5100374191</v>
      </c>
      <c r="D6" s="31" t="n">
        <v>-18094850997</v>
      </c>
      <c r="E6" s="31" t="n">
        <v>293039972870</v>
      </c>
      <c r="F6" s="31" t="n">
        <v>138459064716</v>
      </c>
      <c r="G6" s="31" t="n">
        <v>154580908154</v>
      </c>
      <c r="H6" s="31" t="n">
        <v>30971849914</v>
      </c>
      <c r="I6" s="31" t="n">
        <v>26999461471</v>
      </c>
      <c r="J6" s="31" t="n">
        <v>5423181131</v>
      </c>
      <c r="K6" s="31" t="n">
        <v>21576280340</v>
      </c>
      <c r="L6" s="31" t="n">
        <v>-58751841871</v>
      </c>
      <c r="M6" s="31" t="n">
        <v>188</v>
      </c>
      <c r="N6" s="29" t="inlineStr">
        <is>
          <t>수익(매출액)</t>
        </is>
      </c>
      <c r="O6" s="29" t="inlineStr">
        <is>
          <t>영업이익(손실)</t>
        </is>
      </c>
      <c r="P6" s="29" t="inlineStr">
        <is>
          <t>당기순이익(손실)</t>
        </is>
      </c>
      <c r="Q6" s="29" t="inlineStr">
        <is>
          <t>자산총계</t>
        </is>
      </c>
      <c r="R6" s="29" t="inlineStr">
        <is>
          <t>부채총계</t>
        </is>
      </c>
      <c r="S6" s="29" t="inlineStr">
        <is>
          <t>자본총계</t>
        </is>
      </c>
      <c r="T6" s="29" t="inlineStr">
        <is>
          <t>영업활동현금흐름</t>
        </is>
      </c>
      <c r="U6" s="29" t="inlineStr">
        <is>
          <t>무형자산의 취득</t>
        </is>
      </c>
      <c r="V6" s="29" t="inlineStr">
        <is>
          <t>현금 및 현금성자산</t>
        </is>
      </c>
      <c r="W6" s="36" t="n">
        <v>-0.02197332697955914</v>
      </c>
      <c r="X6" s="36" t="n">
        <v>-0.07795586416092479</v>
      </c>
      <c r="Y6" s="36" t="n">
        <v>-0.1170574763280155</v>
      </c>
      <c r="Z6" s="36" t="n">
        <v>-0.06174874649277741</v>
      </c>
      <c r="AA6" s="36" t="n">
        <v>0.8957061151307331</v>
      </c>
      <c r="AB6" s="36" t="n">
        <v>0.4724920745792724</v>
      </c>
      <c r="AC6" s="36" t="n">
        <v>0.5275079254207276</v>
      </c>
      <c r="AD6" s="36" t="n">
        <v>0.1056915533081212</v>
      </c>
      <c r="AE6" s="36" t="n">
        <v>0.116318523496013</v>
      </c>
      <c r="AF6" s="36" t="n">
        <v>0.02336403718596072</v>
      </c>
      <c r="AG6" s="36" t="n">
        <v>0.09295448631005226</v>
      </c>
      <c r="AH6" s="36" t="n">
        <v>-4.230332821084578</v>
      </c>
      <c r="AI6" s="36" t="n">
        <v>-0.001375766024628078</v>
      </c>
      <c r="AJ6" s="36" t="n">
        <v>-0.6516870000889652</v>
      </c>
      <c r="AK6" s="36" t="n">
        <v>0.01638191359122687</v>
      </c>
    </row>
    <row r="7" ht="24" customHeight="1">
      <c r="A7" s="30" t="n">
        <v>2025</v>
      </c>
      <c r="B7" s="30" t="n">
        <v>244123643799</v>
      </c>
      <c r="C7" s="30" t="n">
        <v>10148185090</v>
      </c>
      <c r="D7" s="30" t="n">
        <v>1959422969</v>
      </c>
      <c r="E7" s="30" t="n">
        <v>286055183481</v>
      </c>
      <c r="F7" s="30" t="n">
        <v>131612644063</v>
      </c>
      <c r="G7" s="30" t="n">
        <v>154442539418</v>
      </c>
      <c r="H7" s="30" t="n">
        <v>18270298972</v>
      </c>
      <c r="I7" s="30" t="n">
        <v>14728643363</v>
      </c>
      <c r="J7" s="30" t="n">
        <v>7978306727</v>
      </c>
      <c r="K7" s="30" t="n">
        <v>6750336636</v>
      </c>
      <c r="L7" s="30" t="n">
        <v>-4623250849</v>
      </c>
      <c r="M7" s="30" t="n">
        <v>182</v>
      </c>
      <c r="N7" s="24" t="inlineStr">
        <is>
          <t>수익(매출액)</t>
        </is>
      </c>
      <c r="O7" s="24" t="inlineStr">
        <is>
          <t>영업이익(손실)</t>
        </is>
      </c>
      <c r="P7" s="24" t="inlineStr">
        <is>
          <t>당기순이익(손실)</t>
        </is>
      </c>
      <c r="Q7" s="24" t="inlineStr">
        <is>
          <t>자산총계</t>
        </is>
      </c>
      <c r="R7" s="24" t="inlineStr">
        <is>
          <t>부채총계</t>
        </is>
      </c>
      <c r="S7" s="24" t="inlineStr">
        <is>
          <t>자본총계</t>
        </is>
      </c>
      <c r="T7" s="24" t="inlineStr">
        <is>
          <t>영업활동현금흐름</t>
        </is>
      </c>
      <c r="U7" s="24" t="inlineStr">
        <is>
          <t>무형자산의 취득</t>
        </is>
      </c>
      <c r="V7" s="24" t="inlineStr">
        <is>
          <t>현금 및 현금성자산</t>
        </is>
      </c>
      <c r="W7" s="35" t="n">
        <v>0.04156985752005054</v>
      </c>
      <c r="X7" s="35" t="n">
        <v>0.008026354754123272</v>
      </c>
      <c r="Y7" s="35" t="n">
        <v>0.01268706780129279</v>
      </c>
      <c r="Z7" s="35" t="n">
        <v>0.006849807597107033</v>
      </c>
      <c r="AA7" s="35" t="n">
        <v>0.8521787103408686</v>
      </c>
      <c r="AB7" s="35" t="n">
        <v>0.4600952951154679</v>
      </c>
      <c r="AC7" s="35" t="n">
        <v>0.5399047048845321</v>
      </c>
      <c r="AD7" s="35" t="n">
        <v>0.06386984060092561</v>
      </c>
      <c r="AE7" s="35" t="n">
        <v>0.06033271965712127</v>
      </c>
      <c r="AF7" s="35" t="n">
        <v>0.03268141750976388</v>
      </c>
      <c r="AG7" s="35" t="n">
        <v>0.02765130214735739</v>
      </c>
      <c r="AH7" s="35" t="n">
        <v>0.6651767361487886</v>
      </c>
      <c r="AI7" s="35" t="n">
        <v>0.0517284512384224</v>
      </c>
      <c r="AJ7" s="35" t="n">
        <v>-2.989694228299415</v>
      </c>
      <c r="AK7" s="35" t="n">
        <v>-0.02383561983231086</v>
      </c>
    </row>
  </sheetData>
  <autoFilter ref="A2:AK7"/>
  <mergeCells count="1"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수익성·안정성·현금흐름 핵심비율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영업이익성장률</t>
        </is>
      </c>
      <c r="D2" s="25" t="inlineStr">
        <is>
          <t>영업이익률</t>
        </is>
      </c>
      <c r="E2" s="25" t="inlineStr">
        <is>
          <t>순이익률</t>
        </is>
      </c>
      <c r="F2" s="25" t="inlineStr">
        <is>
          <t>ROE</t>
        </is>
      </c>
      <c r="G2" s="25" t="inlineStr">
        <is>
          <t>ROA</t>
        </is>
      </c>
      <c r="H2" s="25" t="inlineStr">
        <is>
          <t>부채/자본</t>
        </is>
      </c>
      <c r="I2" s="25" t="inlineStr">
        <is>
          <t>자본비율</t>
        </is>
      </c>
      <c r="J2" s="25" t="inlineStr">
        <is>
          <t>CFO margin</t>
        </is>
      </c>
      <c r="K2" s="25" t="inlineStr">
        <is>
          <t>FCF margin</t>
        </is>
      </c>
      <c r="L2" s="25" t="inlineStr">
        <is>
          <t>FCF 전환율</t>
        </is>
      </c>
    </row>
    <row r="3" ht="24" customHeight="1">
      <c r="A3" s="30" t="n">
        <v>2021</v>
      </c>
      <c r="B3" s="24" t="inlineStr">
        <is>
          <t>해당 없음</t>
        </is>
      </c>
      <c r="C3" s="24" t="inlineStr">
        <is>
          <t>해당 없음</t>
        </is>
      </c>
      <c r="D3" s="35" t="n">
        <v>0.1052092489194282</v>
      </c>
      <c r="E3" s="35" t="n">
        <v>0.08183608466383846</v>
      </c>
      <c r="F3" s="35" t="n">
        <v>0.1225752864234172</v>
      </c>
      <c r="G3" s="35" t="n">
        <v>0.1022852435843086</v>
      </c>
      <c r="H3" s="35" t="n">
        <v>0.1983672534580661</v>
      </c>
      <c r="I3" s="35" t="n">
        <v>0.8344687299443071</v>
      </c>
      <c r="J3" s="35" t="n">
        <v>0.08095298053722033</v>
      </c>
      <c r="K3" s="35" t="n">
        <v>0.05648839743088457</v>
      </c>
      <c r="L3" s="35" t="n">
        <v>0.5369147485706771</v>
      </c>
    </row>
    <row r="4" ht="24" customHeight="1">
      <c r="A4" s="31" t="n">
        <v>2022</v>
      </c>
      <c r="B4" s="36" t="n">
        <v>0.4482304430442672</v>
      </c>
      <c r="C4" s="36" t="n">
        <v>0.465479239157218</v>
      </c>
      <c r="D4" s="36" t="n">
        <v>0.1064623180649664</v>
      </c>
      <c r="E4" s="36" t="n">
        <v>0.05216730453718443</v>
      </c>
      <c r="F4" s="36" t="n">
        <v>0.07311886020617221</v>
      </c>
      <c r="G4" s="36" t="n">
        <v>0.03817005385804196</v>
      </c>
      <c r="H4" s="36" t="n">
        <v>0.9156079914927071</v>
      </c>
      <c r="I4" s="36" t="n">
        <v>0.5220274734919883</v>
      </c>
      <c r="J4" s="36" t="n">
        <v>-0.009939816659978834</v>
      </c>
      <c r="K4" s="36" t="n">
        <v>-0.1015569814138046</v>
      </c>
      <c r="L4" s="36" t="n">
        <v>-0.9539241983424748</v>
      </c>
    </row>
    <row r="5" ht="24" customHeight="1">
      <c r="A5" s="30" t="n">
        <v>2023</v>
      </c>
      <c r="B5" s="35" t="n">
        <v>-0.04180287494039181</v>
      </c>
      <c r="C5" s="35" t="n">
        <v>-1.567005381841573</v>
      </c>
      <c r="D5" s="35" t="n">
        <v>-0.06299821375733111</v>
      </c>
      <c r="E5" s="35" t="n">
        <v>-0.1438833613344541</v>
      </c>
      <c r="F5" s="35" t="n">
        <v>-0.2378204081893271</v>
      </c>
      <c r="G5" s="35" t="n">
        <v>-0.1159964659567256</v>
      </c>
      <c r="H5" s="35" t="n">
        <v>1.050238395004637</v>
      </c>
      <c r="I5" s="35" t="n">
        <v>0.4877481576954558</v>
      </c>
      <c r="J5" s="35" t="n">
        <v>0.139450394297644</v>
      </c>
      <c r="K5" s="35" t="n">
        <v>0.1180656297415546</v>
      </c>
      <c r="L5" s="35" t="n">
        <v>-1.874110751716596</v>
      </c>
    </row>
    <row r="6" ht="24" customHeight="1">
      <c r="A6" s="31" t="n">
        <v>2024</v>
      </c>
      <c r="B6" s="36" t="n">
        <v>-0.001375766024628078</v>
      </c>
      <c r="C6" s="36" t="n">
        <v>-0.6516870000889652</v>
      </c>
      <c r="D6" s="36" t="n">
        <v>-0.02197332697955914</v>
      </c>
      <c r="E6" s="36" t="n">
        <v>-0.07795586416092479</v>
      </c>
      <c r="F6" s="36" t="n">
        <v>-0.1170574763280155</v>
      </c>
      <c r="G6" s="36" t="n">
        <v>-0.06174874649277741</v>
      </c>
      <c r="H6" s="36" t="n">
        <v>0.8957061151307331</v>
      </c>
      <c r="I6" s="36" t="n">
        <v>0.5275079254207276</v>
      </c>
      <c r="J6" s="36" t="n">
        <v>0.116318523496013</v>
      </c>
      <c r="K6" s="36" t="n">
        <v>0.09295448631005226</v>
      </c>
      <c r="L6" s="36" t="n">
        <v>-4.230332821084578</v>
      </c>
    </row>
    <row r="7" ht="24" customHeight="1">
      <c r="A7" s="30" t="n">
        <v>2025</v>
      </c>
      <c r="B7" s="35" t="n">
        <v>0.0517284512384224</v>
      </c>
      <c r="C7" s="35" t="n">
        <v>-2.989694228299415</v>
      </c>
      <c r="D7" s="35" t="n">
        <v>0.04156985752005054</v>
      </c>
      <c r="E7" s="35" t="n">
        <v>0.008026354754123272</v>
      </c>
      <c r="F7" s="35" t="n">
        <v>0.01268706780129279</v>
      </c>
      <c r="G7" s="35" t="n">
        <v>0.006849807597107033</v>
      </c>
      <c r="H7" s="35" t="n">
        <v>0.8521787103408686</v>
      </c>
      <c r="I7" s="35" t="n">
        <v>0.5399047048845321</v>
      </c>
      <c r="J7" s="35" t="n">
        <v>0.06033271965712127</v>
      </c>
      <c r="K7" s="35" t="n">
        <v>0.02765130214735739</v>
      </c>
      <c r="L7" s="35" t="n">
        <v>0.6651767361487886</v>
      </c>
    </row>
  </sheetData>
  <autoFilter ref="A2:L7"/>
  <mergeCells count="1"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8" customWidth="1" min="2" max="2"/>
    <col width="4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WACC 산정</t>
        </is>
      </c>
    </row>
    <row r="2" ht="28" customHeight="1">
      <c r="A2" s="17" t="inlineStr">
        <is>
          <t>노란 셀은 사용자가 시나리오별로 조정 가능한 입력값입니다.</t>
        </is>
      </c>
    </row>
    <row r="3" ht="24" customHeight="1"/>
    <row r="4" ht="24" customHeight="1">
      <c r="A4" s="37" t="inlineStr">
        <is>
          <t>무위험수익률</t>
        </is>
      </c>
      <c r="B4" s="38" t="n">
        <v>0.035</v>
      </c>
      <c r="C4" s="26" t="inlineStr">
        <is>
          <t>valuation_assumptions.json 또는 기본값</t>
        </is>
      </c>
    </row>
    <row r="5" ht="24" customHeight="1">
      <c r="A5" s="37" t="inlineStr">
        <is>
          <t>Beta</t>
        </is>
      </c>
      <c r="B5" s="38" t="n">
        <v>1.8</v>
      </c>
      <c r="C5" s="26" t="inlineStr">
        <is>
          <t>주가 변동성 proxy 또는 사용자 가정</t>
        </is>
      </c>
    </row>
    <row r="6" ht="24" customHeight="1">
      <c r="A6" s="37" t="inlineStr">
        <is>
          <t>시장위험프리미엄</t>
        </is>
      </c>
      <c r="B6" s="39" t="n">
        <v>0.06</v>
      </c>
      <c r="C6" s="26" t="inlineStr">
        <is>
          <t>사용자 조정 가능</t>
        </is>
      </c>
    </row>
    <row r="7" ht="24" customHeight="1">
      <c r="A7" s="37" t="inlineStr">
        <is>
          <t>자기자본비용</t>
        </is>
      </c>
      <c r="B7" s="40">
        <f>B4+B5*B6</f>
        <v/>
      </c>
      <c r="C7" s="26" t="inlineStr">
        <is>
          <t>공식: Rf + Beta × MRP</t>
        </is>
      </c>
    </row>
    <row r="8" ht="24" customHeight="1">
      <c r="A8" s="37" t="inlineStr">
        <is>
          <t>세전 차입비용</t>
        </is>
      </c>
      <c r="B8" s="39" t="n">
        <v>0.055</v>
      </c>
      <c r="C8" s="26" t="inlineStr">
        <is>
          <t>사용자 조정 가능</t>
        </is>
      </c>
    </row>
    <row r="9" ht="24" customHeight="1">
      <c r="A9" s="37" t="inlineStr">
        <is>
          <t>법인세율</t>
        </is>
      </c>
      <c r="B9" s="38" t="n">
        <v>0.24</v>
      </c>
      <c r="C9" s="26" t="inlineStr">
        <is>
          <t>사용자 조정 가능</t>
        </is>
      </c>
    </row>
    <row r="10" ht="24" customHeight="1">
      <c r="A10" s="37" t="inlineStr">
        <is>
          <t>세후 차입비용</t>
        </is>
      </c>
      <c r="B10" s="40">
        <f>B8*(1-B9)</f>
        <v/>
      </c>
      <c r="C10" s="26" t="inlineStr">
        <is>
          <t>공식</t>
        </is>
      </c>
    </row>
    <row r="11" ht="24" customHeight="1">
      <c r="A11" s="37" t="inlineStr">
        <is>
          <t>자기자본 비중</t>
        </is>
      </c>
      <c r="B11" s="38" t="n">
        <v>0.6163185243656697</v>
      </c>
      <c r="C11" s="26" t="inlineStr">
        <is>
          <t>시장가치/장부가치 기반</t>
        </is>
      </c>
    </row>
    <row r="12" ht="24" customHeight="1">
      <c r="A12" s="37" t="inlineStr">
        <is>
          <t>부채 비중</t>
        </is>
      </c>
      <c r="B12" s="38" t="n">
        <v>0.3836814756343302</v>
      </c>
      <c r="C12" s="26" t="inlineStr">
        <is>
          <t>부채 proxy 기반</t>
        </is>
      </c>
    </row>
    <row r="13" ht="24" customHeight="1">
      <c r="A13" s="37" t="inlineStr">
        <is>
          <t>WACC</t>
        </is>
      </c>
      <c r="B13" s="41">
        <f>B11*B7+B12*B10</f>
        <v/>
      </c>
      <c r="C13" s="26" t="inlineStr">
        <is>
          <t>공식: E/V×Ke + D/V×Kd(1-T)</t>
        </is>
      </c>
    </row>
    <row r="14" ht="24" customHeight="1">
      <c r="A14" s="37" t="inlineStr">
        <is>
          <t>사용한 시가총액</t>
        </is>
      </c>
      <c r="B14" s="27" t="n">
        <v>211413153170</v>
      </c>
      <c r="C14" s="26" t="inlineStr">
        <is>
          <t>발행주식 수 intake 가능 시 반영</t>
        </is>
      </c>
    </row>
    <row r="15" ht="24" customHeight="1">
      <c r="A15" s="37" t="inlineStr">
        <is>
          <t>부채 proxy</t>
        </is>
      </c>
      <c r="B15" s="27" t="n">
        <v>131612644063</v>
      </c>
      <c r="C15" s="26" t="inlineStr">
        <is>
          <t>상세 차입금 데이터 전까지 부채총계 보수 proxy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FCF 추정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매출액</t>
        </is>
      </c>
      <c r="D2" s="25" t="inlineStr">
        <is>
          <t>영업이익률</t>
        </is>
      </c>
      <c r="E2" s="25" t="inlineStr">
        <is>
          <t>ebit</t>
        </is>
      </c>
      <c r="F2" s="25" t="inlineStr">
        <is>
          <t>nopat</t>
        </is>
      </c>
      <c r="G2" s="25" t="inlineStr">
        <is>
          <t>FCF margin</t>
        </is>
      </c>
      <c r="H2" s="25" t="inlineStr">
        <is>
          <t>FCF</t>
        </is>
      </c>
      <c r="I2" s="25" t="inlineStr">
        <is>
          <t>할인계수</t>
        </is>
      </c>
      <c r="J2" s="25" t="inlineStr">
        <is>
          <t>FCF 현재가치</t>
        </is>
      </c>
    </row>
    <row r="3" ht="24" customHeight="1">
      <c r="A3" s="30" t="n">
        <v>2026</v>
      </c>
      <c r="B3" s="35" t="n">
        <v>0.00527994940624067</v>
      </c>
      <c r="C3" s="30" t="n">
        <v>245412604287.1259</v>
      </c>
      <c r="D3" s="35" t="n">
        <v>-0.01446722773894657</v>
      </c>
      <c r="E3" s="30" t="n">
        <v>-3550440036.229825</v>
      </c>
      <c r="F3" s="30" t="n">
        <v>-2698334427.534667</v>
      </c>
      <c r="G3" s="35" t="n">
        <v>0.07955713939965477</v>
      </c>
      <c r="H3" s="30" t="n">
        <v>19524324769.70319</v>
      </c>
      <c r="I3" s="35" t="n">
        <v>0.9056564665636955</v>
      </c>
      <c r="J3" s="30" t="n">
        <v>17682330982.97142</v>
      </c>
    </row>
    <row r="4" ht="24" customHeight="1">
      <c r="A4" s="31" t="n">
        <v>2027</v>
      </c>
      <c r="B4" s="36" t="n">
        <v>0.007709962054680503</v>
      </c>
      <c r="C4" s="31" t="n">
        <v>247304726153.9199</v>
      </c>
      <c r="D4" s="36" t="n">
        <v>-0.01446722773894657</v>
      </c>
      <c r="E4" s="31" t="n">
        <v>-3577813794.186575</v>
      </c>
      <c r="F4" s="31" t="n">
        <v>-2719138483.581797</v>
      </c>
      <c r="G4" s="36" t="n">
        <v>0.07955713939965477</v>
      </c>
      <c r="H4" s="31" t="n">
        <v>19674856572.82085</v>
      </c>
      <c r="I4" s="36" t="n">
        <v>0.8202136354286381</v>
      </c>
      <c r="J4" s="31" t="n">
        <v>16137585636.13043</v>
      </c>
    </row>
    <row r="5" ht="24" customHeight="1">
      <c r="A5" s="30" t="n">
        <v>2028</v>
      </c>
      <c r="B5" s="35" t="n">
        <v>0.01013997470312033</v>
      </c>
      <c r="C5" s="30" t="n">
        <v>249812389821.0828</v>
      </c>
      <c r="D5" s="35" t="n">
        <v>-0.01446722773894657</v>
      </c>
      <c r="E5" s="30" t="n">
        <v>-3614092735.552102</v>
      </c>
      <c r="F5" s="30" t="n">
        <v>-2746710479.019598</v>
      </c>
      <c r="G5" s="35" t="n">
        <v>0.07955713939965477</v>
      </c>
      <c r="H5" s="30" t="n">
        <v>19874359120.75678</v>
      </c>
      <c r="I5" s="35" t="n">
        <v>0.7428317828896635</v>
      </c>
      <c r="J5" s="30" t="n">
        <v>14763305619.4612</v>
      </c>
    </row>
    <row r="6" ht="24" customHeight="1">
      <c r="A6" s="31" t="n">
        <v>2029</v>
      </c>
      <c r="B6" s="36" t="n">
        <v>0.01256998735156017</v>
      </c>
      <c r="C6" s="31" t="n">
        <v>252952528401.3968</v>
      </c>
      <c r="D6" s="36" t="n">
        <v>-0.01446722773894657</v>
      </c>
      <c r="E6" s="31" t="n">
        <v>-3659521835.525358</v>
      </c>
      <c r="F6" s="31" t="n">
        <v>-2781236594.999272</v>
      </c>
      <c r="G6" s="36" t="n">
        <v>0.07955713939965477</v>
      </c>
      <c r="H6" s="31" t="n">
        <v>20124179563.52505</v>
      </c>
      <c r="I6" s="36" t="n">
        <v>0.6727504077430627</v>
      </c>
      <c r="J6" s="31" t="n">
        <v>13538550006.85609</v>
      </c>
    </row>
    <row r="7" ht="24" customHeight="1">
      <c r="A7" s="30" t="n">
        <v>2030</v>
      </c>
      <c r="B7" s="35" t="n">
        <v>0.015</v>
      </c>
      <c r="C7" s="30" t="n">
        <v>256746816327.4177</v>
      </c>
      <c r="D7" s="35" t="n">
        <v>-0.01446722773894657</v>
      </c>
      <c r="E7" s="30" t="n">
        <v>-3714414663.058238</v>
      </c>
      <c r="F7" s="30" t="n">
        <v>-2822955143.924261</v>
      </c>
      <c r="G7" s="35" t="n">
        <v>0.07955713939965477</v>
      </c>
      <c r="H7" s="30" t="n">
        <v>20426042256.97793</v>
      </c>
      <c r="I7" s="35" t="n">
        <v>0.6092807571558676</v>
      </c>
      <c r="J7" s="30" t="n">
        <v>12445194492.02926</v>
      </c>
    </row>
  </sheetData>
  <autoFilter ref="A2:J7"/>
  <mergeCells count="1"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DCF 가치평가</t>
        </is>
      </c>
    </row>
    <row r="2" ht="28" customHeight="1">
      <c r="A2" s="17" t="inlineStr">
        <is>
          <t>명시적 FCF + Terminal Value + 현금 - 부채 proxy</t>
        </is>
      </c>
    </row>
    <row r="3" ht="24" customHeight="1"/>
    <row r="4" ht="24" customHeight="1">
      <c r="A4" s="22" t="inlineStr">
        <is>
          <t>DCF 결과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기준연도</t>
        </is>
      </c>
      <c r="B6" s="30" t="n">
        <v>2025</v>
      </c>
      <c r="C6" s="24" t="inlineStr">
        <is>
          <t>최근 정규화 재무제표 연도</t>
        </is>
      </c>
    </row>
    <row r="7" ht="24" customHeight="1">
      <c r="A7" s="29" t="inlineStr">
        <is>
          <t>기준 매출액</t>
        </is>
      </c>
      <c r="B7" s="31" t="n">
        <v>244123643799</v>
      </c>
      <c r="C7" s="29" t="inlineStr">
        <is>
          <t>DART 기반</t>
        </is>
      </c>
    </row>
    <row r="8" ht="24" customHeight="1">
      <c r="A8" s="24" t="inlineStr">
        <is>
          <t>매출 CAGR</t>
        </is>
      </c>
      <c r="B8" s="30" t="n">
        <v>0.09875171230007562</v>
      </c>
      <c r="C8" s="24" t="inlineStr">
        <is>
          <t>과거 재무제표 기반</t>
        </is>
      </c>
    </row>
    <row r="9" ht="24" customHeight="1">
      <c r="A9" s="29" t="inlineStr">
        <is>
          <t>추정 매출성장률</t>
        </is>
      </c>
      <c r="B9" s="31" t="n">
        <v>0.002849936757800838</v>
      </c>
      <c r="C9" s="29" t="inlineStr">
        <is>
          <t>최근 추세를 보수적으로 bounded</t>
        </is>
      </c>
    </row>
    <row r="10" ht="24" customHeight="1">
      <c r="A10" s="24" t="inlineStr">
        <is>
          <t>추정 FCF margin</t>
        </is>
      </c>
      <c r="B10" s="30" t="n">
        <v>0.07955713939965477</v>
      </c>
      <c r="C10" s="24" t="inlineStr">
        <is>
          <t>최근 3년 평균 기반</t>
        </is>
      </c>
    </row>
    <row r="11" ht="24" customHeight="1">
      <c r="A11" s="29" t="inlineStr">
        <is>
          <t>WACC</t>
        </is>
      </c>
      <c r="B11" s="31" t="n">
        <v>0.1041714346658058</v>
      </c>
      <c r="C11" s="29" t="inlineStr">
        <is>
          <t>07_WACC 참조</t>
        </is>
      </c>
    </row>
    <row r="12" ht="24" customHeight="1">
      <c r="A12" s="24" t="inlineStr">
        <is>
          <t>영구성장률</t>
        </is>
      </c>
      <c r="B12" s="30" t="n">
        <v>0.015</v>
      </c>
      <c r="C12" s="24" t="inlineStr">
        <is>
          <t>valuation_assumptions.json</t>
        </is>
      </c>
    </row>
    <row r="13" ht="24" customHeight="1">
      <c r="A13" s="29" t="inlineStr">
        <is>
          <t>FCF 현재가치</t>
        </is>
      </c>
      <c r="B13" s="31" t="n">
        <v>74566966737.44841</v>
      </c>
      <c r="C13" s="29" t="inlineStr">
        <is>
          <t>명시적 기간 FCF 할인</t>
        </is>
      </c>
    </row>
    <row r="14" ht="24" customHeight="1">
      <c r="A14" s="24" t="inlineStr">
        <is>
          <t>Terminal Value</t>
        </is>
      </c>
      <c r="B14" s="30" t="n">
        <v>232500833574.4853</v>
      </c>
      <c r="C14" s="24" t="inlineStr">
        <is>
          <t>Gordon Growth</t>
        </is>
      </c>
    </row>
    <row r="15" ht="24" customHeight="1">
      <c r="A15" s="29" t="inlineStr">
        <is>
          <t>Terminal 현재가치</t>
        </is>
      </c>
      <c r="B15" s="31" t="n">
        <v>141658283919.6328</v>
      </c>
      <c r="C15" s="29" t="inlineStr">
        <is>
          <t>Terminal Value 할인</t>
        </is>
      </c>
    </row>
    <row r="16" ht="24" customHeight="1">
      <c r="A16" s="24" t="inlineStr">
        <is>
          <t>기업가치(EV)</t>
        </is>
      </c>
      <c r="B16" s="30" t="n">
        <v>216225250657.0812</v>
      </c>
      <c r="C16" s="24" t="inlineStr">
        <is>
          <t>PV FCF + PV Terminal</t>
        </is>
      </c>
    </row>
    <row r="17" ht="24" customHeight="1">
      <c r="A17" s="29" t="inlineStr">
        <is>
          <t>지분가치</t>
        </is>
      </c>
      <c r="B17" s="31" t="n">
        <v>102882905566.0812</v>
      </c>
      <c r="C17" s="29" t="inlineStr">
        <is>
          <t>EV + 현금 - 부채 proxy</t>
        </is>
      </c>
    </row>
    <row r="18" ht="24" customHeight="1">
      <c r="A18" s="24" t="inlineStr">
        <is>
          <t>발행주식 수</t>
        </is>
      </c>
      <c r="B18" s="30" t="n">
        <v>17780753</v>
      </c>
      <c r="C18" s="24" t="inlineStr">
        <is>
          <t>DART stockTotqySttus 또는 해당 없음</t>
        </is>
      </c>
    </row>
    <row r="19" ht="24" customHeight="1">
      <c r="A19" s="29" t="inlineStr">
        <is>
          <t>현재가</t>
        </is>
      </c>
      <c r="B19" s="31" t="n">
        <v>11890</v>
      </c>
      <c r="C19" s="29" t="inlineStr">
        <is>
          <t>주가 intake</t>
        </is>
      </c>
    </row>
    <row r="20" ht="24" customHeight="1">
      <c r="A20" s="24" t="inlineStr">
        <is>
          <t>DCF 내재주가</t>
        </is>
      </c>
      <c r="B20" s="30" t="n">
        <v>5786.195082181344</v>
      </c>
      <c r="C20" s="24" t="inlineStr">
        <is>
          <t>지분가치 / 발행주식 수</t>
        </is>
      </c>
    </row>
    <row r="21" ht="24" customHeight="1">
      <c r="A21" s="29" t="inlineStr">
        <is>
          <t>현재가 대비 괴리율</t>
        </is>
      </c>
      <c r="B21" s="31" t="n">
        <v>-0.5133561747534614</v>
      </c>
      <c r="C21" s="29" t="inlineStr">
        <is>
          <t>내재주가 / 현재가 - 1</t>
        </is>
      </c>
    </row>
  </sheetData>
  <autoFilter ref="A5:C21"/>
  <mergeCells count="3">
    <mergeCell ref="A2:E2"/>
    <mergeCell ref="A1:E1"/>
    <mergeCell ref="A4:F4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22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4" customHeight="1">
      <c r="A1" s="22" t="inlineStr">
        <is>
          <t>피어 비교 / 상대가치</t>
        </is>
      </c>
    </row>
    <row r="2" ht="24" customHeight="1">
      <c r="A2" s="25" t="inlineStr">
        <is>
          <t>기업코드</t>
        </is>
      </c>
      <c r="B2" s="25" t="inlineStr">
        <is>
          <t>기업명</t>
        </is>
      </c>
      <c r="C2" s="25" t="inlineStr">
        <is>
          <t>종목코드</t>
        </is>
      </c>
      <c r="D2" s="25" t="inlineStr">
        <is>
          <t>시장</t>
        </is>
      </c>
      <c r="E2" s="25" t="inlineStr">
        <is>
          <t>분석대상</t>
        </is>
      </c>
      <c r="F2" s="25" t="inlineStr">
        <is>
          <t>최근연도</t>
        </is>
      </c>
      <c r="G2" s="25" t="inlineStr">
        <is>
          <t>latest_close</t>
        </is>
      </c>
      <c r="H2" s="25" t="inlineStr">
        <is>
          <t>발행주식 수</t>
        </is>
      </c>
      <c r="I2" s="25" t="inlineStr">
        <is>
          <t>시가총액</t>
        </is>
      </c>
      <c r="J2" s="25" t="inlineStr">
        <is>
          <t>매출액</t>
        </is>
      </c>
      <c r="K2" s="25" t="inlineStr">
        <is>
          <t>영업이익</t>
        </is>
      </c>
      <c r="L2" s="25" t="inlineStr">
        <is>
          <t>순이익</t>
        </is>
      </c>
      <c r="M2" s="25" t="inlineStr">
        <is>
          <t>자산총계</t>
        </is>
      </c>
      <c r="N2" s="25" t="inlineStr">
        <is>
          <t>부채총계</t>
        </is>
      </c>
      <c r="O2" s="25" t="inlineStr">
        <is>
          <t>자본총계</t>
        </is>
      </c>
      <c r="P2" s="25" t="inlineStr">
        <is>
          <t>FCF</t>
        </is>
      </c>
      <c r="Q2" s="25" t="inlineStr">
        <is>
          <t>FCF margin</t>
        </is>
      </c>
      <c r="R2" s="25" t="inlineStr">
        <is>
          <t>1년 수익률</t>
        </is>
      </c>
      <c r="S2" s="25" t="inlineStr">
        <is>
          <t>연환산 변동성</t>
        </is>
      </c>
      <c r="T2" s="25" t="inlineStr">
        <is>
          <t>MDD</t>
        </is>
      </c>
      <c r="U2" s="25" t="inlineStr">
        <is>
          <t>52주 고가</t>
        </is>
      </c>
      <c r="V2" s="25" t="inlineStr">
        <is>
          <t>52주 저가</t>
        </is>
      </c>
      <c r="W2" s="25" t="inlineStr">
        <is>
          <t>data_status</t>
        </is>
      </c>
      <c r="X2" s="25" t="inlineStr">
        <is>
          <t>diagnostics</t>
        </is>
      </c>
      <c r="Y2" s="25" t="inlineStr">
        <is>
          <t>EV proxy</t>
        </is>
      </c>
      <c r="Z2" s="25" t="inlineStr">
        <is>
          <t>P/S</t>
        </is>
      </c>
      <c r="AA2" s="25" t="inlineStr">
        <is>
          <t>PER</t>
        </is>
      </c>
      <c r="AB2" s="25" t="inlineStr">
        <is>
          <t>PBR</t>
        </is>
      </c>
      <c r="AC2" s="25" t="inlineStr">
        <is>
          <t>EV/Sales</t>
        </is>
      </c>
      <c r="AD2" s="25" t="inlineStr">
        <is>
          <t>EV/EBIT</t>
        </is>
      </c>
      <c r="AE2" s="25" t="inlineStr">
        <is>
          <t>P/FCF</t>
        </is>
      </c>
      <c r="AF2" s="25" t="inlineStr">
        <is>
          <t>영업이익률</t>
        </is>
      </c>
      <c r="AG2" s="25" t="inlineStr">
        <is>
          <t>ROE</t>
        </is>
      </c>
      <c r="AH2" s="25" t="inlineStr">
        <is>
          <t>부채/자본</t>
        </is>
      </c>
      <c r="AI2" s="25" t="inlineStr">
        <is>
          <t>psr_data_quality</t>
        </is>
      </c>
    </row>
    <row r="3" ht="24" customHeight="1">
      <c r="A3" s="24" t="inlineStr">
        <is>
          <t>nepes</t>
        </is>
      </c>
      <c r="B3" s="24" t="inlineStr">
        <is>
          <t>네패스</t>
        </is>
      </c>
      <c r="C3" s="24" t="inlineStr">
        <is>
          <t>033640</t>
        </is>
      </c>
      <c r="D3" s="24" t="inlineStr">
        <is>
          <t>KOSDAQ</t>
        </is>
      </c>
      <c r="E3" s="24" t="b">
        <v>0</v>
      </c>
      <c r="F3" s="24" t="inlineStr">
        <is>
          <t>2025</t>
        </is>
      </c>
      <c r="G3" s="24" t="inlineStr">
        <is>
          <t>28950.0</t>
        </is>
      </c>
      <c r="H3" s="24" t="inlineStr">
        <is>
          <t>23059202.0</t>
        </is>
      </c>
      <c r="I3" s="30" t="n">
        <v>667563897900</v>
      </c>
      <c r="J3" s="24" t="inlineStr">
        <is>
          <t>521439287008.0</t>
        </is>
      </c>
      <c r="K3" s="24" t="inlineStr">
        <is>
          <t>23761125843.0</t>
        </is>
      </c>
      <c r="L3" s="24" t="inlineStr">
        <is>
          <t>20158821632.0</t>
        </is>
      </c>
      <c r="M3" s="24" t="inlineStr">
        <is>
          <t>696198458357.0</t>
        </is>
      </c>
      <c r="N3" s="24" t="inlineStr">
        <is>
          <t>450773427582.0</t>
        </is>
      </c>
      <c r="O3" s="24" t="inlineStr">
        <is>
          <t>245425030775.0</t>
        </is>
      </c>
      <c r="P3" s="24" t="inlineStr">
        <is>
          <t>103117228706.0</t>
        </is>
      </c>
      <c r="Q3" s="24" t="inlineStr">
        <is>
          <t>0.19775500480158098</t>
        </is>
      </c>
      <c r="R3" s="24" t="inlineStr">
        <is>
          <t>2.7210796915167097</t>
        </is>
      </c>
      <c r="S3" s="24" t="inlineStr">
        <is>
          <t>0.6273227320264676</t>
        </is>
      </c>
      <c r="T3" s="24" t="inlineStr">
        <is>
          <t>-0.7436559139784946</t>
        </is>
      </c>
      <c r="U3" s="24" t="inlineStr">
        <is>
          <t>34800.0</t>
        </is>
      </c>
      <c r="V3" s="24" t="inlineStr">
        <is>
          <t>6890.0</t>
        </is>
      </c>
      <c r="W3" s="24" t="inlineStr">
        <is>
          <t>OK</t>
        </is>
      </c>
      <c r="X3" s="24" t="inlineStr">
        <is>
          <t>yfinance price rows for 033640.KQ: 728 | price provider selected: yfinance, rows=728 | DART corp_code resolved from cache for 네패스/033640.</t>
        </is>
      </c>
      <c r="Y3" s="30" t="n">
        <v>1118337325482</v>
      </c>
      <c r="Z3" s="42" t="n">
        <v>1.280233220880724</v>
      </c>
      <c r="AA3" s="42" t="n">
        <v>33.11522419744579</v>
      </c>
      <c r="AB3" s="42" t="n">
        <v>2.720031839425568</v>
      </c>
      <c r="AC3" s="42" t="n">
        <v>2.14471243986808</v>
      </c>
      <c r="AD3" s="42" t="n">
        <v>47.06583908823752</v>
      </c>
      <c r="AE3" s="42" t="n">
        <v>6.473834743981604</v>
      </c>
      <c r="AF3" s="35" t="n">
        <v>0.0455683459896942</v>
      </c>
      <c r="AG3" s="35" t="n">
        <v>0.0821384093070814</v>
      </c>
      <c r="AH3" s="35" t="n">
        <v>1.836705189191801</v>
      </c>
      <c r="AI3" s="24" t="inlineStr">
        <is>
          <t>OK</t>
        </is>
      </c>
    </row>
    <row r="4" ht="24" customHeight="1">
      <c r="A4" s="29" t="inlineStr">
        <is>
          <t>hanmi</t>
        </is>
      </c>
      <c r="B4" s="29" t="inlineStr">
        <is>
          <t>한미반도체</t>
        </is>
      </c>
      <c r="C4" s="29" t="inlineStr">
        <is>
          <t>042700</t>
        </is>
      </c>
      <c r="D4" s="29" t="inlineStr">
        <is>
          <t>KOSPI</t>
        </is>
      </c>
      <c r="E4" s="29" t="b">
        <v>0</v>
      </c>
      <c r="F4" s="29" t="inlineStr">
        <is>
          <t>2025</t>
        </is>
      </c>
      <c r="G4" s="29" t="inlineStr">
        <is>
          <t>296500.0</t>
        </is>
      </c>
      <c r="H4" s="29" t="inlineStr">
        <is>
          <t>95312200.0</t>
        </is>
      </c>
      <c r="I4" s="31" t="n">
        <v>28260067300000</v>
      </c>
      <c r="J4" s="29" t="inlineStr">
        <is>
          <t>576684619527.0</t>
        </is>
      </c>
      <c r="K4" s="29" t="inlineStr">
        <is>
          <t>251390142142.0</t>
        </is>
      </c>
      <c r="L4" s="29" t="inlineStr">
        <is>
          <t>214007548411.0</t>
        </is>
      </c>
      <c r="M4" s="29" t="inlineStr">
        <is>
          <t>813331626120.0</t>
        </is>
      </c>
      <c r="N4" s="29" t="inlineStr">
        <is>
          <t>123004106583.0</t>
        </is>
      </c>
      <c r="O4" s="29" t="inlineStr">
        <is>
          <t>690327519537.0</t>
        </is>
      </c>
      <c r="P4" s="29" t="inlineStr">
        <is>
          <t>209512898063.0</t>
        </is>
      </c>
      <c r="Q4" s="29" t="inlineStr">
        <is>
          <t>0.36330585378684743</t>
        </is>
      </c>
      <c r="R4" s="29" t="inlineStr">
        <is>
          <t>2.6202686202686203</t>
        </is>
      </c>
      <c r="S4" s="29" t="inlineStr">
        <is>
          <t>0.7593421935814395</t>
        </is>
      </c>
      <c r="T4" s="29" t="inlineStr">
        <is>
          <t>-0.6814814814814815</t>
        </is>
      </c>
      <c r="U4" s="29" t="inlineStr">
        <is>
          <t>409500.0</t>
        </is>
      </c>
      <c r="V4" s="29" t="inlineStr">
        <is>
          <t>77400.0</t>
        </is>
      </c>
      <c r="W4" s="29" t="inlineStr">
        <is>
          <t>OK</t>
        </is>
      </c>
      <c r="X4" s="29" t="inlineStr">
        <is>
          <t>yfinance price rows for 042700.KS: 728 | price provider selected: yfinance, rows=728 | DART corp_code resolved from cache for 한미반도체/042700.</t>
        </is>
      </c>
      <c r="Y4" s="31" t="n">
        <v>28383071406583</v>
      </c>
      <c r="Z4" s="43" t="n">
        <v>49.0043714416713</v>
      </c>
      <c r="AA4" s="43" t="n">
        <v>132.0517313984026</v>
      </c>
      <c r="AB4" s="43" t="n">
        <v>40.93718778436345</v>
      </c>
      <c r="AC4" s="43" t="n">
        <v>49.2176667202655</v>
      </c>
      <c r="AD4" s="43" t="n">
        <v>112.9044725650004</v>
      </c>
      <c r="AE4" s="43" t="n">
        <v>134.8846183756299</v>
      </c>
      <c r="AF4" s="36" t="n">
        <v>0.4359230914606178</v>
      </c>
      <c r="AG4" s="36" t="n">
        <v>0.3100087166661616</v>
      </c>
      <c r="AH4" s="36" t="n">
        <v>0.1781822440824876</v>
      </c>
      <c r="AI4" s="29" t="inlineStr">
        <is>
          <t>OK</t>
        </is>
      </c>
    </row>
    <row r="5" ht="24" customHeight="1">
      <c r="A5" s="24" t="inlineStr">
        <is>
          <t>hansol</t>
        </is>
      </c>
      <c r="B5" s="24" t="inlineStr">
        <is>
          <t>한솔케미칼</t>
        </is>
      </c>
      <c r="C5" s="24" t="inlineStr">
        <is>
          <t>014680</t>
        </is>
      </c>
      <c r="D5" s="24" t="inlineStr">
        <is>
          <t>KOSPI</t>
        </is>
      </c>
      <c r="E5" s="24" t="b">
        <v>0</v>
      </c>
      <c r="F5" s="24" t="inlineStr">
        <is>
          <t>2025</t>
        </is>
      </c>
      <c r="G5" s="24" t="inlineStr">
        <is>
          <t>273000.0</t>
        </is>
      </c>
      <c r="H5" s="24" t="inlineStr">
        <is>
          <t>11335195.0</t>
        </is>
      </c>
      <c r="I5" s="30" t="n">
        <v>3094508235000</v>
      </c>
      <c r="J5" s="24" t="inlineStr">
        <is>
          <t>883968714104.0</t>
        </is>
      </c>
      <c r="K5" s="24" t="inlineStr">
        <is>
          <t>156233146521.0</t>
        </is>
      </c>
      <c r="L5" s="24" t="inlineStr">
        <is>
          <t>148134823618.0</t>
        </is>
      </c>
      <c r="M5" s="24" t="inlineStr">
        <is>
          <t>1600348080121.0</t>
        </is>
      </c>
      <c r="N5" s="24" t="inlineStr">
        <is>
          <t>423081692446.0</t>
        </is>
      </c>
      <c r="O5" s="24" t="inlineStr">
        <is>
          <t>1177266387675.0</t>
        </is>
      </c>
      <c r="P5" s="24" t="inlineStr">
        <is>
          <t>200066983741.0</t>
        </is>
      </c>
      <c r="Q5" s="24" t="inlineStr">
        <is>
          <t>0.226328127397348</t>
        </is>
      </c>
      <c r="R5" s="24" t="inlineStr">
        <is>
          <t>1.158102766798419</t>
        </is>
      </c>
      <c r="S5" s="24" t="inlineStr">
        <is>
          <t>0.4843105452716801</t>
        </is>
      </c>
      <c r="T5" s="24" t="inlineStr">
        <is>
          <t>-0.6348547717842323</t>
        </is>
      </c>
      <c r="U5" s="24" t="inlineStr">
        <is>
          <t>338000.0</t>
        </is>
      </c>
      <c r="V5" s="24" t="inlineStr">
        <is>
          <t>112100.0</t>
        </is>
      </c>
      <c r="W5" s="24" t="inlineStr">
        <is>
          <t>OK</t>
        </is>
      </c>
      <c r="X5" s="24" t="inlineStr">
        <is>
          <t>yfinance price rows for 014680.KS: 728 | price provider selected: yfinance, rows=728 | DART corp_code resolved from cache for 한솔케미칼/014680.</t>
        </is>
      </c>
      <c r="Y5" s="30" t="n">
        <v>3517589927446</v>
      </c>
      <c r="Z5" s="42" t="n">
        <v>3.500698820700488</v>
      </c>
      <c r="AA5" s="42" t="n">
        <v>20.88980942779469</v>
      </c>
      <c r="AB5" s="42" t="n">
        <v>2.628553968241111</v>
      </c>
      <c r="AC5" s="42" t="n">
        <v>3.979314959140229</v>
      </c>
      <c r="AD5" s="42" t="n">
        <v>22.51500405500176</v>
      </c>
      <c r="AE5" s="42" t="n">
        <v>15.46736086652881</v>
      </c>
      <c r="AF5" s="35" t="n">
        <v>0.1767405837200467</v>
      </c>
      <c r="AG5" s="35" t="n">
        <v>0.1258294852964872</v>
      </c>
      <c r="AH5" s="35" t="n">
        <v>0.3593763458086576</v>
      </c>
      <c r="AI5" s="24" t="inlineStr">
        <is>
          <t>OK</t>
        </is>
      </c>
    </row>
    <row r="6" ht="24" customHeight="1">
      <c r="A6" s="29" t="inlineStr">
        <is>
          <t>duksan</t>
        </is>
      </c>
      <c r="B6" s="29" t="inlineStr">
        <is>
          <t>덕산테코피아</t>
        </is>
      </c>
      <c r="C6" s="29" t="inlineStr">
        <is>
          <t>317330</t>
        </is>
      </c>
      <c r="D6" s="29" t="inlineStr">
        <is>
          <t>KOSDAQ</t>
        </is>
      </c>
      <c r="E6" s="29" t="b">
        <v>0</v>
      </c>
      <c r="F6" s="29" t="inlineStr">
        <is>
          <t>2025</t>
        </is>
      </c>
      <c r="G6" s="29" t="inlineStr">
        <is>
          <t>20450.0</t>
        </is>
      </c>
      <c r="H6" s="29" t="inlineStr">
        <is>
          <t>20476584.0</t>
        </is>
      </c>
      <c r="I6" s="31" t="n">
        <v>418746142800</v>
      </c>
      <c r="J6" s="29" t="inlineStr">
        <is>
          <t>112078954483.0</t>
        </is>
      </c>
      <c r="K6" s="29" t="inlineStr">
        <is>
          <t>-43026410473.0</t>
        </is>
      </c>
      <c r="L6" s="29" t="inlineStr">
        <is>
          <t>-105550462258.0</t>
        </is>
      </c>
      <c r="M6" s="29" t="inlineStr">
        <is>
          <t>646705781509.0</t>
        </is>
      </c>
      <c r="N6" s="29" t="inlineStr">
        <is>
          <t>540230144773.0</t>
        </is>
      </c>
      <c r="O6" s="29" t="inlineStr">
        <is>
          <t>106475636736.0</t>
        </is>
      </c>
      <c r="P6" s="29" t="inlineStr">
        <is>
          <t>-21599848348.0</t>
        </is>
      </c>
      <c r="Q6" s="29" t="inlineStr">
        <is>
          <t>-0.19271993076341767</t>
        </is>
      </c>
      <c r="R6" s="29" t="inlineStr">
        <is>
          <t>0.02301150575287636</t>
        </is>
      </c>
      <c r="S6" s="29" t="inlineStr">
        <is>
          <t>0.7377246580182226</t>
        </is>
      </c>
      <c r="T6" s="29" t="inlineStr">
        <is>
          <t>-0.7666123778501629</t>
        </is>
      </c>
      <c r="U6" s="29" t="inlineStr">
        <is>
          <t>31250.0</t>
        </is>
      </c>
      <c r="V6" s="29" t="inlineStr">
        <is>
          <t>14330.0</t>
        </is>
      </c>
      <c r="W6" s="29" t="inlineStr">
        <is>
          <t>OK</t>
        </is>
      </c>
      <c r="X6" s="29" t="inlineStr">
        <is>
          <t>yfinance price rows for 317330.KQ: 728 | price provider selected: yfinance, rows=728 | DART corp_code resolved from cache for 덕산테코피아/317330.</t>
        </is>
      </c>
      <c r="Y6" s="31" t="n">
        <v>958976287573</v>
      </c>
      <c r="Z6" s="43" t="n">
        <v>3.736171029892279</v>
      </c>
      <c r="AA6" s="43" t="n">
        <v>-3.967260150660893</v>
      </c>
      <c r="AB6" s="43" t="n">
        <v>3.932788341414254</v>
      </c>
      <c r="AC6" s="43" t="n">
        <v>8.556256542511345</v>
      </c>
      <c r="AD6" s="43" t="n">
        <v>-22.2880848537151</v>
      </c>
      <c r="AE6" s="43" t="n">
        <v>-19.3865316114024</v>
      </c>
      <c r="AF6" s="36" t="n">
        <v>-0.3838937530375178</v>
      </c>
      <c r="AG6" s="36" t="n">
        <v>-0.9913109279609765</v>
      </c>
      <c r="AH6" s="36" t="n">
        <v>5.073744204155064</v>
      </c>
      <c r="AI6" s="29" t="inlineStr">
        <is>
          <t>OK</t>
        </is>
      </c>
    </row>
    <row r="7" ht="24" customHeight="1">
      <c r="A7" s="24" t="inlineStr">
        <is>
          <t>ltc</t>
        </is>
      </c>
      <c r="B7" s="24" t="inlineStr">
        <is>
          <t>엘티씨</t>
        </is>
      </c>
      <c r="C7" s="24" t="inlineStr">
        <is>
          <t>170920</t>
        </is>
      </c>
      <c r="D7" s="24" t="inlineStr">
        <is>
          <t>KOSDAQ</t>
        </is>
      </c>
      <c r="E7" s="24" t="b">
        <v>0</v>
      </c>
      <c r="F7" s="24" t="inlineStr">
        <is>
          <t>2025</t>
        </is>
      </c>
      <c r="G7" s="24" t="inlineStr">
        <is>
          <t>41550.0</t>
        </is>
      </c>
      <c r="H7" s="24" t="inlineStr">
        <is>
          <t>10564126.0</t>
        </is>
      </c>
      <c r="I7" s="30" t="n">
        <v>438939435300</v>
      </c>
      <c r="J7" s="24" t="inlineStr">
        <is>
          <t>310384726014.0</t>
        </is>
      </c>
      <c r="K7" s="24" t="inlineStr">
        <is>
          <t>29629435023.0</t>
        </is>
      </c>
      <c r="L7" s="24" t="inlineStr">
        <is>
          <t>18189648458.0</t>
        </is>
      </c>
      <c r="M7" s="24" t="inlineStr">
        <is>
          <t>383387868522.0</t>
        </is>
      </c>
      <c r="N7" s="24" t="inlineStr">
        <is>
          <t>159648759353.0</t>
        </is>
      </c>
      <c r="O7" s="24" t="inlineStr">
        <is>
          <t>223739109169.0</t>
        </is>
      </c>
      <c r="P7" s="24" t="inlineStr">
        <is>
          <t>24709885929.0</t>
        </is>
      </c>
      <c r="Q7" s="24" t="inlineStr">
        <is>
          <t>0.07961050869457234</t>
        </is>
      </c>
      <c r="R7" s="24" t="inlineStr">
        <is>
          <t>2.654353562005277</t>
        </is>
      </c>
      <c r="S7" s="24" t="inlineStr">
        <is>
          <t>0.6756801201153588</t>
        </is>
      </c>
      <c r="T7" s="24" t="inlineStr">
        <is>
          <t>-0.5848765432098766</t>
        </is>
      </c>
      <c r="U7" s="24" t="inlineStr">
        <is>
          <t>49650.0</t>
        </is>
      </c>
      <c r="V7" s="24" t="inlineStr">
        <is>
          <t>9260.0</t>
        </is>
      </c>
      <c r="W7" s="24" t="inlineStr">
        <is>
          <t>OK</t>
        </is>
      </c>
      <c r="X7" s="24" t="inlineStr">
        <is>
          <t>yfinance price rows for 170920.KQ: 727 | price provider selected: yfinance, rows=727 | DART corp_code resolved from cache for 엘티씨/170920.</t>
        </is>
      </c>
      <c r="Y7" s="30" t="n">
        <v>598588194653</v>
      </c>
      <c r="Z7" s="42" t="n">
        <v>1.414178593569716</v>
      </c>
      <c r="AA7" s="42" t="n">
        <v>24.1312764407467</v>
      </c>
      <c r="AB7" s="42" t="n">
        <v>1.961835983571606</v>
      </c>
      <c r="AC7" s="42" t="n">
        <v>1.928536247063912</v>
      </c>
      <c r="AD7" s="42" t="n">
        <v>20.20248425892505</v>
      </c>
      <c r="AE7" s="42" t="n">
        <v>17.76371758903396</v>
      </c>
      <c r="AF7" s="35" t="n">
        <v>0.09546035142742029</v>
      </c>
      <c r="AG7" s="35" t="n">
        <v>0.08129847537857388</v>
      </c>
      <c r="AH7" s="35" t="n">
        <v>0.7135487396278595</v>
      </c>
      <c r="AI7" s="24" t="inlineStr">
        <is>
          <t>OK</t>
        </is>
      </c>
    </row>
  </sheetData>
  <autoFilter ref="A2:AI7"/>
  <mergeCells count="1">
    <mergeCell ref="A1:F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ML 보조판단 요인</t>
        </is>
      </c>
    </row>
    <row r="2" ht="24" customHeight="1">
      <c r="A2" s="25" t="inlineStr">
        <is>
          <t>요인</t>
        </is>
      </c>
      <c r="B2" s="25" t="inlineStr">
        <is>
          <t>요인 코드</t>
        </is>
      </c>
      <c r="C2" s="25" t="inlineStr">
        <is>
          <t>점수</t>
        </is>
      </c>
      <c r="D2" s="25" t="inlineStr">
        <is>
          <t>해석</t>
        </is>
      </c>
    </row>
    <row r="3" ht="24" customHeight="1">
      <c r="A3" s="24" t="inlineStr">
        <is>
          <t>영업이익률 peer percentile</t>
        </is>
      </c>
      <c r="B3" s="24" t="inlineStr">
        <is>
          <t>operating_margin_percentile</t>
        </is>
      </c>
      <c r="C3" s="30" t="n">
        <v>20</v>
      </c>
      <c r="D3" s="24" t="inlineStr">
        <is>
          <t>높을수록 우수</t>
        </is>
      </c>
    </row>
    <row r="4" ht="24" customHeight="1">
      <c r="A4" s="29" t="inlineStr">
        <is>
          <t>ROE peer percentile</t>
        </is>
      </c>
      <c r="B4" s="29" t="inlineStr">
        <is>
          <t>roe_percentile</t>
        </is>
      </c>
      <c r="C4" s="31" t="n">
        <v>20</v>
      </c>
      <c r="D4" s="29" t="inlineStr">
        <is>
          <t>높을수록 우수</t>
        </is>
      </c>
    </row>
    <row r="5" ht="24" customHeight="1">
      <c r="A5" s="24" t="inlineStr">
        <is>
          <t>FCF margin peer percentile</t>
        </is>
      </c>
      <c r="B5" s="24" t="inlineStr">
        <is>
          <t>fcf_margin_percentile</t>
        </is>
      </c>
      <c r="C5" s="30" t="n">
        <v>20</v>
      </c>
      <c r="D5" s="24" t="inlineStr">
        <is>
          <t>높을수록 우수</t>
        </is>
      </c>
    </row>
    <row r="6" ht="24" customHeight="1">
      <c r="A6" s="29" t="inlineStr">
        <is>
          <t>부채비율 안정성</t>
        </is>
      </c>
      <c r="B6" s="29" t="inlineStr">
        <is>
          <t>debt_ratio_inverse_percentile</t>
        </is>
      </c>
      <c r="C6" s="31" t="n">
        <v>40</v>
      </c>
      <c r="D6" s="29" t="inlineStr">
        <is>
          <t>낮을수록 우수</t>
        </is>
      </c>
    </row>
    <row r="7" ht="24" customHeight="1">
      <c r="A7" s="24" t="inlineStr">
        <is>
          <t>PSR 상대 매력도</t>
        </is>
      </c>
      <c r="B7" s="24" t="inlineStr">
        <is>
          <t>psr_inverse_percentile</t>
        </is>
      </c>
      <c r="C7" s="30" t="n">
        <v>100</v>
      </c>
      <c r="D7" s="24" t="inlineStr">
        <is>
          <t>낮은 PSR일수록 상대가치 부담이 낮음</t>
        </is>
      </c>
    </row>
    <row r="8" ht="24" customHeight="1">
      <c r="A8" s="29" t="inlineStr">
        <is>
          <t>변동성 안정성</t>
        </is>
      </c>
      <c r="B8" s="29" t="inlineStr">
        <is>
          <t>volatility_inverse_score</t>
        </is>
      </c>
      <c r="C8" s="31" t="n">
        <v>5.674101284366515</v>
      </c>
      <c r="D8" s="29" t="inlineStr">
        <is>
          <t>낮을수록 우수</t>
        </is>
      </c>
    </row>
    <row r="9" ht="24" customHeight="1">
      <c r="A9" s="24" t="inlineStr">
        <is>
          <t>MDD 방어력</t>
        </is>
      </c>
      <c r="B9" s="24" t="inlineStr">
        <is>
          <t>mdd_resilience_score</t>
        </is>
      </c>
      <c r="C9" s="30" t="n">
        <v>0.2384105960264833</v>
      </c>
      <c r="D9" s="24" t="inlineStr">
        <is>
          <t>낙폭이 작을수록 우수</t>
        </is>
      </c>
    </row>
    <row r="10" ht="24" customHeight="1">
      <c r="A10" s="29" t="inlineStr">
        <is>
          <t>208개 반도체 valuation proxy percentile</t>
        </is>
      </c>
      <c r="B10" s="29" t="inlineStr">
        <is>
          <t>reference_208_valuation_proxy_percentile</t>
        </is>
      </c>
      <c r="C10" s="31" t="n">
        <v>88.94</v>
      </c>
      <c r="D10" s="29" t="inlineStr">
        <is>
          <t>높을수록 universe 내 가치평가 proxy 우호</t>
        </is>
      </c>
    </row>
    <row r="11" ht="24" customHeight="1">
      <c r="A11" s="24" t="inlineStr">
        <is>
          <t>208개 반도체 credit risk inverse percentile</t>
        </is>
      </c>
      <c r="B11" s="24" t="inlineStr">
        <is>
          <t>reference_208_credit_risk_inverse_percentile</t>
        </is>
      </c>
      <c r="C11" s="30" t="n">
        <v>77.88</v>
      </c>
      <c r="D11" s="24" t="inlineStr">
        <is>
          <t>낮은 신용위험 proxy일수록 우수</t>
        </is>
      </c>
    </row>
    <row r="12" ht="24" customHeight="1">
      <c r="A12" s="29" t="inlineStr">
        <is>
          <t>208개 universe confidence</t>
        </is>
      </c>
      <c r="B12" s="29" t="inlineStr">
        <is>
          <t>reference_208_confidence_score</t>
        </is>
      </c>
      <c r="C12" s="31" t="n">
        <v>80.81285126404394</v>
      </c>
      <c r="D12" s="29" t="inlineStr">
        <is>
          <t>높을수록 보조판단 신뢰도 우수</t>
        </is>
      </c>
    </row>
    <row r="13" ht="24" customHeight="1"/>
    <row r="14" ht="24" customHeight="1"/>
    <row r="15" ht="24" customHeight="1">
      <c r="A15" s="22" t="inlineStr">
        <is>
          <t>ML 보조판단 요약</t>
        </is>
      </c>
    </row>
    <row r="16" ht="24" customHeight="1">
      <c r="A16" s="25" t="inlineStr">
        <is>
          <t>항목</t>
        </is>
      </c>
      <c r="B16" s="25" t="inlineStr">
        <is>
          <t>값</t>
        </is>
      </c>
    </row>
    <row r="17" ht="24" customHeight="1">
      <c r="A17" s="24" t="inlineStr">
        <is>
          <t>방법</t>
        </is>
      </c>
      <c r="B17" s="24" t="inlineStr">
        <is>
          <t>실시간 DART·주가 기반 PSR/Peer + 208개 반도체 reference universe 보조판단</t>
        </is>
      </c>
    </row>
    <row r="18" ht="24" customHeight="1">
      <c r="A18" s="29" t="inlineStr">
        <is>
          <t>종합점수</t>
        </is>
      </c>
      <c r="B18" s="31" t="n">
        <v>42.71</v>
      </c>
    </row>
    <row r="19" ht="24" customHeight="1">
      <c r="A19" s="24" t="inlineStr">
        <is>
          <t>라벨</t>
        </is>
      </c>
      <c r="B19" s="24" t="inlineStr">
        <is>
          <t>가치평가 보조근거 주의</t>
        </is>
      </c>
    </row>
    <row r="20" ht="24" customHeight="1">
      <c r="A20" s="29" t="inlineStr">
        <is>
          <t>클러스터</t>
        </is>
      </c>
      <c r="B20" s="29" t="inlineStr">
        <is>
          <t>팹리스/설계</t>
        </is>
      </c>
    </row>
    <row r="21" ht="24" customHeight="1">
      <c r="A21" s="24" t="inlineStr">
        <is>
          <t>주의</t>
        </is>
      </c>
      <c r="B21" s="24" t="inlineStr">
        <is>
          <t>미래수익률 예측모델이 아니라 대시보드/Chair용 설명가능 보조 가치평가 점수입니다.</t>
        </is>
      </c>
    </row>
  </sheetData>
  <autoFilter ref="A16:B21"/>
  <mergeCells count="2">
    <mergeCell ref="A1:F1"/>
    <mergeCell ref="A15:F15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WACC × 영구성장률 민감도</t>
        </is>
      </c>
    </row>
    <row r="2" ht="24" customHeight="1">
      <c r="A2" s="25" t="inlineStr">
        <is>
          <t>WACC</t>
        </is>
      </c>
      <c r="B2" s="25" t="inlineStr">
        <is>
          <t>영구성장률</t>
        </is>
      </c>
      <c r="C2" s="25" t="inlineStr">
        <is>
          <t>기업가치(EV)</t>
        </is>
      </c>
    </row>
    <row r="3" ht="24" customHeight="1">
      <c r="A3" s="35" t="n">
        <v>0.08917143466580578</v>
      </c>
      <c r="B3" s="35" t="n">
        <v>0.004999999999999999</v>
      </c>
      <c r="C3" s="30" t="n">
        <v>233679483255.5695</v>
      </c>
    </row>
    <row r="4" ht="24" customHeight="1">
      <c r="A4" s="36" t="n">
        <v>0.08917143466580578</v>
      </c>
      <c r="B4" s="36" t="n">
        <v>0.009999999999999998</v>
      </c>
      <c r="C4" s="31" t="n">
        <v>244569687250.4283</v>
      </c>
    </row>
    <row r="5" ht="24" customHeight="1">
      <c r="A5" s="35" t="n">
        <v>0.08917143466580578</v>
      </c>
      <c r="B5" s="35" t="n">
        <v>0.015</v>
      </c>
      <c r="C5" s="30" t="n">
        <v>256928138966.7889</v>
      </c>
    </row>
    <row r="6" ht="24" customHeight="1">
      <c r="A6" s="36" t="n">
        <v>0.08917143466580578</v>
      </c>
      <c r="B6" s="36" t="n">
        <v>0.02</v>
      </c>
      <c r="C6" s="31" t="n">
        <v>271073231624.7563</v>
      </c>
    </row>
    <row r="7" ht="24" customHeight="1">
      <c r="A7" s="35" t="n">
        <v>0.08917143466580578</v>
      </c>
      <c r="B7" s="35" t="n">
        <v>0.025</v>
      </c>
      <c r="C7" s="30" t="n">
        <v>287422590516.077</v>
      </c>
    </row>
    <row r="8" ht="24" customHeight="1">
      <c r="A8" s="36" t="n">
        <v>0.09917143466580577</v>
      </c>
      <c r="B8" s="36" t="n">
        <v>0.004999999999999999</v>
      </c>
      <c r="C8" s="31" t="n">
        <v>210430822036.7873</v>
      </c>
    </row>
    <row r="9" ht="24" customHeight="1">
      <c r="A9" s="35" t="n">
        <v>0.09917143466580577</v>
      </c>
      <c r="B9" s="35" t="n">
        <v>0.009999999999999998</v>
      </c>
      <c r="C9" s="30" t="n">
        <v>218762789321.4418</v>
      </c>
    </row>
    <row r="10" ht="24" customHeight="1">
      <c r="A10" s="36" t="n">
        <v>0.09917143466580577</v>
      </c>
      <c r="B10" s="36" t="n">
        <v>0.015</v>
      </c>
      <c r="C10" s="31" t="n">
        <v>228084637236.9465</v>
      </c>
    </row>
    <row r="11" ht="24" customHeight="1">
      <c r="A11" s="35" t="n">
        <v>0.09917143466580577</v>
      </c>
      <c r="B11" s="35" t="n">
        <v>0.02</v>
      </c>
      <c r="C11" s="30" t="n">
        <v>238583910818.0151</v>
      </c>
    </row>
    <row r="12" ht="24" customHeight="1">
      <c r="A12" s="36" t="n">
        <v>0.09917143466580577</v>
      </c>
      <c r="B12" s="36" t="n">
        <v>0.025</v>
      </c>
      <c r="C12" s="31" t="n">
        <v>250498725790.2372</v>
      </c>
    </row>
    <row r="13" ht="24" customHeight="1">
      <c r="A13" s="35" t="n">
        <v>0.1041714346658058</v>
      </c>
      <c r="B13" s="35" t="n">
        <v>0.004999999999999999</v>
      </c>
      <c r="C13" s="30" t="n">
        <v>200686151224.7729</v>
      </c>
    </row>
    <row r="14" ht="24" customHeight="1">
      <c r="A14" s="36" t="n">
        <v>0.1041714346658058</v>
      </c>
      <c r="B14" s="36" t="n">
        <v>0.009999999999999998</v>
      </c>
      <c r="C14" s="31" t="n">
        <v>208043179365.5827</v>
      </c>
    </row>
    <row r="15" ht="24" customHeight="1">
      <c r="A15" s="35" t="n">
        <v>0.1041714346658058</v>
      </c>
      <c r="B15" s="35" t="n">
        <v>0.015</v>
      </c>
      <c r="C15" s="30" t="n">
        <v>216225250657.0812</v>
      </c>
    </row>
    <row r="16" ht="24" customHeight="1">
      <c r="A16" s="36" t="n">
        <v>0.1041714346658058</v>
      </c>
      <c r="B16" s="36" t="n">
        <v>0.02</v>
      </c>
      <c r="C16" s="31" t="n">
        <v>225379394163.3381</v>
      </c>
    </row>
    <row r="17" ht="24" customHeight="1">
      <c r="A17" s="35" t="n">
        <v>0.1041714346658058</v>
      </c>
      <c r="B17" s="35" t="n">
        <v>0.025</v>
      </c>
      <c r="C17" s="30" t="n">
        <v>235689780896.0689</v>
      </c>
    </row>
    <row r="18" ht="24" customHeight="1">
      <c r="A18" s="36" t="n">
        <v>0.1091714346658058</v>
      </c>
      <c r="B18" s="36" t="n">
        <v>0.004999999999999999</v>
      </c>
      <c r="C18" s="31" t="n">
        <v>191950792729.202</v>
      </c>
    </row>
    <row r="19" ht="24" customHeight="1">
      <c r="A19" s="35" t="n">
        <v>0.1091714346658058</v>
      </c>
      <c r="B19" s="35" t="n">
        <v>0.009999999999999998</v>
      </c>
      <c r="C19" s="30" t="n">
        <v>198482463464.8721</v>
      </c>
    </row>
    <row r="20" ht="24" customHeight="1">
      <c r="A20" s="36" t="n">
        <v>0.1091714346658058</v>
      </c>
      <c r="B20" s="36" t="n">
        <v>0.015</v>
      </c>
      <c r="C20" s="31" t="n">
        <v>205707727832.0771</v>
      </c>
    </row>
    <row r="21" ht="24" customHeight="1">
      <c r="A21" s="35" t="n">
        <v>0.1091714346658058</v>
      </c>
      <c r="B21" s="35" t="n">
        <v>0.02</v>
      </c>
      <c r="C21" s="30" t="n">
        <v>213743258894.4725</v>
      </c>
    </row>
    <row r="22" ht="24" customHeight="1">
      <c r="A22" s="36" t="n">
        <v>0.1091714346658058</v>
      </c>
      <c r="B22" s="36" t="n">
        <v>0.025</v>
      </c>
      <c r="C22" s="31" t="n">
        <v>222733452437.5894</v>
      </c>
    </row>
    <row r="23" ht="24" customHeight="1">
      <c r="A23" s="35" t="n">
        <v>0.1191714346658058</v>
      </c>
      <c r="B23" s="35" t="n">
        <v>0.004999999999999999</v>
      </c>
      <c r="C23" s="30" t="n">
        <v>176969274748.5548</v>
      </c>
    </row>
    <row r="24" ht="24" customHeight="1">
      <c r="A24" s="36" t="n">
        <v>0.1191714346658058</v>
      </c>
      <c r="B24" s="36" t="n">
        <v>0.009999999999999998</v>
      </c>
      <c r="C24" s="31" t="n">
        <v>182192049392.7701</v>
      </c>
    </row>
    <row r="25" ht="24" customHeight="1">
      <c r="A25" s="35" t="n">
        <v>0.1191714346658058</v>
      </c>
      <c r="B25" s="35" t="n">
        <v>0.015</v>
      </c>
      <c r="C25" s="30" t="n">
        <v>187916187454.0267</v>
      </c>
    </row>
    <row r="26" ht="24" customHeight="1">
      <c r="A26" s="36" t="n">
        <v>0.1191714346658058</v>
      </c>
      <c r="B26" s="36" t="n">
        <v>0.02</v>
      </c>
      <c r="C26" s="31" t="n">
        <v>194217521769.4816</v>
      </c>
    </row>
    <row r="27" ht="24" customHeight="1">
      <c r="A27" s="35" t="n">
        <v>0.1191714346658058</v>
      </c>
      <c r="B27" s="35" t="n">
        <v>0.025</v>
      </c>
      <c r="C27" s="30" t="n">
        <v>201187990450.1309</v>
      </c>
    </row>
  </sheetData>
  <autoFilter ref="A2:C27"/>
  <mergeCells count="1">
    <mergeCell ref="A1:F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검증 체크</t>
        </is>
      </c>
    </row>
    <row r="2" ht="24" customHeight="1">
      <c r="A2" s="25" t="inlineStr">
        <is>
          <t>중요도</t>
        </is>
      </c>
      <c r="B2" s="25" t="inlineStr">
        <is>
          <t>코드</t>
        </is>
      </c>
      <c r="C2" s="25" t="inlineStr">
        <is>
          <t>메시지</t>
        </is>
      </c>
    </row>
    <row r="3" ht="24" customHeight="1">
      <c r="A3" s="24" t="inlineStr">
        <is>
          <t>INFO</t>
        </is>
      </c>
      <c r="B3" s="24" t="inlineStr">
        <is>
          <t>NO_MAJOR_WARNINGS</t>
        </is>
      </c>
      <c r="C3" s="24" t="inlineStr">
        <is>
          <t>주요 validation warning 없음</t>
        </is>
      </c>
    </row>
  </sheetData>
  <autoFilter ref="A2:C3"/>
  <mergeCells count="1">
    <mergeCell ref="A1:F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대시보드 JSON 내보내기</t>
        </is>
      </c>
    </row>
    <row r="2" ht="24" customHeight="1">
      <c r="A2" s="25" t="inlineStr">
        <is>
          <t>구분</t>
        </is>
      </c>
      <c r="B2" s="25" t="inlineStr">
        <is>
          <t>항목</t>
        </is>
      </c>
      <c r="C2" s="25" t="inlineStr">
        <is>
          <t>값</t>
        </is>
      </c>
      <c r="D2" s="25" t="inlineStr">
        <is>
          <t>설명</t>
        </is>
      </c>
    </row>
    <row r="3" ht="24" customHeight="1">
      <c r="A3" s="24" t="inlineStr">
        <is>
          <t>agent</t>
        </is>
      </c>
      <c r="B3" s="24" t="inlineStr">
        <is>
          <t>값</t>
        </is>
      </c>
      <c r="C3" s="24" t="inlineStr">
        <is>
          <t>valuation</t>
        </is>
      </c>
      <c r="D3" s="24" t="inlineStr">
        <is>
          <t>대시보드 기본값</t>
        </is>
      </c>
    </row>
    <row r="4" ht="24" customHeight="1">
      <c r="A4" s="29" t="inlineStr">
        <is>
          <t>기업코드</t>
        </is>
      </c>
      <c r="B4" s="29" t="inlineStr">
        <is>
          <t>값</t>
        </is>
      </c>
      <c r="C4" s="29" t="inlineStr">
        <is>
          <t>abov</t>
        </is>
      </c>
      <c r="D4" s="29" t="inlineStr">
        <is>
          <t>대시보드 기본값</t>
        </is>
      </c>
    </row>
    <row r="5" ht="24" customHeight="1">
      <c r="A5" s="24" t="inlineStr">
        <is>
          <t>기업명</t>
        </is>
      </c>
      <c r="B5" s="24" t="inlineStr">
        <is>
          <t>값</t>
        </is>
      </c>
      <c r="C5" s="24" t="inlineStr">
        <is>
          <t>어보브반도체</t>
        </is>
      </c>
      <c r="D5" s="24" t="inlineStr">
        <is>
          <t>대시보드 기본값</t>
        </is>
      </c>
    </row>
    <row r="6" ht="24" customHeight="1">
      <c r="A6" s="29" t="inlineStr">
        <is>
          <t>상태</t>
        </is>
      </c>
      <c r="B6" s="29" t="inlineStr">
        <is>
          <t>값</t>
        </is>
      </c>
      <c r="C6" s="29" t="inlineStr">
        <is>
          <t>PASS</t>
        </is>
      </c>
      <c r="D6" s="29" t="inlineStr">
        <is>
          <t>대시보드 기본값</t>
        </is>
      </c>
    </row>
    <row r="7" ht="24" customHeight="1">
      <c r="A7" s="24" t="inlineStr">
        <is>
          <t>korean_label</t>
        </is>
      </c>
      <c r="B7" s="24" t="inlineStr">
        <is>
          <t>값</t>
        </is>
      </c>
      <c r="C7" s="24" t="inlineStr">
        <is>
          <t>독립 가치평가 에이전트</t>
        </is>
      </c>
      <c r="D7" s="24" t="inlineStr">
        <is>
          <t>대시보드 기본값</t>
        </is>
      </c>
    </row>
    <row r="8" ht="24" customHeight="1">
      <c r="A8" s="29" t="inlineStr">
        <is>
          <t>요약 카드</t>
        </is>
      </c>
      <c r="B8" s="29" t="inlineStr">
        <is>
          <t>상위 블록</t>
        </is>
      </c>
      <c r="C8" s="29" t="inlineStr">
        <is>
          <t>31개 항목</t>
        </is>
      </c>
      <c r="D8" s="29" t="inlineStr">
        <is>
          <t>대시보드에서 객체로 사용</t>
        </is>
      </c>
    </row>
    <row r="9" ht="24" customHeight="1">
      <c r="A9" s="24" t="inlineStr">
        <is>
          <t>요약 카드</t>
        </is>
      </c>
      <c r="B9" s="24" t="inlineStr">
        <is>
          <t>WACC</t>
        </is>
      </c>
      <c r="C9" s="24" t="inlineStr">
        <is>
          <t>WACC</t>
        </is>
      </c>
      <c r="D9" s="24" t="inlineStr">
        <is>
          <t>JSON 상세는 dashboard_payload 파일 참조</t>
        </is>
      </c>
    </row>
    <row r="10" ht="24" customHeight="1">
      <c r="A10" s="29" t="inlineStr">
        <is>
          <t>요약 카드</t>
        </is>
      </c>
      <c r="B10" s="29" t="inlineStr">
        <is>
          <t>기업가치(EV)</t>
        </is>
      </c>
      <c r="C10" s="29" t="inlineStr">
        <is>
          <t>DCF 기업가치</t>
        </is>
      </c>
      <c r="D10" s="29" t="inlineStr">
        <is>
          <t>JSON 상세는 dashboard_payload 파일 참조</t>
        </is>
      </c>
    </row>
    <row r="11" ht="24" customHeight="1">
      <c r="A11" s="24" t="inlineStr">
        <is>
          <t>요약 카드</t>
        </is>
      </c>
      <c r="B11" s="24" t="inlineStr">
        <is>
          <t>equity_value</t>
        </is>
      </c>
      <c r="C11" s="24" t="inlineStr">
        <is>
          <t>DCF 지분가치</t>
        </is>
      </c>
      <c r="D11" s="24" t="inlineStr">
        <is>
          <t>JSON 상세는 dashboard_payload 파일 참조</t>
        </is>
      </c>
    </row>
    <row r="12" ht="24" customHeight="1">
      <c r="A12" s="29" t="inlineStr">
        <is>
          <t>요약 카드</t>
        </is>
      </c>
      <c r="B12" s="29" t="inlineStr">
        <is>
          <t>latest_close</t>
        </is>
      </c>
      <c r="C12" s="29" t="inlineStr">
        <is>
          <t>현재가</t>
        </is>
      </c>
      <c r="D12" s="29" t="inlineStr">
        <is>
          <t>JSON 상세는 dashboard_payload 파일 참조</t>
        </is>
      </c>
    </row>
    <row r="13" ht="24" customHeight="1">
      <c r="A13" s="24" t="inlineStr">
        <is>
          <t>요약 카드</t>
        </is>
      </c>
      <c r="B13" s="24" t="inlineStr">
        <is>
          <t>implied_price</t>
        </is>
      </c>
      <c r="C13" s="24" t="inlineStr">
        <is>
          <t>DCF 내재주가</t>
        </is>
      </c>
      <c r="D13" s="24" t="inlineStr">
        <is>
          <t>JSON 상세는 dashboard_payload 파일 참조</t>
        </is>
      </c>
    </row>
    <row r="14" ht="24" customHeight="1">
      <c r="A14" s="29" t="inlineStr">
        <is>
          <t>요약 카드</t>
        </is>
      </c>
      <c r="B14" s="29" t="inlineStr">
        <is>
          <t>현재가 대비</t>
        </is>
      </c>
      <c r="C14" s="29" t="inlineStr">
        <is>
          <t>현재가 대비 괴리율</t>
        </is>
      </c>
      <c r="D14" s="29" t="inlineStr">
        <is>
          <t>JSON 상세는 dashboard_payload 파일 참조</t>
        </is>
      </c>
    </row>
    <row r="15" ht="24" customHeight="1">
      <c r="A15" s="24" t="inlineStr">
        <is>
          <t>요약 카드</t>
        </is>
      </c>
      <c r="B15" s="24" t="inlineStr">
        <is>
          <t>분석대상 P/S</t>
        </is>
      </c>
      <c r="C15" s="24" t="inlineStr">
        <is>
          <t>P/S</t>
        </is>
      </c>
      <c r="D15" s="24" t="inlineStr">
        <is>
          <t>JSON 상세는 dashboard_payload 파일 참조</t>
        </is>
      </c>
    </row>
    <row r="16" ht="24" customHeight="1">
      <c r="A16" s="29" t="inlineStr">
        <is>
          <t>요약 카드</t>
        </is>
      </c>
      <c r="B16" s="29" t="inlineStr">
        <is>
          <t>Peer P/S 중앙값</t>
        </is>
      </c>
      <c r="C16" s="29" t="inlineStr">
        <is>
          <t>비교기업 P/S 중앙값</t>
        </is>
      </c>
      <c r="D16" s="29" t="inlineStr">
        <is>
          <t>JSON 상세는 dashboard_payload 파일 참조</t>
        </is>
      </c>
    </row>
    <row r="17" ht="24" customHeight="1">
      <c r="A17" s="24" t="inlineStr">
        <is>
          <t>요약 카드</t>
        </is>
      </c>
      <c r="B17" s="24" t="inlineStr">
        <is>
          <t>psr_gap</t>
        </is>
      </c>
      <c r="C17" s="24" t="inlineStr">
        <is>
          <t>P/S 중앙값 대비</t>
        </is>
      </c>
      <c r="D17" s="24" t="inlineStr">
        <is>
          <t>JSON 상세는 dashboard_payload 파일 참조</t>
        </is>
      </c>
    </row>
    <row r="18" ht="24" customHeight="1">
      <c r="A18" s="29" t="inlineStr">
        <is>
          <t>요약 카드</t>
        </is>
      </c>
      <c r="B18" s="29" t="inlineStr">
        <is>
          <t>reference_rows</t>
        </is>
      </c>
      <c r="C18" s="29" t="inlineStr">
        <is>
          <t>208개 반도체 비교군</t>
        </is>
      </c>
      <c r="D18" s="29" t="inlineStr">
        <is>
          <t>JSON 상세는 dashboard_payload 파일 참조</t>
        </is>
      </c>
    </row>
    <row r="19" ht="24" customHeight="1">
      <c r="A19" s="24" t="inlineStr">
        <is>
          <t>요약 카드</t>
        </is>
      </c>
      <c r="B19" s="24" t="inlineStr">
        <is>
          <t>reference_peer_group</t>
        </is>
      </c>
      <c r="C19" s="24" t="inlineStr">
        <is>
          <t>기준 비교군 그룹</t>
        </is>
      </c>
      <c r="D19" s="24" t="inlineStr">
        <is>
          <t>JSON 상세는 dashboard_payload 파일 참조</t>
        </is>
      </c>
    </row>
    <row r="20" ht="24" customHeight="1">
      <c r="A20" s="29" t="inlineStr">
        <is>
          <t>요약 카드</t>
        </is>
      </c>
      <c r="B20" s="29" t="inlineStr">
        <is>
          <t>1년 수익률</t>
        </is>
      </c>
      <c r="C20" s="29" t="inlineStr">
        <is>
          <t>1년 수익률</t>
        </is>
      </c>
      <c r="D20" s="29" t="inlineStr">
        <is>
          <t>JSON 상세는 dashboard_payload 파일 참조</t>
        </is>
      </c>
    </row>
    <row r="21" ht="24" customHeight="1">
      <c r="A21" s="24" t="inlineStr">
        <is>
          <t>요약 카드</t>
        </is>
      </c>
      <c r="B21" s="24" t="inlineStr">
        <is>
          <t>MDD</t>
        </is>
      </c>
      <c r="C21" s="24" t="inlineStr">
        <is>
          <t>MDD</t>
        </is>
      </c>
      <c r="D21" s="24" t="inlineStr">
        <is>
          <t>JSON 상세는 dashboard_payload 파일 참조</t>
        </is>
      </c>
    </row>
    <row r="22" ht="24" customHeight="1">
      <c r="A22" s="29" t="inlineStr">
        <is>
          <t>요약 카드</t>
        </is>
      </c>
      <c r="B22" s="29" t="inlineStr">
        <is>
          <t>volatility</t>
        </is>
      </c>
      <c r="C22" s="29" t="inlineStr">
        <is>
          <t>연환산 변동성</t>
        </is>
      </c>
      <c r="D22" s="29" t="inlineStr">
        <is>
          <t>JSON 상세는 dashboard_payload 파일 참조</t>
        </is>
      </c>
    </row>
    <row r="23" ht="24" customHeight="1">
      <c r="A23" s="24" t="inlineStr">
        <is>
          <t>요약 카드</t>
        </is>
      </c>
      <c r="B23" s="24" t="inlineStr">
        <is>
          <t>시가총액</t>
        </is>
      </c>
      <c r="C23" s="24" t="inlineStr">
        <is>
          <t>시가총액</t>
        </is>
      </c>
      <c r="D23" s="24" t="inlineStr">
        <is>
          <t>JSON 상세는 dashboard_payload 파일 참조</t>
        </is>
      </c>
    </row>
    <row r="24" ht="24" customHeight="1">
      <c r="A24" s="29" t="inlineStr">
        <is>
          <t>요약 카드</t>
        </is>
      </c>
      <c r="B24" s="29" t="inlineStr">
        <is>
          <t>발행주식 수</t>
        </is>
      </c>
      <c r="C24" s="29" t="inlineStr">
        <is>
          <t>발행주식 수</t>
        </is>
      </c>
      <c r="D24" s="29" t="inlineStr">
        <is>
          <t>JSON 상세는 dashboard_payload 파일 참조</t>
        </is>
      </c>
    </row>
    <row r="25" ht="24" customHeight="1">
      <c r="A25" s="24" t="inlineStr">
        <is>
          <t>요약 카드</t>
        </is>
      </c>
      <c r="B25" s="24" t="inlineStr">
        <is>
          <t>20일 평균 거래대금</t>
        </is>
      </c>
      <c r="C25" s="24" t="inlineStr">
        <is>
          <t>20일 평균 거래대금</t>
        </is>
      </c>
      <c r="D25" s="24" t="inlineStr">
        <is>
          <t>JSON 상세는 dashboard_payload 파일 참조</t>
        </is>
      </c>
    </row>
    <row r="26" ht="24" customHeight="1">
      <c r="A26" s="29" t="inlineStr">
        <is>
          <t>요약 카드</t>
        </is>
      </c>
      <c r="B26" s="29" t="inlineStr">
        <is>
          <t>최근 거래회전율</t>
        </is>
      </c>
      <c r="C26" s="29" t="inlineStr">
        <is>
          <t>최근 거래회전율</t>
        </is>
      </c>
      <c r="D26" s="29" t="inlineStr">
        <is>
          <t>JSON 상세는 dashboard_payload 파일 참조</t>
        </is>
      </c>
    </row>
    <row r="27" ht="24" customHeight="1">
      <c r="A27" s="24" t="inlineStr">
        <is>
          <t>latest_financials</t>
        </is>
      </c>
      <c r="B27" s="24" t="inlineStr">
        <is>
          <t>상위 블록</t>
        </is>
      </c>
      <c r="C27" s="24" t="inlineStr">
        <is>
          <t>37개 항목</t>
        </is>
      </c>
      <c r="D27" s="24" t="inlineStr">
        <is>
          <t>대시보드에서 객체로 사용</t>
        </is>
      </c>
    </row>
    <row r="28" ht="24" customHeight="1">
      <c r="A28" s="29" t="inlineStr">
        <is>
          <t>latest_financials</t>
        </is>
      </c>
      <c r="B28" s="29" t="inlineStr">
        <is>
          <t>연도</t>
        </is>
      </c>
      <c r="C28" s="31" t="n">
        <v>2025</v>
      </c>
      <c r="D28" s="29" t="inlineStr">
        <is>
          <t>JSON 상세는 dashboard_payload 파일 참조</t>
        </is>
      </c>
    </row>
    <row r="29" ht="24" customHeight="1">
      <c r="A29" s="24" t="inlineStr">
        <is>
          <t>latest_financials</t>
        </is>
      </c>
      <c r="B29" s="24" t="inlineStr">
        <is>
          <t>매출액</t>
        </is>
      </c>
      <c r="C29" s="30" t="n">
        <v>244123643799</v>
      </c>
      <c r="D29" s="24" t="inlineStr">
        <is>
          <t>JSON 상세는 dashboard_payload 파일 참조</t>
        </is>
      </c>
    </row>
    <row r="30" ht="24" customHeight="1">
      <c r="A30" s="29" t="inlineStr">
        <is>
          <t>latest_financials</t>
        </is>
      </c>
      <c r="B30" s="29" t="inlineStr">
        <is>
          <t>영업이익</t>
        </is>
      </c>
      <c r="C30" s="31" t="n">
        <v>10148185090</v>
      </c>
      <c r="D30" s="29" t="inlineStr">
        <is>
          <t>JSON 상세는 dashboard_payload 파일 참조</t>
        </is>
      </c>
    </row>
    <row r="31" ht="24" customHeight="1">
      <c r="A31" s="24" t="inlineStr">
        <is>
          <t>latest_financials</t>
        </is>
      </c>
      <c r="B31" s="24" t="inlineStr">
        <is>
          <t>순이익</t>
        </is>
      </c>
      <c r="C31" s="30" t="n">
        <v>1959422969</v>
      </c>
      <c r="D31" s="24" t="inlineStr">
        <is>
          <t>JSON 상세는 dashboard_payload 파일 참조</t>
        </is>
      </c>
    </row>
    <row r="32" ht="24" customHeight="1">
      <c r="A32" s="29" t="inlineStr">
        <is>
          <t>latest_financials</t>
        </is>
      </c>
      <c r="B32" s="29" t="inlineStr">
        <is>
          <t>자산총계</t>
        </is>
      </c>
      <c r="C32" s="31" t="n">
        <v>286055183481</v>
      </c>
      <c r="D32" s="29" t="inlineStr">
        <is>
          <t>JSON 상세는 dashboard_payload 파일 참조</t>
        </is>
      </c>
    </row>
    <row r="33" ht="24" customHeight="1">
      <c r="A33" s="24" t="inlineStr">
        <is>
          <t>latest_financials</t>
        </is>
      </c>
      <c r="B33" s="24" t="inlineStr">
        <is>
          <t>부채총계</t>
        </is>
      </c>
      <c r="C33" s="30" t="n">
        <v>131612644063</v>
      </c>
      <c r="D33" s="24" t="inlineStr">
        <is>
          <t>JSON 상세는 dashboard_payload 파일 참조</t>
        </is>
      </c>
    </row>
    <row r="34" ht="24" customHeight="1">
      <c r="A34" s="29" t="inlineStr">
        <is>
          <t>latest_financials</t>
        </is>
      </c>
      <c r="B34" s="29" t="inlineStr">
        <is>
          <t>자본총계</t>
        </is>
      </c>
      <c r="C34" s="31" t="n">
        <v>154442539418</v>
      </c>
      <c r="D34" s="29" t="inlineStr">
        <is>
          <t>JSON 상세는 dashboard_payload 파일 참조</t>
        </is>
      </c>
    </row>
    <row r="35" ht="24" customHeight="1">
      <c r="A35" s="24" t="inlineStr">
        <is>
          <t>latest_financials</t>
        </is>
      </c>
      <c r="B35" s="24" t="inlineStr">
        <is>
          <t>현금성자산</t>
        </is>
      </c>
      <c r="C35" s="30" t="n">
        <v>18270298972</v>
      </c>
      <c r="D35" s="24" t="inlineStr">
        <is>
          <t>JSON 상세는 dashboard_payload 파일 참조</t>
        </is>
      </c>
    </row>
    <row r="36" ht="24" customHeight="1">
      <c r="A36" s="29" t="inlineStr">
        <is>
          <t>latest_financials</t>
        </is>
      </c>
      <c r="B36" s="29" t="inlineStr">
        <is>
          <t>영업현금흐름</t>
        </is>
      </c>
      <c r="C36" s="31" t="n">
        <v>14728643363</v>
      </c>
      <c r="D36" s="29" t="inlineStr">
        <is>
          <t>JSON 상세는 dashboard_payload 파일 참조</t>
        </is>
      </c>
    </row>
    <row r="37" ht="24" customHeight="1">
      <c r="A37" s="24" t="inlineStr">
        <is>
          <t>latest_financials</t>
        </is>
      </c>
      <c r="B37" s="24" t="inlineStr">
        <is>
          <t>CAPEX</t>
        </is>
      </c>
      <c r="C37" s="30" t="n">
        <v>7978306727</v>
      </c>
      <c r="D37" s="24" t="inlineStr">
        <is>
          <t>JSON 상세는 dashboard_payload 파일 참조</t>
        </is>
      </c>
    </row>
    <row r="38" ht="24" customHeight="1">
      <c r="A38" s="29" t="inlineStr">
        <is>
          <t>latest_financials</t>
        </is>
      </c>
      <c r="B38" s="29" t="inlineStr">
        <is>
          <t>FCF</t>
        </is>
      </c>
      <c r="C38" s="31" t="n">
        <v>6750336636</v>
      </c>
      <c r="D38" s="29" t="inlineStr">
        <is>
          <t>JSON 상세는 dashboard_payload 파일 참조</t>
        </is>
      </c>
    </row>
    <row r="39" ht="24" customHeight="1">
      <c r="A39" s="24" t="inlineStr">
        <is>
          <t>latest_financials</t>
        </is>
      </c>
      <c r="B39" s="24" t="inlineStr">
        <is>
          <t>투자현금흐름</t>
        </is>
      </c>
      <c r="C39" s="30" t="n">
        <v>-4623250849</v>
      </c>
      <c r="D39" s="24" t="inlineStr">
        <is>
          <t>JSON 상세는 dashboard_payload 파일 참조</t>
        </is>
      </c>
    </row>
    <row r="40" ht="24" customHeight="1">
      <c r="A40" s="29" t="inlineStr">
        <is>
          <t>latest_financials</t>
        </is>
      </c>
      <c r="B40" s="29" t="inlineStr">
        <is>
          <t>원천계정수</t>
        </is>
      </c>
      <c r="C40" s="31" t="n">
        <v>182</v>
      </c>
      <c r="D40" s="29" t="inlineStr">
        <is>
          <t>JSON 상세는 dashboard_payload 파일 참조</t>
        </is>
      </c>
    </row>
    <row r="41" ht="24" customHeight="1">
      <c r="A41" s="24" t="inlineStr">
        <is>
          <t>latest_financials</t>
        </is>
      </c>
      <c r="B41" s="24" t="inlineStr">
        <is>
          <t>매출 원천계정</t>
        </is>
      </c>
      <c r="C41" s="24" t="inlineStr">
        <is>
          <t>수익(매출액)</t>
        </is>
      </c>
      <c r="D41" s="24" t="inlineStr">
        <is>
          <t>JSON 상세는 dashboard_payload 파일 참조</t>
        </is>
      </c>
    </row>
    <row r="42" ht="24" customHeight="1">
      <c r="A42" s="29" t="inlineStr">
        <is>
          <t>latest_financials</t>
        </is>
      </c>
      <c r="B42" s="29" t="inlineStr">
        <is>
          <t>영업이익 원천계정</t>
        </is>
      </c>
      <c r="C42" s="29" t="inlineStr">
        <is>
          <t>영업이익(손실)</t>
        </is>
      </c>
      <c r="D42" s="29" t="inlineStr">
        <is>
          <t>JSON 상세는 dashboard_payload 파일 참조</t>
        </is>
      </c>
    </row>
    <row r="43" ht="24" customHeight="1">
      <c r="A43" s="24" t="inlineStr">
        <is>
          <t>latest_financials</t>
        </is>
      </c>
      <c r="B43" s="24" t="inlineStr">
        <is>
          <t>순이익 원천계정</t>
        </is>
      </c>
      <c r="C43" s="24" t="inlineStr">
        <is>
          <t>당기순이익(손실)</t>
        </is>
      </c>
      <c r="D43" s="24" t="inlineStr">
        <is>
          <t>JSON 상세는 dashboard_payload 파일 참조</t>
        </is>
      </c>
    </row>
    <row r="44" ht="24" customHeight="1">
      <c r="A44" s="29" t="inlineStr">
        <is>
          <t>latest_financials</t>
        </is>
      </c>
      <c r="B44" s="29" t="inlineStr">
        <is>
          <t>자산 원천계정</t>
        </is>
      </c>
      <c r="C44" s="29" t="inlineStr">
        <is>
          <t>자산총계</t>
        </is>
      </c>
      <c r="D44" s="29" t="inlineStr">
        <is>
          <t>JSON 상세는 dashboard_payload 파일 참조</t>
        </is>
      </c>
    </row>
    <row r="45" ht="24" customHeight="1">
      <c r="A45" s="24" t="inlineStr">
        <is>
          <t>latest_financials</t>
        </is>
      </c>
      <c r="B45" s="24" t="inlineStr">
        <is>
          <t>부채 원천계정</t>
        </is>
      </c>
      <c r="C45" s="24" t="inlineStr">
        <is>
          <t>부채총계</t>
        </is>
      </c>
      <c r="D45" s="24" t="inlineStr">
        <is>
          <t>JSON 상세는 dashboard_payload 파일 참조</t>
        </is>
      </c>
    </row>
    <row r="46" ht="24" customHeight="1">
      <c r="A46" s="29" t="inlineStr">
        <is>
          <t>주가 요약</t>
        </is>
      </c>
      <c r="B46" s="29" t="inlineStr">
        <is>
          <t>상위 블록</t>
        </is>
      </c>
      <c r="C46" s="29" t="inlineStr">
        <is>
          <t>19개 항목</t>
        </is>
      </c>
      <c r="D46" s="29" t="inlineStr">
        <is>
          <t>대시보드에서 객체로 사용</t>
        </is>
      </c>
    </row>
    <row r="47" ht="24" customHeight="1">
      <c r="A47" s="24" t="inlineStr">
        <is>
          <t>주가 요약</t>
        </is>
      </c>
      <c r="B47" s="24" t="inlineStr">
        <is>
          <t>latest_close</t>
        </is>
      </c>
      <c r="C47" s="30" t="n">
        <v>11890</v>
      </c>
      <c r="D47" s="24" t="inlineStr">
        <is>
          <t>JSON 상세는 dashboard_payload 파일 참조</t>
        </is>
      </c>
    </row>
    <row r="48" ht="24" customHeight="1">
      <c r="A48" s="29" t="inlineStr">
        <is>
          <t>주가 요약</t>
        </is>
      </c>
      <c r="B48" s="29" t="inlineStr">
        <is>
          <t>first_close</t>
        </is>
      </c>
      <c r="C48" s="31" t="n">
        <v>15450</v>
      </c>
      <c r="D48" s="29" t="inlineStr">
        <is>
          <t>JSON 상세는 dashboard_payload 파일 참조</t>
        </is>
      </c>
    </row>
    <row r="49" ht="24" customHeight="1">
      <c r="A49" s="24" t="inlineStr">
        <is>
          <t>주가 요약</t>
        </is>
      </c>
      <c r="B49" s="24" t="inlineStr">
        <is>
          <t>return_total</t>
        </is>
      </c>
      <c r="C49" s="30" t="n">
        <v>-0.2304207119741101</v>
      </c>
      <c r="D49" s="24" t="inlineStr">
        <is>
          <t>JSON 상세는 dashboard_payload 파일 참조</t>
        </is>
      </c>
    </row>
    <row r="50" ht="24" customHeight="1">
      <c r="A50" s="29" t="inlineStr">
        <is>
          <t>주가 요약</t>
        </is>
      </c>
      <c r="B50" s="29" t="inlineStr">
        <is>
          <t>1년 수익률</t>
        </is>
      </c>
      <c r="C50" s="31" t="n">
        <v>0.1174812030075187</v>
      </c>
      <c r="D50" s="29" t="inlineStr">
        <is>
          <t>JSON 상세는 dashboard_payload 파일 참조</t>
        </is>
      </c>
    </row>
    <row r="51" ht="24" customHeight="1">
      <c r="A51" s="24" t="inlineStr">
        <is>
          <t>주가 요약</t>
        </is>
      </c>
      <c r="B51" s="24" t="inlineStr">
        <is>
          <t>연환산 변동성</t>
        </is>
      </c>
      <c r="C51" s="30" t="n">
        <v>0.5895368669727092</v>
      </c>
      <c r="D51" s="24" t="inlineStr">
        <is>
          <t>JSON 상세는 dashboard_payload 파일 참조</t>
        </is>
      </c>
    </row>
    <row r="52" ht="24" customHeight="1">
      <c r="A52" s="29" t="inlineStr">
        <is>
          <t>주가 요약</t>
        </is>
      </c>
      <c r="B52" s="29" t="inlineStr">
        <is>
          <t>MDD</t>
        </is>
      </c>
      <c r="C52" s="31" t="n">
        <v>-0.7125827814569536</v>
      </c>
      <c r="D52" s="29" t="inlineStr">
        <is>
          <t>JSON 상세는 dashboard_payload 파일 참조</t>
        </is>
      </c>
    </row>
    <row r="53" ht="24" customHeight="1">
      <c r="A53" s="24" t="inlineStr">
        <is>
          <t>주가 요약</t>
        </is>
      </c>
      <c r="B53" s="24" t="inlineStr">
        <is>
          <t>52주 고가</t>
        </is>
      </c>
      <c r="C53" s="30" t="n">
        <v>15250</v>
      </c>
      <c r="D53" s="24" t="inlineStr">
        <is>
          <t>JSON 상세는 dashboard_payload 파일 참조</t>
        </is>
      </c>
    </row>
    <row r="54" ht="24" customHeight="1">
      <c r="A54" s="29" t="inlineStr">
        <is>
          <t>주가 요약</t>
        </is>
      </c>
      <c r="B54" s="29" t="inlineStr">
        <is>
          <t>52주 저가</t>
        </is>
      </c>
      <c r="C54" s="31" t="n">
        <v>9900</v>
      </c>
      <c r="D54" s="29" t="inlineStr">
        <is>
          <t>JSON 상세는 dashboard_payload 파일 참조</t>
        </is>
      </c>
    </row>
    <row r="55" ht="24" customHeight="1">
      <c r="A55" s="24" t="inlineStr">
        <is>
          <t>주가 요약</t>
        </is>
      </c>
      <c r="B55" s="24" t="inlineStr">
        <is>
          <t>발행주식 수</t>
        </is>
      </c>
      <c r="C55" s="30" t="n">
        <v>17780753</v>
      </c>
      <c r="D55" s="24" t="inlineStr">
        <is>
          <t>JSON 상세는 dashboard_payload 파일 참조</t>
        </is>
      </c>
    </row>
    <row r="56" ht="24" customHeight="1">
      <c r="A56" s="29" t="inlineStr">
        <is>
          <t>주가 요약</t>
        </is>
      </c>
      <c r="B56" s="29" t="inlineStr">
        <is>
          <t>시가총액</t>
        </is>
      </c>
      <c r="C56" s="31" t="n">
        <v>211413153170</v>
      </c>
      <c r="D56" s="29" t="inlineStr">
        <is>
          <t>JSON 상세는 dashboard_payload 파일 참조</t>
        </is>
      </c>
    </row>
    <row r="57" ht="24" customHeight="1">
      <c r="A57" s="24" t="inlineStr">
        <is>
          <t>주가 요약</t>
        </is>
      </c>
      <c r="B57" s="24" t="inlineStr">
        <is>
          <t>최근 거래량</t>
        </is>
      </c>
      <c r="C57" s="30" t="n">
        <v>156333</v>
      </c>
      <c r="D57" s="24" t="inlineStr">
        <is>
          <t>JSON 상세는 dashboard_payload 파일 참조</t>
        </is>
      </c>
    </row>
    <row r="58" ht="24" customHeight="1">
      <c r="A58" s="29" t="inlineStr">
        <is>
          <t>주가 요약</t>
        </is>
      </c>
      <c r="B58" s="29" t="inlineStr">
        <is>
          <t>최근 거래대금</t>
        </is>
      </c>
      <c r="C58" s="31" t="n">
        <v>1858799370</v>
      </c>
      <c r="D58" s="29" t="inlineStr">
        <is>
          <t>JSON 상세는 dashboard_payload 파일 참조</t>
        </is>
      </c>
    </row>
    <row r="59" ht="24" customHeight="1">
      <c r="A59" s="24" t="inlineStr">
        <is>
          <t>주가 요약</t>
        </is>
      </c>
      <c r="B59" s="24" t="inlineStr">
        <is>
          <t>20일 평균 거래대금</t>
        </is>
      </c>
      <c r="C59" s="30" t="n">
        <v>18328562775.5</v>
      </c>
      <c r="D59" s="24" t="inlineStr">
        <is>
          <t>JSON 상세는 dashboard_payload 파일 참조</t>
        </is>
      </c>
    </row>
    <row r="60" ht="24" customHeight="1">
      <c r="A60" s="29" t="inlineStr">
        <is>
          <t>주가 요약</t>
        </is>
      </c>
      <c r="B60" s="29" t="inlineStr">
        <is>
          <t>20일 평균 거래량</t>
        </is>
      </c>
      <c r="C60" s="31" t="n">
        <v>1285048.9</v>
      </c>
      <c r="D60" s="29" t="inlineStr">
        <is>
          <t>JSON 상세는 dashboard_payload 파일 참조</t>
        </is>
      </c>
    </row>
    <row r="61" ht="24" customHeight="1">
      <c r="A61" s="24" t="inlineStr">
        <is>
          <t>주가 요약</t>
        </is>
      </c>
      <c r="B61" s="24" t="inlineStr">
        <is>
          <t>최근 거래회전율</t>
        </is>
      </c>
      <c r="C61" s="30" t="n">
        <v>0.008792259810369111</v>
      </c>
      <c r="D61" s="24" t="inlineStr">
        <is>
          <t>JSON 상세는 dashboard_payload 파일 참조</t>
        </is>
      </c>
    </row>
    <row r="62" ht="24" customHeight="1">
      <c r="A62" s="29" t="inlineStr">
        <is>
          <t>주가 요약</t>
        </is>
      </c>
      <c r="B62" s="29" t="inlineStr">
        <is>
          <t>20일 평균 거래회전율</t>
        </is>
      </c>
      <c r="C62" s="31" t="n">
        <v>0.0722719054699202</v>
      </c>
      <c r="D62" s="29" t="inlineStr">
        <is>
          <t>JSON 상세는 dashboard_payload 파일 참조</t>
        </is>
      </c>
    </row>
    <row r="63" ht="24" customHeight="1">
      <c r="A63" s="24" t="inlineStr">
        <is>
          <t>주가 요약</t>
        </is>
      </c>
      <c r="B63" s="24" t="inlineStr">
        <is>
          <t>price_rows</t>
        </is>
      </c>
      <c r="C63" s="30" t="n">
        <v>1221</v>
      </c>
      <c r="D63" s="24" t="inlineStr">
        <is>
          <t>JSON 상세는 dashboard_payload 파일 참조</t>
        </is>
      </c>
    </row>
    <row r="64" ht="24" customHeight="1">
      <c r="A64" s="29" t="inlineStr">
        <is>
          <t>주가 요약</t>
        </is>
      </c>
      <c r="B64" s="29" t="inlineStr">
        <is>
          <t>price_start</t>
        </is>
      </c>
      <c r="C64" s="29" t="inlineStr">
        <is>
          <t>2021-05-20</t>
        </is>
      </c>
      <c r="D64" s="29" t="inlineStr">
        <is>
          <t>JSON 상세는 dashboard_payload 파일 참조</t>
        </is>
      </c>
    </row>
    <row r="65" ht="24" customHeight="1">
      <c r="A65" s="24" t="inlineStr">
        <is>
          <t>WACC</t>
        </is>
      </c>
      <c r="B65" s="24" t="inlineStr">
        <is>
          <t>상위 블록</t>
        </is>
      </c>
      <c r="C65" s="24" t="inlineStr">
        <is>
          <t>14개 항목</t>
        </is>
      </c>
      <c r="D65" s="24" t="inlineStr">
        <is>
          <t>대시보드에서 객체로 사용</t>
        </is>
      </c>
    </row>
    <row r="66" ht="24" customHeight="1">
      <c r="A66" s="29" t="inlineStr">
        <is>
          <t>WACC</t>
        </is>
      </c>
      <c r="B66" s="29" t="inlineStr">
        <is>
          <t>risk_free_rate</t>
        </is>
      </c>
      <c r="C66" s="31" t="n">
        <v>0.035</v>
      </c>
      <c r="D66" s="29" t="inlineStr">
        <is>
          <t>JSON 상세는 dashboard_payload 파일 참조</t>
        </is>
      </c>
    </row>
    <row r="67" ht="24" customHeight="1">
      <c r="A67" s="24" t="inlineStr">
        <is>
          <t>WACC</t>
        </is>
      </c>
      <c r="B67" s="24" t="inlineStr">
        <is>
          <t>market_risk_premium</t>
        </is>
      </c>
      <c r="C67" s="30" t="n">
        <v>0.06</v>
      </c>
      <c r="D67" s="24" t="inlineStr">
        <is>
          <t>JSON 상세는 dashboard_payload 파일 참조</t>
        </is>
      </c>
    </row>
    <row r="68" ht="24" customHeight="1">
      <c r="A68" s="29" t="inlineStr">
        <is>
          <t>WACC</t>
        </is>
      </c>
      <c r="B68" s="29" t="inlineStr">
        <is>
          <t>beta</t>
        </is>
      </c>
      <c r="C68" s="31" t="n">
        <v>1.8</v>
      </c>
      <c r="D68" s="29" t="inlineStr">
        <is>
          <t>JSON 상세는 dashboard_payload 파일 참조</t>
        </is>
      </c>
    </row>
    <row r="69" ht="24" customHeight="1">
      <c r="A69" s="24" t="inlineStr">
        <is>
          <t>WACC</t>
        </is>
      </c>
      <c r="B69" s="24" t="inlineStr">
        <is>
          <t>cost_of_equity</t>
        </is>
      </c>
      <c r="C69" s="30" t="n">
        <v>0.143</v>
      </c>
      <c r="D69" s="24" t="inlineStr">
        <is>
          <t>JSON 상세는 dashboard_payload 파일 참조</t>
        </is>
      </c>
    </row>
    <row r="70" ht="24" customHeight="1">
      <c r="A70" s="29" t="inlineStr">
        <is>
          <t>WACC</t>
        </is>
      </c>
      <c r="B70" s="29" t="inlineStr">
        <is>
          <t>pre_tax_cost_of_debt</t>
        </is>
      </c>
      <c r="C70" s="31" t="n">
        <v>0.055</v>
      </c>
      <c r="D70" s="29" t="inlineStr">
        <is>
          <t>JSON 상세는 dashboard_payload 파일 참조</t>
        </is>
      </c>
    </row>
    <row r="71" ht="24" customHeight="1">
      <c r="A71" s="24" t="inlineStr">
        <is>
          <t>WACC</t>
        </is>
      </c>
      <c r="B71" s="24" t="inlineStr">
        <is>
          <t>tax_rate</t>
        </is>
      </c>
      <c r="C71" s="30" t="n">
        <v>0.24</v>
      </c>
      <c r="D71" s="24" t="inlineStr">
        <is>
          <t>JSON 상세는 dashboard_payload 파일 참조</t>
        </is>
      </c>
    </row>
    <row r="72" ht="24" customHeight="1">
      <c r="A72" s="29" t="inlineStr">
        <is>
          <t>WACC</t>
        </is>
      </c>
      <c r="B72" s="29" t="inlineStr">
        <is>
          <t>after_tax_cost_of_debt</t>
        </is>
      </c>
      <c r="C72" s="31" t="n">
        <v>0.0418</v>
      </c>
      <c r="D72" s="29" t="inlineStr">
        <is>
          <t>JSON 상세는 dashboard_payload 파일 참조</t>
        </is>
      </c>
    </row>
    <row r="73" ht="24" customHeight="1">
      <c r="A73" s="24" t="inlineStr">
        <is>
          <t>WACC</t>
        </is>
      </c>
      <c r="B73" s="24" t="inlineStr">
        <is>
          <t>debt_weight</t>
        </is>
      </c>
      <c r="C73" s="30" t="n">
        <v>0.3836814756343302</v>
      </c>
      <c r="D73" s="24" t="inlineStr">
        <is>
          <t>JSON 상세는 dashboard_payload 파일 참조</t>
        </is>
      </c>
    </row>
    <row r="74" ht="24" customHeight="1">
      <c r="A74" s="29" t="inlineStr">
        <is>
          <t>WACC</t>
        </is>
      </c>
      <c r="B74" s="29" t="inlineStr">
        <is>
          <t>equity_weight</t>
        </is>
      </c>
      <c r="C74" s="31" t="n">
        <v>0.6163185243656697</v>
      </c>
      <c r="D74" s="29" t="inlineStr">
        <is>
          <t>JSON 상세는 dashboard_payload 파일 참조</t>
        </is>
      </c>
    </row>
    <row r="75" ht="24" customHeight="1">
      <c r="A75" s="24" t="inlineStr">
        <is>
          <t>WACC</t>
        </is>
      </c>
      <c r="B75" s="24" t="inlineStr">
        <is>
          <t>book_equity</t>
        </is>
      </c>
      <c r="C75" s="30" t="n">
        <v>154442539418</v>
      </c>
      <c r="D75" s="24" t="inlineStr">
        <is>
          <t>JSON 상세는 dashboard_payload 파일 참조</t>
        </is>
      </c>
    </row>
    <row r="76" ht="24" customHeight="1">
      <c r="A76" s="29" t="inlineStr">
        <is>
          <t>WACC</t>
        </is>
      </c>
      <c r="B76" s="29" t="inlineStr">
        <is>
          <t>market_cap_used_for_equity_weight</t>
        </is>
      </c>
      <c r="C76" s="31" t="n">
        <v>211413153170</v>
      </c>
      <c r="D76" s="29" t="inlineStr">
        <is>
          <t>JSON 상세는 dashboard_payload 파일 참조</t>
        </is>
      </c>
    </row>
    <row r="77" ht="24" customHeight="1">
      <c r="A77" s="24" t="inlineStr">
        <is>
          <t>WACC</t>
        </is>
      </c>
      <c r="B77" s="24" t="inlineStr">
        <is>
          <t>debt_proxy_liabilities</t>
        </is>
      </c>
      <c r="C77" s="30" t="n">
        <v>131612644063</v>
      </c>
      <c r="D77" s="24" t="inlineStr">
        <is>
          <t>JSON 상세는 dashboard_payload 파일 참조</t>
        </is>
      </c>
    </row>
    <row r="78" ht="24" customHeight="1">
      <c r="A78" s="29" t="inlineStr">
        <is>
          <t>WACC</t>
        </is>
      </c>
      <c r="B78" s="29" t="inlineStr">
        <is>
          <t>WACC</t>
        </is>
      </c>
      <c r="C78" s="31" t="n">
        <v>0.1041714346658058</v>
      </c>
      <c r="D78" s="29" t="inlineStr">
        <is>
          <t>JSON 상세는 dashboard_payload 파일 참조</t>
        </is>
      </c>
    </row>
    <row r="79" ht="24" customHeight="1">
      <c r="A79" s="24" t="inlineStr">
        <is>
          <t>WACC</t>
        </is>
      </c>
      <c r="B79" s="24" t="inlineStr">
        <is>
          <t>weighting_note</t>
        </is>
      </c>
      <c r="C79" s="24" t="inlineStr">
        <is>
          <t>Uses market cap when share-count intake is available; otherwise uses book equity.</t>
        </is>
      </c>
      <c r="D79" s="24" t="inlineStr">
        <is>
          <t>JSON 상세는 dashboard_payload 파일 참조</t>
        </is>
      </c>
    </row>
    <row r="80" ht="24" customHeight="1">
      <c r="A80" s="29" t="inlineStr">
        <is>
          <t>dcf</t>
        </is>
      </c>
      <c r="B80" s="29" t="inlineStr">
        <is>
          <t>상위 블록</t>
        </is>
      </c>
      <c r="C80" s="29" t="inlineStr">
        <is>
          <t>23개 항목</t>
        </is>
      </c>
      <c r="D80" s="29" t="inlineStr">
        <is>
          <t>대시보드에서 객체로 사용</t>
        </is>
      </c>
    </row>
    <row r="81" ht="24" customHeight="1">
      <c r="A81" s="24" t="inlineStr">
        <is>
          <t>dcf</t>
        </is>
      </c>
      <c r="B81" s="24" t="inlineStr">
        <is>
          <t>상태</t>
        </is>
      </c>
      <c r="C81" s="24" t="inlineStr">
        <is>
          <t>OK</t>
        </is>
      </c>
      <c r="D81" s="24" t="inlineStr">
        <is>
          <t>JSON 상세는 dashboard_payload 파일 참조</t>
        </is>
      </c>
    </row>
    <row r="82" ht="24" customHeight="1">
      <c r="A82" s="29" t="inlineStr">
        <is>
          <t>dcf</t>
        </is>
      </c>
      <c r="B82" s="29" t="inlineStr">
        <is>
          <t>base_year</t>
        </is>
      </c>
      <c r="C82" s="31" t="n">
        <v>2025</v>
      </c>
      <c r="D82" s="29" t="inlineStr">
        <is>
          <t>JSON 상세는 dashboard_payload 파일 참조</t>
        </is>
      </c>
    </row>
    <row r="83" ht="24" customHeight="1">
      <c r="A83" s="24" t="inlineStr">
        <is>
          <t>dcf</t>
        </is>
      </c>
      <c r="B83" s="24" t="inlineStr">
        <is>
          <t>base_revenue</t>
        </is>
      </c>
      <c r="C83" s="30" t="n">
        <v>244123643799</v>
      </c>
      <c r="D83" s="24" t="inlineStr">
        <is>
          <t>JSON 상세는 dashboard_payload 파일 참조</t>
        </is>
      </c>
    </row>
    <row r="84" ht="24" customHeight="1">
      <c r="A84" s="29" t="inlineStr">
        <is>
          <t>dcf</t>
        </is>
      </c>
      <c r="B84" s="29" t="inlineStr">
        <is>
          <t>historical_revenue_cagr</t>
        </is>
      </c>
      <c r="C84" s="31" t="n">
        <v>0.09875171230007562</v>
      </c>
      <c r="D84" s="29" t="inlineStr">
        <is>
          <t>JSON 상세는 dashboard_payload 파일 참조</t>
        </is>
      </c>
    </row>
    <row r="85" ht="24" customHeight="1">
      <c r="A85" s="24" t="inlineStr">
        <is>
          <t>dcf</t>
        </is>
      </c>
      <c r="B85" s="24" t="inlineStr">
        <is>
          <t>assumed_revenue_growth</t>
        </is>
      </c>
      <c r="C85" s="30" t="n">
        <v>0.002849936757800838</v>
      </c>
      <c r="D85" s="24" t="inlineStr">
        <is>
          <t>JSON 상세는 dashboard_payload 파일 참조</t>
        </is>
      </c>
    </row>
    <row r="86" ht="24" customHeight="1">
      <c r="A86" s="29" t="inlineStr">
        <is>
          <t>dcf</t>
        </is>
      </c>
      <c r="B86" s="29" t="inlineStr">
        <is>
          <t>assumed_op_margin</t>
        </is>
      </c>
      <c r="C86" s="31" t="n">
        <v>-0.01446722773894657</v>
      </c>
      <c r="D86" s="29" t="inlineStr">
        <is>
          <t>JSON 상세는 dashboard_payload 파일 참조</t>
        </is>
      </c>
    </row>
    <row r="87" ht="24" customHeight="1">
      <c r="A87" s="24" t="inlineStr">
        <is>
          <t>dcf</t>
        </is>
      </c>
      <c r="B87" s="24" t="inlineStr">
        <is>
          <t>assumed_fcf_margin</t>
        </is>
      </c>
      <c r="C87" s="30" t="n">
        <v>0.07955713939965477</v>
      </c>
      <c r="D87" s="24" t="inlineStr">
        <is>
          <t>JSON 상세는 dashboard_payload 파일 참조</t>
        </is>
      </c>
    </row>
    <row r="88" ht="24" customHeight="1">
      <c r="A88" s="29" t="inlineStr">
        <is>
          <t>dcf</t>
        </is>
      </c>
      <c r="B88" s="29" t="inlineStr">
        <is>
          <t>WACC</t>
        </is>
      </c>
      <c r="C88" s="31" t="n">
        <v>0.1041714346658058</v>
      </c>
      <c r="D88" s="29" t="inlineStr">
        <is>
          <t>JSON 상세는 dashboard_payload 파일 참조</t>
        </is>
      </c>
    </row>
    <row r="89" ht="24" customHeight="1">
      <c r="A89" s="24" t="inlineStr">
        <is>
          <t>dcf</t>
        </is>
      </c>
      <c r="B89" s="24" t="inlineStr">
        <is>
          <t>terminal_growth_rate</t>
        </is>
      </c>
      <c r="C89" s="30" t="n">
        <v>0.015</v>
      </c>
      <c r="D89" s="24" t="inlineStr">
        <is>
          <t>JSON 상세는 dashboard_payload 파일 참조</t>
        </is>
      </c>
    </row>
    <row r="90" ht="24" customHeight="1">
      <c r="A90" s="29" t="inlineStr">
        <is>
          <t>dcf</t>
        </is>
      </c>
      <c r="B90" s="29" t="inlineStr">
        <is>
          <t>projection_years</t>
        </is>
      </c>
      <c r="C90" s="31" t="n">
        <v>5</v>
      </c>
      <c r="D90" s="29" t="inlineStr">
        <is>
          <t>JSON 상세는 dashboard_payload 파일 참조</t>
        </is>
      </c>
    </row>
    <row r="91" ht="24" customHeight="1">
      <c r="A91" s="24" t="inlineStr">
        <is>
          <t>dcf</t>
        </is>
      </c>
      <c r="B91" s="24" t="inlineStr">
        <is>
          <t>FCF 현재가치</t>
        </is>
      </c>
      <c r="C91" s="30" t="n">
        <v>74566966737.44841</v>
      </c>
      <c r="D91" s="24" t="inlineStr">
        <is>
          <t>JSON 상세는 dashboard_payload 파일 참조</t>
        </is>
      </c>
    </row>
    <row r="92" ht="24" customHeight="1">
      <c r="A92" s="29" t="inlineStr">
        <is>
          <t>dcf</t>
        </is>
      </c>
      <c r="B92" s="29" t="inlineStr">
        <is>
          <t>terminal_value</t>
        </is>
      </c>
      <c r="C92" s="31" t="n">
        <v>232500833574.4853</v>
      </c>
      <c r="D92" s="29" t="inlineStr">
        <is>
          <t>JSON 상세는 dashboard_payload 파일 참조</t>
        </is>
      </c>
    </row>
    <row r="93" ht="24" customHeight="1">
      <c r="A93" s="24" t="inlineStr">
        <is>
          <t>dcf</t>
        </is>
      </c>
      <c r="B93" s="24" t="inlineStr">
        <is>
          <t>Terminal 현재가치</t>
        </is>
      </c>
      <c r="C93" s="30" t="n">
        <v>141658283919.6328</v>
      </c>
      <c r="D93" s="24" t="inlineStr">
        <is>
          <t>JSON 상세는 dashboard_payload 파일 참조</t>
        </is>
      </c>
    </row>
    <row r="94" ht="24" customHeight="1">
      <c r="A94" s="29" t="inlineStr">
        <is>
          <t>dcf</t>
        </is>
      </c>
      <c r="B94" s="29" t="inlineStr">
        <is>
          <t>기업가치(EV)</t>
        </is>
      </c>
      <c r="C94" s="31" t="n">
        <v>216225250657.0812</v>
      </c>
      <c r="D94" s="29" t="inlineStr">
        <is>
          <t>JSON 상세는 dashboard_payload 파일 참조</t>
        </is>
      </c>
    </row>
    <row r="95" ht="24" customHeight="1">
      <c r="A95" s="24" t="inlineStr">
        <is>
          <t>dcf</t>
        </is>
      </c>
      <c r="B95" s="24" t="inlineStr">
        <is>
          <t>현금성자산</t>
        </is>
      </c>
      <c r="C95" s="30" t="n">
        <v>18270298972</v>
      </c>
      <c r="D95" s="24" t="inlineStr">
        <is>
          <t>JSON 상세는 dashboard_payload 파일 참조</t>
        </is>
      </c>
    </row>
    <row r="96" ht="24" customHeight="1">
      <c r="A96" s="29" t="inlineStr">
        <is>
          <t>dcf</t>
        </is>
      </c>
      <c r="B96" s="29" t="inlineStr">
        <is>
          <t>debt_proxy_liabilities</t>
        </is>
      </c>
      <c r="C96" s="31" t="n">
        <v>131612644063</v>
      </c>
      <c r="D96" s="29" t="inlineStr">
        <is>
          <t>JSON 상세는 dashboard_payload 파일 참조</t>
        </is>
      </c>
    </row>
    <row r="97" ht="24" customHeight="1">
      <c r="A97" s="24" t="inlineStr">
        <is>
          <t>dcf</t>
        </is>
      </c>
      <c r="B97" s="24" t="inlineStr">
        <is>
          <t>equity_value</t>
        </is>
      </c>
      <c r="C97" s="30" t="n">
        <v>102882905566.0812</v>
      </c>
      <c r="D97" s="24" t="inlineStr">
        <is>
          <t>JSON 상세는 dashboard_payload 파일 참조</t>
        </is>
      </c>
    </row>
    <row r="98" ht="24" customHeight="1">
      <c r="A98" s="29" t="inlineStr">
        <is>
          <t>dcf</t>
        </is>
      </c>
      <c r="B98" s="29" t="inlineStr">
        <is>
          <t>발행주식 수</t>
        </is>
      </c>
      <c r="C98" s="31" t="n">
        <v>17780753</v>
      </c>
      <c r="D98" s="29" t="inlineStr">
        <is>
          <t>JSON 상세는 dashboard_payload 파일 참조</t>
        </is>
      </c>
    </row>
    <row r="99" ht="24" customHeight="1">
      <c r="A99" s="24" t="inlineStr">
        <is>
          <t>chart_series</t>
        </is>
      </c>
      <c r="B99" s="24" t="inlineStr">
        <is>
          <t>상위 블록</t>
        </is>
      </c>
      <c r="C99" s="24" t="inlineStr">
        <is>
          <t>5개 항목</t>
        </is>
      </c>
      <c r="D99" s="24" t="inlineStr">
        <is>
          <t>대시보드에서 객체로 사용</t>
        </is>
      </c>
    </row>
    <row r="100" ht="24" customHeight="1">
      <c r="A100" s="29" t="inlineStr">
        <is>
          <t>chart_series</t>
        </is>
      </c>
      <c r="B100" s="29" t="inlineStr">
        <is>
          <t>historical_financials</t>
        </is>
      </c>
      <c r="C100" s="29" t="inlineStr">
        <is>
          <t>5개 행</t>
        </is>
      </c>
      <c r="D100" s="29" t="inlineStr">
        <is>
          <t>JSON 상세는 dashboard_payload 파일 참조</t>
        </is>
      </c>
    </row>
    <row r="101" ht="24" customHeight="1">
      <c r="A101" s="24" t="inlineStr">
        <is>
          <t>chart_series</t>
        </is>
      </c>
      <c r="B101" s="24" t="inlineStr">
        <is>
          <t>price_history</t>
        </is>
      </c>
      <c r="C101" s="24" t="inlineStr">
        <is>
          <t>260개 행</t>
        </is>
      </c>
      <c r="D101" s="24" t="inlineStr">
        <is>
          <t>JSON 상세는 dashboard_payload 파일 참조</t>
        </is>
      </c>
    </row>
    <row r="102" ht="24" customHeight="1">
      <c r="A102" s="29" t="inlineStr">
        <is>
          <t>chart_series</t>
        </is>
      </c>
      <c r="B102" s="29" t="inlineStr">
        <is>
          <t>fcf_projection</t>
        </is>
      </c>
      <c r="C102" s="29" t="inlineStr">
        <is>
          <t>5개 행</t>
        </is>
      </c>
      <c r="D102" s="29" t="inlineStr">
        <is>
          <t>JSON 상세는 dashboard_payload 파일 참조</t>
        </is>
      </c>
    </row>
    <row r="103" ht="24" customHeight="1">
      <c r="A103" s="24" t="inlineStr">
        <is>
          <t>chart_series</t>
        </is>
      </c>
      <c r="B103" s="24" t="inlineStr">
        <is>
          <t>peer_multiples</t>
        </is>
      </c>
      <c r="C103" s="24" t="inlineStr">
        <is>
          <t>5개 행</t>
        </is>
      </c>
      <c r="D103" s="24" t="inlineStr">
        <is>
          <t>JSON 상세는 dashboard_payload 파일 참조</t>
        </is>
      </c>
    </row>
    <row r="104" ht="24" customHeight="1">
      <c r="A104" s="29" t="inlineStr">
        <is>
          <t>chart_series</t>
        </is>
      </c>
      <c r="B104" s="29" t="inlineStr">
        <is>
          <t>reference_universe_focus</t>
        </is>
      </c>
      <c r="C104" s="29" t="inlineStr">
        <is>
          <t>40개 행</t>
        </is>
      </c>
      <c r="D104" s="29" t="inlineStr">
        <is>
          <t>JSON 상세는 dashboard_payload 파일 참조</t>
        </is>
      </c>
    </row>
    <row r="105" ht="24" customHeight="1">
      <c r="A105" s="24" t="inlineStr">
        <is>
          <t>peer_comps</t>
        </is>
      </c>
      <c r="B105" s="24" t="inlineStr">
        <is>
          <t>상위 블록</t>
        </is>
      </c>
      <c r="C105" s="24" t="inlineStr">
        <is>
          <t>23개 항목</t>
        </is>
      </c>
      <c r="D105" s="24" t="inlineStr">
        <is>
          <t>대시보드에서 객체로 사용</t>
        </is>
      </c>
    </row>
    <row r="106" ht="24" customHeight="1">
      <c r="A106" s="29" t="inlineStr">
        <is>
          <t>peer_comps</t>
        </is>
      </c>
      <c r="B106" s="29" t="inlineStr">
        <is>
          <t>peer_rows</t>
        </is>
      </c>
      <c r="C106" s="29" t="inlineStr">
        <is>
          <t>5개 행</t>
        </is>
      </c>
      <c r="D106" s="29" t="inlineStr">
        <is>
          <t>JSON 상세는 dashboard_payload 파일 참조</t>
        </is>
      </c>
    </row>
    <row r="107" ht="24" customHeight="1">
      <c r="A107" s="24" t="inlineStr">
        <is>
          <t>peer_comps</t>
        </is>
      </c>
      <c r="B107" s="24" t="inlineStr">
        <is>
          <t>target_row</t>
        </is>
      </c>
      <c r="C107" s="24" t="inlineStr">
        <is>
          <t>35개 항목</t>
        </is>
      </c>
      <c r="D107" s="24" t="inlineStr">
        <is>
          <t>JSON 상세는 dashboard_payload 파일 참조</t>
        </is>
      </c>
    </row>
    <row r="108" ht="24" customHeight="1">
      <c r="A108" s="29" t="inlineStr">
        <is>
          <t>peer_comps</t>
        </is>
      </c>
      <c r="B108" s="29" t="inlineStr">
        <is>
          <t>target_company_key</t>
        </is>
      </c>
      <c r="C108" s="29" t="inlineStr">
        <is>
          <t>nepes</t>
        </is>
      </c>
      <c r="D108" s="29" t="inlineStr">
        <is>
          <t>JSON 상세는 dashboard_payload 파일 참조</t>
        </is>
      </c>
    </row>
    <row r="109" ht="24" customHeight="1">
      <c r="A109" s="24" t="inlineStr">
        <is>
          <t>peer_comps</t>
        </is>
      </c>
      <c r="B109" s="24" t="inlineStr">
        <is>
          <t>분석대상 P/S</t>
        </is>
      </c>
      <c r="C109" s="30" t="n">
        <v>1.280233220880724</v>
      </c>
      <c r="D109" s="24" t="inlineStr">
        <is>
          <t>JSON 상세는 dashboard_payload 파일 참조</t>
        </is>
      </c>
    </row>
    <row r="110" ht="24" customHeight="1">
      <c r="A110" s="29" t="inlineStr">
        <is>
          <t>peer_comps</t>
        </is>
      </c>
      <c r="B110" s="29" t="inlineStr">
        <is>
          <t>target_per</t>
        </is>
      </c>
      <c r="C110" s="31" t="n">
        <v>33.11522419744579</v>
      </c>
      <c r="D110" s="29" t="inlineStr">
        <is>
          <t>JSON 상세는 dashboard_payload 파일 참조</t>
        </is>
      </c>
    </row>
    <row r="111" ht="24" customHeight="1">
      <c r="A111" s="24" t="inlineStr">
        <is>
          <t>peer_comps</t>
        </is>
      </c>
      <c r="B111" s="24" t="inlineStr">
        <is>
          <t>target_pbr</t>
        </is>
      </c>
      <c r="C111" s="30" t="n">
        <v>2.720031839425568</v>
      </c>
      <c r="D111" s="24" t="inlineStr">
        <is>
          <t>JSON 상세는 dashboard_payload 파일 참조</t>
        </is>
      </c>
    </row>
    <row r="112" ht="24" customHeight="1">
      <c r="A112" s="29" t="inlineStr">
        <is>
          <t>peer_comps</t>
        </is>
      </c>
      <c r="B112" s="29" t="inlineStr">
        <is>
          <t>target_ev_sales</t>
        </is>
      </c>
      <c r="C112" s="31" t="n">
        <v>2.14471243986808</v>
      </c>
      <c r="D112" s="29" t="inlineStr">
        <is>
          <t>JSON 상세는 dashboard_payload 파일 참조</t>
        </is>
      </c>
    </row>
    <row r="113" ht="24" customHeight="1">
      <c r="A113" s="24" t="inlineStr">
        <is>
          <t>peer_comps</t>
        </is>
      </c>
      <c r="B113" s="24" t="inlineStr">
        <is>
          <t>target_market_cap</t>
        </is>
      </c>
      <c r="C113" s="30" t="n">
        <v>667563897900</v>
      </c>
      <c r="D113" s="24" t="inlineStr">
        <is>
          <t>JSON 상세는 dashboard_payload 파일 참조</t>
        </is>
      </c>
    </row>
    <row r="114" ht="24" customHeight="1">
      <c r="A114" s="29" t="inlineStr">
        <is>
          <t>peer_comps</t>
        </is>
      </c>
      <c r="B114" s="29" t="inlineStr">
        <is>
          <t>target_revenue</t>
        </is>
      </c>
      <c r="C114" s="31" t="n">
        <v>521439287008</v>
      </c>
      <c r="D114" s="29" t="inlineStr">
        <is>
          <t>JSON 상세는 dashboard_payload 파일 참조</t>
        </is>
      </c>
    </row>
    <row r="115" ht="24" customHeight="1">
      <c r="A115" s="24" t="inlineStr">
        <is>
          <t>peer_comps</t>
        </is>
      </c>
      <c r="B115" s="24" t="inlineStr">
        <is>
          <t>Peer P/S 중앙값</t>
        </is>
      </c>
      <c r="C115" s="30" t="n">
        <v>3.500698820700488</v>
      </c>
      <c r="D115" s="24" t="inlineStr">
        <is>
          <t>JSON 상세는 dashboard_payload 파일 참조</t>
        </is>
      </c>
    </row>
    <row r="116" ht="24" customHeight="1">
      <c r="A116" s="29" t="inlineStr">
        <is>
          <t>peer_comps</t>
        </is>
      </c>
      <c r="B116" s="29" t="inlineStr">
        <is>
          <t>median_per</t>
        </is>
      </c>
      <c r="C116" s="31" t="n">
        <v>24.1312764407467</v>
      </c>
      <c r="D116" s="29" t="inlineStr">
        <is>
          <t>JSON 상세는 dashboard_payload 파일 참조</t>
        </is>
      </c>
    </row>
    <row r="117" ht="24" customHeight="1">
      <c r="A117" s="24" t="inlineStr">
        <is>
          <t>peer_comps</t>
        </is>
      </c>
      <c r="B117" s="24" t="inlineStr">
        <is>
          <t>median_pbr</t>
        </is>
      </c>
      <c r="C117" s="30" t="n">
        <v>2.720031839425568</v>
      </c>
      <c r="D117" s="24" t="inlineStr">
        <is>
          <t>JSON 상세는 dashboard_payload 파일 참조</t>
        </is>
      </c>
    </row>
    <row r="118" ht="24" customHeight="1">
      <c r="A118" s="29" t="inlineStr">
        <is>
          <t>peer_comps</t>
        </is>
      </c>
      <c r="B118" s="29" t="inlineStr">
        <is>
          <t>median_ev_sales</t>
        </is>
      </c>
      <c r="C118" s="31" t="n">
        <v>3.979314959140229</v>
      </c>
      <c r="D118" s="29" t="inlineStr">
        <is>
          <t>JSON 상세는 dashboard_payload 파일 참조</t>
        </is>
      </c>
    </row>
    <row r="119" ht="24" customHeight="1">
      <c r="A119" s="24" t="inlineStr">
        <is>
          <t>peer_comps</t>
        </is>
      </c>
      <c r="B119" s="24" t="inlineStr">
        <is>
          <t>median_ev_ebit</t>
        </is>
      </c>
      <c r="C119" s="30" t="n">
        <v>22.51500405500176</v>
      </c>
      <c r="D119" s="24" t="inlineStr">
        <is>
          <t>JSON 상세는 dashboard_payload 파일 참조</t>
        </is>
      </c>
    </row>
    <row r="120" ht="24" customHeight="1">
      <c r="A120" s="29" t="inlineStr">
        <is>
          <t>peer_comps</t>
        </is>
      </c>
      <c r="B120" s="29" t="inlineStr">
        <is>
          <t>median_p_fcf</t>
        </is>
      </c>
      <c r="C120" s="31" t="n">
        <v>15.46736086652881</v>
      </c>
      <c r="D120" s="29" t="inlineStr">
        <is>
          <t>JSON 상세는 dashboard_payload 파일 참조</t>
        </is>
      </c>
    </row>
    <row r="121" ht="24" customHeight="1">
      <c r="A121" s="24" t="inlineStr">
        <is>
          <t>peer_comps</t>
        </is>
      </c>
      <c r="B121" s="24" t="inlineStr">
        <is>
          <t>median_op_margin</t>
        </is>
      </c>
      <c r="C121" s="30" t="n">
        <v>0.09546035142742029</v>
      </c>
      <c r="D121" s="24" t="inlineStr">
        <is>
          <t>JSON 상세는 dashboard_payload 파일 참조</t>
        </is>
      </c>
    </row>
    <row r="122" ht="24" customHeight="1">
      <c r="A122" s="29" t="inlineStr">
        <is>
          <t>peer_comps</t>
        </is>
      </c>
      <c r="B122" s="29" t="inlineStr">
        <is>
          <t>median_roe</t>
        </is>
      </c>
      <c r="C122" s="31" t="n">
        <v>0.0821384093070814</v>
      </c>
      <c r="D122" s="29" t="inlineStr">
        <is>
          <t>JSON 상세는 dashboard_payload 파일 참조</t>
        </is>
      </c>
    </row>
    <row r="123" ht="24" customHeight="1">
      <c r="A123" s="24" t="inlineStr">
        <is>
          <t>peer_comps</t>
        </is>
      </c>
      <c r="B123" s="24" t="inlineStr">
        <is>
          <t>P/S 중앙값 대비</t>
        </is>
      </c>
      <c r="C123" s="30" t="n">
        <v>-0.6342920981061291</v>
      </c>
      <c r="D123" s="24" t="inlineStr">
        <is>
          <t>JSON 상세는 dashboard_payload 파일 참조</t>
        </is>
      </c>
    </row>
    <row r="124" ht="24" customHeight="1">
      <c r="A124" s="29" t="inlineStr">
        <is>
          <t>reference_universe_summary</t>
        </is>
      </c>
      <c r="B124" s="29" t="inlineStr">
        <is>
          <t>상위 블록</t>
        </is>
      </c>
      <c r="C124" s="29" t="inlineStr">
        <is>
          <t>14개 항목</t>
        </is>
      </c>
      <c r="D124" s="29" t="inlineStr">
        <is>
          <t>대시보드에서 객체로 사용</t>
        </is>
      </c>
    </row>
    <row r="125" ht="24" customHeight="1">
      <c r="A125" s="24" t="inlineStr">
        <is>
          <t>reference_universe_summary</t>
        </is>
      </c>
      <c r="B125" s="24" t="inlineStr">
        <is>
          <t>상태</t>
        </is>
      </c>
      <c r="C125" s="24" t="inlineStr">
        <is>
          <t>OK</t>
        </is>
      </c>
      <c r="D125" s="24" t="inlineStr">
        <is>
          <t>JSON 상세는 dashboard_payload 파일 참조</t>
        </is>
      </c>
    </row>
    <row r="126" ht="24" customHeight="1">
      <c r="A126" s="29" t="inlineStr">
        <is>
          <t>reference_universe_summary</t>
        </is>
      </c>
      <c r="B126" s="29" t="inlineStr">
        <is>
          <t>created_at</t>
        </is>
      </c>
      <c r="C126" s="29" t="inlineStr">
        <is>
          <t>2026-05-20T11:48:30</t>
        </is>
      </c>
      <c r="D126" s="29" t="inlineStr">
        <is>
          <t>JSON 상세는 dashboard_payload 파일 참조</t>
        </is>
      </c>
    </row>
    <row r="127" ht="24" customHeight="1">
      <c r="A127" s="24" t="inlineStr">
        <is>
          <t>reference_universe_summary</t>
        </is>
      </c>
      <c r="B127" s="24" t="inlineStr">
        <is>
          <t>reference_universe_rows</t>
        </is>
      </c>
      <c r="C127" s="30" t="n">
        <v>208</v>
      </c>
      <c r="D127" s="24" t="inlineStr">
        <is>
          <t>JSON 상세는 dashboard_payload 파일 참조</t>
        </is>
      </c>
    </row>
    <row r="128" ht="24" customHeight="1">
      <c r="A128" s="29" t="inlineStr">
        <is>
          <t>reference_universe_summary</t>
        </is>
      </c>
      <c r="B128" s="29" t="inlineStr">
        <is>
          <t>focus_rows</t>
        </is>
      </c>
      <c r="C128" s="31" t="n">
        <v>40</v>
      </c>
      <c r="D128" s="29" t="inlineStr">
        <is>
          <t>JSON 상세는 dashboard_payload 파일 참조</t>
        </is>
      </c>
    </row>
    <row r="129" ht="24" customHeight="1">
      <c r="A129" s="24" t="inlineStr">
        <is>
          <t>reference_universe_summary</t>
        </is>
      </c>
      <c r="B129" s="24" t="inlineStr">
        <is>
          <t>focal_5_rows</t>
        </is>
      </c>
      <c r="C129" s="30" t="n">
        <v>5</v>
      </c>
      <c r="D129" s="24" t="inlineStr">
        <is>
          <t>JSON 상세는 dashboard_payload 파일 참조</t>
        </is>
      </c>
    </row>
    <row r="130" ht="24" customHeight="1">
      <c r="A130" s="29" t="inlineStr">
        <is>
          <t>reference_universe_summary</t>
        </is>
      </c>
      <c r="B130" s="29" t="inlineStr">
        <is>
          <t>target_company</t>
        </is>
      </c>
      <c r="C130" s="29" t="inlineStr">
        <is>
          <t>어보브반도체</t>
        </is>
      </c>
      <c r="D130" s="29" t="inlineStr">
        <is>
          <t>JSON 상세는 dashboard_payload 파일 참조</t>
        </is>
      </c>
    </row>
    <row r="131" ht="24" customHeight="1">
      <c r="A131" s="24" t="inlineStr">
        <is>
          <t>reference_universe_summary</t>
        </is>
      </c>
      <c r="B131" s="24" t="inlineStr">
        <is>
          <t>target_peer_group</t>
        </is>
      </c>
      <c r="C131" s="24" t="inlineStr">
        <is>
          <t>팹리스/설계</t>
        </is>
      </c>
      <c r="D131" s="24" t="inlineStr">
        <is>
          <t>JSON 상세는 dashboard_payload 파일 참조</t>
        </is>
      </c>
    </row>
    <row r="132" ht="24" customHeight="1">
      <c r="A132" s="29" t="inlineStr">
        <is>
          <t>reference_universe_summary</t>
        </is>
      </c>
      <c r="B132" s="29" t="inlineStr">
        <is>
          <t>target_peer_group_size</t>
        </is>
      </c>
      <c r="C132" s="31" t="n">
        <v>33</v>
      </c>
      <c r="D132" s="29" t="inlineStr">
        <is>
          <t>JSON 상세는 dashboard_payload 파일 참조</t>
        </is>
      </c>
    </row>
    <row r="133" ht="24" customHeight="1">
      <c r="A133" s="24" t="inlineStr">
        <is>
          <t>reference_universe_summary</t>
        </is>
      </c>
      <c r="B133" s="24" t="inlineStr">
        <is>
          <t>attractive_rows</t>
        </is>
      </c>
      <c r="C133" s="30" t="n">
        <v>43</v>
      </c>
      <c r="D133" s="24" t="inlineStr">
        <is>
          <t>JSON 상세는 dashboard_payload 파일 참조</t>
        </is>
      </c>
    </row>
    <row r="134" ht="24" customHeight="1">
      <c r="A134" s="29" t="inlineStr">
        <is>
          <t>reference_universe_summary</t>
        </is>
      </c>
      <c r="B134" s="29" t="inlineStr">
        <is>
          <t>high_risk_rows</t>
        </is>
      </c>
      <c r="C134" s="31" t="n">
        <v>67</v>
      </c>
      <c r="D134" s="29" t="inlineStr">
        <is>
          <t>JSON 상세는 dashboard_payload 파일 참조</t>
        </is>
      </c>
    </row>
    <row r="135" ht="24" customHeight="1">
      <c r="A135" s="24" t="inlineStr">
        <is>
          <t>reference_universe_summary</t>
        </is>
      </c>
      <c r="B135" s="24" t="inlineStr">
        <is>
          <t>target_reference_row</t>
        </is>
      </c>
      <c r="C135" s="24" t="inlineStr">
        <is>
          <t>32개 항목</t>
        </is>
      </c>
      <c r="D135" s="24" t="inlineStr">
        <is>
          <t>JSON 상세는 dashboard_payload 파일 참조</t>
        </is>
      </c>
    </row>
    <row r="136" ht="24" customHeight="1">
      <c r="A136" s="29" t="inlineStr">
        <is>
          <t>reference_universe_summary</t>
        </is>
      </c>
      <c r="B136" s="29" t="inlineStr">
        <is>
          <t>비고</t>
        </is>
      </c>
      <c r="C136" s="29" t="inlineStr">
        <is>
          <t>Valuation Agent는 live DCF/PSR 산출과 별도로 208개 반도체 universe의 proxy score를 활용해 상대 위치를 보조 판단합니다.</t>
        </is>
      </c>
      <c r="D136" s="29" t="inlineStr">
        <is>
          <t>JSON 상세는 dashboard_payload 파일 참조</t>
        </is>
      </c>
    </row>
    <row r="137" ht="24" customHeight="1">
      <c r="A137" s="24" t="inlineStr">
        <is>
          <t>reference_universe_summary</t>
        </is>
      </c>
      <c r="B137" s="24" t="inlineStr">
        <is>
          <t>source_path</t>
        </is>
      </c>
      <c r="C137" s="24" t="inlineStr">
        <is>
          <t>data/반도체/_sector_common/ml_universe/valuation_credit_ml_overlay_candidate.csv</t>
        </is>
      </c>
      <c r="D137" s="24" t="inlineStr">
        <is>
          <t>JSON 상세는 dashboard_payload 파일 참조</t>
        </is>
      </c>
    </row>
    <row r="138" ht="24" customHeight="1">
      <c r="A138" s="29" t="inlineStr">
        <is>
          <t>reference_universe_summary</t>
        </is>
      </c>
      <c r="B138" s="29" t="inlineStr">
        <is>
          <t>exported_at</t>
        </is>
      </c>
      <c r="C138" s="29" t="inlineStr">
        <is>
          <t>2026-05-20T11:48:30</t>
        </is>
      </c>
      <c r="D138" s="29" t="inlineStr">
        <is>
          <t>JSON 상세는 dashboard_payload 파일 참조</t>
        </is>
      </c>
    </row>
    <row r="139" ht="24" customHeight="1">
      <c r="A139" s="24" t="inlineStr">
        <is>
          <t>reference_universe_focus_rows</t>
        </is>
      </c>
      <c r="B139" s="24" t="inlineStr">
        <is>
          <t>목록</t>
        </is>
      </c>
      <c r="C139" s="24" t="inlineStr">
        <is>
          <t>40개 행</t>
        </is>
      </c>
      <c r="D139" s="24" t="inlineStr">
        <is>
          <t>대시보드 표/차트 원천</t>
        </is>
      </c>
    </row>
    <row r="140" ht="24" customHeight="1">
      <c r="A140" s="29" t="inlineStr">
        <is>
          <t>ml_overlay</t>
        </is>
      </c>
      <c r="B140" s="29" t="inlineStr">
        <is>
          <t>상위 블록</t>
        </is>
      </c>
      <c r="C140" s="29" t="inlineStr">
        <is>
          <t>12개 항목</t>
        </is>
      </c>
      <c r="D140" s="29" t="inlineStr">
        <is>
          <t>대시보드에서 객체로 사용</t>
        </is>
      </c>
    </row>
    <row r="141" ht="24" customHeight="1">
      <c r="A141" s="24" t="inlineStr">
        <is>
          <t>ml_overlay</t>
        </is>
      </c>
      <c r="B141" s="24" t="inlineStr">
        <is>
          <t>산출 방식</t>
        </is>
      </c>
      <c r="C141" s="24" t="inlineStr">
        <is>
          <t>deterministic_live_peer_psr_plus_208_reference_universe_overlay</t>
        </is>
      </c>
      <c r="D141" s="24" t="inlineStr">
        <is>
          <t>JSON 상세는 dashboard_payload 파일 참조</t>
        </is>
      </c>
    </row>
    <row r="142" ht="24" customHeight="1">
      <c r="A142" s="29" t="inlineStr">
        <is>
          <t>ml_overlay</t>
        </is>
      </c>
      <c r="B142" s="29" t="inlineStr">
        <is>
          <t>가치평가 방법</t>
        </is>
      </c>
      <c r="C142" s="29" t="inlineStr">
        <is>
          <t>실시간 DART·주가 기반 PSR/Peer + 208개 반도체 reference universe 보조판단</t>
        </is>
      </c>
      <c r="D142" s="29" t="inlineStr">
        <is>
          <t>JSON 상세는 dashboard_payload 파일 참조</t>
        </is>
      </c>
    </row>
    <row r="143" ht="24" customHeight="1">
      <c r="A143" s="24" t="inlineStr">
        <is>
          <t>ml_overlay</t>
        </is>
      </c>
      <c r="B143" s="24" t="inlineStr">
        <is>
          <t>종합 점수</t>
        </is>
      </c>
      <c r="C143" s="30" t="n">
        <v>42.71</v>
      </c>
      <c r="D143" s="24" t="inlineStr">
        <is>
          <t>JSON 상세는 dashboard_payload 파일 참조</t>
        </is>
      </c>
    </row>
    <row r="144" ht="24" customHeight="1">
      <c r="A144" s="29" t="inlineStr">
        <is>
          <t>ml_overlay</t>
        </is>
      </c>
      <c r="B144" s="29" t="inlineStr">
        <is>
          <t>라벨</t>
        </is>
      </c>
      <c r="C144" s="29" t="inlineStr">
        <is>
          <t>VALUATION_CAUTION</t>
        </is>
      </c>
      <c r="D144" s="29" t="inlineStr">
        <is>
          <t>JSON 상세는 dashboard_payload 파일 참조</t>
        </is>
      </c>
    </row>
    <row r="145" ht="24" customHeight="1">
      <c r="A145" s="24" t="inlineStr">
        <is>
          <t>ml_overlay</t>
        </is>
      </c>
      <c r="B145" s="24" t="inlineStr">
        <is>
          <t>한글 라벨</t>
        </is>
      </c>
      <c r="C145" s="24" t="inlineStr">
        <is>
          <t>가치평가 보조근거 주의</t>
        </is>
      </c>
      <c r="D145" s="24" t="inlineStr">
        <is>
          <t>JSON 상세는 dashboard_payload 파일 참조</t>
        </is>
      </c>
    </row>
    <row r="146" ht="24" customHeight="1">
      <c r="A146" s="29" t="inlineStr">
        <is>
          <t>ml_overlay</t>
        </is>
      </c>
      <c r="B146" s="29" t="inlineStr">
        <is>
          <t>factors</t>
        </is>
      </c>
      <c r="C146" s="29" t="inlineStr">
        <is>
          <t>10개 행</t>
        </is>
      </c>
      <c r="D146" s="29" t="inlineStr">
        <is>
          <t>JSON 상세는 dashboard_payload 파일 참조</t>
        </is>
      </c>
    </row>
    <row r="147" ht="24" customHeight="1">
      <c r="A147" s="24" t="inlineStr">
        <is>
          <t>ml_overlay</t>
        </is>
      </c>
      <c r="B147" s="24" t="inlineStr">
        <is>
          <t>kmeans_peer_cluster</t>
        </is>
      </c>
      <c r="C147" s="24" t="inlineStr">
        <is>
          <t>팹리스/설계</t>
        </is>
      </c>
      <c r="D147" s="24" t="inlineStr">
        <is>
          <t>JSON 상세는 dashboard_payload 파일 참조</t>
        </is>
      </c>
    </row>
    <row r="148" ht="24" customHeight="1">
      <c r="A148" s="29" t="inlineStr">
        <is>
          <t>ml_overlay</t>
        </is>
      </c>
      <c r="B148" s="29" t="inlineStr">
        <is>
          <t>reference_cluster</t>
        </is>
      </c>
      <c r="C148" s="29" t="inlineStr">
        <is>
          <t>6개 항목</t>
        </is>
      </c>
      <c r="D148" s="29" t="inlineStr">
        <is>
          <t>JSON 상세는 dashboard_payload 파일 참조</t>
        </is>
      </c>
    </row>
    <row r="149" ht="24" customHeight="1">
      <c r="A149" s="24" t="inlineStr">
        <is>
          <t>ml_overlay</t>
        </is>
      </c>
      <c r="B149" s="24" t="inlineStr">
        <is>
          <t>reference_universe_summary</t>
        </is>
      </c>
      <c r="C149" s="24" t="inlineStr">
        <is>
          <t>4개 항목</t>
        </is>
      </c>
      <c r="D149" s="24" t="inlineStr">
        <is>
          <t>JSON 상세는 dashboard_payload 파일 참조</t>
        </is>
      </c>
    </row>
    <row r="150" ht="24" customHeight="1">
      <c r="A150" s="29" t="inlineStr">
        <is>
          <t>ml_overlay</t>
        </is>
      </c>
      <c r="B150" s="29" t="inlineStr">
        <is>
          <t>psr_overlay</t>
        </is>
      </c>
      <c r="C150" s="29" t="inlineStr">
        <is>
          <t>5개 항목</t>
        </is>
      </c>
      <c r="D150" s="29" t="inlineStr">
        <is>
          <t>JSON 상세는 dashboard_payload 파일 참조</t>
        </is>
      </c>
    </row>
    <row r="151" ht="24" customHeight="1">
      <c r="A151" s="24" t="inlineStr">
        <is>
          <t>ml_overlay</t>
        </is>
      </c>
      <c r="B151" s="24" t="inlineStr">
        <is>
          <t>비고</t>
        </is>
      </c>
      <c r="C151" s="24" t="inlineStr">
        <is>
          <t>This overlay is a deterministic decision-quality helper, not a realized-return predictor.</t>
        </is>
      </c>
      <c r="D151" s="24" t="inlineStr">
        <is>
          <t>JSON 상세는 dashboard_payload 파일 참조</t>
        </is>
      </c>
    </row>
    <row r="152" ht="24" customHeight="1">
      <c r="A152" s="29" t="inlineStr">
        <is>
          <t>ml_overlay</t>
        </is>
      </c>
      <c r="B152" s="29" t="inlineStr">
        <is>
          <t>note_kr</t>
        </is>
      </c>
      <c r="C152" s="29" t="inlineStr">
        <is>
          <t>미래수익률 예측모델이 아니라 대시보드/Chair용 설명가능 보조 가치평가 점수입니다.</t>
        </is>
      </c>
      <c r="D152" s="29" t="inlineStr">
        <is>
          <t>JSON 상세는 dashboard_payload 파일 참조</t>
        </is>
      </c>
    </row>
    <row r="153" ht="24" customHeight="1">
      <c r="A153" s="24" t="inlineStr">
        <is>
          <t>valuation_scorecard</t>
        </is>
      </c>
      <c r="B153" s="24" t="inlineStr">
        <is>
          <t>상위 블록</t>
        </is>
      </c>
      <c r="C153" s="24" t="inlineStr">
        <is>
          <t>8개 항목</t>
        </is>
      </c>
      <c r="D153" s="24" t="inlineStr">
        <is>
          <t>대시보드에서 객체로 사용</t>
        </is>
      </c>
    </row>
    <row r="154" ht="24" customHeight="1">
      <c r="A154" s="29" t="inlineStr">
        <is>
          <t>valuation_scorecard</t>
        </is>
      </c>
      <c r="B154" s="29" t="inlineStr">
        <is>
          <t>산출 방식</t>
        </is>
      </c>
      <c r="C154" s="29" t="inlineStr">
        <is>
          <t>DCF_25_PSR_15_QUALITY_15_REFERENCE_10_ADVANCED_20_LIQUIDITY_10_VALIDATION_5</t>
        </is>
      </c>
      <c r="D154" s="29" t="inlineStr">
        <is>
          <t>JSON 상세는 dashboard_payload 파일 참조</t>
        </is>
      </c>
    </row>
    <row r="155" ht="24" customHeight="1">
      <c r="A155" s="24" t="inlineStr">
        <is>
          <t>valuation_scorecard</t>
        </is>
      </c>
      <c r="B155" s="24" t="inlineStr">
        <is>
          <t>가치평가 방법</t>
        </is>
      </c>
      <c r="C155" s="24" t="inlineStr">
        <is>
          <t>DCF 25% + Peer P/S 15% + 품질 ML 15% + 208개 Universe 10% + 가치범위표/역산 DCF/오너 이익 20% + 유동성/리스크 10% + 검증 5%</t>
        </is>
      </c>
      <c r="D155" s="24" t="inlineStr">
        <is>
          <t>JSON 상세는 dashboard_payload 파일 참조</t>
        </is>
      </c>
    </row>
    <row r="156" ht="24" customHeight="1">
      <c r="A156" s="29" t="inlineStr">
        <is>
          <t>valuation_scorecard</t>
        </is>
      </c>
      <c r="B156" s="29" t="inlineStr">
        <is>
          <t>점수</t>
        </is>
      </c>
      <c r="C156" s="31" t="n">
        <v>46.74</v>
      </c>
      <c r="D156" s="29" t="inlineStr">
        <is>
          <t>JSON 상세는 dashboard_payload 파일 참조</t>
        </is>
      </c>
    </row>
    <row r="157" ht="24" customHeight="1">
      <c r="A157" s="24" t="inlineStr">
        <is>
          <t>valuation_scorecard</t>
        </is>
      </c>
      <c r="B157" s="24" t="inlineStr">
        <is>
          <t>라벨</t>
        </is>
      </c>
      <c r="C157" s="24" t="inlineStr">
        <is>
          <t>VALUATION_NEUTRAL</t>
        </is>
      </c>
      <c r="D157" s="24" t="inlineStr">
        <is>
          <t>JSON 상세는 dashboard_payload 파일 참조</t>
        </is>
      </c>
    </row>
    <row r="158" ht="24" customHeight="1">
      <c r="A158" s="29" t="inlineStr">
        <is>
          <t>valuation_scorecard</t>
        </is>
      </c>
      <c r="B158" s="29" t="inlineStr">
        <is>
          <t>한글 라벨</t>
        </is>
      </c>
      <c r="C158" s="29" t="inlineStr">
        <is>
          <t>중립</t>
        </is>
      </c>
      <c r="D158" s="29" t="inlineStr">
        <is>
          <t>JSON 상세는 dashboard_payload 파일 참조</t>
        </is>
      </c>
    </row>
    <row r="159" ht="24" customHeight="1">
      <c r="A159" s="24" t="inlineStr">
        <is>
          <t>valuation_scorecard</t>
        </is>
      </c>
      <c r="B159" s="24" t="inlineStr">
        <is>
          <t>종합 해석</t>
        </is>
      </c>
      <c r="C159" s="24" t="inlineStr">
        <is>
          <t>현 가격과 내재가치·상대가치가 크게 벌어지지 않은 구간입니다.</t>
        </is>
      </c>
      <c r="D159" s="24" t="inlineStr">
        <is>
          <t>JSON 상세는 dashboard_payload 파일 참조</t>
        </is>
      </c>
    </row>
    <row r="160" ht="24" customHeight="1">
      <c r="A160" s="29" t="inlineStr">
        <is>
          <t>valuation_scorecard</t>
        </is>
      </c>
      <c r="B160" s="29" t="inlineStr">
        <is>
          <t>factors</t>
        </is>
      </c>
      <c r="C160" s="29" t="inlineStr">
        <is>
          <t>7개 행</t>
        </is>
      </c>
      <c r="D160" s="29" t="inlineStr">
        <is>
          <t>JSON 상세는 dashboard_payload 파일 참조</t>
        </is>
      </c>
    </row>
    <row r="161" ht="24" customHeight="1">
      <c r="A161" s="24" t="inlineStr">
        <is>
          <t>valuation_scorecard</t>
        </is>
      </c>
      <c r="B161" s="24" t="inlineStr">
        <is>
          <t>dashboard_note_kr</t>
        </is>
      </c>
      <c r="C161" s="24" t="inlineStr">
        <is>
          <t>Chair 최종 가중합을 대체하지 않는 보조 밸류에이션 스코어입니다. DCF 단일값보다 다중 방법 검증을 우선합니다. 대시보드/엑셀 다운로드/투자자 요약에서 사용합니다.</t>
        </is>
      </c>
      <c r="D161" s="24" t="inlineStr">
        <is>
          <t>JSON 상세는 dashboard_payload 파일 참조</t>
        </is>
      </c>
    </row>
    <row r="162" ht="24" customHeight="1">
      <c r="A162" s="29" t="inlineStr">
        <is>
          <t>종합 가치평가</t>
        </is>
      </c>
      <c r="B162" s="29" t="inlineStr">
        <is>
          <t>상위 블록</t>
        </is>
      </c>
      <c r="C162" s="29" t="inlineStr">
        <is>
          <t>12개 항목</t>
        </is>
      </c>
      <c r="D162" s="29" t="inlineStr">
        <is>
          <t>대시보드에서 객체로 사용</t>
        </is>
      </c>
    </row>
    <row r="163" ht="24" customHeight="1">
      <c r="A163" s="24" t="inlineStr">
        <is>
          <t>종합 가치평가</t>
        </is>
      </c>
      <c r="B163" s="24" t="inlineStr">
        <is>
          <t>가치평가 방법</t>
        </is>
      </c>
      <c r="C163" s="24" t="inlineStr">
        <is>
          <t>DCF + 피어 멀티플 가치범위표 + 역산 DCF + 오너 이익/EPV + 시장내재 배수 + 데이터 커버리지</t>
        </is>
      </c>
      <c r="D163" s="24" t="inlineStr">
        <is>
          <t>JSON 상세는 dashboard_payload 파일 참조</t>
        </is>
      </c>
    </row>
    <row r="164" ht="24" customHeight="1">
      <c r="A164" s="29" t="inlineStr">
        <is>
          <t>종합 가치평가</t>
        </is>
      </c>
      <c r="B164" s="29" t="inlineStr">
        <is>
          <t>종합 가치평가 점수</t>
        </is>
      </c>
      <c r="C164" s="31" t="n">
        <v>44</v>
      </c>
      <c r="D164" s="29" t="inlineStr">
        <is>
          <t>JSON 상세는 dashboard_payload 파일 참조</t>
        </is>
      </c>
    </row>
    <row r="165" ht="24" customHeight="1">
      <c r="A165" s="24" t="inlineStr">
        <is>
          <t>종합 가치평가</t>
        </is>
      </c>
      <c r="B165" s="24" t="inlineStr">
        <is>
          <t>신뢰도 등급</t>
        </is>
      </c>
      <c r="C165" s="24" t="inlineStr">
        <is>
          <t>낮음</t>
        </is>
      </c>
      <c r="D165" s="24" t="inlineStr">
        <is>
          <t>JSON 상세는 dashboard_payload 파일 참조</t>
        </is>
      </c>
    </row>
    <row r="166" ht="24" customHeight="1">
      <c r="A166" s="29" t="inlineStr">
        <is>
          <t>종합 가치평가</t>
        </is>
      </c>
      <c r="B166" s="29" t="inlineStr">
        <is>
          <t>가치범위표</t>
        </is>
      </c>
      <c r="C166" s="29" t="inlineStr">
        <is>
          <t>7개 항목</t>
        </is>
      </c>
      <c r="D166" s="29" t="inlineStr">
        <is>
          <t>JSON 상세는 dashboard_payload 파일 참조</t>
        </is>
      </c>
    </row>
    <row r="167" ht="24" customHeight="1">
      <c r="A167" s="24" t="inlineStr">
        <is>
          <t>종합 가치평가</t>
        </is>
      </c>
      <c r="B167" s="24" t="inlineStr">
        <is>
          <t>가치평가 방법</t>
        </is>
      </c>
      <c r="C167" s="24" t="inlineStr">
        <is>
          <t>7개 행</t>
        </is>
      </c>
      <c r="D167" s="24" t="inlineStr">
        <is>
          <t>JSON 상세는 dashboard_payload 파일 참조</t>
        </is>
      </c>
    </row>
    <row r="168" ht="24" customHeight="1">
      <c r="A168" s="29" t="inlineStr">
        <is>
          <t>종합 가치평가</t>
        </is>
      </c>
      <c r="B168" s="29" t="inlineStr">
        <is>
          <t>역산 DCF</t>
        </is>
      </c>
      <c r="C168" s="29" t="inlineStr">
        <is>
          <t>9개 항목</t>
        </is>
      </c>
      <c r="D168" s="29" t="inlineStr">
        <is>
          <t>JSON 상세는 dashboard_payload 파일 참조</t>
        </is>
      </c>
    </row>
    <row r="169" ht="24" customHeight="1">
      <c r="A169" s="24" t="inlineStr">
        <is>
          <t>종합 가치평가</t>
        </is>
      </c>
      <c r="B169" s="24" t="inlineStr">
        <is>
          <t>오너 이익</t>
        </is>
      </c>
      <c r="C169" s="24" t="inlineStr">
        <is>
          <t>11개 항목</t>
        </is>
      </c>
      <c r="D169" s="24" t="inlineStr">
        <is>
          <t>JSON 상세는 dashboard_payload 파일 참조</t>
        </is>
      </c>
    </row>
    <row r="170" ht="24" customHeight="1">
      <c r="A170" s="29" t="inlineStr">
        <is>
          <t>종합 가치평가</t>
        </is>
      </c>
      <c r="B170" s="29" t="inlineStr">
        <is>
          <t>시장내재 배수</t>
        </is>
      </c>
      <c r="C170" s="29" t="inlineStr">
        <is>
          <t>14개 항목</t>
        </is>
      </c>
      <c r="D170" s="29" t="inlineStr">
        <is>
          <t>JSON 상세는 dashboard_payload 파일 참조</t>
        </is>
      </c>
    </row>
    <row r="171" ht="24" customHeight="1">
      <c r="A171" s="24" t="inlineStr">
        <is>
          <t>종합 가치평가</t>
        </is>
      </c>
      <c r="B171" s="24" t="inlineStr">
        <is>
          <t>품질 진단</t>
        </is>
      </c>
      <c r="C171" s="24" t="inlineStr">
        <is>
          <t>8개 행</t>
        </is>
      </c>
      <c r="D171" s="24" t="inlineStr">
        <is>
          <t>JSON 상세는 dashboard_payload 파일 참조</t>
        </is>
      </c>
    </row>
    <row r="172" ht="24" customHeight="1">
      <c r="A172" s="29" t="inlineStr">
        <is>
          <t>종합 가치평가</t>
        </is>
      </c>
      <c r="B172" s="29" t="inlineStr">
        <is>
          <t>source_completion_plan</t>
        </is>
      </c>
      <c r="C172" s="29" t="inlineStr">
        <is>
          <t>6개 행</t>
        </is>
      </c>
      <c r="D172" s="29" t="inlineStr">
        <is>
          <t>JSON 상세는 dashboard_payload 파일 참조</t>
        </is>
      </c>
    </row>
    <row r="173" ht="24" customHeight="1">
      <c r="A173" s="24" t="inlineStr">
        <is>
          <t>종합 가치평가</t>
        </is>
      </c>
      <c r="B173" s="24" t="inlineStr">
        <is>
          <t>market_snapshot</t>
        </is>
      </c>
      <c r="C173" s="24" t="inlineStr">
        <is>
          <t>32개 항목</t>
        </is>
      </c>
      <c r="D173" s="24" t="inlineStr">
        <is>
          <t>JSON 상세는 dashboard_payload 파일 참조</t>
        </is>
      </c>
    </row>
    <row r="174" ht="24" customHeight="1">
      <c r="A174" s="29" t="inlineStr">
        <is>
          <t>종합 가치평가</t>
        </is>
      </c>
      <c r="B174" s="29" t="inlineStr">
        <is>
          <t>dashboard_note_kr</t>
        </is>
      </c>
      <c r="C174" s="29" t="inlineStr">
        <is>
          <t>투자은행식 valuation pack에서 자주 쓰는 DCF·Comps·역산 DCF·오너 이익·시장내재배수 교차검증을 제공합니다.</t>
        </is>
      </c>
      <c r="D174" s="29" t="inlineStr">
        <is>
          <t>JSON 상세는 dashboard_payload 파일 참조</t>
        </is>
      </c>
    </row>
    <row r="175" ht="24" customHeight="1">
      <c r="A175" s="24" t="inlineStr">
        <is>
          <t>시장내재 배수</t>
        </is>
      </c>
      <c r="B175" s="24" t="inlineStr">
        <is>
          <t>상위 블록</t>
        </is>
      </c>
      <c r="C175" s="24" t="inlineStr">
        <is>
          <t>14개 항목</t>
        </is>
      </c>
      <c r="D175" s="24" t="inlineStr">
        <is>
          <t>대시보드에서 객체로 사용</t>
        </is>
      </c>
    </row>
    <row r="176" ht="24" customHeight="1">
      <c r="A176" s="29" t="inlineStr">
        <is>
          <t>시장내재 배수</t>
        </is>
      </c>
      <c r="B176" s="29" t="inlineStr">
        <is>
          <t>latest_close</t>
        </is>
      </c>
      <c r="C176" s="31" t="n">
        <v>11890</v>
      </c>
      <c r="D176" s="29" t="inlineStr">
        <is>
          <t>JSON 상세는 dashboard_payload 파일 참조</t>
        </is>
      </c>
    </row>
    <row r="177" ht="24" customHeight="1">
      <c r="A177" s="24" t="inlineStr">
        <is>
          <t>시장내재 배수</t>
        </is>
      </c>
      <c r="B177" s="24" t="inlineStr">
        <is>
          <t>시가총액</t>
        </is>
      </c>
      <c r="C177" s="30" t="n">
        <v>211413153170</v>
      </c>
      <c r="D177" s="24" t="inlineStr">
        <is>
          <t>JSON 상세는 dashboard_payload 파일 참조</t>
        </is>
      </c>
    </row>
    <row r="178" ht="24" customHeight="1">
      <c r="A178" s="29" t="inlineStr">
        <is>
          <t>시장내재 배수</t>
        </is>
      </c>
      <c r="B178" s="29" t="inlineStr">
        <is>
          <t>EV proxy</t>
        </is>
      </c>
      <c r="C178" s="31" t="n">
        <v>324755498261</v>
      </c>
      <c r="D178" s="29" t="inlineStr">
        <is>
          <t>JSON 상세는 dashboard_payload 파일 참조</t>
        </is>
      </c>
    </row>
    <row r="179" ht="24" customHeight="1">
      <c r="A179" s="24" t="inlineStr">
        <is>
          <t>시장내재 배수</t>
        </is>
      </c>
      <c r="B179" s="24" t="inlineStr">
        <is>
          <t>psr_market</t>
        </is>
      </c>
      <c r="C179" s="30" t="n">
        <v>0.8660085106056655</v>
      </c>
      <c r="D179" s="24" t="inlineStr">
        <is>
          <t>JSON 상세는 dashboard_payload 파일 참조</t>
        </is>
      </c>
    </row>
    <row r="180" ht="24" customHeight="1">
      <c r="A180" s="29" t="inlineStr">
        <is>
          <t>시장내재 배수</t>
        </is>
      </c>
      <c r="B180" s="29" t="inlineStr">
        <is>
          <t>pbr_market</t>
        </is>
      </c>
      <c r="C180" s="31" t="n">
        <v>1.368879027544403</v>
      </c>
      <c r="D180" s="29" t="inlineStr">
        <is>
          <t>JSON 상세는 dashboard_payload 파일 참조</t>
        </is>
      </c>
    </row>
    <row r="181" ht="24" customHeight="1">
      <c r="A181" s="24" t="inlineStr">
        <is>
          <t>시장내재 배수</t>
        </is>
      </c>
      <c r="B181" s="24" t="inlineStr">
        <is>
          <t>per_market</t>
        </is>
      </c>
      <c r="C181" s="30" t="n">
        <v>107.8956185135952</v>
      </c>
      <c r="D181" s="24" t="inlineStr">
        <is>
          <t>JSON 상세는 dashboard_payload 파일 참조</t>
        </is>
      </c>
    </row>
    <row r="182" ht="24" customHeight="1">
      <c r="A182" s="29" t="inlineStr">
        <is>
          <t>시장내재 배수</t>
        </is>
      </c>
      <c r="B182" s="29" t="inlineStr">
        <is>
          <t>p_fcf_market</t>
        </is>
      </c>
      <c r="C182" s="31" t="n">
        <v>31.31890519985617</v>
      </c>
      <c r="D182" s="29" t="inlineStr">
        <is>
          <t>JSON 상세는 dashboard_payload 파일 참조</t>
        </is>
      </c>
    </row>
    <row r="183" ht="24" customHeight="1">
      <c r="A183" s="24" t="inlineStr">
        <is>
          <t>시장내재 배수</t>
        </is>
      </c>
      <c r="B183" s="24" t="inlineStr">
        <is>
          <t>ev_sales_market</t>
        </is>
      </c>
      <c r="C183" s="30" t="n">
        <v>1.330291049270051</v>
      </c>
      <c r="D183" s="24" t="inlineStr">
        <is>
          <t>JSON 상세는 dashboard_payload 파일 참조</t>
        </is>
      </c>
    </row>
    <row r="184" ht="24" customHeight="1">
      <c r="A184" s="29" t="inlineStr">
        <is>
          <t>시장내재 배수</t>
        </is>
      </c>
      <c r="B184" s="29" t="inlineStr">
        <is>
          <t>ev_ebit_market</t>
        </is>
      </c>
      <c r="C184" s="31" t="n">
        <v>32.00133771515592</v>
      </c>
      <c r="D184" s="29" t="inlineStr">
        <is>
          <t>JSON 상세는 dashboard_payload 파일 참조</t>
        </is>
      </c>
    </row>
    <row r="185" ht="24" customHeight="1">
      <c r="A185" s="24" t="inlineStr">
        <is>
          <t>시장내재 배수</t>
        </is>
      </c>
      <c r="B185" s="24" t="inlineStr">
        <is>
          <t>eps_derived</t>
        </is>
      </c>
      <c r="C185" s="30" t="n">
        <v>110.1990994982046</v>
      </c>
      <c r="D185" s="24" t="inlineStr">
        <is>
          <t>JSON 상세는 dashboard_payload 파일 참조</t>
        </is>
      </c>
    </row>
    <row r="186" ht="24" customHeight="1">
      <c r="A186" s="29" t="inlineStr">
        <is>
          <t>시장내재 배수</t>
        </is>
      </c>
      <c r="B186" s="29" t="inlineStr">
        <is>
          <t>bps_derived</t>
        </is>
      </c>
      <c r="C186" s="31" t="n">
        <v>8685.93919605092</v>
      </c>
      <c r="D186" s="29" t="inlineStr">
        <is>
          <t>JSON 상세는 dashboard_payload 파일 참조</t>
        </is>
      </c>
    </row>
    <row r="187" ht="24" customHeight="1">
      <c r="A187" s="24" t="inlineStr">
        <is>
          <t>시장내재 배수</t>
        </is>
      </c>
      <c r="B187" s="24" t="inlineStr">
        <is>
          <t>fcf_yield_market</t>
        </is>
      </c>
      <c r="C187" s="30" t="n">
        <v>0.03192959631311099</v>
      </c>
      <c r="D187" s="24" t="inlineStr">
        <is>
          <t>JSON 상세는 dashboard_payload 파일 참조</t>
        </is>
      </c>
    </row>
    <row r="188" ht="24" customHeight="1">
      <c r="A188" s="29" t="inlineStr">
        <is>
          <t>시장내재 배수</t>
        </is>
      </c>
      <c r="B188" s="29" t="inlineStr">
        <is>
          <t>sales_yield_market</t>
        </is>
      </c>
      <c r="C188" s="31" t="n">
        <v>1.154723063056995</v>
      </c>
      <c r="D188" s="29" t="inlineStr">
        <is>
          <t>JSON 상세는 dashboard_payload 파일 참조</t>
        </is>
      </c>
    </row>
    <row r="189" ht="24" customHeight="1">
      <c r="A189" s="24" t="inlineStr">
        <is>
          <t>시장내재 배수</t>
        </is>
      </c>
      <c r="B189" s="24" t="inlineStr">
        <is>
          <t>source_kr</t>
        </is>
      </c>
      <c r="C189" s="24" t="inlineStr">
        <is>
          <t>DART 정규화 재무제표 + Valuation Agent 주가/발행주식 수 intake로 자동 산출</t>
        </is>
      </c>
      <c r="D189" s="24" t="inlineStr">
        <is>
          <t>JSON 상세는 dashboard_payload 파일 참조</t>
        </is>
      </c>
    </row>
    <row r="190" ht="24" customHeight="1">
      <c r="A190" s="29" t="inlineStr">
        <is>
          <t>품질 진단</t>
        </is>
      </c>
      <c r="B190" s="29" t="inlineStr">
        <is>
          <t>목록</t>
        </is>
      </c>
      <c r="C190" s="29" t="inlineStr">
        <is>
          <t>8개 행</t>
        </is>
      </c>
      <c r="D190" s="29" t="inlineStr">
        <is>
          <t>대시보드 표/차트 원천</t>
        </is>
      </c>
    </row>
    <row r="191" ht="24" customHeight="1">
      <c r="A191" s="24" t="inlineStr">
        <is>
          <t>검증 결과</t>
        </is>
      </c>
      <c r="B191" s="24" t="inlineStr">
        <is>
          <t>상위 블록</t>
        </is>
      </c>
      <c r="C191" s="24" t="inlineStr">
        <is>
          <t>4개 항목</t>
        </is>
      </c>
      <c r="D191" s="24" t="inlineStr">
        <is>
          <t>대시보드에서 객체로 사용</t>
        </is>
      </c>
    </row>
    <row r="192" ht="24" customHeight="1">
      <c r="A192" s="29" t="inlineStr">
        <is>
          <t>검증 결과</t>
        </is>
      </c>
      <c r="B192" s="29" t="inlineStr">
        <is>
          <t>상태</t>
        </is>
      </c>
      <c r="C192" s="29" t="inlineStr">
        <is>
          <t>PASS</t>
        </is>
      </c>
      <c r="D192" s="29" t="inlineStr">
        <is>
          <t>JSON 상세는 dashboard_payload 파일 참조</t>
        </is>
      </c>
    </row>
    <row r="193" ht="24" customHeight="1">
      <c r="A193" s="24" t="inlineStr">
        <is>
          <t>검증 결과</t>
        </is>
      </c>
      <c r="B193" s="24" t="inlineStr">
        <is>
          <t>issues</t>
        </is>
      </c>
      <c r="C193" s="24" t="inlineStr">
        <is>
          <t>1개 행</t>
        </is>
      </c>
      <c r="D193" s="24" t="inlineStr">
        <is>
          <t>JSON 상세는 dashboard_payload 파일 참조</t>
        </is>
      </c>
    </row>
    <row r="194" ht="24" customHeight="1">
      <c r="A194" s="29" t="inlineStr">
        <is>
          <t>검증 결과</t>
        </is>
      </c>
      <c r="B194" s="29" t="inlineStr">
        <is>
          <t>audit_trail</t>
        </is>
      </c>
      <c r="C194" s="29" t="inlineStr">
        <is>
          <t>6개 행</t>
        </is>
      </c>
      <c r="D194" s="29" t="inlineStr">
        <is>
          <t>JSON 상세는 dashboard_payload 파일 참조</t>
        </is>
      </c>
    </row>
    <row r="195" ht="24" customHeight="1">
      <c r="A195" s="24" t="inlineStr">
        <is>
          <t>검증 결과</t>
        </is>
      </c>
      <c r="B195" s="24" t="inlineStr">
        <is>
          <t>principle</t>
        </is>
      </c>
      <c r="C195" s="24" t="inlineStr">
        <is>
          <t>valuation_agent 자체 데이터/모델 일관성 검증; 기존 web-auditor 의존 없음</t>
        </is>
      </c>
      <c r="D195" s="24" t="inlineStr">
        <is>
          <t>JSON 상세는 dashboard_payload 파일 참조</t>
        </is>
      </c>
    </row>
    <row r="196" ht="24" customHeight="1">
      <c r="A196" s="29" t="inlineStr">
        <is>
          <t>display_labels_kr</t>
        </is>
      </c>
      <c r="B196" s="29" t="inlineStr">
        <is>
          <t>상위 블록</t>
        </is>
      </c>
      <c r="C196" s="29" t="inlineStr">
        <is>
          <t>8개 항목</t>
        </is>
      </c>
      <c r="D196" s="29" t="inlineStr">
        <is>
          <t>대시보드에서 객체로 사용</t>
        </is>
      </c>
    </row>
    <row r="197" ht="24" customHeight="1">
      <c r="A197" s="24" t="inlineStr">
        <is>
          <t>display_labels_kr</t>
        </is>
      </c>
      <c r="B197" s="24" t="inlineStr">
        <is>
          <t>summary_cards</t>
        </is>
      </c>
      <c r="C197" s="24" t="inlineStr">
        <is>
          <t>핵심 요약 카드</t>
        </is>
      </c>
      <c r="D197" s="24" t="inlineStr">
        <is>
          <t>JSON 상세는 dashboard_payload 파일 참조</t>
        </is>
      </c>
    </row>
    <row r="198" ht="24" customHeight="1">
      <c r="A198" s="29" t="inlineStr">
        <is>
          <t>display_labels_kr</t>
        </is>
      </c>
      <c r="B198" s="29" t="inlineStr">
        <is>
          <t>price_history</t>
        </is>
      </c>
      <c r="C198" s="29" t="inlineStr">
        <is>
          <t>주가 차트</t>
        </is>
      </c>
      <c r="D198" s="29" t="inlineStr">
        <is>
          <t>JSON 상세는 dashboard_payload 파일 참조</t>
        </is>
      </c>
    </row>
    <row r="199" ht="24" customHeight="1">
      <c r="A199" s="24" t="inlineStr">
        <is>
          <t>display_labels_kr</t>
        </is>
      </c>
      <c r="B199" s="24" t="inlineStr">
        <is>
          <t>historical_financials</t>
        </is>
      </c>
      <c r="C199" s="24" t="inlineStr">
        <is>
          <t>재무 추이</t>
        </is>
      </c>
      <c r="D199" s="24" t="inlineStr">
        <is>
          <t>JSON 상세는 dashboard_payload 파일 참조</t>
        </is>
      </c>
    </row>
    <row r="200" ht="24" customHeight="1">
      <c r="A200" s="29" t="inlineStr">
        <is>
          <t>display_labels_kr</t>
        </is>
      </c>
      <c r="B200" s="29" t="inlineStr">
        <is>
          <t>fcf_projection</t>
        </is>
      </c>
      <c r="C200" s="29" t="inlineStr">
        <is>
          <t>FCF 추정</t>
        </is>
      </c>
      <c r="D200" s="29" t="inlineStr">
        <is>
          <t>JSON 상세는 dashboard_payload 파일 참조</t>
        </is>
      </c>
    </row>
    <row r="201" ht="24" customHeight="1">
      <c r="A201" s="24" t="inlineStr">
        <is>
          <t>display_labels_kr</t>
        </is>
      </c>
      <c r="B201" s="24" t="inlineStr">
        <is>
          <t>peer_multiples</t>
        </is>
      </c>
      <c r="C201" s="24" t="inlineStr">
        <is>
          <t>비교기업 멀티플 비교</t>
        </is>
      </c>
      <c r="D201" s="24" t="inlineStr">
        <is>
          <t>JSON 상세는 dashboard_payload 파일 참조</t>
        </is>
      </c>
    </row>
    <row r="202" ht="24" customHeight="1">
      <c r="A202" s="29" t="inlineStr">
        <is>
          <t>display_labels_kr</t>
        </is>
      </c>
      <c r="B202" s="29" t="inlineStr">
        <is>
          <t>reference_universe_focus</t>
        </is>
      </c>
      <c r="C202" s="29" t="inlineStr">
        <is>
          <t>208개 반도체 비교군 상대위치</t>
        </is>
      </c>
      <c r="D202" s="29" t="inlineStr">
        <is>
          <t>JSON 상세는 dashboard_payload 파일 참조</t>
        </is>
      </c>
    </row>
    <row r="203" ht="24" customHeight="1">
      <c r="A203" s="24" t="inlineStr">
        <is>
          <t>display_labels_kr</t>
        </is>
      </c>
      <c r="B203" s="24" t="inlineStr">
        <is>
          <t>advanced_valuation</t>
        </is>
      </c>
      <c r="C203" s="24" t="inlineStr">
        <is>
          <t>종합 가치평가</t>
        </is>
      </c>
      <c r="D203" s="24" t="inlineStr">
        <is>
          <t>JSON 상세는 dashboard_payload 파일 참조</t>
        </is>
      </c>
    </row>
    <row r="204" ht="24" customHeight="1">
      <c r="A204" s="29" t="inlineStr">
        <is>
          <t>display_labels_kr</t>
        </is>
      </c>
      <c r="B204" s="29" t="inlineStr">
        <is>
          <t>download_workbook</t>
        </is>
      </c>
      <c r="C204" s="29" t="inlineStr">
        <is>
          <t>엑셀 다운로드</t>
        </is>
      </c>
      <c r="D204" s="29" t="inlineStr">
        <is>
          <t>JSON 상세는 dashboard_payload 파일 참조</t>
        </is>
      </c>
    </row>
    <row r="205" ht="24" customHeight="1">
      <c r="A205" s="24" t="inlineStr">
        <is>
          <t>dashboard_usage_note</t>
        </is>
      </c>
      <c r="B205" s="24" t="inlineStr">
        <is>
          <t>값</t>
        </is>
      </c>
      <c r="C205" s="24" t="inlineStr">
        <is>
          <t>Streamlit/React 대시보드에서 한국어 카드, 주가 차트, DCF·P/S·P/B·PER·가치범위표, 208개 기준 비교군 표/산점도, 검증 배지, 엑셀 다운로드 버튼에 바로 연결할 수 있습니다.</t>
        </is>
      </c>
      <c r="D205" s="24" t="inlineStr">
        <is>
          <t>대시보드 기본값</t>
        </is>
      </c>
    </row>
  </sheetData>
  <autoFilter ref="A2:D205"/>
  <mergeCells count="1">
    <mergeCell ref="A1:F1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감사 추적</t>
        </is>
      </c>
    </row>
    <row r="2" ht="24" customHeight="1">
      <c r="A2" s="25" t="inlineStr">
        <is>
          <t>단계</t>
        </is>
      </c>
      <c r="B2" s="25" t="inlineStr">
        <is>
          <t>상태</t>
        </is>
      </c>
      <c r="C2" s="25" t="inlineStr">
        <is>
          <t>rows</t>
        </is>
      </c>
      <c r="D2" s="25" t="inlineStr">
        <is>
          <t>발행주식 수</t>
        </is>
      </c>
      <c r="E2" s="25" t="inlineStr">
        <is>
          <t>시가총액</t>
        </is>
      </c>
      <c r="F2" s="25" t="inlineStr">
        <is>
          <t>20일 평균 거래대금</t>
        </is>
      </c>
    </row>
    <row r="3" ht="24" customHeight="1">
      <c r="A3" s="24" t="inlineStr">
        <is>
          <t>normalized_financials</t>
        </is>
      </c>
      <c r="B3" s="24" t="inlineStr">
        <is>
          <t>OK</t>
        </is>
      </c>
      <c r="C3" s="30" t="n">
        <v>5</v>
      </c>
      <c r="D3" s="24" t="inlineStr">
        <is>
          <t>해당 없음</t>
        </is>
      </c>
      <c r="E3" s="24" t="inlineStr">
        <is>
          <t>해당 없음</t>
        </is>
      </c>
      <c r="F3" s="24" t="inlineStr">
        <is>
          <t>해당 없음</t>
        </is>
      </c>
    </row>
    <row r="4" ht="24" customHeight="1">
      <c r="A4" s="29" t="inlineStr">
        <is>
          <t>price_history</t>
        </is>
      </c>
      <c r="B4" s="29" t="inlineStr">
        <is>
          <t>OK</t>
        </is>
      </c>
      <c r="C4" s="31" t="n">
        <v>1221</v>
      </c>
      <c r="D4" s="29" t="inlineStr">
        <is>
          <t>해당 없음</t>
        </is>
      </c>
      <c r="E4" s="29" t="inlineStr">
        <is>
          <t>해당 없음</t>
        </is>
      </c>
      <c r="F4" s="29" t="inlineStr">
        <is>
          <t>해당 없음</t>
        </is>
      </c>
    </row>
    <row r="5" ht="24" customHeight="1">
      <c r="A5" s="24" t="inlineStr">
        <is>
          <t>share_count</t>
        </is>
      </c>
      <c r="B5" s="24" t="inlineStr">
        <is>
          <t>OK</t>
        </is>
      </c>
      <c r="C5" s="24" t="inlineStr">
        <is>
          <t>해당 없음</t>
        </is>
      </c>
      <c r="D5" s="30" t="n">
        <v>17780753</v>
      </c>
      <c r="E5" s="24" t="inlineStr">
        <is>
          <t>해당 없음</t>
        </is>
      </c>
      <c r="F5" s="24" t="inlineStr">
        <is>
          <t>해당 없음</t>
        </is>
      </c>
    </row>
    <row r="6" ht="24" customHeight="1">
      <c r="A6" s="29" t="inlineStr">
        <is>
          <t>reference_universe</t>
        </is>
      </c>
      <c r="B6" s="29" t="inlineStr">
        <is>
          <t>OK</t>
        </is>
      </c>
      <c r="C6" s="31" t="n">
        <v>208</v>
      </c>
      <c r="D6" s="29" t="inlineStr">
        <is>
          <t>해당 없음</t>
        </is>
      </c>
      <c r="E6" s="29" t="inlineStr">
        <is>
          <t>해당 없음</t>
        </is>
      </c>
      <c r="F6" s="29" t="inlineStr">
        <is>
          <t>해당 없음</t>
        </is>
      </c>
    </row>
    <row r="7" ht="24" customHeight="1">
      <c r="A7" s="24" t="inlineStr">
        <is>
          <t>market_cap</t>
        </is>
      </c>
      <c r="B7" s="24" t="inlineStr">
        <is>
          <t>OK</t>
        </is>
      </c>
      <c r="C7" s="24" t="inlineStr">
        <is>
          <t>해당 없음</t>
        </is>
      </c>
      <c r="D7" s="24" t="inlineStr">
        <is>
          <t>해당 없음</t>
        </is>
      </c>
      <c r="E7" s="30" t="n">
        <v>211413153170</v>
      </c>
      <c r="F7" s="24" t="inlineStr">
        <is>
          <t>해당 없음</t>
        </is>
      </c>
    </row>
    <row r="8" ht="24" customHeight="1">
      <c r="A8" s="29" t="inlineStr">
        <is>
          <t>liquidity_proxy</t>
        </is>
      </c>
      <c r="B8" s="29" t="inlineStr">
        <is>
          <t>OK</t>
        </is>
      </c>
      <c r="C8" s="29" t="inlineStr">
        <is>
          <t>해당 없음</t>
        </is>
      </c>
      <c r="D8" s="29" t="inlineStr">
        <is>
          <t>해당 없음</t>
        </is>
      </c>
      <c r="E8" s="29" t="inlineStr">
        <is>
          <t>해당 없음</t>
        </is>
      </c>
      <c r="F8" s="31" t="n">
        <v>18328562775.5</v>
      </c>
    </row>
  </sheetData>
  <autoFilter ref="A2:F8"/>
  <mergeCells count="1">
    <mergeCell ref="A1:F1"/>
  </mergeCells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업로드 파이낸셜 모델링 파일에서 추출한 설계 archetype</t>
        </is>
      </c>
    </row>
    <row r="2" ht="24" customHeight="1">
      <c r="A2" s="25" t="inlineStr">
        <is>
          <t>모델 유형</t>
        </is>
      </c>
      <c r="B2" s="25" t="inlineStr">
        <is>
          <t>설명</t>
        </is>
      </c>
      <c r="C2" s="25" t="inlineStr">
        <is>
          <t>참조 파일 패턴</t>
        </is>
      </c>
      <c r="D2" s="25" t="inlineStr">
        <is>
          <t>관찰된 시트</t>
        </is>
      </c>
      <c r="E2" s="25" t="inlineStr">
        <is>
          <t>권장 시트</t>
        </is>
      </c>
      <c r="F2" s="25" t="inlineStr">
        <is>
          <t>필요 데이터</t>
        </is>
      </c>
      <c r="G2" s="25" t="inlineStr">
        <is>
          <t>키워드</t>
        </is>
      </c>
    </row>
    <row r="3" ht="24" customHeight="1">
      <c r="A3" s="24" t="inlineStr">
        <is>
          <t>DCF_CORE</t>
        </is>
      </c>
      <c r="B3" s="24" t="inlineStr">
        <is>
          <t>DCF 핵심 모델: 가정, 정규화 재무제표, WACC, FCF 추정, DCF, 검증체크.</t>
        </is>
      </c>
      <c r="C3" s="24" t="inlineStr">
        <is>
          <t>파이낸셜 모델링 플레이북 / DCF, Value, Valuation, FCF, WACC 실습형 파일</t>
        </is>
      </c>
      <c r="D3" s="24" t="inlineStr">
        <is>
          <t>DCF | Summary | Sales | COGS | SG&amp;A | CAPEX Dep. | WC | Debt | FCF | WACC | Value</t>
        </is>
      </c>
      <c r="E3" s="24" t="inlineStr">
        <is>
          <t>01_ReadMe | 02_Assumptions | 03_Raw_Financials | 04_Normalized_FS | 05_Key_Ratios | 06_WACC | 07_FCF_Projection | 08_DCF | 09_Sensitivity | 10_Checks</t>
        </is>
      </c>
      <c r="F3" s="24" t="inlineStr">
        <is>
          <t>financial_statements | price_history | capital_structure | macro_assumptions | shares_outstanding</t>
        </is>
      </c>
      <c r="G3" s="24" t="inlineStr">
        <is>
          <t>dcf | wacc | fcf | valuation | value | capex | debt</t>
        </is>
      </c>
    </row>
    <row r="4" ht="24" customHeight="1">
      <c r="A4" s="29" t="inlineStr">
        <is>
          <t>THREE_STATEMENT_MODEL</t>
        </is>
      </c>
      <c r="B4" s="29" t="inlineStr">
        <is>
          <t>Three-statement style model: PL/BS/CF raw data normalization and operating driver projection.</t>
        </is>
      </c>
      <c r="C4" s="29" t="inlineStr">
        <is>
          <t>재무모델링/재무기획 자료 중 FS, BS, PL, CF, Raw data, Normalized 형태</t>
        </is>
      </c>
      <c r="D4" s="29" t="inlineStr">
        <is>
          <t>FS | BS | PL | CF | Raw data | Input | Output | Check</t>
        </is>
      </c>
      <c r="E4" s="29" t="inlineStr">
        <is>
          <t>01_ReadMe | 02_Source_Map | 03_Raw_Financials | 04_Normalized_FS | 05_Ratio_Drivers | 06_Projection | 07_Checks</t>
        </is>
      </c>
      <c r="F4" s="29" t="inlineStr">
        <is>
          <t>financial_statements | account_mapping | historical_ratios | projection_drivers</t>
        </is>
      </c>
      <c r="G4" s="29" t="inlineStr">
        <is>
          <t>fs | bs | pl | cf | raw | normalized | projection</t>
        </is>
      </c>
    </row>
    <row r="5" ht="24" customHeight="1">
      <c r="A5" s="24" t="inlineStr">
        <is>
          <t>PEER_COMPS</t>
        </is>
      </c>
      <c r="B5" s="24" t="inlineStr">
        <is>
          <t>Comparable-company workbook for peer multiples and relative valuation.</t>
        </is>
      </c>
      <c r="C5" s="24" t="inlineStr">
        <is>
          <t>Peer Analysis, 시장/산업 비교, valuation multiple 관련 시트</t>
        </is>
      </c>
      <c r="D5" s="24" t="inlineStr">
        <is>
          <t>Peer Analysis | Comps | Market | Industry | Output</t>
        </is>
      </c>
      <c r="E5" s="24" t="inlineStr">
        <is>
          <t>01_ReadMe | 02_Peer_Universe | 03_Peer_Raw_Data | 04_Peer_Multiples | 05_Relative_Value | 06_Checks</t>
        </is>
      </c>
      <c r="F5" s="24" t="inlineStr">
        <is>
          <t>peer_financials | peer_prices | market_cap | revenue | net_income | equity</t>
        </is>
      </c>
      <c r="G5" s="24" t="inlineStr">
        <is>
          <t>peer | comps | multiple | per | pbr | psr | ev</t>
        </is>
      </c>
    </row>
    <row r="6" ht="24" customHeight="1">
      <c r="A6" s="29" t="inlineStr">
        <is>
          <t>SCENARIO_SENSITIVITY</t>
        </is>
      </c>
      <c r="B6" s="29" t="inlineStr">
        <is>
          <t>Scenario workbook: base/bull/bear assumptions and DCF sensitivity table.</t>
        </is>
      </c>
      <c r="C6" s="29" t="inlineStr">
        <is>
          <t>Scenario, Sensitivity, 가정별 변화 보기, Check 관련 시트</t>
        </is>
      </c>
      <c r="D6" s="29" t="inlineStr">
        <is>
          <t>Scenario | Sensitivity | Input | Check | Output</t>
        </is>
      </c>
      <c r="E6" s="29" t="inlineStr">
        <is>
          <t>01_ReadMe | 02_Assumptions | 03_Scenario_Setup | 04_DCF_Base | 05_Sensitivity | 06_Checks</t>
        </is>
      </c>
      <c r="F6" s="29" t="inlineStr">
        <is>
          <t>base_assumptions | wacc_range | terminal_growth_range | growth_scenarios</t>
        </is>
      </c>
      <c r="G6" s="29" t="inlineStr">
        <is>
          <t>scenario | sensitivity | case | bear | bull | check</t>
        </is>
      </c>
    </row>
    <row r="7" ht="24" customHeight="1">
      <c r="A7" s="24" t="inlineStr">
        <is>
          <t>MANUFACTURING_DRIVER_MODEL</t>
        </is>
      </c>
      <c r="B7" s="24" t="inlineStr">
        <is>
          <t>Manufacturing-style driver model inferred from sheets such as Sales, COGS, CAPEX, SG&amp;A, WC, TAX, DEBT and Backdata.</t>
        </is>
      </c>
      <c r="C7" s="24" t="inlineStr">
        <is>
          <t>제조업/DCF Valuation_after_22ver/DCF+CoCo Valuation+reporting 등 driver-based workbook</t>
        </is>
      </c>
      <c r="D7" s="24" t="inlineStr">
        <is>
          <t>DCF Results | Output☞ | Report | CoCo | DCF | FCST BS | FCST IS | FCST CF | WP☞ | Assumption | Sales | COGS | CAPEX | Payroll | SG&amp;A | DEBT | TAX | WC | WACC | Backdata☞</t>
        </is>
      </c>
      <c r="E7" s="24" t="inlineStr">
        <is>
          <t>01_ReadMe | 02_Assumptions | 03_Raw_Financials | 04_Driver_Input | 05_Revenue_COGS_SGA | 06_CAPEX_WC_Tax | 07_Forecast_FS | 08_WACC | 09_DCF | 10_CoCo | 11_Report</t>
        </is>
      </c>
      <c r="F7" s="24" t="inlineStr">
        <is>
          <t>historical_fs | sales_driver | margin_driver | capex_driver | working_capital_driver | tax_assumption | debt_assumption</t>
        </is>
      </c>
      <c r="G7" s="24" t="inlineStr">
        <is>
          <t>manufacturing | driver | sales | cogs | capex | wc | tax | coco</t>
        </is>
      </c>
    </row>
    <row r="8" ht="24" customHeight="1">
      <c r="A8" s="29" t="inlineStr">
        <is>
          <t>FPNA_BUDGET_FORECAST</t>
        </is>
      </c>
      <c r="B8" s="29" t="inlineStr">
        <is>
          <t>FP&amp;A budget/forecast model inferred from Legend, Scenario, Input, Inventory, Cost, Working Capital and Financial Statement sheets.</t>
        </is>
      </c>
      <c r="C8" s="29" t="inlineStr">
        <is>
          <t>FP&amp;A / Budget &amp; Forecast xlsm examples</t>
        </is>
      </c>
      <c r="D8" s="29" t="inlineStr">
        <is>
          <t>Legend | Scenario | Input | Inventory | Cost | Working capital | Dep &amp; Tax | Debt &amp; Equity | Financial Statement | Valuation | Check | Actual</t>
        </is>
      </c>
      <c r="E8" s="29" t="inlineStr">
        <is>
          <t>01_ReadMe | 02_Scenario | 03_Input | 04_Actual | 05_Budget_Forecast | 06_Working_Capital | 07_Debt_Equity | 08_Financial_Statement | 09_Valuation | 10_Check</t>
        </is>
      </c>
      <c r="F8" s="29" t="inlineStr">
        <is>
          <t>actual_fs | budget_assumptions | scenario_assumptions | inventory_driver | cost_driver | debt_equity_driver</t>
        </is>
      </c>
      <c r="G8" s="29" t="inlineStr">
        <is>
          <t>fp&amp;a | budget | forecast | scenario | inventory | cost | working capital</t>
        </is>
      </c>
    </row>
    <row r="9" ht="24" customHeight="1">
      <c r="A9" s="24" t="inlineStr">
        <is>
          <t>M_AND_A_DEAL_STRUCTURING</t>
        </is>
      </c>
      <c r="B9" s="24" t="inlineStr">
        <is>
          <t>M&amp;A/deal structuring workbook pattern for merger, secondary sale, rights offering and CB issuance outputs.</t>
        </is>
      </c>
      <c r="C9" s="24" t="inlineStr">
        <is>
          <t>M&amp;A modeling pack / deal structuring exercise</t>
        </is>
      </c>
      <c r="D9" s="24" t="inlineStr">
        <is>
          <t>합병 | 구주매각 | 유상증자 | CB발행 | Peer Analysis | FS (dart) | Peer data (CapIQ) | 참고) Peer List (네이버증권)</t>
        </is>
      </c>
      <c r="E9" s="24" t="inlineStr">
        <is>
          <t>01_ReadMe | 02_Deal_Assumptions | 03_Target_FS | 04_Peer_Comps | 05_Merger | 06_Equity_Issuance | 07_CB_Issuance | 08_Value_Impact | 09_Checks</t>
        </is>
      </c>
      <c r="F9" s="24" t="inlineStr">
        <is>
          <t>target_fs | peer_multiples | deal_assumptions | share_price | capital_structure</t>
        </is>
      </c>
      <c r="G9" s="24" t="inlineStr">
        <is>
          <t>m&amp;a | deal | merger | cb | issuance | peer analysis</t>
        </is>
      </c>
    </row>
    <row r="10" ht="24" customHeight="1">
      <c r="A10" s="29" t="inlineStr">
        <is>
          <t>LBO_CREDIT_CASE</t>
        </is>
      </c>
      <c r="B10" s="29" t="inlineStr">
        <is>
          <t>LBO/debt capacity style model inferred from assumptions, covenants, FCFF, debt and country/rate sheets.</t>
        </is>
      </c>
      <c r="C10" s="29" t="inlineStr">
        <is>
          <t>part10 LBO modeling pack</t>
        </is>
      </c>
      <c r="D10" s="29" t="inlineStr">
        <is>
          <t>Assumptions | Covenants | FCFF (Hold Co) | FCFF(Op) | 추정PL | Sales | PL | BS | Summary | 채권수익률</t>
        </is>
      </c>
      <c r="E10" s="29" t="inlineStr">
        <is>
          <t>01_ReadMe | 02_Assumptions | 03_FCFF | 04_Debt_Schedule | 05_Covenants | 06_Returns | 07_Credit_Checks</t>
        </is>
      </c>
      <c r="F10" s="29" t="inlineStr">
        <is>
          <t>fcff | debt_assumption | interest_rate | covenant_threshold | exit_multiple</t>
        </is>
      </c>
      <c r="G10" s="29" t="inlineStr">
        <is>
          <t>lbo | covenant | debt | fcff | exit | credit</t>
        </is>
      </c>
    </row>
    <row r="11" ht="24" customHeight="1">
      <c r="A11" s="24" t="inlineStr">
        <is>
          <t>RISK_DASHBOARD_EXPORT</t>
        </is>
      </c>
      <c r="B11" s="24" t="inlineStr">
        <is>
          <t>Dashboard/export workbook for investor-facing outputs, risk checks and downloadable payloads.</t>
        </is>
      </c>
      <c r="C11" s="24" t="inlineStr">
        <is>
          <t>ChatGPT로 완성하는 파이낸셜 모델링 및 재무기획 / 수업개요, 엑셀함수, 데이터베이스 스키마, Dashboard/Output</t>
        </is>
      </c>
      <c r="D11" s="24" t="inlineStr">
        <is>
          <t>수업개요 | 엑셀함수소개 | Sheet1 | Dashboard | Output</t>
        </is>
      </c>
      <c r="E11" s="24" t="inlineStr">
        <is>
          <t>01_ReadMe | 02_Raw_Data | 03_Normalized | 04_Output | 05_Dashboard_Export | 06_Checks</t>
        </is>
      </c>
      <c r="F11" s="24" t="inlineStr">
        <is>
          <t>valuation_metrics | risk_flags | chart_series | dashboard_payload | validation_status</t>
        </is>
      </c>
      <c r="G11" s="24" t="inlineStr">
        <is>
          <t>dashboard | output | export | risk | schema | check</t>
        </is>
      </c>
    </row>
  </sheetData>
  <autoFilter ref="A2:G11"/>
  <mergeCells count="1">
    <mergeCell ref="A1:F1"/>
  </mergeCells>
  <pageMargins left="0.75" right="0.7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어보브반도체 투자자용 요약</t>
        </is>
      </c>
    </row>
    <row r="2" ht="28" customHeight="1">
      <c r="A2" s="17" t="inlineStr">
        <is>
          <t>Valuation Agent 단독 산출: 재무 원천·주가·DCF·Peer·ML 보조판단을 한 장으로 요약</t>
        </is>
      </c>
    </row>
    <row r="3" ht="24" customHeight="1"/>
    <row r="4" ht="24" customHeight="1">
      <c r="A4" s="22" t="inlineStr">
        <is>
          <t>투자자 핵심 요약</t>
        </is>
      </c>
    </row>
    <row r="5" ht="24" customHeight="1">
      <c r="A5" s="25" t="inlineStr">
        <is>
          <t>구분</t>
        </is>
      </c>
      <c r="B5" s="25" t="inlineStr">
        <is>
          <t>핵심값</t>
        </is>
      </c>
      <c r="C5" s="25" t="inlineStr">
        <is>
          <t>해석</t>
        </is>
      </c>
    </row>
    <row r="6" ht="24" customHeight="1">
      <c r="A6" s="24" t="inlineStr">
        <is>
          <t>데이터 상태</t>
        </is>
      </c>
      <c r="B6" s="24" t="inlineStr">
        <is>
          <t>PASS</t>
        </is>
      </c>
      <c r="C6" s="24" t="inlineStr">
        <is>
          <t>PASS이면 workbook/dashboard용 주요 입력값이 준비된 상태</t>
        </is>
      </c>
    </row>
    <row r="7" ht="24" customHeight="1">
      <c r="A7" s="29" t="inlineStr">
        <is>
          <t>현재가</t>
        </is>
      </c>
      <c r="B7" s="31" t="n">
        <v>11890</v>
      </c>
      <c r="C7" s="29" t="inlineStr">
        <is>
          <t>주가 intake 기준 최근 종가</t>
        </is>
      </c>
    </row>
    <row r="8" ht="24" customHeight="1">
      <c r="A8" s="24" t="inlineStr">
        <is>
          <t>시가총액</t>
        </is>
      </c>
      <c r="B8" s="30" t="n">
        <v>211413153170</v>
      </c>
      <c r="C8" s="24" t="inlineStr">
        <is>
          <t>현재가 × 발행주식 수</t>
        </is>
      </c>
    </row>
    <row r="9" ht="24" customHeight="1">
      <c r="A9" s="29" t="inlineStr">
        <is>
          <t>최근 매출액</t>
        </is>
      </c>
      <c r="B9" s="31" t="n">
        <v>244123643799</v>
      </c>
      <c r="C9" s="29" t="inlineStr">
        <is>
          <t>DART 기반 정규화 재무제표</t>
        </is>
      </c>
    </row>
    <row r="10" ht="24" customHeight="1">
      <c r="A10" s="24" t="inlineStr">
        <is>
          <t>최근 영업이익률</t>
        </is>
      </c>
      <c r="B10" s="30" t="n">
        <v>0.04156985752005054</v>
      </c>
      <c r="C10" s="24" t="inlineStr">
        <is>
          <t>영업이익 / 매출액</t>
        </is>
      </c>
    </row>
    <row r="11" ht="24" customHeight="1">
      <c r="A11" s="29" t="inlineStr">
        <is>
          <t>최근 FCF margin</t>
        </is>
      </c>
      <c r="B11" s="31" t="n">
        <v>0.02765130214735739</v>
      </c>
      <c r="C11" s="29" t="inlineStr">
        <is>
          <t>FCF / 매출액</t>
        </is>
      </c>
    </row>
    <row r="12" ht="24" customHeight="1">
      <c r="A12" s="24" t="inlineStr">
        <is>
          <t>WACC</t>
        </is>
      </c>
      <c r="B12" s="30" t="n">
        <v>0.1041714346658058</v>
      </c>
      <c r="C12" s="24" t="inlineStr">
        <is>
          <t>DCF 할인율</t>
        </is>
      </c>
    </row>
    <row r="13" ht="24" customHeight="1">
      <c r="A13" s="29" t="inlineStr">
        <is>
          <t>DCF 기업가치</t>
        </is>
      </c>
      <c r="B13" s="31" t="n">
        <v>216225250657.0812</v>
      </c>
      <c r="C13" s="29" t="inlineStr">
        <is>
          <t>명시기간 FCF + Terminal Value 현재가치</t>
        </is>
      </c>
    </row>
    <row r="14" ht="24" customHeight="1">
      <c r="A14" s="24" t="inlineStr">
        <is>
          <t>DCF 내재주가</t>
        </is>
      </c>
      <c r="B14" s="30" t="n">
        <v>5786.195082181344</v>
      </c>
      <c r="C14" s="24" t="inlineStr">
        <is>
          <t>지분가치 / 발행주식 수</t>
        </is>
      </c>
    </row>
    <row r="15" ht="24" customHeight="1">
      <c r="A15" s="29" t="inlineStr">
        <is>
          <t>현재가 대비 괴리율</t>
        </is>
      </c>
      <c r="B15" s="31" t="n">
        <v>-0.5133561747534614</v>
      </c>
      <c r="C15" s="29" t="inlineStr">
        <is>
          <t>내재주가 / 현재가 - 1</t>
        </is>
      </c>
    </row>
    <row r="16" ht="24" customHeight="1">
      <c r="A16" s="24" t="inlineStr">
        <is>
          <t>P/S</t>
        </is>
      </c>
      <c r="B16" s="30" t="n">
        <v>1.280233220880724</v>
      </c>
      <c r="C16" s="24" t="inlineStr">
        <is>
          <t>피어 대비 저PSR 구간: 상대 저평가 가능성</t>
        </is>
      </c>
    </row>
    <row r="17" ht="24" customHeight="1">
      <c r="A17" s="29" t="inlineStr">
        <is>
          <t>Peer P/S 중앙값</t>
        </is>
      </c>
      <c r="B17" s="31" t="n">
        <v>3.500698820700488</v>
      </c>
      <c r="C17" s="29" t="inlineStr">
        <is>
          <t>5개 live peer 기준 상대가치 비교</t>
        </is>
      </c>
    </row>
    <row r="18" ht="24" customHeight="1">
      <c r="A18" s="24" t="inlineStr">
        <is>
          <t>208개 Universe</t>
        </is>
      </c>
      <c r="B18" s="30" t="n">
        <v>208</v>
      </c>
      <c r="C18" s="24" t="inlineStr">
        <is>
          <t>팹리스/설계</t>
        </is>
      </c>
    </row>
    <row r="19" ht="24" customHeight="1">
      <c r="A19" s="29" t="inlineStr">
        <is>
          <t>1년 수익률</t>
        </is>
      </c>
      <c r="B19" s="31" t="n">
        <v>0.1174812030075187</v>
      </c>
      <c r="C19" s="29" t="inlineStr">
        <is>
          <t>최근 약 1년 주가 변화</t>
        </is>
      </c>
    </row>
    <row r="20" ht="24" customHeight="1">
      <c r="A20" s="24" t="inlineStr">
        <is>
          <t>MDD</t>
        </is>
      </c>
      <c r="B20" s="30" t="n">
        <v>-0.7125827814569536</v>
      </c>
      <c r="C20" s="24" t="inlineStr">
        <is>
          <t>수집 기간 중 최대 낙폭</t>
        </is>
      </c>
    </row>
    <row r="21" ht="24" customHeight="1">
      <c r="A21" s="29" t="inlineStr">
        <is>
          <t>20일 평균 거래대금</t>
        </is>
      </c>
      <c r="B21" s="31" t="n">
        <v>18328562775.5</v>
      </c>
      <c r="C21" s="29" t="inlineStr">
        <is>
          <t>거래 유동성 proxy</t>
        </is>
      </c>
    </row>
    <row r="22" ht="24" customHeight="1">
      <c r="A22" s="22" t="inlineStr">
        <is>
          <t>활용 체크포인트</t>
        </is>
      </c>
      <c r="B22" s="32" t="n"/>
      <c r="C22" s="32" t="n"/>
      <c r="D22" s="32" t="n"/>
      <c r="E22" s="32" t="n"/>
      <c r="F22" s="33" t="n"/>
    </row>
    <row r="23" ht="24" customHeight="1">
      <c r="A23" s="25" t="inlineStr">
        <is>
          <t>체크포인트</t>
        </is>
      </c>
      <c r="B23" s="34" t="inlineStr">
        <is>
          <t>내용</t>
        </is>
      </c>
      <c r="C23" s="29" t="inlineStr">
        <is>
          <t>반도체 5개 focal universe</t>
        </is>
      </c>
    </row>
    <row r="24" ht="24" customHeight="1">
      <c r="A24" s="24" t="inlineStr">
        <is>
          <t>가중합 반영</t>
        </is>
      </c>
      <c r="B24" s="24" t="inlineStr">
        <is>
          <t>기존 Chair 5개 에이전트 가중합에는 미반영. 보조 가치평가·다운로드 산출물로 사용</t>
        </is>
      </c>
    </row>
    <row r="25" ht="24" customHeight="1">
      <c r="A25" s="29" t="inlineStr">
        <is>
          <t>Finance와 중복 방지</t>
        </is>
      </c>
      <c r="B25" s="29" t="inlineStr">
        <is>
          <t>finance_agent 산출물을 읽지 않고 valuation/intake 산출물만 사용</t>
        </is>
      </c>
    </row>
    <row r="26" ht="24" customHeight="1">
      <c r="A26" s="24" t="inlineStr">
        <is>
          <t>대시보드 연결</t>
        </is>
      </c>
      <c r="B26" s="24" t="inlineStr">
        <is>
          <t>dashboard_payload.json과 workbook 시트를 그대로 Streamlit/React 다운로드 영역에 연결 가능</t>
        </is>
      </c>
    </row>
    <row r="27" ht="24" customHeight="1">
      <c r="A27" s="29" t="inlineStr">
        <is>
          <t>PSR/208개 Universe</t>
        </is>
      </c>
      <c r="B27" s="29" t="inlineStr">
        <is>
          <t>P/S와 208개 반도체 reference universe를 함께 보여줘 단순 DCF보다 비교 설명력을 강화</t>
        </is>
      </c>
    </row>
    <row r="28" ht="24" customHeight="1">
      <c r="A28" s="24" t="inlineStr">
        <is>
          <t>해석 주의</t>
        </is>
      </c>
      <c r="B28" s="24" t="inlineStr">
        <is>
          <t>DCF는 가정 민감도가 크므로 WACC·성장률·FCF margin 민감도 시트와 함께 확인</t>
        </is>
      </c>
    </row>
  </sheetData>
  <autoFilter ref="A23:B28"/>
  <mergeCells count="4">
    <mergeCell ref="A1:J1"/>
    <mergeCell ref="A22:F22"/>
    <mergeCell ref="A4:F4"/>
    <mergeCell ref="A2:J2"/>
  </mergeCells>
  <pageMargins left="0.75" right="0.7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H2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0" customHeight="1">
      <c r="A1" s="16" t="inlineStr">
        <is>
          <t>208개 반도체 Reference Universe</t>
        </is>
      </c>
    </row>
    <row r="2" ht="28" customHeight="1">
      <c r="A2" s="17" t="inlineStr">
        <is>
          <t>Tech의 대규모 반도체 universe와 같은 축을 Valuation Agent가 자체 intake로 복제해 PSR/ML 보조판단에 활용</t>
        </is>
      </c>
    </row>
    <row r="3" ht="24" customHeight="1"/>
    <row r="4" ht="24" customHeight="1">
      <c r="A4" s="22" t="inlineStr">
        <is>
          <t>Universe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</row>
    <row r="6" ht="24" customHeight="1">
      <c r="A6" s="24" t="inlineStr">
        <is>
          <t>status</t>
        </is>
      </c>
      <c r="B6" s="24" t="inlineStr">
        <is>
          <t>OK</t>
        </is>
      </c>
    </row>
    <row r="7" ht="24" customHeight="1">
      <c r="A7" s="29" t="inlineStr">
        <is>
          <t>created_at</t>
        </is>
      </c>
      <c r="B7" s="29" t="inlineStr">
        <is>
          <t>2026-05-20T11:48:30</t>
        </is>
      </c>
    </row>
    <row r="8" ht="24" customHeight="1">
      <c r="A8" s="24" t="inlineStr">
        <is>
          <t>reference_universe_rows</t>
        </is>
      </c>
      <c r="B8" s="30" t="n">
        <v>208</v>
      </c>
    </row>
    <row r="9" ht="24" customHeight="1">
      <c r="A9" s="29" t="inlineStr">
        <is>
          <t>focus_rows</t>
        </is>
      </c>
      <c r="B9" s="31" t="n">
        <v>40</v>
      </c>
    </row>
    <row r="10" ht="24" customHeight="1">
      <c r="A10" s="24" t="inlineStr">
        <is>
          <t>focal_5_rows</t>
        </is>
      </c>
      <c r="B10" s="30" t="n">
        <v>5</v>
      </c>
    </row>
    <row r="11" ht="24" customHeight="1">
      <c r="A11" s="29" t="inlineStr">
        <is>
          <t>target_company</t>
        </is>
      </c>
      <c r="B11" s="29" t="inlineStr">
        <is>
          <t>어보브반도체</t>
        </is>
      </c>
    </row>
    <row r="12" ht="24" customHeight="1">
      <c r="A12" s="24" t="inlineStr">
        <is>
          <t>target_peer_group</t>
        </is>
      </c>
      <c r="B12" s="24" t="inlineStr">
        <is>
          <t>팹리스/설계</t>
        </is>
      </c>
    </row>
    <row r="13" ht="24" customHeight="1">
      <c r="A13" s="29" t="inlineStr">
        <is>
          <t>target_peer_group_size</t>
        </is>
      </c>
      <c r="B13" s="31" t="n">
        <v>33</v>
      </c>
    </row>
    <row r="14" ht="24" customHeight="1">
      <c r="A14" s="24" t="inlineStr">
        <is>
          <t>attractive_rows</t>
        </is>
      </c>
      <c r="B14" s="30" t="n">
        <v>43</v>
      </c>
    </row>
    <row r="15" ht="24" customHeight="1">
      <c r="A15" s="29" t="inlineStr">
        <is>
          <t>high_risk_rows</t>
        </is>
      </c>
      <c r="B15" s="31" t="n">
        <v>67</v>
      </c>
    </row>
    <row r="16" ht="24" customHeight="1">
      <c r="A16" s="24" t="inlineStr">
        <is>
          <t>note</t>
        </is>
      </c>
      <c r="B16" s="24" t="inlineStr">
        <is>
          <t>Valuation Agent는 live DCF/PSR 산출과 별도로 208개 반도체 universe의 proxy score를 활용해 상대 위치를 보조 판단합니다.</t>
        </is>
      </c>
    </row>
    <row r="17" ht="24" customHeight="1">
      <c r="A17" s="29" t="inlineStr">
        <is>
          <t>source_path</t>
        </is>
      </c>
      <c r="B17" s="29" t="inlineStr">
        <is>
          <t>data/반도체/_sector_common/ml_universe/valuation_credit_ml_overlay_candidate.csv</t>
        </is>
      </c>
    </row>
    <row r="18" ht="24" customHeight="1">
      <c r="A18" s="24" t="inlineStr">
        <is>
          <t>exported_at</t>
        </is>
      </c>
      <c r="B18" s="24" t="inlineStr">
        <is>
          <t>2026-05-20T11:48:30</t>
        </is>
      </c>
    </row>
    <row r="19" ht="24" customHeight="1"/>
    <row r="20" ht="24" customHeight="1"/>
    <row r="21" ht="24" customHeight="1">
      <c r="A21" s="22" t="inlineStr">
        <is>
          <t>Target 중심 비교군</t>
        </is>
      </c>
    </row>
    <row r="22" ht="24" customHeight="1">
      <c r="A22" s="25" t="inlineStr">
        <is>
          <t>Universe 순번</t>
        </is>
      </c>
      <c r="B22" s="25" t="inlineStr">
        <is>
          <t>기업코드</t>
        </is>
      </c>
      <c r="C22" s="25" t="inlineStr">
        <is>
          <t>기업명</t>
        </is>
      </c>
      <c r="D22" s="25" t="inlineStr">
        <is>
          <t>종목코드</t>
        </is>
      </c>
      <c r="E22" s="25" t="inlineStr">
        <is>
          <t>시장</t>
        </is>
      </c>
      <c r="F22" s="25" t="inlineStr">
        <is>
          <t>피어 그룹</t>
        </is>
      </c>
      <c r="G22" s="25" t="inlineStr">
        <is>
          <t>반도체 세부군</t>
        </is>
      </c>
      <c r="H22" s="25" t="inlineStr">
        <is>
          <t>5개 핵심기업</t>
        </is>
      </c>
      <c r="I22" s="25" t="inlineStr">
        <is>
          <t>market_data_available</t>
        </is>
      </c>
      <c r="J22" s="25" t="inlineStr">
        <is>
          <t>데이터 품질</t>
        </is>
      </c>
      <c r="K22" s="25" t="inlineStr">
        <is>
          <t>데이터 품질 해석</t>
        </is>
      </c>
      <c r="L22" s="25" t="inlineStr">
        <is>
          <t>수동검토 우선순위</t>
        </is>
      </c>
      <c r="M22" s="25" t="inlineStr">
        <is>
          <t>수동검토 우선순위 해석</t>
        </is>
      </c>
      <c r="N22" s="25" t="inlineStr">
        <is>
          <t>Valuation Proxy 점수</t>
        </is>
      </c>
      <c r="O22" s="25" t="inlineStr">
        <is>
          <t>Valuation Proxy 라벨</t>
        </is>
      </c>
      <c r="P22" s="25" t="inlineStr">
        <is>
          <t>가치 라벨</t>
        </is>
      </c>
      <c r="Q22" s="25" t="inlineStr">
        <is>
          <t>valuation_pred_label</t>
        </is>
      </c>
      <c r="R22" s="25" t="inlineStr">
        <is>
          <t>Valuation 신뢰도</t>
        </is>
      </c>
      <c r="S22" s="25" t="inlineStr">
        <is>
          <t>valuation_confidence_bucket</t>
        </is>
      </c>
      <c r="T22" s="25" t="inlineStr">
        <is>
          <t>valuation_confidence_bucket_kr</t>
        </is>
      </c>
      <c r="U22" s="25" t="inlineStr">
        <is>
          <t>Credit Risk 점수</t>
        </is>
      </c>
      <c r="V22" s="25" t="inlineStr">
        <is>
          <t>Credit Risk 라벨</t>
        </is>
      </c>
      <c r="W22" s="25" t="inlineStr">
        <is>
          <t>신용위험 라벨</t>
        </is>
      </c>
      <c r="X22" s="25" t="inlineStr">
        <is>
          <t>credit_pred_label</t>
        </is>
      </c>
      <c r="Y22" s="25" t="inlineStr">
        <is>
          <t>Credit 신뢰도</t>
        </is>
      </c>
      <c r="Z22" s="25" t="inlineStr">
        <is>
          <t>credit_confidence_bucket</t>
        </is>
      </c>
      <c r="AA22" s="25" t="inlineStr">
        <is>
          <t>credit_confidence_bucket_kr</t>
        </is>
      </c>
      <c r="AB22" s="25" t="inlineStr">
        <is>
          <t>Credit 이상치 점수</t>
        </is>
      </c>
      <c r="AC22" s="25" t="inlineStr">
        <is>
          <t>credit_anomaly_flag_top15pct</t>
        </is>
      </c>
      <c r="AD22" s="25" t="inlineStr">
        <is>
          <t>auditor_requires_human_review</t>
        </is>
      </c>
      <c r="AE22" s="25" t="inlineStr">
        <is>
          <t>출처 유형</t>
        </is>
      </c>
      <c r="AF22" s="25" t="inlineStr">
        <is>
          <t>출처 설명</t>
        </is>
      </c>
      <c r="AG22" s="25" t="inlineStr">
        <is>
          <t>포함 사유</t>
        </is>
      </c>
      <c r="AH22" s="25" t="inlineStr">
        <is>
          <t>분석대상</t>
        </is>
      </c>
    </row>
    <row r="23" ht="24" customHeight="1">
      <c r="A23" s="24" t="inlineStr">
        <is>
          <t>61</t>
        </is>
      </c>
      <c r="B23" s="24" t="inlineStr">
        <is>
          <t>해당 없음</t>
        </is>
      </c>
      <c r="C23" s="24" t="inlineStr">
        <is>
          <t>어보브반도체</t>
        </is>
      </c>
      <c r="D23" s="24" t="inlineStr">
        <is>
          <t>102120</t>
        </is>
      </c>
      <c r="E23" s="24" t="inlineStr">
        <is>
          <t>KOSDAQ</t>
        </is>
      </c>
      <c r="F23" s="24" t="inlineStr">
        <is>
          <t>팹리스/설계</t>
        </is>
      </c>
      <c r="G23" s="24" t="inlineStr">
        <is>
          <t>팹리스/설계</t>
        </is>
      </c>
      <c r="H23" s="24" t="inlineStr">
        <is>
          <t>False</t>
        </is>
      </c>
      <c r="I23" s="24" t="inlineStr">
        <is>
          <t>True</t>
        </is>
      </c>
      <c r="J23" s="24" t="inlineStr">
        <is>
          <t>OK</t>
        </is>
      </c>
      <c r="K23" s="24" t="inlineStr">
        <is>
          <t>데이터 사용 가능</t>
        </is>
      </c>
      <c r="L23" s="24" t="inlineStr">
        <is>
          <t>LOW</t>
        </is>
      </c>
      <c r="M23" s="24" t="inlineStr">
        <is>
          <t>LOW</t>
        </is>
      </c>
      <c r="N23" s="24" t="inlineStr">
        <is>
          <t>0.6933333333333332</t>
        </is>
      </c>
      <c r="O23" s="24" t="inlineStr">
        <is>
          <t>FAIR</t>
        </is>
      </c>
      <c r="P23" s="24" t="inlineStr">
        <is>
          <t>FAIR</t>
        </is>
      </c>
      <c r="Q23" s="24" t="inlineStr">
        <is>
          <t>FAIR</t>
        </is>
      </c>
      <c r="R23" s="24" t="inlineStr">
        <is>
          <t>0.9028406871788379</t>
        </is>
      </c>
      <c r="S23" s="24" t="inlineStr">
        <is>
          <t>HIGH</t>
        </is>
      </c>
      <c r="T23" s="24" t="inlineStr">
        <is>
          <t>HIGH</t>
        </is>
      </c>
      <c r="U23" s="24" t="inlineStr">
        <is>
          <t>0.0714285714285714</t>
        </is>
      </c>
      <c r="V23" s="24" t="inlineStr">
        <is>
          <t>LOW_RISK</t>
        </is>
      </c>
      <c r="W23" s="24" t="inlineStr">
        <is>
          <t>저위험</t>
        </is>
      </c>
      <c r="X23" s="24" t="inlineStr">
        <is>
          <t>LOW_RISK</t>
        </is>
      </c>
      <c r="Y23" s="24" t="inlineStr">
        <is>
          <t>0.7134163381020407</t>
        </is>
      </c>
      <c r="Z23" s="24" t="inlineStr">
        <is>
          <t>HIGH</t>
        </is>
      </c>
      <c r="AA23" s="24" t="inlineStr">
        <is>
          <t>HIGH</t>
        </is>
      </c>
      <c r="AB23" s="24" t="inlineStr">
        <is>
          <t>0.020764615542161708</t>
        </is>
      </c>
      <c r="AC23" s="24" t="inlineStr">
        <is>
          <t>False</t>
        </is>
      </c>
      <c r="AD23" s="24" t="inlineStr">
        <is>
          <t>False</t>
        </is>
      </c>
      <c r="AE23" s="24" t="inlineStr">
        <is>
          <t>valuation_credit_ml_overlay_candidate.csv</t>
        </is>
      </c>
      <c r="AF23" s="24" t="inlineStr">
        <is>
          <t>208개 반도체 reference universe. Valuation Agent가 자체 intake 폴더로 복제해 Peer/ML/대시보드 비교에 사용.</t>
        </is>
      </c>
      <c r="AG23" s="24" t="inlineStr">
        <is>
          <t>TARGET</t>
        </is>
      </c>
      <c r="AH23" s="24" t="inlineStr">
        <is>
          <t>True</t>
        </is>
      </c>
    </row>
    <row r="24" ht="24" customHeight="1">
      <c r="A24" s="29" t="inlineStr">
        <is>
          <t>62</t>
        </is>
      </c>
      <c r="B24" s="29" t="inlineStr">
        <is>
          <t>해당 없음</t>
        </is>
      </c>
      <c r="C24" s="29" t="inlineStr">
        <is>
          <t>에스에이엠티</t>
        </is>
      </c>
      <c r="D24" s="29" t="inlineStr">
        <is>
          <t>031330</t>
        </is>
      </c>
      <c r="E24" s="29" t="inlineStr">
        <is>
          <t>KOSDAQ</t>
        </is>
      </c>
      <c r="F24" s="29" t="inlineStr">
        <is>
          <t>팹리스/설계</t>
        </is>
      </c>
      <c r="G24" s="29" t="inlineStr">
        <is>
          <t>팹리스/설계</t>
        </is>
      </c>
      <c r="H24" s="29" t="inlineStr">
        <is>
          <t>False</t>
        </is>
      </c>
      <c r="I24" s="29" t="inlineStr">
        <is>
          <t>True</t>
        </is>
      </c>
      <c r="J24" s="29" t="inlineStr">
        <is>
          <t>OK</t>
        </is>
      </c>
      <c r="K24" s="29" t="inlineStr">
        <is>
          <t>데이터 사용 가능</t>
        </is>
      </c>
      <c r="L24" s="29" t="inlineStr">
        <is>
          <t>LOW</t>
        </is>
      </c>
      <c r="M24" s="29" t="inlineStr">
        <is>
          <t>LOW</t>
        </is>
      </c>
      <c r="N24" s="29" t="inlineStr">
        <is>
          <t>0.7838383838383839</t>
        </is>
      </c>
      <c r="O24" s="29" t="inlineStr">
        <is>
          <t>FAIR</t>
        </is>
      </c>
      <c r="P24" s="29" t="inlineStr">
        <is>
          <t>FAIR</t>
        </is>
      </c>
      <c r="Q24" s="29" t="inlineStr">
        <is>
          <t>FAIR</t>
        </is>
      </c>
      <c r="R24" s="29" t="inlineStr">
        <is>
          <t>0.8575928985222669</t>
        </is>
      </c>
      <c r="S24" s="29" t="inlineStr">
        <is>
          <t>HIGH</t>
        </is>
      </c>
      <c r="T24" s="29" t="inlineStr">
        <is>
          <t>HIGH</t>
        </is>
      </c>
      <c r="U24" s="29" t="inlineStr">
        <is>
          <t>0.5</t>
        </is>
      </c>
      <c r="V24" s="29" t="inlineStr">
        <is>
          <t>HIGH_RISK</t>
        </is>
      </c>
      <c r="W24" s="29" t="inlineStr">
        <is>
          <t>고위험</t>
        </is>
      </c>
      <c r="X24" s="29" t="inlineStr">
        <is>
          <t>HIGH_RISK</t>
        </is>
      </c>
      <c r="Y24" s="29" t="inlineStr">
        <is>
          <t>0.5021487096911619</t>
        </is>
      </c>
      <c r="Z24" s="29" t="inlineStr">
        <is>
          <t>MEDIUM</t>
        </is>
      </c>
      <c r="AA24" s="29" t="inlineStr">
        <is>
          <t>MEDIUM</t>
        </is>
      </c>
      <c r="AB24" s="29" t="inlineStr">
        <is>
          <t>0.11372149345925425</t>
        </is>
      </c>
      <c r="AC24" s="29" t="inlineStr">
        <is>
          <t>False</t>
        </is>
      </c>
      <c r="AD24" s="29" t="inlineStr">
        <is>
          <t>False</t>
        </is>
      </c>
      <c r="AE24" s="29" t="inlineStr">
        <is>
          <t>valuation_credit_ml_overlay_candidate.csv</t>
        </is>
      </c>
      <c r="AF24" s="29" t="inlineStr">
        <is>
          <t>208개 반도체 reference universe. Valuation Agent가 자체 intake 폴더로 복제해 Peer/ML/대시보드 비교에 사용.</t>
        </is>
      </c>
      <c r="AG24" s="29" t="inlineStr">
        <is>
          <t>SAME_PEER_GROUP</t>
        </is>
      </c>
      <c r="AH24" s="29" t="inlineStr">
        <is>
          <t>False</t>
        </is>
      </c>
    </row>
    <row r="25" ht="24" customHeight="1">
      <c r="A25" s="24" t="inlineStr">
        <is>
          <t>65</t>
        </is>
      </c>
      <c r="B25" s="24" t="inlineStr">
        <is>
          <t>해당 없음</t>
        </is>
      </c>
      <c r="C25" s="24" t="inlineStr">
        <is>
          <t>유니트론텍</t>
        </is>
      </c>
      <c r="D25" s="24" t="inlineStr">
        <is>
          <t>142210</t>
        </is>
      </c>
      <c r="E25" s="24" t="inlineStr">
        <is>
          <t>KOSDAQ</t>
        </is>
      </c>
      <c r="F25" s="24" t="inlineStr">
        <is>
          <t>팹리스/설계</t>
        </is>
      </c>
      <c r="G25" s="24" t="inlineStr">
        <is>
          <t>팹리스/설계</t>
        </is>
      </c>
      <c r="H25" s="24" t="inlineStr">
        <is>
          <t>False</t>
        </is>
      </c>
      <c r="I25" s="24" t="inlineStr">
        <is>
          <t>True</t>
        </is>
      </c>
      <c r="J25" s="24" t="inlineStr">
        <is>
          <t>OK</t>
        </is>
      </c>
      <c r="K25" s="24" t="inlineStr">
        <is>
          <t>데이터 사용 가능</t>
        </is>
      </c>
      <c r="L25" s="24" t="inlineStr">
        <is>
          <t>LOW</t>
        </is>
      </c>
      <c r="M25" s="24" t="inlineStr">
        <is>
          <t>LOW</t>
        </is>
      </c>
      <c r="N25" s="24" t="inlineStr">
        <is>
          <t>0.7478787878787879</t>
        </is>
      </c>
      <c r="O25" s="24" t="inlineStr">
        <is>
          <t>FAIR</t>
        </is>
      </c>
      <c r="P25" s="24" t="inlineStr">
        <is>
          <t>FAIR</t>
        </is>
      </c>
      <c r="Q25" s="24" t="inlineStr">
        <is>
          <t>FAIR</t>
        </is>
      </c>
      <c r="R25" s="24" t="inlineStr">
        <is>
          <t>0.8593164302034415</t>
        </is>
      </c>
      <c r="S25" s="24" t="inlineStr">
        <is>
          <t>HIGH</t>
        </is>
      </c>
      <c r="T25" s="24" t="inlineStr">
        <is>
          <t>HIGH</t>
        </is>
      </c>
      <c r="U25" s="24" t="inlineStr">
        <is>
          <t>0.3571428571428571</t>
        </is>
      </c>
      <c r="V25" s="24" t="inlineStr">
        <is>
          <t>MEDIUM_RISK</t>
        </is>
      </c>
      <c r="W25" s="24" t="inlineStr">
        <is>
          <t>중위험</t>
        </is>
      </c>
      <c r="X25" s="24" t="inlineStr">
        <is>
          <t>MEDIUM_RISK</t>
        </is>
      </c>
      <c r="Y25" s="24" t="inlineStr">
        <is>
          <t>0.6687746551665015</t>
        </is>
      </c>
      <c r="Z25" s="24" t="inlineStr">
        <is>
          <t>MEDIUM</t>
        </is>
      </c>
      <c r="AA25" s="24" t="inlineStr">
        <is>
          <t>MEDIUM</t>
        </is>
      </c>
      <c r="AB25" s="24" t="inlineStr">
        <is>
          <t>0.05354194050015521</t>
        </is>
      </c>
      <c r="AC25" s="24" t="inlineStr">
        <is>
          <t>False</t>
        </is>
      </c>
      <c r="AD25" s="24" t="inlineStr">
        <is>
          <t>False</t>
        </is>
      </c>
      <c r="AE25" s="24" t="inlineStr">
        <is>
          <t>valuation_credit_ml_overlay_candidate.csv</t>
        </is>
      </c>
      <c r="AF25" s="24" t="inlineStr">
        <is>
          <t>208개 반도체 reference universe. Valuation Agent가 자체 intake 폴더로 복제해 Peer/ML/대시보드 비교에 사용.</t>
        </is>
      </c>
      <c r="AG25" s="24" t="inlineStr">
        <is>
          <t>SAME_PEER_GROUP</t>
        </is>
      </c>
      <c r="AH25" s="24" t="inlineStr">
        <is>
          <t>False</t>
        </is>
      </c>
    </row>
    <row r="26" ht="24" customHeight="1">
      <c r="A26" s="29" t="inlineStr">
        <is>
          <t>60</t>
        </is>
      </c>
      <c r="B26" s="29" t="inlineStr">
        <is>
          <t>해당 없음</t>
        </is>
      </c>
      <c r="C26" s="29" t="inlineStr">
        <is>
          <t>앤씨앤</t>
        </is>
      </c>
      <c r="D26" s="29" t="inlineStr">
        <is>
          <t>092600</t>
        </is>
      </c>
      <c r="E26" s="29" t="inlineStr">
        <is>
          <t>KOSDAQ</t>
        </is>
      </c>
      <c r="F26" s="29" t="inlineStr">
        <is>
          <t>팹리스/설계</t>
        </is>
      </c>
      <c r="G26" s="29" t="inlineStr">
        <is>
          <t>팹리스/설계</t>
        </is>
      </c>
      <c r="H26" s="29" t="inlineStr">
        <is>
          <t>False</t>
        </is>
      </c>
      <c r="I26" s="29" t="inlineStr">
        <is>
          <t>True</t>
        </is>
      </c>
      <c r="J26" s="29" t="inlineStr">
        <is>
          <t>OK</t>
        </is>
      </c>
      <c r="K26" s="29" t="inlineStr">
        <is>
          <t>데이터 사용 가능</t>
        </is>
      </c>
      <c r="L26" s="29" t="inlineStr">
        <is>
          <t>LOW</t>
        </is>
      </c>
      <c r="M26" s="29" t="inlineStr">
        <is>
          <t>LOW</t>
        </is>
      </c>
      <c r="N26" s="29" t="inlineStr">
        <is>
          <t>0.7450505050505051</t>
        </is>
      </c>
      <c r="O26" s="29" t="inlineStr">
        <is>
          <t>FAIR</t>
        </is>
      </c>
      <c r="P26" s="29" t="inlineStr">
        <is>
          <t>FAIR</t>
        </is>
      </c>
      <c r="Q26" s="29" t="inlineStr">
        <is>
          <t>FAIR</t>
        </is>
      </c>
      <c r="R26" s="29" t="inlineStr">
        <is>
          <t>0.8450252323777523</t>
        </is>
      </c>
      <c r="S26" s="29" t="inlineStr">
        <is>
          <t>HIGH</t>
        </is>
      </c>
      <c r="T26" s="29" t="inlineStr">
        <is>
          <t>HIGH</t>
        </is>
      </c>
      <c r="U26" s="29" t="inlineStr">
        <is>
          <t>0.5</t>
        </is>
      </c>
      <c r="V26" s="29" t="inlineStr">
        <is>
          <t>HIGH_RISK</t>
        </is>
      </c>
      <c r="W26" s="29" t="inlineStr">
        <is>
          <t>고위험</t>
        </is>
      </c>
      <c r="X26" s="29" t="inlineStr">
        <is>
          <t>HIGH_RISK</t>
        </is>
      </c>
      <c r="Y26" s="29" t="inlineStr">
        <is>
          <t>0.6852720703017778</t>
        </is>
      </c>
      <c r="Z26" s="29" t="inlineStr">
        <is>
          <t>MEDIUM</t>
        </is>
      </c>
      <c r="AA26" s="29" t="inlineStr">
        <is>
          <t>MEDIUM</t>
        </is>
      </c>
      <c r="AB26" s="29" t="inlineStr">
        <is>
          <t>0.05126917274476802</t>
        </is>
      </c>
      <c r="AC26" s="29" t="inlineStr">
        <is>
          <t>False</t>
        </is>
      </c>
      <c r="AD26" s="29" t="inlineStr">
        <is>
          <t>False</t>
        </is>
      </c>
      <c r="AE26" s="29" t="inlineStr">
        <is>
          <t>valuation_credit_ml_overlay_candidate.csv</t>
        </is>
      </c>
      <c r="AF26" s="29" t="inlineStr">
        <is>
          <t>208개 반도체 reference universe. Valuation Agent가 자체 intake 폴더로 복제해 Peer/ML/대시보드 비교에 사용.</t>
        </is>
      </c>
      <c r="AG26" s="29" t="inlineStr">
        <is>
          <t>SAME_PEER_GROUP</t>
        </is>
      </c>
      <c r="AH26" s="29" t="inlineStr">
        <is>
          <t>False</t>
        </is>
      </c>
    </row>
    <row r="27" ht="24" customHeight="1">
      <c r="A27" s="24" t="inlineStr">
        <is>
          <t>47</t>
        </is>
      </c>
      <c r="B27" s="24" t="inlineStr">
        <is>
          <t>해당 없음</t>
        </is>
      </c>
      <c r="C27" s="24" t="inlineStr">
        <is>
          <t>마이크로컨텍솔</t>
        </is>
      </c>
      <c r="D27" s="24" t="inlineStr">
        <is>
          <t>098120</t>
        </is>
      </c>
      <c r="E27" s="24" t="inlineStr">
        <is>
          <t>KOSDAQ</t>
        </is>
      </c>
      <c r="F27" s="24" t="inlineStr">
        <is>
          <t>팹리스/설계</t>
        </is>
      </c>
      <c r="G27" s="24" t="inlineStr">
        <is>
          <t>팹리스/설계</t>
        </is>
      </c>
      <c r="H27" s="24" t="inlineStr">
        <is>
          <t>False</t>
        </is>
      </c>
      <c r="I27" s="24" t="inlineStr">
        <is>
          <t>True</t>
        </is>
      </c>
      <c r="J27" s="24" t="inlineStr">
        <is>
          <t>OK</t>
        </is>
      </c>
      <c r="K27" s="24" t="inlineStr">
        <is>
          <t>데이터 사용 가능</t>
        </is>
      </c>
      <c r="L27" s="24" t="inlineStr">
        <is>
          <t>LOW</t>
        </is>
      </c>
      <c r="M27" s="24" t="inlineStr">
        <is>
          <t>LOW</t>
        </is>
      </c>
      <c r="N27" s="24" t="inlineStr">
        <is>
          <t>0.7383838383838384</t>
        </is>
      </c>
      <c r="O27" s="24" t="inlineStr">
        <is>
          <t>ATTRACTIVE</t>
        </is>
      </c>
      <c r="P27" s="24" t="inlineStr">
        <is>
          <t>가치 매력</t>
        </is>
      </c>
      <c r="Q27" s="24" t="inlineStr">
        <is>
          <t>ATTRACTIVE</t>
        </is>
      </c>
      <c r="R27" s="24" t="inlineStr">
        <is>
          <t>0.8262966149459129</t>
        </is>
      </c>
      <c r="S27" s="24" t="inlineStr">
        <is>
          <t>HIGH</t>
        </is>
      </c>
      <c r="T27" s="24" t="inlineStr">
        <is>
          <t>HIGH</t>
        </is>
      </c>
      <c r="U27" s="24" t="inlineStr">
        <is>
          <t>0.1428571428571428</t>
        </is>
      </c>
      <c r="V27" s="24" t="inlineStr">
        <is>
          <t>LOW_RISK</t>
        </is>
      </c>
      <c r="W27" s="24" t="inlineStr">
        <is>
          <t>저위험</t>
        </is>
      </c>
      <c r="X27" s="24" t="inlineStr">
        <is>
          <t>LOW_RISK</t>
        </is>
      </c>
      <c r="Y27" s="24" t="inlineStr">
        <is>
          <t>0.7491981695245683</t>
        </is>
      </c>
      <c r="Z27" s="24" t="inlineStr">
        <is>
          <t>HIGH</t>
        </is>
      </c>
      <c r="AA27" s="24" t="inlineStr">
        <is>
          <t>HIGH</t>
        </is>
      </c>
      <c r="AB27" s="24" t="inlineStr">
        <is>
          <t>0.08427857084894262</t>
        </is>
      </c>
      <c r="AC27" s="24" t="inlineStr">
        <is>
          <t>False</t>
        </is>
      </c>
      <c r="AD27" s="24" t="inlineStr">
        <is>
          <t>False</t>
        </is>
      </c>
      <c r="AE27" s="24" t="inlineStr">
        <is>
          <t>valuation_credit_ml_overlay_candidate.csv</t>
        </is>
      </c>
      <c r="AF27" s="24" t="inlineStr">
        <is>
          <t>208개 반도체 reference universe. Valuation Agent가 자체 intake 폴더로 복제해 Peer/ML/대시보드 비교에 사용.</t>
        </is>
      </c>
      <c r="AG27" s="24" t="inlineStr">
        <is>
          <t>SAME_PEER_GROUP</t>
        </is>
      </c>
      <c r="AH27" s="24" t="inlineStr">
        <is>
          <t>False</t>
        </is>
      </c>
    </row>
    <row r="28" ht="24" customHeight="1">
      <c r="A28" s="29" t="inlineStr">
        <is>
          <t>55</t>
        </is>
      </c>
      <c r="B28" s="29" t="inlineStr">
        <is>
          <t>해당 없음</t>
        </is>
      </c>
      <c r="C28" s="29" t="inlineStr">
        <is>
          <t>아이앤씨</t>
        </is>
      </c>
      <c r="D28" s="29" t="inlineStr">
        <is>
          <t>052860</t>
        </is>
      </c>
      <c r="E28" s="29" t="inlineStr">
        <is>
          <t>KOSDAQ</t>
        </is>
      </c>
      <c r="F28" s="29" t="inlineStr">
        <is>
          <t>팹리스/설계</t>
        </is>
      </c>
      <c r="G28" s="29" t="inlineStr">
        <is>
          <t>팹리스/설계</t>
        </is>
      </c>
      <c r="H28" s="29" t="inlineStr">
        <is>
          <t>False</t>
        </is>
      </c>
      <c r="I28" s="29" t="inlineStr">
        <is>
          <t>True</t>
        </is>
      </c>
      <c r="J28" s="29" t="inlineStr">
        <is>
          <t>OK</t>
        </is>
      </c>
      <c r="K28" s="29" t="inlineStr">
        <is>
          <t>데이터 사용 가능</t>
        </is>
      </c>
      <c r="L28" s="29" t="inlineStr">
        <is>
          <t>LOW</t>
        </is>
      </c>
      <c r="M28" s="29" t="inlineStr">
        <is>
          <t>LOW</t>
        </is>
      </c>
      <c r="N28" s="29" t="inlineStr">
        <is>
          <t>0.7325252525252526</t>
        </is>
      </c>
      <c r="O28" s="29" t="inlineStr">
        <is>
          <t>ATTRACTIVE</t>
        </is>
      </c>
      <c r="P28" s="29" t="inlineStr">
        <is>
          <t>가치 매력</t>
        </is>
      </c>
      <c r="Q28" s="29" t="inlineStr">
        <is>
          <t>ATTRACTIVE</t>
        </is>
      </c>
      <c r="R28" s="29" t="inlineStr">
        <is>
          <t>0.9267130449922303</t>
        </is>
      </c>
      <c r="S28" s="29" t="inlineStr">
        <is>
          <t>HIGH</t>
        </is>
      </c>
      <c r="T28" s="29" t="inlineStr">
        <is>
          <t>HIGH</t>
        </is>
      </c>
      <c r="U28" s="29" t="inlineStr">
        <is>
          <t>0.0</t>
        </is>
      </c>
      <c r="V28" s="29" t="inlineStr">
        <is>
          <t>LOW_RISK</t>
        </is>
      </c>
      <c r="W28" s="29" t="inlineStr">
        <is>
          <t>저위험</t>
        </is>
      </c>
      <c r="X28" s="29" t="inlineStr">
        <is>
          <t>LOW_RISK</t>
        </is>
      </c>
      <c r="Y28" s="29" t="inlineStr">
        <is>
          <t>0.8920304728976969</t>
        </is>
      </c>
      <c r="Z28" s="29" t="inlineStr">
        <is>
          <t>HIGH</t>
        </is>
      </c>
      <c r="AA28" s="29" t="inlineStr">
        <is>
          <t>HIGH</t>
        </is>
      </c>
      <c r="AB28" s="29" t="inlineStr">
        <is>
          <t>0.022475117759514655</t>
        </is>
      </c>
      <c r="AC28" s="29" t="inlineStr">
        <is>
          <t>False</t>
        </is>
      </c>
      <c r="AD28" s="29" t="inlineStr">
        <is>
          <t>False</t>
        </is>
      </c>
      <c r="AE28" s="29" t="inlineStr">
        <is>
          <t>valuation_credit_ml_overlay_candidate.csv</t>
        </is>
      </c>
      <c r="AF28" s="29" t="inlineStr">
        <is>
          <t>208개 반도체 reference universe. Valuation Agent가 자체 intake 폴더로 복제해 Peer/ML/대시보드 비교에 사용.</t>
        </is>
      </c>
      <c r="AG28" s="29" t="inlineStr">
        <is>
          <t>SAME_PEER_GROUP</t>
        </is>
      </c>
      <c r="AH28" s="29" t="inlineStr">
        <is>
          <t>False</t>
        </is>
      </c>
    </row>
    <row r="29" ht="24" customHeight="1">
      <c r="A29" s="24" t="inlineStr">
        <is>
          <t>48</t>
        </is>
      </c>
      <c r="B29" s="24" t="inlineStr">
        <is>
          <t>해당 없음</t>
        </is>
      </c>
      <c r="C29" s="24" t="inlineStr">
        <is>
          <t>매커스</t>
        </is>
      </c>
      <c r="D29" s="24" t="inlineStr">
        <is>
          <t>093520</t>
        </is>
      </c>
      <c r="E29" s="24" t="inlineStr">
        <is>
          <t>KOSDAQ</t>
        </is>
      </c>
      <c r="F29" s="24" t="inlineStr">
        <is>
          <t>팹리스/설계</t>
        </is>
      </c>
      <c r="G29" s="24" t="inlineStr">
        <is>
          <t>팹리스/설계</t>
        </is>
      </c>
      <c r="H29" s="24" t="inlineStr">
        <is>
          <t>False</t>
        </is>
      </c>
      <c r="I29" s="24" t="inlineStr">
        <is>
          <t>True</t>
        </is>
      </c>
      <c r="J29" s="24" t="inlineStr">
        <is>
          <t>OK</t>
        </is>
      </c>
      <c r="K29" s="24" t="inlineStr">
        <is>
          <t>데이터 사용 가능</t>
        </is>
      </c>
      <c r="L29" s="24" t="inlineStr">
        <is>
          <t>LOW</t>
        </is>
      </c>
      <c r="M29" s="24" t="inlineStr">
        <is>
          <t>LOW</t>
        </is>
      </c>
      <c r="N29" s="24" t="inlineStr">
        <is>
          <t>0.7056565656565656</t>
        </is>
      </c>
      <c r="O29" s="24" t="inlineStr">
        <is>
          <t>ATTRACTIVE</t>
        </is>
      </c>
      <c r="P29" s="24" t="inlineStr">
        <is>
          <t>가치 매력</t>
        </is>
      </c>
      <c r="Q29" s="24" t="inlineStr">
        <is>
          <t>ATTRACTIVE</t>
        </is>
      </c>
      <c r="R29" s="24" t="inlineStr">
        <is>
          <t>0.9375173489226767</t>
        </is>
      </c>
      <c r="S29" s="24" t="inlineStr">
        <is>
          <t>HIGH</t>
        </is>
      </c>
      <c r="T29" s="24" t="inlineStr">
        <is>
          <t>HIGH</t>
        </is>
      </c>
      <c r="U29" s="24" t="inlineStr">
        <is>
          <t>0.0</t>
        </is>
      </c>
      <c r="V29" s="24" t="inlineStr">
        <is>
          <t>LOW_RISK</t>
        </is>
      </c>
      <c r="W29" s="24" t="inlineStr">
        <is>
          <t>저위험</t>
        </is>
      </c>
      <c r="X29" s="24" t="inlineStr">
        <is>
          <t>LOW_RISK</t>
        </is>
      </c>
      <c r="Y29" s="24" t="inlineStr">
        <is>
          <t>0.8297390345025338</t>
        </is>
      </c>
      <c r="Z29" s="24" t="inlineStr">
        <is>
          <t>HIGH</t>
        </is>
      </c>
      <c r="AA29" s="24" t="inlineStr">
        <is>
          <t>HIGH</t>
        </is>
      </c>
      <c r="AB29" s="24" t="inlineStr">
        <is>
          <t>0.08420442573717486</t>
        </is>
      </c>
      <c r="AC29" s="24" t="inlineStr">
        <is>
          <t>False</t>
        </is>
      </c>
      <c r="AD29" s="24" t="inlineStr">
        <is>
          <t>False</t>
        </is>
      </c>
      <c r="AE29" s="24" t="inlineStr">
        <is>
          <t>valuation_credit_ml_overlay_candidate.csv</t>
        </is>
      </c>
      <c r="AF29" s="24" t="inlineStr">
        <is>
          <t>208개 반도체 reference universe. Valuation Agent가 자체 intake 폴더로 복제해 Peer/ML/대시보드 비교에 사용.</t>
        </is>
      </c>
      <c r="AG29" s="24" t="inlineStr">
        <is>
          <t>SAME_PEER_GROUP</t>
        </is>
      </c>
      <c r="AH29" s="24" t="inlineStr">
        <is>
          <t>False</t>
        </is>
      </c>
    </row>
    <row r="30" ht="24" customHeight="1">
      <c r="A30" s="29" t="inlineStr">
        <is>
          <t>41</t>
        </is>
      </c>
      <c r="B30" s="29" t="inlineStr">
        <is>
          <t>해당 없음</t>
        </is>
      </c>
      <c r="C30" s="29" t="inlineStr">
        <is>
          <t>LX세미콘</t>
        </is>
      </c>
      <c r="D30" s="29" t="inlineStr">
        <is>
          <t>108320</t>
        </is>
      </c>
      <c r="E30" s="29" t="inlineStr">
        <is>
          <t>KOSPI</t>
        </is>
      </c>
      <c r="F30" s="29" t="inlineStr">
        <is>
          <t>팹리스/설계</t>
        </is>
      </c>
      <c r="G30" s="29" t="inlineStr">
        <is>
          <t>팹리스/설계</t>
        </is>
      </c>
      <c r="H30" s="29" t="inlineStr">
        <is>
          <t>False</t>
        </is>
      </c>
      <c r="I30" s="29" t="inlineStr">
        <is>
          <t>True</t>
        </is>
      </c>
      <c r="J30" s="29" t="inlineStr">
        <is>
          <t>OK</t>
        </is>
      </c>
      <c r="K30" s="29" t="inlineStr">
        <is>
          <t>데이터 사용 가능</t>
        </is>
      </c>
      <c r="L30" s="29" t="inlineStr">
        <is>
          <t>LOW</t>
        </is>
      </c>
      <c r="M30" s="29" t="inlineStr">
        <is>
          <t>LOW</t>
        </is>
      </c>
      <c r="N30" s="29" t="inlineStr">
        <is>
          <t>0.6953535353535354</t>
        </is>
      </c>
      <c r="O30" s="29" t="inlineStr">
        <is>
          <t>ATTRACTIVE</t>
        </is>
      </c>
      <c r="P30" s="29" t="inlineStr">
        <is>
          <t>가치 매력</t>
        </is>
      </c>
      <c r="Q30" s="29" t="inlineStr">
        <is>
          <t>ATTRACTIVE</t>
        </is>
      </c>
      <c r="R30" s="29" t="inlineStr">
        <is>
          <t>0.951012131492064</t>
        </is>
      </c>
      <c r="S30" s="29" t="inlineStr">
        <is>
          <t>HIGH</t>
        </is>
      </c>
      <c r="T30" s="29" t="inlineStr">
        <is>
          <t>HIGH</t>
        </is>
      </c>
      <c r="U30" s="29" t="inlineStr">
        <is>
          <t>0.0</t>
        </is>
      </c>
      <c r="V30" s="29" t="inlineStr">
        <is>
          <t>LOW_RISK</t>
        </is>
      </c>
      <c r="W30" s="29" t="inlineStr">
        <is>
          <t>저위험</t>
        </is>
      </c>
      <c r="X30" s="29" t="inlineStr">
        <is>
          <t>LOW_RISK</t>
        </is>
      </c>
      <c r="Y30" s="29" t="inlineStr">
        <is>
          <t>0.9675260077633142</t>
        </is>
      </c>
      <c r="Z30" s="29" t="inlineStr">
        <is>
          <t>HIGH</t>
        </is>
      </c>
      <c r="AA30" s="29" t="inlineStr">
        <is>
          <t>HIGH</t>
        </is>
      </c>
      <c r="AB30" s="29" t="inlineStr">
        <is>
          <t>0.0526549169074082</t>
        </is>
      </c>
      <c r="AC30" s="29" t="inlineStr">
        <is>
          <t>False</t>
        </is>
      </c>
      <c r="AD30" s="29" t="inlineStr">
        <is>
          <t>False</t>
        </is>
      </c>
      <c r="AE30" s="29" t="inlineStr">
        <is>
          <t>valuation_credit_ml_overlay_candidate.csv</t>
        </is>
      </c>
      <c r="AF30" s="29" t="inlineStr">
        <is>
          <t>208개 반도체 reference universe. Valuation Agent가 자체 intake 폴더로 복제해 Peer/ML/대시보드 비교에 사용.</t>
        </is>
      </c>
      <c r="AG30" s="29" t="inlineStr">
        <is>
          <t>SAME_PEER_GROUP</t>
        </is>
      </c>
      <c r="AH30" s="29" t="inlineStr">
        <is>
          <t>False</t>
        </is>
      </c>
    </row>
    <row r="31" ht="24" customHeight="1">
      <c r="A31" s="24" t="inlineStr">
        <is>
          <t>58</t>
        </is>
      </c>
      <c r="B31" s="24" t="inlineStr">
        <is>
          <t>해당 없음</t>
        </is>
      </c>
      <c r="C31" s="24" t="inlineStr">
        <is>
          <t>알에프세미</t>
        </is>
      </c>
      <c r="D31" s="24" t="inlineStr">
        <is>
          <t>096610</t>
        </is>
      </c>
      <c r="E31" s="24" t="inlineStr">
        <is>
          <t>KOSDAQ</t>
        </is>
      </c>
      <c r="F31" s="24" t="inlineStr">
        <is>
          <t>팹리스/설계</t>
        </is>
      </c>
      <c r="G31" s="24" t="inlineStr">
        <is>
          <t>팹리스/설계</t>
        </is>
      </c>
      <c r="H31" s="24" t="inlineStr">
        <is>
          <t>False</t>
        </is>
      </c>
      <c r="I31" s="24" t="inlineStr">
        <is>
          <t>True</t>
        </is>
      </c>
      <c r="J31" s="24" t="inlineStr">
        <is>
          <t>OK</t>
        </is>
      </c>
      <c r="K31" s="24" t="inlineStr">
        <is>
          <t>데이터 사용 가능</t>
        </is>
      </c>
      <c r="L31" s="24" t="inlineStr">
        <is>
          <t>LOW</t>
        </is>
      </c>
      <c r="M31" s="24" t="inlineStr">
        <is>
          <t>LOW</t>
        </is>
      </c>
      <c r="N31" s="24" t="inlineStr">
        <is>
          <t>0.603030303030303</t>
        </is>
      </c>
      <c r="O31" s="24" t="inlineStr">
        <is>
          <t>ATTRACTIVE</t>
        </is>
      </c>
      <c r="P31" s="24" t="inlineStr">
        <is>
          <t>가치 매력</t>
        </is>
      </c>
      <c r="Q31" s="24" t="inlineStr">
        <is>
          <t>ATTRACTIVE</t>
        </is>
      </c>
      <c r="R31" s="24" t="inlineStr">
        <is>
          <t>0.8083150256499313</t>
        </is>
      </c>
      <c r="S31" s="24" t="inlineStr">
        <is>
          <t>HIGH</t>
        </is>
      </c>
      <c r="T31" s="24" t="inlineStr">
        <is>
          <t>HIGH</t>
        </is>
      </c>
      <c r="U31" s="24" t="inlineStr">
        <is>
          <t>0.0714285714285714</t>
        </is>
      </c>
      <c r="V31" s="24" t="inlineStr">
        <is>
          <t>LOW_RISK</t>
        </is>
      </c>
      <c r="W31" s="24" t="inlineStr">
        <is>
          <t>저위험</t>
        </is>
      </c>
      <c r="X31" s="24" t="inlineStr">
        <is>
          <t>LOW_RISK</t>
        </is>
      </c>
      <c r="Y31" s="24" t="inlineStr">
        <is>
          <t>0.8655657172147194</t>
        </is>
      </c>
      <c r="Z31" s="24" t="inlineStr">
        <is>
          <t>HIGH</t>
        </is>
      </c>
      <c r="AA31" s="24" t="inlineStr">
        <is>
          <t>HIGH</t>
        </is>
      </c>
      <c r="AB31" s="24" t="inlineStr">
        <is>
          <t>0.30686355706948754</t>
        </is>
      </c>
      <c r="AC31" s="24" t="inlineStr">
        <is>
          <t>True</t>
        </is>
      </c>
      <c r="AD31" s="24" t="inlineStr">
        <is>
          <t>True</t>
        </is>
      </c>
      <c r="AE31" s="24" t="inlineStr">
        <is>
          <t>valuation_credit_ml_overlay_candidate.csv</t>
        </is>
      </c>
      <c r="AF31" s="24" t="inlineStr">
        <is>
          <t>208개 반도체 reference universe. Valuation Agent가 자체 intake 폴더로 복제해 Peer/ML/대시보드 비교에 사용.</t>
        </is>
      </c>
      <c r="AG31" s="24" t="inlineStr">
        <is>
          <t>SAME_PEER_GROUP</t>
        </is>
      </c>
      <c r="AH31" s="24" t="inlineStr">
        <is>
          <t>False</t>
        </is>
      </c>
    </row>
    <row r="32" ht="24" customHeight="1">
      <c r="A32" s="29" t="inlineStr">
        <is>
          <t>66</t>
        </is>
      </c>
      <c r="B32" s="29" t="inlineStr">
        <is>
          <t>해당 없음</t>
        </is>
      </c>
      <c r="C32" s="29" t="inlineStr">
        <is>
          <t>제주반도체</t>
        </is>
      </c>
      <c r="D32" s="29" t="inlineStr">
        <is>
          <t>080220</t>
        </is>
      </c>
      <c r="E32" s="29" t="inlineStr">
        <is>
          <t>KOSDAQ</t>
        </is>
      </c>
      <c r="F32" s="29" t="inlineStr">
        <is>
          <t>팹리스/설계</t>
        </is>
      </c>
      <c r="G32" s="29" t="inlineStr">
        <is>
          <t>팹리스/설계</t>
        </is>
      </c>
      <c r="H32" s="29" t="inlineStr">
        <is>
          <t>False</t>
        </is>
      </c>
      <c r="I32" s="29" t="inlineStr">
        <is>
          <t>True</t>
        </is>
      </c>
      <c r="J32" s="29" t="inlineStr">
        <is>
          <t>OK</t>
        </is>
      </c>
      <c r="K32" s="29" t="inlineStr">
        <is>
          <t>데이터 사용 가능</t>
        </is>
      </c>
      <c r="L32" s="29" t="inlineStr">
        <is>
          <t>LOW</t>
        </is>
      </c>
      <c r="M32" s="29" t="inlineStr">
        <is>
          <t>LOW</t>
        </is>
      </c>
      <c r="N32" s="29" t="inlineStr">
        <is>
          <t>0.5917171717171718</t>
        </is>
      </c>
      <c r="O32" s="29" t="inlineStr">
        <is>
          <t>ATTRACTIVE</t>
        </is>
      </c>
      <c r="P32" s="29" t="inlineStr">
        <is>
          <t>가치 매력</t>
        </is>
      </c>
      <c r="Q32" s="29" t="inlineStr">
        <is>
          <t>ATTRACTIVE</t>
        </is>
      </c>
      <c r="R32" s="29" t="inlineStr">
        <is>
          <t>0.6955424557105586</t>
        </is>
      </c>
      <c r="S32" s="29" t="inlineStr">
        <is>
          <t>MEDIUM</t>
        </is>
      </c>
      <c r="T32" s="29" t="inlineStr">
        <is>
          <t>MEDIUM</t>
        </is>
      </c>
      <c r="U32" s="29" t="inlineStr">
        <is>
          <t>0.0</t>
        </is>
      </c>
      <c r="V32" s="29" t="inlineStr">
        <is>
          <t>LOW_RISK</t>
        </is>
      </c>
      <c r="W32" s="29" t="inlineStr">
        <is>
          <t>저위험</t>
        </is>
      </c>
      <c r="X32" s="29" t="inlineStr">
        <is>
          <t>LOW_RISK</t>
        </is>
      </c>
      <c r="Y32" s="29" t="inlineStr">
        <is>
          <t>0.9206625395821784</t>
        </is>
      </c>
      <c r="Z32" s="29" t="inlineStr">
        <is>
          <t>HIGH</t>
        </is>
      </c>
      <c r="AA32" s="29" t="inlineStr">
        <is>
          <t>HIGH</t>
        </is>
      </c>
      <c r="AB32" s="29" t="inlineStr">
        <is>
          <t>0.022944474321634056</t>
        </is>
      </c>
      <c r="AC32" s="29" t="inlineStr">
        <is>
          <t>False</t>
        </is>
      </c>
      <c r="AD32" s="29" t="inlineStr">
        <is>
          <t>False</t>
        </is>
      </c>
      <c r="AE32" s="29" t="inlineStr">
        <is>
          <t>valuation_credit_ml_overlay_candidate.csv</t>
        </is>
      </c>
      <c r="AF32" s="29" t="inlineStr">
        <is>
          <t>208개 반도체 reference universe. Valuation Agent가 자체 intake 폴더로 복제해 Peer/ML/대시보드 비교에 사용.</t>
        </is>
      </c>
      <c r="AG32" s="29" t="inlineStr">
        <is>
          <t>SAME_PEER_GROUP</t>
        </is>
      </c>
      <c r="AH32" s="29" t="inlineStr">
        <is>
          <t>False</t>
        </is>
      </c>
    </row>
    <row r="33" ht="24" customHeight="1">
      <c r="A33" s="24" t="inlineStr">
        <is>
          <t>71</t>
        </is>
      </c>
      <c r="B33" s="24" t="inlineStr">
        <is>
          <t>해당 없음</t>
        </is>
      </c>
      <c r="C33" s="24" t="inlineStr">
        <is>
          <t>티에스이</t>
        </is>
      </c>
      <c r="D33" s="24" t="inlineStr">
        <is>
          <t>131290</t>
        </is>
      </c>
      <c r="E33" s="24" t="inlineStr">
        <is>
          <t>KOSDAQ</t>
        </is>
      </c>
      <c r="F33" s="24" t="inlineStr">
        <is>
          <t>팹리스/설계</t>
        </is>
      </c>
      <c r="G33" s="24" t="inlineStr">
        <is>
          <t>팹리스/설계</t>
        </is>
      </c>
      <c r="H33" s="24" t="inlineStr">
        <is>
          <t>False</t>
        </is>
      </c>
      <c r="I33" s="24" t="inlineStr">
        <is>
          <t>True</t>
        </is>
      </c>
      <c r="J33" s="24" t="inlineStr">
        <is>
          <t>OK</t>
        </is>
      </c>
      <c r="K33" s="24" t="inlineStr">
        <is>
          <t>데이터 사용 가능</t>
        </is>
      </c>
      <c r="L33" s="24" t="inlineStr">
        <is>
          <t>LOW</t>
        </is>
      </c>
      <c r="M33" s="24" t="inlineStr">
        <is>
          <t>LOW</t>
        </is>
      </c>
      <c r="N33" s="24" t="inlineStr">
        <is>
          <t>0.5880808080808082</t>
        </is>
      </c>
      <c r="O33" s="24" t="inlineStr">
        <is>
          <t>ATTRACTIVE</t>
        </is>
      </c>
      <c r="P33" s="24" t="inlineStr">
        <is>
          <t>가치 매력</t>
        </is>
      </c>
      <c r="Q33" s="24" t="inlineStr">
        <is>
          <t>ATTRACTIVE</t>
        </is>
      </c>
      <c r="R33" s="24" t="inlineStr">
        <is>
          <t>0.7390287615028212</t>
        </is>
      </c>
      <c r="S33" s="24" t="inlineStr">
        <is>
          <t>HIGH</t>
        </is>
      </c>
      <c r="T33" s="24" t="inlineStr">
        <is>
          <t>HIGH</t>
        </is>
      </c>
      <c r="U33" s="24" t="inlineStr">
        <is>
          <t>0.0</t>
        </is>
      </c>
      <c r="V33" s="24" t="inlineStr">
        <is>
          <t>LOW_RISK</t>
        </is>
      </c>
      <c r="W33" s="24" t="inlineStr">
        <is>
          <t>저위험</t>
        </is>
      </c>
      <c r="X33" s="24" t="inlineStr">
        <is>
          <t>LOW_RISK</t>
        </is>
      </c>
      <c r="Y33" s="24" t="inlineStr">
        <is>
          <t>0.9709748314872512</t>
        </is>
      </c>
      <c r="Z33" s="24" t="inlineStr">
        <is>
          <t>HIGH</t>
        </is>
      </c>
      <c r="AA33" s="24" t="inlineStr">
        <is>
          <t>HIGH</t>
        </is>
      </c>
      <c r="AB33" s="24" t="inlineStr">
        <is>
          <t>0.018067787318761474</t>
        </is>
      </c>
      <c r="AC33" s="24" t="inlineStr">
        <is>
          <t>False</t>
        </is>
      </c>
      <c r="AD33" s="24" t="inlineStr">
        <is>
          <t>False</t>
        </is>
      </c>
      <c r="AE33" s="24" t="inlineStr">
        <is>
          <t>valuation_credit_ml_overlay_candidate.csv</t>
        </is>
      </c>
      <c r="AF33" s="24" t="inlineStr">
        <is>
          <t>208개 반도체 reference universe. Valuation Agent가 자체 intake 폴더로 복제해 Peer/ML/대시보드 비교에 사용.</t>
        </is>
      </c>
      <c r="AG33" s="24" t="inlineStr">
        <is>
          <t>SAME_PEER_GROUP</t>
        </is>
      </c>
      <c r="AH33" s="24" t="inlineStr">
        <is>
          <t>False</t>
        </is>
      </c>
    </row>
    <row r="34" ht="24" customHeight="1">
      <c r="A34" s="29" t="inlineStr">
        <is>
          <t>53</t>
        </is>
      </c>
      <c r="B34" s="29" t="inlineStr">
        <is>
          <t>해당 없음</t>
        </is>
      </c>
      <c r="C34" s="29" t="inlineStr">
        <is>
          <t>아나패스</t>
        </is>
      </c>
      <c r="D34" s="29" t="inlineStr">
        <is>
          <t>123860</t>
        </is>
      </c>
      <c r="E34" s="29" t="inlineStr">
        <is>
          <t>KOSDAQ</t>
        </is>
      </c>
      <c r="F34" s="29" t="inlineStr">
        <is>
          <t>팹리스/설계</t>
        </is>
      </c>
      <c r="G34" s="29" t="inlineStr">
        <is>
          <t>팹리스/설계</t>
        </is>
      </c>
      <c r="H34" s="29" t="inlineStr">
        <is>
          <t>False</t>
        </is>
      </c>
      <c r="I34" s="29" t="inlineStr">
        <is>
          <t>True</t>
        </is>
      </c>
      <c r="J34" s="29" t="inlineStr">
        <is>
          <t>OK</t>
        </is>
      </c>
      <c r="K34" s="29" t="inlineStr">
        <is>
          <t>데이터 사용 가능</t>
        </is>
      </c>
      <c r="L34" s="29" t="inlineStr">
        <is>
          <t>LOW</t>
        </is>
      </c>
      <c r="M34" s="29" t="inlineStr">
        <is>
          <t>LOW</t>
        </is>
      </c>
      <c r="N34" s="29" t="inlineStr">
        <is>
          <t>0.5761616161616162</t>
        </is>
      </c>
      <c r="O34" s="29" t="inlineStr">
        <is>
          <t>FAIR</t>
        </is>
      </c>
      <c r="P34" s="29" t="inlineStr">
        <is>
          <t>FAIR</t>
        </is>
      </c>
      <c r="Q34" s="29" t="inlineStr">
        <is>
          <t>ATTRACTIVE</t>
        </is>
      </c>
      <c r="R34" s="29" t="inlineStr">
        <is>
          <t>0.510332377942325</t>
        </is>
      </c>
      <c r="S34" s="29" t="inlineStr">
        <is>
          <t>MEDIUM</t>
        </is>
      </c>
      <c r="T34" s="29" t="inlineStr">
        <is>
          <t>MEDIUM</t>
        </is>
      </c>
      <c r="U34" s="29" t="inlineStr">
        <is>
          <t>0.0</t>
        </is>
      </c>
      <c r="V34" s="29" t="inlineStr">
        <is>
          <t>LOW_RISK</t>
        </is>
      </c>
      <c r="W34" s="29" t="inlineStr">
        <is>
          <t>저위험</t>
        </is>
      </c>
      <c r="X34" s="29" t="inlineStr">
        <is>
          <t>LOW_RISK</t>
        </is>
      </c>
      <c r="Y34" s="29" t="inlineStr">
        <is>
          <t>0.9162612285765747</t>
        </is>
      </c>
      <c r="Z34" s="29" t="inlineStr">
        <is>
          <t>HIGH</t>
        </is>
      </c>
      <c r="AA34" s="29" t="inlineStr">
        <is>
          <t>HIGH</t>
        </is>
      </c>
      <c r="AB34" s="29" t="inlineStr">
        <is>
          <t>0.10416084144507474</t>
        </is>
      </c>
      <c r="AC34" s="29" t="inlineStr">
        <is>
          <t>False</t>
        </is>
      </c>
      <c r="AD34" s="29" t="inlineStr">
        <is>
          <t>False</t>
        </is>
      </c>
      <c r="AE34" s="29" t="inlineStr">
        <is>
          <t>valuation_credit_ml_overlay_candidate.csv</t>
        </is>
      </c>
      <c r="AF34" s="29" t="inlineStr">
        <is>
          <t>208개 반도체 reference universe. Valuation Agent가 자체 intake 폴더로 복제해 Peer/ML/대시보드 비교에 사용.</t>
        </is>
      </c>
      <c r="AG34" s="29" t="inlineStr">
        <is>
          <t>SAME_PEER_GROUP</t>
        </is>
      </c>
      <c r="AH34" s="29" t="inlineStr">
        <is>
          <t>False</t>
        </is>
      </c>
    </row>
    <row r="35" ht="24" customHeight="1">
      <c r="A35" s="24" t="inlineStr">
        <is>
          <t>68</t>
        </is>
      </c>
      <c r="B35" s="24" t="inlineStr">
        <is>
          <t>해당 없음</t>
        </is>
      </c>
      <c r="C35" s="24" t="inlineStr">
        <is>
          <t>코아시아</t>
        </is>
      </c>
      <c r="D35" s="24" t="inlineStr">
        <is>
          <t>045970</t>
        </is>
      </c>
      <c r="E35" s="24" t="inlineStr">
        <is>
          <t>KOSDAQ</t>
        </is>
      </c>
      <c r="F35" s="24" t="inlineStr">
        <is>
          <t>팹리스/설계</t>
        </is>
      </c>
      <c r="G35" s="24" t="inlineStr">
        <is>
          <t>팹리스/설계</t>
        </is>
      </c>
      <c r="H35" s="24" t="inlineStr">
        <is>
          <t>False</t>
        </is>
      </c>
      <c r="I35" s="24" t="inlineStr">
        <is>
          <t>True</t>
        </is>
      </c>
      <c r="J35" s="24" t="inlineStr">
        <is>
          <t>OK</t>
        </is>
      </c>
      <c r="K35" s="24" t="inlineStr">
        <is>
          <t>데이터 사용 가능</t>
        </is>
      </c>
      <c r="L35" s="24" t="inlineStr">
        <is>
          <t>LOW</t>
        </is>
      </c>
      <c r="M35" s="24" t="inlineStr">
        <is>
          <t>LOW</t>
        </is>
      </c>
      <c r="N35" s="24" t="inlineStr">
        <is>
          <t>0.5612121212121212</t>
        </is>
      </c>
      <c r="O35" s="24" t="inlineStr">
        <is>
          <t>FAIR</t>
        </is>
      </c>
      <c r="P35" s="24" t="inlineStr">
        <is>
          <t>FAIR</t>
        </is>
      </c>
      <c r="Q35" s="24" t="inlineStr">
        <is>
          <t>FAIR</t>
        </is>
      </c>
      <c r="R35" s="24" t="inlineStr">
        <is>
          <t>0.811266524244761</t>
        </is>
      </c>
      <c r="S35" s="24" t="inlineStr">
        <is>
          <t>HIGH</t>
        </is>
      </c>
      <c r="T35" s="24" t="inlineStr">
        <is>
          <t>HIGH</t>
        </is>
      </c>
      <c r="U35" s="24" t="inlineStr">
        <is>
          <t>0.5</t>
        </is>
      </c>
      <c r="V35" s="24" t="inlineStr">
        <is>
          <t>HIGH_RISK</t>
        </is>
      </c>
      <c r="W35" s="24" t="inlineStr">
        <is>
          <t>고위험</t>
        </is>
      </c>
      <c r="X35" s="24" t="inlineStr">
        <is>
          <t>HIGH_RISK</t>
        </is>
      </c>
      <c r="Y35" s="24" t="inlineStr">
        <is>
          <t>0.7677840717507917</t>
        </is>
      </c>
      <c r="Z35" s="24" t="inlineStr">
        <is>
          <t>HIGH</t>
        </is>
      </c>
      <c r="AA35" s="24" t="inlineStr">
        <is>
          <t>HIGH</t>
        </is>
      </c>
      <c r="AB35" s="24" t="inlineStr">
        <is>
          <t>0.06747219473464933</t>
        </is>
      </c>
      <c r="AC35" s="24" t="inlineStr">
        <is>
          <t>False</t>
        </is>
      </c>
      <c r="AD35" s="24" t="inlineStr">
        <is>
          <t>False</t>
        </is>
      </c>
      <c r="AE35" s="24" t="inlineStr">
        <is>
          <t>valuation_credit_ml_overlay_candidate.csv</t>
        </is>
      </c>
      <c r="AF35" s="24" t="inlineStr">
        <is>
          <t>208개 반도체 reference universe. Valuation Agent가 자체 intake 폴더로 복제해 Peer/ML/대시보드 비교에 사용.</t>
        </is>
      </c>
      <c r="AG35" s="24" t="inlineStr">
        <is>
          <t>SAME_PEER_GROUP</t>
        </is>
      </c>
      <c r="AH35" s="24" t="inlineStr">
        <is>
          <t>False</t>
        </is>
      </c>
    </row>
    <row r="36" ht="24" customHeight="1">
      <c r="A36" s="29" t="inlineStr">
        <is>
          <t>73</t>
        </is>
      </c>
      <c r="B36" s="29" t="inlineStr">
        <is>
          <t>해당 없음</t>
        </is>
      </c>
      <c r="C36" s="29" t="inlineStr">
        <is>
          <t>픽셀플러스</t>
        </is>
      </c>
      <c r="D36" s="29" t="inlineStr">
        <is>
          <t>087600</t>
        </is>
      </c>
      <c r="E36" s="29" t="inlineStr">
        <is>
          <t>KOSDAQ</t>
        </is>
      </c>
      <c r="F36" s="29" t="inlineStr">
        <is>
          <t>팹리스/설계</t>
        </is>
      </c>
      <c r="G36" s="29" t="inlineStr">
        <is>
          <t>팹리스/설계</t>
        </is>
      </c>
      <c r="H36" s="29" t="inlineStr">
        <is>
          <t>False</t>
        </is>
      </c>
      <c r="I36" s="29" t="inlineStr">
        <is>
          <t>True</t>
        </is>
      </c>
      <c r="J36" s="29" t="inlineStr">
        <is>
          <t>OK</t>
        </is>
      </c>
      <c r="K36" s="29" t="inlineStr">
        <is>
          <t>데이터 사용 가능</t>
        </is>
      </c>
      <c r="L36" s="29" t="inlineStr">
        <is>
          <t>LOW</t>
        </is>
      </c>
      <c r="M36" s="29" t="inlineStr">
        <is>
          <t>LOW</t>
        </is>
      </c>
      <c r="N36" s="29" t="inlineStr">
        <is>
          <t>0.543030303030303</t>
        </is>
      </c>
      <c r="O36" s="29" t="inlineStr">
        <is>
          <t>FAIR</t>
        </is>
      </c>
      <c r="P36" s="29" t="inlineStr">
        <is>
          <t>FAIR</t>
        </is>
      </c>
      <c r="Q36" s="29" t="inlineStr">
        <is>
          <t>FAIR</t>
        </is>
      </c>
      <c r="R36" s="29" t="inlineStr">
        <is>
          <t>0.8353732583827468</t>
        </is>
      </c>
      <c r="S36" s="29" t="inlineStr">
        <is>
          <t>HIGH</t>
        </is>
      </c>
      <c r="T36" s="29" t="inlineStr">
        <is>
          <t>HIGH</t>
        </is>
      </c>
      <c r="U36" s="29" t="inlineStr">
        <is>
          <t>0.2857142857142857</t>
        </is>
      </c>
      <c r="V36" s="29" t="inlineStr">
        <is>
          <t>MEDIUM_RISK</t>
        </is>
      </c>
      <c r="W36" s="29" t="inlineStr">
        <is>
          <t>중위험</t>
        </is>
      </c>
      <c r="X36" s="29" t="inlineStr">
        <is>
          <t>MEDIUM_RISK</t>
        </is>
      </c>
      <c r="Y36" s="29" t="inlineStr">
        <is>
          <t>0.8277119254156154</t>
        </is>
      </c>
      <c r="Z36" s="29" t="inlineStr">
        <is>
          <t>HIGH</t>
        </is>
      </c>
      <c r="AA36" s="29" t="inlineStr">
        <is>
          <t>HIGH</t>
        </is>
      </c>
      <c r="AB36" s="29" t="inlineStr">
        <is>
          <t>0.08861749399056779</t>
        </is>
      </c>
      <c r="AC36" s="29" t="inlineStr">
        <is>
          <t>False</t>
        </is>
      </c>
      <c r="AD36" s="29" t="inlineStr">
        <is>
          <t>False</t>
        </is>
      </c>
      <c r="AE36" s="29" t="inlineStr">
        <is>
          <t>valuation_credit_ml_overlay_candidate.csv</t>
        </is>
      </c>
      <c r="AF36" s="29" t="inlineStr">
        <is>
          <t>208개 반도체 reference universe. Valuation Agent가 자체 intake 폴더로 복제해 Peer/ML/대시보드 비교에 사용.</t>
        </is>
      </c>
      <c r="AG36" s="29" t="inlineStr">
        <is>
          <t>SAME_PEER_GROUP</t>
        </is>
      </c>
      <c r="AH36" s="29" t="inlineStr">
        <is>
          <t>False</t>
        </is>
      </c>
    </row>
    <row r="37" ht="24" customHeight="1">
      <c r="A37" s="24" t="inlineStr">
        <is>
          <t>67</t>
        </is>
      </c>
      <c r="B37" s="24" t="inlineStr">
        <is>
          <t>해당 없음</t>
        </is>
      </c>
      <c r="C37" s="24" t="inlineStr">
        <is>
          <t>칩스앤미디어</t>
        </is>
      </c>
      <c r="D37" s="24" t="inlineStr">
        <is>
          <t>094360</t>
        </is>
      </c>
      <c r="E37" s="24" t="inlineStr">
        <is>
          <t>KOSDAQ</t>
        </is>
      </c>
      <c r="F37" s="24" t="inlineStr">
        <is>
          <t>팹리스/설계</t>
        </is>
      </c>
      <c r="G37" s="24" t="inlineStr">
        <is>
          <t>팹리스/설계</t>
        </is>
      </c>
      <c r="H37" s="24" t="inlineStr">
        <is>
          <t>False</t>
        </is>
      </c>
      <c r="I37" s="24" t="inlineStr">
        <is>
          <t>True</t>
        </is>
      </c>
      <c r="J37" s="24" t="inlineStr">
        <is>
          <t>OK</t>
        </is>
      </c>
      <c r="K37" s="24" t="inlineStr">
        <is>
          <t>데이터 사용 가능</t>
        </is>
      </c>
      <c r="L37" s="24" t="inlineStr">
        <is>
          <t>LOW</t>
        </is>
      </c>
      <c r="M37" s="24" t="inlineStr">
        <is>
          <t>LOW</t>
        </is>
      </c>
      <c r="N37" s="24" t="inlineStr">
        <is>
          <t>0.5424242424242424</t>
        </is>
      </c>
      <c r="O37" s="24" t="inlineStr">
        <is>
          <t>FAIR</t>
        </is>
      </c>
      <c r="P37" s="24" t="inlineStr">
        <is>
          <t>FAIR</t>
        </is>
      </c>
      <c r="Q37" s="24" t="inlineStr">
        <is>
          <t>FAIR</t>
        </is>
      </c>
      <c r="R37" s="24" t="inlineStr">
        <is>
          <t>0.44740744488593415</t>
        </is>
      </c>
      <c r="S37" s="24" t="inlineStr">
        <is>
          <t>LOW</t>
        </is>
      </c>
      <c r="T37" s="24" t="inlineStr">
        <is>
          <t>LOW</t>
        </is>
      </c>
      <c r="U37" s="24" t="inlineStr">
        <is>
          <t>0.0</t>
        </is>
      </c>
      <c r="V37" s="24" t="inlineStr">
        <is>
          <t>LOW_RISK</t>
        </is>
      </c>
      <c r="W37" s="24" t="inlineStr">
        <is>
          <t>저위험</t>
        </is>
      </c>
      <c r="X37" s="24" t="inlineStr">
        <is>
          <t>LOW_RISK</t>
        </is>
      </c>
      <c r="Y37" s="24" t="inlineStr">
        <is>
          <t>0.9394752479511282</t>
        </is>
      </c>
      <c r="Z37" s="24" t="inlineStr">
        <is>
          <t>HIGH</t>
        </is>
      </c>
      <c r="AA37" s="24" t="inlineStr">
        <is>
          <t>HIGH</t>
        </is>
      </c>
      <c r="AB37" s="24" t="inlineStr">
        <is>
          <t>0.1165162896524789</t>
        </is>
      </c>
      <c r="AC37" s="24" t="inlineStr">
        <is>
          <t>False</t>
        </is>
      </c>
      <c r="AD37" s="24" t="inlineStr">
        <is>
          <t>True</t>
        </is>
      </c>
      <c r="AE37" s="24" t="inlineStr">
        <is>
          <t>valuation_credit_ml_overlay_candidate.csv</t>
        </is>
      </c>
      <c r="AF37" s="24" t="inlineStr">
        <is>
          <t>208개 반도체 reference universe. Valuation Agent가 자체 intake 폴더로 복제해 Peer/ML/대시보드 비교에 사용.</t>
        </is>
      </c>
      <c r="AG37" s="24" t="inlineStr">
        <is>
          <t>SAME_PEER_GROUP</t>
        </is>
      </c>
      <c r="AH37" s="24" t="inlineStr">
        <is>
          <t>False</t>
        </is>
      </c>
    </row>
    <row r="38" ht="24" customHeight="1">
      <c r="A38" s="29" t="inlineStr">
        <is>
          <t>57</t>
        </is>
      </c>
      <c r="B38" s="29" t="inlineStr">
        <is>
          <t>해당 없음</t>
        </is>
      </c>
      <c r="C38" s="29" t="inlineStr">
        <is>
          <t>아이케이세미콘</t>
        </is>
      </c>
      <c r="D38" s="29" t="inlineStr">
        <is>
          <t>149010</t>
        </is>
      </c>
      <c r="E38" s="29" t="inlineStr">
        <is>
          <t>KONEX</t>
        </is>
      </c>
      <c r="F38" s="29" t="inlineStr">
        <is>
          <t>팹리스/설계</t>
        </is>
      </c>
      <c r="G38" s="29" t="inlineStr">
        <is>
          <t>팹리스/설계</t>
        </is>
      </c>
      <c r="H38" s="29" t="inlineStr">
        <is>
          <t>False</t>
        </is>
      </c>
      <c r="I38" s="29" t="inlineStr">
        <is>
          <t>True</t>
        </is>
      </c>
      <c r="J38" s="29" t="inlineStr">
        <is>
          <t>NO_DART_FINANCIAL_DATA</t>
        </is>
      </c>
      <c r="K38" s="29" t="inlineStr">
        <is>
          <t>데이터 사용 가능</t>
        </is>
      </c>
      <c r="L38" s="29" t="inlineStr">
        <is>
          <t>HIGH</t>
        </is>
      </c>
      <c r="M38" s="29" t="inlineStr">
        <is>
          <t>HIGH</t>
        </is>
      </c>
      <c r="N38" s="29" t="inlineStr">
        <is>
          <t>0.497979797979798</t>
        </is>
      </c>
      <c r="O38" s="29" t="inlineStr">
        <is>
          <t>FAIR</t>
        </is>
      </c>
      <c r="P38" s="29" t="inlineStr">
        <is>
          <t>FAIR</t>
        </is>
      </c>
      <c r="Q38" s="29" t="inlineStr">
        <is>
          <t>FAIR</t>
        </is>
      </c>
      <c r="R38" s="29" t="inlineStr">
        <is>
          <t>0.9626560040296214</t>
        </is>
      </c>
      <c r="S38" s="29" t="inlineStr">
        <is>
          <t>HIGH</t>
        </is>
      </c>
      <c r="T38" s="29" t="inlineStr">
        <is>
          <t>HIGH</t>
        </is>
      </c>
      <c r="U38" s="29" t="inlineStr">
        <is>
          <t>0.6428571428571429</t>
        </is>
      </c>
      <c r="V38" s="29" t="inlineStr">
        <is>
          <t>HIGH_RISK</t>
        </is>
      </c>
      <c r="W38" s="29" t="inlineStr">
        <is>
          <t>고위험</t>
        </is>
      </c>
      <c r="X38" s="29" t="inlineStr">
        <is>
          <t>HIGH_RISK</t>
        </is>
      </c>
      <c r="Y38" s="29" t="inlineStr">
        <is>
          <t>0.7070645883552188</t>
        </is>
      </c>
      <c r="Z38" s="29" t="inlineStr">
        <is>
          <t>HIGH</t>
        </is>
      </c>
      <c r="AA38" s="29" t="inlineStr">
        <is>
          <t>HIGH</t>
        </is>
      </c>
      <c r="AB38" s="29" t="inlineStr">
        <is>
          <t>0.07589516599498297</t>
        </is>
      </c>
      <c r="AC38" s="29" t="inlineStr">
        <is>
          <t>False</t>
        </is>
      </c>
      <c r="AD38" s="29" t="inlineStr">
        <is>
          <t>True</t>
        </is>
      </c>
      <c r="AE38" s="29" t="inlineStr">
        <is>
          <t>valuation_credit_ml_overlay_candidate.csv</t>
        </is>
      </c>
      <c r="AF38" s="29" t="inlineStr">
        <is>
          <t>208개 반도체 reference universe. Valuation Agent가 자체 intake 폴더로 복제해 Peer/ML/대시보드 비교에 사용.</t>
        </is>
      </c>
      <c r="AG38" s="29" t="inlineStr">
        <is>
          <t>SAME_PEER_GROUP</t>
        </is>
      </c>
      <c r="AH38" s="29" t="inlineStr">
        <is>
          <t>False</t>
        </is>
      </c>
    </row>
    <row r="39" ht="24" customHeight="1">
      <c r="A39" s="24" t="inlineStr">
        <is>
          <t>70</t>
        </is>
      </c>
      <c r="B39" s="24" t="inlineStr">
        <is>
          <t>해당 없음</t>
        </is>
      </c>
      <c r="C39" s="24" t="inlineStr">
        <is>
          <t>텔레칩스</t>
        </is>
      </c>
      <c r="D39" s="24" t="inlineStr">
        <is>
          <t>054450</t>
        </is>
      </c>
      <c r="E39" s="24" t="inlineStr">
        <is>
          <t>KOSDAQ</t>
        </is>
      </c>
      <c r="F39" s="24" t="inlineStr">
        <is>
          <t>팹리스/설계</t>
        </is>
      </c>
      <c r="G39" s="24" t="inlineStr">
        <is>
          <t>팹리스/설계</t>
        </is>
      </c>
      <c r="H39" s="24" t="inlineStr">
        <is>
          <t>False</t>
        </is>
      </c>
      <c r="I39" s="24" t="inlineStr">
        <is>
          <t>True</t>
        </is>
      </c>
      <c r="J39" s="24" t="inlineStr">
        <is>
          <t>OK</t>
        </is>
      </c>
      <c r="K39" s="24" t="inlineStr">
        <is>
          <t>데이터 사용 가능</t>
        </is>
      </c>
      <c r="L39" s="24" t="inlineStr">
        <is>
          <t>LOW</t>
        </is>
      </c>
      <c r="M39" s="24" t="inlineStr">
        <is>
          <t>LOW</t>
        </is>
      </c>
      <c r="N39" s="24" t="inlineStr">
        <is>
          <t>0.4943434343434343</t>
        </is>
      </c>
      <c r="O39" s="24" t="inlineStr">
        <is>
          <t>FAIR</t>
        </is>
      </c>
      <c r="P39" s="24" t="inlineStr">
        <is>
          <t>FAIR</t>
        </is>
      </c>
      <c r="Q39" s="24" t="inlineStr">
        <is>
          <t>EXPENSIVE</t>
        </is>
      </c>
      <c r="R39" s="24" t="inlineStr">
        <is>
          <t>0.5716537225721987</t>
        </is>
      </c>
      <c r="S39" s="24" t="inlineStr">
        <is>
          <t>MEDIUM</t>
        </is>
      </c>
      <c r="T39" s="24" t="inlineStr">
        <is>
          <t>MEDIUM</t>
        </is>
      </c>
      <c r="U39" s="24" t="inlineStr">
        <is>
          <t>0.7142857142857143</t>
        </is>
      </c>
      <c r="V39" s="24" t="inlineStr">
        <is>
          <t>HIGH_RISK</t>
        </is>
      </c>
      <c r="W39" s="24" t="inlineStr">
        <is>
          <t>고위험</t>
        </is>
      </c>
      <c r="X39" s="24" t="inlineStr">
        <is>
          <t>HIGH_RISK</t>
        </is>
      </c>
      <c r="Y39" s="24" t="inlineStr">
        <is>
          <t>0.9759550340612091</t>
        </is>
      </c>
      <c r="Z39" s="24" t="inlineStr">
        <is>
          <t>HIGH</t>
        </is>
      </c>
      <c r="AA39" s="24" t="inlineStr">
        <is>
          <t>HIGH</t>
        </is>
      </c>
      <c r="AB39" s="24" t="inlineStr">
        <is>
          <t>0.07328745198510121</t>
        </is>
      </c>
      <c r="AC39" s="24" t="inlineStr">
        <is>
          <t>False</t>
        </is>
      </c>
      <c r="AD39" s="24" t="inlineStr">
        <is>
          <t>False</t>
        </is>
      </c>
      <c r="AE39" s="24" t="inlineStr">
        <is>
          <t>valuation_credit_ml_overlay_candidate.csv</t>
        </is>
      </c>
      <c r="AF39" s="24" t="inlineStr">
        <is>
          <t>208개 반도체 reference universe. Valuation Agent가 자체 intake 폴더로 복제해 Peer/ML/대시보드 비교에 사용.</t>
        </is>
      </c>
      <c r="AG39" s="24" t="inlineStr">
        <is>
          <t>SAME_PEER_GROUP</t>
        </is>
      </c>
      <c r="AH39" s="24" t="inlineStr">
        <is>
          <t>False</t>
        </is>
      </c>
    </row>
    <row r="40" ht="24" customHeight="1">
      <c r="A40" s="29" t="inlineStr">
        <is>
          <t>59</t>
        </is>
      </c>
      <c r="B40" s="29" t="inlineStr">
        <is>
          <t>해당 없음</t>
        </is>
      </c>
      <c r="C40" s="29" t="inlineStr">
        <is>
          <t>알파칩스</t>
        </is>
      </c>
      <c r="D40" s="29" t="inlineStr">
        <is>
          <t>117670</t>
        </is>
      </c>
      <c r="E40" s="29" t="inlineStr">
        <is>
          <t>KOSDAQ</t>
        </is>
      </c>
      <c r="F40" s="29" t="inlineStr">
        <is>
          <t>팹리스/설계</t>
        </is>
      </c>
      <c r="G40" s="29" t="inlineStr">
        <is>
          <t>팹리스/설계</t>
        </is>
      </c>
      <c r="H40" s="29" t="inlineStr">
        <is>
          <t>False</t>
        </is>
      </c>
      <c r="I40" s="29" t="inlineStr">
        <is>
          <t>True</t>
        </is>
      </c>
      <c r="J40" s="29" t="inlineStr">
        <is>
          <t>OK</t>
        </is>
      </c>
      <c r="K40" s="29" t="inlineStr">
        <is>
          <t>데이터 사용 가능</t>
        </is>
      </c>
      <c r="L40" s="29" t="inlineStr">
        <is>
          <t>LOW</t>
        </is>
      </c>
      <c r="M40" s="29" t="inlineStr">
        <is>
          <t>LOW</t>
        </is>
      </c>
      <c r="N40" s="29" t="inlineStr">
        <is>
          <t>0.4826262626262627</t>
        </is>
      </c>
      <c r="O40" s="29" t="inlineStr">
        <is>
          <t>FAIR</t>
        </is>
      </c>
      <c r="P40" s="29" t="inlineStr">
        <is>
          <t>FAIR</t>
        </is>
      </c>
      <c r="Q40" s="29" t="inlineStr">
        <is>
          <t>FAIR</t>
        </is>
      </c>
      <c r="R40" s="29" t="inlineStr">
        <is>
          <t>0.7398835550872951</t>
        </is>
      </c>
      <c r="S40" s="29" t="inlineStr">
        <is>
          <t>HIGH</t>
        </is>
      </c>
      <c r="T40" s="29" t="inlineStr">
        <is>
          <t>HIGH</t>
        </is>
      </c>
      <c r="U40" s="29" t="inlineStr">
        <is>
          <t>0.2857142857142857</t>
        </is>
      </c>
      <c r="V40" s="29" t="inlineStr">
        <is>
          <t>MEDIUM_RISK</t>
        </is>
      </c>
      <c r="W40" s="29" t="inlineStr">
        <is>
          <t>중위험</t>
        </is>
      </c>
      <c r="X40" s="29" t="inlineStr">
        <is>
          <t>MEDIUM_RISK</t>
        </is>
      </c>
      <c r="Y40" s="29" t="inlineStr">
        <is>
          <t>0.8321400367761521</t>
        </is>
      </c>
      <c r="Z40" s="29" t="inlineStr">
        <is>
          <t>HIGH</t>
        </is>
      </c>
      <c r="AA40" s="29" t="inlineStr">
        <is>
          <t>HIGH</t>
        </is>
      </c>
      <c r="AB40" s="29" t="inlineStr">
        <is>
          <t>0.06605777558134833</t>
        </is>
      </c>
      <c r="AC40" s="29" t="inlineStr">
        <is>
          <t>False</t>
        </is>
      </c>
      <c r="AD40" s="29" t="inlineStr">
        <is>
          <t>False</t>
        </is>
      </c>
      <c r="AE40" s="29" t="inlineStr">
        <is>
          <t>valuation_credit_ml_overlay_candidate.csv</t>
        </is>
      </c>
      <c r="AF40" s="29" t="inlineStr">
        <is>
          <t>208개 반도체 reference universe. Valuation Agent가 자체 intake 폴더로 복제해 Peer/ML/대시보드 비교에 사용.</t>
        </is>
      </c>
      <c r="AG40" s="29" t="inlineStr">
        <is>
          <t>SAME_PEER_GROUP</t>
        </is>
      </c>
      <c r="AH40" s="29" t="inlineStr">
        <is>
          <t>False</t>
        </is>
      </c>
    </row>
    <row r="41" ht="24" customHeight="1">
      <c r="A41" s="24" t="inlineStr">
        <is>
          <t>46</t>
        </is>
      </c>
      <c r="B41" s="24" t="inlineStr">
        <is>
          <t>해당 없음</t>
        </is>
      </c>
      <c r="C41" s="24" t="inlineStr">
        <is>
          <t>라온로보틱스</t>
        </is>
      </c>
      <c r="D41" s="24" t="inlineStr">
        <is>
          <t>232680</t>
        </is>
      </c>
      <c r="E41" s="24" t="inlineStr">
        <is>
          <t>KOSDAQ</t>
        </is>
      </c>
      <c r="F41" s="24" t="inlineStr">
        <is>
          <t>팹리스/설계</t>
        </is>
      </c>
      <c r="G41" s="24" t="inlineStr">
        <is>
          <t>팹리스/설계</t>
        </is>
      </c>
      <c r="H41" s="24" t="inlineStr">
        <is>
          <t>False</t>
        </is>
      </c>
      <c r="I41" s="24" t="inlineStr">
        <is>
          <t>True</t>
        </is>
      </c>
      <c r="J41" s="24" t="inlineStr">
        <is>
          <t>OK</t>
        </is>
      </c>
      <c r="K41" s="24" t="inlineStr">
        <is>
          <t>데이터 사용 가능</t>
        </is>
      </c>
      <c r="L41" s="24" t="inlineStr">
        <is>
          <t>LOW</t>
        </is>
      </c>
      <c r="M41" s="24" t="inlineStr">
        <is>
          <t>LOW</t>
        </is>
      </c>
      <c r="N41" s="24" t="inlineStr">
        <is>
          <t>0.4745454545454545</t>
        </is>
      </c>
      <c r="O41" s="24" t="inlineStr">
        <is>
          <t>FAIR</t>
        </is>
      </c>
      <c r="P41" s="24" t="inlineStr">
        <is>
          <t>FAIR</t>
        </is>
      </c>
      <c r="Q41" s="24" t="inlineStr">
        <is>
          <t>FAIR</t>
        </is>
      </c>
      <c r="R41" s="24" t="inlineStr">
        <is>
          <t>0.7863374675167921</t>
        </is>
      </c>
      <c r="S41" s="24" t="inlineStr">
        <is>
          <t>HIGH</t>
        </is>
      </c>
      <c r="T41" s="24" t="inlineStr">
        <is>
          <t>HIGH</t>
        </is>
      </c>
      <c r="U41" s="24" t="inlineStr">
        <is>
          <t>0.1428571428571428</t>
        </is>
      </c>
      <c r="V41" s="24" t="inlineStr">
        <is>
          <t>LOW_RISK</t>
        </is>
      </c>
      <c r="W41" s="24" t="inlineStr">
        <is>
          <t>저위험</t>
        </is>
      </c>
      <c r="X41" s="24" t="inlineStr">
        <is>
          <t>LOW_RISK</t>
        </is>
      </c>
      <c r="Y41" s="24" t="inlineStr">
        <is>
          <t>0.6877521386643212</t>
        </is>
      </c>
      <c r="Z41" s="24" t="inlineStr">
        <is>
          <t>MEDIUM</t>
        </is>
      </c>
      <c r="AA41" s="24" t="inlineStr">
        <is>
          <t>MEDIUM</t>
        </is>
      </c>
      <c r="AB41" s="24" t="inlineStr">
        <is>
          <t>0.026169607074936322</t>
        </is>
      </c>
      <c r="AC41" s="24" t="inlineStr">
        <is>
          <t>False</t>
        </is>
      </c>
      <c r="AD41" s="24" t="inlineStr">
        <is>
          <t>False</t>
        </is>
      </c>
      <c r="AE41" s="24" t="inlineStr">
        <is>
          <t>valuation_credit_ml_overlay_candidate.csv</t>
        </is>
      </c>
      <c r="AF41" s="24" t="inlineStr">
        <is>
          <t>208개 반도체 reference universe. Valuation Agent가 자체 intake 폴더로 복제해 Peer/ML/대시보드 비교에 사용.</t>
        </is>
      </c>
      <c r="AG41" s="24" t="inlineStr">
        <is>
          <t>SAME_PEER_GROUP</t>
        </is>
      </c>
      <c r="AH41" s="24" t="inlineStr">
        <is>
          <t>False</t>
        </is>
      </c>
    </row>
    <row r="42" ht="24" customHeight="1">
      <c r="A42" s="29" t="inlineStr">
        <is>
          <t>51</t>
        </is>
      </c>
      <c r="B42" s="29" t="inlineStr">
        <is>
          <t>해당 없음</t>
        </is>
      </c>
      <c r="C42" s="29" t="inlineStr">
        <is>
          <t>싸이닉솔루션</t>
        </is>
      </c>
      <c r="D42" s="29" t="inlineStr">
        <is>
          <t>234030</t>
        </is>
      </c>
      <c r="E42" s="29" t="inlineStr">
        <is>
          <t>KOSDAQ</t>
        </is>
      </c>
      <c r="F42" s="29" t="inlineStr">
        <is>
          <t>팹리스/설계</t>
        </is>
      </c>
      <c r="G42" s="29" t="inlineStr">
        <is>
          <t>팹리스/설계</t>
        </is>
      </c>
      <c r="H42" s="29" t="inlineStr">
        <is>
          <t>False</t>
        </is>
      </c>
      <c r="I42" s="29" t="inlineStr">
        <is>
          <t>True</t>
        </is>
      </c>
      <c r="J42" s="29" t="inlineStr">
        <is>
          <t>OK_LIMITED_HISTORY_OR_GROWTH_NA</t>
        </is>
      </c>
      <c r="K42" s="29" t="inlineStr">
        <is>
          <t>데이터 사용 가능</t>
        </is>
      </c>
      <c r="L42" s="29" t="inlineStr">
        <is>
          <t>LOW</t>
        </is>
      </c>
      <c r="M42" s="29" t="inlineStr">
        <is>
          <t>LOW</t>
        </is>
      </c>
      <c r="N42" s="29" t="inlineStr">
        <is>
          <t>0.4670707070707071</t>
        </is>
      </c>
      <c r="O42" s="29" t="inlineStr">
        <is>
          <t>FAIR</t>
        </is>
      </c>
      <c r="P42" s="29" t="inlineStr">
        <is>
          <t>FAIR</t>
        </is>
      </c>
      <c r="Q42" s="29" t="inlineStr">
        <is>
          <t>FAIR</t>
        </is>
      </c>
      <c r="R42" s="29" t="inlineStr">
        <is>
          <t>0.7962034217650586</t>
        </is>
      </c>
      <c r="S42" s="29" t="inlineStr">
        <is>
          <t>HIGH</t>
        </is>
      </c>
      <c r="T42" s="29" t="inlineStr">
        <is>
          <t>HIGH</t>
        </is>
      </c>
      <c r="U42" s="29" t="inlineStr">
        <is>
          <t>0.3571428571428571</t>
        </is>
      </c>
      <c r="V42" s="29" t="inlineStr">
        <is>
          <t>MEDIUM_RISK</t>
        </is>
      </c>
      <c r="W42" s="29" t="inlineStr">
        <is>
          <t>중위험</t>
        </is>
      </c>
      <c r="X42" s="29" t="inlineStr">
        <is>
          <t>MEDIUM_RISK</t>
        </is>
      </c>
      <c r="Y42" s="29" t="inlineStr">
        <is>
          <t>0.7381251250014311</t>
        </is>
      </c>
      <c r="Z42" s="29" t="inlineStr">
        <is>
          <t>HIGH</t>
        </is>
      </c>
      <c r="AA42" s="29" t="inlineStr">
        <is>
          <t>HIGH</t>
        </is>
      </c>
      <c r="AB42" s="29" t="inlineStr">
        <is>
          <t>0.06902922032160619</t>
        </is>
      </c>
      <c r="AC42" s="29" t="inlineStr">
        <is>
          <t>False</t>
        </is>
      </c>
      <c r="AD42" s="29" t="inlineStr">
        <is>
          <t>True</t>
        </is>
      </c>
      <c r="AE42" s="29" t="inlineStr">
        <is>
          <t>valuation_credit_ml_overlay_candidate.csv</t>
        </is>
      </c>
      <c r="AF42" s="29" t="inlineStr">
        <is>
          <t>208개 반도체 reference universe. Valuation Agent가 자체 intake 폴더로 복제해 Peer/ML/대시보드 비교에 사용.</t>
        </is>
      </c>
      <c r="AG42" s="29" t="inlineStr">
        <is>
          <t>SAME_PEER_GROUP</t>
        </is>
      </c>
      <c r="AH42" s="29" t="inlineStr">
        <is>
          <t>False</t>
        </is>
      </c>
    </row>
    <row r="43" ht="24" customHeight="1">
      <c r="A43" s="24" t="inlineStr">
        <is>
          <t>56</t>
        </is>
      </c>
      <c r="B43" s="24" t="inlineStr">
        <is>
          <t>해당 없음</t>
        </is>
      </c>
      <c r="C43" s="24" t="inlineStr">
        <is>
          <t>아이언디바이스</t>
        </is>
      </c>
      <c r="D43" s="24" t="inlineStr">
        <is>
          <t>464500</t>
        </is>
      </c>
      <c r="E43" s="24" t="inlineStr">
        <is>
          <t>KOSDAQ</t>
        </is>
      </c>
      <c r="F43" s="24" t="inlineStr">
        <is>
          <t>팹리스/설계</t>
        </is>
      </c>
      <c r="G43" s="24" t="inlineStr">
        <is>
          <t>팹리스/설계</t>
        </is>
      </c>
      <c r="H43" s="24" t="inlineStr">
        <is>
          <t>False</t>
        </is>
      </c>
      <c r="I43" s="24" t="inlineStr">
        <is>
          <t>True</t>
        </is>
      </c>
      <c r="J43" s="24" t="inlineStr">
        <is>
          <t>OK_LIMITED_HISTORY_OR_GROWTH_NA</t>
        </is>
      </c>
      <c r="K43" s="24" t="inlineStr">
        <is>
          <t>데이터 사용 가능</t>
        </is>
      </c>
      <c r="L43" s="24" t="inlineStr">
        <is>
          <t>LOW</t>
        </is>
      </c>
      <c r="M43" s="24" t="inlineStr">
        <is>
          <t>LOW</t>
        </is>
      </c>
      <c r="N43" s="24" t="inlineStr">
        <is>
          <t>0.4278787878787879</t>
        </is>
      </c>
      <c r="O43" s="24" t="inlineStr">
        <is>
          <t>FAIR</t>
        </is>
      </c>
      <c r="P43" s="24" t="inlineStr">
        <is>
          <t>FAIR</t>
        </is>
      </c>
      <c r="Q43" s="24" t="inlineStr">
        <is>
          <t>EXPENSIVE</t>
        </is>
      </c>
      <c r="R43" s="24" t="inlineStr">
        <is>
          <t>0.767854918982104</t>
        </is>
      </c>
      <c r="S43" s="24" t="inlineStr">
        <is>
          <t>HIGH</t>
        </is>
      </c>
      <c r="T43" s="24" t="inlineStr">
        <is>
          <t>HIGH</t>
        </is>
      </c>
      <c r="U43" s="24" t="inlineStr">
        <is>
          <t>0.5714285714285714</t>
        </is>
      </c>
      <c r="V43" s="24" t="inlineStr">
        <is>
          <t>HIGH_RISK</t>
        </is>
      </c>
      <c r="W43" s="24" t="inlineStr">
        <is>
          <t>고위험</t>
        </is>
      </c>
      <c r="X43" s="24" t="inlineStr">
        <is>
          <t>HIGH_RISK</t>
        </is>
      </c>
      <c r="Y43" s="24" t="inlineStr">
        <is>
          <t>0.9669454138137473</t>
        </is>
      </c>
      <c r="Z43" s="24" t="inlineStr">
        <is>
          <t>HIGH</t>
        </is>
      </c>
      <c r="AA43" s="24" t="inlineStr">
        <is>
          <t>HIGH</t>
        </is>
      </c>
      <c r="AB43" s="24" t="inlineStr">
        <is>
          <t>0.37904191381671964</t>
        </is>
      </c>
      <c r="AC43" s="24" t="inlineStr">
        <is>
          <t>True</t>
        </is>
      </c>
      <c r="AD43" s="24" t="inlineStr">
        <is>
          <t>True</t>
        </is>
      </c>
      <c r="AE43" s="24" t="inlineStr">
        <is>
          <t>valuation_credit_ml_overlay_candidate.csv</t>
        </is>
      </c>
      <c r="AF43" s="24" t="inlineStr">
        <is>
          <t>208개 반도체 reference universe. Valuation Agent가 자체 intake 폴더로 복제해 Peer/ML/대시보드 비교에 사용.</t>
        </is>
      </c>
      <c r="AG43" s="24" t="inlineStr">
        <is>
          <t>SAME_PEER_GROUP</t>
        </is>
      </c>
      <c r="AH43" s="24" t="inlineStr">
        <is>
          <t>False</t>
        </is>
      </c>
    </row>
    <row r="44" ht="24" customHeight="1">
      <c r="A44" s="29" t="inlineStr">
        <is>
          <t>148</t>
        </is>
      </c>
      <c r="B44" s="29" t="inlineStr">
        <is>
          <t>hansol</t>
        </is>
      </c>
      <c r="C44" s="29" t="inlineStr">
        <is>
          <t>한솔케미칼</t>
        </is>
      </c>
      <c r="D44" s="29" t="inlineStr">
        <is>
          <t>014680</t>
        </is>
      </c>
      <c r="E44" s="29" t="inlineStr">
        <is>
          <t>KOSPI</t>
        </is>
      </c>
      <c r="F44" s="29" t="inlineStr">
        <is>
          <t>소재</t>
        </is>
      </c>
      <c r="G44" s="29" t="inlineStr">
        <is>
          <t>소재</t>
        </is>
      </c>
      <c r="H44" s="29" t="inlineStr">
        <is>
          <t>True</t>
        </is>
      </c>
      <c r="I44" s="29" t="inlineStr">
        <is>
          <t>True</t>
        </is>
      </c>
      <c r="J44" s="29" t="inlineStr">
        <is>
          <t>OK</t>
        </is>
      </c>
      <c r="K44" s="29" t="inlineStr">
        <is>
          <t>데이터 사용 가능</t>
        </is>
      </c>
      <c r="L44" s="29" t="inlineStr">
        <is>
          <t>LOW</t>
        </is>
      </c>
      <c r="M44" s="29" t="inlineStr">
        <is>
          <t>LOW</t>
        </is>
      </c>
      <c r="N44" s="29" t="inlineStr">
        <is>
          <t>0.6330769230769231</t>
        </is>
      </c>
      <c r="O44" s="29" t="inlineStr">
        <is>
          <t>ATTRACTIVE</t>
        </is>
      </c>
      <c r="P44" s="29" t="inlineStr">
        <is>
          <t>가치 매력</t>
        </is>
      </c>
      <c r="Q44" s="29" t="inlineStr">
        <is>
          <t>ATTRACTIVE</t>
        </is>
      </c>
      <c r="R44" s="29" t="inlineStr">
        <is>
          <t>0.8364696976606926</t>
        </is>
      </c>
      <c r="S44" s="29" t="inlineStr">
        <is>
          <t>HIGH</t>
        </is>
      </c>
      <c r="T44" s="29" t="inlineStr">
        <is>
          <t>HIGH</t>
        </is>
      </c>
      <c r="U44" s="29" t="inlineStr">
        <is>
          <t>0.0</t>
        </is>
      </c>
      <c r="V44" s="29" t="inlineStr">
        <is>
          <t>LOW_RISK</t>
        </is>
      </c>
      <c r="W44" s="29" t="inlineStr">
        <is>
          <t>저위험</t>
        </is>
      </c>
      <c r="X44" s="29" t="inlineStr">
        <is>
          <t>LOW_RISK</t>
        </is>
      </c>
      <c r="Y44" s="29" t="inlineStr">
        <is>
          <t>0.9711543901439185</t>
        </is>
      </c>
      <c r="Z44" s="29" t="inlineStr">
        <is>
          <t>HIGH</t>
        </is>
      </c>
      <c r="AA44" s="29" t="inlineStr">
        <is>
          <t>HIGH</t>
        </is>
      </c>
      <c r="AB44" s="29" t="inlineStr">
        <is>
          <t>0.058190310497948615</t>
        </is>
      </c>
      <c r="AC44" s="29" t="inlineStr">
        <is>
          <t>False</t>
        </is>
      </c>
      <c r="AD44" s="29" t="inlineStr">
        <is>
          <t>False</t>
        </is>
      </c>
      <c r="AE44" s="29" t="inlineStr">
        <is>
          <t>valuation_credit_ml_overlay_candidate.csv</t>
        </is>
      </c>
      <c r="AF44" s="29" t="inlineStr">
        <is>
          <t>208개 반도체 reference universe. Valuation Agent가 자체 intake 폴더로 복제해 Peer/ML/대시보드 비교에 사용.</t>
        </is>
      </c>
      <c r="AG44" s="29" t="inlineStr">
        <is>
          <t>FOCAL_5</t>
        </is>
      </c>
      <c r="AH44" s="29" t="inlineStr">
        <is>
          <t>False</t>
        </is>
      </c>
    </row>
    <row r="45" ht="24" customHeight="1">
      <c r="A45" s="24" t="inlineStr">
        <is>
          <t>133</t>
        </is>
      </c>
      <c r="B45" s="24" t="inlineStr">
        <is>
          <t>ltc</t>
        </is>
      </c>
      <c r="C45" s="24" t="inlineStr">
        <is>
          <t>엘티씨</t>
        </is>
      </c>
      <c r="D45" s="24" t="inlineStr">
        <is>
          <t>170920</t>
        </is>
      </c>
      <c r="E45" s="24" t="inlineStr">
        <is>
          <t>KOSDAQ</t>
        </is>
      </c>
      <c r="F45" s="24" t="inlineStr">
        <is>
          <t>소재</t>
        </is>
      </c>
      <c r="G45" s="24" t="inlineStr">
        <is>
          <t>소재</t>
        </is>
      </c>
      <c r="H45" s="24" t="inlineStr">
        <is>
          <t>True</t>
        </is>
      </c>
      <c r="I45" s="24" t="inlineStr">
        <is>
          <t>True</t>
        </is>
      </c>
      <c r="J45" s="24" t="inlineStr">
        <is>
          <t>OK</t>
        </is>
      </c>
      <c r="K45" s="24" t="inlineStr">
        <is>
          <t>데이터 사용 가능</t>
        </is>
      </c>
      <c r="L45" s="24" t="inlineStr">
        <is>
          <t>LOW</t>
        </is>
      </c>
      <c r="M45" s="24" t="inlineStr">
        <is>
          <t>LOW</t>
        </is>
      </c>
      <c r="N45" s="24" t="inlineStr">
        <is>
          <t>0.5838461538461538</t>
        </is>
      </c>
      <c r="O45" s="24" t="inlineStr">
        <is>
          <t>FAIR</t>
        </is>
      </c>
      <c r="P45" s="24" t="inlineStr">
        <is>
          <t>FAIR</t>
        </is>
      </c>
      <c r="Q45" s="24" t="inlineStr">
        <is>
          <t>ATTRACTIVE</t>
        </is>
      </c>
      <c r="R45" s="24" t="inlineStr">
        <is>
          <t>0.6353016273848794</t>
        </is>
      </c>
      <c r="S45" s="24" t="inlineStr">
        <is>
          <t>MEDIUM</t>
        </is>
      </c>
      <c r="T45" s="24" t="inlineStr">
        <is>
          <t>MEDIUM</t>
        </is>
      </c>
      <c r="U45" s="24" t="inlineStr">
        <is>
          <t>0.0</t>
        </is>
      </c>
      <c r="V45" s="24" t="inlineStr">
        <is>
          <t>LOW_RISK</t>
        </is>
      </c>
      <c r="W45" s="24" t="inlineStr">
        <is>
          <t>저위험</t>
        </is>
      </c>
      <c r="X45" s="24" t="inlineStr">
        <is>
          <t>LOW_RISK</t>
        </is>
      </c>
      <c r="Y45" s="24" t="inlineStr">
        <is>
          <t>0.9205018564538214</t>
        </is>
      </c>
      <c r="Z45" s="24" t="inlineStr">
        <is>
          <t>HIGH</t>
        </is>
      </c>
      <c r="AA45" s="24" t="inlineStr">
        <is>
          <t>HIGH</t>
        </is>
      </c>
      <c r="AB45" s="24" t="inlineStr">
        <is>
          <t>0.0038993876391341673</t>
        </is>
      </c>
      <c r="AC45" s="24" t="inlineStr">
        <is>
          <t>False</t>
        </is>
      </c>
      <c r="AD45" s="24" t="inlineStr">
        <is>
          <t>False</t>
        </is>
      </c>
      <c r="AE45" s="24" t="inlineStr">
        <is>
          <t>valuation_credit_ml_overlay_candidate.csv</t>
        </is>
      </c>
      <c r="AF45" s="24" t="inlineStr">
        <is>
          <t>208개 반도체 reference universe. Valuation Agent가 자체 intake 폴더로 복제해 Peer/ML/대시보드 비교에 사용.</t>
        </is>
      </c>
      <c r="AG45" s="24" t="inlineStr">
        <is>
          <t>FOCAL_5</t>
        </is>
      </c>
      <c r="AH45" s="24" t="inlineStr">
        <is>
          <t>False</t>
        </is>
      </c>
    </row>
    <row r="46" ht="24" customHeight="1">
      <c r="A46" s="29" t="inlineStr">
        <is>
          <t>125</t>
        </is>
      </c>
      <c r="B46" s="29" t="inlineStr">
        <is>
          <t>duksan</t>
        </is>
      </c>
      <c r="C46" s="29" t="inlineStr">
        <is>
          <t>덕산테코피아</t>
        </is>
      </c>
      <c r="D46" s="29" t="inlineStr">
        <is>
          <t>317330</t>
        </is>
      </c>
      <c r="E46" s="29" t="inlineStr">
        <is>
          <t>KOSDAQ</t>
        </is>
      </c>
      <c r="F46" s="29" t="inlineStr">
        <is>
          <t>소재</t>
        </is>
      </c>
      <c r="G46" s="29" t="inlineStr">
        <is>
          <t>소재</t>
        </is>
      </c>
      <c r="H46" s="29" t="inlineStr">
        <is>
          <t>True</t>
        </is>
      </c>
      <c r="I46" s="29" t="inlineStr">
        <is>
          <t>True</t>
        </is>
      </c>
      <c r="J46" s="29" t="inlineStr">
        <is>
          <t>OK</t>
        </is>
      </c>
      <c r="K46" s="29" t="inlineStr">
        <is>
          <t>데이터 사용 가능</t>
        </is>
      </c>
      <c r="L46" s="29" t="inlineStr">
        <is>
          <t>LOW</t>
        </is>
      </c>
      <c r="M46" s="29" t="inlineStr">
        <is>
          <t>LOW</t>
        </is>
      </c>
      <c r="N46" s="29" t="inlineStr">
        <is>
          <t>0.251025641025641</t>
        </is>
      </c>
      <c r="O46" s="29" t="inlineStr">
        <is>
          <t>EXPENSIVE</t>
        </is>
      </c>
      <c r="P46" s="29" t="inlineStr">
        <is>
          <t>EXPENSIVE</t>
        </is>
      </c>
      <c r="Q46" s="29" t="inlineStr">
        <is>
          <t>EXPENSIVE</t>
        </is>
      </c>
      <c r="R46" s="29" t="inlineStr">
        <is>
          <t>0.9683283970250778</t>
        </is>
      </c>
      <c r="S46" s="29" t="inlineStr">
        <is>
          <t>HIGH</t>
        </is>
      </c>
      <c r="T46" s="29" t="inlineStr">
        <is>
          <t>HIGH</t>
        </is>
      </c>
      <c r="U46" s="29" t="inlineStr">
        <is>
          <t>0.7142857142857143</t>
        </is>
      </c>
      <c r="V46" s="29" t="inlineStr">
        <is>
          <t>HIGH_RISK</t>
        </is>
      </c>
      <c r="W46" s="29" t="inlineStr">
        <is>
          <t>고위험</t>
        </is>
      </c>
      <c r="X46" s="29" t="inlineStr">
        <is>
          <t>HIGH_RISK</t>
        </is>
      </c>
      <c r="Y46" s="29" t="inlineStr">
        <is>
          <t>0.9663044353705786</t>
        </is>
      </c>
      <c r="Z46" s="29" t="inlineStr">
        <is>
          <t>HIGH</t>
        </is>
      </c>
      <c r="AA46" s="29" t="inlineStr">
        <is>
          <t>HIGH</t>
        </is>
      </c>
      <c r="AB46" s="29" t="inlineStr">
        <is>
          <t>0.3843555232614074</t>
        </is>
      </c>
      <c r="AC46" s="29" t="inlineStr">
        <is>
          <t>True</t>
        </is>
      </c>
      <c r="AD46" s="29" t="inlineStr">
        <is>
          <t>True</t>
        </is>
      </c>
      <c r="AE46" s="29" t="inlineStr">
        <is>
          <t>valuation_credit_ml_overlay_candidate.csv</t>
        </is>
      </c>
      <c r="AF46" s="29" t="inlineStr">
        <is>
          <t>208개 반도체 reference universe. Valuation Agent가 자체 intake 폴더로 복제해 Peer/ML/대시보드 비교에 사용.</t>
        </is>
      </c>
      <c r="AG46" s="29" t="inlineStr">
        <is>
          <t>FOCAL_5</t>
        </is>
      </c>
      <c r="AH46" s="29" t="inlineStr">
        <is>
          <t>False</t>
        </is>
      </c>
    </row>
    <row r="47" ht="24" customHeight="1">
      <c r="A47" s="24" t="inlineStr">
        <is>
          <t>157</t>
        </is>
      </c>
      <c r="B47" s="24" t="inlineStr">
        <is>
          <t>nepes</t>
        </is>
      </c>
      <c r="C47" s="24" t="inlineStr">
        <is>
          <t>네패스</t>
        </is>
      </c>
      <c r="D47" s="24" t="inlineStr">
        <is>
          <t>033640</t>
        </is>
      </c>
      <c r="E47" s="24" t="inlineStr">
        <is>
          <t>KOSDAQ</t>
        </is>
      </c>
      <c r="F47" s="24" t="inlineStr">
        <is>
          <t>후공정/패키징/테스트</t>
        </is>
      </c>
      <c r="G47" s="24" t="inlineStr">
        <is>
          <t>후공정/패키징/테스트</t>
        </is>
      </c>
      <c r="H47" s="24" t="inlineStr">
        <is>
          <t>True</t>
        </is>
      </c>
      <c r="I47" s="24" t="inlineStr">
        <is>
          <t>True</t>
        </is>
      </c>
      <c r="J47" s="24" t="inlineStr">
        <is>
          <t>OK</t>
        </is>
      </c>
      <c r="K47" s="24" t="inlineStr">
        <is>
          <t>데이터 사용 가능</t>
        </is>
      </c>
      <c r="L47" s="24" t="inlineStr">
        <is>
          <t>LOW</t>
        </is>
      </c>
      <c r="M47" s="24" t="inlineStr">
        <is>
          <t>LOW</t>
        </is>
      </c>
      <c r="N47" s="24" t="inlineStr">
        <is>
          <t>0.6385185185185186</t>
        </is>
      </c>
      <c r="O47" s="24" t="inlineStr">
        <is>
          <t>ATTRACTIVE</t>
        </is>
      </c>
      <c r="P47" s="24" t="inlineStr">
        <is>
          <t>가치 매력</t>
        </is>
      </c>
      <c r="Q47" s="24" t="inlineStr">
        <is>
          <t>ATTRACTIVE</t>
        </is>
      </c>
      <c r="R47" s="24" t="inlineStr">
        <is>
          <t>0.8763685947958789</t>
        </is>
      </c>
      <c r="S47" s="24" t="inlineStr">
        <is>
          <t>HIGH</t>
        </is>
      </c>
      <c r="T47" s="24" t="inlineStr">
        <is>
          <t>HIGH</t>
        </is>
      </c>
      <c r="U47" s="24" t="inlineStr">
        <is>
          <t>0.2857142857142857</t>
        </is>
      </c>
      <c r="V47" s="24" t="inlineStr">
        <is>
          <t>MEDIUM_RISK</t>
        </is>
      </c>
      <c r="W47" s="24" t="inlineStr">
        <is>
          <t>중위험</t>
        </is>
      </c>
      <c r="X47" s="24" t="inlineStr">
        <is>
          <t>MEDIUM_RISK</t>
        </is>
      </c>
      <c r="Y47" s="24" t="inlineStr">
        <is>
          <t>0.5963458259503356</t>
        </is>
      </c>
      <c r="Z47" s="24" t="inlineStr">
        <is>
          <t>MEDIUM</t>
        </is>
      </c>
      <c r="AA47" s="24" t="inlineStr">
        <is>
          <t>MEDIUM</t>
        </is>
      </c>
      <c r="AB47" s="24" t="inlineStr">
        <is>
          <t>0.07896643996759804</t>
        </is>
      </c>
      <c r="AC47" s="24" t="inlineStr">
        <is>
          <t>False</t>
        </is>
      </c>
      <c r="AD47" s="24" t="inlineStr">
        <is>
          <t>False</t>
        </is>
      </c>
      <c r="AE47" s="24" t="inlineStr">
        <is>
          <t>valuation_credit_ml_overlay_candidate.csv</t>
        </is>
      </c>
      <c r="AF47" s="24" t="inlineStr">
        <is>
          <t>208개 반도체 reference universe. Valuation Agent가 자체 intake 폴더로 복제해 Peer/ML/대시보드 비교에 사용.</t>
        </is>
      </c>
      <c r="AG47" s="24" t="inlineStr">
        <is>
          <t>FOCAL_5</t>
        </is>
      </c>
      <c r="AH47" s="24" t="inlineStr">
        <is>
          <t>False</t>
        </is>
      </c>
    </row>
    <row r="48" ht="24" customHeight="1">
      <c r="A48" s="29" t="inlineStr">
        <is>
          <t>192</t>
        </is>
      </c>
      <c r="B48" s="29" t="inlineStr">
        <is>
          <t>hanmi</t>
        </is>
      </c>
      <c r="C48" s="29" t="inlineStr">
        <is>
          <t>한미반도체</t>
        </is>
      </c>
      <c r="D48" s="29" t="inlineStr">
        <is>
          <t>042700</t>
        </is>
      </c>
      <c r="E48" s="29" t="inlineStr">
        <is>
          <t>KOSPI</t>
        </is>
      </c>
      <c r="F48" s="29" t="inlineStr">
        <is>
          <t>후공정/패키징/테스트</t>
        </is>
      </c>
      <c r="G48" s="29" t="inlineStr">
        <is>
          <t>후공정/패키징/테스트</t>
        </is>
      </c>
      <c r="H48" s="29" t="inlineStr">
        <is>
          <t>True</t>
        </is>
      </c>
      <c r="I48" s="29" t="inlineStr">
        <is>
          <t>True</t>
        </is>
      </c>
      <c r="J48" s="29" t="inlineStr">
        <is>
          <t>OK</t>
        </is>
      </c>
      <c r="K48" s="29" t="inlineStr">
        <is>
          <t>데이터 사용 가능</t>
        </is>
      </c>
      <c r="L48" s="29" t="inlineStr">
        <is>
          <t>LOW</t>
        </is>
      </c>
      <c r="M48" s="29" t="inlineStr">
        <is>
          <t>LOW</t>
        </is>
      </c>
      <c r="N48" s="29" t="inlineStr">
        <is>
          <t>0.4712592592592592</t>
        </is>
      </c>
      <c r="O48" s="29" t="inlineStr">
        <is>
          <t>FAIR</t>
        </is>
      </c>
      <c r="P48" s="29" t="inlineStr">
        <is>
          <t>FAIR</t>
        </is>
      </c>
      <c r="Q48" s="29" t="inlineStr">
        <is>
          <t>FAIR</t>
        </is>
      </c>
      <c r="R48" s="29" t="inlineStr">
        <is>
          <t>0.618072727307107</t>
        </is>
      </c>
      <c r="S48" s="29" t="inlineStr">
        <is>
          <t>MEDIUM</t>
        </is>
      </c>
      <c r="T48" s="29" t="inlineStr">
        <is>
          <t>MEDIUM</t>
        </is>
      </c>
      <c r="U48" s="29" t="inlineStr">
        <is>
          <t>0.0</t>
        </is>
      </c>
      <c r="V48" s="29" t="inlineStr">
        <is>
          <t>LOW_RISK</t>
        </is>
      </c>
      <c r="W48" s="29" t="inlineStr">
        <is>
          <t>저위험</t>
        </is>
      </c>
      <c r="X48" s="29" t="inlineStr">
        <is>
          <t>LOW_RISK</t>
        </is>
      </c>
      <c r="Y48" s="29" t="inlineStr">
        <is>
          <t>0.9350232170644448</t>
        </is>
      </c>
      <c r="Z48" s="29" t="inlineStr">
        <is>
          <t>HIGH</t>
        </is>
      </c>
      <c r="AA48" s="29" t="inlineStr">
        <is>
          <t>HIGH</t>
        </is>
      </c>
      <c r="AB48" s="29" t="inlineStr">
        <is>
          <t>0.2707179947680644</t>
        </is>
      </c>
      <c r="AC48" s="29" t="inlineStr">
        <is>
          <t>True</t>
        </is>
      </c>
      <c r="AD48" s="29" t="inlineStr">
        <is>
          <t>True</t>
        </is>
      </c>
      <c r="AE48" s="29" t="inlineStr">
        <is>
          <t>valuation_credit_ml_overlay_candidate.csv</t>
        </is>
      </c>
      <c r="AF48" s="29" t="inlineStr">
        <is>
          <t>208개 반도체 reference universe. Valuation Agent가 자체 intake 폴더로 복제해 Peer/ML/대시보드 비교에 사용.</t>
        </is>
      </c>
      <c r="AG48" s="29" t="inlineStr">
        <is>
          <t>FOCAL_5</t>
        </is>
      </c>
      <c r="AH48" s="29" t="inlineStr">
        <is>
          <t>False</t>
        </is>
      </c>
    </row>
    <row r="49" ht="24" customHeight="1">
      <c r="A49" s="24" t="inlineStr">
        <is>
          <t>99</t>
        </is>
      </c>
      <c r="B49" s="24" t="inlineStr">
        <is>
          <t>해당 없음</t>
        </is>
      </c>
      <c r="C49" s="24" t="inlineStr">
        <is>
          <t>엔투텍</t>
        </is>
      </c>
      <c r="D49" s="24" t="inlineStr">
        <is>
          <t>227950</t>
        </is>
      </c>
      <c r="E49" s="24" t="inlineStr">
        <is>
          <t>KOSDAQ</t>
        </is>
      </c>
      <c r="F49" s="24" t="inlineStr">
        <is>
          <t>장비</t>
        </is>
      </c>
      <c r="G49" s="24" t="inlineStr">
        <is>
          <t>장비</t>
        </is>
      </c>
      <c r="H49" s="24" t="inlineStr">
        <is>
          <t>False</t>
        </is>
      </c>
      <c r="I49" s="24" t="inlineStr">
        <is>
          <t>True</t>
        </is>
      </c>
      <c r="J49" s="24" t="inlineStr">
        <is>
          <t>OK</t>
        </is>
      </c>
      <c r="K49" s="24" t="inlineStr">
        <is>
          <t>데이터 사용 가능</t>
        </is>
      </c>
      <c r="L49" s="24" t="inlineStr">
        <is>
          <t>LOW</t>
        </is>
      </c>
      <c r="M49" s="24" t="inlineStr">
        <is>
          <t>LOW</t>
        </is>
      </c>
      <c r="N49" s="24" t="inlineStr">
        <is>
          <t>0.8128666666666667</t>
        </is>
      </c>
      <c r="O49" s="24" t="inlineStr">
        <is>
          <t>ATTRACTIVE</t>
        </is>
      </c>
      <c r="P49" s="24" t="inlineStr">
        <is>
          <t>가치 매력</t>
        </is>
      </c>
      <c r="Q49" s="24" t="inlineStr">
        <is>
          <t>ATTRACTIVE</t>
        </is>
      </c>
      <c r="R49" s="24" t="inlineStr">
        <is>
          <t>0.8347222629406851</t>
        </is>
      </c>
      <c r="S49" s="24" t="inlineStr">
        <is>
          <t>HIGH</t>
        </is>
      </c>
      <c r="T49" s="24" t="inlineStr">
        <is>
          <t>HIGH</t>
        </is>
      </c>
      <c r="U49" s="24" t="inlineStr">
        <is>
          <t>0.2142857142857142</t>
        </is>
      </c>
      <c r="V49" s="24" t="inlineStr">
        <is>
          <t>MEDIUM_RISK</t>
        </is>
      </c>
      <c r="W49" s="24" t="inlineStr">
        <is>
          <t>중위험</t>
        </is>
      </c>
      <c r="X49" s="24" t="inlineStr">
        <is>
          <t>MEDIUM_RISK</t>
        </is>
      </c>
      <c r="Y49" s="24" t="inlineStr">
        <is>
          <t>0.5142933547274794</t>
        </is>
      </c>
      <c r="Z49" s="24" t="inlineStr">
        <is>
          <t>MEDIUM</t>
        </is>
      </c>
      <c r="AA49" s="24" t="inlineStr">
        <is>
          <t>MEDIUM</t>
        </is>
      </c>
      <c r="AB49" s="24" t="inlineStr">
        <is>
          <t>0.21193857896314997</t>
        </is>
      </c>
      <c r="AC49" s="24" t="inlineStr">
        <is>
          <t>False</t>
        </is>
      </c>
      <c r="AD49" s="24" t="inlineStr">
        <is>
          <t>False</t>
        </is>
      </c>
      <c r="AE49" s="24" t="inlineStr">
        <is>
          <t>valuation_credit_ml_overlay_candidate.csv</t>
        </is>
      </c>
      <c r="AF49" s="24" t="inlineStr">
        <is>
          <t>208개 반도체 reference universe. Valuation Agent가 자체 intake 폴더로 복제해 Peer/ML/대시보드 비교에 사용.</t>
        </is>
      </c>
      <c r="AG49" s="24" t="inlineStr">
        <is>
          <t>TOP_REFERENCE</t>
        </is>
      </c>
      <c r="AH49" s="24" t="inlineStr">
        <is>
          <t>False</t>
        </is>
      </c>
    </row>
    <row r="50" ht="24" customHeight="1">
      <c r="A50" s="29" t="inlineStr">
        <is>
          <t>168</t>
        </is>
      </c>
      <c r="B50" s="29" t="inlineStr">
        <is>
          <t>해당 없음</t>
        </is>
      </c>
      <c r="C50" s="29" t="inlineStr">
        <is>
          <t>성우테크론</t>
        </is>
      </c>
      <c r="D50" s="29" t="inlineStr">
        <is>
          <t>045300</t>
        </is>
      </c>
      <c r="E50" s="29" t="inlineStr">
        <is>
          <t>KOSDAQ</t>
        </is>
      </c>
      <c r="F50" s="29" t="inlineStr">
        <is>
          <t>후공정/패키징/테스트</t>
        </is>
      </c>
      <c r="G50" s="29" t="inlineStr">
        <is>
          <t>후공정/패키징/테스트</t>
        </is>
      </c>
      <c r="H50" s="29" t="inlineStr">
        <is>
          <t>False</t>
        </is>
      </c>
      <c r="I50" s="29" t="inlineStr">
        <is>
          <t>True</t>
        </is>
      </c>
      <c r="J50" s="29" t="inlineStr">
        <is>
          <t>OK</t>
        </is>
      </c>
      <c r="K50" s="29" t="inlineStr">
        <is>
          <t>데이터 사용 가능</t>
        </is>
      </c>
      <c r="L50" s="29" t="inlineStr">
        <is>
          <t>LOW</t>
        </is>
      </c>
      <c r="M50" s="29" t="inlineStr">
        <is>
          <t>LOW</t>
        </is>
      </c>
      <c r="N50" s="29" t="inlineStr">
        <is>
          <t>0.7764444444444445</t>
        </is>
      </c>
      <c r="O50" s="29" t="inlineStr">
        <is>
          <t>ATTRACTIVE</t>
        </is>
      </c>
      <c r="P50" s="29" t="inlineStr">
        <is>
          <t>가치 매력</t>
        </is>
      </c>
      <c r="Q50" s="29" t="inlineStr">
        <is>
          <t>ATTRACTIVE</t>
        </is>
      </c>
      <c r="R50" s="29" t="inlineStr">
        <is>
          <t>0.9526864248076319</t>
        </is>
      </c>
      <c r="S50" s="29" t="inlineStr">
        <is>
          <t>HIGH</t>
        </is>
      </c>
      <c r="T50" s="29" t="inlineStr">
        <is>
          <t>HIGH</t>
        </is>
      </c>
      <c r="U50" s="29" t="inlineStr">
        <is>
          <t>0.0714285714285714</t>
        </is>
      </c>
      <c r="V50" s="29" t="inlineStr">
        <is>
          <t>LOW_RISK</t>
        </is>
      </c>
      <c r="W50" s="29" t="inlineStr">
        <is>
          <t>저위험</t>
        </is>
      </c>
      <c r="X50" s="29" t="inlineStr">
        <is>
          <t>LOW_RISK</t>
        </is>
      </c>
      <c r="Y50" s="29" t="inlineStr">
        <is>
          <t>0.869939352370702</t>
        </is>
      </c>
      <c r="Z50" s="29" t="inlineStr">
        <is>
          <t>HIGH</t>
        </is>
      </c>
      <c r="AA50" s="29" t="inlineStr">
        <is>
          <t>HIGH</t>
        </is>
      </c>
      <c r="AB50" s="29" t="inlineStr">
        <is>
          <t>0.10286671144812394</t>
        </is>
      </c>
      <c r="AC50" s="29" t="inlineStr">
        <is>
          <t>False</t>
        </is>
      </c>
      <c r="AD50" s="29" t="inlineStr">
        <is>
          <t>False</t>
        </is>
      </c>
      <c r="AE50" s="29" t="inlineStr">
        <is>
          <t>valuation_credit_ml_overlay_candidate.csv</t>
        </is>
      </c>
      <c r="AF50" s="29" t="inlineStr">
        <is>
          <t>208개 반도체 reference universe. Valuation Agent가 자체 intake 폴더로 복제해 Peer/ML/대시보드 비교에 사용.</t>
        </is>
      </c>
      <c r="AG50" s="29" t="inlineStr">
        <is>
          <t>TOP_REFERENCE</t>
        </is>
      </c>
      <c r="AH50" s="29" t="inlineStr">
        <is>
          <t>False</t>
        </is>
      </c>
    </row>
    <row r="51" ht="24" customHeight="1">
      <c r="A51" s="24" t="inlineStr">
        <is>
          <t>165</t>
        </is>
      </c>
      <c r="B51" s="24" t="inlineStr">
        <is>
          <t>해당 없음</t>
        </is>
      </c>
      <c r="C51" s="24" t="inlineStr">
        <is>
          <t>미래산업</t>
        </is>
      </c>
      <c r="D51" s="24" t="inlineStr">
        <is>
          <t>025560</t>
        </is>
      </c>
      <c r="E51" s="24" t="inlineStr">
        <is>
          <t>KOSPI</t>
        </is>
      </c>
      <c r="F51" s="24" t="inlineStr">
        <is>
          <t>후공정/패키징/테스트</t>
        </is>
      </c>
      <c r="G51" s="24" t="inlineStr">
        <is>
          <t>후공정/패키징/테스트</t>
        </is>
      </c>
      <c r="H51" s="24" t="inlineStr">
        <is>
          <t>False</t>
        </is>
      </c>
      <c r="I51" s="24" t="inlineStr">
        <is>
          <t>True</t>
        </is>
      </c>
      <c r="J51" s="24" t="inlineStr">
        <is>
          <t>OK</t>
        </is>
      </c>
      <c r="K51" s="24" t="inlineStr">
        <is>
          <t>데이터 사용 가능</t>
        </is>
      </c>
      <c r="L51" s="24" t="inlineStr">
        <is>
          <t>LOW</t>
        </is>
      </c>
      <c r="M51" s="24" t="inlineStr">
        <is>
          <t>LOW</t>
        </is>
      </c>
      <c r="N51" s="24" t="inlineStr">
        <is>
          <t>0.7748148148148148</t>
        </is>
      </c>
      <c r="O51" s="24" t="inlineStr">
        <is>
          <t>FAIR</t>
        </is>
      </c>
      <c r="P51" s="24" t="inlineStr">
        <is>
          <t>FAIR</t>
        </is>
      </c>
      <c r="Q51" s="24" t="inlineStr">
        <is>
          <t>FAIR</t>
        </is>
      </c>
      <c r="R51" s="24" t="inlineStr">
        <is>
          <t>0.883291104654336</t>
        </is>
      </c>
      <c r="S51" s="24" t="inlineStr">
        <is>
          <t>HIGH</t>
        </is>
      </c>
      <c r="T51" s="24" t="inlineStr">
        <is>
          <t>HIGH</t>
        </is>
      </c>
      <c r="U51" s="24" t="inlineStr">
        <is>
          <t>0.2857142857142857</t>
        </is>
      </c>
      <c r="V51" s="24" t="inlineStr">
        <is>
          <t>MEDIUM_RISK</t>
        </is>
      </c>
      <c r="W51" s="24" t="inlineStr">
        <is>
          <t>중위험</t>
        </is>
      </c>
      <c r="X51" s="24" t="inlineStr">
        <is>
          <t>MEDIUM_RISK</t>
        </is>
      </c>
      <c r="Y51" s="24" t="inlineStr">
        <is>
          <t>0.695536763680257</t>
        </is>
      </c>
      <c r="Z51" s="24" t="inlineStr">
        <is>
          <t>MEDIUM</t>
        </is>
      </c>
      <c r="AA51" s="24" t="inlineStr">
        <is>
          <t>MEDIUM</t>
        </is>
      </c>
      <c r="AB51" s="24" t="inlineStr">
        <is>
          <t>0.08100242357773374</t>
        </is>
      </c>
      <c r="AC51" s="24" t="inlineStr">
        <is>
          <t>False</t>
        </is>
      </c>
      <c r="AD51" s="24" t="inlineStr">
        <is>
          <t>False</t>
        </is>
      </c>
      <c r="AE51" s="24" t="inlineStr">
        <is>
          <t>valuation_credit_ml_overlay_candidate.csv</t>
        </is>
      </c>
      <c r="AF51" s="24" t="inlineStr">
        <is>
          <t>208개 반도체 reference universe. Valuation Agent가 자체 intake 폴더로 복제해 Peer/ML/대시보드 비교에 사용.</t>
        </is>
      </c>
      <c r="AG51" s="24" t="inlineStr">
        <is>
          <t>TOP_REFERENCE</t>
        </is>
      </c>
      <c r="AH51" s="24" t="inlineStr">
        <is>
          <t>False</t>
        </is>
      </c>
    </row>
    <row r="52" ht="24" customHeight="1">
      <c r="A52" s="29" t="inlineStr">
        <is>
          <t>10</t>
        </is>
      </c>
      <c r="B52" s="29" t="inlineStr">
        <is>
          <t>해당 없음</t>
        </is>
      </c>
      <c r="C52" s="29" t="inlineStr">
        <is>
          <t>미코</t>
        </is>
      </c>
      <c r="D52" s="29" t="inlineStr">
        <is>
          <t>059090</t>
        </is>
      </c>
      <c r="E52" s="29" t="inlineStr">
        <is>
          <t>KOSDAQ</t>
        </is>
      </c>
      <c r="F52" s="29" t="inlineStr">
        <is>
          <t>IDM/제조/메모리</t>
        </is>
      </c>
      <c r="G52" s="29" t="inlineStr">
        <is>
          <t>IDM/제조/메모리</t>
        </is>
      </c>
      <c r="H52" s="29" t="inlineStr">
        <is>
          <t>False</t>
        </is>
      </c>
      <c r="I52" s="29" t="inlineStr">
        <is>
          <t>True</t>
        </is>
      </c>
      <c r="J52" s="29" t="inlineStr">
        <is>
          <t>OK</t>
        </is>
      </c>
      <c r="K52" s="29" t="inlineStr">
        <is>
          <t>데이터 사용 가능</t>
        </is>
      </c>
      <c r="L52" s="29" t="inlineStr">
        <is>
          <t>LOW</t>
        </is>
      </c>
      <c r="M52" s="29" t="inlineStr">
        <is>
          <t>LOW</t>
        </is>
      </c>
      <c r="N52" s="29" t="inlineStr">
        <is>
          <t>0.7733333333333334</t>
        </is>
      </c>
      <c r="O52" s="29" t="inlineStr">
        <is>
          <t>FAIR</t>
        </is>
      </c>
      <c r="P52" s="29" t="inlineStr">
        <is>
          <t>FAIR</t>
        </is>
      </c>
      <c r="Q52" s="29" t="inlineStr">
        <is>
          <t>FAIR</t>
        </is>
      </c>
      <c r="R52" s="29" t="inlineStr">
        <is>
          <t>0.9066669659525092</t>
        </is>
      </c>
      <c r="S52" s="29" t="inlineStr">
        <is>
          <t>HIGH</t>
        </is>
      </c>
      <c r="T52" s="29" t="inlineStr">
        <is>
          <t>HIGH</t>
        </is>
      </c>
      <c r="U52" s="29" t="inlineStr">
        <is>
          <t>0.2142857142857142</t>
        </is>
      </c>
      <c r="V52" s="29" t="inlineStr">
        <is>
          <t>MEDIUM_RISK</t>
        </is>
      </c>
      <c r="W52" s="29" t="inlineStr">
        <is>
          <t>중위험</t>
        </is>
      </c>
      <c r="X52" s="29" t="inlineStr">
        <is>
          <t>MEDIUM_RISK</t>
        </is>
      </c>
      <c r="Y52" s="29" t="inlineStr">
        <is>
          <t>0.6769145960065608</t>
        </is>
      </c>
      <c r="Z52" s="29" t="inlineStr">
        <is>
          <t>MEDIUM</t>
        </is>
      </c>
      <c r="AA52" s="29" t="inlineStr">
        <is>
          <t>MEDIUM</t>
        </is>
      </c>
      <c r="AB52" s="29" t="inlineStr">
        <is>
          <t>0.10646038380774528</t>
        </is>
      </c>
      <c r="AC52" s="29" t="inlineStr">
        <is>
          <t>False</t>
        </is>
      </c>
      <c r="AD52" s="29" t="inlineStr">
        <is>
          <t>False</t>
        </is>
      </c>
      <c r="AE52" s="29" t="inlineStr">
        <is>
          <t>valuation_credit_ml_overlay_candidate.csv</t>
        </is>
      </c>
      <c r="AF52" s="29" t="inlineStr">
        <is>
          <t>208개 반도체 reference universe. Valuation Agent가 자체 intake 폴더로 복제해 Peer/ML/대시보드 비교에 사용.</t>
        </is>
      </c>
      <c r="AG52" s="29" t="inlineStr">
        <is>
          <t>TOP_REFERENCE</t>
        </is>
      </c>
      <c r="AH52" s="29" t="inlineStr">
        <is>
          <t>False</t>
        </is>
      </c>
    </row>
    <row r="53" ht="24" customHeight="1">
      <c r="A53" s="24" t="inlineStr">
        <is>
          <t>163</t>
        </is>
      </c>
      <c r="B53" s="24" t="inlineStr">
        <is>
          <t>해당 없음</t>
        </is>
      </c>
      <c r="C53" s="24" t="inlineStr">
        <is>
          <t>링크제니시스</t>
        </is>
      </c>
      <c r="D53" s="24" t="inlineStr">
        <is>
          <t>219420</t>
        </is>
      </c>
      <c r="E53" s="24" t="inlineStr">
        <is>
          <t>KOSDAQ</t>
        </is>
      </c>
      <c r="F53" s="24" t="inlineStr">
        <is>
          <t>후공정/패키징/테스트</t>
        </is>
      </c>
      <c r="G53" s="24" t="inlineStr">
        <is>
          <t>후공정/패키징/테스트</t>
        </is>
      </c>
      <c r="H53" s="24" t="inlineStr">
        <is>
          <t>False</t>
        </is>
      </c>
      <c r="I53" s="24" t="inlineStr">
        <is>
          <t>True</t>
        </is>
      </c>
      <c r="J53" s="24" t="inlineStr">
        <is>
          <t>OK</t>
        </is>
      </c>
      <c r="K53" s="24" t="inlineStr">
        <is>
          <t>데이터 사용 가능</t>
        </is>
      </c>
      <c r="L53" s="24" t="inlineStr">
        <is>
          <t>LOW</t>
        </is>
      </c>
      <c r="M53" s="24" t="inlineStr">
        <is>
          <t>LOW</t>
        </is>
      </c>
      <c r="N53" s="24" t="inlineStr">
        <is>
          <t>0.7522962962962964</t>
        </is>
      </c>
      <c r="O53" s="24" t="inlineStr">
        <is>
          <t>ATTRACTIVE</t>
        </is>
      </c>
      <c r="P53" s="24" t="inlineStr">
        <is>
          <t>가치 매력</t>
        </is>
      </c>
      <c r="Q53" s="24" t="inlineStr">
        <is>
          <t>ATTRACTIVE</t>
        </is>
      </c>
      <c r="R53" s="24" t="inlineStr">
        <is>
          <t>0.8724992666433111</t>
        </is>
      </c>
      <c r="S53" s="24" t="inlineStr">
        <is>
          <t>HIGH</t>
        </is>
      </c>
      <c r="T53" s="24" t="inlineStr">
        <is>
          <t>HIGH</t>
        </is>
      </c>
      <c r="U53" s="24" t="inlineStr">
        <is>
          <t>0.0714285714285714</t>
        </is>
      </c>
      <c r="V53" s="24" t="inlineStr">
        <is>
          <t>LOW_RISK</t>
        </is>
      </c>
      <c r="W53" s="24" t="inlineStr">
        <is>
          <t>저위험</t>
        </is>
      </c>
      <c r="X53" s="24" t="inlineStr">
        <is>
          <t>LOW_RISK</t>
        </is>
      </c>
      <c r="Y53" s="24" t="inlineStr">
        <is>
          <t>0.8663667518810074</t>
        </is>
      </c>
      <c r="Z53" s="24" t="inlineStr">
        <is>
          <t>HIGH</t>
        </is>
      </c>
      <c r="AA53" s="24" t="inlineStr">
        <is>
          <t>HIGH</t>
        </is>
      </c>
      <c r="AB53" s="24" t="inlineStr">
        <is>
          <t>0.1247344063934745</t>
        </is>
      </c>
      <c r="AC53" s="24" t="inlineStr">
        <is>
          <t>False</t>
        </is>
      </c>
      <c r="AD53" s="24" t="inlineStr">
        <is>
          <t>False</t>
        </is>
      </c>
      <c r="AE53" s="24" t="inlineStr">
        <is>
          <t>valuation_credit_ml_overlay_candidate.csv</t>
        </is>
      </c>
      <c r="AF53" s="24" t="inlineStr">
        <is>
          <t>208개 반도체 reference universe. Valuation Agent가 자체 intake 폴더로 복제해 Peer/ML/대시보드 비교에 사용.</t>
        </is>
      </c>
      <c r="AG53" s="24" t="inlineStr">
        <is>
          <t>TOP_REFERENCE</t>
        </is>
      </c>
      <c r="AH53" s="24" t="inlineStr">
        <is>
          <t>False</t>
        </is>
      </c>
    </row>
    <row r="54" ht="24" customHeight="1">
      <c r="A54" s="29" t="inlineStr">
        <is>
          <t>22</t>
        </is>
      </c>
      <c r="B54" s="29" t="inlineStr">
        <is>
          <t>해당 없음</t>
        </is>
      </c>
      <c r="C54" s="29" t="inlineStr">
        <is>
          <t>엘디티</t>
        </is>
      </c>
      <c r="D54" s="29" t="inlineStr">
        <is>
          <t>096870</t>
        </is>
      </c>
      <c r="E54" s="29" t="inlineStr">
        <is>
          <t>KOSDAQ</t>
        </is>
      </c>
      <c r="F54" s="29" t="inlineStr">
        <is>
          <t>IDM/제조/메모리</t>
        </is>
      </c>
      <c r="G54" s="29" t="inlineStr">
        <is>
          <t>IDM/제조/메모리</t>
        </is>
      </c>
      <c r="H54" s="29" t="inlineStr">
        <is>
          <t>False</t>
        </is>
      </c>
      <c r="I54" s="29" t="inlineStr">
        <is>
          <t>True</t>
        </is>
      </c>
      <c r="J54" s="29" t="inlineStr">
        <is>
          <t>OK</t>
        </is>
      </c>
      <c r="K54" s="29" t="inlineStr">
        <is>
          <t>데이터 사용 가능</t>
        </is>
      </c>
      <c r="L54" s="29" t="inlineStr">
        <is>
          <t>LOW</t>
        </is>
      </c>
      <c r="M54" s="29" t="inlineStr">
        <is>
          <t>LOW</t>
        </is>
      </c>
      <c r="N54" s="29" t="inlineStr">
        <is>
          <t>0.7518333333333332</t>
        </is>
      </c>
      <c r="O54" s="29" t="inlineStr">
        <is>
          <t>ATTRACTIVE</t>
        </is>
      </c>
      <c r="P54" s="29" t="inlineStr">
        <is>
          <t>가치 매력</t>
        </is>
      </c>
      <c r="Q54" s="29" t="inlineStr">
        <is>
          <t>ATTRACTIVE</t>
        </is>
      </c>
      <c r="R54" s="29" t="inlineStr">
        <is>
          <t>0.8817908899004964</t>
        </is>
      </c>
      <c r="S54" s="29" t="inlineStr">
        <is>
          <t>HIGH</t>
        </is>
      </c>
      <c r="T54" s="29" t="inlineStr">
        <is>
          <t>HIGH</t>
        </is>
      </c>
      <c r="U54" s="29" t="inlineStr">
        <is>
          <t>0.0714285714285714</t>
        </is>
      </c>
      <c r="V54" s="29" t="inlineStr">
        <is>
          <t>LOW_RISK</t>
        </is>
      </c>
      <c r="W54" s="29" t="inlineStr">
        <is>
          <t>저위험</t>
        </is>
      </c>
      <c r="X54" s="29" t="inlineStr">
        <is>
          <t>LOW_RISK</t>
        </is>
      </c>
      <c r="Y54" s="29" t="inlineStr">
        <is>
          <t>0.8068970516192283</t>
        </is>
      </c>
      <c r="Z54" s="29" t="inlineStr">
        <is>
          <t>HIGH</t>
        </is>
      </c>
      <c r="AA54" s="29" t="inlineStr">
        <is>
          <t>HIGH</t>
        </is>
      </c>
      <c r="AB54" s="29" t="inlineStr">
        <is>
          <t>0.2312715560027526</t>
        </is>
      </c>
      <c r="AC54" s="29" t="inlineStr">
        <is>
          <t>False</t>
        </is>
      </c>
      <c r="AD54" s="29" t="inlineStr">
        <is>
          <t>False</t>
        </is>
      </c>
      <c r="AE54" s="29" t="inlineStr">
        <is>
          <t>valuation_credit_ml_overlay_candidate.csv</t>
        </is>
      </c>
      <c r="AF54" s="29" t="inlineStr">
        <is>
          <t>208개 반도체 reference universe. Valuation Agent가 자체 intake 폴더로 복제해 Peer/ML/대시보드 비교에 사용.</t>
        </is>
      </c>
      <c r="AG54" s="29" t="inlineStr">
        <is>
          <t>TOP_REFERENCE</t>
        </is>
      </c>
      <c r="AH54" s="29" t="inlineStr">
        <is>
          <t>False</t>
        </is>
      </c>
    </row>
    <row r="55" ht="24" customHeight="1">
      <c r="A55" s="24" t="inlineStr">
        <is>
          <t>9</t>
        </is>
      </c>
      <c r="B55" s="24" t="inlineStr">
        <is>
          <t>해당 없음</t>
        </is>
      </c>
      <c r="C55" s="24" t="inlineStr">
        <is>
          <t>메카로</t>
        </is>
      </c>
      <c r="D55" s="24" t="inlineStr">
        <is>
          <t>241770</t>
        </is>
      </c>
      <c r="E55" s="24" t="inlineStr">
        <is>
          <t>KOSDAQ</t>
        </is>
      </c>
      <c r="F55" s="24" t="inlineStr">
        <is>
          <t>IDM/제조/메모리</t>
        </is>
      </c>
      <c r="G55" s="24" t="inlineStr">
        <is>
          <t>IDM/제조/메모리</t>
        </is>
      </c>
      <c r="H55" s="24" t="inlineStr">
        <is>
          <t>False</t>
        </is>
      </c>
      <c r="I55" s="24" t="inlineStr">
        <is>
          <t>True</t>
        </is>
      </c>
      <c r="J55" s="24" t="inlineStr">
        <is>
          <t>OK</t>
        </is>
      </c>
      <c r="K55" s="24" t="inlineStr">
        <is>
          <t>데이터 사용 가능</t>
        </is>
      </c>
      <c r="L55" s="24" t="inlineStr">
        <is>
          <t>LOW</t>
        </is>
      </c>
      <c r="M55" s="24" t="inlineStr">
        <is>
          <t>LOW</t>
        </is>
      </c>
      <c r="N55" s="24" t="inlineStr">
        <is>
          <t>0.7476666666666667</t>
        </is>
      </c>
      <c r="O55" s="24" t="inlineStr">
        <is>
          <t>ATTRACTIVE</t>
        </is>
      </c>
      <c r="P55" s="24" t="inlineStr">
        <is>
          <t>가치 매력</t>
        </is>
      </c>
      <c r="Q55" s="24" t="inlineStr">
        <is>
          <t>ATTRACTIVE</t>
        </is>
      </c>
      <c r="R55" s="24" t="inlineStr">
        <is>
          <t>0.9154158498128573</t>
        </is>
      </c>
      <c r="S55" s="24" t="inlineStr">
        <is>
          <t>HIGH</t>
        </is>
      </c>
      <c r="T55" s="24" t="inlineStr">
        <is>
          <t>HIGH</t>
        </is>
      </c>
      <c r="U55" s="24" t="inlineStr">
        <is>
          <t>0.0</t>
        </is>
      </c>
      <c r="V55" s="24" t="inlineStr">
        <is>
          <t>LOW_RISK</t>
        </is>
      </c>
      <c r="W55" s="24" t="inlineStr">
        <is>
          <t>저위험</t>
        </is>
      </c>
      <c r="X55" s="24" t="inlineStr">
        <is>
          <t>LOW_RISK</t>
        </is>
      </c>
      <c r="Y55" s="24" t="inlineStr">
        <is>
          <t>0.9196609311939408</t>
        </is>
      </c>
      <c r="Z55" s="24" t="inlineStr">
        <is>
          <t>HIGH</t>
        </is>
      </c>
      <c r="AA55" s="24" t="inlineStr">
        <is>
          <t>HIGH</t>
        </is>
      </c>
      <c r="AB55" s="24" t="inlineStr">
        <is>
          <t>0.12775877727770685</t>
        </is>
      </c>
      <c r="AC55" s="24" t="inlineStr">
        <is>
          <t>False</t>
        </is>
      </c>
      <c r="AD55" s="24" t="inlineStr">
        <is>
          <t>False</t>
        </is>
      </c>
      <c r="AE55" s="24" t="inlineStr">
        <is>
          <t>valuation_credit_ml_overlay_candidate.csv</t>
        </is>
      </c>
      <c r="AF55" s="24" t="inlineStr">
        <is>
          <t>208개 반도체 reference universe. Valuation Agent가 자체 intake 폴더로 복제해 Peer/ML/대시보드 비교에 사용.</t>
        </is>
      </c>
      <c r="AG55" s="24" t="inlineStr">
        <is>
          <t>TOP_REFERENCE</t>
        </is>
      </c>
      <c r="AH55" s="24" t="inlineStr">
        <is>
          <t>False</t>
        </is>
      </c>
    </row>
    <row r="56" ht="24" customHeight="1">
      <c r="A56" s="29" t="inlineStr">
        <is>
          <t>139</t>
        </is>
      </c>
      <c r="B56" s="29" t="inlineStr">
        <is>
          <t>해당 없음</t>
        </is>
      </c>
      <c r="C56" s="29" t="inlineStr">
        <is>
          <t>월덱스</t>
        </is>
      </c>
      <c r="D56" s="29" t="inlineStr">
        <is>
          <t>101160</t>
        </is>
      </c>
      <c r="E56" s="29" t="inlineStr">
        <is>
          <t>KOSDAQ</t>
        </is>
      </c>
      <c r="F56" s="29" t="inlineStr">
        <is>
          <t>소재</t>
        </is>
      </c>
      <c r="G56" s="29" t="inlineStr">
        <is>
          <t>소재</t>
        </is>
      </c>
      <c r="H56" s="29" t="inlineStr">
        <is>
          <t>False</t>
        </is>
      </c>
      <c r="I56" s="29" t="inlineStr">
        <is>
          <t>True</t>
        </is>
      </c>
      <c r="J56" s="29" t="inlineStr">
        <is>
          <t>OK</t>
        </is>
      </c>
      <c r="K56" s="29" t="inlineStr">
        <is>
          <t>데이터 사용 가능</t>
        </is>
      </c>
      <c r="L56" s="29" t="inlineStr">
        <is>
          <t>LOW</t>
        </is>
      </c>
      <c r="M56" s="29" t="inlineStr">
        <is>
          <t>LOW</t>
        </is>
      </c>
      <c r="N56" s="29" t="inlineStr">
        <is>
          <t>0.745897435897436</t>
        </is>
      </c>
      <c r="O56" s="29" t="inlineStr">
        <is>
          <t>ATTRACTIVE</t>
        </is>
      </c>
      <c r="P56" s="29" t="inlineStr">
        <is>
          <t>가치 매력</t>
        </is>
      </c>
      <c r="Q56" s="29" t="inlineStr">
        <is>
          <t>ATTRACTIVE</t>
        </is>
      </c>
      <c r="R56" s="29" t="inlineStr">
        <is>
          <t>0.9476922450763601</t>
        </is>
      </c>
      <c r="S56" s="29" t="inlineStr">
        <is>
          <t>HIGH</t>
        </is>
      </c>
      <c r="T56" s="29" t="inlineStr">
        <is>
          <t>HIGH</t>
        </is>
      </c>
      <c r="U56" s="29" t="inlineStr">
        <is>
          <t>0.0</t>
        </is>
      </c>
      <c r="V56" s="29" t="inlineStr">
        <is>
          <t>LOW_RISK</t>
        </is>
      </c>
      <c r="W56" s="29" t="inlineStr">
        <is>
          <t>저위험</t>
        </is>
      </c>
      <c r="X56" s="29" t="inlineStr">
        <is>
          <t>LOW_RISK</t>
        </is>
      </c>
      <c r="Y56" s="29" t="inlineStr">
        <is>
          <t>0.9681016473230849</t>
        </is>
      </c>
      <c r="Z56" s="29" t="inlineStr">
        <is>
          <t>HIGH</t>
        </is>
      </c>
      <c r="AA56" s="29" t="inlineStr">
        <is>
          <t>HIGH</t>
        </is>
      </c>
      <c r="AB56" s="29" t="inlineStr">
        <is>
          <t>0.15527064195126172</t>
        </is>
      </c>
      <c r="AC56" s="29" t="inlineStr">
        <is>
          <t>False</t>
        </is>
      </c>
      <c r="AD56" s="29" t="inlineStr">
        <is>
          <t>False</t>
        </is>
      </c>
      <c r="AE56" s="29" t="inlineStr">
        <is>
          <t>valuation_credit_ml_overlay_candidate.csv</t>
        </is>
      </c>
      <c r="AF56" s="29" t="inlineStr">
        <is>
          <t>208개 반도체 reference universe. Valuation Agent가 자체 intake 폴더로 복제해 Peer/ML/대시보드 비교에 사용.</t>
        </is>
      </c>
      <c r="AG56" s="29" t="inlineStr">
        <is>
          <t>TOP_REFERENCE</t>
        </is>
      </c>
      <c r="AH56" s="29" t="inlineStr">
        <is>
          <t>False</t>
        </is>
      </c>
    </row>
    <row r="57" ht="24" customHeight="1">
      <c r="A57" s="24" t="inlineStr">
        <is>
          <t>147</t>
        </is>
      </c>
      <c r="B57" s="24" t="inlineStr">
        <is>
          <t>해당 없음</t>
        </is>
      </c>
      <c r="C57" s="24" t="inlineStr">
        <is>
          <t>퓨릿</t>
        </is>
      </c>
      <c r="D57" s="24" t="inlineStr">
        <is>
          <t>445180</t>
        </is>
      </c>
      <c r="E57" s="24" t="inlineStr">
        <is>
          <t>KOSDAQ</t>
        </is>
      </c>
      <c r="F57" s="24" t="inlineStr">
        <is>
          <t>소재</t>
        </is>
      </c>
      <c r="G57" s="24" t="inlineStr">
        <is>
          <t>소재</t>
        </is>
      </c>
      <c r="H57" s="24" t="inlineStr">
        <is>
          <t>False</t>
        </is>
      </c>
      <c r="I57" s="24" t="inlineStr">
        <is>
          <t>True</t>
        </is>
      </c>
      <c r="J57" s="24" t="inlineStr">
        <is>
          <t>OK_LIMITED_HISTORY_OR_GROWTH_NA</t>
        </is>
      </c>
      <c r="K57" s="24" t="inlineStr">
        <is>
          <t>데이터 사용 가능</t>
        </is>
      </c>
      <c r="L57" s="24" t="inlineStr">
        <is>
          <t>LOW</t>
        </is>
      </c>
      <c r="M57" s="24" t="inlineStr">
        <is>
          <t>LOW</t>
        </is>
      </c>
      <c r="N57" s="24" t="inlineStr">
        <is>
          <t>0.7448717948717948</t>
        </is>
      </c>
      <c r="O57" s="24" t="inlineStr">
        <is>
          <t>ATTRACTIVE</t>
        </is>
      </c>
      <c r="P57" s="24" t="inlineStr">
        <is>
          <t>가치 매력</t>
        </is>
      </c>
      <c r="Q57" s="24" t="inlineStr">
        <is>
          <t>ATTRACTIVE</t>
        </is>
      </c>
      <c r="R57" s="24" t="inlineStr">
        <is>
          <t>0.8817607106455689</t>
        </is>
      </c>
      <c r="S57" s="24" t="inlineStr">
        <is>
          <t>HIGH</t>
        </is>
      </c>
      <c r="T57" s="24" t="inlineStr">
        <is>
          <t>HIGH</t>
        </is>
      </c>
      <c r="U57" s="24" t="inlineStr">
        <is>
          <t>0.0714285714285714</t>
        </is>
      </c>
      <c r="V57" s="24" t="inlineStr">
        <is>
          <t>LOW_RISK</t>
        </is>
      </c>
      <c r="W57" s="24" t="inlineStr">
        <is>
          <t>저위험</t>
        </is>
      </c>
      <c r="X57" s="24" t="inlineStr">
        <is>
          <t>LOW_RISK</t>
        </is>
      </c>
      <c r="Y57" s="24" t="inlineStr">
        <is>
          <t>0.9587686707140917</t>
        </is>
      </c>
      <c r="Z57" s="24" t="inlineStr">
        <is>
          <t>HIGH</t>
        </is>
      </c>
      <c r="AA57" s="24" t="inlineStr">
        <is>
          <t>HIGH</t>
        </is>
      </c>
      <c r="AB57" s="24" t="inlineStr">
        <is>
          <t>0.09055441585311619</t>
        </is>
      </c>
      <c r="AC57" s="24" t="inlineStr">
        <is>
          <t>False</t>
        </is>
      </c>
      <c r="AD57" s="24" t="inlineStr">
        <is>
          <t>True</t>
        </is>
      </c>
      <c r="AE57" s="24" t="inlineStr">
        <is>
          <t>valuation_credit_ml_overlay_candidate.csv</t>
        </is>
      </c>
      <c r="AF57" s="24" t="inlineStr">
        <is>
          <t>208개 반도체 reference universe. Valuation Agent가 자체 intake 폴더로 복제해 Peer/ML/대시보드 비교에 사용.</t>
        </is>
      </c>
      <c r="AG57" s="24" t="inlineStr">
        <is>
          <t>TOP_REFERENCE</t>
        </is>
      </c>
      <c r="AH57" s="24" t="inlineStr">
        <is>
          <t>False</t>
        </is>
      </c>
    </row>
    <row r="58" ht="24" customHeight="1">
      <c r="A58" s="29" t="inlineStr">
        <is>
          <t>189</t>
        </is>
      </c>
      <c r="B58" s="29" t="inlineStr">
        <is>
          <t>해당 없음</t>
        </is>
      </c>
      <c r="C58" s="29" t="inlineStr">
        <is>
          <t>프로텍</t>
        </is>
      </c>
      <c r="D58" s="29" t="inlineStr">
        <is>
          <t>053610</t>
        </is>
      </c>
      <c r="E58" s="29" t="inlineStr">
        <is>
          <t>KOSDAQ</t>
        </is>
      </c>
      <c r="F58" s="29" t="inlineStr">
        <is>
          <t>후공정/패키징/테스트</t>
        </is>
      </c>
      <c r="G58" s="29" t="inlineStr">
        <is>
          <t>후공정/패키징/테스트</t>
        </is>
      </c>
      <c r="H58" s="29" t="inlineStr">
        <is>
          <t>False</t>
        </is>
      </c>
      <c r="I58" s="29" t="inlineStr">
        <is>
          <t>True</t>
        </is>
      </c>
      <c r="J58" s="29" t="inlineStr">
        <is>
          <t>OK</t>
        </is>
      </c>
      <c r="K58" s="29" t="inlineStr">
        <is>
          <t>데이터 사용 가능</t>
        </is>
      </c>
      <c r="L58" s="29" t="inlineStr">
        <is>
          <t>LOW</t>
        </is>
      </c>
      <c r="M58" s="29" t="inlineStr">
        <is>
          <t>LOW</t>
        </is>
      </c>
      <c r="N58" s="29" t="inlineStr">
        <is>
          <t>0.7342222222222222</t>
        </is>
      </c>
      <c r="O58" s="29" t="inlineStr">
        <is>
          <t>FAIR</t>
        </is>
      </c>
      <c r="P58" s="29" t="inlineStr">
        <is>
          <t>FAIR</t>
        </is>
      </c>
      <c r="Q58" s="29" t="inlineStr">
        <is>
          <t>FAIR</t>
        </is>
      </c>
      <c r="R58" s="29" t="inlineStr">
        <is>
          <t>0.8971257561900263</t>
        </is>
      </c>
      <c r="S58" s="29" t="inlineStr">
        <is>
          <t>HIGH</t>
        </is>
      </c>
      <c r="T58" s="29" t="inlineStr">
        <is>
          <t>HIGH</t>
        </is>
      </c>
      <c r="U58" s="29" t="inlineStr">
        <is>
          <t>0.0714285714285714</t>
        </is>
      </c>
      <c r="V58" s="29" t="inlineStr">
        <is>
          <t>LOW_RISK</t>
        </is>
      </c>
      <c r="W58" s="29" t="inlineStr">
        <is>
          <t>저위험</t>
        </is>
      </c>
      <c r="X58" s="29" t="inlineStr">
        <is>
          <t>LOW_RISK</t>
        </is>
      </c>
      <c r="Y58" s="29" t="inlineStr">
        <is>
          <t>0.9163768919768406</t>
        </is>
      </c>
      <c r="Z58" s="29" t="inlineStr">
        <is>
          <t>HIGH</t>
        </is>
      </c>
      <c r="AA58" s="29" t="inlineStr">
        <is>
          <t>HIGH</t>
        </is>
      </c>
      <c r="AB58" s="29" t="inlineStr">
        <is>
          <t>0.04594870251712977</t>
        </is>
      </c>
      <c r="AC58" s="29" t="inlineStr">
        <is>
          <t>False</t>
        </is>
      </c>
      <c r="AD58" s="29" t="inlineStr">
        <is>
          <t>False</t>
        </is>
      </c>
      <c r="AE58" s="29" t="inlineStr">
        <is>
          <t>valuation_credit_ml_overlay_candidate.csv</t>
        </is>
      </c>
      <c r="AF58" s="29" t="inlineStr">
        <is>
          <t>208개 반도체 reference universe. Valuation Agent가 자체 intake 폴더로 복제해 Peer/ML/대시보드 비교에 사용.</t>
        </is>
      </c>
      <c r="AG58" s="29" t="inlineStr">
        <is>
          <t>TOP_REFERENCE</t>
        </is>
      </c>
      <c r="AH58" s="29" t="inlineStr">
        <is>
          <t>False</t>
        </is>
      </c>
    </row>
    <row r="59" ht="24" customHeight="1">
      <c r="A59" s="24" t="inlineStr">
        <is>
          <t>88</t>
        </is>
      </c>
      <c r="B59" s="24" t="inlineStr">
        <is>
          <t>해당 없음</t>
        </is>
      </c>
      <c r="C59" s="24" t="inlineStr">
        <is>
          <t>비아트론</t>
        </is>
      </c>
      <c r="D59" s="24" t="inlineStr">
        <is>
          <t>141000</t>
        </is>
      </c>
      <c r="E59" s="24" t="inlineStr">
        <is>
          <t>KOSDAQ</t>
        </is>
      </c>
      <c r="F59" s="24" t="inlineStr">
        <is>
          <t>장비</t>
        </is>
      </c>
      <c r="G59" s="24" t="inlineStr">
        <is>
          <t>장비</t>
        </is>
      </c>
      <c r="H59" s="24" t="inlineStr">
        <is>
          <t>False</t>
        </is>
      </c>
      <c r="I59" s="24" t="inlineStr">
        <is>
          <t>True</t>
        </is>
      </c>
      <c r="J59" s="24" t="inlineStr">
        <is>
          <t>OK</t>
        </is>
      </c>
      <c r="K59" s="24" t="inlineStr">
        <is>
          <t>데이터 사용 가능</t>
        </is>
      </c>
      <c r="L59" s="24" t="inlineStr">
        <is>
          <t>LOW</t>
        </is>
      </c>
      <c r="M59" s="24" t="inlineStr">
        <is>
          <t>LOW</t>
        </is>
      </c>
      <c r="N59" s="24" t="inlineStr">
        <is>
          <t>0.7105333333333335</t>
        </is>
      </c>
      <c r="O59" s="24" t="inlineStr">
        <is>
          <t>ATTRACTIVE</t>
        </is>
      </c>
      <c r="P59" s="24" t="inlineStr">
        <is>
          <t>가치 매력</t>
        </is>
      </c>
      <c r="Q59" s="24" t="inlineStr">
        <is>
          <t>ATTRACTIVE</t>
        </is>
      </c>
      <c r="R59" s="24" t="inlineStr">
        <is>
          <t>0.934708213344448</t>
        </is>
      </c>
      <c r="S59" s="24" t="inlineStr">
        <is>
          <t>HIGH</t>
        </is>
      </c>
      <c r="T59" s="24" t="inlineStr">
        <is>
          <t>HIGH</t>
        </is>
      </c>
      <c r="U59" s="24" t="inlineStr">
        <is>
          <t>0.0</t>
        </is>
      </c>
      <c r="V59" s="24" t="inlineStr">
        <is>
          <t>LOW_RISK</t>
        </is>
      </c>
      <c r="W59" s="24" t="inlineStr">
        <is>
          <t>저위험</t>
        </is>
      </c>
      <c r="X59" s="24" t="inlineStr">
        <is>
          <t>LOW_RISK</t>
        </is>
      </c>
      <c r="Y59" s="24" t="inlineStr">
        <is>
          <t>0.9411184099481913</t>
        </is>
      </c>
      <c r="Z59" s="24" t="inlineStr">
        <is>
          <t>HIGH</t>
        </is>
      </c>
      <c r="AA59" s="24" t="inlineStr">
        <is>
          <t>HIGH</t>
        </is>
      </c>
      <c r="AB59" s="24" t="inlineStr">
        <is>
          <t>0.11715633071246634</t>
        </is>
      </c>
      <c r="AC59" s="24" t="inlineStr">
        <is>
          <t>False</t>
        </is>
      </c>
      <c r="AD59" s="24" t="inlineStr">
        <is>
          <t>False</t>
        </is>
      </c>
      <c r="AE59" s="24" t="inlineStr">
        <is>
          <t>valuation_credit_ml_overlay_candidate.csv</t>
        </is>
      </c>
      <c r="AF59" s="24" t="inlineStr">
        <is>
          <t>208개 반도체 reference universe. Valuation Agent가 자체 intake 폴더로 복제해 Peer/ML/대시보드 비교에 사용.</t>
        </is>
      </c>
      <c r="AG59" s="24" t="inlineStr">
        <is>
          <t>TOP_REFERENCE</t>
        </is>
      </c>
      <c r="AH59" s="24" t="inlineStr">
        <is>
          <t>False</t>
        </is>
      </c>
    </row>
    <row r="60" ht="24" customHeight="1">
      <c r="A60" s="29" t="inlineStr">
        <is>
          <t>203</t>
        </is>
      </c>
      <c r="B60" s="29" t="inlineStr">
        <is>
          <t>해당 없음</t>
        </is>
      </c>
      <c r="C60" s="29" t="inlineStr">
        <is>
          <t>인터플렉스</t>
        </is>
      </c>
      <c r="D60" s="29" t="inlineStr">
        <is>
          <t>051370</t>
        </is>
      </c>
      <c r="E60" s="29" t="inlineStr">
        <is>
          <t>KOSDAQ</t>
        </is>
      </c>
      <c r="F60" s="29" t="inlineStr">
        <is>
          <t>부품/기판</t>
        </is>
      </c>
      <c r="G60" s="29" t="inlineStr">
        <is>
          <t>부품/기판</t>
        </is>
      </c>
      <c r="H60" s="29" t="inlineStr">
        <is>
          <t>False</t>
        </is>
      </c>
      <c r="I60" s="29" t="inlineStr">
        <is>
          <t>True</t>
        </is>
      </c>
      <c r="J60" s="29" t="inlineStr">
        <is>
          <t>OK</t>
        </is>
      </c>
      <c r="K60" s="29" t="inlineStr">
        <is>
          <t>데이터 사용 가능</t>
        </is>
      </c>
      <c r="L60" s="29" t="inlineStr">
        <is>
          <t>LOW</t>
        </is>
      </c>
      <c r="M60" s="29" t="inlineStr">
        <is>
          <t>LOW</t>
        </is>
      </c>
      <c r="N60" s="29" t="inlineStr">
        <is>
          <t>0.709047619047619</t>
        </is>
      </c>
      <c r="O60" s="29" t="inlineStr">
        <is>
          <t>FAIR</t>
        </is>
      </c>
      <c r="P60" s="29" t="inlineStr">
        <is>
          <t>FAIR</t>
        </is>
      </c>
      <c r="Q60" s="29" t="inlineStr">
        <is>
          <t>FAIR</t>
        </is>
      </c>
      <c r="R60" s="29" t="inlineStr">
        <is>
          <t>0.904555257888918</t>
        </is>
      </c>
      <c r="S60" s="29" t="inlineStr">
        <is>
          <t>HIGH</t>
        </is>
      </c>
      <c r="T60" s="29" t="inlineStr">
        <is>
          <t>HIGH</t>
        </is>
      </c>
      <c r="U60" s="29" t="inlineStr">
        <is>
          <t>0.0714285714285714</t>
        </is>
      </c>
      <c r="V60" s="29" t="inlineStr">
        <is>
          <t>LOW_RISK</t>
        </is>
      </c>
      <c r="W60" s="29" t="inlineStr">
        <is>
          <t>저위험</t>
        </is>
      </c>
      <c r="X60" s="29" t="inlineStr">
        <is>
          <t>LOW_RISK</t>
        </is>
      </c>
      <c r="Y60" s="29" t="inlineStr">
        <is>
          <t>0.8421993774288782</t>
        </is>
      </c>
      <c r="Z60" s="29" t="inlineStr">
        <is>
          <t>HIGH</t>
        </is>
      </c>
      <c r="AA60" s="29" t="inlineStr">
        <is>
          <t>HIGH</t>
        </is>
      </c>
      <c r="AB60" s="29" t="inlineStr">
        <is>
          <t>0.04875174090091772</t>
        </is>
      </c>
      <c r="AC60" s="29" t="inlineStr">
        <is>
          <t>False</t>
        </is>
      </c>
      <c r="AD60" s="29" t="inlineStr">
        <is>
          <t>False</t>
        </is>
      </c>
      <c r="AE60" s="29" t="inlineStr">
        <is>
          <t>valuation_credit_ml_overlay_candidate.csv</t>
        </is>
      </c>
      <c r="AF60" s="29" t="inlineStr">
        <is>
          <t>208개 반도체 reference universe. Valuation Agent가 자체 intake 폴더로 복제해 Peer/ML/대시보드 비교에 사용.</t>
        </is>
      </c>
      <c r="AG60" s="29" t="inlineStr">
        <is>
          <t>TOP_REFERENCE</t>
        </is>
      </c>
      <c r="AH60" s="29" t="inlineStr">
        <is>
          <t>False</t>
        </is>
      </c>
    </row>
    <row r="61" ht="24" customHeight="1">
      <c r="A61" s="24" t="inlineStr">
        <is>
          <t>12</t>
        </is>
      </c>
      <c r="B61" s="24" t="inlineStr">
        <is>
          <t>해당 없음</t>
        </is>
      </c>
      <c r="C61" s="24" t="inlineStr">
        <is>
          <t>삼성전자</t>
        </is>
      </c>
      <c r="D61" s="24" t="inlineStr">
        <is>
          <t>005930</t>
        </is>
      </c>
      <c r="E61" s="24" t="inlineStr">
        <is>
          <t>KOSPI</t>
        </is>
      </c>
      <c r="F61" s="24" t="inlineStr">
        <is>
          <t>IDM/제조/메모리</t>
        </is>
      </c>
      <c r="G61" s="24" t="inlineStr">
        <is>
          <t>IDM/제조/메모리</t>
        </is>
      </c>
      <c r="H61" s="24" t="inlineStr">
        <is>
          <t>False</t>
        </is>
      </c>
      <c r="I61" s="24" t="inlineStr">
        <is>
          <t>True</t>
        </is>
      </c>
      <c r="J61" s="24" t="inlineStr">
        <is>
          <t>OK</t>
        </is>
      </c>
      <c r="K61" s="24" t="inlineStr">
        <is>
          <t>데이터 사용 가능</t>
        </is>
      </c>
      <c r="L61" s="24" t="inlineStr">
        <is>
          <t>LOW</t>
        </is>
      </c>
      <c r="M61" s="24" t="inlineStr">
        <is>
          <t>LOW</t>
        </is>
      </c>
      <c r="N61" s="24" t="inlineStr">
        <is>
          <t>0.7078333333333333</t>
        </is>
      </c>
      <c r="O61" s="24" t="inlineStr">
        <is>
          <t>ATTRACTIVE</t>
        </is>
      </c>
      <c r="P61" s="24" t="inlineStr">
        <is>
          <t>가치 매력</t>
        </is>
      </c>
      <c r="Q61" s="24" t="inlineStr">
        <is>
          <t>ATTRACTIVE</t>
        </is>
      </c>
      <c r="R61" s="24" t="inlineStr">
        <is>
          <t>0.9371541027950523</t>
        </is>
      </c>
      <c r="S61" s="24" t="inlineStr">
        <is>
          <t>HIGH</t>
        </is>
      </c>
      <c r="T61" s="24" t="inlineStr">
        <is>
          <t>HIGH</t>
        </is>
      </c>
      <c r="U61" s="24" t="inlineStr">
        <is>
          <t>0.0</t>
        </is>
      </c>
      <c r="V61" s="24" t="inlineStr">
        <is>
          <t>LOW_RISK</t>
        </is>
      </c>
      <c r="W61" s="24" t="inlineStr">
        <is>
          <t>저위험</t>
        </is>
      </c>
      <c r="X61" s="24" t="inlineStr">
        <is>
          <t>LOW_RISK</t>
        </is>
      </c>
      <c r="Y61" s="24" t="inlineStr">
        <is>
          <t>0.9760796731366836</t>
        </is>
      </c>
      <c r="Z61" s="24" t="inlineStr">
        <is>
          <t>HIGH</t>
        </is>
      </c>
      <c r="AA61" s="24" t="inlineStr">
        <is>
          <t>HIGH</t>
        </is>
      </c>
      <c r="AB61" s="24" t="inlineStr">
        <is>
          <t>0.4140062883705867</t>
        </is>
      </c>
      <c r="AC61" s="24" t="inlineStr">
        <is>
          <t>True</t>
        </is>
      </c>
      <c r="AD61" s="24" t="inlineStr">
        <is>
          <t>True</t>
        </is>
      </c>
      <c r="AE61" s="24" t="inlineStr">
        <is>
          <t>valuation_credit_ml_overlay_candidate.csv</t>
        </is>
      </c>
      <c r="AF61" s="24" t="inlineStr">
        <is>
          <t>208개 반도체 reference universe. Valuation Agent가 자체 intake 폴더로 복제해 Peer/ML/대시보드 비교에 사용.</t>
        </is>
      </c>
      <c r="AG61" s="24" t="inlineStr">
        <is>
          <t>TOP_REFERENCE</t>
        </is>
      </c>
      <c r="AH61" s="24" t="inlineStr">
        <is>
          <t>False</t>
        </is>
      </c>
    </row>
    <row r="62" ht="24" customHeight="1">
      <c r="A62" s="29" t="inlineStr">
        <is>
          <t>112</t>
        </is>
      </c>
      <c r="B62" s="29" t="inlineStr">
        <is>
          <t>해당 없음</t>
        </is>
      </c>
      <c r="C62" s="29" t="inlineStr">
        <is>
          <t>케이씨</t>
        </is>
      </c>
      <c r="D62" s="29" t="inlineStr">
        <is>
          <t>029460</t>
        </is>
      </c>
      <c r="E62" s="29" t="inlineStr">
        <is>
          <t>KOSPI</t>
        </is>
      </c>
      <c r="F62" s="29" t="inlineStr">
        <is>
          <t>장비</t>
        </is>
      </c>
      <c r="G62" s="29" t="inlineStr">
        <is>
          <t>장비</t>
        </is>
      </c>
      <c r="H62" s="29" t="inlineStr">
        <is>
          <t>False</t>
        </is>
      </c>
      <c r="I62" s="29" t="inlineStr">
        <is>
          <t>True</t>
        </is>
      </c>
      <c r="J62" s="29" t="inlineStr">
        <is>
          <t>OK</t>
        </is>
      </c>
      <c r="K62" s="29" t="inlineStr">
        <is>
          <t>데이터 사용 가능</t>
        </is>
      </c>
      <c r="L62" s="29" t="inlineStr">
        <is>
          <t>LOW</t>
        </is>
      </c>
      <c r="M62" s="29" t="inlineStr">
        <is>
          <t>LOW</t>
        </is>
      </c>
      <c r="N62" s="29" t="inlineStr">
        <is>
          <t>0.7065333333333332</t>
        </is>
      </c>
      <c r="O62" s="29" t="inlineStr">
        <is>
          <t>ATTRACTIVE</t>
        </is>
      </c>
      <c r="P62" s="29" t="inlineStr">
        <is>
          <t>가치 매력</t>
        </is>
      </c>
      <c r="Q62" s="29" t="inlineStr">
        <is>
          <t>ATTRACTIVE</t>
        </is>
      </c>
      <c r="R62" s="29" t="inlineStr">
        <is>
          <t>0.9151708177015135</t>
        </is>
      </c>
      <c r="S62" s="29" t="inlineStr">
        <is>
          <t>HIGH</t>
        </is>
      </c>
      <c r="T62" s="29" t="inlineStr">
        <is>
          <t>HIGH</t>
        </is>
      </c>
      <c r="U62" s="29" t="inlineStr">
        <is>
          <t>0.0</t>
        </is>
      </c>
      <c r="V62" s="29" t="inlineStr">
        <is>
          <t>LOW_RISK</t>
        </is>
      </c>
      <c r="W62" s="29" t="inlineStr">
        <is>
          <t>저위험</t>
        </is>
      </c>
      <c r="X62" s="29" t="inlineStr">
        <is>
          <t>LOW_RISK</t>
        </is>
      </c>
      <c r="Y62" s="29" t="inlineStr">
        <is>
          <t>0.883115363364621</t>
        </is>
      </c>
      <c r="Z62" s="29" t="inlineStr">
        <is>
          <t>HIGH</t>
        </is>
      </c>
      <c r="AA62" s="29" t="inlineStr">
        <is>
          <t>HIGH</t>
        </is>
      </c>
      <c r="AB62" s="29" t="inlineStr">
        <is>
          <t>0.07036651203602409</t>
        </is>
      </c>
      <c r="AC62" s="29" t="inlineStr">
        <is>
          <t>False</t>
        </is>
      </c>
      <c r="AD62" s="29" t="inlineStr">
        <is>
          <t>False</t>
        </is>
      </c>
      <c r="AE62" s="29" t="inlineStr">
        <is>
          <t>valuation_credit_ml_overlay_candidate.csv</t>
        </is>
      </c>
      <c r="AF62" s="29" t="inlineStr">
        <is>
          <t>208개 반도체 reference universe. Valuation Agent가 자체 intake 폴더로 복제해 Peer/ML/대시보드 비교에 사용.</t>
        </is>
      </c>
      <c r="AG62" s="29" t="inlineStr">
        <is>
          <t>TOP_REFERENCE</t>
        </is>
      </c>
      <c r="AH62" s="29" t="inlineStr">
        <is>
          <t>False</t>
        </is>
      </c>
    </row>
    <row r="63" ht="24" customHeight="1"/>
    <row r="64" ht="24" customHeight="1"/>
    <row r="65" ht="24" customHeight="1">
      <c r="A65" s="22" t="inlineStr">
        <is>
          <t>208개 전체 Universe</t>
        </is>
      </c>
    </row>
    <row r="66" ht="24" customHeight="1">
      <c r="A66" s="25" t="inlineStr">
        <is>
          <t>Universe 순번</t>
        </is>
      </c>
      <c r="B66" s="25" t="inlineStr">
        <is>
          <t>기업코드</t>
        </is>
      </c>
      <c r="C66" s="25" t="inlineStr">
        <is>
          <t>기업명</t>
        </is>
      </c>
      <c r="D66" s="25" t="inlineStr">
        <is>
          <t>종목코드</t>
        </is>
      </c>
      <c r="E66" s="25" t="inlineStr">
        <is>
          <t>시장</t>
        </is>
      </c>
      <c r="F66" s="25" t="inlineStr">
        <is>
          <t>피어 그룹</t>
        </is>
      </c>
      <c r="G66" s="25" t="inlineStr">
        <is>
          <t>반도체 세부군</t>
        </is>
      </c>
      <c r="H66" s="25" t="inlineStr">
        <is>
          <t>5개 핵심기업</t>
        </is>
      </c>
      <c r="I66" s="25" t="inlineStr">
        <is>
          <t>market_data_available</t>
        </is>
      </c>
      <c r="J66" s="25" t="inlineStr">
        <is>
          <t>데이터 품질</t>
        </is>
      </c>
      <c r="K66" s="25" t="inlineStr">
        <is>
          <t>데이터 품질 해석</t>
        </is>
      </c>
      <c r="L66" s="25" t="inlineStr">
        <is>
          <t>수동검토 우선순위</t>
        </is>
      </c>
      <c r="M66" s="25" t="inlineStr">
        <is>
          <t>수동검토 우선순위 해석</t>
        </is>
      </c>
      <c r="N66" s="25" t="inlineStr">
        <is>
          <t>Valuation Proxy 점수</t>
        </is>
      </c>
      <c r="O66" s="25" t="inlineStr">
        <is>
          <t>Valuation Proxy 라벨</t>
        </is>
      </c>
      <c r="P66" s="25" t="inlineStr">
        <is>
          <t>가치 라벨</t>
        </is>
      </c>
      <c r="Q66" s="25" t="inlineStr">
        <is>
          <t>valuation_pred_label</t>
        </is>
      </c>
      <c r="R66" s="25" t="inlineStr">
        <is>
          <t>Valuation 신뢰도</t>
        </is>
      </c>
      <c r="S66" s="25" t="inlineStr">
        <is>
          <t>valuation_confidence_bucket</t>
        </is>
      </c>
      <c r="T66" s="25" t="inlineStr">
        <is>
          <t>valuation_confidence_bucket_kr</t>
        </is>
      </c>
      <c r="U66" s="25" t="inlineStr">
        <is>
          <t>Credit Risk 점수</t>
        </is>
      </c>
      <c r="V66" s="25" t="inlineStr">
        <is>
          <t>Credit Risk 라벨</t>
        </is>
      </c>
      <c r="W66" s="25" t="inlineStr">
        <is>
          <t>신용위험 라벨</t>
        </is>
      </c>
      <c r="X66" s="25" t="inlineStr">
        <is>
          <t>credit_pred_label</t>
        </is>
      </c>
      <c r="Y66" s="25" t="inlineStr">
        <is>
          <t>Credit 신뢰도</t>
        </is>
      </c>
      <c r="Z66" s="25" t="inlineStr">
        <is>
          <t>credit_confidence_bucket</t>
        </is>
      </c>
      <c r="AA66" s="25" t="inlineStr">
        <is>
          <t>credit_confidence_bucket_kr</t>
        </is>
      </c>
      <c r="AB66" s="25" t="inlineStr">
        <is>
          <t>Credit 이상치 점수</t>
        </is>
      </c>
      <c r="AC66" s="25" t="inlineStr">
        <is>
          <t>credit_anomaly_flag_top15pct</t>
        </is>
      </c>
      <c r="AD66" s="25" t="inlineStr">
        <is>
          <t>auditor_requires_human_review</t>
        </is>
      </c>
      <c r="AE66" s="25" t="inlineStr">
        <is>
          <t>출처 유형</t>
        </is>
      </c>
      <c r="AF66" s="25" t="inlineStr">
        <is>
          <t>출처 설명</t>
        </is>
      </c>
    </row>
    <row r="67" ht="24" customHeight="1">
      <c r="A67" s="24" t="inlineStr">
        <is>
          <t>10</t>
        </is>
      </c>
      <c r="B67" s="24" t="inlineStr">
        <is>
          <t>해당 없음</t>
        </is>
      </c>
      <c r="C67" s="24" t="inlineStr">
        <is>
          <t>미코</t>
        </is>
      </c>
      <c r="D67" s="24" t="inlineStr">
        <is>
          <t>059090</t>
        </is>
      </c>
      <c r="E67" s="24" t="inlineStr">
        <is>
          <t>KOSDAQ</t>
        </is>
      </c>
      <c r="F67" s="24" t="inlineStr">
        <is>
          <t>IDM/제조/메모리</t>
        </is>
      </c>
      <c r="G67" s="24" t="inlineStr">
        <is>
          <t>IDM/제조/메모리</t>
        </is>
      </c>
      <c r="H67" s="24" t="inlineStr">
        <is>
          <t>False</t>
        </is>
      </c>
      <c r="I67" s="24" t="inlineStr">
        <is>
          <t>True</t>
        </is>
      </c>
      <c r="J67" s="24" t="inlineStr">
        <is>
          <t>OK</t>
        </is>
      </c>
      <c r="K67" s="24" t="inlineStr">
        <is>
          <t>데이터 사용 가능</t>
        </is>
      </c>
      <c r="L67" s="24" t="inlineStr">
        <is>
          <t>LOW</t>
        </is>
      </c>
      <c r="M67" s="24" t="inlineStr">
        <is>
          <t>LOW</t>
        </is>
      </c>
      <c r="N67" s="24" t="inlineStr">
        <is>
          <t>0.7733333333333334</t>
        </is>
      </c>
      <c r="O67" s="24" t="inlineStr">
        <is>
          <t>FAIR</t>
        </is>
      </c>
      <c r="P67" s="24" t="inlineStr">
        <is>
          <t>FAIR</t>
        </is>
      </c>
      <c r="Q67" s="24" t="inlineStr">
        <is>
          <t>FAIR</t>
        </is>
      </c>
      <c r="R67" s="24" t="inlineStr">
        <is>
          <t>0.9066669659525092</t>
        </is>
      </c>
      <c r="S67" s="24" t="inlineStr">
        <is>
          <t>HIGH</t>
        </is>
      </c>
      <c r="T67" s="24" t="inlineStr">
        <is>
          <t>HIGH</t>
        </is>
      </c>
      <c r="U67" s="24" t="inlineStr">
        <is>
          <t>0.2142857142857142</t>
        </is>
      </c>
      <c r="V67" s="24" t="inlineStr">
        <is>
          <t>MEDIUM_RISK</t>
        </is>
      </c>
      <c r="W67" s="24" t="inlineStr">
        <is>
          <t>중위험</t>
        </is>
      </c>
      <c r="X67" s="24" t="inlineStr">
        <is>
          <t>MEDIUM_RISK</t>
        </is>
      </c>
      <c r="Y67" s="24" t="inlineStr">
        <is>
          <t>0.6769145960065608</t>
        </is>
      </c>
      <c r="Z67" s="24" t="inlineStr">
        <is>
          <t>MEDIUM</t>
        </is>
      </c>
      <c r="AA67" s="24" t="inlineStr">
        <is>
          <t>MEDIUM</t>
        </is>
      </c>
      <c r="AB67" s="24" t="inlineStr">
        <is>
          <t>0.10646038380774528</t>
        </is>
      </c>
      <c r="AC67" s="24" t="inlineStr">
        <is>
          <t>False</t>
        </is>
      </c>
      <c r="AD67" s="24" t="inlineStr">
        <is>
          <t>False</t>
        </is>
      </c>
      <c r="AE67" s="24" t="inlineStr">
        <is>
          <t>valuation_credit_ml_overlay_candidate.csv</t>
        </is>
      </c>
      <c r="AF67" s="24" t="inlineStr">
        <is>
          <t>208개 반도체 reference universe. Valuation Agent가 자체 intake 폴더로 복제해 Peer/ML/대시보드 비교에 사용.</t>
        </is>
      </c>
    </row>
    <row r="68" ht="24" customHeight="1">
      <c r="A68" s="29" t="inlineStr">
        <is>
          <t>22</t>
        </is>
      </c>
      <c r="B68" s="29" t="inlineStr">
        <is>
          <t>해당 없음</t>
        </is>
      </c>
      <c r="C68" s="29" t="inlineStr">
        <is>
          <t>엘디티</t>
        </is>
      </c>
      <c r="D68" s="29" t="inlineStr">
        <is>
          <t>096870</t>
        </is>
      </c>
      <c r="E68" s="29" t="inlineStr">
        <is>
          <t>KOSDAQ</t>
        </is>
      </c>
      <c r="F68" s="29" t="inlineStr">
        <is>
          <t>IDM/제조/메모리</t>
        </is>
      </c>
      <c r="G68" s="29" t="inlineStr">
        <is>
          <t>IDM/제조/메모리</t>
        </is>
      </c>
      <c r="H68" s="29" t="inlineStr">
        <is>
          <t>False</t>
        </is>
      </c>
      <c r="I68" s="29" t="inlineStr">
        <is>
          <t>True</t>
        </is>
      </c>
      <c r="J68" s="29" t="inlineStr">
        <is>
          <t>OK</t>
        </is>
      </c>
      <c r="K68" s="29" t="inlineStr">
        <is>
          <t>데이터 사용 가능</t>
        </is>
      </c>
      <c r="L68" s="29" t="inlineStr">
        <is>
          <t>LOW</t>
        </is>
      </c>
      <c r="M68" s="29" t="inlineStr">
        <is>
          <t>LOW</t>
        </is>
      </c>
      <c r="N68" s="29" t="inlineStr">
        <is>
          <t>0.7518333333333332</t>
        </is>
      </c>
      <c r="O68" s="29" t="inlineStr">
        <is>
          <t>ATTRACTIVE</t>
        </is>
      </c>
      <c r="P68" s="29" t="inlineStr">
        <is>
          <t>가치 매력</t>
        </is>
      </c>
      <c r="Q68" s="29" t="inlineStr">
        <is>
          <t>ATTRACTIVE</t>
        </is>
      </c>
      <c r="R68" s="29" t="inlineStr">
        <is>
          <t>0.8817908899004964</t>
        </is>
      </c>
      <c r="S68" s="29" t="inlineStr">
        <is>
          <t>HIGH</t>
        </is>
      </c>
      <c r="T68" s="29" t="inlineStr">
        <is>
          <t>HIGH</t>
        </is>
      </c>
      <c r="U68" s="29" t="inlineStr">
        <is>
          <t>0.0714285714285714</t>
        </is>
      </c>
      <c r="V68" s="29" t="inlineStr">
        <is>
          <t>LOW_RISK</t>
        </is>
      </c>
      <c r="W68" s="29" t="inlineStr">
        <is>
          <t>저위험</t>
        </is>
      </c>
      <c r="X68" s="29" t="inlineStr">
        <is>
          <t>LOW_RISK</t>
        </is>
      </c>
      <c r="Y68" s="29" t="inlineStr">
        <is>
          <t>0.8068970516192283</t>
        </is>
      </c>
      <c r="Z68" s="29" t="inlineStr">
        <is>
          <t>HIGH</t>
        </is>
      </c>
      <c r="AA68" s="29" t="inlineStr">
        <is>
          <t>HIGH</t>
        </is>
      </c>
      <c r="AB68" s="29" t="inlineStr">
        <is>
          <t>0.2312715560027526</t>
        </is>
      </c>
      <c r="AC68" s="29" t="inlineStr">
        <is>
          <t>False</t>
        </is>
      </c>
      <c r="AD68" s="29" t="inlineStr">
        <is>
          <t>False</t>
        </is>
      </c>
      <c r="AE68" s="29" t="inlineStr">
        <is>
          <t>valuation_credit_ml_overlay_candidate.csv</t>
        </is>
      </c>
      <c r="AF68" s="29" t="inlineStr">
        <is>
          <t>208개 반도체 reference universe. Valuation Agent가 자체 intake 폴더로 복제해 Peer/ML/대시보드 비교에 사용.</t>
        </is>
      </c>
    </row>
    <row r="69" ht="24" customHeight="1">
      <c r="A69" s="24" t="inlineStr">
        <is>
          <t>9</t>
        </is>
      </c>
      <c r="B69" s="24" t="inlineStr">
        <is>
          <t>해당 없음</t>
        </is>
      </c>
      <c r="C69" s="24" t="inlineStr">
        <is>
          <t>메카로</t>
        </is>
      </c>
      <c r="D69" s="24" t="inlineStr">
        <is>
          <t>241770</t>
        </is>
      </c>
      <c r="E69" s="24" t="inlineStr">
        <is>
          <t>KOSDAQ</t>
        </is>
      </c>
      <c r="F69" s="24" t="inlineStr">
        <is>
          <t>IDM/제조/메모리</t>
        </is>
      </c>
      <c r="G69" s="24" t="inlineStr">
        <is>
          <t>IDM/제조/메모리</t>
        </is>
      </c>
      <c r="H69" s="24" t="inlineStr">
        <is>
          <t>False</t>
        </is>
      </c>
      <c r="I69" s="24" t="inlineStr">
        <is>
          <t>True</t>
        </is>
      </c>
      <c r="J69" s="24" t="inlineStr">
        <is>
          <t>OK</t>
        </is>
      </c>
      <c r="K69" s="24" t="inlineStr">
        <is>
          <t>데이터 사용 가능</t>
        </is>
      </c>
      <c r="L69" s="24" t="inlineStr">
        <is>
          <t>LOW</t>
        </is>
      </c>
      <c r="M69" s="24" t="inlineStr">
        <is>
          <t>LOW</t>
        </is>
      </c>
      <c r="N69" s="24" t="inlineStr">
        <is>
          <t>0.7476666666666667</t>
        </is>
      </c>
      <c r="O69" s="24" t="inlineStr">
        <is>
          <t>ATTRACTIVE</t>
        </is>
      </c>
      <c r="P69" s="24" t="inlineStr">
        <is>
          <t>가치 매력</t>
        </is>
      </c>
      <c r="Q69" s="24" t="inlineStr">
        <is>
          <t>ATTRACTIVE</t>
        </is>
      </c>
      <c r="R69" s="24" t="inlineStr">
        <is>
          <t>0.9154158498128573</t>
        </is>
      </c>
      <c r="S69" s="24" t="inlineStr">
        <is>
          <t>HIGH</t>
        </is>
      </c>
      <c r="T69" s="24" t="inlineStr">
        <is>
          <t>HIGH</t>
        </is>
      </c>
      <c r="U69" s="24" t="inlineStr">
        <is>
          <t>0.0</t>
        </is>
      </c>
      <c r="V69" s="24" t="inlineStr">
        <is>
          <t>LOW_RISK</t>
        </is>
      </c>
      <c r="W69" s="24" t="inlineStr">
        <is>
          <t>저위험</t>
        </is>
      </c>
      <c r="X69" s="24" t="inlineStr">
        <is>
          <t>LOW_RISK</t>
        </is>
      </c>
      <c r="Y69" s="24" t="inlineStr">
        <is>
          <t>0.9196609311939408</t>
        </is>
      </c>
      <c r="Z69" s="24" t="inlineStr">
        <is>
          <t>HIGH</t>
        </is>
      </c>
      <c r="AA69" s="24" t="inlineStr">
        <is>
          <t>HIGH</t>
        </is>
      </c>
      <c r="AB69" s="24" t="inlineStr">
        <is>
          <t>0.12775877727770685</t>
        </is>
      </c>
      <c r="AC69" s="24" t="inlineStr">
        <is>
          <t>False</t>
        </is>
      </c>
      <c r="AD69" s="24" t="inlineStr">
        <is>
          <t>False</t>
        </is>
      </c>
      <c r="AE69" s="24" t="inlineStr">
        <is>
          <t>valuation_credit_ml_overlay_candidate.csv</t>
        </is>
      </c>
      <c r="AF69" s="24" t="inlineStr">
        <is>
          <t>208개 반도체 reference universe. Valuation Agent가 자체 intake 폴더로 복제해 Peer/ML/대시보드 비교에 사용.</t>
        </is>
      </c>
    </row>
    <row r="70" ht="24" customHeight="1">
      <c r="A70" s="29" t="inlineStr">
        <is>
          <t>12</t>
        </is>
      </c>
      <c r="B70" s="29" t="inlineStr">
        <is>
          <t>해당 없음</t>
        </is>
      </c>
      <c r="C70" s="29" t="inlineStr">
        <is>
          <t>삼성전자</t>
        </is>
      </c>
      <c r="D70" s="29" t="inlineStr">
        <is>
          <t>005930</t>
        </is>
      </c>
      <c r="E70" s="29" t="inlineStr">
        <is>
          <t>KOSPI</t>
        </is>
      </c>
      <c r="F70" s="29" t="inlineStr">
        <is>
          <t>IDM/제조/메모리</t>
        </is>
      </c>
      <c r="G70" s="29" t="inlineStr">
        <is>
          <t>IDM/제조/메모리</t>
        </is>
      </c>
      <c r="H70" s="29" t="inlineStr">
        <is>
          <t>False</t>
        </is>
      </c>
      <c r="I70" s="29" t="inlineStr">
        <is>
          <t>True</t>
        </is>
      </c>
      <c r="J70" s="29" t="inlineStr">
        <is>
          <t>OK</t>
        </is>
      </c>
      <c r="K70" s="29" t="inlineStr">
        <is>
          <t>데이터 사용 가능</t>
        </is>
      </c>
      <c r="L70" s="29" t="inlineStr">
        <is>
          <t>LOW</t>
        </is>
      </c>
      <c r="M70" s="29" t="inlineStr">
        <is>
          <t>LOW</t>
        </is>
      </c>
      <c r="N70" s="29" t="inlineStr">
        <is>
          <t>0.7078333333333333</t>
        </is>
      </c>
      <c r="O70" s="29" t="inlineStr">
        <is>
          <t>ATTRACTIVE</t>
        </is>
      </c>
      <c r="P70" s="29" t="inlineStr">
        <is>
          <t>가치 매력</t>
        </is>
      </c>
      <c r="Q70" s="29" t="inlineStr">
        <is>
          <t>ATTRACTIVE</t>
        </is>
      </c>
      <c r="R70" s="29" t="inlineStr">
        <is>
          <t>0.9371541027950523</t>
        </is>
      </c>
      <c r="S70" s="29" t="inlineStr">
        <is>
          <t>HIGH</t>
        </is>
      </c>
      <c r="T70" s="29" t="inlineStr">
        <is>
          <t>HIGH</t>
        </is>
      </c>
      <c r="U70" s="29" t="inlineStr">
        <is>
          <t>0.0</t>
        </is>
      </c>
      <c r="V70" s="29" t="inlineStr">
        <is>
          <t>LOW_RISK</t>
        </is>
      </c>
      <c r="W70" s="29" t="inlineStr">
        <is>
          <t>저위험</t>
        </is>
      </c>
      <c r="X70" s="29" t="inlineStr">
        <is>
          <t>LOW_RISK</t>
        </is>
      </c>
      <c r="Y70" s="29" t="inlineStr">
        <is>
          <t>0.9760796731366836</t>
        </is>
      </c>
      <c r="Z70" s="29" t="inlineStr">
        <is>
          <t>HIGH</t>
        </is>
      </c>
      <c r="AA70" s="29" t="inlineStr">
        <is>
          <t>HIGH</t>
        </is>
      </c>
      <c r="AB70" s="29" t="inlineStr">
        <is>
          <t>0.4140062883705867</t>
        </is>
      </c>
      <c r="AC70" s="29" t="inlineStr">
        <is>
          <t>True</t>
        </is>
      </c>
      <c r="AD70" s="29" t="inlineStr">
        <is>
          <t>True</t>
        </is>
      </c>
      <c r="AE70" s="29" t="inlineStr">
        <is>
          <t>valuation_credit_ml_overlay_candidate.csv</t>
        </is>
      </c>
      <c r="AF70" s="29" t="inlineStr">
        <is>
          <t>208개 반도체 reference universe. Valuation Agent가 자체 intake 폴더로 복제해 Peer/ML/대시보드 비교에 사용.</t>
        </is>
      </c>
    </row>
    <row r="71" ht="24" customHeight="1">
      <c r="A71" s="24" t="inlineStr">
        <is>
          <t>4</t>
        </is>
      </c>
      <c r="B71" s="24" t="inlineStr">
        <is>
          <t>해당 없음</t>
        </is>
      </c>
      <c r="C71" s="24" t="inlineStr">
        <is>
          <t>SK하이닉스</t>
        </is>
      </c>
      <c r="D71" s="24" t="inlineStr">
        <is>
          <t>000660</t>
        </is>
      </c>
      <c r="E71" s="24" t="inlineStr">
        <is>
          <t>KOSPI</t>
        </is>
      </c>
      <c r="F71" s="24" t="inlineStr">
        <is>
          <t>IDM/제조/메모리</t>
        </is>
      </c>
      <c r="G71" s="24" t="inlineStr">
        <is>
          <t>IDM/제조/메모리</t>
        </is>
      </c>
      <c r="H71" s="24" t="inlineStr">
        <is>
          <t>False</t>
        </is>
      </c>
      <c r="I71" s="24" t="inlineStr">
        <is>
          <t>True</t>
        </is>
      </c>
      <c r="J71" s="24" t="inlineStr">
        <is>
          <t>OK</t>
        </is>
      </c>
      <c r="K71" s="24" t="inlineStr">
        <is>
          <t>데이터 사용 가능</t>
        </is>
      </c>
      <c r="L71" s="24" t="inlineStr">
        <is>
          <t>LOW</t>
        </is>
      </c>
      <c r="M71" s="24" t="inlineStr">
        <is>
          <t>LOW</t>
        </is>
      </c>
      <c r="N71" s="24" t="inlineStr">
        <is>
          <t>0.6933333333333334</t>
        </is>
      </c>
      <c r="O71" s="24" t="inlineStr">
        <is>
          <t>ATTRACTIVE</t>
        </is>
      </c>
      <c r="P71" s="24" t="inlineStr">
        <is>
          <t>가치 매력</t>
        </is>
      </c>
      <c r="Q71" s="24" t="inlineStr">
        <is>
          <t>ATTRACTIVE</t>
        </is>
      </c>
      <c r="R71" s="24" t="inlineStr">
        <is>
          <t>0.8582250965188642</t>
        </is>
      </c>
      <c r="S71" s="24" t="inlineStr">
        <is>
          <t>HIGH</t>
        </is>
      </c>
      <c r="T71" s="24" t="inlineStr">
        <is>
          <t>HIGH</t>
        </is>
      </c>
      <c r="U71" s="24" t="inlineStr">
        <is>
          <t>0.0</t>
        </is>
      </c>
      <c r="V71" s="24" t="inlineStr">
        <is>
          <t>LOW_RISK</t>
        </is>
      </c>
      <c r="W71" s="24" t="inlineStr">
        <is>
          <t>저위험</t>
        </is>
      </c>
      <c r="X71" s="24" t="inlineStr">
        <is>
          <t>LOW_RISK</t>
        </is>
      </c>
      <c r="Y71" s="24" t="inlineStr">
        <is>
          <t>0.9246810687108324</t>
        </is>
      </c>
      <c r="Z71" s="24" t="inlineStr">
        <is>
          <t>HIGH</t>
        </is>
      </c>
      <c r="AA71" s="24" t="inlineStr">
        <is>
          <t>HIGH</t>
        </is>
      </c>
      <c r="AB71" s="24" t="inlineStr">
        <is>
          <t>0.4530741670429333</t>
        </is>
      </c>
      <c r="AC71" s="24" t="inlineStr">
        <is>
          <t>True</t>
        </is>
      </c>
      <c r="AD71" s="24" t="inlineStr">
        <is>
          <t>True</t>
        </is>
      </c>
      <c r="AE71" s="24" t="inlineStr">
        <is>
          <t>valuation_credit_ml_overlay_candidate.csv</t>
        </is>
      </c>
      <c r="AF71" s="24" t="inlineStr">
        <is>
          <t>208개 반도체 reference universe. Valuation Agent가 자체 intake 폴더로 복제해 Peer/ML/대시보드 비교에 사용.</t>
        </is>
      </c>
    </row>
    <row r="72" ht="24" customHeight="1">
      <c r="A72" s="29" t="inlineStr">
        <is>
          <t>32</t>
        </is>
      </c>
      <c r="B72" s="29" t="inlineStr">
        <is>
          <t>해당 없음</t>
        </is>
      </c>
      <c r="C72" s="29" t="inlineStr">
        <is>
          <t>케이엔제이</t>
        </is>
      </c>
      <c r="D72" s="29" t="inlineStr">
        <is>
          <t>272110</t>
        </is>
      </c>
      <c r="E72" s="29" t="inlineStr">
        <is>
          <t>KOSDAQ</t>
        </is>
      </c>
      <c r="F72" s="29" t="inlineStr">
        <is>
          <t>IDM/제조/메모리</t>
        </is>
      </c>
      <c r="G72" s="29" t="inlineStr">
        <is>
          <t>IDM/제조/메모리</t>
        </is>
      </c>
      <c r="H72" s="29" t="inlineStr">
        <is>
          <t>False</t>
        </is>
      </c>
      <c r="I72" s="29" t="inlineStr">
        <is>
          <t>True</t>
        </is>
      </c>
      <c r="J72" s="29" t="inlineStr">
        <is>
          <t>OK</t>
        </is>
      </c>
      <c r="K72" s="29" t="inlineStr">
        <is>
          <t>데이터 사용 가능</t>
        </is>
      </c>
      <c r="L72" s="29" t="inlineStr">
        <is>
          <t>LOW</t>
        </is>
      </c>
      <c r="M72" s="29" t="inlineStr">
        <is>
          <t>LOW</t>
        </is>
      </c>
      <c r="N72" s="29" t="inlineStr">
        <is>
          <t>0.69</t>
        </is>
      </c>
      <c r="O72" s="29" t="inlineStr">
        <is>
          <t>FAIR</t>
        </is>
      </c>
      <c r="P72" s="29" t="inlineStr">
        <is>
          <t>FAIR</t>
        </is>
      </c>
      <c r="Q72" s="29" t="inlineStr">
        <is>
          <t>FAIR</t>
        </is>
      </c>
      <c r="R72" s="29" t="inlineStr">
        <is>
          <t>0.8941431334693103</t>
        </is>
      </c>
      <c r="S72" s="29" t="inlineStr">
        <is>
          <t>HIGH</t>
        </is>
      </c>
      <c r="T72" s="29" t="inlineStr">
        <is>
          <t>HIGH</t>
        </is>
      </c>
      <c r="U72" s="29" t="inlineStr">
        <is>
          <t>0.3571428571428571</t>
        </is>
      </c>
      <c r="V72" s="29" t="inlineStr">
        <is>
          <t>MEDIUM_RISK</t>
        </is>
      </c>
      <c r="W72" s="29" t="inlineStr">
        <is>
          <t>중위험</t>
        </is>
      </c>
      <c r="X72" s="29" t="inlineStr">
        <is>
          <t>MEDIUM_RISK</t>
        </is>
      </c>
      <c r="Y72" s="29" t="inlineStr">
        <is>
          <t>0.6916505304322266</t>
        </is>
      </c>
      <c r="Z72" s="29" t="inlineStr">
        <is>
          <t>MEDIUM</t>
        </is>
      </c>
      <c r="AA72" s="29" t="inlineStr">
        <is>
          <t>MEDIUM</t>
        </is>
      </c>
      <c r="AB72" s="29" t="inlineStr">
        <is>
          <t>0.08026450343217886</t>
        </is>
      </c>
      <c r="AC72" s="29" t="inlineStr">
        <is>
          <t>False</t>
        </is>
      </c>
      <c r="AD72" s="29" t="inlineStr">
        <is>
          <t>False</t>
        </is>
      </c>
      <c r="AE72" s="29" t="inlineStr">
        <is>
          <t>valuation_credit_ml_overlay_candidate.csv</t>
        </is>
      </c>
      <c r="AF72" s="29" t="inlineStr">
        <is>
          <t>208개 반도체 reference universe. Valuation Agent가 자체 intake 폴더로 복제해 Peer/ML/대시보드 비교에 사용.</t>
        </is>
      </c>
    </row>
    <row r="73" ht="24" customHeight="1">
      <c r="A73" s="24" t="inlineStr">
        <is>
          <t>40</t>
        </is>
      </c>
      <c r="B73" s="24" t="inlineStr">
        <is>
          <t>해당 없음</t>
        </is>
      </c>
      <c r="C73" s="24" t="inlineStr">
        <is>
          <t>한양디지텍</t>
        </is>
      </c>
      <c r="D73" s="24" t="inlineStr">
        <is>
          <t>078350</t>
        </is>
      </c>
      <c r="E73" s="24" t="inlineStr">
        <is>
          <t>KOSDAQ</t>
        </is>
      </c>
      <c r="F73" s="24" t="inlineStr">
        <is>
          <t>IDM/제조/메모리</t>
        </is>
      </c>
      <c r="G73" s="24" t="inlineStr">
        <is>
          <t>IDM/제조/메모리</t>
        </is>
      </c>
      <c r="H73" s="24" t="inlineStr">
        <is>
          <t>False</t>
        </is>
      </c>
      <c r="I73" s="24" t="inlineStr">
        <is>
          <t>True</t>
        </is>
      </c>
      <c r="J73" s="24" t="inlineStr">
        <is>
          <t>OK</t>
        </is>
      </c>
      <c r="K73" s="24" t="inlineStr">
        <is>
          <t>데이터 사용 가능</t>
        </is>
      </c>
      <c r="L73" s="24" t="inlineStr">
        <is>
          <t>LOW</t>
        </is>
      </c>
      <c r="M73" s="24" t="inlineStr">
        <is>
          <t>LOW</t>
        </is>
      </c>
      <c r="N73" s="24" t="inlineStr">
        <is>
          <t>0.6805000000000001</t>
        </is>
      </c>
      <c r="O73" s="24" t="inlineStr">
        <is>
          <t>ATTRACTIVE</t>
        </is>
      </c>
      <c r="P73" s="24" t="inlineStr">
        <is>
          <t>가치 매력</t>
        </is>
      </c>
      <c r="Q73" s="24" t="inlineStr">
        <is>
          <t>ATTRACTIVE</t>
        </is>
      </c>
      <c r="R73" s="24" t="inlineStr">
        <is>
          <t>0.8705426081647281</t>
        </is>
      </c>
      <c r="S73" s="24" t="inlineStr">
        <is>
          <t>HIGH</t>
        </is>
      </c>
      <c r="T73" s="24" t="inlineStr">
        <is>
          <t>HIGH</t>
        </is>
      </c>
      <c r="U73" s="24" t="inlineStr">
        <is>
          <t>0.0714285714285714</t>
        </is>
      </c>
      <c r="V73" s="24" t="inlineStr">
        <is>
          <t>LOW_RISK</t>
        </is>
      </c>
      <c r="W73" s="24" t="inlineStr">
        <is>
          <t>저위험</t>
        </is>
      </c>
      <c r="X73" s="24" t="inlineStr">
        <is>
          <t>LOW_RISK</t>
        </is>
      </c>
      <c r="Y73" s="24" t="inlineStr">
        <is>
          <t>0.7978732006060483</t>
        </is>
      </c>
      <c r="Z73" s="24" t="inlineStr">
        <is>
          <t>HIGH</t>
        </is>
      </c>
      <c r="AA73" s="24" t="inlineStr">
        <is>
          <t>HIGH</t>
        </is>
      </c>
      <c r="AB73" s="24" t="inlineStr">
        <is>
          <t>0.008155150389343335</t>
        </is>
      </c>
      <c r="AC73" s="24" t="inlineStr">
        <is>
          <t>False</t>
        </is>
      </c>
      <c r="AD73" s="24" t="inlineStr">
        <is>
          <t>False</t>
        </is>
      </c>
      <c r="AE73" s="24" t="inlineStr">
        <is>
          <t>valuation_credit_ml_overlay_candidate.csv</t>
        </is>
      </c>
      <c r="AF73" s="24" t="inlineStr">
        <is>
          <t>208개 반도체 reference universe. Valuation Agent가 자체 intake 폴더로 복제해 Peer/ML/대시보드 비교에 사용.</t>
        </is>
      </c>
    </row>
    <row r="74" ht="24" customHeight="1">
      <c r="A74" s="29" t="inlineStr">
        <is>
          <t>1</t>
        </is>
      </c>
      <c r="B74" s="29" t="inlineStr">
        <is>
          <t>해당 없음</t>
        </is>
      </c>
      <c r="C74" s="29" t="inlineStr">
        <is>
          <t>DB하이텍</t>
        </is>
      </c>
      <c r="D74" s="29" t="inlineStr">
        <is>
          <t>000990</t>
        </is>
      </c>
      <c r="E74" s="29" t="inlineStr">
        <is>
          <t>KOSPI</t>
        </is>
      </c>
      <c r="F74" s="29" t="inlineStr">
        <is>
          <t>IDM/제조/메모리</t>
        </is>
      </c>
      <c r="G74" s="29" t="inlineStr">
        <is>
          <t>IDM/제조/메모리</t>
        </is>
      </c>
      <c r="H74" s="29" t="inlineStr">
        <is>
          <t>False</t>
        </is>
      </c>
      <c r="I74" s="29" t="inlineStr">
        <is>
          <t>True</t>
        </is>
      </c>
      <c r="J74" s="29" t="inlineStr">
        <is>
          <t>OK</t>
        </is>
      </c>
      <c r="K74" s="29" t="inlineStr">
        <is>
          <t>데이터 사용 가능</t>
        </is>
      </c>
      <c r="L74" s="29" t="inlineStr">
        <is>
          <t>LOW</t>
        </is>
      </c>
      <c r="M74" s="29" t="inlineStr">
        <is>
          <t>LOW</t>
        </is>
      </c>
      <c r="N74" s="29" t="inlineStr">
        <is>
          <t>0.6653333333333333</t>
        </is>
      </c>
      <c r="O74" s="29" t="inlineStr">
        <is>
          <t>ATTRACTIVE</t>
        </is>
      </c>
      <c r="P74" s="29" t="inlineStr">
        <is>
          <t>가치 매력</t>
        </is>
      </c>
      <c r="Q74" s="29" t="inlineStr">
        <is>
          <t>ATTRACTIVE</t>
        </is>
      </c>
      <c r="R74" s="29" t="inlineStr">
        <is>
          <t>0.9104444876024207</t>
        </is>
      </c>
      <c r="S74" s="29" t="inlineStr">
        <is>
          <t>HIGH</t>
        </is>
      </c>
      <c r="T74" s="29" t="inlineStr">
        <is>
          <t>HIGH</t>
        </is>
      </c>
      <c r="U74" s="29" t="inlineStr">
        <is>
          <t>0.0</t>
        </is>
      </c>
      <c r="V74" s="29" t="inlineStr">
        <is>
          <t>LOW_RISK</t>
        </is>
      </c>
      <c r="W74" s="29" t="inlineStr">
        <is>
          <t>저위험</t>
        </is>
      </c>
      <c r="X74" s="29" t="inlineStr">
        <is>
          <t>LOW_RISK</t>
        </is>
      </c>
      <c r="Y74" s="29" t="inlineStr">
        <is>
          <t>0.9880726272379208</t>
        </is>
      </c>
      <c r="Z74" s="29" t="inlineStr">
        <is>
          <t>HIGH</t>
        </is>
      </c>
      <c r="AA74" s="29" t="inlineStr">
        <is>
          <t>HIGH</t>
        </is>
      </c>
      <c r="AB74" s="29" t="inlineStr">
        <is>
          <t>0.04988685023425709</t>
        </is>
      </c>
      <c r="AC74" s="29" t="inlineStr">
        <is>
          <t>False</t>
        </is>
      </c>
      <c r="AD74" s="29" t="inlineStr">
        <is>
          <t>False</t>
        </is>
      </c>
      <c r="AE74" s="29" t="inlineStr">
        <is>
          <t>valuation_credit_ml_overlay_candidate.csv</t>
        </is>
      </c>
      <c r="AF74" s="29" t="inlineStr">
        <is>
          <t>208개 반도체 reference universe. Valuation Agent가 자체 intake 폴더로 복제해 Peer/ML/대시보드 비교에 사용.</t>
        </is>
      </c>
    </row>
    <row r="75" ht="24" customHeight="1">
      <c r="A75" s="24" t="inlineStr">
        <is>
          <t>24</t>
        </is>
      </c>
      <c r="B75" s="24" t="inlineStr">
        <is>
          <t>해당 없음</t>
        </is>
      </c>
      <c r="C75" s="24" t="inlineStr">
        <is>
          <t>오디텍</t>
        </is>
      </c>
      <c r="D75" s="24" t="inlineStr">
        <is>
          <t>080520</t>
        </is>
      </c>
      <c r="E75" s="24" t="inlineStr">
        <is>
          <t>KOSDAQ</t>
        </is>
      </c>
      <c r="F75" s="24" t="inlineStr">
        <is>
          <t>IDM/제조/메모리</t>
        </is>
      </c>
      <c r="G75" s="24" t="inlineStr">
        <is>
          <t>IDM/제조/메모리</t>
        </is>
      </c>
      <c r="H75" s="24" t="inlineStr">
        <is>
          <t>False</t>
        </is>
      </c>
      <c r="I75" s="24" t="inlineStr">
        <is>
          <t>True</t>
        </is>
      </c>
      <c r="J75" s="24" t="inlineStr">
        <is>
          <t>OK</t>
        </is>
      </c>
      <c r="K75" s="24" t="inlineStr">
        <is>
          <t>데이터 사용 가능</t>
        </is>
      </c>
      <c r="L75" s="24" t="inlineStr">
        <is>
          <t>LOW</t>
        </is>
      </c>
      <c r="M75" s="24" t="inlineStr">
        <is>
          <t>LOW</t>
        </is>
      </c>
      <c r="N75" s="24" t="inlineStr">
        <is>
          <t>0.6083333333333334</t>
        </is>
      </c>
      <c r="O75" s="24" t="inlineStr">
        <is>
          <t>FAIR</t>
        </is>
      </c>
      <c r="P75" s="24" t="inlineStr">
        <is>
          <t>FAIR</t>
        </is>
      </c>
      <c r="Q75" s="24" t="inlineStr">
        <is>
          <t>FAIR</t>
        </is>
      </c>
      <c r="R75" s="24" t="inlineStr">
        <is>
          <t>0.8328575689014174</t>
        </is>
      </c>
      <c r="S75" s="24" t="inlineStr">
        <is>
          <t>HIGH</t>
        </is>
      </c>
      <c r="T75" s="24" t="inlineStr">
        <is>
          <t>HIGH</t>
        </is>
      </c>
      <c r="U75" s="24" t="inlineStr">
        <is>
          <t>0.4285714285714285</t>
        </is>
      </c>
      <c r="V75" s="24" t="inlineStr">
        <is>
          <t>HIGH_RISK</t>
        </is>
      </c>
      <c r="W75" s="24" t="inlineStr">
        <is>
          <t>고위험</t>
        </is>
      </c>
      <c r="X75" s="24" t="inlineStr">
        <is>
          <t>HIGH_RISK</t>
        </is>
      </c>
      <c r="Y75" s="24" t="inlineStr">
        <is>
          <t>0.5607063964580236</t>
        </is>
      </c>
      <c r="Z75" s="24" t="inlineStr">
        <is>
          <t>MEDIUM</t>
        </is>
      </c>
      <c r="AA75" s="24" t="inlineStr">
        <is>
          <t>MEDIUM</t>
        </is>
      </c>
      <c r="AB75" s="24" t="inlineStr">
        <is>
          <t>0.4397907707686155</t>
        </is>
      </c>
      <c r="AC75" s="24" t="inlineStr">
        <is>
          <t>True</t>
        </is>
      </c>
      <c r="AD75" s="24" t="inlineStr">
        <is>
          <t>True</t>
        </is>
      </c>
      <c r="AE75" s="24" t="inlineStr">
        <is>
          <t>valuation_credit_ml_overlay_candidate.csv</t>
        </is>
      </c>
      <c r="AF75" s="24" t="inlineStr">
        <is>
          <t>208개 반도체 reference universe. Valuation Agent가 자체 intake 폴더로 복제해 Peer/ML/대시보드 비교에 사용.</t>
        </is>
      </c>
    </row>
    <row r="76" ht="24" customHeight="1">
      <c r="A76" s="29" t="inlineStr">
        <is>
          <t>6</t>
        </is>
      </c>
      <c r="B76" s="29" t="inlineStr">
        <is>
          <t>해당 없음</t>
        </is>
      </c>
      <c r="C76" s="29" t="inlineStr">
        <is>
          <t>그린리소스</t>
        </is>
      </c>
      <c r="D76" s="29" t="inlineStr">
        <is>
          <t>402490</t>
        </is>
      </c>
      <c r="E76" s="29" t="inlineStr">
        <is>
          <t>KOSDAQ</t>
        </is>
      </c>
      <c r="F76" s="29" t="inlineStr">
        <is>
          <t>IDM/제조/메모리</t>
        </is>
      </c>
      <c r="G76" s="29" t="inlineStr">
        <is>
          <t>IDM/제조/메모리</t>
        </is>
      </c>
      <c r="H76" s="29" t="inlineStr">
        <is>
          <t>False</t>
        </is>
      </c>
      <c r="I76" s="29" t="inlineStr">
        <is>
          <t>True</t>
        </is>
      </c>
      <c r="J76" s="29" t="inlineStr">
        <is>
          <t>OK_LIMITED_HISTORY_OR_GROWTH_NA</t>
        </is>
      </c>
      <c r="K76" s="29" t="inlineStr">
        <is>
          <t>데이터 사용 가능</t>
        </is>
      </c>
      <c r="L76" s="29" t="inlineStr">
        <is>
          <t>LOW</t>
        </is>
      </c>
      <c r="M76" s="29" t="inlineStr">
        <is>
          <t>LOW</t>
        </is>
      </c>
      <c r="N76" s="29" t="inlineStr">
        <is>
          <t>0.6021666666666667</t>
        </is>
      </c>
      <c r="O76" s="29" t="inlineStr">
        <is>
          <t>FAIR</t>
        </is>
      </c>
      <c r="P76" s="29" t="inlineStr">
        <is>
          <t>FAIR</t>
        </is>
      </c>
      <c r="Q76" s="29" t="inlineStr">
        <is>
          <t>FAIR</t>
        </is>
      </c>
      <c r="R76" s="29" t="inlineStr">
        <is>
          <t>0.7869051998623771</t>
        </is>
      </c>
      <c r="S76" s="29" t="inlineStr">
        <is>
          <t>HIGH</t>
        </is>
      </c>
      <c r="T76" s="29" t="inlineStr">
        <is>
          <t>HIGH</t>
        </is>
      </c>
      <c r="U76" s="29" t="inlineStr">
        <is>
          <t>0.4285714285714285</t>
        </is>
      </c>
      <c r="V76" s="29" t="inlineStr">
        <is>
          <t>HIGH_RISK</t>
        </is>
      </c>
      <c r="W76" s="29" t="inlineStr">
        <is>
          <t>고위험</t>
        </is>
      </c>
      <c r="X76" s="29" t="inlineStr">
        <is>
          <t>HIGH_RISK</t>
        </is>
      </c>
      <c r="Y76" s="29" t="inlineStr">
        <is>
          <t>0.5860253292011965</t>
        </is>
      </c>
      <c r="Z76" s="29" t="inlineStr">
        <is>
          <t>MEDIUM</t>
        </is>
      </c>
      <c r="AA76" s="29" t="inlineStr">
        <is>
          <t>MEDIUM</t>
        </is>
      </c>
      <c r="AB76" s="29" t="inlineStr">
        <is>
          <t>0.04512954873345755</t>
        </is>
      </c>
      <c r="AC76" s="29" t="inlineStr">
        <is>
          <t>False</t>
        </is>
      </c>
      <c r="AD76" s="29" t="inlineStr">
        <is>
          <t>True</t>
        </is>
      </c>
      <c r="AE76" s="29" t="inlineStr">
        <is>
          <t>valuation_credit_ml_overlay_candidate.csv</t>
        </is>
      </c>
      <c r="AF76" s="29" t="inlineStr">
        <is>
          <t>208개 반도체 reference universe. Valuation Agent가 자체 intake 폴더로 복제해 Peer/ML/대시보드 비교에 사용.</t>
        </is>
      </c>
    </row>
    <row r="77" ht="24" customHeight="1">
      <c r="A77" s="24" t="inlineStr">
        <is>
          <t>8</t>
        </is>
      </c>
      <c r="B77" s="24" t="inlineStr">
        <is>
          <t>해당 없음</t>
        </is>
      </c>
      <c r="C77" s="24" t="inlineStr">
        <is>
          <t>루멘스</t>
        </is>
      </c>
      <c r="D77" s="24" t="inlineStr">
        <is>
          <t>038060</t>
        </is>
      </c>
      <c r="E77" s="24" t="inlineStr">
        <is>
          <t>KOSDAQ</t>
        </is>
      </c>
      <c r="F77" s="24" t="inlineStr">
        <is>
          <t>IDM/제조/메모리</t>
        </is>
      </c>
      <c r="G77" s="24" t="inlineStr">
        <is>
          <t>IDM/제조/메모리</t>
        </is>
      </c>
      <c r="H77" s="24" t="inlineStr">
        <is>
          <t>False</t>
        </is>
      </c>
      <c r="I77" s="24" t="inlineStr">
        <is>
          <t>True</t>
        </is>
      </c>
      <c r="J77" s="24" t="inlineStr">
        <is>
          <t>OK</t>
        </is>
      </c>
      <c r="K77" s="24" t="inlineStr">
        <is>
          <t>데이터 사용 가능</t>
        </is>
      </c>
      <c r="L77" s="24" t="inlineStr">
        <is>
          <t>LOW</t>
        </is>
      </c>
      <c r="M77" s="24" t="inlineStr">
        <is>
          <t>LOW</t>
        </is>
      </c>
      <c r="N77" s="24" t="inlineStr">
        <is>
          <t>0.5970000000000001</t>
        </is>
      </c>
      <c r="O77" s="24" t="inlineStr">
        <is>
          <t>FAIR</t>
        </is>
      </c>
      <c r="P77" s="24" t="inlineStr">
        <is>
          <t>FAIR</t>
        </is>
      </c>
      <c r="Q77" s="24" t="inlineStr">
        <is>
          <t>FAIR</t>
        </is>
      </c>
      <c r="R77" s="24" t="inlineStr">
        <is>
          <t>0.8437683700786414</t>
        </is>
      </c>
      <c r="S77" s="24" t="inlineStr">
        <is>
          <t>HIGH</t>
        </is>
      </c>
      <c r="T77" s="24" t="inlineStr">
        <is>
          <t>HIGH</t>
        </is>
      </c>
      <c r="U77" s="24" t="inlineStr">
        <is>
          <t>0.3571428571428571</t>
        </is>
      </c>
      <c r="V77" s="24" t="inlineStr">
        <is>
          <t>MEDIUM_RISK</t>
        </is>
      </c>
      <c r="W77" s="24" t="inlineStr">
        <is>
          <t>중위험</t>
        </is>
      </c>
      <c r="X77" s="24" t="inlineStr">
        <is>
          <t>MEDIUM_RISK</t>
        </is>
      </c>
      <c r="Y77" s="24" t="inlineStr">
        <is>
          <t>0.7365544810444915</t>
        </is>
      </c>
      <c r="Z77" s="24" t="inlineStr">
        <is>
          <t>HIGH</t>
        </is>
      </c>
      <c r="AA77" s="24" t="inlineStr">
        <is>
          <t>HIGH</t>
        </is>
      </c>
      <c r="AB77" s="24" t="inlineStr">
        <is>
          <t>0.0791711120821534</t>
        </is>
      </c>
      <c r="AC77" s="24" t="inlineStr">
        <is>
          <t>False</t>
        </is>
      </c>
      <c r="AD77" s="24" t="inlineStr">
        <is>
          <t>False</t>
        </is>
      </c>
      <c r="AE77" s="24" t="inlineStr">
        <is>
          <t>valuation_credit_ml_overlay_candidate.csv</t>
        </is>
      </c>
      <c r="AF77" s="24" t="inlineStr">
        <is>
          <t>208개 반도체 reference universe. Valuation Agent가 자체 intake 폴더로 복제해 Peer/ML/대시보드 비교에 사용.</t>
        </is>
      </c>
    </row>
    <row r="78" ht="24" customHeight="1">
      <c r="A78" s="29" t="inlineStr">
        <is>
          <t>37</t>
        </is>
      </c>
      <c r="B78" s="29" t="inlineStr">
        <is>
          <t>해당 없음</t>
        </is>
      </c>
      <c r="C78" s="29" t="inlineStr">
        <is>
          <t>피델릭스</t>
        </is>
      </c>
      <c r="D78" s="29" t="inlineStr">
        <is>
          <t>032580</t>
        </is>
      </c>
      <c r="E78" s="29" t="inlineStr">
        <is>
          <t>KOSDAQ</t>
        </is>
      </c>
      <c r="F78" s="29" t="inlineStr">
        <is>
          <t>IDM/제조/메모리</t>
        </is>
      </c>
      <c r="G78" s="29" t="inlineStr">
        <is>
          <t>IDM/제조/메모리</t>
        </is>
      </c>
      <c r="H78" s="29" t="inlineStr">
        <is>
          <t>False</t>
        </is>
      </c>
      <c r="I78" s="29" t="inlineStr">
        <is>
          <t>True</t>
        </is>
      </c>
      <c r="J78" s="29" t="inlineStr">
        <is>
          <t>OK</t>
        </is>
      </c>
      <c r="K78" s="29" t="inlineStr">
        <is>
          <t>데이터 사용 가능</t>
        </is>
      </c>
      <c r="L78" s="29" t="inlineStr">
        <is>
          <t>LOW</t>
        </is>
      </c>
      <c r="M78" s="29" t="inlineStr">
        <is>
          <t>LOW</t>
        </is>
      </c>
      <c r="N78" s="29" t="inlineStr">
        <is>
          <t>0.5873333333333334</t>
        </is>
      </c>
      <c r="O78" s="29" t="inlineStr">
        <is>
          <t>FAIR</t>
        </is>
      </c>
      <c r="P78" s="29" t="inlineStr">
        <is>
          <t>FAIR</t>
        </is>
      </c>
      <c r="Q78" s="29" t="inlineStr">
        <is>
          <t>FAIR</t>
        </is>
      </c>
      <c r="R78" s="29" t="inlineStr">
        <is>
          <t>0.8604826019551013</t>
        </is>
      </c>
      <c r="S78" s="29" t="inlineStr">
        <is>
          <t>HIGH</t>
        </is>
      </c>
      <c r="T78" s="29" t="inlineStr">
        <is>
          <t>HIGH</t>
        </is>
      </c>
      <c r="U78" s="29" t="inlineStr">
        <is>
          <t>0.5</t>
        </is>
      </c>
      <c r="V78" s="29" t="inlineStr">
        <is>
          <t>HIGH_RISK</t>
        </is>
      </c>
      <c r="W78" s="29" t="inlineStr">
        <is>
          <t>고위험</t>
        </is>
      </c>
      <c r="X78" s="29" t="inlineStr">
        <is>
          <t>HIGH_RISK</t>
        </is>
      </c>
      <c r="Y78" s="29" t="inlineStr">
        <is>
          <t>0.9138628953549666</t>
        </is>
      </c>
      <c r="Z78" s="29" t="inlineStr">
        <is>
          <t>HIGH</t>
        </is>
      </c>
      <c r="AA78" s="29" t="inlineStr">
        <is>
          <t>HIGH</t>
        </is>
      </c>
      <c r="AB78" s="29" t="inlineStr">
        <is>
          <t>0.0765288896391056</t>
        </is>
      </c>
      <c r="AC78" s="29" t="inlineStr">
        <is>
          <t>False</t>
        </is>
      </c>
      <c r="AD78" s="29" t="inlineStr">
        <is>
          <t>False</t>
        </is>
      </c>
      <c r="AE78" s="29" t="inlineStr">
        <is>
          <t>valuation_credit_ml_overlay_candidate.csv</t>
        </is>
      </c>
      <c r="AF78" s="29" t="inlineStr">
        <is>
          <t>208개 반도체 reference universe. Valuation Agent가 자체 intake 폴더로 복제해 Peer/ML/대시보드 비교에 사용.</t>
        </is>
      </c>
    </row>
    <row r="79" ht="24" customHeight="1">
      <c r="A79" s="24" t="inlineStr">
        <is>
          <t>21</t>
        </is>
      </c>
      <c r="B79" s="24" t="inlineStr">
        <is>
          <t>해당 없음</t>
        </is>
      </c>
      <c r="C79" s="24" t="inlineStr">
        <is>
          <t>엔시트론</t>
        </is>
      </c>
      <c r="D79" s="24" t="inlineStr">
        <is>
          <t>101400</t>
        </is>
      </c>
      <c r="E79" s="24" t="inlineStr">
        <is>
          <t>KOSDAQ</t>
        </is>
      </c>
      <c r="F79" s="24" t="inlineStr">
        <is>
          <t>IDM/제조/메모리</t>
        </is>
      </c>
      <c r="G79" s="24" t="inlineStr">
        <is>
          <t>IDM/제조/메모리</t>
        </is>
      </c>
      <c r="H79" s="24" t="inlineStr">
        <is>
          <t>False</t>
        </is>
      </c>
      <c r="I79" s="24" t="inlineStr">
        <is>
          <t>True</t>
        </is>
      </c>
      <c r="J79" s="24" t="inlineStr">
        <is>
          <t>OK</t>
        </is>
      </c>
      <c r="K79" s="24" t="inlineStr">
        <is>
          <t>데이터 사용 가능</t>
        </is>
      </c>
      <c r="L79" s="24" t="inlineStr">
        <is>
          <t>LOW</t>
        </is>
      </c>
      <c r="M79" s="24" t="inlineStr">
        <is>
          <t>LOW</t>
        </is>
      </c>
      <c r="N79" s="24" t="inlineStr">
        <is>
          <t>0.5773333333333333</t>
        </is>
      </c>
      <c r="O79" s="24" t="inlineStr">
        <is>
          <t>FAIR</t>
        </is>
      </c>
      <c r="P79" s="24" t="inlineStr">
        <is>
          <t>FAIR</t>
        </is>
      </c>
      <c r="Q79" s="24" t="inlineStr">
        <is>
          <t>FAIR</t>
        </is>
      </c>
      <c r="R79" s="24" t="inlineStr">
        <is>
          <t>0.8173941540342667</t>
        </is>
      </c>
      <c r="S79" s="24" t="inlineStr">
        <is>
          <t>HIGH</t>
        </is>
      </c>
      <c r="T79" s="24" t="inlineStr">
        <is>
          <t>HIGH</t>
        </is>
      </c>
      <c r="U79" s="24" t="inlineStr">
        <is>
          <t>0.3571428571428571</t>
        </is>
      </c>
      <c r="V79" s="24" t="inlineStr">
        <is>
          <t>MEDIUM_RISK</t>
        </is>
      </c>
      <c r="W79" s="24" t="inlineStr">
        <is>
          <t>중위험</t>
        </is>
      </c>
      <c r="X79" s="24" t="inlineStr">
        <is>
          <t>MEDIUM_RISK</t>
        </is>
      </c>
      <c r="Y79" s="24" t="inlineStr">
        <is>
          <t>0.7799614337035685</t>
        </is>
      </c>
      <c r="Z79" s="24" t="inlineStr">
        <is>
          <t>HIGH</t>
        </is>
      </c>
      <c r="AA79" s="24" t="inlineStr">
        <is>
          <t>HIGH</t>
        </is>
      </c>
      <c r="AB79" s="24" t="inlineStr">
        <is>
          <t>0.08202020185637905</t>
        </is>
      </c>
      <c r="AC79" s="24" t="inlineStr">
        <is>
          <t>False</t>
        </is>
      </c>
      <c r="AD79" s="24" t="inlineStr">
        <is>
          <t>False</t>
        </is>
      </c>
      <c r="AE79" s="24" t="inlineStr">
        <is>
          <t>valuation_credit_ml_overlay_candidate.csv</t>
        </is>
      </c>
      <c r="AF79" s="24" t="inlineStr">
        <is>
          <t>208개 반도체 reference universe. Valuation Agent가 자체 intake 폴더로 복제해 Peer/ML/대시보드 비교에 사용.</t>
        </is>
      </c>
    </row>
    <row r="80" ht="24" customHeight="1">
      <c r="A80" s="29" t="inlineStr">
        <is>
          <t>13</t>
        </is>
      </c>
      <c r="B80" s="29" t="inlineStr">
        <is>
          <t>해당 없음</t>
        </is>
      </c>
      <c r="C80" s="29" t="inlineStr">
        <is>
          <t>서울바이오시스</t>
        </is>
      </c>
      <c r="D80" s="29" t="inlineStr">
        <is>
          <t>092190</t>
        </is>
      </c>
      <c r="E80" s="29" t="inlineStr">
        <is>
          <t>KOSDAQ</t>
        </is>
      </c>
      <c r="F80" s="29" t="inlineStr">
        <is>
          <t>IDM/제조/메모리</t>
        </is>
      </c>
      <c r="G80" s="29" t="inlineStr">
        <is>
          <t>IDM/제조/메모리</t>
        </is>
      </c>
      <c r="H80" s="29" t="inlineStr">
        <is>
          <t>False</t>
        </is>
      </c>
      <c r="I80" s="29" t="inlineStr">
        <is>
          <t>True</t>
        </is>
      </c>
      <c r="J80" s="29" t="inlineStr">
        <is>
          <t>OK</t>
        </is>
      </c>
      <c r="K80" s="29" t="inlineStr">
        <is>
          <t>데이터 사용 가능</t>
        </is>
      </c>
      <c r="L80" s="29" t="inlineStr">
        <is>
          <t>LOW</t>
        </is>
      </c>
      <c r="M80" s="29" t="inlineStr">
        <is>
          <t>LOW</t>
        </is>
      </c>
      <c r="N80" s="29" t="inlineStr">
        <is>
          <t>0.5655</t>
        </is>
      </c>
      <c r="O80" s="29" t="inlineStr">
        <is>
          <t>FAIR</t>
        </is>
      </c>
      <c r="P80" s="29" t="inlineStr">
        <is>
          <t>FAIR</t>
        </is>
      </c>
      <c r="Q80" s="29" t="inlineStr">
        <is>
          <t>FAIR</t>
        </is>
      </c>
      <c r="R80" s="29" t="inlineStr">
        <is>
          <t>0.7336783523450653</t>
        </is>
      </c>
      <c r="S80" s="29" t="inlineStr">
        <is>
          <t>HIGH</t>
        </is>
      </c>
      <c r="T80" s="29" t="inlineStr">
        <is>
          <t>HIGH</t>
        </is>
      </c>
      <c r="U80" s="29" t="inlineStr">
        <is>
          <t>0.4285714285714285</t>
        </is>
      </c>
      <c r="V80" s="29" t="inlineStr">
        <is>
          <t>HIGH_RISK</t>
        </is>
      </c>
      <c r="W80" s="29" t="inlineStr">
        <is>
          <t>고위험</t>
        </is>
      </c>
      <c r="X80" s="29" t="inlineStr">
        <is>
          <t>MEDIUM_RISK</t>
        </is>
      </c>
      <c r="Y80" s="29" t="inlineStr">
        <is>
          <t>0.420701328500417</t>
        </is>
      </c>
      <c r="Z80" s="29" t="inlineStr">
        <is>
          <t>LOW</t>
        </is>
      </c>
      <c r="AA80" s="29" t="inlineStr">
        <is>
          <t>LOW</t>
        </is>
      </c>
      <c r="AB80" s="29" t="inlineStr">
        <is>
          <t>0.22867438374329632</t>
        </is>
      </c>
      <c r="AC80" s="29" t="inlineStr">
        <is>
          <t>False</t>
        </is>
      </c>
      <c r="AD80" s="29" t="inlineStr">
        <is>
          <t>True</t>
        </is>
      </c>
      <c r="AE80" s="29" t="inlineStr">
        <is>
          <t>valuation_credit_ml_overlay_candidate.csv</t>
        </is>
      </c>
      <c r="AF80" s="29" t="inlineStr">
        <is>
          <t>208개 반도체 reference universe. Valuation Agent가 자체 intake 폴더로 복제해 Peer/ML/대시보드 비교에 사용.</t>
        </is>
      </c>
    </row>
    <row r="81" ht="24" customHeight="1">
      <c r="A81" s="24" t="inlineStr">
        <is>
          <t>34</t>
        </is>
      </c>
      <c r="B81" s="24" t="inlineStr">
        <is>
          <t>해당 없음</t>
        </is>
      </c>
      <c r="C81" s="24" t="inlineStr">
        <is>
          <t>큐에스아이</t>
        </is>
      </c>
      <c r="D81" s="24" t="inlineStr">
        <is>
          <t>066310</t>
        </is>
      </c>
      <c r="E81" s="24" t="inlineStr">
        <is>
          <t>KOSDAQ</t>
        </is>
      </c>
      <c r="F81" s="24" t="inlineStr">
        <is>
          <t>IDM/제조/메모리</t>
        </is>
      </c>
      <c r="G81" s="24" t="inlineStr">
        <is>
          <t>IDM/제조/메모리</t>
        </is>
      </c>
      <c r="H81" s="24" t="inlineStr">
        <is>
          <t>False</t>
        </is>
      </c>
      <c r="I81" s="24" t="inlineStr">
        <is>
          <t>True</t>
        </is>
      </c>
      <c r="J81" s="24" t="inlineStr">
        <is>
          <t>OK</t>
        </is>
      </c>
      <c r="K81" s="24" t="inlineStr">
        <is>
          <t>데이터 사용 가능</t>
        </is>
      </c>
      <c r="L81" s="24" t="inlineStr">
        <is>
          <t>LOW</t>
        </is>
      </c>
      <c r="M81" s="24" t="inlineStr">
        <is>
          <t>LOW</t>
        </is>
      </c>
      <c r="N81" s="24" t="inlineStr">
        <is>
          <t>0.5423333333333333</t>
        </is>
      </c>
      <c r="O81" s="24" t="inlineStr">
        <is>
          <t>FAIR</t>
        </is>
      </c>
      <c r="P81" s="24" t="inlineStr">
        <is>
          <t>FAIR</t>
        </is>
      </c>
      <c r="Q81" s="24" t="inlineStr">
        <is>
          <t>FAIR</t>
        </is>
      </c>
      <c r="R81" s="24" t="inlineStr">
        <is>
          <t>0.5496283015517583</t>
        </is>
      </c>
      <c r="S81" s="24" t="inlineStr">
        <is>
          <t>MEDIUM</t>
        </is>
      </c>
      <c r="T81" s="24" t="inlineStr">
        <is>
          <t>MEDIUM</t>
        </is>
      </c>
      <c r="U81" s="24" t="inlineStr">
        <is>
          <t>0.0714285714285714</t>
        </is>
      </c>
      <c r="V81" s="24" t="inlineStr">
        <is>
          <t>LOW_RISK</t>
        </is>
      </c>
      <c r="W81" s="24" t="inlineStr">
        <is>
          <t>저위험</t>
        </is>
      </c>
      <c r="X81" s="24" t="inlineStr">
        <is>
          <t>LOW_RISK</t>
        </is>
      </c>
      <c r="Y81" s="24" t="inlineStr">
        <is>
          <t>0.8341403016587674</t>
        </is>
      </c>
      <c r="Z81" s="24" t="inlineStr">
        <is>
          <t>HIGH</t>
        </is>
      </c>
      <c r="AA81" s="24" t="inlineStr">
        <is>
          <t>HIGH</t>
        </is>
      </c>
      <c r="AB81" s="24" t="inlineStr">
        <is>
          <t>0.21446147407494193</t>
        </is>
      </c>
      <c r="AC81" s="24" t="inlineStr">
        <is>
          <t>False</t>
        </is>
      </c>
      <c r="AD81" s="24" t="inlineStr">
        <is>
          <t>False</t>
        </is>
      </c>
      <c r="AE81" s="24" t="inlineStr">
        <is>
          <t>valuation_credit_ml_overlay_candidate.csv</t>
        </is>
      </c>
      <c r="AF81" s="24" t="inlineStr">
        <is>
          <t>208개 반도체 reference universe. Valuation Agent가 자체 intake 폴더로 복제해 Peer/ML/대시보드 비교에 사용.</t>
        </is>
      </c>
    </row>
    <row r="82" ht="24" customHeight="1">
      <c r="A82" s="29" t="inlineStr">
        <is>
          <t>23</t>
        </is>
      </c>
      <c r="B82" s="29" t="inlineStr">
        <is>
          <t>해당 없음</t>
        </is>
      </c>
      <c r="C82" s="29" t="inlineStr">
        <is>
          <t>엘오티베큠</t>
        </is>
      </c>
      <c r="D82" s="29" t="inlineStr">
        <is>
          <t>083310</t>
        </is>
      </c>
      <c r="E82" s="29" t="inlineStr">
        <is>
          <t>KOSDAQ</t>
        </is>
      </c>
      <c r="F82" s="29" t="inlineStr">
        <is>
          <t>IDM/제조/메모리</t>
        </is>
      </c>
      <c r="G82" s="29" t="inlineStr">
        <is>
          <t>IDM/제조/메모리</t>
        </is>
      </c>
      <c r="H82" s="29" t="inlineStr">
        <is>
          <t>False</t>
        </is>
      </c>
      <c r="I82" s="29" t="inlineStr">
        <is>
          <t>True</t>
        </is>
      </c>
      <c r="J82" s="29" t="inlineStr">
        <is>
          <t>OK</t>
        </is>
      </c>
      <c r="K82" s="29" t="inlineStr">
        <is>
          <t>데이터 사용 가능</t>
        </is>
      </c>
      <c r="L82" s="29" t="inlineStr">
        <is>
          <t>LOW</t>
        </is>
      </c>
      <c r="M82" s="29" t="inlineStr">
        <is>
          <t>LOW</t>
        </is>
      </c>
      <c r="N82" s="29" t="inlineStr">
        <is>
          <t>0.538</t>
        </is>
      </c>
      <c r="O82" s="29" t="inlineStr">
        <is>
          <t>FAIR</t>
        </is>
      </c>
      <c r="P82" s="29" t="inlineStr">
        <is>
          <t>FAIR</t>
        </is>
      </c>
      <c r="Q82" s="29" t="inlineStr">
        <is>
          <t>FAIR</t>
        </is>
      </c>
      <c r="R82" s="29" t="inlineStr">
        <is>
          <t>0.860578291373445</t>
        </is>
      </c>
      <c r="S82" s="29" t="inlineStr">
        <is>
          <t>HIGH</t>
        </is>
      </c>
      <c r="T82" s="29" t="inlineStr">
        <is>
          <t>HIGH</t>
        </is>
      </c>
      <c r="U82" s="29" t="inlineStr">
        <is>
          <t>0.2142857142857142</t>
        </is>
      </c>
      <c r="V82" s="29" t="inlineStr">
        <is>
          <t>MEDIUM_RISK</t>
        </is>
      </c>
      <c r="W82" s="29" t="inlineStr">
        <is>
          <t>중위험</t>
        </is>
      </c>
      <c r="X82" s="29" t="inlineStr">
        <is>
          <t>MEDIUM_RISK</t>
        </is>
      </c>
      <c r="Y82" s="29" t="inlineStr">
        <is>
          <t>0.8356274138697954</t>
        </is>
      </c>
      <c r="Z82" s="29" t="inlineStr">
        <is>
          <t>HIGH</t>
        </is>
      </c>
      <c r="AA82" s="29" t="inlineStr">
        <is>
          <t>HIGH</t>
        </is>
      </c>
      <c r="AB82" s="29" t="inlineStr">
        <is>
          <t>0.04088276425948358</t>
        </is>
      </c>
      <c r="AC82" s="29" t="inlineStr">
        <is>
          <t>False</t>
        </is>
      </c>
      <c r="AD82" s="29" t="inlineStr">
        <is>
          <t>False</t>
        </is>
      </c>
      <c r="AE82" s="29" t="inlineStr">
        <is>
          <t>valuation_credit_ml_overlay_candidate.csv</t>
        </is>
      </c>
      <c r="AF82" s="29" t="inlineStr">
        <is>
          <t>208개 반도체 reference universe. Valuation Agent가 자체 intake 폴더로 복제해 Peer/ML/대시보드 비교에 사용.</t>
        </is>
      </c>
    </row>
    <row r="83" ht="24" customHeight="1">
      <c r="A83" s="24" t="inlineStr">
        <is>
          <t>11</t>
        </is>
      </c>
      <c r="B83" s="24" t="inlineStr">
        <is>
          <t>해당 없음</t>
        </is>
      </c>
      <c r="C83" s="24" t="inlineStr">
        <is>
          <t>비씨엔씨</t>
        </is>
      </c>
      <c r="D83" s="24" t="inlineStr">
        <is>
          <t>146320</t>
        </is>
      </c>
      <c r="E83" s="24" t="inlineStr">
        <is>
          <t>KOSDAQ</t>
        </is>
      </c>
      <c r="F83" s="24" t="inlineStr">
        <is>
          <t>IDM/제조/메모리</t>
        </is>
      </c>
      <c r="G83" s="24" t="inlineStr">
        <is>
          <t>IDM/제조/메모리</t>
        </is>
      </c>
      <c r="H83" s="24" t="inlineStr">
        <is>
          <t>False</t>
        </is>
      </c>
      <c r="I83" s="24" t="inlineStr">
        <is>
          <t>True</t>
        </is>
      </c>
      <c r="J83" s="24" t="inlineStr">
        <is>
          <t>KEY_ACCOUNT_PARTIAL_MISSING</t>
        </is>
      </c>
      <c r="K83" s="24" t="inlineStr">
        <is>
          <t>데이터 사용 가능</t>
        </is>
      </c>
      <c r="L83" s="24" t="inlineStr">
        <is>
          <t>MEDIUM</t>
        </is>
      </c>
      <c r="M83" s="24" t="inlineStr">
        <is>
          <t>MEDIUM</t>
        </is>
      </c>
      <c r="N83" s="24" t="inlineStr">
        <is>
          <t>0.5365833333333333</t>
        </is>
      </c>
      <c r="O83" s="24" t="inlineStr">
        <is>
          <t>FAIR</t>
        </is>
      </c>
      <c r="P83" s="24" t="inlineStr">
        <is>
          <t>FAIR</t>
        </is>
      </c>
      <c r="Q83" s="24" t="inlineStr">
        <is>
          <t>FAIR</t>
        </is>
      </c>
      <c r="R83" s="24" t="inlineStr">
        <is>
          <t>0.7033805368548921</t>
        </is>
      </c>
      <c r="S83" s="24" t="inlineStr">
        <is>
          <t>HIGH</t>
        </is>
      </c>
      <c r="T83" s="24" t="inlineStr">
        <is>
          <t>HIGH</t>
        </is>
      </c>
      <c r="U83" s="24" t="inlineStr">
        <is>
          <t>0.2857142857142857</t>
        </is>
      </c>
      <c r="V83" s="24" t="inlineStr">
        <is>
          <t>MEDIUM_RISK</t>
        </is>
      </c>
      <c r="W83" s="24" t="inlineStr">
        <is>
          <t>중위험</t>
        </is>
      </c>
      <c r="X83" s="24" t="inlineStr">
        <is>
          <t>MEDIUM_RISK</t>
        </is>
      </c>
      <c r="Y83" s="24" t="inlineStr">
        <is>
          <t>0.7333342608471988</t>
        </is>
      </c>
      <c r="Z83" s="24" t="inlineStr">
        <is>
          <t>HIGH</t>
        </is>
      </c>
      <c r="AA83" s="24" t="inlineStr">
        <is>
          <t>HIGH</t>
        </is>
      </c>
      <c r="AB83" s="24" t="inlineStr">
        <is>
          <t>0.031762409510830696</t>
        </is>
      </c>
      <c r="AC83" s="24" t="inlineStr">
        <is>
          <t>False</t>
        </is>
      </c>
      <c r="AD83" s="24" t="inlineStr">
        <is>
          <t>True</t>
        </is>
      </c>
      <c r="AE83" s="24" t="inlineStr">
        <is>
          <t>valuation_credit_ml_overlay_candidate.csv</t>
        </is>
      </c>
      <c r="AF83" s="24" t="inlineStr">
        <is>
          <t>208개 반도체 reference universe. Valuation Agent가 자체 intake 폴더로 복제해 Peer/ML/대시보드 비교에 사용.</t>
        </is>
      </c>
    </row>
    <row r="84" ht="24" customHeight="1">
      <c r="A84" s="29" t="inlineStr">
        <is>
          <t>36</t>
        </is>
      </c>
      <c r="B84" s="29" t="inlineStr">
        <is>
          <t>해당 없음</t>
        </is>
      </c>
      <c r="C84" s="29" t="inlineStr">
        <is>
          <t>티엘비</t>
        </is>
      </c>
      <c r="D84" s="29" t="inlineStr">
        <is>
          <t>356860</t>
        </is>
      </c>
      <c r="E84" s="29" t="inlineStr">
        <is>
          <t>KOSDAQ</t>
        </is>
      </c>
      <c r="F84" s="29" t="inlineStr">
        <is>
          <t>IDM/제조/메모리</t>
        </is>
      </c>
      <c r="G84" s="29" t="inlineStr">
        <is>
          <t>IDM/제조/메모리</t>
        </is>
      </c>
      <c r="H84" s="29" t="inlineStr">
        <is>
          <t>False</t>
        </is>
      </c>
      <c r="I84" s="29" t="inlineStr">
        <is>
          <t>True</t>
        </is>
      </c>
      <c r="J84" s="29" t="inlineStr">
        <is>
          <t>OK</t>
        </is>
      </c>
      <c r="K84" s="29" t="inlineStr">
        <is>
          <t>데이터 사용 가능</t>
        </is>
      </c>
      <c r="L84" s="29" t="inlineStr">
        <is>
          <t>LOW</t>
        </is>
      </c>
      <c r="M84" s="29" t="inlineStr">
        <is>
          <t>LOW</t>
        </is>
      </c>
      <c r="N84" s="29" t="inlineStr">
        <is>
          <t>0.5361666666666667</t>
        </is>
      </c>
      <c r="O84" s="29" t="inlineStr">
        <is>
          <t>FAIR</t>
        </is>
      </c>
      <c r="P84" s="29" t="inlineStr">
        <is>
          <t>FAIR</t>
        </is>
      </c>
      <c r="Q84" s="29" t="inlineStr">
        <is>
          <t>FAIR</t>
        </is>
      </c>
      <c r="R84" s="29" t="inlineStr">
        <is>
          <t>0.8509295904965918</t>
        </is>
      </c>
      <c r="S84" s="29" t="inlineStr">
        <is>
          <t>HIGH</t>
        </is>
      </c>
      <c r="T84" s="29" t="inlineStr">
        <is>
          <t>HIGH</t>
        </is>
      </c>
      <c r="U84" s="29" t="inlineStr">
        <is>
          <t>0.0714285714285714</t>
        </is>
      </c>
      <c r="V84" s="29" t="inlineStr">
        <is>
          <t>LOW_RISK</t>
        </is>
      </c>
      <c r="W84" s="29" t="inlineStr">
        <is>
          <t>저위험</t>
        </is>
      </c>
      <c r="X84" s="29" t="inlineStr">
        <is>
          <t>LOW_RISK</t>
        </is>
      </c>
      <c r="Y84" s="29" t="inlineStr">
        <is>
          <t>0.6625834729097503</t>
        </is>
      </c>
      <c r="Z84" s="29" t="inlineStr">
        <is>
          <t>MEDIUM</t>
        </is>
      </c>
      <c r="AA84" s="29" t="inlineStr">
        <is>
          <t>MEDIUM</t>
        </is>
      </c>
      <c r="AB84" s="29" t="inlineStr">
        <is>
          <t>0.01843936297746685</t>
        </is>
      </c>
      <c r="AC84" s="29" t="inlineStr">
        <is>
          <t>False</t>
        </is>
      </c>
      <c r="AD84" s="29" t="inlineStr">
        <is>
          <t>False</t>
        </is>
      </c>
      <c r="AE84" s="29" t="inlineStr">
        <is>
          <t>valuation_credit_ml_overlay_candidate.csv</t>
        </is>
      </c>
      <c r="AF84" s="29" t="inlineStr">
        <is>
          <t>208개 반도체 reference universe. Valuation Agent가 자체 intake 폴더로 복제해 Peer/ML/대시보드 비교에 사용.</t>
        </is>
      </c>
    </row>
    <row r="85" ht="24" customHeight="1">
      <c r="A85" s="24" t="inlineStr">
        <is>
          <t>38</t>
        </is>
      </c>
      <c r="B85" s="24" t="inlineStr">
        <is>
          <t>해당 없음</t>
        </is>
      </c>
      <c r="C85" s="24" t="inlineStr">
        <is>
          <t>하나머티리얼즈</t>
        </is>
      </c>
      <c r="D85" s="24" t="inlineStr">
        <is>
          <t>166090</t>
        </is>
      </c>
      <c r="E85" s="24" t="inlineStr">
        <is>
          <t>KOSDAQ GLOBAL</t>
        </is>
      </c>
      <c r="F85" s="24" t="inlineStr">
        <is>
          <t>IDM/제조/메모리</t>
        </is>
      </c>
      <c r="G85" s="24" t="inlineStr">
        <is>
          <t>IDM/제조/메모리</t>
        </is>
      </c>
      <c r="H85" s="24" t="inlineStr">
        <is>
          <t>False</t>
        </is>
      </c>
      <c r="I85" s="24" t="inlineStr">
        <is>
          <t>True</t>
        </is>
      </c>
      <c r="J85" s="24" t="inlineStr">
        <is>
          <t>OK</t>
        </is>
      </c>
      <c r="K85" s="24" t="inlineStr">
        <is>
          <t>데이터 사용 가능</t>
        </is>
      </c>
      <c r="L85" s="24" t="inlineStr">
        <is>
          <t>LOW</t>
        </is>
      </c>
      <c r="M85" s="24" t="inlineStr">
        <is>
          <t>LOW</t>
        </is>
      </c>
      <c r="N85" s="24" t="inlineStr">
        <is>
          <t>0.5321666666666667</t>
        </is>
      </c>
      <c r="O85" s="24" t="inlineStr">
        <is>
          <t>FAIR</t>
        </is>
      </c>
      <c r="P85" s="24" t="inlineStr">
        <is>
          <t>FAIR</t>
        </is>
      </c>
      <c r="Q85" s="24" t="inlineStr">
        <is>
          <t>ATTRACTIVE</t>
        </is>
      </c>
      <c r="R85" s="24" t="inlineStr">
        <is>
          <t>0.6425667923365267</t>
        </is>
      </c>
      <c r="S85" s="24" t="inlineStr">
        <is>
          <t>MEDIUM</t>
        </is>
      </c>
      <c r="T85" s="24" t="inlineStr">
        <is>
          <t>MEDIUM</t>
        </is>
      </c>
      <c r="U85" s="24" t="inlineStr">
        <is>
          <t>0.0</t>
        </is>
      </c>
      <c r="V85" s="24" t="inlineStr">
        <is>
          <t>LOW_RISK</t>
        </is>
      </c>
      <c r="W85" s="24" t="inlineStr">
        <is>
          <t>저위험</t>
        </is>
      </c>
      <c r="X85" s="24" t="inlineStr">
        <is>
          <t>LOW_RISK</t>
        </is>
      </c>
      <c r="Y85" s="24" t="inlineStr">
        <is>
          <t>0.9093779024453453</t>
        </is>
      </c>
      <c r="Z85" s="24" t="inlineStr">
        <is>
          <t>HIGH</t>
        </is>
      </c>
      <c r="AA85" s="24" t="inlineStr">
        <is>
          <t>HIGH</t>
        </is>
      </c>
      <c r="AB85" s="24" t="inlineStr">
        <is>
          <t>0.030620686282363033</t>
        </is>
      </c>
      <c r="AC85" s="24" t="inlineStr">
        <is>
          <t>False</t>
        </is>
      </c>
      <c r="AD85" s="24" t="inlineStr">
        <is>
          <t>False</t>
        </is>
      </c>
      <c r="AE85" s="24" t="inlineStr">
        <is>
          <t>valuation_credit_ml_overlay_candidate.csv</t>
        </is>
      </c>
      <c r="AF85" s="24" t="inlineStr">
        <is>
          <t>208개 반도체 reference universe. Valuation Agent가 자체 intake 폴더로 복제해 Peer/ML/대시보드 비교에 사용.</t>
        </is>
      </c>
    </row>
    <row r="86" ht="24" customHeight="1">
      <c r="A86" s="29" t="inlineStr">
        <is>
          <t>26</t>
        </is>
      </c>
      <c r="B86" s="29" t="inlineStr">
        <is>
          <t>해당 없음</t>
        </is>
      </c>
      <c r="C86" s="29" t="inlineStr">
        <is>
          <t>웰킵스하이텍</t>
        </is>
      </c>
      <c r="D86" s="29" t="inlineStr">
        <is>
          <t>043590</t>
        </is>
      </c>
      <c r="E86" s="29" t="inlineStr">
        <is>
          <t>KOSDAQ</t>
        </is>
      </c>
      <c r="F86" s="29" t="inlineStr">
        <is>
          <t>IDM/제조/메모리</t>
        </is>
      </c>
      <c r="G86" s="29" t="inlineStr">
        <is>
          <t>IDM/제조/메모리</t>
        </is>
      </c>
      <c r="H86" s="29" t="inlineStr">
        <is>
          <t>False</t>
        </is>
      </c>
      <c r="I86" s="29" t="inlineStr">
        <is>
          <t>True</t>
        </is>
      </c>
      <c r="J86" s="29" t="inlineStr">
        <is>
          <t>OK</t>
        </is>
      </c>
      <c r="K86" s="29" t="inlineStr">
        <is>
          <t>데이터 사용 가능</t>
        </is>
      </c>
      <c r="L86" s="29" t="inlineStr">
        <is>
          <t>LOW</t>
        </is>
      </c>
      <c r="M86" s="29" t="inlineStr">
        <is>
          <t>LOW</t>
        </is>
      </c>
      <c r="N86" s="29" t="inlineStr">
        <is>
          <t>0.5086666666666667</t>
        </is>
      </c>
      <c r="O86" s="29" t="inlineStr">
        <is>
          <t>FAIR</t>
        </is>
      </c>
      <c r="P86" s="29" t="inlineStr">
        <is>
          <t>FAIR</t>
        </is>
      </c>
      <c r="Q86" s="29" t="inlineStr">
        <is>
          <t>FAIR</t>
        </is>
      </c>
      <c r="R86" s="29" t="inlineStr">
        <is>
          <t>0.7753200487478359</t>
        </is>
      </c>
      <c r="S86" s="29" t="inlineStr">
        <is>
          <t>HIGH</t>
        </is>
      </c>
      <c r="T86" s="29" t="inlineStr">
        <is>
          <t>HIGH</t>
        </is>
      </c>
      <c r="U86" s="29" t="inlineStr">
        <is>
          <t>0.7142857142857143</t>
        </is>
      </c>
      <c r="V86" s="29" t="inlineStr">
        <is>
          <t>HIGH_RISK</t>
        </is>
      </c>
      <c r="W86" s="29" t="inlineStr">
        <is>
          <t>고위험</t>
        </is>
      </c>
      <c r="X86" s="29" t="inlineStr">
        <is>
          <t>HIGH_RISK</t>
        </is>
      </c>
      <c r="Y86" s="29" t="inlineStr">
        <is>
          <t>0.947839296487721</t>
        </is>
      </c>
      <c r="Z86" s="29" t="inlineStr">
        <is>
          <t>HIGH</t>
        </is>
      </c>
      <c r="AA86" s="29" t="inlineStr">
        <is>
          <t>HIGH</t>
        </is>
      </c>
      <c r="AB86" s="29" t="inlineStr">
        <is>
          <t>0.081041930024575</t>
        </is>
      </c>
      <c r="AC86" s="29" t="inlineStr">
        <is>
          <t>False</t>
        </is>
      </c>
      <c r="AD86" s="29" t="inlineStr">
        <is>
          <t>False</t>
        </is>
      </c>
      <c r="AE86" s="29" t="inlineStr">
        <is>
          <t>valuation_credit_ml_overlay_candidate.csv</t>
        </is>
      </c>
      <c r="AF86" s="29" t="inlineStr">
        <is>
          <t>208개 반도체 reference universe. Valuation Agent가 자체 intake 폴더로 복제해 Peer/ML/대시보드 비교에 사용.</t>
        </is>
      </c>
    </row>
    <row r="87" ht="24" customHeight="1">
      <c r="A87" s="24" t="inlineStr">
        <is>
          <t>35</t>
        </is>
      </c>
      <c r="B87" s="24" t="inlineStr">
        <is>
          <t>해당 없음</t>
        </is>
      </c>
      <c r="C87" s="24" t="inlineStr">
        <is>
          <t>테크엘</t>
        </is>
      </c>
      <c r="D87" s="24" t="inlineStr">
        <is>
          <t>064520</t>
        </is>
      </c>
      <c r="E87" s="24" t="inlineStr">
        <is>
          <t>KOSDAQ</t>
        </is>
      </c>
      <c r="F87" s="24" t="inlineStr">
        <is>
          <t>IDM/제조/메모리</t>
        </is>
      </c>
      <c r="G87" s="24" t="inlineStr">
        <is>
          <t>IDM/제조/메모리</t>
        </is>
      </c>
      <c r="H87" s="24" t="inlineStr">
        <is>
          <t>False</t>
        </is>
      </c>
      <c r="I87" s="24" t="inlineStr">
        <is>
          <t>True</t>
        </is>
      </c>
      <c r="J87" s="24" t="inlineStr">
        <is>
          <t>OK</t>
        </is>
      </c>
      <c r="K87" s="24" t="inlineStr">
        <is>
          <t>데이터 사용 가능</t>
        </is>
      </c>
      <c r="L87" s="24" t="inlineStr">
        <is>
          <t>LOW</t>
        </is>
      </c>
      <c r="M87" s="24" t="inlineStr">
        <is>
          <t>LOW</t>
        </is>
      </c>
      <c r="N87" s="24" t="inlineStr">
        <is>
          <t>0.4756666666666667</t>
        </is>
      </c>
      <c r="O87" s="24" t="inlineStr">
        <is>
          <t>FAIR</t>
        </is>
      </c>
      <c r="P87" s="24" t="inlineStr">
        <is>
          <t>FAIR</t>
        </is>
      </c>
      <c r="Q87" s="24" t="inlineStr">
        <is>
          <t>FAIR</t>
        </is>
      </c>
      <c r="R87" s="24" t="inlineStr">
        <is>
          <t>0.7806095936743286</t>
        </is>
      </c>
      <c r="S87" s="24" t="inlineStr">
        <is>
          <t>HIGH</t>
        </is>
      </c>
      <c r="T87" s="24" t="inlineStr">
        <is>
          <t>HIGH</t>
        </is>
      </c>
      <c r="U87" s="24" t="inlineStr">
        <is>
          <t>0.5</t>
        </is>
      </c>
      <c r="V87" s="24" t="inlineStr">
        <is>
          <t>HIGH_RISK</t>
        </is>
      </c>
      <c r="W87" s="24" t="inlineStr">
        <is>
          <t>고위험</t>
        </is>
      </c>
      <c r="X87" s="24" t="inlineStr">
        <is>
          <t>HIGH_RISK</t>
        </is>
      </c>
      <c r="Y87" s="24" t="inlineStr">
        <is>
          <t>0.8561648968032103</t>
        </is>
      </c>
      <c r="Z87" s="24" t="inlineStr">
        <is>
          <t>HIGH</t>
        </is>
      </c>
      <c r="AA87" s="24" t="inlineStr">
        <is>
          <t>HIGH</t>
        </is>
      </c>
      <c r="AB87" s="24" t="inlineStr">
        <is>
          <t>0.5330742789427354</t>
        </is>
      </c>
      <c r="AC87" s="24" t="inlineStr">
        <is>
          <t>True</t>
        </is>
      </c>
      <c r="AD87" s="24" t="inlineStr">
        <is>
          <t>True</t>
        </is>
      </c>
      <c r="AE87" s="24" t="inlineStr">
        <is>
          <t>valuation_credit_ml_overlay_candidate.csv</t>
        </is>
      </c>
      <c r="AF87" s="24" t="inlineStr">
        <is>
          <t>208개 반도체 reference universe. Valuation Agent가 자체 intake 폴더로 복제해 Peer/ML/대시보드 비교에 사용.</t>
        </is>
      </c>
    </row>
    <row r="88" ht="24" customHeight="1">
      <c r="A88" s="29" t="inlineStr">
        <is>
          <t>14</t>
        </is>
      </c>
      <c r="B88" s="29" t="inlineStr">
        <is>
          <t>해당 없음</t>
        </is>
      </c>
      <c r="C88" s="29" t="inlineStr">
        <is>
          <t>서울반도체</t>
        </is>
      </c>
      <c r="D88" s="29" t="inlineStr">
        <is>
          <t>046890</t>
        </is>
      </c>
      <c r="E88" s="29" t="inlineStr">
        <is>
          <t>KOSDAQ GLOBAL</t>
        </is>
      </c>
      <c r="F88" s="29" t="inlineStr">
        <is>
          <t>IDM/제조/메모리</t>
        </is>
      </c>
      <c r="G88" s="29" t="inlineStr">
        <is>
          <t>IDM/제조/메모리</t>
        </is>
      </c>
      <c r="H88" s="29" t="inlineStr">
        <is>
          <t>False</t>
        </is>
      </c>
      <c r="I88" s="29" t="inlineStr">
        <is>
          <t>True</t>
        </is>
      </c>
      <c r="J88" s="29" t="inlineStr">
        <is>
          <t>OK</t>
        </is>
      </c>
      <c r="K88" s="29" t="inlineStr">
        <is>
          <t>데이터 사용 가능</t>
        </is>
      </c>
      <c r="L88" s="29" t="inlineStr">
        <is>
          <t>LOW</t>
        </is>
      </c>
      <c r="M88" s="29" t="inlineStr">
        <is>
          <t>LOW</t>
        </is>
      </c>
      <c r="N88" s="29" t="inlineStr">
        <is>
          <t>0.4713333333333333</t>
        </is>
      </c>
      <c r="O88" s="29" t="inlineStr">
        <is>
          <t>FAIR</t>
        </is>
      </c>
      <c r="P88" s="29" t="inlineStr">
        <is>
          <t>FAIR</t>
        </is>
      </c>
      <c r="Q88" s="29" t="inlineStr">
        <is>
          <t>FAIR</t>
        </is>
      </c>
      <c r="R88" s="29" t="inlineStr">
        <is>
          <t>0.8223266790603506</t>
        </is>
      </c>
      <c r="S88" s="29" t="inlineStr">
        <is>
          <t>HIGH</t>
        </is>
      </c>
      <c r="T88" s="29" t="inlineStr">
        <is>
          <t>HIGH</t>
        </is>
      </c>
      <c r="U88" s="29" t="inlineStr">
        <is>
          <t>0.4285714285714285</t>
        </is>
      </c>
      <c r="V88" s="29" t="inlineStr">
        <is>
          <t>HIGH_RISK</t>
        </is>
      </c>
      <c r="W88" s="29" t="inlineStr">
        <is>
          <t>고위험</t>
        </is>
      </c>
      <c r="X88" s="29" t="inlineStr">
        <is>
          <t>HIGH_RISK</t>
        </is>
      </c>
      <c r="Y88" s="29" t="inlineStr">
        <is>
          <t>0.4638497062404094</t>
        </is>
      </c>
      <c r="Z88" s="29" t="inlineStr">
        <is>
          <t>LOW</t>
        </is>
      </c>
      <c r="AA88" s="29" t="inlineStr">
        <is>
          <t>LOW</t>
        </is>
      </c>
      <c r="AB88" s="29" t="inlineStr">
        <is>
          <t>0.03475805140959721</t>
        </is>
      </c>
      <c r="AC88" s="29" t="inlineStr">
        <is>
          <t>False</t>
        </is>
      </c>
      <c r="AD88" s="29" t="inlineStr">
        <is>
          <t>True</t>
        </is>
      </c>
      <c r="AE88" s="29" t="inlineStr">
        <is>
          <t>valuation_credit_ml_overlay_candidate.csv</t>
        </is>
      </c>
      <c r="AF88" s="29" t="inlineStr">
        <is>
          <t>208개 반도체 reference universe. Valuation Agent가 자체 intake 폴더로 복제해 Peer/ML/대시보드 비교에 사용.</t>
        </is>
      </c>
    </row>
    <row r="89" ht="24" customHeight="1">
      <c r="A89" s="24" t="inlineStr">
        <is>
          <t>2</t>
        </is>
      </c>
      <c r="B89" s="24" t="inlineStr">
        <is>
          <t>해당 없음</t>
        </is>
      </c>
      <c r="C89" s="24" t="inlineStr">
        <is>
          <t>HD현대에너지솔루션</t>
        </is>
      </c>
      <c r="D89" s="24" t="inlineStr">
        <is>
          <t>322000</t>
        </is>
      </c>
      <c r="E89" s="24" t="inlineStr">
        <is>
          <t>KOSPI</t>
        </is>
      </c>
      <c r="F89" s="24" t="inlineStr">
        <is>
          <t>IDM/제조/메모리</t>
        </is>
      </c>
      <c r="G89" s="24" t="inlineStr">
        <is>
          <t>IDM/제조/메모리</t>
        </is>
      </c>
      <c r="H89" s="24" t="inlineStr">
        <is>
          <t>False</t>
        </is>
      </c>
      <c r="I89" s="24" t="inlineStr">
        <is>
          <t>True</t>
        </is>
      </c>
      <c r="J89" s="24" t="inlineStr">
        <is>
          <t>OK</t>
        </is>
      </c>
      <c r="K89" s="24" t="inlineStr">
        <is>
          <t>데이터 사용 가능</t>
        </is>
      </c>
      <c r="L89" s="24" t="inlineStr">
        <is>
          <t>LOW</t>
        </is>
      </c>
      <c r="M89" s="24" t="inlineStr">
        <is>
          <t>LOW</t>
        </is>
      </c>
      <c r="N89" s="24" t="inlineStr">
        <is>
          <t>0.465</t>
        </is>
      </c>
      <c r="O89" s="24" t="inlineStr">
        <is>
          <t>FAIR</t>
        </is>
      </c>
      <c r="P89" s="24" t="inlineStr">
        <is>
          <t>FAIR</t>
        </is>
      </c>
      <c r="Q89" s="24" t="inlineStr">
        <is>
          <t>FAIR</t>
        </is>
      </c>
      <c r="R89" s="24" t="inlineStr">
        <is>
          <t>0.6226975287022534</t>
        </is>
      </c>
      <c r="S89" s="24" t="inlineStr">
        <is>
          <t>MEDIUM</t>
        </is>
      </c>
      <c r="T89" s="24" t="inlineStr">
        <is>
          <t>MEDIUM</t>
        </is>
      </c>
      <c r="U89" s="24" t="inlineStr">
        <is>
          <t>0.1428571428571428</t>
        </is>
      </c>
      <c r="V89" s="24" t="inlineStr">
        <is>
          <t>LOW_RISK</t>
        </is>
      </c>
      <c r="W89" s="24" t="inlineStr">
        <is>
          <t>저위험</t>
        </is>
      </c>
      <c r="X89" s="24" t="inlineStr">
        <is>
          <t>LOW_RISK</t>
        </is>
      </c>
      <c r="Y89" s="24" t="inlineStr">
        <is>
          <t>0.7991918320073205</t>
        </is>
      </c>
      <c r="Z89" s="24" t="inlineStr">
        <is>
          <t>HIGH</t>
        </is>
      </c>
      <c r="AA89" s="24" t="inlineStr">
        <is>
          <t>HIGH</t>
        </is>
      </c>
      <c r="AB89" s="24" t="inlineStr">
        <is>
          <t>0.09437249653360377</t>
        </is>
      </c>
      <c r="AC89" s="24" t="inlineStr">
        <is>
          <t>False</t>
        </is>
      </c>
      <c r="AD89" s="24" t="inlineStr">
        <is>
          <t>False</t>
        </is>
      </c>
      <c r="AE89" s="24" t="inlineStr">
        <is>
          <t>valuation_credit_ml_overlay_candidate.csv</t>
        </is>
      </c>
      <c r="AF89" s="24" t="inlineStr">
        <is>
          <t>208개 반도체 reference universe. Valuation Agent가 자체 intake 폴더로 복제해 Peer/ML/대시보드 비교에 사용.</t>
        </is>
      </c>
    </row>
    <row r="90" ht="24" customHeight="1">
      <c r="A90" s="29" t="inlineStr">
        <is>
          <t>25</t>
        </is>
      </c>
      <c r="B90" s="29" t="inlineStr">
        <is>
          <t>해당 없음</t>
        </is>
      </c>
      <c r="C90" s="29" t="inlineStr">
        <is>
          <t>와이투솔루션</t>
        </is>
      </c>
      <c r="D90" s="29" t="inlineStr">
        <is>
          <t>011690</t>
        </is>
      </c>
      <c r="E90" s="29" t="inlineStr">
        <is>
          <t>KOSPI</t>
        </is>
      </c>
      <c r="F90" s="29" t="inlineStr">
        <is>
          <t>IDM/제조/메모리</t>
        </is>
      </c>
      <c r="G90" s="29" t="inlineStr">
        <is>
          <t>IDM/제조/메모리</t>
        </is>
      </c>
      <c r="H90" s="29" t="inlineStr">
        <is>
          <t>False</t>
        </is>
      </c>
      <c r="I90" s="29" t="inlineStr">
        <is>
          <t>True</t>
        </is>
      </c>
      <c r="J90" s="29" t="inlineStr">
        <is>
          <t>OK</t>
        </is>
      </c>
      <c r="K90" s="29" t="inlineStr">
        <is>
          <t>데이터 사용 가능</t>
        </is>
      </c>
      <c r="L90" s="29" t="inlineStr">
        <is>
          <t>LOW</t>
        </is>
      </c>
      <c r="M90" s="29" t="inlineStr">
        <is>
          <t>LOW</t>
        </is>
      </c>
      <c r="N90" s="29" t="inlineStr">
        <is>
          <t>0.4601666666666666</t>
        </is>
      </c>
      <c r="O90" s="29" t="inlineStr">
        <is>
          <t>FAIR</t>
        </is>
      </c>
      <c r="P90" s="29" t="inlineStr">
        <is>
          <t>FAIR</t>
        </is>
      </c>
      <c r="Q90" s="29" t="inlineStr">
        <is>
          <t>FAIR</t>
        </is>
      </c>
      <c r="R90" s="29" t="inlineStr">
        <is>
          <t>0.7379153959384467</t>
        </is>
      </c>
      <c r="S90" s="29" t="inlineStr">
        <is>
          <t>HIGH</t>
        </is>
      </c>
      <c r="T90" s="29" t="inlineStr">
        <is>
          <t>HIGH</t>
        </is>
      </c>
      <c r="U90" s="29" t="inlineStr">
        <is>
          <t>0.5714285714285714</t>
        </is>
      </c>
      <c r="V90" s="29" t="inlineStr">
        <is>
          <t>HIGH_RISK</t>
        </is>
      </c>
      <c r="W90" s="29" t="inlineStr">
        <is>
          <t>고위험</t>
        </is>
      </c>
      <c r="X90" s="29" t="inlineStr">
        <is>
          <t>HIGH_RISK</t>
        </is>
      </c>
      <c r="Y90" s="29" t="inlineStr">
        <is>
          <t>0.8423633310679534</t>
        </is>
      </c>
      <c r="Z90" s="29" t="inlineStr">
        <is>
          <t>HIGH</t>
        </is>
      </c>
      <c r="AA90" s="29" t="inlineStr">
        <is>
          <t>HIGH</t>
        </is>
      </c>
      <c r="AB90" s="29" t="inlineStr">
        <is>
          <t>0.03670855345736708</t>
        </is>
      </c>
      <c r="AC90" s="29" t="inlineStr">
        <is>
          <t>False</t>
        </is>
      </c>
      <c r="AD90" s="29" t="inlineStr">
        <is>
          <t>False</t>
        </is>
      </c>
      <c r="AE90" s="29" t="inlineStr">
        <is>
          <t>valuation_credit_ml_overlay_candidate.csv</t>
        </is>
      </c>
      <c r="AF90" s="29" t="inlineStr">
        <is>
          <t>208개 반도체 reference universe. Valuation Agent가 자체 intake 폴더로 복제해 Peer/ML/대시보드 비교에 사용.</t>
        </is>
      </c>
    </row>
    <row r="91" ht="24" customHeight="1">
      <c r="A91" s="24" t="inlineStr">
        <is>
          <t>16</t>
        </is>
      </c>
      <c r="B91" s="24" t="inlineStr">
        <is>
          <t>해당 없음</t>
        </is>
      </c>
      <c r="C91" s="24" t="inlineStr">
        <is>
          <t>신성이엔지</t>
        </is>
      </c>
      <c r="D91" s="24" t="inlineStr">
        <is>
          <t>011930</t>
        </is>
      </c>
      <c r="E91" s="24" t="inlineStr">
        <is>
          <t>KOSPI</t>
        </is>
      </c>
      <c r="F91" s="24" t="inlineStr">
        <is>
          <t>IDM/제조/메모리</t>
        </is>
      </c>
      <c r="G91" s="24" t="inlineStr">
        <is>
          <t>IDM/제조/메모리</t>
        </is>
      </c>
      <c r="H91" s="24" t="inlineStr">
        <is>
          <t>False</t>
        </is>
      </c>
      <c r="I91" s="24" t="inlineStr">
        <is>
          <t>True</t>
        </is>
      </c>
      <c r="J91" s="24" t="inlineStr">
        <is>
          <t>OK</t>
        </is>
      </c>
      <c r="K91" s="24" t="inlineStr">
        <is>
          <t>데이터 사용 가능</t>
        </is>
      </c>
      <c r="L91" s="24" t="inlineStr">
        <is>
          <t>LOW</t>
        </is>
      </c>
      <c r="M91" s="24" t="inlineStr">
        <is>
          <t>LOW</t>
        </is>
      </c>
      <c r="N91" s="24" t="inlineStr">
        <is>
          <t>0.4551666666666667</t>
        </is>
      </c>
      <c r="O91" s="24" t="inlineStr">
        <is>
          <t>FAIR</t>
        </is>
      </c>
      <c r="P91" s="24" t="inlineStr">
        <is>
          <t>FAIR</t>
        </is>
      </c>
      <c r="Q91" s="24" t="inlineStr">
        <is>
          <t>FAIR</t>
        </is>
      </c>
      <c r="R91" s="24" t="inlineStr">
        <is>
          <t>0.7610157176994289</t>
        </is>
      </c>
      <c r="S91" s="24" t="inlineStr">
        <is>
          <t>HIGH</t>
        </is>
      </c>
      <c r="T91" s="24" t="inlineStr">
        <is>
          <t>HIGH</t>
        </is>
      </c>
      <c r="U91" s="24" t="inlineStr">
        <is>
          <t>0.5714285714285714</t>
        </is>
      </c>
      <c r="V91" s="24" t="inlineStr">
        <is>
          <t>HIGH_RISK</t>
        </is>
      </c>
      <c r="W91" s="24" t="inlineStr">
        <is>
          <t>고위험</t>
        </is>
      </c>
      <c r="X91" s="24" t="inlineStr">
        <is>
          <t>HIGH_RISK</t>
        </is>
      </c>
      <c r="Y91" s="24" t="inlineStr">
        <is>
          <t>0.8294308064443926</t>
        </is>
      </c>
      <c r="Z91" s="24" t="inlineStr">
        <is>
          <t>HIGH</t>
        </is>
      </c>
      <c r="AA91" s="24" t="inlineStr">
        <is>
          <t>HIGH</t>
        </is>
      </c>
      <c r="AB91" s="24" t="inlineStr">
        <is>
          <t>0.06151448502214275</t>
        </is>
      </c>
      <c r="AC91" s="24" t="inlineStr">
        <is>
          <t>False</t>
        </is>
      </c>
      <c r="AD91" s="24" t="inlineStr">
        <is>
          <t>False</t>
        </is>
      </c>
      <c r="AE91" s="24" t="inlineStr">
        <is>
          <t>valuation_credit_ml_overlay_candidate.csv</t>
        </is>
      </c>
      <c r="AF91" s="24" t="inlineStr">
        <is>
          <t>208개 반도체 reference universe. Valuation Agent가 자체 intake 폴더로 복제해 Peer/ML/대시보드 비교에 사용.</t>
        </is>
      </c>
    </row>
    <row r="92" ht="24" customHeight="1">
      <c r="A92" s="29" t="inlineStr">
        <is>
          <t>3</t>
        </is>
      </c>
      <c r="B92" s="29" t="inlineStr">
        <is>
          <t>해당 없음</t>
        </is>
      </c>
      <c r="C92" s="29" t="inlineStr">
        <is>
          <t>KEC</t>
        </is>
      </c>
      <c r="D92" s="29" t="inlineStr">
        <is>
          <t>092220</t>
        </is>
      </c>
      <c r="E92" s="29" t="inlineStr">
        <is>
          <t>KOSPI</t>
        </is>
      </c>
      <c r="F92" s="29" t="inlineStr">
        <is>
          <t>IDM/제조/메모리</t>
        </is>
      </c>
      <c r="G92" s="29" t="inlineStr">
        <is>
          <t>IDM/제조/메모리</t>
        </is>
      </c>
      <c r="H92" s="29" t="inlineStr">
        <is>
          <t>False</t>
        </is>
      </c>
      <c r="I92" s="29" t="inlineStr">
        <is>
          <t>True</t>
        </is>
      </c>
      <c r="J92" s="29" t="inlineStr">
        <is>
          <t>OK</t>
        </is>
      </c>
      <c r="K92" s="29" t="inlineStr">
        <is>
          <t>데이터 사용 가능</t>
        </is>
      </c>
      <c r="L92" s="29" t="inlineStr">
        <is>
          <t>LOW</t>
        </is>
      </c>
      <c r="M92" s="29" t="inlineStr">
        <is>
          <t>LOW</t>
        </is>
      </c>
      <c r="N92" s="29" t="inlineStr">
        <is>
          <t>0.4550000000000001</t>
        </is>
      </c>
      <c r="O92" s="29" t="inlineStr">
        <is>
          <t>FAIR</t>
        </is>
      </c>
      <c r="P92" s="29" t="inlineStr">
        <is>
          <t>FAIR</t>
        </is>
      </c>
      <c r="Q92" s="29" t="inlineStr">
        <is>
          <t>FAIR</t>
        </is>
      </c>
      <c r="R92" s="29" t="inlineStr">
        <is>
          <t>0.7937660338126779</t>
        </is>
      </c>
      <c r="S92" s="29" t="inlineStr">
        <is>
          <t>HIGH</t>
        </is>
      </c>
      <c r="T92" s="29" t="inlineStr">
        <is>
          <t>HIGH</t>
        </is>
      </c>
      <c r="U92" s="29" t="inlineStr">
        <is>
          <t>0.5</t>
        </is>
      </c>
      <c r="V92" s="29" t="inlineStr">
        <is>
          <t>HIGH_RISK</t>
        </is>
      </c>
      <c r="W92" s="29" t="inlineStr">
        <is>
          <t>고위험</t>
        </is>
      </c>
      <c r="X92" s="29" t="inlineStr">
        <is>
          <t>HIGH_RISK</t>
        </is>
      </c>
      <c r="Y92" s="29" t="inlineStr">
        <is>
          <t>0.7303610104178266</t>
        </is>
      </c>
      <c r="Z92" s="29" t="inlineStr">
        <is>
          <t>HIGH</t>
        </is>
      </c>
      <c r="AA92" s="29" t="inlineStr">
        <is>
          <t>HIGH</t>
        </is>
      </c>
      <c r="AB92" s="29" t="inlineStr">
        <is>
          <t>0.053989845114113894</t>
        </is>
      </c>
      <c r="AC92" s="29" t="inlineStr">
        <is>
          <t>False</t>
        </is>
      </c>
      <c r="AD92" s="29" t="inlineStr">
        <is>
          <t>False</t>
        </is>
      </c>
      <c r="AE92" s="29" t="inlineStr">
        <is>
          <t>valuation_credit_ml_overlay_candidate.csv</t>
        </is>
      </c>
      <c r="AF92" s="29" t="inlineStr">
        <is>
          <t>208개 반도체 reference universe. Valuation Agent가 자체 intake 폴더로 복제해 Peer/ML/대시보드 비교에 사용.</t>
        </is>
      </c>
    </row>
    <row r="93" ht="24" customHeight="1">
      <c r="A93" s="24" t="inlineStr">
        <is>
          <t>28</t>
        </is>
      </c>
      <c r="B93" s="24" t="inlineStr">
        <is>
          <t>해당 없음</t>
        </is>
      </c>
      <c r="C93" s="24" t="inlineStr">
        <is>
          <t>일진디스플</t>
        </is>
      </c>
      <c r="D93" s="24" t="inlineStr">
        <is>
          <t>020760</t>
        </is>
      </c>
      <c r="E93" s="24" t="inlineStr">
        <is>
          <t>KOSPI</t>
        </is>
      </c>
      <c r="F93" s="24" t="inlineStr">
        <is>
          <t>IDM/제조/메모리</t>
        </is>
      </c>
      <c r="G93" s="24" t="inlineStr">
        <is>
          <t>IDM/제조/메모리</t>
        </is>
      </c>
      <c r="H93" s="24" t="inlineStr">
        <is>
          <t>False</t>
        </is>
      </c>
      <c r="I93" s="24" t="inlineStr">
        <is>
          <t>True</t>
        </is>
      </c>
      <c r="J93" s="24" t="inlineStr">
        <is>
          <t>OK</t>
        </is>
      </c>
      <c r="K93" s="24" t="inlineStr">
        <is>
          <t>데이터 사용 가능</t>
        </is>
      </c>
      <c r="L93" s="24" t="inlineStr">
        <is>
          <t>LOW</t>
        </is>
      </c>
      <c r="M93" s="24" t="inlineStr">
        <is>
          <t>LOW</t>
        </is>
      </c>
      <c r="N93" s="24" t="inlineStr">
        <is>
          <t>0.4335</t>
        </is>
      </c>
      <c r="O93" s="24" t="inlineStr">
        <is>
          <t>FAIR</t>
        </is>
      </c>
      <c r="P93" s="24" t="inlineStr">
        <is>
          <t>FAIR</t>
        </is>
      </c>
      <c r="Q93" s="24" t="inlineStr">
        <is>
          <t>FAIR</t>
        </is>
      </c>
      <c r="R93" s="24" t="inlineStr">
        <is>
          <t>0.7887205359697603</t>
        </is>
      </c>
      <c r="S93" s="24" t="inlineStr">
        <is>
          <t>HIGH</t>
        </is>
      </c>
      <c r="T93" s="24" t="inlineStr">
        <is>
          <t>HIGH</t>
        </is>
      </c>
      <c r="U93" s="24" t="inlineStr">
        <is>
          <t>0.6428571428571429</t>
        </is>
      </c>
      <c r="V93" s="24" t="inlineStr">
        <is>
          <t>HIGH_RISK</t>
        </is>
      </c>
      <c r="W93" s="24" t="inlineStr">
        <is>
          <t>고위험</t>
        </is>
      </c>
      <c r="X93" s="24" t="inlineStr">
        <is>
          <t>HIGH_RISK</t>
        </is>
      </c>
      <c r="Y93" s="24" t="inlineStr">
        <is>
          <t>0.8165793827285804</t>
        </is>
      </c>
      <c r="Z93" s="24" t="inlineStr">
        <is>
          <t>HIGH</t>
        </is>
      </c>
      <c r="AA93" s="24" t="inlineStr">
        <is>
          <t>HIGH</t>
        </is>
      </c>
      <c r="AB93" s="24" t="inlineStr">
        <is>
          <t>0.21528045597611217</t>
        </is>
      </c>
      <c r="AC93" s="24" t="inlineStr">
        <is>
          <t>False</t>
        </is>
      </c>
      <c r="AD93" s="24" t="inlineStr">
        <is>
          <t>False</t>
        </is>
      </c>
      <c r="AE93" s="24" t="inlineStr">
        <is>
          <t>valuation_credit_ml_overlay_candidate.csv</t>
        </is>
      </c>
      <c r="AF93" s="24" t="inlineStr">
        <is>
          <t>208개 반도체 reference universe. Valuation Agent가 자체 intake 폴더로 복제해 Peer/ML/대시보드 비교에 사용.</t>
        </is>
      </c>
    </row>
    <row r="94" ht="24" customHeight="1">
      <c r="A94" s="29" t="inlineStr">
        <is>
          <t>7</t>
        </is>
      </c>
      <c r="B94" s="29" t="inlineStr">
        <is>
          <t>해당 없음</t>
        </is>
      </c>
      <c r="C94" s="29" t="inlineStr">
        <is>
          <t>덕산하이메탈</t>
        </is>
      </c>
      <c r="D94" s="29" t="inlineStr">
        <is>
          <t>077360</t>
        </is>
      </c>
      <c r="E94" s="29" t="inlineStr">
        <is>
          <t>KOSDAQ</t>
        </is>
      </c>
      <c r="F94" s="29" t="inlineStr">
        <is>
          <t>IDM/제조/메모리</t>
        </is>
      </c>
      <c r="G94" s="29" t="inlineStr">
        <is>
          <t>IDM/제조/메모리</t>
        </is>
      </c>
      <c r="H94" s="29" t="inlineStr">
        <is>
          <t>False</t>
        </is>
      </c>
      <c r="I94" s="29" t="inlineStr">
        <is>
          <t>True</t>
        </is>
      </c>
      <c r="J94" s="29" t="inlineStr">
        <is>
          <t>OK</t>
        </is>
      </c>
      <c r="K94" s="29" t="inlineStr">
        <is>
          <t>데이터 사용 가능</t>
        </is>
      </c>
      <c r="L94" s="29" t="inlineStr">
        <is>
          <t>LOW</t>
        </is>
      </c>
      <c r="M94" s="29" t="inlineStr">
        <is>
          <t>LOW</t>
        </is>
      </c>
      <c r="N94" s="29" t="inlineStr">
        <is>
          <t>0.4333333333333333</t>
        </is>
      </c>
      <c r="O94" s="29" t="inlineStr">
        <is>
          <t>FAIR</t>
        </is>
      </c>
      <c r="P94" s="29" t="inlineStr">
        <is>
          <t>FAIR</t>
        </is>
      </c>
      <c r="Q94" s="29" t="inlineStr">
        <is>
          <t>FAIR</t>
        </is>
      </c>
      <c r="R94" s="29" t="inlineStr">
        <is>
          <t>0.6698541971057747</t>
        </is>
      </c>
      <c r="S94" s="29" t="inlineStr">
        <is>
          <t>MEDIUM</t>
        </is>
      </c>
      <c r="T94" s="29" t="inlineStr">
        <is>
          <t>MEDIUM</t>
        </is>
      </c>
      <c r="U94" s="29" t="inlineStr">
        <is>
          <t>0.2857142857142857</t>
        </is>
      </c>
      <c r="V94" s="29" t="inlineStr">
        <is>
          <t>MEDIUM_RISK</t>
        </is>
      </c>
      <c r="W94" s="29" t="inlineStr">
        <is>
          <t>중위험</t>
        </is>
      </c>
      <c r="X94" s="29" t="inlineStr">
        <is>
          <t>MEDIUM_RISK</t>
        </is>
      </c>
      <c r="Y94" s="29" t="inlineStr">
        <is>
          <t>0.6576042698954024</t>
        </is>
      </c>
      <c r="Z94" s="29" t="inlineStr">
        <is>
          <t>MEDIUM</t>
        </is>
      </c>
      <c r="AA94" s="29" t="inlineStr">
        <is>
          <t>MEDIUM</t>
        </is>
      </c>
      <c r="AB94" s="29" t="inlineStr">
        <is>
          <t>0.07260471392088348</t>
        </is>
      </c>
      <c r="AC94" s="29" t="inlineStr">
        <is>
          <t>False</t>
        </is>
      </c>
      <c r="AD94" s="29" t="inlineStr">
        <is>
          <t>False</t>
        </is>
      </c>
      <c r="AE94" s="29" t="inlineStr">
        <is>
          <t>valuation_credit_ml_overlay_candidate.csv</t>
        </is>
      </c>
      <c r="AF94" s="29" t="inlineStr">
        <is>
          <t>208개 반도체 reference universe. Valuation Agent가 자체 intake 폴더로 복제해 Peer/ML/대시보드 비교에 사용.</t>
        </is>
      </c>
    </row>
    <row r="95" ht="24" customHeight="1">
      <c r="A95" s="24" t="inlineStr">
        <is>
          <t>20</t>
        </is>
      </c>
      <c r="B95" s="24" t="inlineStr">
        <is>
          <t>해당 없음</t>
        </is>
      </c>
      <c r="C95" s="24" t="inlineStr">
        <is>
          <t>에이디테크놀로지</t>
        </is>
      </c>
      <c r="D95" s="24" t="inlineStr">
        <is>
          <t>200710</t>
        </is>
      </c>
      <c r="E95" s="24" t="inlineStr">
        <is>
          <t>KOSDAQ</t>
        </is>
      </c>
      <c r="F95" s="24" t="inlineStr">
        <is>
          <t>IDM/제조/메모리</t>
        </is>
      </c>
      <c r="G95" s="24" t="inlineStr">
        <is>
          <t>IDM/제조/메모리</t>
        </is>
      </c>
      <c r="H95" s="24" t="inlineStr">
        <is>
          <t>False</t>
        </is>
      </c>
      <c r="I95" s="24" t="inlineStr">
        <is>
          <t>True</t>
        </is>
      </c>
      <c r="J95" s="24" t="inlineStr">
        <is>
          <t>OK</t>
        </is>
      </c>
      <c r="K95" s="24" t="inlineStr">
        <is>
          <t>데이터 사용 가능</t>
        </is>
      </c>
      <c r="L95" s="24" t="inlineStr">
        <is>
          <t>LOW</t>
        </is>
      </c>
      <c r="M95" s="24" t="inlineStr">
        <is>
          <t>LOW</t>
        </is>
      </c>
      <c r="N95" s="24" t="inlineStr">
        <is>
          <t>0.4271666666666666</t>
        </is>
      </c>
      <c r="O95" s="24" t="inlineStr">
        <is>
          <t>FAIR</t>
        </is>
      </c>
      <c r="P95" s="24" t="inlineStr">
        <is>
          <t>FAIR</t>
        </is>
      </c>
      <c r="Q95" s="24" t="inlineStr">
        <is>
          <t>FAIR</t>
        </is>
      </c>
      <c r="R95" s="24" t="inlineStr">
        <is>
          <t>0.6637416757093363</t>
        </is>
      </c>
      <c r="S95" s="24" t="inlineStr">
        <is>
          <t>MEDIUM</t>
        </is>
      </c>
      <c r="T95" s="24" t="inlineStr">
        <is>
          <t>MEDIUM</t>
        </is>
      </c>
      <c r="U95" s="24" t="inlineStr">
        <is>
          <t>0.2857142857142857</t>
        </is>
      </c>
      <c r="V95" s="24" t="inlineStr">
        <is>
          <t>MEDIUM_RISK</t>
        </is>
      </c>
      <c r="W95" s="24" t="inlineStr">
        <is>
          <t>중위험</t>
        </is>
      </c>
      <c r="X95" s="24" t="inlineStr">
        <is>
          <t>MEDIUM_RISK</t>
        </is>
      </c>
      <c r="Y95" s="24" t="inlineStr">
        <is>
          <t>0.4528354914042248</t>
        </is>
      </c>
      <c r="Z95" s="24" t="inlineStr">
        <is>
          <t>LOW</t>
        </is>
      </c>
      <c r="AA95" s="24" t="inlineStr">
        <is>
          <t>LOW</t>
        </is>
      </c>
      <c r="AB95" s="24" t="inlineStr">
        <is>
          <t>0.0588627097981607</t>
        </is>
      </c>
      <c r="AC95" s="24" t="inlineStr">
        <is>
          <t>False</t>
        </is>
      </c>
      <c r="AD95" s="24" t="inlineStr">
        <is>
          <t>True</t>
        </is>
      </c>
      <c r="AE95" s="24" t="inlineStr">
        <is>
          <t>valuation_credit_ml_overlay_candidate.csv</t>
        </is>
      </c>
      <c r="AF95" s="24" t="inlineStr">
        <is>
          <t>208개 반도체 reference universe. Valuation Agent가 자체 intake 폴더로 복제해 Peer/ML/대시보드 비교에 사용.</t>
        </is>
      </c>
    </row>
    <row r="96" ht="24" customHeight="1">
      <c r="A96" s="29" t="inlineStr">
        <is>
          <t>5</t>
        </is>
      </c>
      <c r="B96" s="29" t="inlineStr">
        <is>
          <t>해당 없음</t>
        </is>
      </c>
      <c r="C96" s="29" t="inlineStr">
        <is>
          <t>광전자</t>
        </is>
      </c>
      <c r="D96" s="29" t="inlineStr">
        <is>
          <t>017900</t>
        </is>
      </c>
      <c r="E96" s="29" t="inlineStr">
        <is>
          <t>KOSPI</t>
        </is>
      </c>
      <c r="F96" s="29" t="inlineStr">
        <is>
          <t>IDM/제조/메모리</t>
        </is>
      </c>
      <c r="G96" s="29" t="inlineStr">
        <is>
          <t>IDM/제조/메모리</t>
        </is>
      </c>
      <c r="H96" s="29" t="inlineStr">
        <is>
          <t>False</t>
        </is>
      </c>
      <c r="I96" s="29" t="inlineStr">
        <is>
          <t>True</t>
        </is>
      </c>
      <c r="J96" s="29" t="inlineStr">
        <is>
          <t>OK</t>
        </is>
      </c>
      <c r="K96" s="29" t="inlineStr">
        <is>
          <t>데이터 사용 가능</t>
        </is>
      </c>
      <c r="L96" s="29" t="inlineStr">
        <is>
          <t>LOW</t>
        </is>
      </c>
      <c r="M96" s="29" t="inlineStr">
        <is>
          <t>LOW</t>
        </is>
      </c>
      <c r="N96" s="29" t="inlineStr">
        <is>
          <t>0.4184166666666666</t>
        </is>
      </c>
      <c r="O96" s="29" t="inlineStr">
        <is>
          <t>EXPENSIVE</t>
        </is>
      </c>
      <c r="P96" s="29" t="inlineStr">
        <is>
          <t>EXPENSIVE</t>
        </is>
      </c>
      <c r="Q96" s="29" t="inlineStr">
        <is>
          <t>EXPENSIVE</t>
        </is>
      </c>
      <c r="R96" s="29" t="inlineStr">
        <is>
          <t>0.6817751829328556</t>
        </is>
      </c>
      <c r="S96" s="29" t="inlineStr">
        <is>
          <t>MEDIUM</t>
        </is>
      </c>
      <c r="T96" s="29" t="inlineStr">
        <is>
          <t>MEDIUM</t>
        </is>
      </c>
      <c r="U96" s="29" t="inlineStr">
        <is>
          <t>0.2142857142857142</t>
        </is>
      </c>
      <c r="V96" s="29" t="inlineStr">
        <is>
          <t>MEDIUM_RISK</t>
        </is>
      </c>
      <c r="W96" s="29" t="inlineStr">
        <is>
          <t>중위험</t>
        </is>
      </c>
      <c r="X96" s="29" t="inlineStr">
        <is>
          <t>LOW_RISK</t>
        </is>
      </c>
      <c r="Y96" s="29" t="inlineStr">
        <is>
          <t>0.4656539331033742</t>
        </is>
      </c>
      <c r="Z96" s="29" t="inlineStr">
        <is>
          <t>LOW</t>
        </is>
      </c>
      <c r="AA96" s="29" t="inlineStr">
        <is>
          <t>LOW</t>
        </is>
      </c>
      <c r="AB96" s="29" t="inlineStr">
        <is>
          <t>0.24789843408919227</t>
        </is>
      </c>
      <c r="AC96" s="29" t="inlineStr">
        <is>
          <t>True</t>
        </is>
      </c>
      <c r="AD96" s="29" t="inlineStr">
        <is>
          <t>True</t>
        </is>
      </c>
      <c r="AE96" s="29" t="inlineStr">
        <is>
          <t>valuation_credit_ml_overlay_candidate.csv</t>
        </is>
      </c>
      <c r="AF96" s="29" t="inlineStr">
        <is>
          <t>208개 반도체 reference universe. Valuation Agent가 자체 intake 폴더로 복제해 Peer/ML/대시보드 비교에 사용.</t>
        </is>
      </c>
    </row>
    <row r="97" ht="24" customHeight="1">
      <c r="A97" s="24" t="inlineStr">
        <is>
          <t>19</t>
        </is>
      </c>
      <c r="B97" s="24" t="inlineStr">
        <is>
          <t>해당 없음</t>
        </is>
      </c>
      <c r="C97" s="24" t="inlineStr">
        <is>
          <t>아진엑스텍</t>
        </is>
      </c>
      <c r="D97" s="24" t="inlineStr">
        <is>
          <t>059120</t>
        </is>
      </c>
      <c r="E97" s="24" t="inlineStr">
        <is>
          <t>KOSDAQ</t>
        </is>
      </c>
      <c r="F97" s="24" t="inlineStr">
        <is>
          <t>IDM/제조/메모리</t>
        </is>
      </c>
      <c r="G97" s="24" t="inlineStr">
        <is>
          <t>IDM/제조/메모리</t>
        </is>
      </c>
      <c r="H97" s="24" t="inlineStr">
        <is>
          <t>False</t>
        </is>
      </c>
      <c r="I97" s="24" t="inlineStr">
        <is>
          <t>True</t>
        </is>
      </c>
      <c r="J97" s="24" t="inlineStr">
        <is>
          <t>OK</t>
        </is>
      </c>
      <c r="K97" s="24" t="inlineStr">
        <is>
          <t>데이터 사용 가능</t>
        </is>
      </c>
      <c r="L97" s="24" t="inlineStr">
        <is>
          <t>LOW</t>
        </is>
      </c>
      <c r="M97" s="24" t="inlineStr">
        <is>
          <t>LOW</t>
        </is>
      </c>
      <c r="N97" s="24" t="inlineStr">
        <is>
          <t>0.4128333333333333</t>
        </is>
      </c>
      <c r="O97" s="24" t="inlineStr">
        <is>
          <t>EXPENSIVE</t>
        </is>
      </c>
      <c r="P97" s="24" t="inlineStr">
        <is>
          <t>EXPENSIVE</t>
        </is>
      </c>
      <c r="Q97" s="24" t="inlineStr">
        <is>
          <t>EXPENSIVE</t>
        </is>
      </c>
      <c r="R97" s="24" t="inlineStr">
        <is>
          <t>0.6635799672057409</t>
        </is>
      </c>
      <c r="S97" s="24" t="inlineStr">
        <is>
          <t>MEDIUM</t>
        </is>
      </c>
      <c r="T97" s="24" t="inlineStr">
        <is>
          <t>MEDIUM</t>
        </is>
      </c>
      <c r="U97" s="24" t="inlineStr">
        <is>
          <t>0.0714285714285714</t>
        </is>
      </c>
      <c r="V97" s="24" t="inlineStr">
        <is>
          <t>LOW_RISK</t>
        </is>
      </c>
      <c r="W97" s="24" t="inlineStr">
        <is>
          <t>저위험</t>
        </is>
      </c>
      <c r="X97" s="24" t="inlineStr">
        <is>
          <t>LOW_RISK</t>
        </is>
      </c>
      <c r="Y97" s="24" t="inlineStr">
        <is>
          <t>0.8000764213249202</t>
        </is>
      </c>
      <c r="Z97" s="24" t="inlineStr">
        <is>
          <t>HIGH</t>
        </is>
      </c>
      <c r="AA97" s="24" t="inlineStr">
        <is>
          <t>HIGH</t>
        </is>
      </c>
      <c r="AB97" s="24" t="inlineStr">
        <is>
          <t>0.21158533556078782</t>
        </is>
      </c>
      <c r="AC97" s="24" t="inlineStr">
        <is>
          <t>False</t>
        </is>
      </c>
      <c r="AD97" s="24" t="inlineStr">
        <is>
          <t>False</t>
        </is>
      </c>
      <c r="AE97" s="24" t="inlineStr">
        <is>
          <t>valuation_credit_ml_overlay_candidate.csv</t>
        </is>
      </c>
      <c r="AF97" s="24" t="inlineStr">
        <is>
          <t>208개 반도체 reference universe. Valuation Agent가 자체 intake 폴더로 복제해 Peer/ML/대시보드 비교에 사용.</t>
        </is>
      </c>
    </row>
    <row r="98" ht="24" customHeight="1">
      <c r="A98" s="29" t="inlineStr">
        <is>
          <t>33</t>
        </is>
      </c>
      <c r="B98" s="29" t="inlineStr">
        <is>
          <t>해당 없음</t>
        </is>
      </c>
      <c r="C98" s="29" t="inlineStr">
        <is>
          <t>코스텍시스</t>
        </is>
      </c>
      <c r="D98" s="29" t="inlineStr">
        <is>
          <t>355150</t>
        </is>
      </c>
      <c r="E98" s="29" t="inlineStr">
        <is>
          <t>KOSDAQ</t>
        </is>
      </c>
      <c r="F98" s="29" t="inlineStr">
        <is>
          <t>IDM/제조/메모리</t>
        </is>
      </c>
      <c r="G98" s="29" t="inlineStr">
        <is>
          <t>IDM/제조/메모리</t>
        </is>
      </c>
      <c r="H98" s="29" t="inlineStr">
        <is>
          <t>False</t>
        </is>
      </c>
      <c r="I98" s="29" t="inlineStr">
        <is>
          <t>True</t>
        </is>
      </c>
      <c r="J98" s="29" t="inlineStr">
        <is>
          <t>OK_LIMITED_HISTORY_OR_GROWTH_NA</t>
        </is>
      </c>
      <c r="K98" s="29" t="inlineStr">
        <is>
          <t>데이터 사용 가능</t>
        </is>
      </c>
      <c r="L98" s="29" t="inlineStr">
        <is>
          <t>LOW</t>
        </is>
      </c>
      <c r="M98" s="29" t="inlineStr">
        <is>
          <t>LOW</t>
        </is>
      </c>
      <c r="N98" s="29" t="inlineStr">
        <is>
          <t>0.4096666666666666</t>
        </is>
      </c>
      <c r="O98" s="29" t="inlineStr">
        <is>
          <t>EXPENSIVE</t>
        </is>
      </c>
      <c r="P98" s="29" t="inlineStr">
        <is>
          <t>EXPENSIVE</t>
        </is>
      </c>
      <c r="Q98" s="29" t="inlineStr">
        <is>
          <t>EXPENSIVE</t>
        </is>
      </c>
      <c r="R98" s="29" t="inlineStr">
        <is>
          <t>0.7518748972741711</t>
        </is>
      </c>
      <c r="S98" s="29" t="inlineStr">
        <is>
          <t>HIGH</t>
        </is>
      </c>
      <c r="T98" s="29" t="inlineStr">
        <is>
          <t>HIGH</t>
        </is>
      </c>
      <c r="U98" s="29" t="inlineStr">
        <is>
          <t>0.5</t>
        </is>
      </c>
      <c r="V98" s="29" t="inlineStr">
        <is>
          <t>HIGH_RISK</t>
        </is>
      </c>
      <c r="W98" s="29" t="inlineStr">
        <is>
          <t>고위험</t>
        </is>
      </c>
      <c r="X98" s="29" t="inlineStr">
        <is>
          <t>MEDIUM_RISK</t>
        </is>
      </c>
      <c r="Y98" s="29" t="inlineStr">
        <is>
          <t>0.4364687611213146</t>
        </is>
      </c>
      <c r="Z98" s="29" t="inlineStr">
        <is>
          <t>LOW</t>
        </is>
      </c>
      <c r="AA98" s="29" t="inlineStr">
        <is>
          <t>LOW</t>
        </is>
      </c>
      <c r="AB98" s="29" t="inlineStr">
        <is>
          <t>0.06817918975036392</t>
        </is>
      </c>
      <c r="AC98" s="29" t="inlineStr">
        <is>
          <t>False</t>
        </is>
      </c>
      <c r="AD98" s="29" t="inlineStr">
        <is>
          <t>True</t>
        </is>
      </c>
      <c r="AE98" s="29" t="inlineStr">
        <is>
          <t>valuation_credit_ml_overlay_candidate.csv</t>
        </is>
      </c>
      <c r="AF98" s="29" t="inlineStr">
        <is>
          <t>208개 반도체 reference universe. Valuation Agent가 자체 intake 폴더로 복제해 Peer/ML/대시보드 비교에 사용.</t>
        </is>
      </c>
    </row>
    <row r="99" ht="24" customHeight="1">
      <c r="A99" s="24" t="inlineStr">
        <is>
          <t>27</t>
        </is>
      </c>
      <c r="B99" s="24" t="inlineStr">
        <is>
          <t>해당 없음</t>
        </is>
      </c>
      <c r="C99" s="24" t="inlineStr">
        <is>
          <t>이미지스</t>
        </is>
      </c>
      <c r="D99" s="24" t="inlineStr">
        <is>
          <t>115610</t>
        </is>
      </c>
      <c r="E99" s="24" t="inlineStr">
        <is>
          <t>KOSDAQ</t>
        </is>
      </c>
      <c r="F99" s="24" t="inlineStr">
        <is>
          <t>IDM/제조/메모리</t>
        </is>
      </c>
      <c r="G99" s="24" t="inlineStr">
        <is>
          <t>IDM/제조/메모리</t>
        </is>
      </c>
      <c r="H99" s="24" t="inlineStr">
        <is>
          <t>False</t>
        </is>
      </c>
      <c r="I99" s="24" t="inlineStr">
        <is>
          <t>True</t>
        </is>
      </c>
      <c r="J99" s="24" t="inlineStr">
        <is>
          <t>OK</t>
        </is>
      </c>
      <c r="K99" s="24" t="inlineStr">
        <is>
          <t>데이터 사용 가능</t>
        </is>
      </c>
      <c r="L99" s="24" t="inlineStr">
        <is>
          <t>LOW</t>
        </is>
      </c>
      <c r="M99" s="24" t="inlineStr">
        <is>
          <t>LOW</t>
        </is>
      </c>
      <c r="N99" s="24" t="inlineStr">
        <is>
          <t>0.3633333333333334</t>
        </is>
      </c>
      <c r="O99" s="24" t="inlineStr">
        <is>
          <t>EXPENSIVE</t>
        </is>
      </c>
      <c r="P99" s="24" t="inlineStr">
        <is>
          <t>EXPENSIVE</t>
        </is>
      </c>
      <c r="Q99" s="24" t="inlineStr">
        <is>
          <t>EXPENSIVE</t>
        </is>
      </c>
      <c r="R99" s="24" t="inlineStr">
        <is>
          <t>0.7470098487547145</t>
        </is>
      </c>
      <c r="S99" s="24" t="inlineStr">
        <is>
          <t>HIGH</t>
        </is>
      </c>
      <c r="T99" s="24" t="inlineStr">
        <is>
          <t>HIGH</t>
        </is>
      </c>
      <c r="U99" s="24" t="inlineStr">
        <is>
          <t>0.6428571428571429</t>
        </is>
      </c>
      <c r="V99" s="24" t="inlineStr">
        <is>
          <t>HIGH_RISK</t>
        </is>
      </c>
      <c r="W99" s="24" t="inlineStr">
        <is>
          <t>고위험</t>
        </is>
      </c>
      <c r="X99" s="24" t="inlineStr">
        <is>
          <t>HIGH_RISK</t>
        </is>
      </c>
      <c r="Y99" s="24" t="inlineStr">
        <is>
          <t>0.935919815850912</t>
        </is>
      </c>
      <c r="Z99" s="24" t="inlineStr">
        <is>
          <t>HIGH</t>
        </is>
      </c>
      <c r="AA99" s="24" t="inlineStr">
        <is>
          <t>HIGH</t>
        </is>
      </c>
      <c r="AB99" s="24" t="inlineStr">
        <is>
          <t>0.1192433333650954</t>
        </is>
      </c>
      <c r="AC99" s="24" t="inlineStr">
        <is>
          <t>False</t>
        </is>
      </c>
      <c r="AD99" s="24" t="inlineStr">
        <is>
          <t>False</t>
        </is>
      </c>
      <c r="AE99" s="24" t="inlineStr">
        <is>
          <t>valuation_credit_ml_overlay_candidate.csv</t>
        </is>
      </c>
      <c r="AF99" s="24" t="inlineStr">
        <is>
          <t>208개 반도체 reference universe. Valuation Agent가 자체 intake 폴더로 복제해 Peer/ML/대시보드 비교에 사용.</t>
        </is>
      </c>
    </row>
    <row r="100" ht="24" customHeight="1">
      <c r="A100" s="29" t="inlineStr">
        <is>
          <t>15</t>
        </is>
      </c>
      <c r="B100" s="29" t="inlineStr">
        <is>
          <t>해당 없음</t>
        </is>
      </c>
      <c r="C100" s="29" t="inlineStr">
        <is>
          <t>시지트로닉스</t>
        </is>
      </c>
      <c r="D100" s="29" t="inlineStr">
        <is>
          <t>429270</t>
        </is>
      </c>
      <c r="E100" s="29" t="inlineStr">
        <is>
          <t>KOSDAQ</t>
        </is>
      </c>
      <c r="F100" s="29" t="inlineStr">
        <is>
          <t>IDM/제조/메모리</t>
        </is>
      </c>
      <c r="G100" s="29" t="inlineStr">
        <is>
          <t>IDM/제조/메모리</t>
        </is>
      </c>
      <c r="H100" s="29" t="inlineStr">
        <is>
          <t>False</t>
        </is>
      </c>
      <c r="I100" s="29" t="inlineStr">
        <is>
          <t>True</t>
        </is>
      </c>
      <c r="J100" s="29" t="inlineStr">
        <is>
          <t>OK_LIMITED_HISTORY_OR_GROWTH_NA</t>
        </is>
      </c>
      <c r="K100" s="29" t="inlineStr">
        <is>
          <t>데이터 사용 가능</t>
        </is>
      </c>
      <c r="L100" s="29" t="inlineStr">
        <is>
          <t>LOW</t>
        </is>
      </c>
      <c r="M100" s="29" t="inlineStr">
        <is>
          <t>LOW</t>
        </is>
      </c>
      <c r="N100" s="29" t="inlineStr">
        <is>
          <t>0.3513333333333333</t>
        </is>
      </c>
      <c r="O100" s="29" t="inlineStr">
        <is>
          <t>EXPENSIVE</t>
        </is>
      </c>
      <c r="P100" s="29" t="inlineStr">
        <is>
          <t>EXPENSIVE</t>
        </is>
      </c>
      <c r="Q100" s="29" t="inlineStr">
        <is>
          <t>EXPENSIVE</t>
        </is>
      </c>
      <c r="R100" s="29" t="inlineStr">
        <is>
          <t>0.8423539115807104</t>
        </is>
      </c>
      <c r="S100" s="29" t="inlineStr">
        <is>
          <t>HIGH</t>
        </is>
      </c>
      <c r="T100" s="29" t="inlineStr">
        <is>
          <t>HIGH</t>
        </is>
      </c>
      <c r="U100" s="29" t="inlineStr">
        <is>
          <t>0.7142857142857143</t>
        </is>
      </c>
      <c r="V100" s="29" t="inlineStr">
        <is>
          <t>HIGH_RISK</t>
        </is>
      </c>
      <c r="W100" s="29" t="inlineStr">
        <is>
          <t>고위험</t>
        </is>
      </c>
      <c r="X100" s="29" t="inlineStr">
        <is>
          <t>HIGH_RISK</t>
        </is>
      </c>
      <c r="Y100" s="29" t="inlineStr">
        <is>
          <t>0.981613431413146</t>
        </is>
      </c>
      <c r="Z100" s="29" t="inlineStr">
        <is>
          <t>HIGH</t>
        </is>
      </c>
      <c r="AA100" s="29" t="inlineStr">
        <is>
          <t>HIGH</t>
        </is>
      </c>
      <c r="AB100" s="29" t="inlineStr">
        <is>
          <t>0.19555712998632233</t>
        </is>
      </c>
      <c r="AC100" s="29" t="inlineStr">
        <is>
          <t>False</t>
        </is>
      </c>
      <c r="AD100" s="29" t="inlineStr">
        <is>
          <t>True</t>
        </is>
      </c>
      <c r="AE100" s="29" t="inlineStr">
        <is>
          <t>valuation_credit_ml_overlay_candidate.csv</t>
        </is>
      </c>
      <c r="AF100" s="29" t="inlineStr">
        <is>
          <t>208개 반도체 reference universe. Valuation Agent가 자체 intake 폴더로 복제해 Peer/ML/대시보드 비교에 사용.</t>
        </is>
      </c>
    </row>
    <row r="101" ht="24" customHeight="1">
      <c r="A101" s="24" t="inlineStr">
        <is>
          <t>30</t>
        </is>
      </c>
      <c r="B101" s="24" t="inlineStr">
        <is>
          <t>해당 없음</t>
        </is>
      </c>
      <c r="C101" s="24" t="inlineStr">
        <is>
          <t>지니틱스</t>
        </is>
      </c>
      <c r="D101" s="24" t="inlineStr">
        <is>
          <t>303030</t>
        </is>
      </c>
      <c r="E101" s="24" t="inlineStr">
        <is>
          <t>KOSDAQ</t>
        </is>
      </c>
      <c r="F101" s="24" t="inlineStr">
        <is>
          <t>IDM/제조/메모리</t>
        </is>
      </c>
      <c r="G101" s="24" t="inlineStr">
        <is>
          <t>IDM/제조/메모리</t>
        </is>
      </c>
      <c r="H101" s="24" t="inlineStr">
        <is>
          <t>False</t>
        </is>
      </c>
      <c r="I101" s="24" t="inlineStr">
        <is>
          <t>True</t>
        </is>
      </c>
      <c r="J101" s="24" t="inlineStr">
        <is>
          <t>OK</t>
        </is>
      </c>
      <c r="K101" s="24" t="inlineStr">
        <is>
          <t>데이터 사용 가능</t>
        </is>
      </c>
      <c r="L101" s="24" t="inlineStr">
        <is>
          <t>LOW</t>
        </is>
      </c>
      <c r="M101" s="24" t="inlineStr">
        <is>
          <t>LOW</t>
        </is>
      </c>
      <c r="N101" s="24" t="inlineStr">
        <is>
          <t>0.3293333333333333</t>
        </is>
      </c>
      <c r="O101" s="24" t="inlineStr">
        <is>
          <t>EXPENSIVE</t>
        </is>
      </c>
      <c r="P101" s="24" t="inlineStr">
        <is>
          <t>EXPENSIVE</t>
        </is>
      </c>
      <c r="Q101" s="24" t="inlineStr">
        <is>
          <t>EXPENSIVE</t>
        </is>
      </c>
      <c r="R101" s="24" t="inlineStr">
        <is>
          <t>0.6029464801919612</t>
        </is>
      </c>
      <c r="S101" s="24" t="inlineStr">
        <is>
          <t>MEDIUM</t>
        </is>
      </c>
      <c r="T101" s="24" t="inlineStr">
        <is>
          <t>MEDIUM</t>
        </is>
      </c>
      <c r="U101" s="24" t="inlineStr">
        <is>
          <t>0.7142857142857143</t>
        </is>
      </c>
      <c r="V101" s="24" t="inlineStr">
        <is>
          <t>HIGH_RISK</t>
        </is>
      </c>
      <c r="W101" s="24" t="inlineStr">
        <is>
          <t>고위험</t>
        </is>
      </c>
      <c r="X101" s="24" t="inlineStr">
        <is>
          <t>HIGH_RISK</t>
        </is>
      </c>
      <c r="Y101" s="24" t="inlineStr">
        <is>
          <t>0.9659545889371735</t>
        </is>
      </c>
      <c r="Z101" s="24" t="inlineStr">
        <is>
          <t>HIGH</t>
        </is>
      </c>
      <c r="AA101" s="24" t="inlineStr">
        <is>
          <t>HIGH</t>
        </is>
      </c>
      <c r="AB101" s="24" t="inlineStr">
        <is>
          <t>0.16363869698938038</t>
        </is>
      </c>
      <c r="AC101" s="24" t="inlineStr">
        <is>
          <t>False</t>
        </is>
      </c>
      <c r="AD101" s="24" t="inlineStr">
        <is>
          <t>False</t>
        </is>
      </c>
      <c r="AE101" s="24" t="inlineStr">
        <is>
          <t>valuation_credit_ml_overlay_candidate.csv</t>
        </is>
      </c>
      <c r="AF101" s="24" t="inlineStr">
        <is>
          <t>208개 반도체 reference universe. Valuation Agent가 자체 intake 폴더로 복제해 Peer/ML/대시보드 비교에 사용.</t>
        </is>
      </c>
    </row>
    <row r="102" ht="24" customHeight="1">
      <c r="A102" s="29" t="inlineStr">
        <is>
          <t>18</t>
        </is>
      </c>
      <c r="B102" s="29" t="inlineStr">
        <is>
          <t>해당 없음</t>
        </is>
      </c>
      <c r="C102" s="29" t="inlineStr">
        <is>
          <t>아이에스티이</t>
        </is>
      </c>
      <c r="D102" s="29" t="inlineStr">
        <is>
          <t>212710</t>
        </is>
      </c>
      <c r="E102" s="29" t="inlineStr">
        <is>
          <t>KOSDAQ</t>
        </is>
      </c>
      <c r="F102" s="29" t="inlineStr">
        <is>
          <t>IDM/제조/메모리</t>
        </is>
      </c>
      <c r="G102" s="29" t="inlineStr">
        <is>
          <t>IDM/제조/메모리</t>
        </is>
      </c>
      <c r="H102" s="29" t="inlineStr">
        <is>
          <t>False</t>
        </is>
      </c>
      <c r="I102" s="29" t="inlineStr">
        <is>
          <t>True</t>
        </is>
      </c>
      <c r="J102" s="29" t="inlineStr">
        <is>
          <t>OK_LIMITED_HISTORY_OR_GROWTH_NA</t>
        </is>
      </c>
      <c r="K102" s="29" t="inlineStr">
        <is>
          <t>데이터 사용 가능</t>
        </is>
      </c>
      <c r="L102" s="29" t="inlineStr">
        <is>
          <t>LOW</t>
        </is>
      </c>
      <c r="M102" s="29" t="inlineStr">
        <is>
          <t>LOW</t>
        </is>
      </c>
      <c r="N102" s="29" t="inlineStr">
        <is>
          <t>0.3126666666666666</t>
        </is>
      </c>
      <c r="O102" s="29" t="inlineStr">
        <is>
          <t>EXPENSIVE</t>
        </is>
      </c>
      <c r="P102" s="29" t="inlineStr">
        <is>
          <t>EXPENSIVE</t>
        </is>
      </c>
      <c r="Q102" s="29" t="inlineStr">
        <is>
          <t>EXPENSIVE</t>
        </is>
      </c>
      <c r="R102" s="29" t="inlineStr">
        <is>
          <t>0.6642993493743579</t>
        </is>
      </c>
      <c r="S102" s="29" t="inlineStr">
        <is>
          <t>MEDIUM</t>
        </is>
      </c>
      <c r="T102" s="29" t="inlineStr">
        <is>
          <t>MEDIUM</t>
        </is>
      </c>
      <c r="U102" s="29" t="inlineStr">
        <is>
          <t>0.7142857142857143</t>
        </is>
      </c>
      <c r="V102" s="29" t="inlineStr">
        <is>
          <t>HIGH_RISK</t>
        </is>
      </c>
      <c r="W102" s="29" t="inlineStr">
        <is>
          <t>고위험</t>
        </is>
      </c>
      <c r="X102" s="29" t="inlineStr">
        <is>
          <t>HIGH_RISK</t>
        </is>
      </c>
      <c r="Y102" s="29" t="inlineStr">
        <is>
          <t>0.7912115569930538</t>
        </is>
      </c>
      <c r="Z102" s="29" t="inlineStr">
        <is>
          <t>HIGH</t>
        </is>
      </c>
      <c r="AA102" s="29" t="inlineStr">
        <is>
          <t>HIGH</t>
        </is>
      </c>
      <c r="AB102" s="29" t="inlineStr">
        <is>
          <t>0.13664093420882184</t>
        </is>
      </c>
      <c r="AC102" s="29" t="inlineStr">
        <is>
          <t>False</t>
        </is>
      </c>
      <c r="AD102" s="29" t="inlineStr">
        <is>
          <t>True</t>
        </is>
      </c>
      <c r="AE102" s="29" t="inlineStr">
        <is>
          <t>valuation_credit_ml_overlay_candidate.csv</t>
        </is>
      </c>
      <c r="AF102" s="29" t="inlineStr">
        <is>
          <t>208개 반도체 reference universe. Valuation Agent가 자체 intake 폴더로 복제해 Peer/ML/대시보드 비교에 사용.</t>
        </is>
      </c>
    </row>
    <row r="103" ht="24" customHeight="1">
      <c r="A103" s="24" t="inlineStr">
        <is>
          <t>31</t>
        </is>
      </c>
      <c r="B103" s="24" t="inlineStr">
        <is>
          <t>해당 없음</t>
        </is>
      </c>
      <c r="C103" s="24" t="inlineStr">
        <is>
          <t>케이알엠</t>
        </is>
      </c>
      <c r="D103" s="24" t="inlineStr">
        <is>
          <t>093640</t>
        </is>
      </c>
      <c r="E103" s="24" t="inlineStr">
        <is>
          <t>KOSDAQ</t>
        </is>
      </c>
      <c r="F103" s="24" t="inlineStr">
        <is>
          <t>IDM/제조/메모리</t>
        </is>
      </c>
      <c r="G103" s="24" t="inlineStr">
        <is>
          <t>IDM/제조/메모리</t>
        </is>
      </c>
      <c r="H103" s="24" t="inlineStr">
        <is>
          <t>False</t>
        </is>
      </c>
      <c r="I103" s="24" t="inlineStr">
        <is>
          <t>True</t>
        </is>
      </c>
      <c r="J103" s="24" t="inlineStr">
        <is>
          <t>OK</t>
        </is>
      </c>
      <c r="K103" s="24" t="inlineStr">
        <is>
          <t>데이터 사용 가능</t>
        </is>
      </c>
      <c r="L103" s="24" t="inlineStr">
        <is>
          <t>LOW</t>
        </is>
      </c>
      <c r="M103" s="24" t="inlineStr">
        <is>
          <t>LOW</t>
        </is>
      </c>
      <c r="N103" s="24" t="inlineStr">
        <is>
          <t>0.301</t>
        </is>
      </c>
      <c r="O103" s="24" t="inlineStr">
        <is>
          <t>EXPENSIVE</t>
        </is>
      </c>
      <c r="P103" s="24" t="inlineStr">
        <is>
          <t>EXPENSIVE</t>
        </is>
      </c>
      <c r="Q103" s="24" t="inlineStr">
        <is>
          <t>EXPENSIVE</t>
        </is>
      </c>
      <c r="R103" s="24" t="inlineStr">
        <is>
          <t>0.7957205872008264</t>
        </is>
      </c>
      <c r="S103" s="24" t="inlineStr">
        <is>
          <t>HIGH</t>
        </is>
      </c>
      <c r="T103" s="24" t="inlineStr">
        <is>
          <t>HIGH</t>
        </is>
      </c>
      <c r="U103" s="24" t="inlineStr">
        <is>
          <t>0.4285714285714285</t>
        </is>
      </c>
      <c r="V103" s="24" t="inlineStr">
        <is>
          <t>HIGH_RISK</t>
        </is>
      </c>
      <c r="W103" s="24" t="inlineStr">
        <is>
          <t>고위험</t>
        </is>
      </c>
      <c r="X103" s="24" t="inlineStr">
        <is>
          <t>HIGH_RISK</t>
        </is>
      </c>
      <c r="Y103" s="24" t="inlineStr">
        <is>
          <t>0.9569765609780977</t>
        </is>
      </c>
      <c r="Z103" s="24" t="inlineStr">
        <is>
          <t>HIGH</t>
        </is>
      </c>
      <c r="AA103" s="24" t="inlineStr">
        <is>
          <t>HIGH</t>
        </is>
      </c>
      <c r="AB103" s="24" t="inlineStr">
        <is>
          <t>0.2926124347647049</t>
        </is>
      </c>
      <c r="AC103" s="24" t="inlineStr">
        <is>
          <t>True</t>
        </is>
      </c>
      <c r="AD103" s="24" t="inlineStr">
        <is>
          <t>True</t>
        </is>
      </c>
      <c r="AE103" s="24" t="inlineStr">
        <is>
          <t>valuation_credit_ml_overlay_candidate.csv</t>
        </is>
      </c>
      <c r="AF103" s="24" t="inlineStr">
        <is>
          <t>208개 반도체 reference universe. Valuation Agent가 자체 intake 폴더로 복제해 Peer/ML/대시보드 비교에 사용.</t>
        </is>
      </c>
    </row>
    <row r="104" ht="24" customHeight="1">
      <c r="A104" s="29" t="inlineStr">
        <is>
          <t>17</t>
        </is>
      </c>
      <c r="B104" s="29" t="inlineStr">
        <is>
          <t>해당 없음</t>
        </is>
      </c>
      <c r="C104" s="29" t="inlineStr">
        <is>
          <t>쏘닉스</t>
        </is>
      </c>
      <c r="D104" s="29" t="inlineStr">
        <is>
          <t>088280</t>
        </is>
      </c>
      <c r="E104" s="29" t="inlineStr">
        <is>
          <t>KOSDAQ</t>
        </is>
      </c>
      <c r="F104" s="29" t="inlineStr">
        <is>
          <t>IDM/제조/메모리</t>
        </is>
      </c>
      <c r="G104" s="29" t="inlineStr">
        <is>
          <t>IDM/제조/메모리</t>
        </is>
      </c>
      <c r="H104" s="29" t="inlineStr">
        <is>
          <t>False</t>
        </is>
      </c>
      <c r="I104" s="29" t="inlineStr">
        <is>
          <t>True</t>
        </is>
      </c>
      <c r="J104" s="29" t="inlineStr">
        <is>
          <t>OK_LIMITED_HISTORY_OR_GROWTH_NA</t>
        </is>
      </c>
      <c r="K104" s="29" t="inlineStr">
        <is>
          <t>데이터 사용 가능</t>
        </is>
      </c>
      <c r="L104" s="29" t="inlineStr">
        <is>
          <t>LOW</t>
        </is>
      </c>
      <c r="M104" s="29" t="inlineStr">
        <is>
          <t>LOW</t>
        </is>
      </c>
      <c r="N104" s="29" t="inlineStr">
        <is>
          <t>0.2925</t>
        </is>
      </c>
      <c r="O104" s="29" t="inlineStr">
        <is>
          <t>EXPENSIVE</t>
        </is>
      </c>
      <c r="P104" s="29" t="inlineStr">
        <is>
          <t>EXPENSIVE</t>
        </is>
      </c>
      <c r="Q104" s="29" t="inlineStr">
        <is>
          <t>EXPENSIVE</t>
        </is>
      </c>
      <c r="R104" s="29" t="inlineStr">
        <is>
          <t>0.9167677788852596</t>
        </is>
      </c>
      <c r="S104" s="29" t="inlineStr">
        <is>
          <t>HIGH</t>
        </is>
      </c>
      <c r="T104" s="29" t="inlineStr">
        <is>
          <t>HIGH</t>
        </is>
      </c>
      <c r="U104" s="29" t="inlineStr">
        <is>
          <t>0.5714285714285714</t>
        </is>
      </c>
      <c r="V104" s="29" t="inlineStr">
        <is>
          <t>HIGH_RISK</t>
        </is>
      </c>
      <c r="W104" s="29" t="inlineStr">
        <is>
          <t>고위험</t>
        </is>
      </c>
      <c r="X104" s="29" t="inlineStr">
        <is>
          <t>HIGH_RISK</t>
        </is>
      </c>
      <c r="Y104" s="29" t="inlineStr">
        <is>
          <t>0.9751947390683402</t>
        </is>
      </c>
      <c r="Z104" s="29" t="inlineStr">
        <is>
          <t>HIGH</t>
        </is>
      </c>
      <c r="AA104" s="29" t="inlineStr">
        <is>
          <t>HIGH</t>
        </is>
      </c>
      <c r="AB104" s="29" t="inlineStr">
        <is>
          <t>0.11312412490832129</t>
        </is>
      </c>
      <c r="AC104" s="29" t="inlineStr">
        <is>
          <t>False</t>
        </is>
      </c>
      <c r="AD104" s="29" t="inlineStr">
        <is>
          <t>True</t>
        </is>
      </c>
      <c r="AE104" s="29" t="inlineStr">
        <is>
          <t>valuation_credit_ml_overlay_candidate.csv</t>
        </is>
      </c>
      <c r="AF104" s="29" t="inlineStr">
        <is>
          <t>208개 반도체 reference universe. Valuation Agent가 자체 intake 폴더로 복제해 Peer/ML/대시보드 비교에 사용.</t>
        </is>
      </c>
    </row>
    <row r="105" ht="24" customHeight="1">
      <c r="A105" s="24" t="inlineStr">
        <is>
          <t>29</t>
        </is>
      </c>
      <c r="B105" s="24" t="inlineStr">
        <is>
          <t>해당 없음</t>
        </is>
      </c>
      <c r="C105" s="24" t="inlineStr">
        <is>
          <t>자람테크놀로지</t>
        </is>
      </c>
      <c r="D105" s="24" t="inlineStr">
        <is>
          <t>389020</t>
        </is>
      </c>
      <c r="E105" s="24" t="inlineStr">
        <is>
          <t>KOSDAQ</t>
        </is>
      </c>
      <c r="F105" s="24" t="inlineStr">
        <is>
          <t>IDM/제조/메모리</t>
        </is>
      </c>
      <c r="G105" s="24" t="inlineStr">
        <is>
          <t>IDM/제조/메모리</t>
        </is>
      </c>
      <c r="H105" s="24" t="inlineStr">
        <is>
          <t>False</t>
        </is>
      </c>
      <c r="I105" s="24" t="inlineStr">
        <is>
          <t>True</t>
        </is>
      </c>
      <c r="J105" s="24" t="inlineStr">
        <is>
          <t>OK</t>
        </is>
      </c>
      <c r="K105" s="24" t="inlineStr">
        <is>
          <t>데이터 사용 가능</t>
        </is>
      </c>
      <c r="L105" s="24" t="inlineStr">
        <is>
          <t>LOW</t>
        </is>
      </c>
      <c r="M105" s="24" t="inlineStr">
        <is>
          <t>LOW</t>
        </is>
      </c>
      <c r="N105" s="24" t="inlineStr">
        <is>
          <t>0.1995</t>
        </is>
      </c>
      <c r="O105" s="24" t="inlineStr">
        <is>
          <t>EXPENSIVE</t>
        </is>
      </c>
      <c r="P105" s="24" t="inlineStr">
        <is>
          <t>EXPENSIVE</t>
        </is>
      </c>
      <c r="Q105" s="24" t="inlineStr">
        <is>
          <t>EXPENSIVE</t>
        </is>
      </c>
      <c r="R105" s="24" t="inlineStr">
        <is>
          <t>0.6873284389381621</t>
        </is>
      </c>
      <c r="S105" s="24" t="inlineStr">
        <is>
          <t>MEDIUM</t>
        </is>
      </c>
      <c r="T105" s="24" t="inlineStr">
        <is>
          <t>MEDIUM</t>
        </is>
      </c>
      <c r="U105" s="24" t="inlineStr">
        <is>
          <t>0.2142857142857142</t>
        </is>
      </c>
      <c r="V105" s="24" t="inlineStr">
        <is>
          <t>MEDIUM_RISK</t>
        </is>
      </c>
      <c r="W105" s="24" t="inlineStr">
        <is>
          <t>중위험</t>
        </is>
      </c>
      <c r="X105" s="24" t="inlineStr">
        <is>
          <t>MEDIUM_RISK</t>
        </is>
      </c>
      <c r="Y105" s="24" t="inlineStr">
        <is>
          <t>0.7087592263635621</t>
        </is>
      </c>
      <c r="Z105" s="24" t="inlineStr">
        <is>
          <t>HIGH</t>
        </is>
      </c>
      <c r="AA105" s="24" t="inlineStr">
        <is>
          <t>HIGH</t>
        </is>
      </c>
      <c r="AB105" s="24" t="inlineStr">
        <is>
          <t>0.14222896108498048</t>
        </is>
      </c>
      <c r="AC105" s="24" t="inlineStr">
        <is>
          <t>False</t>
        </is>
      </c>
      <c r="AD105" s="24" t="inlineStr">
        <is>
          <t>False</t>
        </is>
      </c>
      <c r="AE105" s="24" t="inlineStr">
        <is>
          <t>valuation_credit_ml_overlay_candidate.csv</t>
        </is>
      </c>
      <c r="AF105" s="24" t="inlineStr">
        <is>
          <t>208개 반도체 reference universe. Valuation Agent가 자체 intake 폴더로 복제해 Peer/ML/대시보드 비교에 사용.</t>
        </is>
      </c>
    </row>
    <row r="106" ht="24" customHeight="1">
      <c r="A106" s="29" t="inlineStr">
        <is>
          <t>39</t>
        </is>
      </c>
      <c r="B106" s="29" t="inlineStr">
        <is>
          <t>해당 없음</t>
        </is>
      </c>
      <c r="C106" s="29" t="inlineStr">
        <is>
          <t>하이딥</t>
        </is>
      </c>
      <c r="D106" s="29" t="inlineStr">
        <is>
          <t>365590</t>
        </is>
      </c>
      <c r="E106" s="29" t="inlineStr">
        <is>
          <t>KOSDAQ</t>
        </is>
      </c>
      <c r="F106" s="29" t="inlineStr">
        <is>
          <t>IDM/제조/메모리</t>
        </is>
      </c>
      <c r="G106" s="29" t="inlineStr">
        <is>
          <t>IDM/제조/메모리</t>
        </is>
      </c>
      <c r="H106" s="29" t="inlineStr">
        <is>
          <t>False</t>
        </is>
      </c>
      <c r="I106" s="29" t="inlineStr">
        <is>
          <t>True</t>
        </is>
      </c>
      <c r="J106" s="29" t="inlineStr">
        <is>
          <t>OK</t>
        </is>
      </c>
      <c r="K106" s="29" t="inlineStr">
        <is>
          <t>데이터 사용 가능</t>
        </is>
      </c>
      <c r="L106" s="29" t="inlineStr">
        <is>
          <t>LOW</t>
        </is>
      </c>
      <c r="M106" s="29" t="inlineStr">
        <is>
          <t>LOW</t>
        </is>
      </c>
      <c r="N106" s="29" t="inlineStr">
        <is>
          <t>0.125</t>
        </is>
      </c>
      <c r="O106" s="29" t="inlineStr">
        <is>
          <t>EXPENSIVE</t>
        </is>
      </c>
      <c r="P106" s="29" t="inlineStr">
        <is>
          <t>EXPENSIVE</t>
        </is>
      </c>
      <c r="Q106" s="29" t="inlineStr">
        <is>
          <t>EXPENSIVE</t>
        </is>
      </c>
      <c r="R106" s="29" t="inlineStr">
        <is>
          <t>0.93355514861914</t>
        </is>
      </c>
      <c r="S106" s="29" t="inlineStr">
        <is>
          <t>HIGH</t>
        </is>
      </c>
      <c r="T106" s="29" t="inlineStr">
        <is>
          <t>HIGH</t>
        </is>
      </c>
      <c r="U106" s="29" t="inlineStr">
        <is>
          <t>0.8571428571428571</t>
        </is>
      </c>
      <c r="V106" s="29" t="inlineStr">
        <is>
          <t>HIGH_RISK</t>
        </is>
      </c>
      <c r="W106" s="29" t="inlineStr">
        <is>
          <t>고위험</t>
        </is>
      </c>
      <c r="X106" s="29" t="inlineStr">
        <is>
          <t>HIGH_RISK</t>
        </is>
      </c>
      <c r="Y106" s="29" t="inlineStr">
        <is>
          <t>0.9622719553866781</t>
        </is>
      </c>
      <c r="Z106" s="29" t="inlineStr">
        <is>
          <t>HIGH</t>
        </is>
      </c>
      <c r="AA106" s="29" t="inlineStr">
        <is>
          <t>HIGH</t>
        </is>
      </c>
      <c r="AB106" s="29" t="inlineStr">
        <is>
          <t>0.9999999977412558</t>
        </is>
      </c>
      <c r="AC106" s="29" t="inlineStr">
        <is>
          <t>True</t>
        </is>
      </c>
      <c r="AD106" s="29" t="inlineStr">
        <is>
          <t>True</t>
        </is>
      </c>
      <c r="AE106" s="29" t="inlineStr">
        <is>
          <t>valuation_credit_ml_overlay_candidate.csv</t>
        </is>
      </c>
      <c r="AF106" s="29" t="inlineStr">
        <is>
          <t>208개 반도체 reference universe. Valuation Agent가 자체 intake 폴더로 복제해 Peer/ML/대시보드 비교에 사용.</t>
        </is>
      </c>
    </row>
    <row r="107" ht="24" customHeight="1">
      <c r="A107" s="24" t="inlineStr">
        <is>
          <t>203</t>
        </is>
      </c>
      <c r="B107" s="24" t="inlineStr">
        <is>
          <t>해당 없음</t>
        </is>
      </c>
      <c r="C107" s="24" t="inlineStr">
        <is>
          <t>인터플렉스</t>
        </is>
      </c>
      <c r="D107" s="24" t="inlineStr">
        <is>
          <t>051370</t>
        </is>
      </c>
      <c r="E107" s="24" t="inlineStr">
        <is>
          <t>KOSDAQ</t>
        </is>
      </c>
      <c r="F107" s="24" t="inlineStr">
        <is>
          <t>부품/기판</t>
        </is>
      </c>
      <c r="G107" s="24" t="inlineStr">
        <is>
          <t>부품/기판</t>
        </is>
      </c>
      <c r="H107" s="24" t="inlineStr">
        <is>
          <t>False</t>
        </is>
      </c>
      <c r="I107" s="24" t="inlineStr">
        <is>
          <t>True</t>
        </is>
      </c>
      <c r="J107" s="24" t="inlineStr">
        <is>
          <t>OK</t>
        </is>
      </c>
      <c r="K107" s="24" t="inlineStr">
        <is>
          <t>데이터 사용 가능</t>
        </is>
      </c>
      <c r="L107" s="24" t="inlineStr">
        <is>
          <t>LOW</t>
        </is>
      </c>
      <c r="M107" s="24" t="inlineStr">
        <is>
          <t>LOW</t>
        </is>
      </c>
      <c r="N107" s="24" t="inlineStr">
        <is>
          <t>0.709047619047619</t>
        </is>
      </c>
      <c r="O107" s="24" t="inlineStr">
        <is>
          <t>FAIR</t>
        </is>
      </c>
      <c r="P107" s="24" t="inlineStr">
        <is>
          <t>FAIR</t>
        </is>
      </c>
      <c r="Q107" s="24" t="inlineStr">
        <is>
          <t>FAIR</t>
        </is>
      </c>
      <c r="R107" s="24" t="inlineStr">
        <is>
          <t>0.904555257888918</t>
        </is>
      </c>
      <c r="S107" s="24" t="inlineStr">
        <is>
          <t>HIGH</t>
        </is>
      </c>
      <c r="T107" s="24" t="inlineStr">
        <is>
          <t>HIGH</t>
        </is>
      </c>
      <c r="U107" s="24" t="inlineStr">
        <is>
          <t>0.0714285714285714</t>
        </is>
      </c>
      <c r="V107" s="24" t="inlineStr">
        <is>
          <t>LOW_RISK</t>
        </is>
      </c>
      <c r="W107" s="24" t="inlineStr">
        <is>
          <t>저위험</t>
        </is>
      </c>
      <c r="X107" s="24" t="inlineStr">
        <is>
          <t>LOW_RISK</t>
        </is>
      </c>
      <c r="Y107" s="24" t="inlineStr">
        <is>
          <t>0.8421993774288782</t>
        </is>
      </c>
      <c r="Z107" s="24" t="inlineStr">
        <is>
          <t>HIGH</t>
        </is>
      </c>
      <c r="AA107" s="24" t="inlineStr">
        <is>
          <t>HIGH</t>
        </is>
      </c>
      <c r="AB107" s="24" t="inlineStr">
        <is>
          <t>0.04875174090091772</t>
        </is>
      </c>
      <c r="AC107" s="24" t="inlineStr">
        <is>
          <t>False</t>
        </is>
      </c>
      <c r="AD107" s="24" t="inlineStr">
        <is>
          <t>False</t>
        </is>
      </c>
      <c r="AE107" s="24" t="inlineStr">
        <is>
          <t>valuation_credit_ml_overlay_candidate.csv</t>
        </is>
      </c>
      <c r="AF107" s="24" t="inlineStr">
        <is>
          <t>208개 반도체 reference universe. Valuation Agent가 자체 intake 폴더로 복제해 Peer/ML/대시보드 비교에 사용.</t>
        </is>
      </c>
    </row>
    <row r="108" ht="24" customHeight="1">
      <c r="A108" s="29" t="inlineStr">
        <is>
          <t>204</t>
        </is>
      </c>
      <c r="B108" s="29" t="inlineStr">
        <is>
          <t>해당 없음</t>
        </is>
      </c>
      <c r="C108" s="29" t="inlineStr">
        <is>
          <t>자화전자</t>
        </is>
      </c>
      <c r="D108" s="29" t="inlineStr">
        <is>
          <t>033240</t>
        </is>
      </c>
      <c r="E108" s="29" t="inlineStr">
        <is>
          <t>KOSPI</t>
        </is>
      </c>
      <c r="F108" s="29" t="inlineStr">
        <is>
          <t>부품/기판</t>
        </is>
      </c>
      <c r="G108" s="29" t="inlineStr">
        <is>
          <t>부품/기판</t>
        </is>
      </c>
      <c r="H108" s="29" t="inlineStr">
        <is>
          <t>False</t>
        </is>
      </c>
      <c r="I108" s="29" t="inlineStr">
        <is>
          <t>True</t>
        </is>
      </c>
      <c r="J108" s="29" t="inlineStr">
        <is>
          <t>OK</t>
        </is>
      </c>
      <c r="K108" s="29" t="inlineStr">
        <is>
          <t>데이터 사용 가능</t>
        </is>
      </c>
      <c r="L108" s="29" t="inlineStr">
        <is>
          <t>LOW</t>
        </is>
      </c>
      <c r="M108" s="29" t="inlineStr">
        <is>
          <t>LOW</t>
        </is>
      </c>
      <c r="N108" s="29" t="inlineStr">
        <is>
          <t>0.6647619047619049</t>
        </is>
      </c>
      <c r="O108" s="29" t="inlineStr">
        <is>
          <t>FAIR</t>
        </is>
      </c>
      <c r="P108" s="29" t="inlineStr">
        <is>
          <t>FAIR</t>
        </is>
      </c>
      <c r="Q108" s="29" t="inlineStr">
        <is>
          <t>FAIR</t>
        </is>
      </c>
      <c r="R108" s="29" t="inlineStr">
        <is>
          <t>0.9380223994723259</t>
        </is>
      </c>
      <c r="S108" s="29" t="inlineStr">
        <is>
          <t>HIGH</t>
        </is>
      </c>
      <c r="T108" s="29" t="inlineStr">
        <is>
          <t>HIGH</t>
        </is>
      </c>
      <c r="U108" s="29" t="inlineStr">
        <is>
          <t>0.0714285714285714</t>
        </is>
      </c>
      <c r="V108" s="29" t="inlineStr">
        <is>
          <t>LOW_RISK</t>
        </is>
      </c>
      <c r="W108" s="29" t="inlineStr">
        <is>
          <t>저위험</t>
        </is>
      </c>
      <c r="X108" s="29" t="inlineStr">
        <is>
          <t>LOW_RISK</t>
        </is>
      </c>
      <c r="Y108" s="29" t="inlineStr">
        <is>
          <t>0.7827117376718701</t>
        </is>
      </c>
      <c r="Z108" s="29" t="inlineStr">
        <is>
          <t>HIGH</t>
        </is>
      </c>
      <c r="AA108" s="29" t="inlineStr">
        <is>
          <t>HIGH</t>
        </is>
      </c>
      <c r="AB108" s="29" t="inlineStr">
        <is>
          <t>0.004560941446629287</t>
        </is>
      </c>
      <c r="AC108" s="29" t="inlineStr">
        <is>
          <t>False</t>
        </is>
      </c>
      <c r="AD108" s="29" t="inlineStr">
        <is>
          <t>False</t>
        </is>
      </c>
      <c r="AE108" s="29" t="inlineStr">
        <is>
          <t>valuation_credit_ml_overlay_candidate.csv</t>
        </is>
      </c>
      <c r="AF108" s="29" t="inlineStr">
        <is>
          <t>208개 반도체 reference universe. Valuation Agent가 자체 intake 폴더로 복제해 Peer/ML/대시보드 비교에 사용.</t>
        </is>
      </c>
    </row>
    <row r="109" ht="24" customHeight="1">
      <c r="A109" s="24" t="inlineStr">
        <is>
          <t>206</t>
        </is>
      </c>
      <c r="B109" s="24" t="inlineStr">
        <is>
          <t>해당 없음</t>
        </is>
      </c>
      <c r="C109" s="24" t="inlineStr">
        <is>
          <t>코미코</t>
        </is>
      </c>
      <c r="D109" s="24" t="inlineStr">
        <is>
          <t>183300</t>
        </is>
      </c>
      <c r="E109" s="24" t="inlineStr">
        <is>
          <t>KOSDAQ GLOBAL</t>
        </is>
      </c>
      <c r="F109" s="24" t="inlineStr">
        <is>
          <t>부품/기판</t>
        </is>
      </c>
      <c r="G109" s="24" t="inlineStr">
        <is>
          <t>부품/기판</t>
        </is>
      </c>
      <c r="H109" s="24" t="inlineStr">
        <is>
          <t>False</t>
        </is>
      </c>
      <c r="I109" s="24" t="inlineStr">
        <is>
          <t>True</t>
        </is>
      </c>
      <c r="J109" s="24" t="inlineStr">
        <is>
          <t>OK</t>
        </is>
      </c>
      <c r="K109" s="24" t="inlineStr">
        <is>
          <t>데이터 사용 가능</t>
        </is>
      </c>
      <c r="L109" s="24" t="inlineStr">
        <is>
          <t>LOW</t>
        </is>
      </c>
      <c r="M109" s="24" t="inlineStr">
        <is>
          <t>LOW</t>
        </is>
      </c>
      <c r="N109" s="24" t="inlineStr">
        <is>
          <t>0.6342857142857143</t>
        </is>
      </c>
      <c r="O109" s="24" t="inlineStr">
        <is>
          <t>FAIR</t>
        </is>
      </c>
      <c r="P109" s="24" t="inlineStr">
        <is>
          <t>FAIR</t>
        </is>
      </c>
      <c r="Q109" s="24" t="inlineStr">
        <is>
          <t>FAIR</t>
        </is>
      </c>
      <c r="R109" s="24" t="inlineStr">
        <is>
          <t>0.8305894153326006</t>
        </is>
      </c>
      <c r="S109" s="24" t="inlineStr">
        <is>
          <t>HIGH</t>
        </is>
      </c>
      <c r="T109" s="24" t="inlineStr">
        <is>
          <t>HIGH</t>
        </is>
      </c>
      <c r="U109" s="24" t="inlineStr">
        <is>
          <t>0.3571428571428571</t>
        </is>
      </c>
      <c r="V109" s="24" t="inlineStr">
        <is>
          <t>MEDIUM_RISK</t>
        </is>
      </c>
      <c r="W109" s="24" t="inlineStr">
        <is>
          <t>중위험</t>
        </is>
      </c>
      <c r="X109" s="24" t="inlineStr">
        <is>
          <t>MEDIUM_RISK</t>
        </is>
      </c>
      <c r="Y109" s="24" t="inlineStr">
        <is>
          <t>0.6510391794232897</t>
        </is>
      </c>
      <c r="Z109" s="24" t="inlineStr">
        <is>
          <t>MEDIUM</t>
        </is>
      </c>
      <c r="AA109" s="24" t="inlineStr">
        <is>
          <t>MEDIUM</t>
        </is>
      </c>
      <c r="AB109" s="24" t="inlineStr">
        <is>
          <t>0.08075637337557524</t>
        </is>
      </c>
      <c r="AC109" s="24" t="inlineStr">
        <is>
          <t>False</t>
        </is>
      </c>
      <c r="AD109" s="24" t="inlineStr">
        <is>
          <t>False</t>
        </is>
      </c>
      <c r="AE109" s="24" t="inlineStr">
        <is>
          <t>valuation_credit_ml_overlay_candidate.csv</t>
        </is>
      </c>
      <c r="AF109" s="24" t="inlineStr">
        <is>
          <t>208개 반도체 reference universe. Valuation Agent가 자체 intake 폴더로 복제해 Peer/ML/대시보드 비교에 사용.</t>
        </is>
      </c>
    </row>
    <row r="110" ht="24" customHeight="1">
      <c r="A110" s="29" t="inlineStr">
        <is>
          <t>196</t>
        </is>
      </c>
      <c r="B110" s="29" t="inlineStr">
        <is>
          <t>해당 없음</t>
        </is>
      </c>
      <c r="C110" s="29" t="inlineStr">
        <is>
          <t>비에이치</t>
        </is>
      </c>
      <c r="D110" s="29" t="inlineStr">
        <is>
          <t>090460</t>
        </is>
      </c>
      <c r="E110" s="29" t="inlineStr">
        <is>
          <t>KOSPI</t>
        </is>
      </c>
      <c r="F110" s="29" t="inlineStr">
        <is>
          <t>부품/기판</t>
        </is>
      </c>
      <c r="G110" s="29" t="inlineStr">
        <is>
          <t>부품/기판</t>
        </is>
      </c>
      <c r="H110" s="29" t="inlineStr">
        <is>
          <t>False</t>
        </is>
      </c>
      <c r="I110" s="29" t="inlineStr">
        <is>
          <t>True</t>
        </is>
      </c>
      <c r="J110" s="29" t="inlineStr">
        <is>
          <t>OK</t>
        </is>
      </c>
      <c r="K110" s="29" t="inlineStr">
        <is>
          <t>데이터 사용 가능</t>
        </is>
      </c>
      <c r="L110" s="29" t="inlineStr">
        <is>
          <t>LOW</t>
        </is>
      </c>
      <c r="M110" s="29" t="inlineStr">
        <is>
          <t>LOW</t>
        </is>
      </c>
      <c r="N110" s="29" t="inlineStr">
        <is>
          <t>0.5752380952380951</t>
        </is>
      </c>
      <c r="O110" s="29" t="inlineStr">
        <is>
          <t>FAIR</t>
        </is>
      </c>
      <c r="P110" s="29" t="inlineStr">
        <is>
          <t>FAIR</t>
        </is>
      </c>
      <c r="Q110" s="29" t="inlineStr">
        <is>
          <t>FAIR</t>
        </is>
      </c>
      <c r="R110" s="29" t="inlineStr">
        <is>
          <t>0.5078538652826</t>
        </is>
      </c>
      <c r="S110" s="29" t="inlineStr">
        <is>
          <t>MEDIUM</t>
        </is>
      </c>
      <c r="T110" s="29" t="inlineStr">
        <is>
          <t>MEDIUM</t>
        </is>
      </c>
      <c r="U110" s="29" t="inlineStr">
        <is>
          <t>0.0</t>
        </is>
      </c>
      <c r="V110" s="29" t="inlineStr">
        <is>
          <t>LOW_RISK</t>
        </is>
      </c>
      <c r="W110" s="29" t="inlineStr">
        <is>
          <t>저위험</t>
        </is>
      </c>
      <c r="X110" s="29" t="inlineStr">
        <is>
          <t>LOW_RISK</t>
        </is>
      </c>
      <c r="Y110" s="29" t="inlineStr">
        <is>
          <t>0.8498731799769995</t>
        </is>
      </c>
      <c r="Z110" s="29" t="inlineStr">
        <is>
          <t>HIGH</t>
        </is>
      </c>
      <c r="AA110" s="29" t="inlineStr">
        <is>
          <t>HIGH</t>
        </is>
      </c>
      <c r="AB110" s="29" t="inlineStr">
        <is>
          <t>0.004189789054000619</t>
        </is>
      </c>
      <c r="AC110" s="29" t="inlineStr">
        <is>
          <t>False</t>
        </is>
      </c>
      <c r="AD110" s="29" t="inlineStr">
        <is>
          <t>False</t>
        </is>
      </c>
      <c r="AE110" s="29" t="inlineStr">
        <is>
          <t>valuation_credit_ml_overlay_candidate.csv</t>
        </is>
      </c>
      <c r="AF110" s="29" t="inlineStr">
        <is>
          <t>208개 반도체 reference universe. Valuation Agent가 자체 intake 폴더로 복제해 Peer/ML/대시보드 비교에 사용.</t>
        </is>
      </c>
    </row>
    <row r="111" ht="24" customHeight="1">
      <c r="A111" s="24" t="inlineStr">
        <is>
          <t>198</t>
        </is>
      </c>
      <c r="B111" s="24" t="inlineStr">
        <is>
          <t>해당 없음</t>
        </is>
      </c>
      <c r="C111" s="24" t="inlineStr">
        <is>
          <t>심텍홀딩스</t>
        </is>
      </c>
      <c r="D111" s="24" t="inlineStr">
        <is>
          <t>036710</t>
        </is>
      </c>
      <c r="E111" s="24" t="inlineStr">
        <is>
          <t>KOSDAQ</t>
        </is>
      </c>
      <c r="F111" s="24" t="inlineStr">
        <is>
          <t>부품/기판</t>
        </is>
      </c>
      <c r="G111" s="24" t="inlineStr">
        <is>
          <t>부품/기판</t>
        </is>
      </c>
      <c r="H111" s="24" t="inlineStr">
        <is>
          <t>False</t>
        </is>
      </c>
      <c r="I111" s="24" t="inlineStr">
        <is>
          <t>True</t>
        </is>
      </c>
      <c r="J111" s="24" t="inlineStr">
        <is>
          <t>OK</t>
        </is>
      </c>
      <c r="K111" s="24" t="inlineStr">
        <is>
          <t>데이터 사용 가능</t>
        </is>
      </c>
      <c r="L111" s="24" t="inlineStr">
        <is>
          <t>LOW</t>
        </is>
      </c>
      <c r="M111" s="24" t="inlineStr">
        <is>
          <t>LOW</t>
        </is>
      </c>
      <c r="N111" s="24" t="inlineStr">
        <is>
          <t>0.5323809523809524</t>
        </is>
      </c>
      <c r="O111" s="24" t="inlineStr">
        <is>
          <t>FAIR</t>
        </is>
      </c>
      <c r="P111" s="24" t="inlineStr">
        <is>
          <t>FAIR</t>
        </is>
      </c>
      <c r="Q111" s="24" t="inlineStr">
        <is>
          <t>FAIR</t>
        </is>
      </c>
      <c r="R111" s="24" t="inlineStr">
        <is>
          <t>0.726519318190825</t>
        </is>
      </c>
      <c r="S111" s="24" t="inlineStr">
        <is>
          <t>HIGH</t>
        </is>
      </c>
      <c r="T111" s="24" t="inlineStr">
        <is>
          <t>HIGH</t>
        </is>
      </c>
      <c r="U111" s="24" t="inlineStr">
        <is>
          <t>0.7857142857142857</t>
        </is>
      </c>
      <c r="V111" s="24" t="inlineStr">
        <is>
          <t>HIGH_RISK</t>
        </is>
      </c>
      <c r="W111" s="24" t="inlineStr">
        <is>
          <t>고위험</t>
        </is>
      </c>
      <c r="X111" s="24" t="inlineStr">
        <is>
          <t>HIGH_RISK</t>
        </is>
      </c>
      <c r="Y111" s="24" t="inlineStr">
        <is>
          <t>0.9494990496511118</t>
        </is>
      </c>
      <c r="Z111" s="24" t="inlineStr">
        <is>
          <t>HIGH</t>
        </is>
      </c>
      <c r="AA111" s="24" t="inlineStr">
        <is>
          <t>HIGH</t>
        </is>
      </c>
      <c r="AB111" s="24" t="inlineStr">
        <is>
          <t>0.2133344405871512</t>
        </is>
      </c>
      <c r="AC111" s="24" t="inlineStr">
        <is>
          <t>False</t>
        </is>
      </c>
      <c r="AD111" s="24" t="inlineStr">
        <is>
          <t>False</t>
        </is>
      </c>
      <c r="AE111" s="24" t="inlineStr">
        <is>
          <t>valuation_credit_ml_overlay_candidate.csv</t>
        </is>
      </c>
      <c r="AF111" s="24" t="inlineStr">
        <is>
          <t>208개 반도체 reference universe. Valuation Agent가 자체 intake 폴더로 복제해 Peer/ML/대시보드 비교에 사용.</t>
        </is>
      </c>
    </row>
    <row r="112" ht="24" customHeight="1">
      <c r="A112" s="29" t="inlineStr">
        <is>
          <t>201</t>
        </is>
      </c>
      <c r="B112" s="29" t="inlineStr">
        <is>
          <t>해당 없음</t>
        </is>
      </c>
      <c r="C112" s="29" t="inlineStr">
        <is>
          <t>엠디바이스</t>
        </is>
      </c>
      <c r="D112" s="29" t="inlineStr">
        <is>
          <t>226590</t>
        </is>
      </c>
      <c r="E112" s="29" t="inlineStr">
        <is>
          <t>KOSDAQ</t>
        </is>
      </c>
      <c r="F112" s="29" t="inlineStr">
        <is>
          <t>부품/기판</t>
        </is>
      </c>
      <c r="G112" s="29" t="inlineStr">
        <is>
          <t>부품/기판</t>
        </is>
      </c>
      <c r="H112" s="29" t="inlineStr">
        <is>
          <t>False</t>
        </is>
      </c>
      <c r="I112" s="29" t="inlineStr">
        <is>
          <t>True</t>
        </is>
      </c>
      <c r="J112" s="29" t="inlineStr">
        <is>
          <t>OK_LIMITED_HISTORY_OR_GROWTH_NA</t>
        </is>
      </c>
      <c r="K112" s="29" t="inlineStr">
        <is>
          <t>데이터 사용 가능</t>
        </is>
      </c>
      <c r="L112" s="29" t="inlineStr">
        <is>
          <t>LOW</t>
        </is>
      </c>
      <c r="M112" s="29" t="inlineStr">
        <is>
          <t>LOW</t>
        </is>
      </c>
      <c r="N112" s="29" t="inlineStr">
        <is>
          <t>0.531904761904762</t>
        </is>
      </c>
      <c r="O112" s="29" t="inlineStr">
        <is>
          <t>FAIR</t>
        </is>
      </c>
      <c r="P112" s="29" t="inlineStr">
        <is>
          <t>FAIR</t>
        </is>
      </c>
      <c r="Q112" s="29" t="inlineStr">
        <is>
          <t>FAIR</t>
        </is>
      </c>
      <c r="R112" s="29" t="inlineStr">
        <is>
          <t>0.7655361666958056</t>
        </is>
      </c>
      <c r="S112" s="29" t="inlineStr">
        <is>
          <t>HIGH</t>
        </is>
      </c>
      <c r="T112" s="29" t="inlineStr">
        <is>
          <t>HIGH</t>
        </is>
      </c>
      <c r="U112" s="29" t="inlineStr">
        <is>
          <t>0.4285714285714285</t>
        </is>
      </c>
      <c r="V112" s="29" t="inlineStr">
        <is>
          <t>HIGH_RISK</t>
        </is>
      </c>
      <c r="W112" s="29" t="inlineStr">
        <is>
          <t>고위험</t>
        </is>
      </c>
      <c r="X112" s="29" t="inlineStr">
        <is>
          <t>HIGH_RISK</t>
        </is>
      </c>
      <c r="Y112" s="29" t="inlineStr">
        <is>
          <t>0.5435613311923726</t>
        </is>
      </c>
      <c r="Z112" s="29" t="inlineStr">
        <is>
          <t>MEDIUM</t>
        </is>
      </c>
      <c r="AA112" s="29" t="inlineStr">
        <is>
          <t>MEDIUM</t>
        </is>
      </c>
      <c r="AB112" s="29" t="inlineStr">
        <is>
          <t>0.09953338023728169</t>
        </is>
      </c>
      <c r="AC112" s="29" t="inlineStr">
        <is>
          <t>False</t>
        </is>
      </c>
      <c r="AD112" s="29" t="inlineStr">
        <is>
          <t>True</t>
        </is>
      </c>
      <c r="AE112" s="29" t="inlineStr">
        <is>
          <t>valuation_credit_ml_overlay_candidate.csv</t>
        </is>
      </c>
      <c r="AF112" s="29" t="inlineStr">
        <is>
          <t>208개 반도체 reference universe. Valuation Agent가 자체 intake 폴더로 복제해 Peer/ML/대시보드 비교에 사용.</t>
        </is>
      </c>
    </row>
    <row r="113" ht="24" customHeight="1">
      <c r="A113" s="24" t="inlineStr">
        <is>
          <t>207</t>
        </is>
      </c>
      <c r="B113" s="24" t="inlineStr">
        <is>
          <t>해당 없음</t>
        </is>
      </c>
      <c r="C113" s="24" t="inlineStr">
        <is>
          <t>타이거일렉</t>
        </is>
      </c>
      <c r="D113" s="24" t="inlineStr">
        <is>
          <t>219130</t>
        </is>
      </c>
      <c r="E113" s="24" t="inlineStr">
        <is>
          <t>KOSDAQ</t>
        </is>
      </c>
      <c r="F113" s="24" t="inlineStr">
        <is>
          <t>부품/기판</t>
        </is>
      </c>
      <c r="G113" s="24" t="inlineStr">
        <is>
          <t>부품/기판</t>
        </is>
      </c>
      <c r="H113" s="24" t="inlineStr">
        <is>
          <t>False</t>
        </is>
      </c>
      <c r="I113" s="24" t="inlineStr">
        <is>
          <t>True</t>
        </is>
      </c>
      <c r="J113" s="24" t="inlineStr">
        <is>
          <t>OK</t>
        </is>
      </c>
      <c r="K113" s="24" t="inlineStr">
        <is>
          <t>데이터 사용 가능</t>
        </is>
      </c>
      <c r="L113" s="24" t="inlineStr">
        <is>
          <t>LOW</t>
        </is>
      </c>
      <c r="M113" s="24" t="inlineStr">
        <is>
          <t>LOW</t>
        </is>
      </c>
      <c r="N113" s="24" t="inlineStr">
        <is>
          <t>0.5066666666666667</t>
        </is>
      </c>
      <c r="O113" s="24" t="inlineStr">
        <is>
          <t>FAIR</t>
        </is>
      </c>
      <c r="P113" s="24" t="inlineStr">
        <is>
          <t>FAIR</t>
        </is>
      </c>
      <c r="Q113" s="24" t="inlineStr">
        <is>
          <t>FAIR</t>
        </is>
      </c>
      <c r="R113" s="24" t="inlineStr">
        <is>
          <t>0.6463040733623892</t>
        </is>
      </c>
      <c r="S113" s="24" t="inlineStr">
        <is>
          <t>MEDIUM</t>
        </is>
      </c>
      <c r="T113" s="24" t="inlineStr">
        <is>
          <t>MEDIUM</t>
        </is>
      </c>
      <c r="U113" s="24" t="inlineStr">
        <is>
          <t>0.1428571428571428</t>
        </is>
      </c>
      <c r="V113" s="24" t="inlineStr">
        <is>
          <t>LOW_RISK</t>
        </is>
      </c>
      <c r="W113" s="24" t="inlineStr">
        <is>
          <t>저위험</t>
        </is>
      </c>
      <c r="X113" s="24" t="inlineStr">
        <is>
          <t>LOW_RISK</t>
        </is>
      </c>
      <c r="Y113" s="24" t="inlineStr">
        <is>
          <t>0.6693838501840603</t>
        </is>
      </c>
      <c r="Z113" s="24" t="inlineStr">
        <is>
          <t>MEDIUM</t>
        </is>
      </c>
      <c r="AA113" s="24" t="inlineStr">
        <is>
          <t>MEDIUM</t>
        </is>
      </c>
      <c r="AB113" s="24" t="inlineStr">
        <is>
          <t>0.019101509586453232</t>
        </is>
      </c>
      <c r="AC113" s="24" t="inlineStr">
        <is>
          <t>False</t>
        </is>
      </c>
      <c r="AD113" s="24" t="inlineStr">
        <is>
          <t>False</t>
        </is>
      </c>
      <c r="AE113" s="24" t="inlineStr">
        <is>
          <t>valuation_credit_ml_overlay_candidate.csv</t>
        </is>
      </c>
      <c r="AF113" s="24" t="inlineStr">
        <is>
          <t>208개 반도체 reference universe. Valuation Agent가 자체 intake 폴더로 복제해 Peer/ML/대시보드 비교에 사용.</t>
        </is>
      </c>
    </row>
    <row r="114" ht="24" customHeight="1">
      <c r="A114" s="29" t="inlineStr">
        <is>
          <t>202</t>
        </is>
      </c>
      <c r="B114" s="29" t="inlineStr">
        <is>
          <t>해당 없음</t>
        </is>
      </c>
      <c r="C114" s="29" t="inlineStr">
        <is>
          <t>이수페타시스</t>
        </is>
      </c>
      <c r="D114" s="29" t="inlineStr">
        <is>
          <t>007660</t>
        </is>
      </c>
      <c r="E114" s="29" t="inlineStr">
        <is>
          <t>KOSPI</t>
        </is>
      </c>
      <c r="F114" s="29" t="inlineStr">
        <is>
          <t>부품/기판</t>
        </is>
      </c>
      <c r="G114" s="29" t="inlineStr">
        <is>
          <t>부품/기판</t>
        </is>
      </c>
      <c r="H114" s="29" t="inlineStr">
        <is>
          <t>False</t>
        </is>
      </c>
      <c r="I114" s="29" t="inlineStr">
        <is>
          <t>True</t>
        </is>
      </c>
      <c r="J114" s="29" t="inlineStr">
        <is>
          <t>OK</t>
        </is>
      </c>
      <c r="K114" s="29" t="inlineStr">
        <is>
          <t>데이터 사용 가능</t>
        </is>
      </c>
      <c r="L114" s="29" t="inlineStr">
        <is>
          <t>LOW</t>
        </is>
      </c>
      <c r="M114" s="29" t="inlineStr">
        <is>
          <t>LOW</t>
        </is>
      </c>
      <c r="N114" s="29" t="inlineStr">
        <is>
          <t>0.5061904761904762</t>
        </is>
      </c>
      <c r="O114" s="29" t="inlineStr">
        <is>
          <t>FAIR</t>
        </is>
      </c>
      <c r="P114" s="29" t="inlineStr">
        <is>
          <t>FAIR</t>
        </is>
      </c>
      <c r="Q114" s="29" t="inlineStr">
        <is>
          <t>FAIR</t>
        </is>
      </c>
      <c r="R114" s="29" t="inlineStr">
        <is>
          <t>0.599589540069591</t>
        </is>
      </c>
      <c r="S114" s="29" t="inlineStr">
        <is>
          <t>MEDIUM</t>
        </is>
      </c>
      <c r="T114" s="29" t="inlineStr">
        <is>
          <t>MEDIUM</t>
        </is>
      </c>
      <c r="U114" s="29" t="inlineStr">
        <is>
          <t>0.0</t>
        </is>
      </c>
      <c r="V114" s="29" t="inlineStr">
        <is>
          <t>LOW_RISK</t>
        </is>
      </c>
      <c r="W114" s="29" t="inlineStr">
        <is>
          <t>저위험</t>
        </is>
      </c>
      <c r="X114" s="29" t="inlineStr">
        <is>
          <t>LOW_RISK</t>
        </is>
      </c>
      <c r="Y114" s="29" t="inlineStr">
        <is>
          <t>0.8732919913777979</t>
        </is>
      </c>
      <c r="Z114" s="29" t="inlineStr">
        <is>
          <t>HIGH</t>
        </is>
      </c>
      <c r="AA114" s="29" t="inlineStr">
        <is>
          <t>HIGH</t>
        </is>
      </c>
      <c r="AB114" s="29" t="inlineStr">
        <is>
          <t>0.038896158054804106</t>
        </is>
      </c>
      <c r="AC114" s="29" t="inlineStr">
        <is>
          <t>False</t>
        </is>
      </c>
      <c r="AD114" s="29" t="inlineStr">
        <is>
          <t>False</t>
        </is>
      </c>
      <c r="AE114" s="29" t="inlineStr">
        <is>
          <t>valuation_credit_ml_overlay_candidate.csv</t>
        </is>
      </c>
      <c r="AF114" s="29" t="inlineStr">
        <is>
          <t>208개 반도체 reference universe. Valuation Agent가 자체 intake 폴더로 복제해 Peer/ML/대시보드 비교에 사용.</t>
        </is>
      </c>
    </row>
    <row r="115" ht="24" customHeight="1">
      <c r="A115" s="24" t="inlineStr">
        <is>
          <t>205</t>
        </is>
      </c>
      <c r="B115" s="24" t="inlineStr">
        <is>
          <t>해당 없음</t>
        </is>
      </c>
      <c r="C115" s="24" t="inlineStr">
        <is>
          <t>코리아써키트</t>
        </is>
      </c>
      <c r="D115" s="24" t="inlineStr">
        <is>
          <t>007810</t>
        </is>
      </c>
      <c r="E115" s="24" t="inlineStr">
        <is>
          <t>KOSPI</t>
        </is>
      </c>
      <c r="F115" s="24" t="inlineStr">
        <is>
          <t>부품/기판</t>
        </is>
      </c>
      <c r="G115" s="24" t="inlineStr">
        <is>
          <t>부품/기판</t>
        </is>
      </c>
      <c r="H115" s="24" t="inlineStr">
        <is>
          <t>False</t>
        </is>
      </c>
      <c r="I115" s="24" t="inlineStr">
        <is>
          <t>True</t>
        </is>
      </c>
      <c r="J115" s="24" t="inlineStr">
        <is>
          <t>OK</t>
        </is>
      </c>
      <c r="K115" s="24" t="inlineStr">
        <is>
          <t>데이터 사용 가능</t>
        </is>
      </c>
      <c r="L115" s="24" t="inlineStr">
        <is>
          <t>LOW</t>
        </is>
      </c>
      <c r="M115" s="24" t="inlineStr">
        <is>
          <t>LOW</t>
        </is>
      </c>
      <c r="N115" s="24" t="inlineStr">
        <is>
          <t>0.4676190476190476</t>
        </is>
      </c>
      <c r="O115" s="24" t="inlineStr">
        <is>
          <t>FAIR</t>
        </is>
      </c>
      <c r="P115" s="24" t="inlineStr">
        <is>
          <t>FAIR</t>
        </is>
      </c>
      <c r="Q115" s="24" t="inlineStr">
        <is>
          <t>FAIR</t>
        </is>
      </c>
      <c r="R115" s="24" t="inlineStr">
        <is>
          <t>0.8409076697911426</t>
        </is>
      </c>
      <c r="S115" s="24" t="inlineStr">
        <is>
          <t>HIGH</t>
        </is>
      </c>
      <c r="T115" s="24" t="inlineStr">
        <is>
          <t>HIGH</t>
        </is>
      </c>
      <c r="U115" s="24" t="inlineStr">
        <is>
          <t>0.2857142857142857</t>
        </is>
      </c>
      <c r="V115" s="24" t="inlineStr">
        <is>
          <t>MEDIUM_RISK</t>
        </is>
      </c>
      <c r="W115" s="24" t="inlineStr">
        <is>
          <t>중위험</t>
        </is>
      </c>
      <c r="X115" s="24" t="inlineStr">
        <is>
          <t>LOW_RISK</t>
        </is>
      </c>
      <c r="Y115" s="24" t="inlineStr">
        <is>
          <t>0.5792263126697852</t>
        </is>
      </c>
      <c r="Z115" s="24" t="inlineStr">
        <is>
          <t>MEDIUM</t>
        </is>
      </c>
      <c r="AA115" s="24" t="inlineStr">
        <is>
          <t>MEDIUM</t>
        </is>
      </c>
      <c r="AB115" s="24" t="inlineStr">
        <is>
          <t>0.03298450854390864</t>
        </is>
      </c>
      <c r="AC115" s="24" t="inlineStr">
        <is>
          <t>False</t>
        </is>
      </c>
      <c r="AD115" s="24" t="inlineStr">
        <is>
          <t>False</t>
        </is>
      </c>
      <c r="AE115" s="24" t="inlineStr">
        <is>
          <t>valuation_credit_ml_overlay_candidate.csv</t>
        </is>
      </c>
      <c r="AF115" s="24" t="inlineStr">
        <is>
          <t>208개 반도체 reference universe. Valuation Agent가 자체 intake 폴더로 복제해 Peer/ML/대시보드 비교에 사용.</t>
        </is>
      </c>
    </row>
    <row r="116" ht="24" customHeight="1">
      <c r="A116" s="29" t="inlineStr">
        <is>
          <t>200</t>
        </is>
      </c>
      <c r="B116" s="29" t="inlineStr">
        <is>
          <t>해당 없음</t>
        </is>
      </c>
      <c r="C116" s="29" t="inlineStr">
        <is>
          <t>아이티엠반도체</t>
        </is>
      </c>
      <c r="D116" s="29" t="inlineStr">
        <is>
          <t>084850</t>
        </is>
      </c>
      <c r="E116" s="29" t="inlineStr">
        <is>
          <t>KOSDAQ GLOBAL</t>
        </is>
      </c>
      <c r="F116" s="29" t="inlineStr">
        <is>
          <t>부품/기판</t>
        </is>
      </c>
      <c r="G116" s="29" t="inlineStr">
        <is>
          <t>부품/기판</t>
        </is>
      </c>
      <c r="H116" s="29" t="inlineStr">
        <is>
          <t>False</t>
        </is>
      </c>
      <c r="I116" s="29" t="inlineStr">
        <is>
          <t>True</t>
        </is>
      </c>
      <c r="J116" s="29" t="inlineStr">
        <is>
          <t>OK</t>
        </is>
      </c>
      <c r="K116" s="29" t="inlineStr">
        <is>
          <t>데이터 사용 가능</t>
        </is>
      </c>
      <c r="L116" s="29" t="inlineStr">
        <is>
          <t>LOW</t>
        </is>
      </c>
      <c r="M116" s="29" t="inlineStr">
        <is>
          <t>LOW</t>
        </is>
      </c>
      <c r="N116" s="29" t="inlineStr">
        <is>
          <t>0.4123809523809524</t>
        </is>
      </c>
      <c r="O116" s="29" t="inlineStr">
        <is>
          <t>EXPENSIVE</t>
        </is>
      </c>
      <c r="P116" s="29" t="inlineStr">
        <is>
          <t>EXPENSIVE</t>
        </is>
      </c>
      <c r="Q116" s="29" t="inlineStr">
        <is>
          <t>EXPENSIVE</t>
        </is>
      </c>
      <c r="R116" s="29" t="inlineStr">
        <is>
          <t>0.599341656390115</t>
        </is>
      </c>
      <c r="S116" s="29" t="inlineStr">
        <is>
          <t>MEDIUM</t>
        </is>
      </c>
      <c r="T116" s="29" t="inlineStr">
        <is>
          <t>MEDIUM</t>
        </is>
      </c>
      <c r="U116" s="29" t="inlineStr">
        <is>
          <t>0.5</t>
        </is>
      </c>
      <c r="V116" s="29" t="inlineStr">
        <is>
          <t>HIGH_RISK</t>
        </is>
      </c>
      <c r="W116" s="29" t="inlineStr">
        <is>
          <t>고위험</t>
        </is>
      </c>
      <c r="X116" s="29" t="inlineStr">
        <is>
          <t>HIGH_RISK</t>
        </is>
      </c>
      <c r="Y116" s="29" t="inlineStr">
        <is>
          <t>0.5842218052758918</t>
        </is>
      </c>
      <c r="Z116" s="29" t="inlineStr">
        <is>
          <t>MEDIUM</t>
        </is>
      </c>
      <c r="AA116" s="29" t="inlineStr">
        <is>
          <t>MEDIUM</t>
        </is>
      </c>
      <c r="AB116" s="29" t="inlineStr">
        <is>
          <t>0.24031195088694401</t>
        </is>
      </c>
      <c r="AC116" s="29" t="inlineStr">
        <is>
          <t>True</t>
        </is>
      </c>
      <c r="AD116" s="29" t="inlineStr">
        <is>
          <t>True</t>
        </is>
      </c>
      <c r="AE116" s="29" t="inlineStr">
        <is>
          <t>valuation_credit_ml_overlay_candidate.csv</t>
        </is>
      </c>
      <c r="AF116" s="29" t="inlineStr">
        <is>
          <t>208개 반도체 reference universe. Valuation Agent가 자체 intake 폴더로 복제해 Peer/ML/대시보드 비교에 사용.</t>
        </is>
      </c>
    </row>
    <row r="117" ht="24" customHeight="1">
      <c r="A117" s="24" t="inlineStr">
        <is>
          <t>195</t>
        </is>
      </c>
      <c r="B117" s="24" t="inlineStr">
        <is>
          <t>해당 없음</t>
        </is>
      </c>
      <c r="C117" s="24" t="inlineStr">
        <is>
          <t>대덕전자</t>
        </is>
      </c>
      <c r="D117" s="24" t="inlineStr">
        <is>
          <t>353200</t>
        </is>
      </c>
      <c r="E117" s="24" t="inlineStr">
        <is>
          <t>KOSPI</t>
        </is>
      </c>
      <c r="F117" s="24" t="inlineStr">
        <is>
          <t>부품/기판</t>
        </is>
      </c>
      <c r="G117" s="24" t="inlineStr">
        <is>
          <t>부품/기판</t>
        </is>
      </c>
      <c r="H117" s="24" t="inlineStr">
        <is>
          <t>False</t>
        </is>
      </c>
      <c r="I117" s="24" t="inlineStr">
        <is>
          <t>True</t>
        </is>
      </c>
      <c r="J117" s="24" t="inlineStr">
        <is>
          <t>OK</t>
        </is>
      </c>
      <c r="K117" s="24" t="inlineStr">
        <is>
          <t>데이터 사용 가능</t>
        </is>
      </c>
      <c r="L117" s="24" t="inlineStr">
        <is>
          <t>LOW</t>
        </is>
      </c>
      <c r="M117" s="24" t="inlineStr">
        <is>
          <t>LOW</t>
        </is>
      </c>
      <c r="N117" s="24" t="inlineStr">
        <is>
          <t>0.3966666666666666</t>
        </is>
      </c>
      <c r="O117" s="24" t="inlineStr">
        <is>
          <t>EXPENSIVE</t>
        </is>
      </c>
      <c r="P117" s="24" t="inlineStr">
        <is>
          <t>EXPENSIVE</t>
        </is>
      </c>
      <c r="Q117" s="24" t="inlineStr">
        <is>
          <t>EXPENSIVE</t>
        </is>
      </c>
      <c r="R117" s="24" t="inlineStr">
        <is>
          <t>0.6645756407915718</t>
        </is>
      </c>
      <c r="S117" s="24" t="inlineStr">
        <is>
          <t>MEDIUM</t>
        </is>
      </c>
      <c r="T117" s="24" t="inlineStr">
        <is>
          <t>MEDIUM</t>
        </is>
      </c>
      <c r="U117" s="24" t="inlineStr">
        <is>
          <t>0.1428571428571428</t>
        </is>
      </c>
      <c r="V117" s="24" t="inlineStr">
        <is>
          <t>LOW_RISK</t>
        </is>
      </c>
      <c r="W117" s="24" t="inlineStr">
        <is>
          <t>저위험</t>
        </is>
      </c>
      <c r="X117" s="24" t="inlineStr">
        <is>
          <t>LOW_RISK</t>
        </is>
      </c>
      <c r="Y117" s="24" t="inlineStr">
        <is>
          <t>0.8790575945794377</t>
        </is>
      </c>
      <c r="Z117" s="24" t="inlineStr">
        <is>
          <t>HIGH</t>
        </is>
      </c>
      <c r="AA117" s="24" t="inlineStr">
        <is>
          <t>HIGH</t>
        </is>
      </c>
      <c r="AB117" s="24" t="inlineStr">
        <is>
          <t>0.04079572535822507</t>
        </is>
      </c>
      <c r="AC117" s="24" t="inlineStr">
        <is>
          <t>False</t>
        </is>
      </c>
      <c r="AD117" s="24" t="inlineStr">
        <is>
          <t>False</t>
        </is>
      </c>
      <c r="AE117" s="24" t="inlineStr">
        <is>
          <t>valuation_credit_ml_overlay_candidate.csv</t>
        </is>
      </c>
      <c r="AF117" s="24" t="inlineStr">
        <is>
          <t>208개 반도체 reference universe. Valuation Agent가 자체 intake 폴더로 복제해 Peer/ML/대시보드 비교에 사용.</t>
        </is>
      </c>
    </row>
    <row r="118" ht="24" customHeight="1">
      <c r="A118" s="29" t="inlineStr">
        <is>
          <t>197</t>
        </is>
      </c>
      <c r="B118" s="29" t="inlineStr">
        <is>
          <t>해당 없음</t>
        </is>
      </c>
      <c r="C118" s="29" t="inlineStr">
        <is>
          <t>심텍</t>
        </is>
      </c>
      <c r="D118" s="29" t="inlineStr">
        <is>
          <t>222800</t>
        </is>
      </c>
      <c r="E118" s="29" t="inlineStr">
        <is>
          <t>KOSDAQ GLOBAL</t>
        </is>
      </c>
      <c r="F118" s="29" t="inlineStr">
        <is>
          <t>부품/기판</t>
        </is>
      </c>
      <c r="G118" s="29" t="inlineStr">
        <is>
          <t>부품/기판</t>
        </is>
      </c>
      <c r="H118" s="29" t="inlineStr">
        <is>
          <t>False</t>
        </is>
      </c>
      <c r="I118" s="29" t="inlineStr">
        <is>
          <t>True</t>
        </is>
      </c>
      <c r="J118" s="29" t="inlineStr">
        <is>
          <t>OK</t>
        </is>
      </c>
      <c r="K118" s="29" t="inlineStr">
        <is>
          <t>데이터 사용 가능</t>
        </is>
      </c>
      <c r="L118" s="29" t="inlineStr">
        <is>
          <t>LOW</t>
        </is>
      </c>
      <c r="M118" s="29" t="inlineStr">
        <is>
          <t>LOW</t>
        </is>
      </c>
      <c r="N118" s="29" t="inlineStr">
        <is>
          <t>0.3776190476190476</t>
        </is>
      </c>
      <c r="O118" s="29" t="inlineStr">
        <is>
          <t>EXPENSIVE</t>
        </is>
      </c>
      <c r="P118" s="29" t="inlineStr">
        <is>
          <t>EXPENSIVE</t>
        </is>
      </c>
      <c r="Q118" s="29" t="inlineStr">
        <is>
          <t>EXPENSIVE</t>
        </is>
      </c>
      <c r="R118" s="29" t="inlineStr">
        <is>
          <t>0.5170784842162837</t>
        </is>
      </c>
      <c r="S118" s="29" t="inlineStr">
        <is>
          <t>MEDIUM</t>
        </is>
      </c>
      <c r="T118" s="29" t="inlineStr">
        <is>
          <t>MEDIUM</t>
        </is>
      </c>
      <c r="U118" s="29" t="inlineStr">
        <is>
          <t>0.5714285714285714</t>
        </is>
      </c>
      <c r="V118" s="29" t="inlineStr">
        <is>
          <t>HIGH_RISK</t>
        </is>
      </c>
      <c r="W118" s="29" t="inlineStr">
        <is>
          <t>고위험</t>
        </is>
      </c>
      <c r="X118" s="29" t="inlineStr">
        <is>
          <t>HIGH_RISK</t>
        </is>
      </c>
      <c r="Y118" s="29" t="inlineStr">
        <is>
          <t>0.8465973773812472</t>
        </is>
      </c>
      <c r="Z118" s="29" t="inlineStr">
        <is>
          <t>HIGH</t>
        </is>
      </c>
      <c r="AA118" s="29" t="inlineStr">
        <is>
          <t>HIGH</t>
        </is>
      </c>
      <c r="AB118" s="29" t="inlineStr">
        <is>
          <t>0.10596332114746113</t>
        </is>
      </c>
      <c r="AC118" s="29" t="inlineStr">
        <is>
          <t>False</t>
        </is>
      </c>
      <c r="AD118" s="29" t="inlineStr">
        <is>
          <t>False</t>
        </is>
      </c>
      <c r="AE118" s="29" t="inlineStr">
        <is>
          <t>valuation_credit_ml_overlay_candidate.csv</t>
        </is>
      </c>
      <c r="AF118" s="29" t="inlineStr">
        <is>
          <t>208개 반도체 reference universe. Valuation Agent가 자체 intake 폴더로 복제해 Peer/ML/대시보드 비교에 사용.</t>
        </is>
      </c>
    </row>
    <row r="119" ht="24" customHeight="1">
      <c r="A119" s="24" t="inlineStr">
        <is>
          <t>199</t>
        </is>
      </c>
      <c r="B119" s="24" t="inlineStr">
        <is>
          <t>해당 없음</t>
        </is>
      </c>
      <c r="C119" s="24" t="inlineStr">
        <is>
          <t>아이에이</t>
        </is>
      </c>
      <c r="D119" s="24" t="inlineStr">
        <is>
          <t>038880</t>
        </is>
      </c>
      <c r="E119" s="24" t="inlineStr">
        <is>
          <t>KOSDAQ</t>
        </is>
      </c>
      <c r="F119" s="24" t="inlineStr">
        <is>
          <t>부품/기판</t>
        </is>
      </c>
      <c r="G119" s="24" t="inlineStr">
        <is>
          <t>부품/기판</t>
        </is>
      </c>
      <c r="H119" s="24" t="inlineStr">
        <is>
          <t>False</t>
        </is>
      </c>
      <c r="I119" s="24" t="inlineStr">
        <is>
          <t>True</t>
        </is>
      </c>
      <c r="J119" s="24" t="inlineStr">
        <is>
          <t>OK</t>
        </is>
      </c>
      <c r="K119" s="24" t="inlineStr">
        <is>
          <t>데이터 사용 가능</t>
        </is>
      </c>
      <c r="L119" s="24" t="inlineStr">
        <is>
          <t>LOW</t>
        </is>
      </c>
      <c r="M119" s="24" t="inlineStr">
        <is>
          <t>LOW</t>
        </is>
      </c>
      <c r="N119" s="24" t="inlineStr">
        <is>
          <t>0.3776190476190476</t>
        </is>
      </c>
      <c r="O119" s="24" t="inlineStr">
        <is>
          <t>EXPENSIVE</t>
        </is>
      </c>
      <c r="P119" s="24" t="inlineStr">
        <is>
          <t>EXPENSIVE</t>
        </is>
      </c>
      <c r="Q119" s="24" t="inlineStr">
        <is>
          <t>EXPENSIVE</t>
        </is>
      </c>
      <c r="R119" s="24" t="inlineStr">
        <is>
          <t>0.7739089828714508</t>
        </is>
      </c>
      <c r="S119" s="24" t="inlineStr">
        <is>
          <t>HIGH</t>
        </is>
      </c>
      <c r="T119" s="24" t="inlineStr">
        <is>
          <t>HIGH</t>
        </is>
      </c>
      <c r="U119" s="24" t="inlineStr">
        <is>
          <t>0.7142857142857143</t>
        </is>
      </c>
      <c r="V119" s="24" t="inlineStr">
        <is>
          <t>HIGH_RISK</t>
        </is>
      </c>
      <c r="W119" s="24" t="inlineStr">
        <is>
          <t>고위험</t>
        </is>
      </c>
      <c r="X119" s="24" t="inlineStr">
        <is>
          <t>HIGH_RISK</t>
        </is>
      </c>
      <c r="Y119" s="24" t="inlineStr">
        <is>
          <t>0.9768034906818953</t>
        </is>
      </c>
      <c r="Z119" s="24" t="inlineStr">
        <is>
          <t>HIGH</t>
        </is>
      </c>
      <c r="AA119" s="24" t="inlineStr">
        <is>
          <t>HIGH</t>
        </is>
      </c>
      <c r="AB119" s="24" t="inlineStr">
        <is>
          <t>0.2681205370430481</t>
        </is>
      </c>
      <c r="AC119" s="24" t="inlineStr">
        <is>
          <t>True</t>
        </is>
      </c>
      <c r="AD119" s="24" t="inlineStr">
        <is>
          <t>True</t>
        </is>
      </c>
      <c r="AE119" s="24" t="inlineStr">
        <is>
          <t>valuation_credit_ml_overlay_candidate.csv</t>
        </is>
      </c>
      <c r="AF119" s="24" t="inlineStr">
        <is>
          <t>208개 반도체 reference universe. Valuation Agent가 자체 intake 폴더로 복제해 Peer/ML/대시보드 비교에 사용.</t>
        </is>
      </c>
    </row>
    <row r="120" ht="24" customHeight="1">
      <c r="A120" s="29" t="inlineStr">
        <is>
          <t>208</t>
        </is>
      </c>
      <c r="B120" s="29" t="inlineStr">
        <is>
          <t>해당 없음</t>
        </is>
      </c>
      <c r="C120" s="29" t="inlineStr">
        <is>
          <t>3S</t>
        </is>
      </c>
      <c r="D120" s="29" t="inlineStr">
        <is>
          <t>060310</t>
        </is>
      </c>
      <c r="E120" s="29" t="inlineStr">
        <is>
          <t>KOSDAQ</t>
        </is>
      </c>
      <c r="F120" s="29" t="inlineStr">
        <is>
          <t>부품/기판</t>
        </is>
      </c>
      <c r="G120" s="29" t="inlineStr">
        <is>
          <t>부품/웨이퍼캐리어</t>
        </is>
      </c>
      <c r="H120" s="29" t="inlineStr">
        <is>
          <t>False</t>
        </is>
      </c>
      <c r="I120" s="29" t="inlineStr">
        <is>
          <t>True</t>
        </is>
      </c>
      <c r="J120" s="29" t="inlineStr">
        <is>
          <t>OK</t>
        </is>
      </c>
      <c r="K120" s="29" t="inlineStr">
        <is>
          <t>데이터 사용 가능</t>
        </is>
      </c>
      <c r="L120" s="29" t="inlineStr">
        <is>
          <t>LOW</t>
        </is>
      </c>
      <c r="M120" s="29" t="inlineStr">
        <is>
          <t>LOW</t>
        </is>
      </c>
      <c r="N120" s="29" t="inlineStr">
        <is>
          <t>0.3409523809523809</t>
        </is>
      </c>
      <c r="O120" s="29" t="inlineStr">
        <is>
          <t>EXPENSIVE</t>
        </is>
      </c>
      <c r="P120" s="29" t="inlineStr">
        <is>
          <t>EXPENSIVE</t>
        </is>
      </c>
      <c r="Q120" s="29" t="inlineStr">
        <is>
          <t>EXPENSIVE</t>
        </is>
      </c>
      <c r="R120" s="29" t="inlineStr">
        <is>
          <t>0.8755971854841007</t>
        </is>
      </c>
      <c r="S120" s="29" t="inlineStr">
        <is>
          <t>HIGH</t>
        </is>
      </c>
      <c r="T120" s="29" t="inlineStr">
        <is>
          <t>HIGH</t>
        </is>
      </c>
      <c r="U120" s="29" t="inlineStr">
        <is>
          <t>0.5714285714285714</t>
        </is>
      </c>
      <c r="V120" s="29" t="inlineStr">
        <is>
          <t>HIGH_RISK</t>
        </is>
      </c>
      <c r="W120" s="29" t="inlineStr">
        <is>
          <t>고위험</t>
        </is>
      </c>
      <c r="X120" s="29" t="inlineStr">
        <is>
          <t>HIGH_RISK</t>
        </is>
      </c>
      <c r="Y120" s="29" t="inlineStr">
        <is>
          <t>0.9688627439088098</t>
        </is>
      </c>
      <c r="Z120" s="29" t="inlineStr">
        <is>
          <t>HIGH</t>
        </is>
      </c>
      <c r="AA120" s="29" t="inlineStr">
        <is>
          <t>HIGH</t>
        </is>
      </c>
      <c r="AB120" s="29" t="inlineStr">
        <is>
          <t>0.13174199880530135</t>
        </is>
      </c>
      <c r="AC120" s="29" t="inlineStr">
        <is>
          <t>False</t>
        </is>
      </c>
      <c r="AD120" s="29" t="inlineStr">
        <is>
          <t>False</t>
        </is>
      </c>
      <c r="AE120" s="29" t="inlineStr">
        <is>
          <t>valuation_credit_ml_overlay_candidate.csv</t>
        </is>
      </c>
      <c r="AF120" s="29" t="inlineStr">
        <is>
          <t>208개 반도체 reference universe. Valuation Agent가 자체 intake 폴더로 복제해 Peer/ML/대시보드 비교에 사용.</t>
        </is>
      </c>
    </row>
    <row r="121" ht="24" customHeight="1">
      <c r="A121" s="24" t="inlineStr">
        <is>
          <t>139</t>
        </is>
      </c>
      <c r="B121" s="24" t="inlineStr">
        <is>
          <t>해당 없음</t>
        </is>
      </c>
      <c r="C121" s="24" t="inlineStr">
        <is>
          <t>월덱스</t>
        </is>
      </c>
      <c r="D121" s="24" t="inlineStr">
        <is>
          <t>101160</t>
        </is>
      </c>
      <c r="E121" s="24" t="inlineStr">
        <is>
          <t>KOSDAQ</t>
        </is>
      </c>
      <c r="F121" s="24" t="inlineStr">
        <is>
          <t>소재</t>
        </is>
      </c>
      <c r="G121" s="24" t="inlineStr">
        <is>
          <t>소재</t>
        </is>
      </c>
      <c r="H121" s="24" t="inlineStr">
        <is>
          <t>False</t>
        </is>
      </c>
      <c r="I121" s="24" t="inlineStr">
        <is>
          <t>True</t>
        </is>
      </c>
      <c r="J121" s="24" t="inlineStr">
        <is>
          <t>OK</t>
        </is>
      </c>
      <c r="K121" s="24" t="inlineStr">
        <is>
          <t>데이터 사용 가능</t>
        </is>
      </c>
      <c r="L121" s="24" t="inlineStr">
        <is>
          <t>LOW</t>
        </is>
      </c>
      <c r="M121" s="24" t="inlineStr">
        <is>
          <t>LOW</t>
        </is>
      </c>
      <c r="N121" s="24" t="inlineStr">
        <is>
          <t>0.745897435897436</t>
        </is>
      </c>
      <c r="O121" s="24" t="inlineStr">
        <is>
          <t>ATTRACTIVE</t>
        </is>
      </c>
      <c r="P121" s="24" t="inlineStr">
        <is>
          <t>가치 매력</t>
        </is>
      </c>
      <c r="Q121" s="24" t="inlineStr">
        <is>
          <t>ATTRACTIVE</t>
        </is>
      </c>
      <c r="R121" s="24" t="inlineStr">
        <is>
          <t>0.9476922450763601</t>
        </is>
      </c>
      <c r="S121" s="24" t="inlineStr">
        <is>
          <t>HIGH</t>
        </is>
      </c>
      <c r="T121" s="24" t="inlineStr">
        <is>
          <t>HIGH</t>
        </is>
      </c>
      <c r="U121" s="24" t="inlineStr">
        <is>
          <t>0.0</t>
        </is>
      </c>
      <c r="V121" s="24" t="inlineStr">
        <is>
          <t>LOW_RISK</t>
        </is>
      </c>
      <c r="W121" s="24" t="inlineStr">
        <is>
          <t>저위험</t>
        </is>
      </c>
      <c r="X121" s="24" t="inlineStr">
        <is>
          <t>LOW_RISK</t>
        </is>
      </c>
      <c r="Y121" s="24" t="inlineStr">
        <is>
          <t>0.9681016473230849</t>
        </is>
      </c>
      <c r="Z121" s="24" t="inlineStr">
        <is>
          <t>HIGH</t>
        </is>
      </c>
      <c r="AA121" s="24" t="inlineStr">
        <is>
          <t>HIGH</t>
        </is>
      </c>
      <c r="AB121" s="24" t="inlineStr">
        <is>
          <t>0.15527064195126172</t>
        </is>
      </c>
      <c r="AC121" s="24" t="inlineStr">
        <is>
          <t>False</t>
        </is>
      </c>
      <c r="AD121" s="24" t="inlineStr">
        <is>
          <t>False</t>
        </is>
      </c>
      <c r="AE121" s="24" t="inlineStr">
        <is>
          <t>valuation_credit_ml_overlay_candidate.csv</t>
        </is>
      </c>
      <c r="AF121" s="24" t="inlineStr">
        <is>
          <t>208개 반도체 reference universe. Valuation Agent가 자체 intake 폴더로 복제해 Peer/ML/대시보드 비교에 사용.</t>
        </is>
      </c>
    </row>
    <row r="122" ht="24" customHeight="1">
      <c r="A122" s="29" t="inlineStr">
        <is>
          <t>147</t>
        </is>
      </c>
      <c r="B122" s="29" t="inlineStr">
        <is>
          <t>해당 없음</t>
        </is>
      </c>
      <c r="C122" s="29" t="inlineStr">
        <is>
          <t>퓨릿</t>
        </is>
      </c>
      <c r="D122" s="29" t="inlineStr">
        <is>
          <t>445180</t>
        </is>
      </c>
      <c r="E122" s="29" t="inlineStr">
        <is>
          <t>KOSDAQ</t>
        </is>
      </c>
      <c r="F122" s="29" t="inlineStr">
        <is>
          <t>소재</t>
        </is>
      </c>
      <c r="G122" s="29" t="inlineStr">
        <is>
          <t>소재</t>
        </is>
      </c>
      <c r="H122" s="29" t="inlineStr">
        <is>
          <t>False</t>
        </is>
      </c>
      <c r="I122" s="29" t="inlineStr">
        <is>
          <t>True</t>
        </is>
      </c>
      <c r="J122" s="29" t="inlineStr">
        <is>
          <t>OK_LIMITED_HISTORY_OR_GROWTH_NA</t>
        </is>
      </c>
      <c r="K122" s="29" t="inlineStr">
        <is>
          <t>데이터 사용 가능</t>
        </is>
      </c>
      <c r="L122" s="29" t="inlineStr">
        <is>
          <t>LOW</t>
        </is>
      </c>
      <c r="M122" s="29" t="inlineStr">
        <is>
          <t>LOW</t>
        </is>
      </c>
      <c r="N122" s="29" t="inlineStr">
        <is>
          <t>0.7448717948717948</t>
        </is>
      </c>
      <c r="O122" s="29" t="inlineStr">
        <is>
          <t>ATTRACTIVE</t>
        </is>
      </c>
      <c r="P122" s="29" t="inlineStr">
        <is>
          <t>가치 매력</t>
        </is>
      </c>
      <c r="Q122" s="29" t="inlineStr">
        <is>
          <t>ATTRACTIVE</t>
        </is>
      </c>
      <c r="R122" s="29" t="inlineStr">
        <is>
          <t>0.8817607106455689</t>
        </is>
      </c>
      <c r="S122" s="29" t="inlineStr">
        <is>
          <t>HIGH</t>
        </is>
      </c>
      <c r="T122" s="29" t="inlineStr">
        <is>
          <t>HIGH</t>
        </is>
      </c>
      <c r="U122" s="29" t="inlineStr">
        <is>
          <t>0.0714285714285714</t>
        </is>
      </c>
      <c r="V122" s="29" t="inlineStr">
        <is>
          <t>LOW_RISK</t>
        </is>
      </c>
      <c r="W122" s="29" t="inlineStr">
        <is>
          <t>저위험</t>
        </is>
      </c>
      <c r="X122" s="29" t="inlineStr">
        <is>
          <t>LOW_RISK</t>
        </is>
      </c>
      <c r="Y122" s="29" t="inlineStr">
        <is>
          <t>0.9587686707140917</t>
        </is>
      </c>
      <c r="Z122" s="29" t="inlineStr">
        <is>
          <t>HIGH</t>
        </is>
      </c>
      <c r="AA122" s="29" t="inlineStr">
        <is>
          <t>HIGH</t>
        </is>
      </c>
      <c r="AB122" s="29" t="inlineStr">
        <is>
          <t>0.09055441585311619</t>
        </is>
      </c>
      <c r="AC122" s="29" t="inlineStr">
        <is>
          <t>False</t>
        </is>
      </c>
      <c r="AD122" s="29" t="inlineStr">
        <is>
          <t>True</t>
        </is>
      </c>
      <c r="AE122" s="29" t="inlineStr">
        <is>
          <t>valuation_credit_ml_overlay_candidate.csv</t>
        </is>
      </c>
      <c r="AF122" s="29" t="inlineStr">
        <is>
          <t>208개 반도체 reference universe. Valuation Agent가 자체 intake 폴더로 복제해 Peer/ML/대시보드 비교에 사용.</t>
        </is>
      </c>
    </row>
    <row r="123" ht="24" customHeight="1">
      <c r="A123" s="24" t="inlineStr">
        <is>
          <t>141</t>
        </is>
      </c>
      <c r="B123" s="24" t="inlineStr">
        <is>
          <t>해당 없음</t>
        </is>
      </c>
      <c r="C123" s="24" t="inlineStr">
        <is>
          <t>이엔에프테크놀로지</t>
        </is>
      </c>
      <c r="D123" s="24" t="inlineStr">
        <is>
          <t>102710</t>
        </is>
      </c>
      <c r="E123" s="24" t="inlineStr">
        <is>
          <t>KOSDAQ</t>
        </is>
      </c>
      <c r="F123" s="24" t="inlineStr">
        <is>
          <t>소재</t>
        </is>
      </c>
      <c r="G123" s="24" t="inlineStr">
        <is>
          <t>소재</t>
        </is>
      </c>
      <c r="H123" s="24" t="inlineStr">
        <is>
          <t>False</t>
        </is>
      </c>
      <c r="I123" s="24" t="inlineStr">
        <is>
          <t>True</t>
        </is>
      </c>
      <c r="J123" s="24" t="inlineStr">
        <is>
          <t>OK</t>
        </is>
      </c>
      <c r="K123" s="24" t="inlineStr">
        <is>
          <t>데이터 사용 가능</t>
        </is>
      </c>
      <c r="L123" s="24" t="inlineStr">
        <is>
          <t>LOW</t>
        </is>
      </c>
      <c r="M123" s="24" t="inlineStr">
        <is>
          <t>LOW</t>
        </is>
      </c>
      <c r="N123" s="24" t="inlineStr">
        <is>
          <t>0.7061538461538462</t>
        </is>
      </c>
      <c r="O123" s="24" t="inlineStr">
        <is>
          <t>ATTRACTIVE</t>
        </is>
      </c>
      <c r="P123" s="24" t="inlineStr">
        <is>
          <t>가치 매력</t>
        </is>
      </c>
      <c r="Q123" s="24" t="inlineStr">
        <is>
          <t>ATTRACTIVE</t>
        </is>
      </c>
      <c r="R123" s="24" t="inlineStr">
        <is>
          <t>0.9371627732042065</t>
        </is>
      </c>
      <c r="S123" s="24" t="inlineStr">
        <is>
          <t>HIGH</t>
        </is>
      </c>
      <c r="T123" s="24" t="inlineStr">
        <is>
          <t>HIGH</t>
        </is>
      </c>
      <c r="U123" s="24" t="inlineStr">
        <is>
          <t>0.0</t>
        </is>
      </c>
      <c r="V123" s="24" t="inlineStr">
        <is>
          <t>LOW_RISK</t>
        </is>
      </c>
      <c r="W123" s="24" t="inlineStr">
        <is>
          <t>저위험</t>
        </is>
      </c>
      <c r="X123" s="24" t="inlineStr">
        <is>
          <t>LOW_RISK</t>
        </is>
      </c>
      <c r="Y123" s="24" t="inlineStr">
        <is>
          <t>0.8730332003988217</t>
        </is>
      </c>
      <c r="Z123" s="24" t="inlineStr">
        <is>
          <t>HIGH</t>
        </is>
      </c>
      <c r="AA123" s="24" t="inlineStr">
        <is>
          <t>HIGH</t>
        </is>
      </c>
      <c r="AB123" s="24" t="inlineStr">
        <is>
          <t>0.01762692878431683</t>
        </is>
      </c>
      <c r="AC123" s="24" t="inlineStr">
        <is>
          <t>False</t>
        </is>
      </c>
      <c r="AD123" s="24" t="inlineStr">
        <is>
          <t>False</t>
        </is>
      </c>
      <c r="AE123" s="24" t="inlineStr">
        <is>
          <t>valuation_credit_ml_overlay_candidate.csv</t>
        </is>
      </c>
      <c r="AF123" s="24" t="inlineStr">
        <is>
          <t>208개 반도체 reference universe. Valuation Agent가 자체 intake 폴더로 복제해 Peer/ML/대시보드 비교에 사용.</t>
        </is>
      </c>
    </row>
    <row r="124" ht="24" customHeight="1">
      <c r="A124" s="29" t="inlineStr">
        <is>
          <t>138</t>
        </is>
      </c>
      <c r="B124" s="29" t="inlineStr">
        <is>
          <t>해당 없음</t>
        </is>
      </c>
      <c r="C124" s="29" t="inlineStr">
        <is>
          <t>원익머트리얼즈</t>
        </is>
      </c>
      <c r="D124" s="29" t="inlineStr">
        <is>
          <t>104830</t>
        </is>
      </c>
      <c r="E124" s="29" t="inlineStr">
        <is>
          <t>KOSDAQ</t>
        </is>
      </c>
      <c r="F124" s="29" t="inlineStr">
        <is>
          <t>소재</t>
        </is>
      </c>
      <c r="G124" s="29" t="inlineStr">
        <is>
          <t>소재</t>
        </is>
      </c>
      <c r="H124" s="29" t="inlineStr">
        <is>
          <t>False</t>
        </is>
      </c>
      <c r="I124" s="29" t="inlineStr">
        <is>
          <t>True</t>
        </is>
      </c>
      <c r="J124" s="29" t="inlineStr">
        <is>
          <t>OK</t>
        </is>
      </c>
      <c r="K124" s="29" t="inlineStr">
        <is>
          <t>데이터 사용 가능</t>
        </is>
      </c>
      <c r="L124" s="29" t="inlineStr">
        <is>
          <t>LOW</t>
        </is>
      </c>
      <c r="M124" s="29" t="inlineStr">
        <is>
          <t>LOW</t>
        </is>
      </c>
      <c r="N124" s="29" t="inlineStr">
        <is>
          <t>0.6682051282051282</t>
        </is>
      </c>
      <c r="O124" s="29" t="inlineStr">
        <is>
          <t>FAIR</t>
        </is>
      </c>
      <c r="P124" s="29" t="inlineStr">
        <is>
          <t>FAIR</t>
        </is>
      </c>
      <c r="Q124" s="29" t="inlineStr">
        <is>
          <t>FAIR</t>
        </is>
      </c>
      <c r="R124" s="29" t="inlineStr">
        <is>
          <t>0.9160049727267536</t>
        </is>
      </c>
      <c r="S124" s="29" t="inlineStr">
        <is>
          <t>HIGH</t>
        </is>
      </c>
      <c r="T124" s="29" t="inlineStr">
        <is>
          <t>HIGH</t>
        </is>
      </c>
      <c r="U124" s="29" t="inlineStr">
        <is>
          <t>0.0714285714285714</t>
        </is>
      </c>
      <c r="V124" s="29" t="inlineStr">
        <is>
          <t>LOW_RISK</t>
        </is>
      </c>
      <c r="W124" s="29" t="inlineStr">
        <is>
          <t>저위험</t>
        </is>
      </c>
      <c r="X124" s="29" t="inlineStr">
        <is>
          <t>LOW_RISK</t>
        </is>
      </c>
      <c r="Y124" s="29" t="inlineStr">
        <is>
          <t>0.9269592012859288</t>
        </is>
      </c>
      <c r="Z124" s="29" t="inlineStr">
        <is>
          <t>HIGH</t>
        </is>
      </c>
      <c r="AA124" s="29" t="inlineStr">
        <is>
          <t>HIGH</t>
        </is>
      </c>
      <c r="AB124" s="29" t="inlineStr">
        <is>
          <t>0.08809933839296093</t>
        </is>
      </c>
      <c r="AC124" s="29" t="inlineStr">
        <is>
          <t>False</t>
        </is>
      </c>
      <c r="AD124" s="29" t="inlineStr">
        <is>
          <t>False</t>
        </is>
      </c>
      <c r="AE124" s="29" t="inlineStr">
        <is>
          <t>valuation_credit_ml_overlay_candidate.csv</t>
        </is>
      </c>
      <c r="AF124" s="29" t="inlineStr">
        <is>
          <t>208개 반도체 reference universe. Valuation Agent가 자체 intake 폴더로 복제해 Peer/ML/대시보드 비교에 사용.</t>
        </is>
      </c>
    </row>
    <row r="125" ht="24" customHeight="1">
      <c r="A125" s="24" t="inlineStr">
        <is>
          <t>130</t>
        </is>
      </c>
      <c r="B125" s="24" t="inlineStr">
        <is>
          <t>해당 없음</t>
        </is>
      </c>
      <c r="C125" s="24" t="inlineStr">
        <is>
          <t>솔브레인홀딩스</t>
        </is>
      </c>
      <c r="D125" s="24" t="inlineStr">
        <is>
          <t>036830</t>
        </is>
      </c>
      <c r="E125" s="24" t="inlineStr">
        <is>
          <t>KOSDAQ GLOBAL</t>
        </is>
      </c>
      <c r="F125" s="24" t="inlineStr">
        <is>
          <t>소재</t>
        </is>
      </c>
      <c r="G125" s="24" t="inlineStr">
        <is>
          <t>소재</t>
        </is>
      </c>
      <c r="H125" s="24" t="inlineStr">
        <is>
          <t>False</t>
        </is>
      </c>
      <c r="I125" s="24" t="inlineStr">
        <is>
          <t>True</t>
        </is>
      </c>
      <c r="J125" s="24" t="inlineStr">
        <is>
          <t>OK</t>
        </is>
      </c>
      <c r="K125" s="24" t="inlineStr">
        <is>
          <t>데이터 사용 가능</t>
        </is>
      </c>
      <c r="L125" s="24" t="inlineStr">
        <is>
          <t>LOW</t>
        </is>
      </c>
      <c r="M125" s="24" t="inlineStr">
        <is>
          <t>LOW</t>
        </is>
      </c>
      <c r="N125" s="24" t="inlineStr">
        <is>
          <t>0.6666666666666667</t>
        </is>
      </c>
      <c r="O125" s="24" t="inlineStr">
        <is>
          <t>ATTRACTIVE</t>
        </is>
      </c>
      <c r="P125" s="24" t="inlineStr">
        <is>
          <t>가치 매력</t>
        </is>
      </c>
      <c r="Q125" s="24" t="inlineStr">
        <is>
          <t>ATTRACTIVE</t>
        </is>
      </c>
      <c r="R125" s="24" t="inlineStr">
        <is>
          <t>0.5229115612060397</t>
        </is>
      </c>
      <c r="S125" s="24" t="inlineStr">
        <is>
          <t>MEDIUM</t>
        </is>
      </c>
      <c r="T125" s="24" t="inlineStr">
        <is>
          <t>MEDIUM</t>
        </is>
      </c>
      <c r="U125" s="24" t="inlineStr">
        <is>
          <t>0.0</t>
        </is>
      </c>
      <c r="V125" s="24" t="inlineStr">
        <is>
          <t>LOW_RISK</t>
        </is>
      </c>
      <c r="W125" s="24" t="inlineStr">
        <is>
          <t>저위험</t>
        </is>
      </c>
      <c r="X125" s="24" t="inlineStr">
        <is>
          <t>LOW_RISK</t>
        </is>
      </c>
      <c r="Y125" s="24" t="inlineStr">
        <is>
          <t>0.8942479649490351</t>
        </is>
      </c>
      <c r="Z125" s="24" t="inlineStr">
        <is>
          <t>HIGH</t>
        </is>
      </c>
      <c r="AA125" s="24" t="inlineStr">
        <is>
          <t>HIGH</t>
        </is>
      </c>
      <c r="AB125" s="24" t="inlineStr">
        <is>
          <t>0.13058276838656327</t>
        </is>
      </c>
      <c r="AC125" s="24" t="inlineStr">
        <is>
          <t>False</t>
        </is>
      </c>
      <c r="AD125" s="24" t="inlineStr">
        <is>
          <t>False</t>
        </is>
      </c>
      <c r="AE125" s="24" t="inlineStr">
        <is>
          <t>valuation_credit_ml_overlay_candidate.csv</t>
        </is>
      </c>
      <c r="AF125" s="24" t="inlineStr">
        <is>
          <t>208개 반도체 reference universe. Valuation Agent가 자체 intake 폴더로 복제해 Peer/ML/대시보드 비교에 사용.</t>
        </is>
      </c>
    </row>
    <row r="126" ht="24" customHeight="1">
      <c r="A126" s="29" t="inlineStr">
        <is>
          <t>148</t>
        </is>
      </c>
      <c r="B126" s="29" t="inlineStr">
        <is>
          <t>hansol</t>
        </is>
      </c>
      <c r="C126" s="29" t="inlineStr">
        <is>
          <t>한솔케미칼</t>
        </is>
      </c>
      <c r="D126" s="29" t="inlineStr">
        <is>
          <t>014680</t>
        </is>
      </c>
      <c r="E126" s="29" t="inlineStr">
        <is>
          <t>KOSPI</t>
        </is>
      </c>
      <c r="F126" s="29" t="inlineStr">
        <is>
          <t>소재</t>
        </is>
      </c>
      <c r="G126" s="29" t="inlineStr">
        <is>
          <t>소재</t>
        </is>
      </c>
      <c r="H126" s="29" t="inlineStr">
        <is>
          <t>True</t>
        </is>
      </c>
      <c r="I126" s="29" t="inlineStr">
        <is>
          <t>True</t>
        </is>
      </c>
      <c r="J126" s="29" t="inlineStr">
        <is>
          <t>OK</t>
        </is>
      </c>
      <c r="K126" s="29" t="inlineStr">
        <is>
          <t>데이터 사용 가능</t>
        </is>
      </c>
      <c r="L126" s="29" t="inlineStr">
        <is>
          <t>LOW</t>
        </is>
      </c>
      <c r="M126" s="29" t="inlineStr">
        <is>
          <t>LOW</t>
        </is>
      </c>
      <c r="N126" s="29" t="inlineStr">
        <is>
          <t>0.6330769230769231</t>
        </is>
      </c>
      <c r="O126" s="29" t="inlineStr">
        <is>
          <t>ATTRACTIVE</t>
        </is>
      </c>
      <c r="P126" s="29" t="inlineStr">
        <is>
          <t>가치 매력</t>
        </is>
      </c>
      <c r="Q126" s="29" t="inlineStr">
        <is>
          <t>ATTRACTIVE</t>
        </is>
      </c>
      <c r="R126" s="29" t="inlineStr">
        <is>
          <t>0.8364696976606926</t>
        </is>
      </c>
      <c r="S126" s="29" t="inlineStr">
        <is>
          <t>HIGH</t>
        </is>
      </c>
      <c r="T126" s="29" t="inlineStr">
        <is>
          <t>HIGH</t>
        </is>
      </c>
      <c r="U126" s="29" t="inlineStr">
        <is>
          <t>0.0</t>
        </is>
      </c>
      <c r="V126" s="29" t="inlineStr">
        <is>
          <t>LOW_RISK</t>
        </is>
      </c>
      <c r="W126" s="29" t="inlineStr">
        <is>
          <t>저위험</t>
        </is>
      </c>
      <c r="X126" s="29" t="inlineStr">
        <is>
          <t>LOW_RISK</t>
        </is>
      </c>
      <c r="Y126" s="29" t="inlineStr">
        <is>
          <t>0.9711543901439185</t>
        </is>
      </c>
      <c r="Z126" s="29" t="inlineStr">
        <is>
          <t>HIGH</t>
        </is>
      </c>
      <c r="AA126" s="29" t="inlineStr">
        <is>
          <t>HIGH</t>
        </is>
      </c>
      <c r="AB126" s="29" t="inlineStr">
        <is>
          <t>0.058190310497948615</t>
        </is>
      </c>
      <c r="AC126" s="29" t="inlineStr">
        <is>
          <t>False</t>
        </is>
      </c>
      <c r="AD126" s="29" t="inlineStr">
        <is>
          <t>False</t>
        </is>
      </c>
      <c r="AE126" s="29" t="inlineStr">
        <is>
          <t>valuation_credit_ml_overlay_candidate.csv</t>
        </is>
      </c>
      <c r="AF126" s="29" t="inlineStr">
        <is>
          <t>208개 반도체 reference universe. Valuation Agent가 자체 intake 폴더로 복제해 Peer/ML/대시보드 비교에 사용.</t>
        </is>
      </c>
    </row>
    <row r="127" ht="24" customHeight="1">
      <c r="A127" s="24" t="inlineStr">
        <is>
          <t>140</t>
        </is>
      </c>
      <c r="B127" s="24" t="inlineStr">
        <is>
          <t>해당 없음</t>
        </is>
      </c>
      <c r="C127" s="24" t="inlineStr">
        <is>
          <t>이녹스첨단소재</t>
        </is>
      </c>
      <c r="D127" s="24" t="inlineStr">
        <is>
          <t>272290</t>
        </is>
      </c>
      <c r="E127" s="24" t="inlineStr">
        <is>
          <t>KOSDAQ GLOBAL</t>
        </is>
      </c>
      <c r="F127" s="24" t="inlineStr">
        <is>
          <t>소재</t>
        </is>
      </c>
      <c r="G127" s="24" t="inlineStr">
        <is>
          <t>소재</t>
        </is>
      </c>
      <c r="H127" s="24" t="inlineStr">
        <is>
          <t>False</t>
        </is>
      </c>
      <c r="I127" s="24" t="inlineStr">
        <is>
          <t>True</t>
        </is>
      </c>
      <c r="J127" s="24" t="inlineStr">
        <is>
          <t>OK</t>
        </is>
      </c>
      <c r="K127" s="24" t="inlineStr">
        <is>
          <t>데이터 사용 가능</t>
        </is>
      </c>
      <c r="L127" s="24" t="inlineStr">
        <is>
          <t>LOW</t>
        </is>
      </c>
      <c r="M127" s="24" t="inlineStr">
        <is>
          <t>LOW</t>
        </is>
      </c>
      <c r="N127" s="24" t="inlineStr">
        <is>
          <t>0.6312820512820514</t>
        </is>
      </c>
      <c r="O127" s="24" t="inlineStr">
        <is>
          <t>FAIR</t>
        </is>
      </c>
      <c r="P127" s="24" t="inlineStr">
        <is>
          <t>FAIR</t>
        </is>
      </c>
      <c r="Q127" s="24" t="inlineStr">
        <is>
          <t>FAIR</t>
        </is>
      </c>
      <c r="R127" s="24" t="inlineStr">
        <is>
          <t>0.900184891106931</t>
        </is>
      </c>
      <c r="S127" s="24" t="inlineStr">
        <is>
          <t>HIGH</t>
        </is>
      </c>
      <c r="T127" s="24" t="inlineStr">
        <is>
          <t>HIGH</t>
        </is>
      </c>
      <c r="U127" s="24" t="inlineStr">
        <is>
          <t>0.0714285714285714</t>
        </is>
      </c>
      <c r="V127" s="24" t="inlineStr">
        <is>
          <t>LOW_RISK</t>
        </is>
      </c>
      <c r="W127" s="24" t="inlineStr">
        <is>
          <t>저위험</t>
        </is>
      </c>
      <c r="X127" s="24" t="inlineStr">
        <is>
          <t>LOW_RISK</t>
        </is>
      </c>
      <c r="Y127" s="24" t="inlineStr">
        <is>
          <t>0.7417939360948919</t>
        </is>
      </c>
      <c r="Z127" s="24" t="inlineStr">
        <is>
          <t>HIGH</t>
        </is>
      </c>
      <c r="AA127" s="24" t="inlineStr">
        <is>
          <t>HIGH</t>
        </is>
      </c>
      <c r="AB127" s="24" t="inlineStr">
        <is>
          <t>0.06763542968359648</t>
        </is>
      </c>
      <c r="AC127" s="24" t="inlineStr">
        <is>
          <t>False</t>
        </is>
      </c>
      <c r="AD127" s="24" t="inlineStr">
        <is>
          <t>False</t>
        </is>
      </c>
      <c r="AE127" s="24" t="inlineStr">
        <is>
          <t>valuation_credit_ml_overlay_candidate.csv</t>
        </is>
      </c>
      <c r="AF127" s="24" t="inlineStr">
        <is>
          <t>208개 반도체 reference universe. Valuation Agent가 자체 intake 폴더로 복제해 Peer/ML/대시보드 비교에 사용.</t>
        </is>
      </c>
    </row>
    <row r="128" ht="24" customHeight="1">
      <c r="A128" s="29" t="inlineStr">
        <is>
          <t>133</t>
        </is>
      </c>
      <c r="B128" s="29" t="inlineStr">
        <is>
          <t>ltc</t>
        </is>
      </c>
      <c r="C128" s="29" t="inlineStr">
        <is>
          <t>엘티씨</t>
        </is>
      </c>
      <c r="D128" s="29" t="inlineStr">
        <is>
          <t>170920</t>
        </is>
      </c>
      <c r="E128" s="29" t="inlineStr">
        <is>
          <t>KOSDAQ</t>
        </is>
      </c>
      <c r="F128" s="29" t="inlineStr">
        <is>
          <t>소재</t>
        </is>
      </c>
      <c r="G128" s="29" t="inlineStr">
        <is>
          <t>소재</t>
        </is>
      </c>
      <c r="H128" s="29" t="inlineStr">
        <is>
          <t>True</t>
        </is>
      </c>
      <c r="I128" s="29" t="inlineStr">
        <is>
          <t>True</t>
        </is>
      </c>
      <c r="J128" s="29" t="inlineStr">
        <is>
          <t>OK</t>
        </is>
      </c>
      <c r="K128" s="29" t="inlineStr">
        <is>
          <t>데이터 사용 가능</t>
        </is>
      </c>
      <c r="L128" s="29" t="inlineStr">
        <is>
          <t>LOW</t>
        </is>
      </c>
      <c r="M128" s="29" t="inlineStr">
        <is>
          <t>LOW</t>
        </is>
      </c>
      <c r="N128" s="29" t="inlineStr">
        <is>
          <t>0.5838461538461538</t>
        </is>
      </c>
      <c r="O128" s="29" t="inlineStr">
        <is>
          <t>FAIR</t>
        </is>
      </c>
      <c r="P128" s="29" t="inlineStr">
        <is>
          <t>FAIR</t>
        </is>
      </c>
      <c r="Q128" s="29" t="inlineStr">
        <is>
          <t>ATTRACTIVE</t>
        </is>
      </c>
      <c r="R128" s="29" t="inlineStr">
        <is>
          <t>0.6353016273848794</t>
        </is>
      </c>
      <c r="S128" s="29" t="inlineStr">
        <is>
          <t>MEDIUM</t>
        </is>
      </c>
      <c r="T128" s="29" t="inlineStr">
        <is>
          <t>MEDIUM</t>
        </is>
      </c>
      <c r="U128" s="29" t="inlineStr">
        <is>
          <t>0.0</t>
        </is>
      </c>
      <c r="V128" s="29" t="inlineStr">
        <is>
          <t>LOW_RISK</t>
        </is>
      </c>
      <c r="W128" s="29" t="inlineStr">
        <is>
          <t>저위험</t>
        </is>
      </c>
      <c r="X128" s="29" t="inlineStr">
        <is>
          <t>LOW_RISK</t>
        </is>
      </c>
      <c r="Y128" s="29" t="inlineStr">
        <is>
          <t>0.9205018564538214</t>
        </is>
      </c>
      <c r="Z128" s="29" t="inlineStr">
        <is>
          <t>HIGH</t>
        </is>
      </c>
      <c r="AA128" s="29" t="inlineStr">
        <is>
          <t>HIGH</t>
        </is>
      </c>
      <c r="AB128" s="29" t="inlineStr">
        <is>
          <t>0.0038993876391341673</t>
        </is>
      </c>
      <c r="AC128" s="29" t="inlineStr">
        <is>
          <t>False</t>
        </is>
      </c>
      <c r="AD128" s="29" t="inlineStr">
        <is>
          <t>False</t>
        </is>
      </c>
      <c r="AE128" s="29" t="inlineStr">
        <is>
          <t>valuation_credit_ml_overlay_candidate.csv</t>
        </is>
      </c>
      <c r="AF128" s="29" t="inlineStr">
        <is>
          <t>208개 반도체 reference universe. Valuation Agent가 자체 intake 폴더로 복제해 Peer/ML/대시보드 비교에 사용.</t>
        </is>
      </c>
    </row>
    <row r="129" ht="24" customHeight="1">
      <c r="A129" s="24" t="inlineStr">
        <is>
          <t>146</t>
        </is>
      </c>
      <c r="B129" s="24" t="inlineStr">
        <is>
          <t>해당 없음</t>
        </is>
      </c>
      <c r="C129" s="24" t="inlineStr">
        <is>
          <t>티이엠씨</t>
        </is>
      </c>
      <c r="D129" s="24" t="inlineStr">
        <is>
          <t>425040</t>
        </is>
      </c>
      <c r="E129" s="24" t="inlineStr">
        <is>
          <t>KOSDAQ</t>
        </is>
      </c>
      <c r="F129" s="24" t="inlineStr">
        <is>
          <t>소재</t>
        </is>
      </c>
      <c r="G129" s="24" t="inlineStr">
        <is>
          <t>소재</t>
        </is>
      </c>
      <c r="H129" s="24" t="inlineStr">
        <is>
          <t>False</t>
        </is>
      </c>
      <c r="I129" s="24" t="inlineStr">
        <is>
          <t>True</t>
        </is>
      </c>
      <c r="J129" s="24" t="inlineStr">
        <is>
          <t>OK</t>
        </is>
      </c>
      <c r="K129" s="24" t="inlineStr">
        <is>
          <t>데이터 사용 가능</t>
        </is>
      </c>
      <c r="L129" s="24" t="inlineStr">
        <is>
          <t>LOW</t>
        </is>
      </c>
      <c r="M129" s="24" t="inlineStr">
        <is>
          <t>LOW</t>
        </is>
      </c>
      <c r="N129" s="24" t="inlineStr">
        <is>
          <t>0.5666666666666668</t>
        </is>
      </c>
      <c r="O129" s="24" t="inlineStr">
        <is>
          <t>FAIR</t>
        </is>
      </c>
      <c r="P129" s="24" t="inlineStr">
        <is>
          <t>FAIR</t>
        </is>
      </c>
      <c r="Q129" s="24" t="inlineStr">
        <is>
          <t>FAIR</t>
        </is>
      </c>
      <c r="R129" s="24" t="inlineStr">
        <is>
          <t>0.8720430887980049</t>
        </is>
      </c>
      <c r="S129" s="24" t="inlineStr">
        <is>
          <t>HIGH</t>
        </is>
      </c>
      <c r="T129" s="24" t="inlineStr">
        <is>
          <t>HIGH</t>
        </is>
      </c>
      <c r="U129" s="24" t="inlineStr">
        <is>
          <t>0.0714285714285714</t>
        </is>
      </c>
      <c r="V129" s="24" t="inlineStr">
        <is>
          <t>LOW_RISK</t>
        </is>
      </c>
      <c r="W129" s="24" t="inlineStr">
        <is>
          <t>저위험</t>
        </is>
      </c>
      <c r="X129" s="24" t="inlineStr">
        <is>
          <t>LOW_RISK</t>
        </is>
      </c>
      <c r="Y129" s="24" t="inlineStr">
        <is>
          <t>0.7252297088077002</t>
        </is>
      </c>
      <c r="Z129" s="24" t="inlineStr">
        <is>
          <t>HIGH</t>
        </is>
      </c>
      <c r="AA129" s="24" t="inlineStr">
        <is>
          <t>HIGH</t>
        </is>
      </c>
      <c r="AB129" s="24" t="inlineStr">
        <is>
          <t>0.006424650558916757</t>
        </is>
      </c>
      <c r="AC129" s="24" t="inlineStr">
        <is>
          <t>False</t>
        </is>
      </c>
      <c r="AD129" s="24" t="inlineStr">
        <is>
          <t>False</t>
        </is>
      </c>
      <c r="AE129" s="24" t="inlineStr">
        <is>
          <t>valuation_credit_ml_overlay_candidate.csv</t>
        </is>
      </c>
      <c r="AF129" s="24" t="inlineStr">
        <is>
          <t>208개 반도체 reference universe. Valuation Agent가 자체 intake 폴더로 복제해 Peer/ML/대시보드 비교에 사용.</t>
        </is>
      </c>
    </row>
    <row r="130" ht="24" customHeight="1">
      <c r="A130" s="29" t="inlineStr">
        <is>
          <t>131</t>
        </is>
      </c>
      <c r="B130" s="29" t="inlineStr">
        <is>
          <t>해당 없음</t>
        </is>
      </c>
      <c r="C130" s="29" t="inlineStr">
        <is>
          <t>에스앤에스텍</t>
        </is>
      </c>
      <c r="D130" s="29" t="inlineStr">
        <is>
          <t>101490</t>
        </is>
      </c>
      <c r="E130" s="29" t="inlineStr">
        <is>
          <t>KOSDAQ</t>
        </is>
      </c>
      <c r="F130" s="29" t="inlineStr">
        <is>
          <t>소재</t>
        </is>
      </c>
      <c r="G130" s="29" t="inlineStr">
        <is>
          <t>소재</t>
        </is>
      </c>
      <c r="H130" s="29" t="inlineStr">
        <is>
          <t>False</t>
        </is>
      </c>
      <c r="I130" s="29" t="inlineStr">
        <is>
          <t>True</t>
        </is>
      </c>
      <c r="J130" s="29" t="inlineStr">
        <is>
          <t>OK</t>
        </is>
      </c>
      <c r="K130" s="29" t="inlineStr">
        <is>
          <t>데이터 사용 가능</t>
        </is>
      </c>
      <c r="L130" s="29" t="inlineStr">
        <is>
          <t>LOW</t>
        </is>
      </c>
      <c r="M130" s="29" t="inlineStr">
        <is>
          <t>LOW</t>
        </is>
      </c>
      <c r="N130" s="29" t="inlineStr">
        <is>
          <t>0.5653846153846155</t>
        </is>
      </c>
      <c r="O130" s="29" t="inlineStr">
        <is>
          <t>FAIR</t>
        </is>
      </c>
      <c r="P130" s="29" t="inlineStr">
        <is>
          <t>FAIR</t>
        </is>
      </c>
      <c r="Q130" s="29" t="inlineStr">
        <is>
          <t>FAIR</t>
        </is>
      </c>
      <c r="R130" s="29" t="inlineStr">
        <is>
          <t>0.7907123507381016</t>
        </is>
      </c>
      <c r="S130" s="29" t="inlineStr">
        <is>
          <t>HIGH</t>
        </is>
      </c>
      <c r="T130" s="29" t="inlineStr">
        <is>
          <t>HIGH</t>
        </is>
      </c>
      <c r="U130" s="29" t="inlineStr">
        <is>
          <t>0.0714285714285714</t>
        </is>
      </c>
      <c r="V130" s="29" t="inlineStr">
        <is>
          <t>LOW_RISK</t>
        </is>
      </c>
      <c r="W130" s="29" t="inlineStr">
        <is>
          <t>저위험</t>
        </is>
      </c>
      <c r="X130" s="29" t="inlineStr">
        <is>
          <t>LOW_RISK</t>
        </is>
      </c>
      <c r="Y130" s="29" t="inlineStr">
        <is>
          <t>0.877704032267338</t>
        </is>
      </c>
      <c r="Z130" s="29" t="inlineStr">
        <is>
          <t>HIGH</t>
        </is>
      </c>
      <c r="AA130" s="29" t="inlineStr">
        <is>
          <t>HIGH</t>
        </is>
      </c>
      <c r="AB130" s="29" t="inlineStr">
        <is>
          <t>0.05130595484789171</t>
        </is>
      </c>
      <c r="AC130" s="29" t="inlineStr">
        <is>
          <t>False</t>
        </is>
      </c>
      <c r="AD130" s="29" t="inlineStr">
        <is>
          <t>False</t>
        </is>
      </c>
      <c r="AE130" s="29" t="inlineStr">
        <is>
          <t>valuation_credit_ml_overlay_candidate.csv</t>
        </is>
      </c>
      <c r="AF130" s="29" t="inlineStr">
        <is>
          <t>208개 반도체 reference universe. Valuation Agent가 자체 intake 폴더로 복제해 Peer/ML/대시보드 비교에 사용.</t>
        </is>
      </c>
    </row>
    <row r="131" ht="24" customHeight="1">
      <c r="A131" s="24" t="inlineStr">
        <is>
          <t>142</t>
        </is>
      </c>
      <c r="B131" s="24" t="inlineStr">
        <is>
          <t>해당 없음</t>
        </is>
      </c>
      <c r="C131" s="24" t="inlineStr">
        <is>
          <t>제이아이테크</t>
        </is>
      </c>
      <c r="D131" s="24" t="inlineStr">
        <is>
          <t>417500</t>
        </is>
      </c>
      <c r="E131" s="24" t="inlineStr">
        <is>
          <t>KOSDAQ</t>
        </is>
      </c>
      <c r="F131" s="24" t="inlineStr">
        <is>
          <t>소재</t>
        </is>
      </c>
      <c r="G131" s="24" t="inlineStr">
        <is>
          <t>소재</t>
        </is>
      </c>
      <c r="H131" s="24" t="inlineStr">
        <is>
          <t>False</t>
        </is>
      </c>
      <c r="I131" s="24" t="inlineStr">
        <is>
          <t>True</t>
        </is>
      </c>
      <c r="J131" s="24" t="inlineStr">
        <is>
          <t>OK</t>
        </is>
      </c>
      <c r="K131" s="24" t="inlineStr">
        <is>
          <t>데이터 사용 가능</t>
        </is>
      </c>
      <c r="L131" s="24" t="inlineStr">
        <is>
          <t>LOW</t>
        </is>
      </c>
      <c r="M131" s="24" t="inlineStr">
        <is>
          <t>LOW</t>
        </is>
      </c>
      <c r="N131" s="24" t="inlineStr">
        <is>
          <t>0.5264102564102564</t>
        </is>
      </c>
      <c r="O131" s="24" t="inlineStr">
        <is>
          <t>FAIR</t>
        </is>
      </c>
      <c r="P131" s="24" t="inlineStr">
        <is>
          <t>FAIR</t>
        </is>
      </c>
      <c r="Q131" s="24" t="inlineStr">
        <is>
          <t>FAIR</t>
        </is>
      </c>
      <c r="R131" s="24" t="inlineStr">
        <is>
          <t>0.8525733569966568</t>
        </is>
      </c>
      <c r="S131" s="24" t="inlineStr">
        <is>
          <t>HIGH</t>
        </is>
      </c>
      <c r="T131" s="24" t="inlineStr">
        <is>
          <t>HIGH</t>
        </is>
      </c>
      <c r="U131" s="24" t="inlineStr">
        <is>
          <t>0.0714285714285714</t>
        </is>
      </c>
      <c r="V131" s="24" t="inlineStr">
        <is>
          <t>LOW_RISK</t>
        </is>
      </c>
      <c r="W131" s="24" t="inlineStr">
        <is>
          <t>저위험</t>
        </is>
      </c>
      <c r="X131" s="24" t="inlineStr">
        <is>
          <t>LOW_RISK</t>
        </is>
      </c>
      <c r="Y131" s="24" t="inlineStr">
        <is>
          <t>0.7562204122456074</t>
        </is>
      </c>
      <c r="Z131" s="24" t="inlineStr">
        <is>
          <t>HIGH</t>
        </is>
      </c>
      <c r="AA131" s="24" t="inlineStr">
        <is>
          <t>HIGH</t>
        </is>
      </c>
      <c r="AB131" s="24" t="inlineStr">
        <is>
          <t>0.026961826720125225</t>
        </is>
      </c>
      <c r="AC131" s="24" t="inlineStr">
        <is>
          <t>False</t>
        </is>
      </c>
      <c r="AD131" s="24" t="inlineStr">
        <is>
          <t>False</t>
        </is>
      </c>
      <c r="AE131" s="24" t="inlineStr">
        <is>
          <t>valuation_credit_ml_overlay_candidate.csv</t>
        </is>
      </c>
      <c r="AF131" s="24" t="inlineStr">
        <is>
          <t>208개 반도체 reference universe. Valuation Agent가 자체 intake 폴더로 복제해 Peer/ML/대시보드 비교에 사용.</t>
        </is>
      </c>
    </row>
    <row r="132" ht="24" customHeight="1">
      <c r="A132" s="29" t="inlineStr">
        <is>
          <t>137</t>
        </is>
      </c>
      <c r="B132" s="29" t="inlineStr">
        <is>
          <t>해당 없음</t>
        </is>
      </c>
      <c r="C132" s="29" t="inlineStr">
        <is>
          <t>원익QnC</t>
        </is>
      </c>
      <c r="D132" s="29" t="inlineStr">
        <is>
          <t>074600</t>
        </is>
      </c>
      <c r="E132" s="29" t="inlineStr">
        <is>
          <t>KOSDAQ GLOBAL</t>
        </is>
      </c>
      <c r="F132" s="29" t="inlineStr">
        <is>
          <t>소재</t>
        </is>
      </c>
      <c r="G132" s="29" t="inlineStr">
        <is>
          <t>소재</t>
        </is>
      </c>
      <c r="H132" s="29" t="inlineStr">
        <is>
          <t>False</t>
        </is>
      </c>
      <c r="I132" s="29" t="inlineStr">
        <is>
          <t>True</t>
        </is>
      </c>
      <c r="J132" s="29" t="inlineStr">
        <is>
          <t>OK</t>
        </is>
      </c>
      <c r="K132" s="29" t="inlineStr">
        <is>
          <t>데이터 사용 가능</t>
        </is>
      </c>
      <c r="L132" s="29" t="inlineStr">
        <is>
          <t>LOW</t>
        </is>
      </c>
      <c r="M132" s="29" t="inlineStr">
        <is>
          <t>LOW</t>
        </is>
      </c>
      <c r="N132" s="29" t="inlineStr">
        <is>
          <t>0.5156410256410257</t>
        </is>
      </c>
      <c r="O132" s="29" t="inlineStr">
        <is>
          <t>FAIR</t>
        </is>
      </c>
      <c r="P132" s="29" t="inlineStr">
        <is>
          <t>FAIR</t>
        </is>
      </c>
      <c r="Q132" s="29" t="inlineStr">
        <is>
          <t>ATTRACTIVE</t>
        </is>
      </c>
      <c r="R132" s="29" t="inlineStr">
        <is>
          <t>0.4211836082778998</t>
        </is>
      </c>
      <c r="S132" s="29" t="inlineStr">
        <is>
          <t>LOW</t>
        </is>
      </c>
      <c r="T132" s="29" t="inlineStr">
        <is>
          <t>LOW</t>
        </is>
      </c>
      <c r="U132" s="29" t="inlineStr">
        <is>
          <t>0.2857142857142857</t>
        </is>
      </c>
      <c r="V132" s="29" t="inlineStr">
        <is>
          <t>MEDIUM_RISK</t>
        </is>
      </c>
      <c r="W132" s="29" t="inlineStr">
        <is>
          <t>중위험</t>
        </is>
      </c>
      <c r="X132" s="29" t="inlineStr">
        <is>
          <t>MEDIUM_RISK</t>
        </is>
      </c>
      <c r="Y132" s="29" t="inlineStr">
        <is>
          <t>0.6182675579184692</t>
        </is>
      </c>
      <c r="Z132" s="29" t="inlineStr">
        <is>
          <t>MEDIUM</t>
        </is>
      </c>
      <c r="AA132" s="29" t="inlineStr">
        <is>
          <t>MEDIUM</t>
        </is>
      </c>
      <c r="AB132" s="29" t="inlineStr">
        <is>
          <t>0.07153695388648715</t>
        </is>
      </c>
      <c r="AC132" s="29" t="inlineStr">
        <is>
          <t>False</t>
        </is>
      </c>
      <c r="AD132" s="29" t="inlineStr">
        <is>
          <t>True</t>
        </is>
      </c>
      <c r="AE132" s="29" t="inlineStr">
        <is>
          <t>valuation_credit_ml_overlay_candidate.csv</t>
        </is>
      </c>
      <c r="AF132" s="29" t="inlineStr">
        <is>
          <t>208개 반도체 reference universe. Valuation Agent가 자체 intake 폴더로 복제해 Peer/ML/대시보드 비교에 사용.</t>
        </is>
      </c>
    </row>
    <row r="133" ht="24" customHeight="1">
      <c r="A133" s="24" t="inlineStr">
        <is>
          <t>134</t>
        </is>
      </c>
      <c r="B133" s="24" t="inlineStr">
        <is>
          <t>해당 없음</t>
        </is>
      </c>
      <c r="C133" s="24" t="inlineStr">
        <is>
          <t>엠케이전자</t>
        </is>
      </c>
      <c r="D133" s="24" t="inlineStr">
        <is>
          <t>033160</t>
        </is>
      </c>
      <c r="E133" s="24" t="inlineStr">
        <is>
          <t>KOSDAQ</t>
        </is>
      </c>
      <c r="F133" s="24" t="inlineStr">
        <is>
          <t>소재</t>
        </is>
      </c>
      <c r="G133" s="24" t="inlineStr">
        <is>
          <t>소재</t>
        </is>
      </c>
      <c r="H133" s="24" t="inlineStr">
        <is>
          <t>False</t>
        </is>
      </c>
      <c r="I133" s="24" t="inlineStr">
        <is>
          <t>True</t>
        </is>
      </c>
      <c r="J133" s="24" t="inlineStr">
        <is>
          <t>OK</t>
        </is>
      </c>
      <c r="K133" s="24" t="inlineStr">
        <is>
          <t>데이터 사용 가능</t>
        </is>
      </c>
      <c r="L133" s="24" t="inlineStr">
        <is>
          <t>LOW</t>
        </is>
      </c>
      <c r="M133" s="24" t="inlineStr">
        <is>
          <t>LOW</t>
        </is>
      </c>
      <c r="N133" s="24" t="inlineStr">
        <is>
          <t>0.5105128205128205</t>
        </is>
      </c>
      <c r="O133" s="24" t="inlineStr">
        <is>
          <t>FAIR</t>
        </is>
      </c>
      <c r="P133" s="24" t="inlineStr">
        <is>
          <t>FAIR</t>
        </is>
      </c>
      <c r="Q133" s="24" t="inlineStr">
        <is>
          <t>FAIR</t>
        </is>
      </c>
      <c r="R133" s="24" t="inlineStr">
        <is>
          <t>0.801168459079624</t>
        </is>
      </c>
      <c r="S133" s="24" t="inlineStr">
        <is>
          <t>HIGH</t>
        </is>
      </c>
      <c r="T133" s="24" t="inlineStr">
        <is>
          <t>HIGH</t>
        </is>
      </c>
      <c r="U133" s="24" t="inlineStr">
        <is>
          <t>0.5714285714285714</t>
        </is>
      </c>
      <c r="V133" s="24" t="inlineStr">
        <is>
          <t>HIGH_RISK</t>
        </is>
      </c>
      <c r="W133" s="24" t="inlineStr">
        <is>
          <t>고위험</t>
        </is>
      </c>
      <c r="X133" s="24" t="inlineStr">
        <is>
          <t>HIGH_RISK</t>
        </is>
      </c>
      <c r="Y133" s="24" t="inlineStr">
        <is>
          <t>0.6458821552404778</t>
        </is>
      </c>
      <c r="Z133" s="24" t="inlineStr">
        <is>
          <t>MEDIUM</t>
        </is>
      </c>
      <c r="AA133" s="24" t="inlineStr">
        <is>
          <t>MEDIUM</t>
        </is>
      </c>
      <c r="AB133" s="24" t="inlineStr">
        <is>
          <t>0.06935231891152775</t>
        </is>
      </c>
      <c r="AC133" s="24" t="inlineStr">
        <is>
          <t>False</t>
        </is>
      </c>
      <c r="AD133" s="24" t="inlineStr">
        <is>
          <t>False</t>
        </is>
      </c>
      <c r="AE133" s="24" t="inlineStr">
        <is>
          <t>valuation_credit_ml_overlay_candidate.csv</t>
        </is>
      </c>
      <c r="AF133" s="24" t="inlineStr">
        <is>
          <t>208개 반도체 reference universe. Valuation Agent가 자체 intake 폴더로 복제해 Peer/ML/대시보드 비교에 사용.</t>
        </is>
      </c>
    </row>
    <row r="134" ht="24" customHeight="1">
      <c r="A134" s="29" t="inlineStr">
        <is>
          <t>136</t>
        </is>
      </c>
      <c r="B134" s="29" t="inlineStr">
        <is>
          <t>해당 없음</t>
        </is>
      </c>
      <c r="C134" s="29" t="inlineStr">
        <is>
          <t>와이엠티</t>
        </is>
      </c>
      <c r="D134" s="29" t="inlineStr">
        <is>
          <t>251370</t>
        </is>
      </c>
      <c r="E134" s="29" t="inlineStr">
        <is>
          <t>KOSDAQ</t>
        </is>
      </c>
      <c r="F134" s="29" t="inlineStr">
        <is>
          <t>소재</t>
        </is>
      </c>
      <c r="G134" s="29" t="inlineStr">
        <is>
          <t>소재</t>
        </is>
      </c>
      <c r="H134" s="29" t="inlineStr">
        <is>
          <t>False</t>
        </is>
      </c>
      <c r="I134" s="29" t="inlineStr">
        <is>
          <t>True</t>
        </is>
      </c>
      <c r="J134" s="29" t="inlineStr">
        <is>
          <t>OK</t>
        </is>
      </c>
      <c r="K134" s="29" t="inlineStr">
        <is>
          <t>데이터 사용 가능</t>
        </is>
      </c>
      <c r="L134" s="29" t="inlineStr">
        <is>
          <t>LOW</t>
        </is>
      </c>
      <c r="M134" s="29" t="inlineStr">
        <is>
          <t>LOW</t>
        </is>
      </c>
      <c r="N134" s="29" t="inlineStr">
        <is>
          <t>0.4989743589743589</t>
        </is>
      </c>
      <c r="O134" s="29" t="inlineStr">
        <is>
          <t>FAIR</t>
        </is>
      </c>
      <c r="P134" s="29" t="inlineStr">
        <is>
          <t>FAIR</t>
        </is>
      </c>
      <c r="Q134" s="29" t="inlineStr">
        <is>
          <t>FAIR</t>
        </is>
      </c>
      <c r="R134" s="29" t="inlineStr">
        <is>
          <t>0.730943868859095</t>
        </is>
      </c>
      <c r="S134" s="29" t="inlineStr">
        <is>
          <t>HIGH</t>
        </is>
      </c>
      <c r="T134" s="29" t="inlineStr">
        <is>
          <t>HIGH</t>
        </is>
      </c>
      <c r="U134" s="29" t="inlineStr">
        <is>
          <t>0.2142857142857142</t>
        </is>
      </c>
      <c r="V134" s="29" t="inlineStr">
        <is>
          <t>MEDIUM_RISK</t>
        </is>
      </c>
      <c r="W134" s="29" t="inlineStr">
        <is>
          <t>중위험</t>
        </is>
      </c>
      <c r="X134" s="29" t="inlineStr">
        <is>
          <t>MEDIUM_RISK</t>
        </is>
      </c>
      <c r="Y134" s="29" t="inlineStr">
        <is>
          <t>0.4510396871808976</t>
        </is>
      </c>
      <c r="Z134" s="29" t="inlineStr">
        <is>
          <t>LOW</t>
        </is>
      </c>
      <c r="AA134" s="29" t="inlineStr">
        <is>
          <t>LOW</t>
        </is>
      </c>
      <c r="AB134" s="29" t="inlineStr">
        <is>
          <t>0.021802364937517606</t>
        </is>
      </c>
      <c r="AC134" s="29" t="inlineStr">
        <is>
          <t>False</t>
        </is>
      </c>
      <c r="AD134" s="29" t="inlineStr">
        <is>
          <t>True</t>
        </is>
      </c>
      <c r="AE134" s="29" t="inlineStr">
        <is>
          <t>valuation_credit_ml_overlay_candidate.csv</t>
        </is>
      </c>
      <c r="AF134" s="29" t="inlineStr">
        <is>
          <t>208개 반도체 reference universe. Valuation Agent가 자체 intake 폴더로 복제해 Peer/ML/대시보드 비교에 사용.</t>
        </is>
      </c>
    </row>
    <row r="135" ht="24" customHeight="1">
      <c r="A135" s="24" t="inlineStr">
        <is>
          <t>145</t>
        </is>
      </c>
      <c r="B135" s="24" t="inlineStr">
        <is>
          <t>해당 없음</t>
        </is>
      </c>
      <c r="C135" s="24" t="inlineStr">
        <is>
          <t>티씨케이</t>
        </is>
      </c>
      <c r="D135" s="24" t="inlineStr">
        <is>
          <t>064760</t>
        </is>
      </c>
      <c r="E135" s="24" t="inlineStr">
        <is>
          <t>KOSDAQ GLOBAL</t>
        </is>
      </c>
      <c r="F135" s="24" t="inlineStr">
        <is>
          <t>소재</t>
        </is>
      </c>
      <c r="G135" s="24" t="inlineStr">
        <is>
          <t>소재</t>
        </is>
      </c>
      <c r="H135" s="24" t="inlineStr">
        <is>
          <t>False</t>
        </is>
      </c>
      <c r="I135" s="24" t="inlineStr">
        <is>
          <t>True</t>
        </is>
      </c>
      <c r="J135" s="24" t="inlineStr">
        <is>
          <t>OK</t>
        </is>
      </c>
      <c r="K135" s="24" t="inlineStr">
        <is>
          <t>데이터 사용 가능</t>
        </is>
      </c>
      <c r="L135" s="24" t="inlineStr">
        <is>
          <t>LOW</t>
        </is>
      </c>
      <c r="M135" s="24" t="inlineStr">
        <is>
          <t>LOW</t>
        </is>
      </c>
      <c r="N135" s="24" t="inlineStr">
        <is>
          <t>0.4956410256410256</t>
        </is>
      </c>
      <c r="O135" s="24" t="inlineStr">
        <is>
          <t>FAIR</t>
        </is>
      </c>
      <c r="P135" s="24" t="inlineStr">
        <is>
          <t>FAIR</t>
        </is>
      </c>
      <c r="Q135" s="24" t="inlineStr">
        <is>
          <t>FAIR</t>
        </is>
      </c>
      <c r="R135" s="24" t="inlineStr">
        <is>
          <t>0.6535546916238612</t>
        </is>
      </c>
      <c r="S135" s="24" t="inlineStr">
        <is>
          <t>MEDIUM</t>
        </is>
      </c>
      <c r="T135" s="24" t="inlineStr">
        <is>
          <t>MEDIUM</t>
        </is>
      </c>
      <c r="U135" s="24" t="inlineStr">
        <is>
          <t>0.0</t>
        </is>
      </c>
      <c r="V135" s="24" t="inlineStr">
        <is>
          <t>LOW_RISK</t>
        </is>
      </c>
      <c r="W135" s="24" t="inlineStr">
        <is>
          <t>저위험</t>
        </is>
      </c>
      <c r="X135" s="24" t="inlineStr">
        <is>
          <t>LOW_RISK</t>
        </is>
      </c>
      <c r="Y135" s="24" t="inlineStr">
        <is>
          <t>0.7960429313317705</t>
        </is>
      </c>
      <c r="Z135" s="24" t="inlineStr">
        <is>
          <t>HIGH</t>
        </is>
      </c>
      <c r="AA135" s="24" t="inlineStr">
        <is>
          <t>HIGH</t>
        </is>
      </c>
      <c r="AB135" s="24" t="inlineStr">
        <is>
          <t>0.151556576218825</t>
        </is>
      </c>
      <c r="AC135" s="24" t="inlineStr">
        <is>
          <t>False</t>
        </is>
      </c>
      <c r="AD135" s="24" t="inlineStr">
        <is>
          <t>False</t>
        </is>
      </c>
      <c r="AE135" s="24" t="inlineStr">
        <is>
          <t>valuation_credit_ml_overlay_candidate.csv</t>
        </is>
      </c>
      <c r="AF135" s="24" t="inlineStr">
        <is>
          <t>208개 반도체 reference universe. Valuation Agent가 자체 intake 폴더로 복제해 Peer/ML/대시보드 비교에 사용.</t>
        </is>
      </c>
    </row>
    <row r="136" ht="24" customHeight="1">
      <c r="A136" s="29" t="inlineStr">
        <is>
          <t>126</t>
        </is>
      </c>
      <c r="B136" s="29" t="inlineStr">
        <is>
          <t>해당 없음</t>
        </is>
      </c>
      <c r="C136" s="29" t="inlineStr">
        <is>
          <t>동진쎄미켐</t>
        </is>
      </c>
      <c r="D136" s="29" t="inlineStr">
        <is>
          <t>005290</t>
        </is>
      </c>
      <c r="E136" s="29" t="inlineStr">
        <is>
          <t>KOSDAQ</t>
        </is>
      </c>
      <c r="F136" s="29" t="inlineStr">
        <is>
          <t>소재</t>
        </is>
      </c>
      <c r="G136" s="29" t="inlineStr">
        <is>
          <t>소재</t>
        </is>
      </c>
      <c r="H136" s="29" t="inlineStr">
        <is>
          <t>False</t>
        </is>
      </c>
      <c r="I136" s="29" t="inlineStr">
        <is>
          <t>True</t>
        </is>
      </c>
      <c r="J136" s="29" t="inlineStr">
        <is>
          <t>OK</t>
        </is>
      </c>
      <c r="K136" s="29" t="inlineStr">
        <is>
          <t>데이터 사용 가능</t>
        </is>
      </c>
      <c r="L136" s="29" t="inlineStr">
        <is>
          <t>LOW</t>
        </is>
      </c>
      <c r="M136" s="29" t="inlineStr">
        <is>
          <t>LOW</t>
        </is>
      </c>
      <c r="N136" s="29" t="inlineStr">
        <is>
          <t>0.4702564102564102</t>
        </is>
      </c>
      <c r="O136" s="29" t="inlineStr">
        <is>
          <t>FAIR</t>
        </is>
      </c>
      <c r="P136" s="29" t="inlineStr">
        <is>
          <t>FAIR</t>
        </is>
      </c>
      <c r="Q136" s="29" t="inlineStr">
        <is>
          <t>ATTRACTIVE</t>
        </is>
      </c>
      <c r="R136" s="29" t="inlineStr">
        <is>
          <t>0.48929755601795294</t>
        </is>
      </c>
      <c r="S136" s="29" t="inlineStr">
        <is>
          <t>LOW</t>
        </is>
      </c>
      <c r="T136" s="29" t="inlineStr">
        <is>
          <t>LOW</t>
        </is>
      </c>
      <c r="U136" s="29" t="inlineStr">
        <is>
          <t>0.0</t>
        </is>
      </c>
      <c r="V136" s="29" t="inlineStr">
        <is>
          <t>LOW_RISK</t>
        </is>
      </c>
      <c r="W136" s="29" t="inlineStr">
        <is>
          <t>저위험</t>
        </is>
      </c>
      <c r="X136" s="29" t="inlineStr">
        <is>
          <t>LOW_RISK</t>
        </is>
      </c>
      <c r="Y136" s="29" t="inlineStr">
        <is>
          <t>0.9474461757717627</t>
        </is>
      </c>
      <c r="Z136" s="29" t="inlineStr">
        <is>
          <t>HIGH</t>
        </is>
      </c>
      <c r="AA136" s="29" t="inlineStr">
        <is>
          <t>HIGH</t>
        </is>
      </c>
      <c r="AB136" s="29" t="inlineStr">
        <is>
          <t>0.021813937556984325</t>
        </is>
      </c>
      <c r="AC136" s="29" t="inlineStr">
        <is>
          <t>False</t>
        </is>
      </c>
      <c r="AD136" s="29" t="inlineStr">
        <is>
          <t>True</t>
        </is>
      </c>
      <c r="AE136" s="29" t="inlineStr">
        <is>
          <t>valuation_credit_ml_overlay_candidate.csv</t>
        </is>
      </c>
      <c r="AF136" s="29" t="inlineStr">
        <is>
          <t>208개 반도체 reference universe. Valuation Agent가 자체 intake 폴더로 복제해 Peer/ML/대시보드 비교에 사용.</t>
        </is>
      </c>
    </row>
    <row r="137" ht="24" customHeight="1">
      <c r="A137" s="24" t="inlineStr">
        <is>
          <t>144</t>
        </is>
      </c>
      <c r="B137" s="24" t="inlineStr">
        <is>
          <t>해당 없음</t>
        </is>
      </c>
      <c r="C137" s="24" t="inlineStr">
        <is>
          <t>켐트로닉스</t>
        </is>
      </c>
      <c r="D137" s="24" t="inlineStr">
        <is>
          <t>089010</t>
        </is>
      </c>
      <c r="E137" s="24" t="inlineStr">
        <is>
          <t>KOSDAQ</t>
        </is>
      </c>
      <c r="F137" s="24" t="inlineStr">
        <is>
          <t>소재</t>
        </is>
      </c>
      <c r="G137" s="24" t="inlineStr">
        <is>
          <t>소재</t>
        </is>
      </c>
      <c r="H137" s="24" t="inlineStr">
        <is>
          <t>False</t>
        </is>
      </c>
      <c r="I137" s="24" t="inlineStr">
        <is>
          <t>True</t>
        </is>
      </c>
      <c r="J137" s="24" t="inlineStr">
        <is>
          <t>OK</t>
        </is>
      </c>
      <c r="K137" s="24" t="inlineStr">
        <is>
          <t>데이터 사용 가능</t>
        </is>
      </c>
      <c r="L137" s="24" t="inlineStr">
        <is>
          <t>LOW</t>
        </is>
      </c>
      <c r="M137" s="24" t="inlineStr">
        <is>
          <t>LOW</t>
        </is>
      </c>
      <c r="N137" s="24" t="inlineStr">
        <is>
          <t>0.4412820512820513</t>
        </is>
      </c>
      <c r="O137" s="24" t="inlineStr">
        <is>
          <t>FAIR</t>
        </is>
      </c>
      <c r="P137" s="24" t="inlineStr">
        <is>
          <t>FAIR</t>
        </is>
      </c>
      <c r="Q137" s="24" t="inlineStr">
        <is>
          <t>FAIR</t>
        </is>
      </c>
      <c r="R137" s="24" t="inlineStr">
        <is>
          <t>0.7697961799623572</t>
        </is>
      </c>
      <c r="S137" s="24" t="inlineStr">
        <is>
          <t>HIGH</t>
        </is>
      </c>
      <c r="T137" s="24" t="inlineStr">
        <is>
          <t>HIGH</t>
        </is>
      </c>
      <c r="U137" s="24" t="inlineStr">
        <is>
          <t>0.3571428571428571</t>
        </is>
      </c>
      <c r="V137" s="24" t="inlineStr">
        <is>
          <t>MEDIUM_RISK</t>
        </is>
      </c>
      <c r="W137" s="24" t="inlineStr">
        <is>
          <t>중위험</t>
        </is>
      </c>
      <c r="X137" s="24" t="inlineStr">
        <is>
          <t>MEDIUM_RISK</t>
        </is>
      </c>
      <c r="Y137" s="24" t="inlineStr">
        <is>
          <t>0.46850853772952833</t>
        </is>
      </c>
      <c r="Z137" s="24" t="inlineStr">
        <is>
          <t>LOW</t>
        </is>
      </c>
      <c r="AA137" s="24" t="inlineStr">
        <is>
          <t>LOW</t>
        </is>
      </c>
      <c r="AB137" s="24" t="inlineStr">
        <is>
          <t>0.08001716573230905</t>
        </is>
      </c>
      <c r="AC137" s="24" t="inlineStr">
        <is>
          <t>False</t>
        </is>
      </c>
      <c r="AD137" s="24" t="inlineStr">
        <is>
          <t>True</t>
        </is>
      </c>
      <c r="AE137" s="24" t="inlineStr">
        <is>
          <t>valuation_credit_ml_overlay_candidate.csv</t>
        </is>
      </c>
      <c r="AF137" s="24" t="inlineStr">
        <is>
          <t>208개 반도체 reference universe. Valuation Agent가 자체 intake 폴더로 복제해 Peer/ML/대시보드 비교에 사용.</t>
        </is>
      </c>
    </row>
    <row r="138" ht="24" customHeight="1">
      <c r="A138" s="29" t="inlineStr">
        <is>
          <t>129</t>
        </is>
      </c>
      <c r="B138" s="29" t="inlineStr">
        <is>
          <t>해당 없음</t>
        </is>
      </c>
      <c r="C138" s="29" t="inlineStr">
        <is>
          <t>솔브레인</t>
        </is>
      </c>
      <c r="D138" s="29" t="inlineStr">
        <is>
          <t>357780</t>
        </is>
      </c>
      <c r="E138" s="29" t="inlineStr">
        <is>
          <t>KOSDAQ GLOBAL</t>
        </is>
      </c>
      <c r="F138" s="29" t="inlineStr">
        <is>
          <t>소재</t>
        </is>
      </c>
      <c r="G138" s="29" t="inlineStr">
        <is>
          <t>소재</t>
        </is>
      </c>
      <c r="H138" s="29" t="inlineStr">
        <is>
          <t>False</t>
        </is>
      </c>
      <c r="I138" s="29" t="inlineStr">
        <is>
          <t>True</t>
        </is>
      </c>
      <c r="J138" s="29" t="inlineStr">
        <is>
          <t>OK</t>
        </is>
      </c>
      <c r="K138" s="29" t="inlineStr">
        <is>
          <t>데이터 사용 가능</t>
        </is>
      </c>
      <c r="L138" s="29" t="inlineStr">
        <is>
          <t>LOW</t>
        </is>
      </c>
      <c r="M138" s="29" t="inlineStr">
        <is>
          <t>LOW</t>
        </is>
      </c>
      <c r="N138" s="29" t="inlineStr">
        <is>
          <t>0.4330769230769231</t>
        </is>
      </c>
      <c r="O138" s="29" t="inlineStr">
        <is>
          <t>FAIR</t>
        </is>
      </c>
      <c r="P138" s="29" t="inlineStr">
        <is>
          <t>FAIR</t>
        </is>
      </c>
      <c r="Q138" s="29" t="inlineStr">
        <is>
          <t>FAIR</t>
        </is>
      </c>
      <c r="R138" s="29" t="inlineStr">
        <is>
          <t>0.6367158518654258</t>
        </is>
      </c>
      <c r="S138" s="29" t="inlineStr">
        <is>
          <t>MEDIUM</t>
        </is>
      </c>
      <c r="T138" s="29" t="inlineStr">
        <is>
          <t>MEDIUM</t>
        </is>
      </c>
      <c r="U138" s="29" t="inlineStr">
        <is>
          <t>0.0</t>
        </is>
      </c>
      <c r="V138" s="29" t="inlineStr">
        <is>
          <t>LOW_RISK</t>
        </is>
      </c>
      <c r="W138" s="29" t="inlineStr">
        <is>
          <t>저위험</t>
        </is>
      </c>
      <c r="X138" s="29" t="inlineStr">
        <is>
          <t>LOW_RISK</t>
        </is>
      </c>
      <c r="Y138" s="29" t="inlineStr">
        <is>
          <t>0.9460528189989016</t>
        </is>
      </c>
      <c r="Z138" s="29" t="inlineStr">
        <is>
          <t>HIGH</t>
        </is>
      </c>
      <c r="AA138" s="29" t="inlineStr">
        <is>
          <t>HIGH</t>
        </is>
      </c>
      <c r="AB138" s="29" t="inlineStr">
        <is>
          <t>0.0320761550307272</t>
        </is>
      </c>
      <c r="AC138" s="29" t="inlineStr">
        <is>
          <t>False</t>
        </is>
      </c>
      <c r="AD138" s="29" t="inlineStr">
        <is>
          <t>False</t>
        </is>
      </c>
      <c r="AE138" s="29" t="inlineStr">
        <is>
          <t>valuation_credit_ml_overlay_candidate.csv</t>
        </is>
      </c>
      <c r="AF138" s="29" t="inlineStr">
        <is>
          <t>208개 반도체 reference universe. Valuation Agent가 자체 intake 폴더로 복제해 Peer/ML/대시보드 비교에 사용.</t>
        </is>
      </c>
    </row>
    <row r="139" ht="24" customHeight="1">
      <c r="A139" s="24" t="inlineStr">
        <is>
          <t>127</t>
        </is>
      </c>
      <c r="B139" s="24" t="inlineStr">
        <is>
          <t>해당 없음</t>
        </is>
      </c>
      <c r="C139" s="24" t="inlineStr">
        <is>
          <t>디엔에프</t>
        </is>
      </c>
      <c r="D139" s="24" t="inlineStr">
        <is>
          <t>092070</t>
        </is>
      </c>
      <c r="E139" s="24" t="inlineStr">
        <is>
          <t>KOSDAQ</t>
        </is>
      </c>
      <c r="F139" s="24" t="inlineStr">
        <is>
          <t>소재</t>
        </is>
      </c>
      <c r="G139" s="24" t="inlineStr">
        <is>
          <t>소재</t>
        </is>
      </c>
      <c r="H139" s="24" t="inlineStr">
        <is>
          <t>False</t>
        </is>
      </c>
      <c r="I139" s="24" t="inlineStr">
        <is>
          <t>True</t>
        </is>
      </c>
      <c r="J139" s="24" t="inlineStr">
        <is>
          <t>OK</t>
        </is>
      </c>
      <c r="K139" s="24" t="inlineStr">
        <is>
          <t>데이터 사용 가능</t>
        </is>
      </c>
      <c r="L139" s="24" t="inlineStr">
        <is>
          <t>LOW</t>
        </is>
      </c>
      <c r="M139" s="24" t="inlineStr">
        <is>
          <t>LOW</t>
        </is>
      </c>
      <c r="N139" s="24" t="inlineStr">
        <is>
          <t>0.4041025641025642</t>
        </is>
      </c>
      <c r="O139" s="24" t="inlineStr">
        <is>
          <t>EXPENSIVE</t>
        </is>
      </c>
      <c r="P139" s="24" t="inlineStr">
        <is>
          <t>EXPENSIVE</t>
        </is>
      </c>
      <c r="Q139" s="24" t="inlineStr">
        <is>
          <t>EXPENSIVE</t>
        </is>
      </c>
      <c r="R139" s="24" t="inlineStr">
        <is>
          <t>0.6833535693717029</t>
        </is>
      </c>
      <c r="S139" s="24" t="inlineStr">
        <is>
          <t>MEDIUM</t>
        </is>
      </c>
      <c r="T139" s="24" t="inlineStr">
        <is>
          <t>MEDIUM</t>
        </is>
      </c>
      <c r="U139" s="24" t="inlineStr">
        <is>
          <t>0.1428571428571428</t>
        </is>
      </c>
      <c r="V139" s="24" t="inlineStr">
        <is>
          <t>LOW_RISK</t>
        </is>
      </c>
      <c r="W139" s="24" t="inlineStr">
        <is>
          <t>저위험</t>
        </is>
      </c>
      <c r="X139" s="24" t="inlineStr">
        <is>
          <t>LOW_RISK</t>
        </is>
      </c>
      <c r="Y139" s="24" t="inlineStr">
        <is>
          <t>0.5929893794662974</t>
        </is>
      </c>
      <c r="Z139" s="24" t="inlineStr">
        <is>
          <t>MEDIUM</t>
        </is>
      </c>
      <c r="AA139" s="24" t="inlineStr">
        <is>
          <t>MEDIUM</t>
        </is>
      </c>
      <c r="AB139" s="24" t="inlineStr">
        <is>
          <t>0.12453521172683771</t>
        </is>
      </c>
      <c r="AC139" s="24" t="inlineStr">
        <is>
          <t>False</t>
        </is>
      </c>
      <c r="AD139" s="24" t="inlineStr">
        <is>
          <t>False</t>
        </is>
      </c>
      <c r="AE139" s="24" t="inlineStr">
        <is>
          <t>valuation_credit_ml_overlay_candidate.csv</t>
        </is>
      </c>
      <c r="AF139" s="24" t="inlineStr">
        <is>
          <t>208개 반도체 reference universe. Valuation Agent가 자체 intake 폴더로 복제해 Peer/ML/대시보드 비교에 사용.</t>
        </is>
      </c>
    </row>
    <row r="140" ht="24" customHeight="1">
      <c r="A140" s="29" t="inlineStr">
        <is>
          <t>135</t>
        </is>
      </c>
      <c r="B140" s="29" t="inlineStr">
        <is>
          <t>해당 없음</t>
        </is>
      </c>
      <c r="C140" s="29" t="inlineStr">
        <is>
          <t>와이씨켐</t>
        </is>
      </c>
      <c r="D140" s="29" t="inlineStr">
        <is>
          <t>112290</t>
        </is>
      </c>
      <c r="E140" s="29" t="inlineStr">
        <is>
          <t>KOSDAQ</t>
        </is>
      </c>
      <c r="F140" s="29" t="inlineStr">
        <is>
          <t>소재</t>
        </is>
      </c>
      <c r="G140" s="29" t="inlineStr">
        <is>
          <t>소재</t>
        </is>
      </c>
      <c r="H140" s="29" t="inlineStr">
        <is>
          <t>False</t>
        </is>
      </c>
      <c r="I140" s="29" t="inlineStr">
        <is>
          <t>True</t>
        </is>
      </c>
      <c r="J140" s="29" t="inlineStr">
        <is>
          <t>OK</t>
        </is>
      </c>
      <c r="K140" s="29" t="inlineStr">
        <is>
          <t>데이터 사용 가능</t>
        </is>
      </c>
      <c r="L140" s="29" t="inlineStr">
        <is>
          <t>LOW</t>
        </is>
      </c>
      <c r="M140" s="29" t="inlineStr">
        <is>
          <t>LOW</t>
        </is>
      </c>
      <c r="N140" s="29" t="inlineStr">
        <is>
          <t>0.3835897435897436</t>
        </is>
      </c>
      <c r="O140" s="29" t="inlineStr">
        <is>
          <t>EXPENSIVE</t>
        </is>
      </c>
      <c r="P140" s="29" t="inlineStr">
        <is>
          <t>EXPENSIVE</t>
        </is>
      </c>
      <c r="Q140" s="29" t="inlineStr">
        <is>
          <t>EXPENSIVE</t>
        </is>
      </c>
      <c r="R140" s="29" t="inlineStr">
        <is>
          <t>0.7576999610053956</t>
        </is>
      </c>
      <c r="S140" s="29" t="inlineStr">
        <is>
          <t>HIGH</t>
        </is>
      </c>
      <c r="T140" s="29" t="inlineStr">
        <is>
          <t>HIGH</t>
        </is>
      </c>
      <c r="U140" s="29" t="inlineStr">
        <is>
          <t>0.5</t>
        </is>
      </c>
      <c r="V140" s="29" t="inlineStr">
        <is>
          <t>HIGH_RISK</t>
        </is>
      </c>
      <c r="W140" s="29" t="inlineStr">
        <is>
          <t>고위험</t>
        </is>
      </c>
      <c r="X140" s="29" t="inlineStr">
        <is>
          <t>HIGH_RISK</t>
        </is>
      </c>
      <c r="Y140" s="29" t="inlineStr">
        <is>
          <t>0.5943318096005836</t>
        </is>
      </c>
      <c r="Z140" s="29" t="inlineStr">
        <is>
          <t>MEDIUM</t>
        </is>
      </c>
      <c r="AA140" s="29" t="inlineStr">
        <is>
          <t>MEDIUM</t>
        </is>
      </c>
      <c r="AB140" s="29" t="inlineStr">
        <is>
          <t>0.09923299749910795</t>
        </is>
      </c>
      <c r="AC140" s="29" t="inlineStr">
        <is>
          <t>False</t>
        </is>
      </c>
      <c r="AD140" s="29" t="inlineStr">
        <is>
          <t>False</t>
        </is>
      </c>
      <c r="AE140" s="29" t="inlineStr">
        <is>
          <t>valuation_credit_ml_overlay_candidate.csv</t>
        </is>
      </c>
      <c r="AF140" s="29" t="inlineStr">
        <is>
          <t>208개 반도체 reference universe. Valuation Agent가 자체 intake 폴더로 복제해 Peer/ML/대시보드 비교에 사용.</t>
        </is>
      </c>
    </row>
    <row r="141" ht="24" customHeight="1">
      <c r="A141" s="24" t="inlineStr">
        <is>
          <t>143</t>
        </is>
      </c>
      <c r="B141" s="24" t="inlineStr">
        <is>
          <t>해당 없음</t>
        </is>
      </c>
      <c r="C141" s="24" t="inlineStr">
        <is>
          <t>천보</t>
        </is>
      </c>
      <c r="D141" s="24" t="inlineStr">
        <is>
          <t>278280</t>
        </is>
      </c>
      <c r="E141" s="24" t="inlineStr">
        <is>
          <t>KOSDAQ</t>
        </is>
      </c>
      <c r="F141" s="24" t="inlineStr">
        <is>
          <t>소재</t>
        </is>
      </c>
      <c r="G141" s="24" t="inlineStr">
        <is>
          <t>소재</t>
        </is>
      </c>
      <c r="H141" s="24" t="inlineStr">
        <is>
          <t>False</t>
        </is>
      </c>
      <c r="I141" s="24" t="inlineStr">
        <is>
          <t>True</t>
        </is>
      </c>
      <c r="J141" s="24" t="inlineStr">
        <is>
          <t>OK</t>
        </is>
      </c>
      <c r="K141" s="24" t="inlineStr">
        <is>
          <t>데이터 사용 가능</t>
        </is>
      </c>
      <c r="L141" s="24" t="inlineStr">
        <is>
          <t>LOW</t>
        </is>
      </c>
      <c r="M141" s="24" t="inlineStr">
        <is>
          <t>LOW</t>
        </is>
      </c>
      <c r="N141" s="24" t="inlineStr">
        <is>
          <t>0.3387179487179487</t>
        </is>
      </c>
      <c r="O141" s="24" t="inlineStr">
        <is>
          <t>EXPENSIVE</t>
        </is>
      </c>
      <c r="P141" s="24" t="inlineStr">
        <is>
          <t>EXPENSIVE</t>
        </is>
      </c>
      <c r="Q141" s="24" t="inlineStr">
        <is>
          <t>EXPENSIVE</t>
        </is>
      </c>
      <c r="R141" s="24" t="inlineStr">
        <is>
          <t>0.5721835844163214</t>
        </is>
      </c>
      <c r="S141" s="24" t="inlineStr">
        <is>
          <t>MEDIUM</t>
        </is>
      </c>
      <c r="T141" s="24" t="inlineStr">
        <is>
          <t>MEDIUM</t>
        </is>
      </c>
      <c r="U141" s="24" t="inlineStr">
        <is>
          <t>0.3571428571428571</t>
        </is>
      </c>
      <c r="V141" s="24" t="inlineStr">
        <is>
          <t>MEDIUM_RISK</t>
        </is>
      </c>
      <c r="W141" s="24" t="inlineStr">
        <is>
          <t>중위험</t>
        </is>
      </c>
      <c r="X141" s="24" t="inlineStr">
        <is>
          <t>MEDIUM_RISK</t>
        </is>
      </c>
      <c r="Y141" s="24" t="inlineStr">
        <is>
          <t>0.6610625585827647</t>
        </is>
      </c>
      <c r="Z141" s="24" t="inlineStr">
        <is>
          <t>MEDIUM</t>
        </is>
      </c>
      <c r="AA141" s="24" t="inlineStr">
        <is>
          <t>MEDIUM</t>
        </is>
      </c>
      <c r="AB141" s="24" t="inlineStr">
        <is>
          <t>0.09911108426869078</t>
        </is>
      </c>
      <c r="AC141" s="24" t="inlineStr">
        <is>
          <t>False</t>
        </is>
      </c>
      <c r="AD141" s="24" t="inlineStr">
        <is>
          <t>False</t>
        </is>
      </c>
      <c r="AE141" s="24" t="inlineStr">
        <is>
          <t>valuation_credit_ml_overlay_candidate.csv</t>
        </is>
      </c>
      <c r="AF141" s="24" t="inlineStr">
        <is>
          <t>208개 반도체 reference universe. Valuation Agent가 자체 intake 폴더로 복제해 Peer/ML/대시보드 비교에 사용.</t>
        </is>
      </c>
    </row>
    <row r="142" ht="24" customHeight="1">
      <c r="A142" s="29" t="inlineStr">
        <is>
          <t>149</t>
        </is>
      </c>
      <c r="B142" s="29" t="inlineStr">
        <is>
          <t>해당 없음</t>
        </is>
      </c>
      <c r="C142" s="29" t="inlineStr">
        <is>
          <t>후성</t>
        </is>
      </c>
      <c r="D142" s="29" t="inlineStr">
        <is>
          <t>093370</t>
        </is>
      </c>
      <c r="E142" s="29" t="inlineStr">
        <is>
          <t>KOSPI</t>
        </is>
      </c>
      <c r="F142" s="29" t="inlineStr">
        <is>
          <t>소재</t>
        </is>
      </c>
      <c r="G142" s="29" t="inlineStr">
        <is>
          <t>소재</t>
        </is>
      </c>
      <c r="H142" s="29" t="inlineStr">
        <is>
          <t>False</t>
        </is>
      </c>
      <c r="I142" s="29" t="inlineStr">
        <is>
          <t>True</t>
        </is>
      </c>
      <c r="J142" s="29" t="inlineStr">
        <is>
          <t>OK</t>
        </is>
      </c>
      <c r="K142" s="29" t="inlineStr">
        <is>
          <t>데이터 사용 가능</t>
        </is>
      </c>
      <c r="L142" s="29" t="inlineStr">
        <is>
          <t>LOW</t>
        </is>
      </c>
      <c r="M142" s="29" t="inlineStr">
        <is>
          <t>LOW</t>
        </is>
      </c>
      <c r="N142" s="29" t="inlineStr">
        <is>
          <t>0.3387179487179487</t>
        </is>
      </c>
      <c r="O142" s="29" t="inlineStr">
        <is>
          <t>EXPENSIVE</t>
        </is>
      </c>
      <c r="P142" s="29" t="inlineStr">
        <is>
          <t>EXPENSIVE</t>
        </is>
      </c>
      <c r="Q142" s="29" t="inlineStr">
        <is>
          <t>EXPENSIVE</t>
        </is>
      </c>
      <c r="R142" s="29" t="inlineStr">
        <is>
          <t>0.7388215177779633</t>
        </is>
      </c>
      <c r="S142" s="29" t="inlineStr">
        <is>
          <t>HIGH</t>
        </is>
      </c>
      <c r="T142" s="29" t="inlineStr">
        <is>
          <t>HIGH</t>
        </is>
      </c>
      <c r="U142" s="29" t="inlineStr">
        <is>
          <t>0.1428571428571428</t>
        </is>
      </c>
      <c r="V142" s="29" t="inlineStr">
        <is>
          <t>LOW_RISK</t>
        </is>
      </c>
      <c r="W142" s="29" t="inlineStr">
        <is>
          <t>저위험</t>
        </is>
      </c>
      <c r="X142" s="29" t="inlineStr">
        <is>
          <t>LOW_RISK</t>
        </is>
      </c>
      <c r="Y142" s="29" t="inlineStr">
        <is>
          <t>0.6020102100460379</t>
        </is>
      </c>
      <c r="Z142" s="29" t="inlineStr">
        <is>
          <t>MEDIUM</t>
        </is>
      </c>
      <c r="AA142" s="29" t="inlineStr">
        <is>
          <t>MEDIUM</t>
        </is>
      </c>
      <c r="AB142" s="29" t="inlineStr">
        <is>
          <t>0.03702349009826696</t>
        </is>
      </c>
      <c r="AC142" s="29" t="inlineStr">
        <is>
          <t>False</t>
        </is>
      </c>
      <c r="AD142" s="29" t="inlineStr">
        <is>
          <t>False</t>
        </is>
      </c>
      <c r="AE142" s="29" t="inlineStr">
        <is>
          <t>valuation_credit_ml_overlay_candidate.csv</t>
        </is>
      </c>
      <c r="AF142" s="29" t="inlineStr">
        <is>
          <t>208개 반도체 reference universe. Valuation Agent가 자체 intake 폴더로 복제해 Peer/ML/대시보드 비교에 사용.</t>
        </is>
      </c>
    </row>
    <row r="143" ht="24" customHeight="1">
      <c r="A143" s="24" t="inlineStr">
        <is>
          <t>132</t>
        </is>
      </c>
      <c r="B143" s="24" t="inlineStr">
        <is>
          <t>해당 없음</t>
        </is>
      </c>
      <c r="C143" s="24" t="inlineStr">
        <is>
          <t>엘케이켐</t>
        </is>
      </c>
      <c r="D143" s="24" t="inlineStr">
        <is>
          <t>489500</t>
        </is>
      </c>
      <c r="E143" s="24" t="inlineStr">
        <is>
          <t>KOSDAQ</t>
        </is>
      </c>
      <c r="F143" s="24" t="inlineStr">
        <is>
          <t>소재</t>
        </is>
      </c>
      <c r="G143" s="24" t="inlineStr">
        <is>
          <t>소재</t>
        </is>
      </c>
      <c r="H143" s="24" t="inlineStr">
        <is>
          <t>False</t>
        </is>
      </c>
      <c r="I143" s="24" t="inlineStr">
        <is>
          <t>True</t>
        </is>
      </c>
      <c r="J143" s="24" t="inlineStr">
        <is>
          <t>OK_LIMITED_HISTORY_OR_GROWTH_NA</t>
        </is>
      </c>
      <c r="K143" s="24" t="inlineStr">
        <is>
          <t>데이터 사용 가능</t>
        </is>
      </c>
      <c r="L143" s="24" t="inlineStr">
        <is>
          <t>LOW</t>
        </is>
      </c>
      <c r="M143" s="24" t="inlineStr">
        <is>
          <t>LOW</t>
        </is>
      </c>
      <c r="N143" s="24" t="inlineStr">
        <is>
          <t>0.3238461538461538</t>
        </is>
      </c>
      <c r="O143" s="24" t="inlineStr">
        <is>
          <t>EXPENSIVE</t>
        </is>
      </c>
      <c r="P143" s="24" t="inlineStr">
        <is>
          <t>EXPENSIVE</t>
        </is>
      </c>
      <c r="Q143" s="24" t="inlineStr">
        <is>
          <t>EXPENSIVE</t>
        </is>
      </c>
      <c r="R143" s="24" t="inlineStr">
        <is>
          <t>0.702794478496214</t>
        </is>
      </c>
      <c r="S143" s="24" t="inlineStr">
        <is>
          <t>HIGH</t>
        </is>
      </c>
      <c r="T143" s="24" t="inlineStr">
        <is>
          <t>HIGH</t>
        </is>
      </c>
      <c r="U143" s="24" t="inlineStr">
        <is>
          <t>0.2857142857142857</t>
        </is>
      </c>
      <c r="V143" s="24" t="inlineStr">
        <is>
          <t>MEDIUM_RISK</t>
        </is>
      </c>
      <c r="W143" s="24" t="inlineStr">
        <is>
          <t>중위험</t>
        </is>
      </c>
      <c r="X143" s="24" t="inlineStr">
        <is>
          <t>MEDIUM_RISK</t>
        </is>
      </c>
      <c r="Y143" s="24" t="inlineStr">
        <is>
          <t>0.5536965458646373</t>
        </is>
      </c>
      <c r="Z143" s="24" t="inlineStr">
        <is>
          <t>MEDIUM</t>
        </is>
      </c>
      <c r="AA143" s="24" t="inlineStr">
        <is>
          <t>MEDIUM</t>
        </is>
      </c>
      <c r="AB143" s="24" t="inlineStr">
        <is>
          <t>0.25181847400004714</t>
        </is>
      </c>
      <c r="AC143" s="24" t="inlineStr">
        <is>
          <t>True</t>
        </is>
      </c>
      <c r="AD143" s="24" t="inlineStr">
        <is>
          <t>True</t>
        </is>
      </c>
      <c r="AE143" s="24" t="inlineStr">
        <is>
          <t>valuation_credit_ml_overlay_candidate.csv</t>
        </is>
      </c>
      <c r="AF143" s="24" t="inlineStr">
        <is>
          <t>208개 반도체 reference universe. Valuation Agent가 자체 intake 폴더로 복제해 Peer/ML/대시보드 비교에 사용.</t>
        </is>
      </c>
    </row>
    <row r="144" ht="24" customHeight="1">
      <c r="A144" s="29" t="inlineStr">
        <is>
          <t>124</t>
        </is>
      </c>
      <c r="B144" s="29" t="inlineStr">
        <is>
          <t>해당 없음</t>
        </is>
      </c>
      <c r="C144" s="29" t="inlineStr">
        <is>
          <t>SKC</t>
        </is>
      </c>
      <c r="D144" s="29" t="inlineStr">
        <is>
          <t>011790</t>
        </is>
      </c>
      <c r="E144" s="29" t="inlineStr">
        <is>
          <t>KOSPI</t>
        </is>
      </c>
      <c r="F144" s="29" t="inlineStr">
        <is>
          <t>소재</t>
        </is>
      </c>
      <c r="G144" s="29" t="inlineStr">
        <is>
          <t>소재</t>
        </is>
      </c>
      <c r="H144" s="29" t="inlineStr">
        <is>
          <t>False</t>
        </is>
      </c>
      <c r="I144" s="29" t="inlineStr">
        <is>
          <t>True</t>
        </is>
      </c>
      <c r="J144" s="29" t="inlineStr">
        <is>
          <t>OK</t>
        </is>
      </c>
      <c r="K144" s="29" t="inlineStr">
        <is>
          <t>데이터 사용 가능</t>
        </is>
      </c>
      <c r="L144" s="29" t="inlineStr">
        <is>
          <t>LOW</t>
        </is>
      </c>
      <c r="M144" s="29" t="inlineStr">
        <is>
          <t>LOW</t>
        </is>
      </c>
      <c r="N144" s="29" t="inlineStr">
        <is>
          <t>0.3217948717948718</t>
        </is>
      </c>
      <c r="O144" s="29" t="inlineStr">
        <is>
          <t>EXPENSIVE</t>
        </is>
      </c>
      <c r="P144" s="29" t="inlineStr">
        <is>
          <t>EXPENSIVE</t>
        </is>
      </c>
      <c r="Q144" s="29" t="inlineStr">
        <is>
          <t>EXPENSIVE</t>
        </is>
      </c>
      <c r="R144" s="29" t="inlineStr">
        <is>
          <t>0.865330691240198</t>
        </is>
      </c>
      <c r="S144" s="29" t="inlineStr">
        <is>
          <t>HIGH</t>
        </is>
      </c>
      <c r="T144" s="29" t="inlineStr">
        <is>
          <t>HIGH</t>
        </is>
      </c>
      <c r="U144" s="29" t="inlineStr">
        <is>
          <t>0.7142857142857143</t>
        </is>
      </c>
      <c r="V144" s="29" t="inlineStr">
        <is>
          <t>HIGH_RISK</t>
        </is>
      </c>
      <c r="W144" s="29" t="inlineStr">
        <is>
          <t>고위험</t>
        </is>
      </c>
      <c r="X144" s="29" t="inlineStr">
        <is>
          <t>HIGH_RISK</t>
        </is>
      </c>
      <c r="Y144" s="29" t="inlineStr">
        <is>
          <t>0.9272418560336225</t>
        </is>
      </c>
      <c r="Z144" s="29" t="inlineStr">
        <is>
          <t>HIGH</t>
        </is>
      </c>
      <c r="AA144" s="29" t="inlineStr">
        <is>
          <t>HIGH</t>
        </is>
      </c>
      <c r="AB144" s="29" t="inlineStr">
        <is>
          <t>0.23200310396853355</t>
        </is>
      </c>
      <c r="AC144" s="29" t="inlineStr">
        <is>
          <t>False</t>
        </is>
      </c>
      <c r="AD144" s="29" t="inlineStr">
        <is>
          <t>False</t>
        </is>
      </c>
      <c r="AE144" s="29" t="inlineStr">
        <is>
          <t>valuation_credit_ml_overlay_candidate.csv</t>
        </is>
      </c>
      <c r="AF144" s="29" t="inlineStr">
        <is>
          <t>208개 반도체 reference universe. Valuation Agent가 자체 intake 폴더로 복제해 Peer/ML/대시보드 비교에 사용.</t>
        </is>
      </c>
    </row>
    <row r="145" ht="24" customHeight="1">
      <c r="A145" s="24" t="inlineStr">
        <is>
          <t>128</t>
        </is>
      </c>
      <c r="B145" s="24" t="inlineStr">
        <is>
          <t>해당 없음</t>
        </is>
      </c>
      <c r="C145" s="24" t="inlineStr">
        <is>
          <t>레이크머티리얼즈</t>
        </is>
      </c>
      <c r="D145" s="24" t="inlineStr">
        <is>
          <t>281740</t>
        </is>
      </c>
      <c r="E145" s="24" t="inlineStr">
        <is>
          <t>KOSDAQ</t>
        </is>
      </c>
      <c r="F145" s="24" t="inlineStr">
        <is>
          <t>소재</t>
        </is>
      </c>
      <c r="G145" s="24" t="inlineStr">
        <is>
          <t>소재</t>
        </is>
      </c>
      <c r="H145" s="24" t="inlineStr">
        <is>
          <t>False</t>
        </is>
      </c>
      <c r="I145" s="24" t="inlineStr">
        <is>
          <t>True</t>
        </is>
      </c>
      <c r="J145" s="24" t="inlineStr">
        <is>
          <t>OK</t>
        </is>
      </c>
      <c r="K145" s="24" t="inlineStr">
        <is>
          <t>데이터 사용 가능</t>
        </is>
      </c>
      <c r="L145" s="24" t="inlineStr">
        <is>
          <t>LOW</t>
        </is>
      </c>
      <c r="M145" s="24" t="inlineStr">
        <is>
          <t>LOW</t>
        </is>
      </c>
      <c r="N145" s="24" t="inlineStr">
        <is>
          <t>0.2676923076923077</t>
        </is>
      </c>
      <c r="O145" s="24" t="inlineStr">
        <is>
          <t>EXPENSIVE</t>
        </is>
      </c>
      <c r="P145" s="24" t="inlineStr">
        <is>
          <t>EXPENSIVE</t>
        </is>
      </c>
      <c r="Q145" s="24" t="inlineStr">
        <is>
          <t>EXPENSIVE</t>
        </is>
      </c>
      <c r="R145" s="24" t="inlineStr">
        <is>
          <t>0.7822727417954645</t>
        </is>
      </c>
      <c r="S145" s="24" t="inlineStr">
        <is>
          <t>HIGH</t>
        </is>
      </c>
      <c r="T145" s="24" t="inlineStr">
        <is>
          <t>HIGH</t>
        </is>
      </c>
      <c r="U145" s="24" t="inlineStr">
        <is>
          <t>0.2857142857142857</t>
        </is>
      </c>
      <c r="V145" s="24" t="inlineStr">
        <is>
          <t>MEDIUM_RISK</t>
        </is>
      </c>
      <c r="W145" s="24" t="inlineStr">
        <is>
          <t>중위험</t>
        </is>
      </c>
      <c r="X145" s="24" t="inlineStr">
        <is>
          <t>LOW_RISK</t>
        </is>
      </c>
      <c r="Y145" s="24" t="inlineStr">
        <is>
          <t>0.44190315892256776</t>
        </is>
      </c>
      <c r="Z145" s="24" t="inlineStr">
        <is>
          <t>LOW</t>
        </is>
      </c>
      <c r="AA145" s="24" t="inlineStr">
        <is>
          <t>LOW</t>
        </is>
      </c>
      <c r="AB145" s="24" t="inlineStr">
        <is>
          <t>0.0525163305941587</t>
        </is>
      </c>
      <c r="AC145" s="24" t="inlineStr">
        <is>
          <t>False</t>
        </is>
      </c>
      <c r="AD145" s="24" t="inlineStr">
        <is>
          <t>True</t>
        </is>
      </c>
      <c r="AE145" s="24" t="inlineStr">
        <is>
          <t>valuation_credit_ml_overlay_candidate.csv</t>
        </is>
      </c>
      <c r="AF145" s="24" t="inlineStr">
        <is>
          <t>208개 반도체 reference universe. Valuation Agent가 자체 intake 폴더로 복제해 Peer/ML/대시보드 비교에 사용.</t>
        </is>
      </c>
    </row>
    <row r="146" ht="24" customHeight="1">
      <c r="A146" s="29" t="inlineStr">
        <is>
          <t>125</t>
        </is>
      </c>
      <c r="B146" s="29" t="inlineStr">
        <is>
          <t>duksan</t>
        </is>
      </c>
      <c r="C146" s="29" t="inlineStr">
        <is>
          <t>덕산테코피아</t>
        </is>
      </c>
      <c r="D146" s="29" t="inlineStr">
        <is>
          <t>317330</t>
        </is>
      </c>
      <c r="E146" s="29" t="inlineStr">
        <is>
          <t>KOSDAQ</t>
        </is>
      </c>
      <c r="F146" s="29" t="inlineStr">
        <is>
          <t>소재</t>
        </is>
      </c>
      <c r="G146" s="29" t="inlineStr">
        <is>
          <t>소재</t>
        </is>
      </c>
      <c r="H146" s="29" t="inlineStr">
        <is>
          <t>True</t>
        </is>
      </c>
      <c r="I146" s="29" t="inlineStr">
        <is>
          <t>True</t>
        </is>
      </c>
      <c r="J146" s="29" t="inlineStr">
        <is>
          <t>OK</t>
        </is>
      </c>
      <c r="K146" s="29" t="inlineStr">
        <is>
          <t>데이터 사용 가능</t>
        </is>
      </c>
      <c r="L146" s="29" t="inlineStr">
        <is>
          <t>LOW</t>
        </is>
      </c>
      <c r="M146" s="29" t="inlineStr">
        <is>
          <t>LOW</t>
        </is>
      </c>
      <c r="N146" s="29" t="inlineStr">
        <is>
          <t>0.251025641025641</t>
        </is>
      </c>
      <c r="O146" s="29" t="inlineStr">
        <is>
          <t>EXPENSIVE</t>
        </is>
      </c>
      <c r="P146" s="29" t="inlineStr">
        <is>
          <t>EXPENSIVE</t>
        </is>
      </c>
      <c r="Q146" s="29" t="inlineStr">
        <is>
          <t>EXPENSIVE</t>
        </is>
      </c>
      <c r="R146" s="29" t="inlineStr">
        <is>
          <t>0.9683283970250778</t>
        </is>
      </c>
      <c r="S146" s="29" t="inlineStr">
        <is>
          <t>HIGH</t>
        </is>
      </c>
      <c r="T146" s="29" t="inlineStr">
        <is>
          <t>HIGH</t>
        </is>
      </c>
      <c r="U146" s="29" t="inlineStr">
        <is>
          <t>0.7142857142857143</t>
        </is>
      </c>
      <c r="V146" s="29" t="inlineStr">
        <is>
          <t>HIGH_RISK</t>
        </is>
      </c>
      <c r="W146" s="29" t="inlineStr">
        <is>
          <t>고위험</t>
        </is>
      </c>
      <c r="X146" s="29" t="inlineStr">
        <is>
          <t>HIGH_RISK</t>
        </is>
      </c>
      <c r="Y146" s="29" t="inlineStr">
        <is>
          <t>0.9663044353705786</t>
        </is>
      </c>
      <c r="Z146" s="29" t="inlineStr">
        <is>
          <t>HIGH</t>
        </is>
      </c>
      <c r="AA146" s="29" t="inlineStr">
        <is>
          <t>HIGH</t>
        </is>
      </c>
      <c r="AB146" s="29" t="inlineStr">
        <is>
          <t>0.3843555232614074</t>
        </is>
      </c>
      <c r="AC146" s="29" t="inlineStr">
        <is>
          <t>True</t>
        </is>
      </c>
      <c r="AD146" s="29" t="inlineStr">
        <is>
          <t>True</t>
        </is>
      </c>
      <c r="AE146" s="29" t="inlineStr">
        <is>
          <t>valuation_credit_ml_overlay_candidate.csv</t>
        </is>
      </c>
      <c r="AF146" s="29" t="inlineStr">
        <is>
          <t>208개 반도체 reference universe. Valuation Agent가 자체 intake 폴더로 복제해 Peer/ML/대시보드 비교에 사용.</t>
        </is>
      </c>
    </row>
    <row r="147" ht="24" customHeight="1">
      <c r="A147" s="24" t="inlineStr">
        <is>
          <t>99</t>
        </is>
      </c>
      <c r="B147" s="24" t="inlineStr">
        <is>
          <t>해당 없음</t>
        </is>
      </c>
      <c r="C147" s="24" t="inlineStr">
        <is>
          <t>엔투텍</t>
        </is>
      </c>
      <c r="D147" s="24" t="inlineStr">
        <is>
          <t>227950</t>
        </is>
      </c>
      <c r="E147" s="24" t="inlineStr">
        <is>
          <t>KOSDAQ</t>
        </is>
      </c>
      <c r="F147" s="24" t="inlineStr">
        <is>
          <t>장비</t>
        </is>
      </c>
      <c r="G147" s="24" t="inlineStr">
        <is>
          <t>장비</t>
        </is>
      </c>
      <c r="H147" s="24" t="inlineStr">
        <is>
          <t>False</t>
        </is>
      </c>
      <c r="I147" s="24" t="inlineStr">
        <is>
          <t>True</t>
        </is>
      </c>
      <c r="J147" s="24" t="inlineStr">
        <is>
          <t>OK</t>
        </is>
      </c>
      <c r="K147" s="24" t="inlineStr">
        <is>
          <t>데이터 사용 가능</t>
        </is>
      </c>
      <c r="L147" s="24" t="inlineStr">
        <is>
          <t>LOW</t>
        </is>
      </c>
      <c r="M147" s="24" t="inlineStr">
        <is>
          <t>LOW</t>
        </is>
      </c>
      <c r="N147" s="24" t="inlineStr">
        <is>
          <t>0.8128666666666667</t>
        </is>
      </c>
      <c r="O147" s="24" t="inlineStr">
        <is>
          <t>ATTRACTIVE</t>
        </is>
      </c>
      <c r="P147" s="24" t="inlineStr">
        <is>
          <t>가치 매력</t>
        </is>
      </c>
      <c r="Q147" s="24" t="inlineStr">
        <is>
          <t>ATTRACTIVE</t>
        </is>
      </c>
      <c r="R147" s="24" t="inlineStr">
        <is>
          <t>0.8347222629406851</t>
        </is>
      </c>
      <c r="S147" s="24" t="inlineStr">
        <is>
          <t>HIGH</t>
        </is>
      </c>
      <c r="T147" s="24" t="inlineStr">
        <is>
          <t>HIGH</t>
        </is>
      </c>
      <c r="U147" s="24" t="inlineStr">
        <is>
          <t>0.2142857142857142</t>
        </is>
      </c>
      <c r="V147" s="24" t="inlineStr">
        <is>
          <t>MEDIUM_RISK</t>
        </is>
      </c>
      <c r="W147" s="24" t="inlineStr">
        <is>
          <t>중위험</t>
        </is>
      </c>
      <c r="X147" s="24" t="inlineStr">
        <is>
          <t>MEDIUM_RISK</t>
        </is>
      </c>
      <c r="Y147" s="24" t="inlineStr">
        <is>
          <t>0.5142933547274794</t>
        </is>
      </c>
      <c r="Z147" s="24" t="inlineStr">
        <is>
          <t>MEDIUM</t>
        </is>
      </c>
      <c r="AA147" s="24" t="inlineStr">
        <is>
          <t>MEDIUM</t>
        </is>
      </c>
      <c r="AB147" s="24" t="inlineStr">
        <is>
          <t>0.21193857896314997</t>
        </is>
      </c>
      <c r="AC147" s="24" t="inlineStr">
        <is>
          <t>False</t>
        </is>
      </c>
      <c r="AD147" s="24" t="inlineStr">
        <is>
          <t>False</t>
        </is>
      </c>
      <c r="AE147" s="24" t="inlineStr">
        <is>
          <t>valuation_credit_ml_overlay_candidate.csv</t>
        </is>
      </c>
      <c r="AF147" s="24" t="inlineStr">
        <is>
          <t>208개 반도체 reference universe. Valuation Agent가 자체 intake 폴더로 복제해 Peer/ML/대시보드 비교에 사용.</t>
        </is>
      </c>
    </row>
    <row r="148" ht="24" customHeight="1">
      <c r="A148" s="29" t="inlineStr">
        <is>
          <t>88</t>
        </is>
      </c>
      <c r="B148" s="29" t="inlineStr">
        <is>
          <t>해당 없음</t>
        </is>
      </c>
      <c r="C148" s="29" t="inlineStr">
        <is>
          <t>비아트론</t>
        </is>
      </c>
      <c r="D148" s="29" t="inlineStr">
        <is>
          <t>141000</t>
        </is>
      </c>
      <c r="E148" s="29" t="inlineStr">
        <is>
          <t>KOSDAQ</t>
        </is>
      </c>
      <c r="F148" s="29" t="inlineStr">
        <is>
          <t>장비</t>
        </is>
      </c>
      <c r="G148" s="29" t="inlineStr">
        <is>
          <t>장비</t>
        </is>
      </c>
      <c r="H148" s="29" t="inlineStr">
        <is>
          <t>False</t>
        </is>
      </c>
      <c r="I148" s="29" t="inlineStr">
        <is>
          <t>True</t>
        </is>
      </c>
      <c r="J148" s="29" t="inlineStr">
        <is>
          <t>OK</t>
        </is>
      </c>
      <c r="K148" s="29" t="inlineStr">
        <is>
          <t>데이터 사용 가능</t>
        </is>
      </c>
      <c r="L148" s="29" t="inlineStr">
        <is>
          <t>LOW</t>
        </is>
      </c>
      <c r="M148" s="29" t="inlineStr">
        <is>
          <t>LOW</t>
        </is>
      </c>
      <c r="N148" s="29" t="inlineStr">
        <is>
          <t>0.7105333333333335</t>
        </is>
      </c>
      <c r="O148" s="29" t="inlineStr">
        <is>
          <t>ATTRACTIVE</t>
        </is>
      </c>
      <c r="P148" s="29" t="inlineStr">
        <is>
          <t>가치 매력</t>
        </is>
      </c>
      <c r="Q148" s="29" t="inlineStr">
        <is>
          <t>ATTRACTIVE</t>
        </is>
      </c>
      <c r="R148" s="29" t="inlineStr">
        <is>
          <t>0.934708213344448</t>
        </is>
      </c>
      <c r="S148" s="29" t="inlineStr">
        <is>
          <t>HIGH</t>
        </is>
      </c>
      <c r="T148" s="29" t="inlineStr">
        <is>
          <t>HIGH</t>
        </is>
      </c>
      <c r="U148" s="29" t="inlineStr">
        <is>
          <t>0.0</t>
        </is>
      </c>
      <c r="V148" s="29" t="inlineStr">
        <is>
          <t>LOW_RISK</t>
        </is>
      </c>
      <c r="W148" s="29" t="inlineStr">
        <is>
          <t>저위험</t>
        </is>
      </c>
      <c r="X148" s="29" t="inlineStr">
        <is>
          <t>LOW_RISK</t>
        </is>
      </c>
      <c r="Y148" s="29" t="inlineStr">
        <is>
          <t>0.9411184099481913</t>
        </is>
      </c>
      <c r="Z148" s="29" t="inlineStr">
        <is>
          <t>HIGH</t>
        </is>
      </c>
      <c r="AA148" s="29" t="inlineStr">
        <is>
          <t>HIGH</t>
        </is>
      </c>
      <c r="AB148" s="29" t="inlineStr">
        <is>
          <t>0.11715633071246634</t>
        </is>
      </c>
      <c r="AC148" s="29" t="inlineStr">
        <is>
          <t>False</t>
        </is>
      </c>
      <c r="AD148" s="29" t="inlineStr">
        <is>
          <t>False</t>
        </is>
      </c>
      <c r="AE148" s="29" t="inlineStr">
        <is>
          <t>valuation_credit_ml_overlay_candidate.csv</t>
        </is>
      </c>
      <c r="AF148" s="29" t="inlineStr">
        <is>
          <t>208개 반도체 reference universe. Valuation Agent가 자체 intake 폴더로 복제해 Peer/ML/대시보드 비교에 사용.</t>
        </is>
      </c>
    </row>
    <row r="149" ht="24" customHeight="1">
      <c r="A149" s="24" t="inlineStr">
        <is>
          <t>112</t>
        </is>
      </c>
      <c r="B149" s="24" t="inlineStr">
        <is>
          <t>해당 없음</t>
        </is>
      </c>
      <c r="C149" s="24" t="inlineStr">
        <is>
          <t>케이씨</t>
        </is>
      </c>
      <c r="D149" s="24" t="inlineStr">
        <is>
          <t>029460</t>
        </is>
      </c>
      <c r="E149" s="24" t="inlineStr">
        <is>
          <t>KOSPI</t>
        </is>
      </c>
      <c r="F149" s="24" t="inlineStr">
        <is>
          <t>장비</t>
        </is>
      </c>
      <c r="G149" s="24" t="inlineStr">
        <is>
          <t>장비</t>
        </is>
      </c>
      <c r="H149" s="24" t="inlineStr">
        <is>
          <t>False</t>
        </is>
      </c>
      <c r="I149" s="24" t="inlineStr">
        <is>
          <t>True</t>
        </is>
      </c>
      <c r="J149" s="24" t="inlineStr">
        <is>
          <t>OK</t>
        </is>
      </c>
      <c r="K149" s="24" t="inlineStr">
        <is>
          <t>데이터 사용 가능</t>
        </is>
      </c>
      <c r="L149" s="24" t="inlineStr">
        <is>
          <t>LOW</t>
        </is>
      </c>
      <c r="M149" s="24" t="inlineStr">
        <is>
          <t>LOW</t>
        </is>
      </c>
      <c r="N149" s="24" t="inlineStr">
        <is>
          <t>0.7065333333333332</t>
        </is>
      </c>
      <c r="O149" s="24" t="inlineStr">
        <is>
          <t>ATTRACTIVE</t>
        </is>
      </c>
      <c r="P149" s="24" t="inlineStr">
        <is>
          <t>가치 매력</t>
        </is>
      </c>
      <c r="Q149" s="24" t="inlineStr">
        <is>
          <t>ATTRACTIVE</t>
        </is>
      </c>
      <c r="R149" s="24" t="inlineStr">
        <is>
          <t>0.9151708177015135</t>
        </is>
      </c>
      <c r="S149" s="24" t="inlineStr">
        <is>
          <t>HIGH</t>
        </is>
      </c>
      <c r="T149" s="24" t="inlineStr">
        <is>
          <t>HIGH</t>
        </is>
      </c>
      <c r="U149" s="24" t="inlineStr">
        <is>
          <t>0.0</t>
        </is>
      </c>
      <c r="V149" s="24" t="inlineStr">
        <is>
          <t>LOW_RISK</t>
        </is>
      </c>
      <c r="W149" s="24" t="inlineStr">
        <is>
          <t>저위험</t>
        </is>
      </c>
      <c r="X149" s="24" t="inlineStr">
        <is>
          <t>LOW_RISK</t>
        </is>
      </c>
      <c r="Y149" s="24" t="inlineStr">
        <is>
          <t>0.883115363364621</t>
        </is>
      </c>
      <c r="Z149" s="24" t="inlineStr">
        <is>
          <t>HIGH</t>
        </is>
      </c>
      <c r="AA149" s="24" t="inlineStr">
        <is>
          <t>HIGH</t>
        </is>
      </c>
      <c r="AB149" s="24" t="inlineStr">
        <is>
          <t>0.07036651203602409</t>
        </is>
      </c>
      <c r="AC149" s="24" t="inlineStr">
        <is>
          <t>False</t>
        </is>
      </c>
      <c r="AD149" s="24" t="inlineStr">
        <is>
          <t>False</t>
        </is>
      </c>
      <c r="AE149" s="24" t="inlineStr">
        <is>
          <t>valuation_credit_ml_overlay_candidate.csv</t>
        </is>
      </c>
      <c r="AF149" s="24" t="inlineStr">
        <is>
          <t>208개 반도체 reference universe. Valuation Agent가 자체 intake 폴더로 복제해 Peer/ML/대시보드 비교에 사용.</t>
        </is>
      </c>
    </row>
    <row r="150" ht="24" customHeight="1">
      <c r="A150" s="29" t="inlineStr">
        <is>
          <t>81</t>
        </is>
      </c>
      <c r="B150" s="29" t="inlineStr">
        <is>
          <t>해당 없음</t>
        </is>
      </c>
      <c r="C150" s="29" t="inlineStr">
        <is>
          <t>더코디</t>
        </is>
      </c>
      <c r="D150" s="29" t="inlineStr">
        <is>
          <t>224060</t>
        </is>
      </c>
      <c r="E150" s="29" t="inlineStr">
        <is>
          <t>KOSDAQ</t>
        </is>
      </c>
      <c r="F150" s="29" t="inlineStr">
        <is>
          <t>장비</t>
        </is>
      </c>
      <c r="G150" s="29" t="inlineStr">
        <is>
          <t>장비</t>
        </is>
      </c>
      <c r="H150" s="29" t="inlineStr">
        <is>
          <t>False</t>
        </is>
      </c>
      <c r="I150" s="29" t="inlineStr">
        <is>
          <t>True</t>
        </is>
      </c>
      <c r="J150" s="29" t="inlineStr">
        <is>
          <t>OK</t>
        </is>
      </c>
      <c r="K150" s="29" t="inlineStr">
        <is>
          <t>데이터 사용 가능</t>
        </is>
      </c>
      <c r="L150" s="29" t="inlineStr">
        <is>
          <t>LOW</t>
        </is>
      </c>
      <c r="M150" s="29" t="inlineStr">
        <is>
          <t>LOW</t>
        </is>
      </c>
      <c r="N150" s="29" t="inlineStr">
        <is>
          <t>0.6908666666666667</t>
        </is>
      </c>
      <c r="O150" s="29" t="inlineStr">
        <is>
          <t>FAIR</t>
        </is>
      </c>
      <c r="P150" s="29" t="inlineStr">
        <is>
          <t>FAIR</t>
        </is>
      </c>
      <c r="Q150" s="29" t="inlineStr">
        <is>
          <t>FAIR</t>
        </is>
      </c>
      <c r="R150" s="29" t="inlineStr">
        <is>
          <t>0.6613330626239345</t>
        </is>
      </c>
      <c r="S150" s="29" t="inlineStr">
        <is>
          <t>MEDIUM</t>
        </is>
      </c>
      <c r="T150" s="29" t="inlineStr">
        <is>
          <t>MEDIUM</t>
        </is>
      </c>
      <c r="U150" s="29" t="inlineStr">
        <is>
          <t>0.8571428571428571</t>
        </is>
      </c>
      <c r="V150" s="29" t="inlineStr">
        <is>
          <t>HIGH_RISK</t>
        </is>
      </c>
      <c r="W150" s="29" t="inlineStr">
        <is>
          <t>고위험</t>
        </is>
      </c>
      <c r="X150" s="29" t="inlineStr">
        <is>
          <t>HIGH_RISK</t>
        </is>
      </c>
      <c r="Y150" s="29" t="inlineStr">
        <is>
          <t>0.5690179270143122</t>
        </is>
      </c>
      <c r="Z150" s="29" t="inlineStr">
        <is>
          <t>MEDIUM</t>
        </is>
      </c>
      <c r="AA150" s="29" t="inlineStr">
        <is>
          <t>MEDIUM</t>
        </is>
      </c>
      <c r="AB150" s="29" t="inlineStr">
        <is>
          <t>0.3728446721783581</t>
        </is>
      </c>
      <c r="AC150" s="29" t="inlineStr">
        <is>
          <t>True</t>
        </is>
      </c>
      <c r="AD150" s="29" t="inlineStr">
        <is>
          <t>True</t>
        </is>
      </c>
      <c r="AE150" s="29" t="inlineStr">
        <is>
          <t>valuation_credit_ml_overlay_candidate.csv</t>
        </is>
      </c>
      <c r="AF150" s="29" t="inlineStr">
        <is>
          <t>208개 반도체 reference universe. Valuation Agent가 자체 intake 폴더로 복제해 Peer/ML/대시보드 비교에 사용.</t>
        </is>
      </c>
    </row>
    <row r="151" ht="24" customHeight="1">
      <c r="A151" s="24" t="inlineStr">
        <is>
          <t>76</t>
        </is>
      </c>
      <c r="B151" s="24" t="inlineStr">
        <is>
          <t>해당 없음</t>
        </is>
      </c>
      <c r="C151" s="24" t="inlineStr">
        <is>
          <t>KPX케미칼</t>
        </is>
      </c>
      <c r="D151" s="24" t="inlineStr">
        <is>
          <t>025000</t>
        </is>
      </c>
      <c r="E151" s="24" t="inlineStr">
        <is>
          <t>KOSPI</t>
        </is>
      </c>
      <c r="F151" s="24" t="inlineStr">
        <is>
          <t>장비</t>
        </is>
      </c>
      <c r="G151" s="24" t="inlineStr">
        <is>
          <t>장비</t>
        </is>
      </c>
      <c r="H151" s="24" t="inlineStr">
        <is>
          <t>False</t>
        </is>
      </c>
      <c r="I151" s="24" t="inlineStr">
        <is>
          <t>True</t>
        </is>
      </c>
      <c r="J151" s="24" t="inlineStr">
        <is>
          <t>OK</t>
        </is>
      </c>
      <c r="K151" s="24" t="inlineStr">
        <is>
          <t>데이터 사용 가능</t>
        </is>
      </c>
      <c r="L151" s="24" t="inlineStr">
        <is>
          <t>LOW</t>
        </is>
      </c>
      <c r="M151" s="24" t="inlineStr">
        <is>
          <t>LOW</t>
        </is>
      </c>
      <c r="N151" s="24" t="inlineStr">
        <is>
          <t>0.6876</t>
        </is>
      </c>
      <c r="O151" s="24" t="inlineStr">
        <is>
          <t>ATTRACTIVE</t>
        </is>
      </c>
      <c r="P151" s="24" t="inlineStr">
        <is>
          <t>가치 매력</t>
        </is>
      </c>
      <c r="Q151" s="24" t="inlineStr">
        <is>
          <t>ATTRACTIVE</t>
        </is>
      </c>
      <c r="R151" s="24" t="inlineStr">
        <is>
          <t>0.9091955435785402</t>
        </is>
      </c>
      <c r="S151" s="24" t="inlineStr">
        <is>
          <t>HIGH</t>
        </is>
      </c>
      <c r="T151" s="24" t="inlineStr">
        <is>
          <t>HIGH</t>
        </is>
      </c>
      <c r="U151" s="24" t="inlineStr">
        <is>
          <t>0.0</t>
        </is>
      </c>
      <c r="V151" s="24" t="inlineStr">
        <is>
          <t>LOW_RISK</t>
        </is>
      </c>
      <c r="W151" s="24" t="inlineStr">
        <is>
          <t>저위험</t>
        </is>
      </c>
      <c r="X151" s="24" t="inlineStr">
        <is>
          <t>LOW_RISK</t>
        </is>
      </c>
      <c r="Y151" s="24" t="inlineStr">
        <is>
          <t>0.9222174142026104</t>
        </is>
      </c>
      <c r="Z151" s="24" t="inlineStr">
        <is>
          <t>HIGH</t>
        </is>
      </c>
      <c r="AA151" s="24" t="inlineStr">
        <is>
          <t>HIGH</t>
        </is>
      </c>
      <c r="AB151" s="24" t="inlineStr">
        <is>
          <t>0.13901835477996793</t>
        </is>
      </c>
      <c r="AC151" s="24" t="inlineStr">
        <is>
          <t>False</t>
        </is>
      </c>
      <c r="AD151" s="24" t="inlineStr">
        <is>
          <t>False</t>
        </is>
      </c>
      <c r="AE151" s="24" t="inlineStr">
        <is>
          <t>valuation_credit_ml_overlay_candidate.csv</t>
        </is>
      </c>
      <c r="AF151" s="24" t="inlineStr">
        <is>
          <t>208개 반도체 reference universe. Valuation Agent가 자체 intake 폴더로 복제해 Peer/ML/대시보드 비교에 사용.</t>
        </is>
      </c>
    </row>
    <row r="152" ht="24" customHeight="1">
      <c r="A152" s="29" t="inlineStr">
        <is>
          <t>91</t>
        </is>
      </c>
      <c r="B152" s="29" t="inlineStr">
        <is>
          <t>해당 없음</t>
        </is>
      </c>
      <c r="C152" s="29" t="inlineStr">
        <is>
          <t>성도이엔지</t>
        </is>
      </c>
      <c r="D152" s="29" t="inlineStr">
        <is>
          <t>037350</t>
        </is>
      </c>
      <c r="E152" s="29" t="inlineStr">
        <is>
          <t>KOSDAQ</t>
        </is>
      </c>
      <c r="F152" s="29" t="inlineStr">
        <is>
          <t>장비</t>
        </is>
      </c>
      <c r="G152" s="29" t="inlineStr">
        <is>
          <t>장비</t>
        </is>
      </c>
      <c r="H152" s="29" t="inlineStr">
        <is>
          <t>False</t>
        </is>
      </c>
      <c r="I152" s="29" t="inlineStr">
        <is>
          <t>True</t>
        </is>
      </c>
      <c r="J152" s="29" t="inlineStr">
        <is>
          <t>OK</t>
        </is>
      </c>
      <c r="K152" s="29" t="inlineStr">
        <is>
          <t>데이터 사용 가능</t>
        </is>
      </c>
      <c r="L152" s="29" t="inlineStr">
        <is>
          <t>LOW</t>
        </is>
      </c>
      <c r="M152" s="29" t="inlineStr">
        <is>
          <t>LOW</t>
        </is>
      </c>
      <c r="N152" s="29" t="inlineStr">
        <is>
          <t>0.6874666666666667</t>
        </is>
      </c>
      <c r="O152" s="29" t="inlineStr">
        <is>
          <t>ATTRACTIVE</t>
        </is>
      </c>
      <c r="P152" s="29" t="inlineStr">
        <is>
          <t>가치 매력</t>
        </is>
      </c>
      <c r="Q152" s="29" t="inlineStr">
        <is>
          <t>ATTRACTIVE</t>
        </is>
      </c>
      <c r="R152" s="29" t="inlineStr">
        <is>
          <t>0.9250659167833418</t>
        </is>
      </c>
      <c r="S152" s="29" t="inlineStr">
        <is>
          <t>HIGH</t>
        </is>
      </c>
      <c r="T152" s="29" t="inlineStr">
        <is>
          <t>HIGH</t>
        </is>
      </c>
      <c r="U152" s="29" t="inlineStr">
        <is>
          <t>0.0</t>
        </is>
      </c>
      <c r="V152" s="29" t="inlineStr">
        <is>
          <t>LOW_RISK</t>
        </is>
      </c>
      <c r="W152" s="29" t="inlineStr">
        <is>
          <t>저위험</t>
        </is>
      </c>
      <c r="X152" s="29" t="inlineStr">
        <is>
          <t>LOW_RISK</t>
        </is>
      </c>
      <c r="Y152" s="29" t="inlineStr">
        <is>
          <t>0.7848826000183735</t>
        </is>
      </c>
      <c r="Z152" s="29" t="inlineStr">
        <is>
          <t>HIGH</t>
        </is>
      </c>
      <c r="AA152" s="29" t="inlineStr">
        <is>
          <t>HIGH</t>
        </is>
      </c>
      <c r="AB152" s="29" t="inlineStr">
        <is>
          <t>0.02320770424808947</t>
        </is>
      </c>
      <c r="AC152" s="29" t="inlineStr">
        <is>
          <t>False</t>
        </is>
      </c>
      <c r="AD152" s="29" t="inlineStr">
        <is>
          <t>False</t>
        </is>
      </c>
      <c r="AE152" s="29" t="inlineStr">
        <is>
          <t>valuation_credit_ml_overlay_candidate.csv</t>
        </is>
      </c>
      <c r="AF152" s="29" t="inlineStr">
        <is>
          <t>208개 반도체 reference universe. Valuation Agent가 자체 intake 폴더로 복제해 Peer/ML/대시보드 비교에 사용.</t>
        </is>
      </c>
    </row>
    <row r="153" ht="24" customHeight="1">
      <c r="A153" s="24" t="inlineStr">
        <is>
          <t>105</t>
        </is>
      </c>
      <c r="B153" s="24" t="inlineStr">
        <is>
          <t>해당 없음</t>
        </is>
      </c>
      <c r="C153" s="24" t="inlineStr">
        <is>
          <t>유니퀘스트</t>
        </is>
      </c>
      <c r="D153" s="24" t="inlineStr">
        <is>
          <t>077500</t>
        </is>
      </c>
      <c r="E153" s="24" t="inlineStr">
        <is>
          <t>KOSPI</t>
        </is>
      </c>
      <c r="F153" s="24" t="inlineStr">
        <is>
          <t>장비</t>
        </is>
      </c>
      <c r="G153" s="24" t="inlineStr">
        <is>
          <t>장비</t>
        </is>
      </c>
      <c r="H153" s="24" t="inlineStr">
        <is>
          <t>False</t>
        </is>
      </c>
      <c r="I153" s="24" t="inlineStr">
        <is>
          <t>True</t>
        </is>
      </c>
      <c r="J153" s="24" t="inlineStr">
        <is>
          <t>OK</t>
        </is>
      </c>
      <c r="K153" s="24" t="inlineStr">
        <is>
          <t>데이터 사용 가능</t>
        </is>
      </c>
      <c r="L153" s="24" t="inlineStr">
        <is>
          <t>LOW</t>
        </is>
      </c>
      <c r="M153" s="24" t="inlineStr">
        <is>
          <t>LOW</t>
        </is>
      </c>
      <c r="N153" s="24" t="inlineStr">
        <is>
          <t>0.6784</t>
        </is>
      </c>
      <c r="O153" s="24" t="inlineStr">
        <is>
          <t>ATTRACTIVE</t>
        </is>
      </c>
      <c r="P153" s="24" t="inlineStr">
        <is>
          <t>가치 매력</t>
        </is>
      </c>
      <c r="Q153" s="24" t="inlineStr">
        <is>
          <t>ATTRACTIVE</t>
        </is>
      </c>
      <c r="R153" s="24" t="inlineStr">
        <is>
          <t>0.8881603628406226</t>
        </is>
      </c>
      <c r="S153" s="24" t="inlineStr">
        <is>
          <t>HIGH</t>
        </is>
      </c>
      <c r="T153" s="24" t="inlineStr">
        <is>
          <t>HIGH</t>
        </is>
      </c>
      <c r="U153" s="24" t="inlineStr">
        <is>
          <t>0.0</t>
        </is>
      </c>
      <c r="V153" s="24" t="inlineStr">
        <is>
          <t>LOW_RISK</t>
        </is>
      </c>
      <c r="W153" s="24" t="inlineStr">
        <is>
          <t>저위험</t>
        </is>
      </c>
      <c r="X153" s="24" t="inlineStr">
        <is>
          <t>LOW_RISK</t>
        </is>
      </c>
      <c r="Y153" s="24" t="inlineStr">
        <is>
          <t>0.8138676885332061</t>
        </is>
      </c>
      <c r="Z153" s="24" t="inlineStr">
        <is>
          <t>HIGH</t>
        </is>
      </c>
      <c r="AA153" s="24" t="inlineStr">
        <is>
          <t>HIGH</t>
        </is>
      </c>
      <c r="AB153" s="24" t="inlineStr">
        <is>
          <t>0.042139285734196785</t>
        </is>
      </c>
      <c r="AC153" s="24" t="inlineStr">
        <is>
          <t>False</t>
        </is>
      </c>
      <c r="AD153" s="24" t="inlineStr">
        <is>
          <t>False</t>
        </is>
      </c>
      <c r="AE153" s="24" t="inlineStr">
        <is>
          <t>valuation_credit_ml_overlay_candidate.csv</t>
        </is>
      </c>
      <c r="AF153" s="24" t="inlineStr">
        <is>
          <t>208개 반도체 reference universe. Valuation Agent가 자체 intake 폴더로 복제해 Peer/ML/대시보드 비교에 사용.</t>
        </is>
      </c>
    </row>
    <row r="154" ht="24" customHeight="1">
      <c r="A154" s="29" t="inlineStr">
        <is>
          <t>123</t>
        </is>
      </c>
      <c r="B154" s="29" t="inlineStr">
        <is>
          <t>해당 없음</t>
        </is>
      </c>
      <c r="C154" s="29" t="inlineStr">
        <is>
          <t>한솔아이원스</t>
        </is>
      </c>
      <c r="D154" s="29" t="inlineStr">
        <is>
          <t>114810</t>
        </is>
      </c>
      <c r="E154" s="29" t="inlineStr">
        <is>
          <t>KOSDAQ</t>
        </is>
      </c>
      <c r="F154" s="29" t="inlineStr">
        <is>
          <t>장비</t>
        </is>
      </c>
      <c r="G154" s="29" t="inlineStr">
        <is>
          <t>장비</t>
        </is>
      </c>
      <c r="H154" s="29" t="inlineStr">
        <is>
          <t>False</t>
        </is>
      </c>
      <c r="I154" s="29" t="inlineStr">
        <is>
          <t>True</t>
        </is>
      </c>
      <c r="J154" s="29" t="inlineStr">
        <is>
          <t>OK</t>
        </is>
      </c>
      <c r="K154" s="29" t="inlineStr">
        <is>
          <t>데이터 사용 가능</t>
        </is>
      </c>
      <c r="L154" s="29" t="inlineStr">
        <is>
          <t>LOW</t>
        </is>
      </c>
      <c r="M154" s="29" t="inlineStr">
        <is>
          <t>LOW</t>
        </is>
      </c>
      <c r="N154" s="29" t="inlineStr">
        <is>
          <t>0.6648</t>
        </is>
      </c>
      <c r="O154" s="29" t="inlineStr">
        <is>
          <t>ATTRACTIVE</t>
        </is>
      </c>
      <c r="P154" s="29" t="inlineStr">
        <is>
          <t>가치 매력</t>
        </is>
      </c>
      <c r="Q154" s="29" t="inlineStr">
        <is>
          <t>ATTRACTIVE</t>
        </is>
      </c>
      <c r="R154" s="29" t="inlineStr">
        <is>
          <t>0.9031428820161691</t>
        </is>
      </c>
      <c r="S154" s="29" t="inlineStr">
        <is>
          <t>HIGH</t>
        </is>
      </c>
      <c r="T154" s="29" t="inlineStr">
        <is>
          <t>HIGH</t>
        </is>
      </c>
      <c r="U154" s="29" t="inlineStr">
        <is>
          <t>0.1428571428571428</t>
        </is>
      </c>
      <c r="V154" s="29" t="inlineStr">
        <is>
          <t>LOW_RISK</t>
        </is>
      </c>
      <c r="W154" s="29" t="inlineStr">
        <is>
          <t>저위험</t>
        </is>
      </c>
      <c r="X154" s="29" t="inlineStr">
        <is>
          <t>LOW_RISK</t>
        </is>
      </c>
      <c r="Y154" s="29" t="inlineStr">
        <is>
          <t>0.8626763542915618</t>
        </is>
      </c>
      <c r="Z154" s="29" t="inlineStr">
        <is>
          <t>HIGH</t>
        </is>
      </c>
      <c r="AA154" s="29" t="inlineStr">
        <is>
          <t>HIGH</t>
        </is>
      </c>
      <c r="AB154" s="29" t="inlineStr">
        <is>
          <t>0.040357003305963514</t>
        </is>
      </c>
      <c r="AC154" s="29" t="inlineStr">
        <is>
          <t>False</t>
        </is>
      </c>
      <c r="AD154" s="29" t="inlineStr">
        <is>
          <t>False</t>
        </is>
      </c>
      <c r="AE154" s="29" t="inlineStr">
        <is>
          <t>valuation_credit_ml_overlay_candidate.csv</t>
        </is>
      </c>
      <c r="AF154" s="29" t="inlineStr">
        <is>
          <t>208개 반도체 reference universe. Valuation Agent가 자체 intake 폴더로 복제해 Peer/ML/대시보드 비교에 사용.</t>
        </is>
      </c>
    </row>
    <row r="155" ht="24" customHeight="1">
      <c r="A155" s="24" t="inlineStr">
        <is>
          <t>74</t>
        </is>
      </c>
      <c r="B155" s="24" t="inlineStr">
        <is>
          <t>해당 없음</t>
        </is>
      </c>
      <c r="C155" s="24" t="inlineStr">
        <is>
          <t>GST</t>
        </is>
      </c>
      <c r="D155" s="24" t="inlineStr">
        <is>
          <t>083450</t>
        </is>
      </c>
      <c r="E155" s="24" t="inlineStr">
        <is>
          <t>KOSDAQ</t>
        </is>
      </c>
      <c r="F155" s="24" t="inlineStr">
        <is>
          <t>장비</t>
        </is>
      </c>
      <c r="G155" s="24" t="inlineStr">
        <is>
          <t>장비</t>
        </is>
      </c>
      <c r="H155" s="24" t="inlineStr">
        <is>
          <t>False</t>
        </is>
      </c>
      <c r="I155" s="24" t="inlineStr">
        <is>
          <t>True</t>
        </is>
      </c>
      <c r="J155" s="24" t="inlineStr">
        <is>
          <t>OK</t>
        </is>
      </c>
      <c r="K155" s="24" t="inlineStr">
        <is>
          <t>데이터 사용 가능</t>
        </is>
      </c>
      <c r="L155" s="24" t="inlineStr">
        <is>
          <t>LOW</t>
        </is>
      </c>
      <c r="M155" s="24" t="inlineStr">
        <is>
          <t>LOW</t>
        </is>
      </c>
      <c r="N155" s="24" t="inlineStr">
        <is>
          <t>0.6474666666666666</t>
        </is>
      </c>
      <c r="O155" s="24" t="inlineStr">
        <is>
          <t>ATTRACTIVE</t>
        </is>
      </c>
      <c r="P155" s="24" t="inlineStr">
        <is>
          <t>가치 매력</t>
        </is>
      </c>
      <c r="Q155" s="24" t="inlineStr">
        <is>
          <t>ATTRACTIVE</t>
        </is>
      </c>
      <c r="R155" s="24" t="inlineStr">
        <is>
          <t>0.900491542853433</t>
        </is>
      </c>
      <c r="S155" s="24" t="inlineStr">
        <is>
          <t>HIGH</t>
        </is>
      </c>
      <c r="T155" s="24" t="inlineStr">
        <is>
          <t>HIGH</t>
        </is>
      </c>
      <c r="U155" s="24" t="inlineStr">
        <is>
          <t>0.0</t>
        </is>
      </c>
      <c r="V155" s="24" t="inlineStr">
        <is>
          <t>LOW_RISK</t>
        </is>
      </c>
      <c r="W155" s="24" t="inlineStr">
        <is>
          <t>저위험</t>
        </is>
      </c>
      <c r="X155" s="24" t="inlineStr">
        <is>
          <t>LOW_RISK</t>
        </is>
      </c>
      <c r="Y155" s="24" t="inlineStr">
        <is>
          <t>0.9914514013000448</t>
        </is>
      </c>
      <c r="Z155" s="24" t="inlineStr">
        <is>
          <t>HIGH</t>
        </is>
      </c>
      <c r="AA155" s="24" t="inlineStr">
        <is>
          <t>HIGH</t>
        </is>
      </c>
      <c r="AB155" s="24" t="inlineStr">
        <is>
          <t>0.030956097033645616</t>
        </is>
      </c>
      <c r="AC155" s="24" t="inlineStr">
        <is>
          <t>False</t>
        </is>
      </c>
      <c r="AD155" s="24" t="inlineStr">
        <is>
          <t>False</t>
        </is>
      </c>
      <c r="AE155" s="24" t="inlineStr">
        <is>
          <t>valuation_credit_ml_overlay_candidate.csv</t>
        </is>
      </c>
      <c r="AF155" s="24" t="inlineStr">
        <is>
          <t>208개 반도체 reference universe. Valuation Agent가 자체 intake 폴더로 복제해 Peer/ML/대시보드 비교에 사용.</t>
        </is>
      </c>
    </row>
    <row r="156" ht="24" customHeight="1">
      <c r="A156" s="29" t="inlineStr">
        <is>
          <t>117</t>
        </is>
      </c>
      <c r="B156" s="29" t="inlineStr">
        <is>
          <t>해당 없음</t>
        </is>
      </c>
      <c r="C156" s="29" t="inlineStr">
        <is>
          <t>티이엠씨씨엔에스</t>
        </is>
      </c>
      <c r="D156" s="29" t="inlineStr">
        <is>
          <t>241790</t>
        </is>
      </c>
      <c r="E156" s="29" t="inlineStr">
        <is>
          <t>KOSDAQ</t>
        </is>
      </c>
      <c r="F156" s="29" t="inlineStr">
        <is>
          <t>장비</t>
        </is>
      </c>
      <c r="G156" s="29" t="inlineStr">
        <is>
          <t>장비</t>
        </is>
      </c>
      <c r="H156" s="29" t="inlineStr">
        <is>
          <t>False</t>
        </is>
      </c>
      <c r="I156" s="29" t="inlineStr">
        <is>
          <t>True</t>
        </is>
      </c>
      <c r="J156" s="29" t="inlineStr">
        <is>
          <t>OK</t>
        </is>
      </c>
      <c r="K156" s="29" t="inlineStr">
        <is>
          <t>데이터 사용 가능</t>
        </is>
      </c>
      <c r="L156" s="29" t="inlineStr">
        <is>
          <t>LOW</t>
        </is>
      </c>
      <c r="M156" s="29" t="inlineStr">
        <is>
          <t>LOW</t>
        </is>
      </c>
      <c r="N156" s="29" t="inlineStr">
        <is>
          <t>0.6393333333333333</t>
        </is>
      </c>
      <c r="O156" s="29" t="inlineStr">
        <is>
          <t>ATTRACTIVE</t>
        </is>
      </c>
      <c r="P156" s="29" t="inlineStr">
        <is>
          <t>가치 매력</t>
        </is>
      </c>
      <c r="Q156" s="29" t="inlineStr">
        <is>
          <t>ATTRACTIVE</t>
        </is>
      </c>
      <c r="R156" s="29" t="inlineStr">
        <is>
          <t>0.8915695356337118</t>
        </is>
      </c>
      <c r="S156" s="29" t="inlineStr">
        <is>
          <t>HIGH</t>
        </is>
      </c>
      <c r="T156" s="29" t="inlineStr">
        <is>
          <t>HIGH</t>
        </is>
      </c>
      <c r="U156" s="29" t="inlineStr">
        <is>
          <t>0.0714285714285714</t>
        </is>
      </c>
      <c r="V156" s="29" t="inlineStr">
        <is>
          <t>LOW_RISK</t>
        </is>
      </c>
      <c r="W156" s="29" t="inlineStr">
        <is>
          <t>저위험</t>
        </is>
      </c>
      <c r="X156" s="29" t="inlineStr">
        <is>
          <t>LOW_RISK</t>
        </is>
      </c>
      <c r="Y156" s="29" t="inlineStr">
        <is>
          <t>0.8390932561788113</t>
        </is>
      </c>
      <c r="Z156" s="29" t="inlineStr">
        <is>
          <t>HIGH</t>
        </is>
      </c>
      <c r="AA156" s="29" t="inlineStr">
        <is>
          <t>HIGH</t>
        </is>
      </c>
      <c r="AB156" s="29" t="inlineStr">
        <is>
          <t>0.02833353868990863</t>
        </is>
      </c>
      <c r="AC156" s="29" t="inlineStr">
        <is>
          <t>False</t>
        </is>
      </c>
      <c r="AD156" s="29" t="inlineStr">
        <is>
          <t>False</t>
        </is>
      </c>
      <c r="AE156" s="29" t="inlineStr">
        <is>
          <t>valuation_credit_ml_overlay_candidate.csv</t>
        </is>
      </c>
      <c r="AF156" s="29" t="inlineStr">
        <is>
          <t>208개 반도체 reference universe. Valuation Agent가 자체 intake 폴더로 복제해 Peer/ML/대시보드 비교에 사용.</t>
        </is>
      </c>
    </row>
    <row r="157" ht="24" customHeight="1">
      <c r="A157" s="24" t="inlineStr">
        <is>
          <t>82</t>
        </is>
      </c>
      <c r="B157" s="24" t="inlineStr">
        <is>
          <t>해당 없음</t>
        </is>
      </c>
      <c r="C157" s="24" t="inlineStr">
        <is>
          <t>디아이티</t>
        </is>
      </c>
      <c r="D157" s="24" t="inlineStr">
        <is>
          <t>110990</t>
        </is>
      </c>
      <c r="E157" s="24" t="inlineStr">
        <is>
          <t>KOSDAQ</t>
        </is>
      </c>
      <c r="F157" s="24" t="inlineStr">
        <is>
          <t>장비</t>
        </is>
      </c>
      <c r="G157" s="24" t="inlineStr">
        <is>
          <t>장비</t>
        </is>
      </c>
      <c r="H157" s="24" t="inlineStr">
        <is>
          <t>False</t>
        </is>
      </c>
      <c r="I157" s="24" t="inlineStr">
        <is>
          <t>True</t>
        </is>
      </c>
      <c r="J157" s="24" t="inlineStr">
        <is>
          <t>OK</t>
        </is>
      </c>
      <c r="K157" s="24" t="inlineStr">
        <is>
          <t>데이터 사용 가능</t>
        </is>
      </c>
      <c r="L157" s="24" t="inlineStr">
        <is>
          <t>LOW</t>
        </is>
      </c>
      <c r="M157" s="24" t="inlineStr">
        <is>
          <t>LOW</t>
        </is>
      </c>
      <c r="N157" s="24" t="inlineStr">
        <is>
          <t>0.6341333333333333</t>
        </is>
      </c>
      <c r="O157" s="24" t="inlineStr">
        <is>
          <t>ATTRACTIVE</t>
        </is>
      </c>
      <c r="P157" s="24" t="inlineStr">
        <is>
          <t>가치 매력</t>
        </is>
      </c>
      <c r="Q157" s="24" t="inlineStr">
        <is>
          <t>ATTRACTIVE</t>
        </is>
      </c>
      <c r="R157" s="24" t="inlineStr">
        <is>
          <t>0.8847780199048246</t>
        </is>
      </c>
      <c r="S157" s="24" t="inlineStr">
        <is>
          <t>HIGH</t>
        </is>
      </c>
      <c r="T157" s="24" t="inlineStr">
        <is>
          <t>HIGH</t>
        </is>
      </c>
      <c r="U157" s="24" t="inlineStr">
        <is>
          <t>0.0</t>
        </is>
      </c>
      <c r="V157" s="24" t="inlineStr">
        <is>
          <t>LOW_RISK</t>
        </is>
      </c>
      <c r="W157" s="24" t="inlineStr">
        <is>
          <t>저위험</t>
        </is>
      </c>
      <c r="X157" s="24" t="inlineStr">
        <is>
          <t>LOW_RISK</t>
        </is>
      </c>
      <c r="Y157" s="24" t="inlineStr">
        <is>
          <t>0.9680387620928</t>
        </is>
      </c>
      <c r="Z157" s="24" t="inlineStr">
        <is>
          <t>HIGH</t>
        </is>
      </c>
      <c r="AA157" s="24" t="inlineStr">
        <is>
          <t>HIGH</t>
        </is>
      </c>
      <c r="AB157" s="24" t="inlineStr">
        <is>
          <t>0.10339551954594055</t>
        </is>
      </c>
      <c r="AC157" s="24" t="inlineStr">
        <is>
          <t>False</t>
        </is>
      </c>
      <c r="AD157" s="24" t="inlineStr">
        <is>
          <t>False</t>
        </is>
      </c>
      <c r="AE157" s="24" t="inlineStr">
        <is>
          <t>valuation_credit_ml_overlay_candidate.csv</t>
        </is>
      </c>
      <c r="AF157" s="24" t="inlineStr">
        <is>
          <t>208개 반도체 reference universe. Valuation Agent가 자체 intake 폴더로 복제해 Peer/ML/대시보드 비교에 사용.</t>
        </is>
      </c>
    </row>
    <row r="158" ht="24" customHeight="1">
      <c r="A158" s="29" t="inlineStr">
        <is>
          <t>113</t>
        </is>
      </c>
      <c r="B158" s="29" t="inlineStr">
        <is>
          <t>해당 없음</t>
        </is>
      </c>
      <c r="C158" s="29" t="inlineStr">
        <is>
          <t>케이씨텍</t>
        </is>
      </c>
      <c r="D158" s="29" t="inlineStr">
        <is>
          <t>281820</t>
        </is>
      </c>
      <c r="E158" s="29" t="inlineStr">
        <is>
          <t>KOSPI</t>
        </is>
      </c>
      <c r="F158" s="29" t="inlineStr">
        <is>
          <t>장비</t>
        </is>
      </c>
      <c r="G158" s="29" t="inlineStr">
        <is>
          <t>장비</t>
        </is>
      </c>
      <c r="H158" s="29" t="inlineStr">
        <is>
          <t>False</t>
        </is>
      </c>
      <c r="I158" s="29" t="inlineStr">
        <is>
          <t>True</t>
        </is>
      </c>
      <c r="J158" s="29" t="inlineStr">
        <is>
          <t>OK</t>
        </is>
      </c>
      <c r="K158" s="29" t="inlineStr">
        <is>
          <t>데이터 사용 가능</t>
        </is>
      </c>
      <c r="L158" s="29" t="inlineStr">
        <is>
          <t>LOW</t>
        </is>
      </c>
      <c r="M158" s="29" t="inlineStr">
        <is>
          <t>LOW</t>
        </is>
      </c>
      <c r="N158" s="29" t="inlineStr">
        <is>
          <t>0.6314666666666666</t>
        </is>
      </c>
      <c r="O158" s="29" t="inlineStr">
        <is>
          <t>ATTRACTIVE</t>
        </is>
      </c>
      <c r="P158" s="29" t="inlineStr">
        <is>
          <t>가치 매력</t>
        </is>
      </c>
      <c r="Q158" s="29" t="inlineStr">
        <is>
          <t>ATTRACTIVE</t>
        </is>
      </c>
      <c r="R158" s="29" t="inlineStr">
        <is>
          <t>0.8895261430914092</t>
        </is>
      </c>
      <c r="S158" s="29" t="inlineStr">
        <is>
          <t>HIGH</t>
        </is>
      </c>
      <c r="T158" s="29" t="inlineStr">
        <is>
          <t>HIGH</t>
        </is>
      </c>
      <c r="U158" s="29" t="inlineStr">
        <is>
          <t>0.0</t>
        </is>
      </c>
      <c r="V158" s="29" t="inlineStr">
        <is>
          <t>LOW_RISK</t>
        </is>
      </c>
      <c r="W158" s="29" t="inlineStr">
        <is>
          <t>저위험</t>
        </is>
      </c>
      <c r="X158" s="29" t="inlineStr">
        <is>
          <t>LOW_RISK</t>
        </is>
      </c>
      <c r="Y158" s="29" t="inlineStr">
        <is>
          <t>0.9840164809601727</t>
        </is>
      </c>
      <c r="Z158" s="29" t="inlineStr">
        <is>
          <t>HIGH</t>
        </is>
      </c>
      <c r="AA158" s="29" t="inlineStr">
        <is>
          <t>HIGH</t>
        </is>
      </c>
      <c r="AB158" s="29" t="inlineStr">
        <is>
          <t>0.08604596455969397</t>
        </is>
      </c>
      <c r="AC158" s="29" t="inlineStr">
        <is>
          <t>False</t>
        </is>
      </c>
      <c r="AD158" s="29" t="inlineStr">
        <is>
          <t>False</t>
        </is>
      </c>
      <c r="AE158" s="29" t="inlineStr">
        <is>
          <t>valuation_credit_ml_overlay_candidate.csv</t>
        </is>
      </c>
      <c r="AF158" s="29" t="inlineStr">
        <is>
          <t>208개 반도체 reference universe. Valuation Agent가 자체 intake 폴더로 복제해 Peer/ML/대시보드 비교에 사용.</t>
        </is>
      </c>
    </row>
    <row r="159" ht="24" customHeight="1">
      <c r="A159" s="24" t="inlineStr">
        <is>
          <t>85</t>
        </is>
      </c>
      <c r="B159" s="24" t="inlineStr">
        <is>
          <t>해당 없음</t>
        </is>
      </c>
      <c r="C159" s="24" t="inlineStr">
        <is>
          <t>로체시스템즈</t>
        </is>
      </c>
      <c r="D159" s="24" t="inlineStr">
        <is>
          <t>071280</t>
        </is>
      </c>
      <c r="E159" s="24" t="inlineStr">
        <is>
          <t>KOSDAQ</t>
        </is>
      </c>
      <c r="F159" s="24" t="inlineStr">
        <is>
          <t>장비</t>
        </is>
      </c>
      <c r="G159" s="24" t="inlineStr">
        <is>
          <t>장비</t>
        </is>
      </c>
      <c r="H159" s="24" t="inlineStr">
        <is>
          <t>False</t>
        </is>
      </c>
      <c r="I159" s="24" t="inlineStr">
        <is>
          <t>True</t>
        </is>
      </c>
      <c r="J159" s="24" t="inlineStr">
        <is>
          <t>OK</t>
        </is>
      </c>
      <c r="K159" s="24" t="inlineStr">
        <is>
          <t>데이터 사용 가능</t>
        </is>
      </c>
      <c r="L159" s="24" t="inlineStr">
        <is>
          <t>LOW</t>
        </is>
      </c>
      <c r="M159" s="24" t="inlineStr">
        <is>
          <t>LOW</t>
        </is>
      </c>
      <c r="N159" s="24" t="inlineStr">
        <is>
          <t>0.6258666666666667</t>
        </is>
      </c>
      <c r="O159" s="24" t="inlineStr">
        <is>
          <t>ATTRACTIVE</t>
        </is>
      </c>
      <c r="P159" s="24" t="inlineStr">
        <is>
          <t>가치 매력</t>
        </is>
      </c>
      <c r="Q159" s="24" t="inlineStr">
        <is>
          <t>ATTRACTIVE</t>
        </is>
      </c>
      <c r="R159" s="24" t="inlineStr">
        <is>
          <t>0.9642438845844894</t>
        </is>
      </c>
      <c r="S159" s="24" t="inlineStr">
        <is>
          <t>HIGH</t>
        </is>
      </c>
      <c r="T159" s="24" t="inlineStr">
        <is>
          <t>HIGH</t>
        </is>
      </c>
      <c r="U159" s="24" t="inlineStr">
        <is>
          <t>0.0714285714285714</t>
        </is>
      </c>
      <c r="V159" s="24" t="inlineStr">
        <is>
          <t>LOW_RISK</t>
        </is>
      </c>
      <c r="W159" s="24" t="inlineStr">
        <is>
          <t>저위험</t>
        </is>
      </c>
      <c r="X159" s="24" t="inlineStr">
        <is>
          <t>LOW_RISK</t>
        </is>
      </c>
      <c r="Y159" s="24" t="inlineStr">
        <is>
          <t>0.865361141095959</t>
        </is>
      </c>
      <c r="Z159" s="24" t="inlineStr">
        <is>
          <t>HIGH</t>
        </is>
      </c>
      <c r="AA159" s="24" t="inlineStr">
        <is>
          <t>HIGH</t>
        </is>
      </c>
      <c r="AB159" s="24" t="inlineStr">
        <is>
          <t>0.12835380231692475</t>
        </is>
      </c>
      <c r="AC159" s="24" t="inlineStr">
        <is>
          <t>False</t>
        </is>
      </c>
      <c r="AD159" s="24" t="inlineStr">
        <is>
          <t>False</t>
        </is>
      </c>
      <c r="AE159" s="24" t="inlineStr">
        <is>
          <t>valuation_credit_ml_overlay_candidate.csv</t>
        </is>
      </c>
      <c r="AF159" s="24" t="inlineStr">
        <is>
          <t>208개 반도체 reference universe. Valuation Agent가 자체 intake 폴더로 복제해 Peer/ML/대시보드 비교에 사용.</t>
        </is>
      </c>
    </row>
    <row r="160" ht="24" customHeight="1">
      <c r="A160" s="29" t="inlineStr">
        <is>
          <t>95</t>
        </is>
      </c>
      <c r="B160" s="29" t="inlineStr">
        <is>
          <t>해당 없음</t>
        </is>
      </c>
      <c r="C160" s="29" t="inlineStr">
        <is>
          <t>아이씨디</t>
        </is>
      </c>
      <c r="D160" s="29" t="inlineStr">
        <is>
          <t>040910</t>
        </is>
      </c>
      <c r="E160" s="29" t="inlineStr">
        <is>
          <t>KOSDAQ</t>
        </is>
      </c>
      <c r="F160" s="29" t="inlineStr">
        <is>
          <t>장비</t>
        </is>
      </c>
      <c r="G160" s="29" t="inlineStr">
        <is>
          <t>장비</t>
        </is>
      </c>
      <c r="H160" s="29" t="inlineStr">
        <is>
          <t>False</t>
        </is>
      </c>
      <c r="I160" s="29" t="inlineStr">
        <is>
          <t>True</t>
        </is>
      </c>
      <c r="J160" s="29" t="inlineStr">
        <is>
          <t>OK</t>
        </is>
      </c>
      <c r="K160" s="29" t="inlineStr">
        <is>
          <t>데이터 사용 가능</t>
        </is>
      </c>
      <c r="L160" s="29" t="inlineStr">
        <is>
          <t>LOW</t>
        </is>
      </c>
      <c r="M160" s="29" t="inlineStr">
        <is>
          <t>LOW</t>
        </is>
      </c>
      <c r="N160" s="29" t="inlineStr">
        <is>
          <t>0.6158666666666667</t>
        </is>
      </c>
      <c r="O160" s="29" t="inlineStr">
        <is>
          <t>FAIR</t>
        </is>
      </c>
      <c r="P160" s="29" t="inlineStr">
        <is>
          <t>FAIR</t>
        </is>
      </c>
      <c r="Q160" s="29" t="inlineStr">
        <is>
          <t>FAIR</t>
        </is>
      </c>
      <c r="R160" s="29" t="inlineStr">
        <is>
          <t>0.692546582663732</t>
        </is>
      </c>
      <c r="S160" s="29" t="inlineStr">
        <is>
          <t>MEDIUM</t>
        </is>
      </c>
      <c r="T160" s="29" t="inlineStr">
        <is>
          <t>MEDIUM</t>
        </is>
      </c>
      <c r="U160" s="29" t="inlineStr">
        <is>
          <t>0.0714285714285714</t>
        </is>
      </c>
      <c r="V160" s="29" t="inlineStr">
        <is>
          <t>LOW_RISK</t>
        </is>
      </c>
      <c r="W160" s="29" t="inlineStr">
        <is>
          <t>저위험</t>
        </is>
      </c>
      <c r="X160" s="29" t="inlineStr">
        <is>
          <t>LOW_RISK</t>
        </is>
      </c>
      <c r="Y160" s="29" t="inlineStr">
        <is>
          <t>0.44849044524296083</t>
        </is>
      </c>
      <c r="Z160" s="29" t="inlineStr">
        <is>
          <t>LOW</t>
        </is>
      </c>
      <c r="AA160" s="29" t="inlineStr">
        <is>
          <t>LOW</t>
        </is>
      </c>
      <c r="AB160" s="29" t="inlineStr">
        <is>
          <t>0.036739402266510075</t>
        </is>
      </c>
      <c r="AC160" s="29" t="inlineStr">
        <is>
          <t>False</t>
        </is>
      </c>
      <c r="AD160" s="29" t="inlineStr">
        <is>
          <t>True</t>
        </is>
      </c>
      <c r="AE160" s="29" t="inlineStr">
        <is>
          <t>valuation_credit_ml_overlay_candidate.csv</t>
        </is>
      </c>
      <c r="AF160" s="29" t="inlineStr">
        <is>
          <t>208개 반도체 reference universe. Valuation Agent가 자체 intake 폴더로 복제해 Peer/ML/대시보드 비교에 사용.</t>
        </is>
      </c>
    </row>
    <row r="161" ht="24" customHeight="1">
      <c r="A161" s="24" t="inlineStr">
        <is>
          <t>96</t>
        </is>
      </c>
      <c r="B161" s="24" t="inlineStr">
        <is>
          <t>해당 없음</t>
        </is>
      </c>
      <c r="C161" s="24" t="inlineStr">
        <is>
          <t>에스에프에이</t>
        </is>
      </c>
      <c r="D161" s="24" t="inlineStr">
        <is>
          <t>056190</t>
        </is>
      </c>
      <c r="E161" s="24" t="inlineStr">
        <is>
          <t>KOSDAQ GLOBAL</t>
        </is>
      </c>
      <c r="F161" s="24" t="inlineStr">
        <is>
          <t>장비</t>
        </is>
      </c>
      <c r="G161" s="24" t="inlineStr">
        <is>
          <t>장비</t>
        </is>
      </c>
      <c r="H161" s="24" t="inlineStr">
        <is>
          <t>False</t>
        </is>
      </c>
      <c r="I161" s="24" t="inlineStr">
        <is>
          <t>True</t>
        </is>
      </c>
      <c r="J161" s="24" t="inlineStr">
        <is>
          <t>OK</t>
        </is>
      </c>
      <c r="K161" s="24" t="inlineStr">
        <is>
          <t>데이터 사용 가능</t>
        </is>
      </c>
      <c r="L161" s="24" t="inlineStr">
        <is>
          <t>LOW</t>
        </is>
      </c>
      <c r="M161" s="24" t="inlineStr">
        <is>
          <t>LOW</t>
        </is>
      </c>
      <c r="N161" s="24" t="inlineStr">
        <is>
          <t>0.6098666666666667</t>
        </is>
      </c>
      <c r="O161" s="24" t="inlineStr">
        <is>
          <t>ATTRACTIVE</t>
        </is>
      </c>
      <c r="P161" s="24" t="inlineStr">
        <is>
          <t>가치 매력</t>
        </is>
      </c>
      <c r="Q161" s="24" t="inlineStr">
        <is>
          <t>ATTRACTIVE</t>
        </is>
      </c>
      <c r="R161" s="24" t="inlineStr">
        <is>
          <t>0.8690882589557657</t>
        </is>
      </c>
      <c r="S161" s="24" t="inlineStr">
        <is>
          <t>HIGH</t>
        </is>
      </c>
      <c r="T161" s="24" t="inlineStr">
        <is>
          <t>HIGH</t>
        </is>
      </c>
      <c r="U161" s="24" t="inlineStr">
        <is>
          <t>0.0</t>
        </is>
      </c>
      <c r="V161" s="24" t="inlineStr">
        <is>
          <t>LOW_RISK</t>
        </is>
      </c>
      <c r="W161" s="24" t="inlineStr">
        <is>
          <t>저위험</t>
        </is>
      </c>
      <c r="X161" s="24" t="inlineStr">
        <is>
          <t>LOW_RISK</t>
        </is>
      </c>
      <c r="Y161" s="24" t="inlineStr">
        <is>
          <t>0.9436125736629892</t>
        </is>
      </c>
      <c r="Z161" s="24" t="inlineStr">
        <is>
          <t>HIGH</t>
        </is>
      </c>
      <c r="AA161" s="24" t="inlineStr">
        <is>
          <t>HIGH</t>
        </is>
      </c>
      <c r="AB161" s="24" t="inlineStr">
        <is>
          <t>0.014784178233183152</t>
        </is>
      </c>
      <c r="AC161" s="24" t="inlineStr">
        <is>
          <t>False</t>
        </is>
      </c>
      <c r="AD161" s="24" t="inlineStr">
        <is>
          <t>False</t>
        </is>
      </c>
      <c r="AE161" s="24" t="inlineStr">
        <is>
          <t>valuation_credit_ml_overlay_candidate.csv</t>
        </is>
      </c>
      <c r="AF161" s="24" t="inlineStr">
        <is>
          <t>208개 반도체 reference universe. Valuation Agent가 자체 intake 폴더로 복제해 Peer/ML/대시보드 비교에 사용.</t>
        </is>
      </c>
    </row>
    <row r="162" ht="24" customHeight="1">
      <c r="A162" s="29" t="inlineStr">
        <is>
          <t>89</t>
        </is>
      </c>
      <c r="B162" s="29" t="inlineStr">
        <is>
          <t>해당 없음</t>
        </is>
      </c>
      <c r="C162" s="29" t="inlineStr">
        <is>
          <t>삼양엔씨켐</t>
        </is>
      </c>
      <c r="D162" s="29" t="inlineStr">
        <is>
          <t>482630</t>
        </is>
      </c>
      <c r="E162" s="29" t="inlineStr">
        <is>
          <t>KOSDAQ</t>
        </is>
      </c>
      <c r="F162" s="29" t="inlineStr">
        <is>
          <t>장비</t>
        </is>
      </c>
      <c r="G162" s="29" t="inlineStr">
        <is>
          <t>장비</t>
        </is>
      </c>
      <c r="H162" s="29" t="inlineStr">
        <is>
          <t>False</t>
        </is>
      </c>
      <c r="I162" s="29" t="inlineStr">
        <is>
          <t>True</t>
        </is>
      </c>
      <c r="J162" s="29" t="inlineStr">
        <is>
          <t>OK_LIMITED_HISTORY_OR_GROWTH_NA</t>
        </is>
      </c>
      <c r="K162" s="29" t="inlineStr">
        <is>
          <t>데이터 사용 가능</t>
        </is>
      </c>
      <c r="L162" s="29" t="inlineStr">
        <is>
          <t>LOW</t>
        </is>
      </c>
      <c r="M162" s="29" t="inlineStr">
        <is>
          <t>LOW</t>
        </is>
      </c>
      <c r="N162" s="29" t="inlineStr">
        <is>
          <t>0.5993333333333333</t>
        </is>
      </c>
      <c r="O162" s="29" t="inlineStr">
        <is>
          <t>ATTRACTIVE</t>
        </is>
      </c>
      <c r="P162" s="29" t="inlineStr">
        <is>
          <t>가치 매력</t>
        </is>
      </c>
      <c r="Q162" s="29" t="inlineStr">
        <is>
          <t>ATTRACTIVE</t>
        </is>
      </c>
      <c r="R162" s="29" t="inlineStr">
        <is>
          <t>0.6408467710997098</t>
        </is>
      </c>
      <c r="S162" s="29" t="inlineStr">
        <is>
          <t>MEDIUM</t>
        </is>
      </c>
      <c r="T162" s="29" t="inlineStr">
        <is>
          <t>MEDIUM</t>
        </is>
      </c>
      <c r="U162" s="29" t="inlineStr">
        <is>
          <t>0.0714285714285714</t>
        </is>
      </c>
      <c r="V162" s="29" t="inlineStr">
        <is>
          <t>LOW_RISK</t>
        </is>
      </c>
      <c r="W162" s="29" t="inlineStr">
        <is>
          <t>저위험</t>
        </is>
      </c>
      <c r="X162" s="29" t="inlineStr">
        <is>
          <t>LOW_RISK</t>
        </is>
      </c>
      <c r="Y162" s="29" t="inlineStr">
        <is>
          <t>0.9401160844253347</t>
        </is>
      </c>
      <c r="Z162" s="29" t="inlineStr">
        <is>
          <t>HIGH</t>
        </is>
      </c>
      <c r="AA162" s="29" t="inlineStr">
        <is>
          <t>HIGH</t>
        </is>
      </c>
      <c r="AB162" s="29" t="inlineStr">
        <is>
          <t>0.028901776832829695</t>
        </is>
      </c>
      <c r="AC162" s="29" t="inlineStr">
        <is>
          <t>False</t>
        </is>
      </c>
      <c r="AD162" s="29" t="inlineStr">
        <is>
          <t>True</t>
        </is>
      </c>
      <c r="AE162" s="29" t="inlineStr">
        <is>
          <t>valuation_credit_ml_overlay_candidate.csv</t>
        </is>
      </c>
      <c r="AF162" s="29" t="inlineStr">
        <is>
          <t>208개 반도체 reference universe. Valuation Agent가 자체 intake 폴더로 복제해 Peer/ML/대시보드 비교에 사용.</t>
        </is>
      </c>
    </row>
    <row r="163" ht="24" customHeight="1">
      <c r="A163" s="24" t="inlineStr">
        <is>
          <t>92</t>
        </is>
      </c>
      <c r="B163" s="24" t="inlineStr">
        <is>
          <t>해당 없음</t>
        </is>
      </c>
      <c r="C163" s="24" t="inlineStr">
        <is>
          <t>싸이맥스</t>
        </is>
      </c>
      <c r="D163" s="24" t="inlineStr">
        <is>
          <t>160980</t>
        </is>
      </c>
      <c r="E163" s="24" t="inlineStr">
        <is>
          <t>KOSDAQ</t>
        </is>
      </c>
      <c r="F163" s="24" t="inlineStr">
        <is>
          <t>장비</t>
        </is>
      </c>
      <c r="G163" s="24" t="inlineStr">
        <is>
          <t>장비</t>
        </is>
      </c>
      <c r="H163" s="24" t="inlineStr">
        <is>
          <t>False</t>
        </is>
      </c>
      <c r="I163" s="24" t="inlineStr">
        <is>
          <t>True</t>
        </is>
      </c>
      <c r="J163" s="24" t="inlineStr">
        <is>
          <t>OK</t>
        </is>
      </c>
      <c r="K163" s="24" t="inlineStr">
        <is>
          <t>데이터 사용 가능</t>
        </is>
      </c>
      <c r="L163" s="24" t="inlineStr">
        <is>
          <t>LOW</t>
        </is>
      </c>
      <c r="M163" s="24" t="inlineStr">
        <is>
          <t>LOW</t>
        </is>
      </c>
      <c r="N163" s="24" t="inlineStr">
        <is>
          <t>0.5961333333333334</t>
        </is>
      </c>
      <c r="O163" s="24" t="inlineStr">
        <is>
          <t>ATTRACTIVE</t>
        </is>
      </c>
      <c r="P163" s="24" t="inlineStr">
        <is>
          <t>가치 매력</t>
        </is>
      </c>
      <c r="Q163" s="24" t="inlineStr">
        <is>
          <t>ATTRACTIVE</t>
        </is>
      </c>
      <c r="R163" s="24" t="inlineStr">
        <is>
          <t>0.8128181122496774</t>
        </is>
      </c>
      <c r="S163" s="24" t="inlineStr">
        <is>
          <t>HIGH</t>
        </is>
      </c>
      <c r="T163" s="24" t="inlineStr">
        <is>
          <t>HIGH</t>
        </is>
      </c>
      <c r="U163" s="24" t="inlineStr">
        <is>
          <t>0.0</t>
        </is>
      </c>
      <c r="V163" s="24" t="inlineStr">
        <is>
          <t>LOW_RISK</t>
        </is>
      </c>
      <c r="W163" s="24" t="inlineStr">
        <is>
          <t>저위험</t>
        </is>
      </c>
      <c r="X163" s="24" t="inlineStr">
        <is>
          <t>LOW_RISK</t>
        </is>
      </c>
      <c r="Y163" s="24" t="inlineStr">
        <is>
          <t>0.9687749577011366</t>
        </is>
      </c>
      <c r="Z163" s="24" t="inlineStr">
        <is>
          <t>HIGH</t>
        </is>
      </c>
      <c r="AA163" s="24" t="inlineStr">
        <is>
          <t>HIGH</t>
        </is>
      </c>
      <c r="AB163" s="24" t="inlineStr">
        <is>
          <t>0.14360930410301745</t>
        </is>
      </c>
      <c r="AC163" s="24" t="inlineStr">
        <is>
          <t>False</t>
        </is>
      </c>
      <c r="AD163" s="24" t="inlineStr">
        <is>
          <t>False</t>
        </is>
      </c>
      <c r="AE163" s="24" t="inlineStr">
        <is>
          <t>valuation_credit_ml_overlay_candidate.csv</t>
        </is>
      </c>
      <c r="AF163" s="24" t="inlineStr">
        <is>
          <t>208개 반도체 reference universe. Valuation Agent가 자체 intake 폴더로 복제해 Peer/ML/대시보드 비교에 사용.</t>
        </is>
      </c>
    </row>
    <row r="164" ht="24" customHeight="1">
      <c r="A164" s="29" t="inlineStr">
        <is>
          <t>80</t>
        </is>
      </c>
      <c r="B164" s="29" t="inlineStr">
        <is>
          <t>해당 없음</t>
        </is>
      </c>
      <c r="C164" s="29" t="inlineStr">
        <is>
          <t>뉴파워프라즈마</t>
        </is>
      </c>
      <c r="D164" s="29" t="inlineStr">
        <is>
          <t>144960</t>
        </is>
      </c>
      <c r="E164" s="29" t="inlineStr">
        <is>
          <t>KOSDAQ</t>
        </is>
      </c>
      <c r="F164" s="29" t="inlineStr">
        <is>
          <t>장비</t>
        </is>
      </c>
      <c r="G164" s="29" t="inlineStr">
        <is>
          <t>장비</t>
        </is>
      </c>
      <c r="H164" s="29" t="inlineStr">
        <is>
          <t>False</t>
        </is>
      </c>
      <c r="I164" s="29" t="inlineStr">
        <is>
          <t>True</t>
        </is>
      </c>
      <c r="J164" s="29" t="inlineStr">
        <is>
          <t>OK</t>
        </is>
      </c>
      <c r="K164" s="29" t="inlineStr">
        <is>
          <t>데이터 사용 가능</t>
        </is>
      </c>
      <c r="L164" s="29" t="inlineStr">
        <is>
          <t>LOW</t>
        </is>
      </c>
      <c r="M164" s="29" t="inlineStr">
        <is>
          <t>LOW</t>
        </is>
      </c>
      <c r="N164" s="29" t="inlineStr">
        <is>
          <t>0.5749333333333334</t>
        </is>
      </c>
      <c r="O164" s="29" t="inlineStr">
        <is>
          <t>FAIR</t>
        </is>
      </c>
      <c r="P164" s="29" t="inlineStr">
        <is>
          <t>FAIR</t>
        </is>
      </c>
      <c r="Q164" s="29" t="inlineStr">
        <is>
          <t>FAIR</t>
        </is>
      </c>
      <c r="R164" s="29" t="inlineStr">
        <is>
          <t>0.868464354966477</t>
        </is>
      </c>
      <c r="S164" s="29" t="inlineStr">
        <is>
          <t>HIGH</t>
        </is>
      </c>
      <c r="T164" s="29" t="inlineStr">
        <is>
          <t>HIGH</t>
        </is>
      </c>
      <c r="U164" s="29" t="inlineStr">
        <is>
          <t>0.2142857142857142</t>
        </is>
      </c>
      <c r="V164" s="29" t="inlineStr">
        <is>
          <t>MEDIUM_RISK</t>
        </is>
      </c>
      <c r="W164" s="29" t="inlineStr">
        <is>
          <t>중위험</t>
        </is>
      </c>
      <c r="X164" s="29" t="inlineStr">
        <is>
          <t>MEDIUM_RISK</t>
        </is>
      </c>
      <c r="Y164" s="29" t="inlineStr">
        <is>
          <t>0.7046290499893975</t>
        </is>
      </c>
      <c r="Z164" s="29" t="inlineStr">
        <is>
          <t>HIGH</t>
        </is>
      </c>
      <c r="AA164" s="29" t="inlineStr">
        <is>
          <t>HIGH</t>
        </is>
      </c>
      <c r="AB164" s="29" t="inlineStr">
        <is>
          <t>0.04196333332906741</t>
        </is>
      </c>
      <c r="AC164" s="29" t="inlineStr">
        <is>
          <t>False</t>
        </is>
      </c>
      <c r="AD164" s="29" t="inlineStr">
        <is>
          <t>False</t>
        </is>
      </c>
      <c r="AE164" s="29" t="inlineStr">
        <is>
          <t>valuation_credit_ml_overlay_candidate.csv</t>
        </is>
      </c>
      <c r="AF164" s="29" t="inlineStr">
        <is>
          <t>208개 반도체 reference universe. Valuation Agent가 자체 intake 폴더로 복제해 Peer/ML/대시보드 비교에 사용.</t>
        </is>
      </c>
    </row>
    <row r="165" ht="24" customHeight="1">
      <c r="A165" s="24" t="inlineStr">
        <is>
          <t>107</t>
        </is>
      </c>
      <c r="B165" s="24" t="inlineStr">
        <is>
          <t>해당 없음</t>
        </is>
      </c>
      <c r="C165" s="24" t="inlineStr">
        <is>
          <t>이엘씨</t>
        </is>
      </c>
      <c r="D165" s="24" t="inlineStr">
        <is>
          <t>041520</t>
        </is>
      </c>
      <c r="E165" s="24" t="inlineStr">
        <is>
          <t>KOSDAQ</t>
        </is>
      </c>
      <c r="F165" s="24" t="inlineStr">
        <is>
          <t>장비</t>
        </is>
      </c>
      <c r="G165" s="24" t="inlineStr">
        <is>
          <t>장비</t>
        </is>
      </c>
      <c r="H165" s="24" t="inlineStr">
        <is>
          <t>False</t>
        </is>
      </c>
      <c r="I165" s="24" t="inlineStr">
        <is>
          <t>True</t>
        </is>
      </c>
      <c r="J165" s="24" t="inlineStr">
        <is>
          <t>OK</t>
        </is>
      </c>
      <c r="K165" s="24" t="inlineStr">
        <is>
          <t>데이터 사용 가능</t>
        </is>
      </c>
      <c r="L165" s="24" t="inlineStr">
        <is>
          <t>LOW</t>
        </is>
      </c>
      <c r="M165" s="24" t="inlineStr">
        <is>
          <t>LOW</t>
        </is>
      </c>
      <c r="N165" s="24" t="inlineStr">
        <is>
          <t>0.5722</t>
        </is>
      </c>
      <c r="O165" s="24" t="inlineStr">
        <is>
          <t>FAIR</t>
        </is>
      </c>
      <c r="P165" s="24" t="inlineStr">
        <is>
          <t>FAIR</t>
        </is>
      </c>
      <c r="Q165" s="24" t="inlineStr">
        <is>
          <t>FAIR</t>
        </is>
      </c>
      <c r="R165" s="24" t="inlineStr">
        <is>
          <t>0.7059172837936919</t>
        </is>
      </c>
      <c r="S165" s="24" t="inlineStr">
        <is>
          <t>HIGH</t>
        </is>
      </c>
      <c r="T165" s="24" t="inlineStr">
        <is>
          <t>HIGH</t>
        </is>
      </c>
      <c r="U165" s="24" t="inlineStr">
        <is>
          <t>0.3571428571428571</t>
        </is>
      </c>
      <c r="V165" s="24" t="inlineStr">
        <is>
          <t>MEDIUM_RISK</t>
        </is>
      </c>
      <c r="W165" s="24" t="inlineStr">
        <is>
          <t>중위험</t>
        </is>
      </c>
      <c r="X165" s="24" t="inlineStr">
        <is>
          <t>MEDIUM_RISK</t>
        </is>
      </c>
      <c r="Y165" s="24" t="inlineStr">
        <is>
          <t>0.6140431256310129</t>
        </is>
      </c>
      <c r="Z165" s="24" t="inlineStr">
        <is>
          <t>MEDIUM</t>
        </is>
      </c>
      <c r="AA165" s="24" t="inlineStr">
        <is>
          <t>MEDIUM</t>
        </is>
      </c>
      <c r="AB165" s="24" t="inlineStr">
        <is>
          <t>0.48123065048868763</t>
        </is>
      </c>
      <c r="AC165" s="24" t="inlineStr">
        <is>
          <t>True</t>
        </is>
      </c>
      <c r="AD165" s="24" t="inlineStr">
        <is>
          <t>True</t>
        </is>
      </c>
      <c r="AE165" s="24" t="inlineStr">
        <is>
          <t>valuation_credit_ml_overlay_candidate.csv</t>
        </is>
      </c>
      <c r="AF165" s="24" t="inlineStr">
        <is>
          <t>208개 반도체 reference universe. Valuation Agent가 자체 intake 폴더로 복제해 Peer/ML/대시보드 비교에 사용.</t>
        </is>
      </c>
    </row>
    <row r="166" ht="24" customHeight="1">
      <c r="A166" s="29" t="inlineStr">
        <is>
          <t>119</t>
        </is>
      </c>
      <c r="B166" s="29" t="inlineStr">
        <is>
          <t>해당 없음</t>
        </is>
      </c>
      <c r="C166" s="29" t="inlineStr">
        <is>
          <t>포인트엔지니어링</t>
        </is>
      </c>
      <c r="D166" s="29" t="inlineStr">
        <is>
          <t>256630</t>
        </is>
      </c>
      <c r="E166" s="29" t="inlineStr">
        <is>
          <t>KOSDAQ</t>
        </is>
      </c>
      <c r="F166" s="29" t="inlineStr">
        <is>
          <t>장비</t>
        </is>
      </c>
      <c r="G166" s="29" t="inlineStr">
        <is>
          <t>장비</t>
        </is>
      </c>
      <c r="H166" s="29" t="inlineStr">
        <is>
          <t>False</t>
        </is>
      </c>
      <c r="I166" s="29" t="inlineStr">
        <is>
          <t>True</t>
        </is>
      </c>
      <c r="J166" s="29" t="inlineStr">
        <is>
          <t>OK</t>
        </is>
      </c>
      <c r="K166" s="29" t="inlineStr">
        <is>
          <t>데이터 사용 가능</t>
        </is>
      </c>
      <c r="L166" s="29" t="inlineStr">
        <is>
          <t>LOW</t>
        </is>
      </c>
      <c r="M166" s="29" t="inlineStr">
        <is>
          <t>LOW</t>
        </is>
      </c>
      <c r="N166" s="29" t="inlineStr">
        <is>
          <t>0.5648666666666666</t>
        </is>
      </c>
      <c r="O166" s="29" t="inlineStr">
        <is>
          <t>FAIR</t>
        </is>
      </c>
      <c r="P166" s="29" t="inlineStr">
        <is>
          <t>FAIR</t>
        </is>
      </c>
      <c r="Q166" s="29" t="inlineStr">
        <is>
          <t>FAIR</t>
        </is>
      </c>
      <c r="R166" s="29" t="inlineStr">
        <is>
          <t>0.735270480034121</t>
        </is>
      </c>
      <c r="S166" s="29" t="inlineStr">
        <is>
          <t>HIGH</t>
        </is>
      </c>
      <c r="T166" s="29" t="inlineStr">
        <is>
          <t>HIGH</t>
        </is>
      </c>
      <c r="U166" s="29" t="inlineStr">
        <is>
          <t>0.1428571428571428</t>
        </is>
      </c>
      <c r="V166" s="29" t="inlineStr">
        <is>
          <t>LOW_RISK</t>
        </is>
      </c>
      <c r="W166" s="29" t="inlineStr">
        <is>
          <t>저위험</t>
        </is>
      </c>
      <c r="X166" s="29" t="inlineStr">
        <is>
          <t>LOW_RISK</t>
        </is>
      </c>
      <c r="Y166" s="29" t="inlineStr">
        <is>
          <t>0.46973098100913</t>
        </is>
      </c>
      <c r="Z166" s="29" t="inlineStr">
        <is>
          <t>LOW</t>
        </is>
      </c>
      <c r="AA166" s="29" t="inlineStr">
        <is>
          <t>LOW</t>
        </is>
      </c>
      <c r="AB166" s="29" t="inlineStr">
        <is>
          <t>0.13639895278143657</t>
        </is>
      </c>
      <c r="AC166" s="29" t="inlineStr">
        <is>
          <t>False</t>
        </is>
      </c>
      <c r="AD166" s="29" t="inlineStr">
        <is>
          <t>True</t>
        </is>
      </c>
      <c r="AE166" s="29" t="inlineStr">
        <is>
          <t>valuation_credit_ml_overlay_candidate.csv</t>
        </is>
      </c>
      <c r="AF166" s="29" t="inlineStr">
        <is>
          <t>208개 반도체 reference universe. Valuation Agent가 자체 intake 폴더로 복제해 Peer/ML/대시보드 비교에 사용.</t>
        </is>
      </c>
    </row>
    <row r="167" ht="24" customHeight="1">
      <c r="A167" s="24" t="inlineStr">
        <is>
          <t>116</t>
        </is>
      </c>
      <c r="B167" s="24" t="inlineStr">
        <is>
          <t>해당 없음</t>
        </is>
      </c>
      <c r="C167" s="24" t="inlineStr">
        <is>
          <t>테스</t>
        </is>
      </c>
      <c r="D167" s="24" t="inlineStr">
        <is>
          <t>095610</t>
        </is>
      </c>
      <c r="E167" s="24" t="inlineStr">
        <is>
          <t>KOSDAQ</t>
        </is>
      </c>
      <c r="F167" s="24" t="inlineStr">
        <is>
          <t>장비</t>
        </is>
      </c>
      <c r="G167" s="24" t="inlineStr">
        <is>
          <t>장비</t>
        </is>
      </c>
      <c r="H167" s="24" t="inlineStr">
        <is>
          <t>False</t>
        </is>
      </c>
      <c r="I167" s="24" t="inlineStr">
        <is>
          <t>True</t>
        </is>
      </c>
      <c r="J167" s="24" t="inlineStr">
        <is>
          <t>OK</t>
        </is>
      </c>
      <c r="K167" s="24" t="inlineStr">
        <is>
          <t>데이터 사용 가능</t>
        </is>
      </c>
      <c r="L167" s="24" t="inlineStr">
        <is>
          <t>LOW</t>
        </is>
      </c>
      <c r="M167" s="24" t="inlineStr">
        <is>
          <t>LOW</t>
        </is>
      </c>
      <c r="N167" s="24" t="inlineStr">
        <is>
          <t>0.5640000000000001</t>
        </is>
      </c>
      <c r="O167" s="24" t="inlineStr">
        <is>
          <t>FAIR</t>
        </is>
      </c>
      <c r="P167" s="24" t="inlineStr">
        <is>
          <t>FAIR</t>
        </is>
      </c>
      <c r="Q167" s="24" t="inlineStr">
        <is>
          <t>FAIR</t>
        </is>
      </c>
      <c r="R167" s="24" t="inlineStr">
        <is>
          <t>0.5083695341145091</t>
        </is>
      </c>
      <c r="S167" s="24" t="inlineStr">
        <is>
          <t>MEDIUM</t>
        </is>
      </c>
      <c r="T167" s="24" t="inlineStr">
        <is>
          <t>MEDIUM</t>
        </is>
      </c>
      <c r="U167" s="24" t="inlineStr">
        <is>
          <t>0.1428571428571428</t>
        </is>
      </c>
      <c r="V167" s="24" t="inlineStr">
        <is>
          <t>LOW_RISK</t>
        </is>
      </c>
      <c r="W167" s="24" t="inlineStr">
        <is>
          <t>저위험</t>
        </is>
      </c>
      <c r="X167" s="24" t="inlineStr">
        <is>
          <t>LOW_RISK</t>
        </is>
      </c>
      <c r="Y167" s="24" t="inlineStr">
        <is>
          <t>0.8915902677510841</t>
        </is>
      </c>
      <c r="Z167" s="24" t="inlineStr">
        <is>
          <t>HIGH</t>
        </is>
      </c>
      <c r="AA167" s="24" t="inlineStr">
        <is>
          <t>HIGH</t>
        </is>
      </c>
      <c r="AB167" s="24" t="inlineStr">
        <is>
          <t>0.04910195891941634</t>
        </is>
      </c>
      <c r="AC167" s="24" t="inlineStr">
        <is>
          <t>False</t>
        </is>
      </c>
      <c r="AD167" s="24" t="inlineStr">
        <is>
          <t>False</t>
        </is>
      </c>
      <c r="AE167" s="24" t="inlineStr">
        <is>
          <t>valuation_credit_ml_overlay_candidate.csv</t>
        </is>
      </c>
      <c r="AF167" s="24" t="inlineStr">
        <is>
          <t>208개 반도체 reference universe. Valuation Agent가 자체 intake 폴더로 복제해 Peer/ML/대시보드 비교에 사용.</t>
        </is>
      </c>
    </row>
    <row r="168" ht="24" customHeight="1">
      <c r="A168" s="29" t="inlineStr">
        <is>
          <t>104</t>
        </is>
      </c>
      <c r="B168" s="29" t="inlineStr">
        <is>
          <t>해당 없음</t>
        </is>
      </c>
      <c r="C168" s="29" t="inlineStr">
        <is>
          <t>유니셈</t>
        </is>
      </c>
      <c r="D168" s="29" t="inlineStr">
        <is>
          <t>036200</t>
        </is>
      </c>
      <c r="E168" s="29" t="inlineStr">
        <is>
          <t>KOSDAQ</t>
        </is>
      </c>
      <c r="F168" s="29" t="inlineStr">
        <is>
          <t>장비</t>
        </is>
      </c>
      <c r="G168" s="29" t="inlineStr">
        <is>
          <t>장비</t>
        </is>
      </c>
      <c r="H168" s="29" t="inlineStr">
        <is>
          <t>False</t>
        </is>
      </c>
      <c r="I168" s="29" t="inlineStr">
        <is>
          <t>True</t>
        </is>
      </c>
      <c r="J168" s="29" t="inlineStr">
        <is>
          <t>OK</t>
        </is>
      </c>
      <c r="K168" s="29" t="inlineStr">
        <is>
          <t>데이터 사용 가능</t>
        </is>
      </c>
      <c r="L168" s="29" t="inlineStr">
        <is>
          <t>LOW</t>
        </is>
      </c>
      <c r="M168" s="29" t="inlineStr">
        <is>
          <t>LOW</t>
        </is>
      </c>
      <c r="N168" s="29" t="inlineStr">
        <is>
          <t>0.5409333333333334</t>
        </is>
      </c>
      <c r="O168" s="29" t="inlineStr">
        <is>
          <t>FAIR</t>
        </is>
      </c>
      <c r="P168" s="29" t="inlineStr">
        <is>
          <t>FAIR</t>
        </is>
      </c>
      <c r="Q168" s="29" t="inlineStr">
        <is>
          <t>FAIR</t>
        </is>
      </c>
      <c r="R168" s="29" t="inlineStr">
        <is>
          <t>0.751305499027411</t>
        </is>
      </c>
      <c r="S168" s="29" t="inlineStr">
        <is>
          <t>HIGH</t>
        </is>
      </c>
      <c r="T168" s="29" t="inlineStr">
        <is>
          <t>HIGH</t>
        </is>
      </c>
      <c r="U168" s="29" t="inlineStr">
        <is>
          <t>0.2142857142857142</t>
        </is>
      </c>
      <c r="V168" s="29" t="inlineStr">
        <is>
          <t>MEDIUM_RISK</t>
        </is>
      </c>
      <c r="W168" s="29" t="inlineStr">
        <is>
          <t>중위험</t>
        </is>
      </c>
      <c r="X168" s="29" t="inlineStr">
        <is>
          <t>MEDIUM_RISK</t>
        </is>
      </c>
      <c r="Y168" s="29" t="inlineStr">
        <is>
          <t>0.7587275691055257</t>
        </is>
      </c>
      <c r="Z168" s="29" t="inlineStr">
        <is>
          <t>HIGH</t>
        </is>
      </c>
      <c r="AA168" s="29" t="inlineStr">
        <is>
          <t>HIGH</t>
        </is>
      </c>
      <c r="AB168" s="29" t="inlineStr">
        <is>
          <t>0.05351211711100475</t>
        </is>
      </c>
      <c r="AC168" s="29" t="inlineStr">
        <is>
          <t>False</t>
        </is>
      </c>
      <c r="AD168" s="29" t="inlineStr">
        <is>
          <t>False</t>
        </is>
      </c>
      <c r="AE168" s="29" t="inlineStr">
        <is>
          <t>valuation_credit_ml_overlay_candidate.csv</t>
        </is>
      </c>
      <c r="AF168" s="29" t="inlineStr">
        <is>
          <t>208개 반도체 reference universe. Valuation Agent가 자체 intake 폴더로 복제해 Peer/ML/대시보드 비교에 사용.</t>
        </is>
      </c>
    </row>
    <row r="169" ht="24" customHeight="1">
      <c r="A169" s="24" t="inlineStr">
        <is>
          <t>121</t>
        </is>
      </c>
      <c r="B169" s="24" t="inlineStr">
        <is>
          <t>해당 없음</t>
        </is>
      </c>
      <c r="C169" s="24" t="inlineStr">
        <is>
          <t>피에스케이홀딩스</t>
        </is>
      </c>
      <c r="D169" s="24" t="inlineStr">
        <is>
          <t>031980</t>
        </is>
      </c>
      <c r="E169" s="24" t="inlineStr">
        <is>
          <t>KOSDAQ</t>
        </is>
      </c>
      <c r="F169" s="24" t="inlineStr">
        <is>
          <t>장비</t>
        </is>
      </c>
      <c r="G169" s="24" t="inlineStr">
        <is>
          <t>장비</t>
        </is>
      </c>
      <c r="H169" s="24" t="inlineStr">
        <is>
          <t>False</t>
        </is>
      </c>
      <c r="I169" s="24" t="inlineStr">
        <is>
          <t>True</t>
        </is>
      </c>
      <c r="J169" s="24" t="inlineStr">
        <is>
          <t>OK</t>
        </is>
      </c>
      <c r="K169" s="24" t="inlineStr">
        <is>
          <t>데이터 사용 가능</t>
        </is>
      </c>
      <c r="L169" s="24" t="inlineStr">
        <is>
          <t>LOW</t>
        </is>
      </c>
      <c r="M169" s="24" t="inlineStr">
        <is>
          <t>LOW</t>
        </is>
      </c>
      <c r="N169" s="24" t="inlineStr">
        <is>
          <t>0.5385333333333334</t>
        </is>
      </c>
      <c r="O169" s="24" t="inlineStr">
        <is>
          <t>FAIR</t>
        </is>
      </c>
      <c r="P169" s="24" t="inlineStr">
        <is>
          <t>FAIR</t>
        </is>
      </c>
      <c r="Q169" s="24" t="inlineStr">
        <is>
          <t>FAIR</t>
        </is>
      </c>
      <c r="R169" s="24" t="inlineStr">
        <is>
          <t>0.7521125976897308</t>
        </is>
      </c>
      <c r="S169" s="24" t="inlineStr">
        <is>
          <t>HIGH</t>
        </is>
      </c>
      <c r="T169" s="24" t="inlineStr">
        <is>
          <t>HIGH</t>
        </is>
      </c>
      <c r="U169" s="24" t="inlineStr">
        <is>
          <t>0.0</t>
        </is>
      </c>
      <c r="V169" s="24" t="inlineStr">
        <is>
          <t>LOW_RISK</t>
        </is>
      </c>
      <c r="W169" s="24" t="inlineStr">
        <is>
          <t>저위험</t>
        </is>
      </c>
      <c r="X169" s="24" t="inlineStr">
        <is>
          <t>LOW_RISK</t>
        </is>
      </c>
      <c r="Y169" s="24" t="inlineStr">
        <is>
          <t>0.936112522374784</t>
        </is>
      </c>
      <c r="Z169" s="24" t="inlineStr">
        <is>
          <t>HIGH</t>
        </is>
      </c>
      <c r="AA169" s="24" t="inlineStr">
        <is>
          <t>HIGH</t>
        </is>
      </c>
      <c r="AB169" s="24" t="inlineStr">
        <is>
          <t>0.21000654030466528</t>
        </is>
      </c>
      <c r="AC169" s="24" t="inlineStr">
        <is>
          <t>False</t>
        </is>
      </c>
      <c r="AD169" s="24" t="inlineStr">
        <is>
          <t>False</t>
        </is>
      </c>
      <c r="AE169" s="24" t="inlineStr">
        <is>
          <t>valuation_credit_ml_overlay_candidate.csv</t>
        </is>
      </c>
      <c r="AF169" s="24" t="inlineStr">
        <is>
          <t>208개 반도체 reference universe. Valuation Agent가 자체 intake 폴더로 복제해 Peer/ML/대시보드 비교에 사용.</t>
        </is>
      </c>
    </row>
    <row r="170" ht="24" customHeight="1">
      <c r="A170" s="29" t="inlineStr">
        <is>
          <t>102</t>
        </is>
      </c>
      <c r="B170" s="29" t="inlineStr">
        <is>
          <t>해당 없음</t>
        </is>
      </c>
      <c r="C170" s="29" t="inlineStr">
        <is>
          <t>워트</t>
        </is>
      </c>
      <c r="D170" s="29" t="inlineStr">
        <is>
          <t>396470</t>
        </is>
      </c>
      <c r="E170" s="29" t="inlineStr">
        <is>
          <t>KOSDAQ</t>
        </is>
      </c>
      <c r="F170" s="29" t="inlineStr">
        <is>
          <t>장비</t>
        </is>
      </c>
      <c r="G170" s="29" t="inlineStr">
        <is>
          <t>장비</t>
        </is>
      </c>
      <c r="H170" s="29" t="inlineStr">
        <is>
          <t>False</t>
        </is>
      </c>
      <c r="I170" s="29" t="inlineStr">
        <is>
          <t>True</t>
        </is>
      </c>
      <c r="J170" s="29" t="inlineStr">
        <is>
          <t>OK_LIMITED_HISTORY_OR_GROWTH_NA</t>
        </is>
      </c>
      <c r="K170" s="29" t="inlineStr">
        <is>
          <t>데이터 사용 가능</t>
        </is>
      </c>
      <c r="L170" s="29" t="inlineStr">
        <is>
          <t>LOW</t>
        </is>
      </c>
      <c r="M170" s="29" t="inlineStr">
        <is>
          <t>LOW</t>
        </is>
      </c>
      <c r="N170" s="29" t="inlineStr">
        <is>
          <t>0.5384000000000001</t>
        </is>
      </c>
      <c r="O170" s="29" t="inlineStr">
        <is>
          <t>FAIR</t>
        </is>
      </c>
      <c r="P170" s="29" t="inlineStr">
        <is>
          <t>FAIR</t>
        </is>
      </c>
      <c r="Q170" s="29" t="inlineStr">
        <is>
          <t>FAIR</t>
        </is>
      </c>
      <c r="R170" s="29" t="inlineStr">
        <is>
          <t>0.6073344328439819</t>
        </is>
      </c>
      <c r="S170" s="29" t="inlineStr">
        <is>
          <t>MEDIUM</t>
        </is>
      </c>
      <c r="T170" s="29" t="inlineStr">
        <is>
          <t>MEDIUM</t>
        </is>
      </c>
      <c r="U170" s="29" t="inlineStr">
        <is>
          <t>0.0714285714285714</t>
        </is>
      </c>
      <c r="V170" s="29" t="inlineStr">
        <is>
          <t>LOW_RISK</t>
        </is>
      </c>
      <c r="W170" s="29" t="inlineStr">
        <is>
          <t>저위험</t>
        </is>
      </c>
      <c r="X170" s="29" t="inlineStr">
        <is>
          <t>LOW_RISK</t>
        </is>
      </c>
      <c r="Y170" s="29" t="inlineStr">
        <is>
          <t>0.8767524187887936</t>
        </is>
      </c>
      <c r="Z170" s="29" t="inlineStr">
        <is>
          <t>HIGH</t>
        </is>
      </c>
      <c r="AA170" s="29" t="inlineStr">
        <is>
          <t>HIGH</t>
        </is>
      </c>
      <c r="AB170" s="29" t="inlineStr">
        <is>
          <t>0.4537372664198796</t>
        </is>
      </c>
      <c r="AC170" s="29" t="inlineStr">
        <is>
          <t>True</t>
        </is>
      </c>
      <c r="AD170" s="29" t="inlineStr">
        <is>
          <t>True</t>
        </is>
      </c>
      <c r="AE170" s="29" t="inlineStr">
        <is>
          <t>valuation_credit_ml_overlay_candidate.csv</t>
        </is>
      </c>
      <c r="AF170" s="29" t="inlineStr">
        <is>
          <t>208개 반도체 reference universe. Valuation Agent가 자체 intake 폴더로 복제해 Peer/ML/대시보드 비교에 사용.</t>
        </is>
      </c>
    </row>
    <row r="171" ht="24" customHeight="1">
      <c r="A171" s="24" t="inlineStr">
        <is>
          <t>120</t>
        </is>
      </c>
      <c r="B171" s="24" t="inlineStr">
        <is>
          <t>해당 없음</t>
        </is>
      </c>
      <c r="C171" s="24" t="inlineStr">
        <is>
          <t>피에스케이</t>
        </is>
      </c>
      <c r="D171" s="24" t="inlineStr">
        <is>
          <t>319660</t>
        </is>
      </c>
      <c r="E171" s="24" t="inlineStr">
        <is>
          <t>KOSDAQ GLOBAL</t>
        </is>
      </c>
      <c r="F171" s="24" t="inlineStr">
        <is>
          <t>장비</t>
        </is>
      </c>
      <c r="G171" s="24" t="inlineStr">
        <is>
          <t>장비</t>
        </is>
      </c>
      <c r="H171" s="24" t="inlineStr">
        <is>
          <t>False</t>
        </is>
      </c>
      <c r="I171" s="24" t="inlineStr">
        <is>
          <t>True</t>
        </is>
      </c>
      <c r="J171" s="24" t="inlineStr">
        <is>
          <t>OK</t>
        </is>
      </c>
      <c r="K171" s="24" t="inlineStr">
        <is>
          <t>데이터 사용 가능</t>
        </is>
      </c>
      <c r="L171" s="24" t="inlineStr">
        <is>
          <t>LOW</t>
        </is>
      </c>
      <c r="M171" s="24" t="inlineStr">
        <is>
          <t>LOW</t>
        </is>
      </c>
      <c r="N171" s="24" t="inlineStr">
        <is>
          <t>0.5357333333333333</t>
        </is>
      </c>
      <c r="O171" s="24" t="inlineStr">
        <is>
          <t>FAIR</t>
        </is>
      </c>
      <c r="P171" s="24" t="inlineStr">
        <is>
          <t>FAIR</t>
        </is>
      </c>
      <c r="Q171" s="24" t="inlineStr">
        <is>
          <t>FAIR</t>
        </is>
      </c>
      <c r="R171" s="24" t="inlineStr">
        <is>
          <t>0.7072072873445469</t>
        </is>
      </c>
      <c r="S171" s="24" t="inlineStr">
        <is>
          <t>HIGH</t>
        </is>
      </c>
      <c r="T171" s="24" t="inlineStr">
        <is>
          <t>HIGH</t>
        </is>
      </c>
      <c r="U171" s="24" t="inlineStr">
        <is>
          <t>0.0</t>
        </is>
      </c>
      <c r="V171" s="24" t="inlineStr">
        <is>
          <t>LOW_RISK</t>
        </is>
      </c>
      <c r="W171" s="24" t="inlineStr">
        <is>
          <t>저위험</t>
        </is>
      </c>
      <c r="X171" s="24" t="inlineStr">
        <is>
          <t>LOW_RISK</t>
        </is>
      </c>
      <c r="Y171" s="24" t="inlineStr">
        <is>
          <t>0.9811059783961981</t>
        </is>
      </c>
      <c r="Z171" s="24" t="inlineStr">
        <is>
          <t>HIGH</t>
        </is>
      </c>
      <c r="AA171" s="24" t="inlineStr">
        <is>
          <t>HIGH</t>
        </is>
      </c>
      <c r="AB171" s="24" t="inlineStr">
        <is>
          <t>0.06486271422414225</t>
        </is>
      </c>
      <c r="AC171" s="24" t="inlineStr">
        <is>
          <t>False</t>
        </is>
      </c>
      <c r="AD171" s="24" t="inlineStr">
        <is>
          <t>False</t>
        </is>
      </c>
      <c r="AE171" s="24" t="inlineStr">
        <is>
          <t>valuation_credit_ml_overlay_candidate.csv</t>
        </is>
      </c>
      <c r="AF171" s="24" t="inlineStr">
        <is>
          <t>208개 반도체 reference universe. Valuation Agent가 자체 intake 폴더로 복제해 Peer/ML/대시보드 비교에 사용.</t>
        </is>
      </c>
    </row>
    <row r="172" ht="24" customHeight="1">
      <c r="A172" s="29" t="inlineStr">
        <is>
          <t>87</t>
        </is>
      </c>
      <c r="B172" s="29" t="inlineStr">
        <is>
          <t>해당 없음</t>
        </is>
      </c>
      <c r="C172" s="29" t="inlineStr">
        <is>
          <t>브이엠</t>
        </is>
      </c>
      <c r="D172" s="29" t="inlineStr">
        <is>
          <t>089970</t>
        </is>
      </c>
      <c r="E172" s="29" t="inlineStr">
        <is>
          <t>KOSDAQ</t>
        </is>
      </c>
      <c r="F172" s="29" t="inlineStr">
        <is>
          <t>장비</t>
        </is>
      </c>
      <c r="G172" s="29" t="inlineStr">
        <is>
          <t>장비</t>
        </is>
      </c>
      <c r="H172" s="29" t="inlineStr">
        <is>
          <t>False</t>
        </is>
      </c>
      <c r="I172" s="29" t="inlineStr">
        <is>
          <t>True</t>
        </is>
      </c>
      <c r="J172" s="29" t="inlineStr">
        <is>
          <t>OK</t>
        </is>
      </c>
      <c r="K172" s="29" t="inlineStr">
        <is>
          <t>데이터 사용 가능</t>
        </is>
      </c>
      <c r="L172" s="29" t="inlineStr">
        <is>
          <t>LOW</t>
        </is>
      </c>
      <c r="M172" s="29" t="inlineStr">
        <is>
          <t>LOW</t>
        </is>
      </c>
      <c r="N172" s="29" t="inlineStr">
        <is>
          <t>0.5204000000000001</t>
        </is>
      </c>
      <c r="O172" s="29" t="inlineStr">
        <is>
          <t>FAIR</t>
        </is>
      </c>
      <c r="P172" s="29" t="inlineStr">
        <is>
          <t>FAIR</t>
        </is>
      </c>
      <c r="Q172" s="29" t="inlineStr">
        <is>
          <t>FAIR</t>
        </is>
      </c>
      <c r="R172" s="29" t="inlineStr">
        <is>
          <t>0.737579554357605</t>
        </is>
      </c>
      <c r="S172" s="29" t="inlineStr">
        <is>
          <t>HIGH</t>
        </is>
      </c>
      <c r="T172" s="29" t="inlineStr">
        <is>
          <t>HIGH</t>
        </is>
      </c>
      <c r="U172" s="29" t="inlineStr">
        <is>
          <t>0.0</t>
        </is>
      </c>
      <c r="V172" s="29" t="inlineStr">
        <is>
          <t>LOW_RISK</t>
        </is>
      </c>
      <c r="W172" s="29" t="inlineStr">
        <is>
          <t>저위험</t>
        </is>
      </c>
      <c r="X172" s="29" t="inlineStr">
        <is>
          <t>LOW_RISK</t>
        </is>
      </c>
      <c r="Y172" s="29" t="inlineStr">
        <is>
          <t>0.9262131686985617</t>
        </is>
      </c>
      <c r="Z172" s="29" t="inlineStr">
        <is>
          <t>HIGH</t>
        </is>
      </c>
      <c r="AA172" s="29" t="inlineStr">
        <is>
          <t>HIGH</t>
        </is>
      </c>
      <c r="AB172" s="29" t="inlineStr">
        <is>
          <t>0.095895233286532</t>
        </is>
      </c>
      <c r="AC172" s="29" t="inlineStr">
        <is>
          <t>False</t>
        </is>
      </c>
      <c r="AD172" s="29" t="inlineStr">
        <is>
          <t>False</t>
        </is>
      </c>
      <c r="AE172" s="29" t="inlineStr">
        <is>
          <t>valuation_credit_ml_overlay_candidate.csv</t>
        </is>
      </c>
      <c r="AF172" s="29" t="inlineStr">
        <is>
          <t>208개 반도체 reference universe. Valuation Agent가 자체 intake 폴더로 복제해 Peer/ML/대시보드 비교에 사용.</t>
        </is>
      </c>
    </row>
    <row r="173" ht="24" customHeight="1">
      <c r="A173" s="24" t="inlineStr">
        <is>
          <t>114</t>
        </is>
      </c>
      <c r="B173" s="24" t="inlineStr">
        <is>
          <t>해당 없음</t>
        </is>
      </c>
      <c r="C173" s="24" t="inlineStr">
        <is>
          <t>코세스</t>
        </is>
      </c>
      <c r="D173" s="24" t="inlineStr">
        <is>
          <t>089890</t>
        </is>
      </c>
      <c r="E173" s="24" t="inlineStr">
        <is>
          <t>KOSDAQ</t>
        </is>
      </c>
      <c r="F173" s="24" t="inlineStr">
        <is>
          <t>장비</t>
        </is>
      </c>
      <c r="G173" s="24" t="inlineStr">
        <is>
          <t>장비</t>
        </is>
      </c>
      <c r="H173" s="24" t="inlineStr">
        <is>
          <t>False</t>
        </is>
      </c>
      <c r="I173" s="24" t="inlineStr">
        <is>
          <t>True</t>
        </is>
      </c>
      <c r="J173" s="24" t="inlineStr">
        <is>
          <t>OK</t>
        </is>
      </c>
      <c r="K173" s="24" t="inlineStr">
        <is>
          <t>데이터 사용 가능</t>
        </is>
      </c>
      <c r="L173" s="24" t="inlineStr">
        <is>
          <t>LOW</t>
        </is>
      </c>
      <c r="M173" s="24" t="inlineStr">
        <is>
          <t>LOW</t>
        </is>
      </c>
      <c r="N173" s="24" t="inlineStr">
        <is>
          <t>0.4978666666666667</t>
        </is>
      </c>
      <c r="O173" s="24" t="inlineStr">
        <is>
          <t>FAIR</t>
        </is>
      </c>
      <c r="P173" s="24" t="inlineStr">
        <is>
          <t>FAIR</t>
        </is>
      </c>
      <c r="Q173" s="24" t="inlineStr">
        <is>
          <t>FAIR</t>
        </is>
      </c>
      <c r="R173" s="24" t="inlineStr">
        <is>
          <t>0.7228094449358575</t>
        </is>
      </c>
      <c r="S173" s="24" t="inlineStr">
        <is>
          <t>HIGH</t>
        </is>
      </c>
      <c r="T173" s="24" t="inlineStr">
        <is>
          <t>HIGH</t>
        </is>
      </c>
      <c r="U173" s="24" t="inlineStr">
        <is>
          <t>0.0714285714285714</t>
        </is>
      </c>
      <c r="V173" s="24" t="inlineStr">
        <is>
          <t>LOW_RISK</t>
        </is>
      </c>
      <c r="W173" s="24" t="inlineStr">
        <is>
          <t>저위험</t>
        </is>
      </c>
      <c r="X173" s="24" t="inlineStr">
        <is>
          <t>LOW_RISK</t>
        </is>
      </c>
      <c r="Y173" s="24" t="inlineStr">
        <is>
          <t>0.7776657060311913</t>
        </is>
      </c>
      <c r="Z173" s="24" t="inlineStr">
        <is>
          <t>HIGH</t>
        </is>
      </c>
      <c r="AA173" s="24" t="inlineStr">
        <is>
          <t>HIGH</t>
        </is>
      </c>
      <c r="AB173" s="24" t="inlineStr">
        <is>
          <t>0.08712413247882898</t>
        </is>
      </c>
      <c r="AC173" s="24" t="inlineStr">
        <is>
          <t>False</t>
        </is>
      </c>
      <c r="AD173" s="24" t="inlineStr">
        <is>
          <t>False</t>
        </is>
      </c>
      <c r="AE173" s="24" t="inlineStr">
        <is>
          <t>valuation_credit_ml_overlay_candidate.csv</t>
        </is>
      </c>
      <c r="AF173" s="24" t="inlineStr">
        <is>
          <t>208개 반도체 reference universe. Valuation Agent가 자체 intake 폴더로 복제해 Peer/ML/대시보드 비교에 사용.</t>
        </is>
      </c>
    </row>
    <row r="174" ht="24" customHeight="1">
      <c r="A174" s="29" t="inlineStr">
        <is>
          <t>115</t>
        </is>
      </c>
      <c r="B174" s="29" t="inlineStr">
        <is>
          <t>해당 없음</t>
        </is>
      </c>
      <c r="C174" s="29" t="inlineStr">
        <is>
          <t>코스텍시스템</t>
        </is>
      </c>
      <c r="D174" s="29" t="inlineStr">
        <is>
          <t>169670</t>
        </is>
      </c>
      <c r="E174" s="29" t="inlineStr">
        <is>
          <t>KONEX</t>
        </is>
      </c>
      <c r="F174" s="29" t="inlineStr">
        <is>
          <t>장비</t>
        </is>
      </c>
      <c r="G174" s="29" t="inlineStr">
        <is>
          <t>장비</t>
        </is>
      </c>
      <c r="H174" s="29" t="inlineStr">
        <is>
          <t>False</t>
        </is>
      </c>
      <c r="I174" s="29" t="inlineStr">
        <is>
          <t>True</t>
        </is>
      </c>
      <c r="J174" s="29" t="inlineStr">
        <is>
          <t>NO_DART_FINANCIAL_DATA</t>
        </is>
      </c>
      <c r="K174" s="29" t="inlineStr">
        <is>
          <t>데이터 사용 가능</t>
        </is>
      </c>
      <c r="L174" s="29" t="inlineStr">
        <is>
          <t>HIGH</t>
        </is>
      </c>
      <c r="M174" s="29" t="inlineStr">
        <is>
          <t>HIGH</t>
        </is>
      </c>
      <c r="N174" s="29" t="inlineStr">
        <is>
          <t>0.4959999999999999</t>
        </is>
      </c>
      <c r="O174" s="29" t="inlineStr">
        <is>
          <t>FAIR</t>
        </is>
      </c>
      <c r="P174" s="29" t="inlineStr">
        <is>
          <t>FAIR</t>
        </is>
      </c>
      <c r="Q174" s="29" t="inlineStr">
        <is>
          <t>FAIR</t>
        </is>
      </c>
      <c r="R174" s="29" t="inlineStr">
        <is>
          <t>0.9640840061970892</t>
        </is>
      </c>
      <c r="S174" s="29" t="inlineStr">
        <is>
          <t>HIGH</t>
        </is>
      </c>
      <c r="T174" s="29" t="inlineStr">
        <is>
          <t>HIGH</t>
        </is>
      </c>
      <c r="U174" s="29" t="inlineStr">
        <is>
          <t>0.2142857142857142</t>
        </is>
      </c>
      <c r="V174" s="29" t="inlineStr">
        <is>
          <t>MEDIUM_RISK</t>
        </is>
      </c>
      <c r="W174" s="29" t="inlineStr">
        <is>
          <t>중위험</t>
        </is>
      </c>
      <c r="X174" s="29" t="inlineStr">
        <is>
          <t>MEDIUM_RISK</t>
        </is>
      </c>
      <c r="Y174" s="29" t="inlineStr">
        <is>
          <t>0.7627943410657042</t>
        </is>
      </c>
      <c r="Z174" s="29" t="inlineStr">
        <is>
          <t>HIGH</t>
        </is>
      </c>
      <c r="AA174" s="29" t="inlineStr">
        <is>
          <t>HIGH</t>
        </is>
      </c>
      <c r="AB174" s="29" t="inlineStr">
        <is>
          <t>0.1642174593956627</t>
        </is>
      </c>
      <c r="AC174" s="29" t="inlineStr">
        <is>
          <t>False</t>
        </is>
      </c>
      <c r="AD174" s="29" t="inlineStr">
        <is>
          <t>True</t>
        </is>
      </c>
      <c r="AE174" s="29" t="inlineStr">
        <is>
          <t>valuation_credit_ml_overlay_candidate.csv</t>
        </is>
      </c>
      <c r="AF174" s="29" t="inlineStr">
        <is>
          <t>208개 반도체 reference universe. Valuation Agent가 자체 intake 폴더로 복제해 Peer/ML/대시보드 비교에 사용.</t>
        </is>
      </c>
    </row>
    <row r="175" ht="24" customHeight="1">
      <c r="A175" s="24" t="inlineStr">
        <is>
          <t>75</t>
        </is>
      </c>
      <c r="B175" s="24" t="inlineStr">
        <is>
          <t>해당 없음</t>
        </is>
      </c>
      <c r="C175" s="24" t="inlineStr">
        <is>
          <t>HPSP</t>
        </is>
      </c>
      <c r="D175" s="24" t="inlineStr">
        <is>
          <t>403870</t>
        </is>
      </c>
      <c r="E175" s="24" t="inlineStr">
        <is>
          <t>KOSDAQ GLOBAL</t>
        </is>
      </c>
      <c r="F175" s="24" t="inlineStr">
        <is>
          <t>장비</t>
        </is>
      </c>
      <c r="G175" s="24" t="inlineStr">
        <is>
          <t>장비</t>
        </is>
      </c>
      <c r="H175" s="24" t="inlineStr">
        <is>
          <t>False</t>
        </is>
      </c>
      <c r="I175" s="24" t="inlineStr">
        <is>
          <t>True</t>
        </is>
      </c>
      <c r="J175" s="24" t="inlineStr">
        <is>
          <t>OK</t>
        </is>
      </c>
      <c r="K175" s="24" t="inlineStr">
        <is>
          <t>데이터 사용 가능</t>
        </is>
      </c>
      <c r="L175" s="24" t="inlineStr">
        <is>
          <t>LOW</t>
        </is>
      </c>
      <c r="M175" s="24" t="inlineStr">
        <is>
          <t>LOW</t>
        </is>
      </c>
      <c r="N175" s="24" t="inlineStr">
        <is>
          <t>0.4751999999999999</t>
        </is>
      </c>
      <c r="O175" s="24" t="inlineStr">
        <is>
          <t>FAIR</t>
        </is>
      </c>
      <c r="P175" s="24" t="inlineStr">
        <is>
          <t>FAIR</t>
        </is>
      </c>
      <c r="Q175" s="24" t="inlineStr">
        <is>
          <t>FAIR</t>
        </is>
      </c>
      <c r="R175" s="24" t="inlineStr">
        <is>
          <t>0.7108284021978194</t>
        </is>
      </c>
      <c r="S175" s="24" t="inlineStr">
        <is>
          <t>HIGH</t>
        </is>
      </c>
      <c r="T175" s="24" t="inlineStr">
        <is>
          <t>HIGH</t>
        </is>
      </c>
      <c r="U175" s="24" t="inlineStr">
        <is>
          <t>0.0</t>
        </is>
      </c>
      <c r="V175" s="24" t="inlineStr">
        <is>
          <t>LOW_RISK</t>
        </is>
      </c>
      <c r="W175" s="24" t="inlineStr">
        <is>
          <t>저위험</t>
        </is>
      </c>
      <c r="X175" s="24" t="inlineStr">
        <is>
          <t>LOW_RISK</t>
        </is>
      </c>
      <c r="Y175" s="24" t="inlineStr">
        <is>
          <t>0.9192147630692069</t>
        </is>
      </c>
      <c r="Z175" s="24" t="inlineStr">
        <is>
          <t>HIGH</t>
        </is>
      </c>
      <c r="AA175" s="24" t="inlineStr">
        <is>
          <t>HIGH</t>
        </is>
      </c>
      <c r="AB175" s="24" t="inlineStr">
        <is>
          <t>0.3306557234104388</t>
        </is>
      </c>
      <c r="AC175" s="24" t="inlineStr">
        <is>
          <t>True</t>
        </is>
      </c>
      <c r="AD175" s="24" t="inlineStr">
        <is>
          <t>True</t>
        </is>
      </c>
      <c r="AE175" s="24" t="inlineStr">
        <is>
          <t>valuation_credit_ml_overlay_candidate.csv</t>
        </is>
      </c>
      <c r="AF175" s="24" t="inlineStr">
        <is>
          <t>208개 반도체 reference universe. Valuation Agent가 자체 intake 폴더로 복제해 Peer/ML/대시보드 비교에 사용.</t>
        </is>
      </c>
    </row>
    <row r="176" ht="24" customHeight="1">
      <c r="A176" s="29" t="inlineStr">
        <is>
          <t>103</t>
        </is>
      </c>
      <c r="B176" s="29" t="inlineStr">
        <is>
          <t>해당 없음</t>
        </is>
      </c>
      <c r="C176" s="29" t="inlineStr">
        <is>
          <t>원익IPS</t>
        </is>
      </c>
      <c r="D176" s="29" t="inlineStr">
        <is>
          <t>240810</t>
        </is>
      </c>
      <c r="E176" s="29" t="inlineStr">
        <is>
          <t>KOSDAQ GLOBAL</t>
        </is>
      </c>
      <c r="F176" s="29" t="inlineStr">
        <is>
          <t>장비</t>
        </is>
      </c>
      <c r="G176" s="29" t="inlineStr">
        <is>
          <t>장비</t>
        </is>
      </c>
      <c r="H176" s="29" t="inlineStr">
        <is>
          <t>False</t>
        </is>
      </c>
      <c r="I176" s="29" t="inlineStr">
        <is>
          <t>True</t>
        </is>
      </c>
      <c r="J176" s="29" t="inlineStr">
        <is>
          <t>OK</t>
        </is>
      </c>
      <c r="K176" s="29" t="inlineStr">
        <is>
          <t>데이터 사용 가능</t>
        </is>
      </c>
      <c r="L176" s="29" t="inlineStr">
        <is>
          <t>LOW</t>
        </is>
      </c>
      <c r="M176" s="29" t="inlineStr">
        <is>
          <t>LOW</t>
        </is>
      </c>
      <c r="N176" s="29" t="inlineStr">
        <is>
          <t>0.4634666666666667</t>
        </is>
      </c>
      <c r="O176" s="29" t="inlineStr">
        <is>
          <t>FAIR</t>
        </is>
      </c>
      <c r="P176" s="29" t="inlineStr">
        <is>
          <t>FAIR</t>
        </is>
      </c>
      <c r="Q176" s="29" t="inlineStr">
        <is>
          <t>FAIR</t>
        </is>
      </c>
      <c r="R176" s="29" t="inlineStr">
        <is>
          <t>0.5727476694226805</t>
        </is>
      </c>
      <c r="S176" s="29" t="inlineStr">
        <is>
          <t>MEDIUM</t>
        </is>
      </c>
      <c r="T176" s="29" t="inlineStr">
        <is>
          <t>MEDIUM</t>
        </is>
      </c>
      <c r="U176" s="29" t="inlineStr">
        <is>
          <t>0.0714285714285714</t>
        </is>
      </c>
      <c r="V176" s="29" t="inlineStr">
        <is>
          <t>LOW_RISK</t>
        </is>
      </c>
      <c r="W176" s="29" t="inlineStr">
        <is>
          <t>저위험</t>
        </is>
      </c>
      <c r="X176" s="29" t="inlineStr">
        <is>
          <t>LOW_RISK</t>
        </is>
      </c>
      <c r="Y176" s="29" t="inlineStr">
        <is>
          <t>0.9598478437041975</t>
        </is>
      </c>
      <c r="Z176" s="29" t="inlineStr">
        <is>
          <t>HIGH</t>
        </is>
      </c>
      <c r="AA176" s="29" t="inlineStr">
        <is>
          <t>HIGH</t>
        </is>
      </c>
      <c r="AB176" s="29" t="inlineStr">
        <is>
          <t>0.08568837626660758</t>
        </is>
      </c>
      <c r="AC176" s="29" t="inlineStr">
        <is>
          <t>False</t>
        </is>
      </c>
      <c r="AD176" s="29" t="inlineStr">
        <is>
          <t>False</t>
        </is>
      </c>
      <c r="AE176" s="29" t="inlineStr">
        <is>
          <t>valuation_credit_ml_overlay_candidate.csv</t>
        </is>
      </c>
      <c r="AF176" s="29" t="inlineStr">
        <is>
          <t>208개 반도체 reference universe. Valuation Agent가 자체 intake 폴더로 복제해 Peer/ML/대시보드 비교에 사용.</t>
        </is>
      </c>
    </row>
    <row r="177" ht="24" customHeight="1">
      <c r="A177" s="24" t="inlineStr">
        <is>
          <t>118</t>
        </is>
      </c>
      <c r="B177" s="24" t="inlineStr">
        <is>
          <t>해당 없음</t>
        </is>
      </c>
      <c r="C177" s="24" t="inlineStr">
        <is>
          <t>파크시스템스</t>
        </is>
      </c>
      <c r="D177" s="24" t="inlineStr">
        <is>
          <t>140860</t>
        </is>
      </c>
      <c r="E177" s="24" t="inlineStr">
        <is>
          <t>KOSDAQ GLOBAL</t>
        </is>
      </c>
      <c r="F177" s="24" t="inlineStr">
        <is>
          <t>장비</t>
        </is>
      </c>
      <c r="G177" s="24" t="inlineStr">
        <is>
          <t>장비</t>
        </is>
      </c>
      <c r="H177" s="24" t="inlineStr">
        <is>
          <t>False</t>
        </is>
      </c>
      <c r="I177" s="24" t="inlineStr">
        <is>
          <t>True</t>
        </is>
      </c>
      <c r="J177" s="24" t="inlineStr">
        <is>
          <t>OK</t>
        </is>
      </c>
      <c r="K177" s="24" t="inlineStr">
        <is>
          <t>데이터 사용 가능</t>
        </is>
      </c>
      <c r="L177" s="24" t="inlineStr">
        <is>
          <t>LOW</t>
        </is>
      </c>
      <c r="M177" s="24" t="inlineStr">
        <is>
          <t>LOW</t>
        </is>
      </c>
      <c r="N177" s="24" t="inlineStr">
        <is>
          <t>0.4611999999999999</t>
        </is>
      </c>
      <c r="O177" s="24" t="inlineStr">
        <is>
          <t>FAIR</t>
        </is>
      </c>
      <c r="P177" s="24" t="inlineStr">
        <is>
          <t>FAIR</t>
        </is>
      </c>
      <c r="Q177" s="24" t="inlineStr">
        <is>
          <t>FAIR</t>
        </is>
      </c>
      <c r="R177" s="24" t="inlineStr">
        <is>
          <t>0.7158734205313764</t>
        </is>
      </c>
      <c r="S177" s="24" t="inlineStr">
        <is>
          <t>HIGH</t>
        </is>
      </c>
      <c r="T177" s="24" t="inlineStr">
        <is>
          <t>HIGH</t>
        </is>
      </c>
      <c r="U177" s="24" t="inlineStr">
        <is>
          <t>0.0714285714285714</t>
        </is>
      </c>
      <c r="V177" s="24" t="inlineStr">
        <is>
          <t>LOW_RISK</t>
        </is>
      </c>
      <c r="W177" s="24" t="inlineStr">
        <is>
          <t>저위험</t>
        </is>
      </c>
      <c r="X177" s="24" t="inlineStr">
        <is>
          <t>LOW_RISK</t>
        </is>
      </c>
      <c r="Y177" s="24" t="inlineStr">
        <is>
          <t>0.8562648725642331</t>
        </is>
      </c>
      <c r="Z177" s="24" t="inlineStr">
        <is>
          <t>HIGH</t>
        </is>
      </c>
      <c r="AA177" s="24" t="inlineStr">
        <is>
          <t>HIGH</t>
        </is>
      </c>
      <c r="AB177" s="24" t="inlineStr">
        <is>
          <t>0.038412769981702295</t>
        </is>
      </c>
      <c r="AC177" s="24" t="inlineStr">
        <is>
          <t>False</t>
        </is>
      </c>
      <c r="AD177" s="24" t="inlineStr">
        <is>
          <t>False</t>
        </is>
      </c>
      <c r="AE177" s="24" t="inlineStr">
        <is>
          <t>valuation_credit_ml_overlay_candidate.csv</t>
        </is>
      </c>
      <c r="AF177" s="24" t="inlineStr">
        <is>
          <t>208개 반도체 reference universe. Valuation Agent가 자체 intake 폴더로 복제해 Peer/ML/대시보드 비교에 사용.</t>
        </is>
      </c>
    </row>
    <row r="178" ht="24" customHeight="1">
      <c r="A178" s="29" t="inlineStr">
        <is>
          <t>90</t>
        </is>
      </c>
      <c r="B178" s="29" t="inlineStr">
        <is>
          <t>해당 없음</t>
        </is>
      </c>
      <c r="C178" s="29" t="inlineStr">
        <is>
          <t>서플러스글로벌</t>
        </is>
      </c>
      <c r="D178" s="29" t="inlineStr">
        <is>
          <t>140070</t>
        </is>
      </c>
      <c r="E178" s="29" t="inlineStr">
        <is>
          <t>KOSDAQ</t>
        </is>
      </c>
      <c r="F178" s="29" t="inlineStr">
        <is>
          <t>장비</t>
        </is>
      </c>
      <c r="G178" s="29" t="inlineStr">
        <is>
          <t>장비</t>
        </is>
      </c>
      <c r="H178" s="29" t="inlineStr">
        <is>
          <t>False</t>
        </is>
      </c>
      <c r="I178" s="29" t="inlineStr">
        <is>
          <t>True</t>
        </is>
      </c>
      <c r="J178" s="29" t="inlineStr">
        <is>
          <t>OK</t>
        </is>
      </c>
      <c r="K178" s="29" t="inlineStr">
        <is>
          <t>데이터 사용 가능</t>
        </is>
      </c>
      <c r="L178" s="29" t="inlineStr">
        <is>
          <t>LOW</t>
        </is>
      </c>
      <c r="M178" s="29" t="inlineStr">
        <is>
          <t>LOW</t>
        </is>
      </c>
      <c r="N178" s="29" t="inlineStr">
        <is>
          <t>0.4594666666666667</t>
        </is>
      </c>
      <c r="O178" s="29" t="inlineStr">
        <is>
          <t>FAIR</t>
        </is>
      </c>
      <c r="P178" s="29" t="inlineStr">
        <is>
          <t>FAIR</t>
        </is>
      </c>
      <c r="Q178" s="29" t="inlineStr">
        <is>
          <t>FAIR</t>
        </is>
      </c>
      <c r="R178" s="29" t="inlineStr">
        <is>
          <t>0.6515364241286621</t>
        </is>
      </c>
      <c r="S178" s="29" t="inlineStr">
        <is>
          <t>MEDIUM</t>
        </is>
      </c>
      <c r="T178" s="29" t="inlineStr">
        <is>
          <t>MEDIUM</t>
        </is>
      </c>
      <c r="U178" s="29" t="inlineStr">
        <is>
          <t>0.7142857142857143</t>
        </is>
      </c>
      <c r="V178" s="29" t="inlineStr">
        <is>
          <t>HIGH_RISK</t>
        </is>
      </c>
      <c r="W178" s="29" t="inlineStr">
        <is>
          <t>고위험</t>
        </is>
      </c>
      <c r="X178" s="29" t="inlineStr">
        <is>
          <t>HIGH_RISK</t>
        </is>
      </c>
      <c r="Y178" s="29" t="inlineStr">
        <is>
          <t>0.9338637410254204</t>
        </is>
      </c>
      <c r="Z178" s="29" t="inlineStr">
        <is>
          <t>HIGH</t>
        </is>
      </c>
      <c r="AA178" s="29" t="inlineStr">
        <is>
          <t>HIGH</t>
        </is>
      </c>
      <c r="AB178" s="29" t="inlineStr">
        <is>
          <t>0.11246105889395507</t>
        </is>
      </c>
      <c r="AC178" s="29" t="inlineStr">
        <is>
          <t>False</t>
        </is>
      </c>
      <c r="AD178" s="29" t="inlineStr">
        <is>
          <t>False</t>
        </is>
      </c>
      <c r="AE178" s="29" t="inlineStr">
        <is>
          <t>valuation_credit_ml_overlay_candidate.csv</t>
        </is>
      </c>
      <c r="AF178" s="29" t="inlineStr">
        <is>
          <t>208개 반도체 reference universe. Valuation Agent가 자체 intake 폴더로 복제해 Peer/ML/대시보드 비교에 사용.</t>
        </is>
      </c>
    </row>
    <row r="179" ht="24" customHeight="1">
      <c r="A179" s="24" t="inlineStr">
        <is>
          <t>97</t>
        </is>
      </c>
      <c r="B179" s="24" t="inlineStr">
        <is>
          <t>해당 없음</t>
        </is>
      </c>
      <c r="C179" s="24" t="inlineStr">
        <is>
          <t>에스티아이</t>
        </is>
      </c>
      <c r="D179" s="24" t="inlineStr">
        <is>
          <t>039440</t>
        </is>
      </c>
      <c r="E179" s="24" t="inlineStr">
        <is>
          <t>KOSDAQ</t>
        </is>
      </c>
      <c r="F179" s="24" t="inlineStr">
        <is>
          <t>장비</t>
        </is>
      </c>
      <c r="G179" s="24" t="inlineStr">
        <is>
          <t>장비</t>
        </is>
      </c>
      <c r="H179" s="24" t="inlineStr">
        <is>
          <t>False</t>
        </is>
      </c>
      <c r="I179" s="24" t="inlineStr">
        <is>
          <t>True</t>
        </is>
      </c>
      <c r="J179" s="24" t="inlineStr">
        <is>
          <t>OK</t>
        </is>
      </c>
      <c r="K179" s="24" t="inlineStr">
        <is>
          <t>데이터 사용 가능</t>
        </is>
      </c>
      <c r="L179" s="24" t="inlineStr">
        <is>
          <t>LOW</t>
        </is>
      </c>
      <c r="M179" s="24" t="inlineStr">
        <is>
          <t>LOW</t>
        </is>
      </c>
      <c r="N179" s="24" t="inlineStr">
        <is>
          <t>0.4549999999999999</t>
        </is>
      </c>
      <c r="O179" s="24" t="inlineStr">
        <is>
          <t>FAIR</t>
        </is>
      </c>
      <c r="P179" s="24" t="inlineStr">
        <is>
          <t>FAIR</t>
        </is>
      </c>
      <c r="Q179" s="24" t="inlineStr">
        <is>
          <t>FAIR</t>
        </is>
      </c>
      <c r="R179" s="24" t="inlineStr">
        <is>
          <t>0.53270990340385</t>
        </is>
      </c>
      <c r="S179" s="24" t="inlineStr">
        <is>
          <t>MEDIUM</t>
        </is>
      </c>
      <c r="T179" s="24" t="inlineStr">
        <is>
          <t>MEDIUM</t>
        </is>
      </c>
      <c r="U179" s="24" t="inlineStr">
        <is>
          <t>0.0</t>
        </is>
      </c>
      <c r="V179" s="24" t="inlineStr">
        <is>
          <t>LOW_RISK</t>
        </is>
      </c>
      <c r="W179" s="24" t="inlineStr">
        <is>
          <t>저위험</t>
        </is>
      </c>
      <c r="X179" s="24" t="inlineStr">
        <is>
          <t>LOW_RISK</t>
        </is>
      </c>
      <c r="Y179" s="24" t="inlineStr">
        <is>
          <t>0.911990788525375</t>
        </is>
      </c>
      <c r="Z179" s="24" t="inlineStr">
        <is>
          <t>HIGH</t>
        </is>
      </c>
      <c r="AA179" s="24" t="inlineStr">
        <is>
          <t>HIGH</t>
        </is>
      </c>
      <c r="AB179" s="24" t="inlineStr">
        <is>
          <t>0.012946139293246964</t>
        </is>
      </c>
      <c r="AC179" s="24" t="inlineStr">
        <is>
          <t>False</t>
        </is>
      </c>
      <c r="AD179" s="24" t="inlineStr">
        <is>
          <t>False</t>
        </is>
      </c>
      <c r="AE179" s="24" t="inlineStr">
        <is>
          <t>valuation_credit_ml_overlay_candidate.csv</t>
        </is>
      </c>
      <c r="AF179" s="24" t="inlineStr">
        <is>
          <t>208개 반도체 reference universe. Valuation Agent가 자체 intake 폴더로 복제해 Peer/ML/대시보드 비교에 사용.</t>
        </is>
      </c>
    </row>
    <row r="180" ht="24" customHeight="1">
      <c r="A180" s="29" t="inlineStr">
        <is>
          <t>106</t>
        </is>
      </c>
      <c r="B180" s="29" t="inlineStr">
        <is>
          <t>해당 없음</t>
        </is>
      </c>
      <c r="C180" s="29" t="inlineStr">
        <is>
          <t>유진테크</t>
        </is>
      </c>
      <c r="D180" s="29" t="inlineStr">
        <is>
          <t>084370</t>
        </is>
      </c>
      <c r="E180" s="29" t="inlineStr">
        <is>
          <t>KOSDAQ</t>
        </is>
      </c>
      <c r="F180" s="29" t="inlineStr">
        <is>
          <t>장비</t>
        </is>
      </c>
      <c r="G180" s="29" t="inlineStr">
        <is>
          <t>장비</t>
        </is>
      </c>
      <c r="H180" s="29" t="inlineStr">
        <is>
          <t>False</t>
        </is>
      </c>
      <c r="I180" s="29" t="inlineStr">
        <is>
          <t>True</t>
        </is>
      </c>
      <c r="J180" s="29" t="inlineStr">
        <is>
          <t>OK</t>
        </is>
      </c>
      <c r="K180" s="29" t="inlineStr">
        <is>
          <t>데이터 사용 가능</t>
        </is>
      </c>
      <c r="L180" s="29" t="inlineStr">
        <is>
          <t>LOW</t>
        </is>
      </c>
      <c r="M180" s="29" t="inlineStr">
        <is>
          <t>LOW</t>
        </is>
      </c>
      <c r="N180" s="29" t="inlineStr">
        <is>
          <t>0.4335999999999999</t>
        </is>
      </c>
      <c r="O180" s="29" t="inlineStr">
        <is>
          <t>FAIR</t>
        </is>
      </c>
      <c r="P180" s="29" t="inlineStr">
        <is>
          <t>FAIR</t>
        </is>
      </c>
      <c r="Q180" s="29" t="inlineStr">
        <is>
          <t>FAIR</t>
        </is>
      </c>
      <c r="R180" s="29" t="inlineStr">
        <is>
          <t>0.7415227894291446</t>
        </is>
      </c>
      <c r="S180" s="29" t="inlineStr">
        <is>
          <t>HIGH</t>
        </is>
      </c>
      <c r="T180" s="29" t="inlineStr">
        <is>
          <t>HIGH</t>
        </is>
      </c>
      <c r="U180" s="29" t="inlineStr">
        <is>
          <t>0.0</t>
        </is>
      </c>
      <c r="V180" s="29" t="inlineStr">
        <is>
          <t>LOW_RISK</t>
        </is>
      </c>
      <c r="W180" s="29" t="inlineStr">
        <is>
          <t>저위험</t>
        </is>
      </c>
      <c r="X180" s="29" t="inlineStr">
        <is>
          <t>LOW_RISK</t>
        </is>
      </c>
      <c r="Y180" s="29" t="inlineStr">
        <is>
          <t>0.972105078189685</t>
        </is>
      </c>
      <c r="Z180" s="29" t="inlineStr">
        <is>
          <t>HIGH</t>
        </is>
      </c>
      <c r="AA180" s="29" t="inlineStr">
        <is>
          <t>HIGH</t>
        </is>
      </c>
      <c r="AB180" s="29" t="inlineStr">
        <is>
          <t>0.06698695126425369</t>
        </is>
      </c>
      <c r="AC180" s="29" t="inlineStr">
        <is>
          <t>False</t>
        </is>
      </c>
      <c r="AD180" s="29" t="inlineStr">
        <is>
          <t>False</t>
        </is>
      </c>
      <c r="AE180" s="29" t="inlineStr">
        <is>
          <t>valuation_credit_ml_overlay_candidate.csv</t>
        </is>
      </c>
      <c r="AF180" s="29" t="inlineStr">
        <is>
          <t>208개 반도체 reference universe. Valuation Agent가 자체 intake 폴더로 복제해 Peer/ML/대시보드 비교에 사용.</t>
        </is>
      </c>
    </row>
    <row r="181" ht="24" customHeight="1">
      <c r="A181" s="24" t="inlineStr">
        <is>
          <t>109</t>
        </is>
      </c>
      <c r="B181" s="24" t="inlineStr">
        <is>
          <t>해당 없음</t>
        </is>
      </c>
      <c r="C181" s="24" t="inlineStr">
        <is>
          <t>제우스</t>
        </is>
      </c>
      <c r="D181" s="24" t="inlineStr">
        <is>
          <t>079370</t>
        </is>
      </c>
      <c r="E181" s="24" t="inlineStr">
        <is>
          <t>KOSDAQ</t>
        </is>
      </c>
      <c r="F181" s="24" t="inlineStr">
        <is>
          <t>장비</t>
        </is>
      </c>
      <c r="G181" s="24" t="inlineStr">
        <is>
          <t>장비</t>
        </is>
      </c>
      <c r="H181" s="24" t="inlineStr">
        <is>
          <t>False</t>
        </is>
      </c>
      <c r="I181" s="24" t="inlineStr">
        <is>
          <t>True</t>
        </is>
      </c>
      <c r="J181" s="24" t="inlineStr">
        <is>
          <t>OK</t>
        </is>
      </c>
      <c r="K181" s="24" t="inlineStr">
        <is>
          <t>데이터 사용 가능</t>
        </is>
      </c>
      <c r="L181" s="24" t="inlineStr">
        <is>
          <t>LOW</t>
        </is>
      </c>
      <c r="M181" s="24" t="inlineStr">
        <is>
          <t>LOW</t>
        </is>
      </c>
      <c r="N181" s="24" t="inlineStr">
        <is>
          <t>0.4258666666666666</t>
        </is>
      </c>
      <c r="O181" s="24" t="inlineStr">
        <is>
          <t>FAIR</t>
        </is>
      </c>
      <c r="P181" s="24" t="inlineStr">
        <is>
          <t>FAIR</t>
        </is>
      </c>
      <c r="Q181" s="24" t="inlineStr">
        <is>
          <t>FAIR</t>
        </is>
      </c>
      <c r="R181" s="24" t="inlineStr">
        <is>
          <t>0.7744454918412472</t>
        </is>
      </c>
      <c r="S181" s="24" t="inlineStr">
        <is>
          <t>HIGH</t>
        </is>
      </c>
      <c r="T181" s="24" t="inlineStr">
        <is>
          <t>HIGH</t>
        </is>
      </c>
      <c r="U181" s="24" t="inlineStr">
        <is>
          <t>0.2142857142857142</t>
        </is>
      </c>
      <c r="V181" s="24" t="inlineStr">
        <is>
          <t>MEDIUM_RISK</t>
        </is>
      </c>
      <c r="W181" s="24" t="inlineStr">
        <is>
          <t>중위험</t>
        </is>
      </c>
      <c r="X181" s="24" t="inlineStr">
        <is>
          <t>MEDIUM_RISK</t>
        </is>
      </c>
      <c r="Y181" s="24" t="inlineStr">
        <is>
          <t>0.7526716293270965</t>
        </is>
      </c>
      <c r="Z181" s="24" t="inlineStr">
        <is>
          <t>HIGH</t>
        </is>
      </c>
      <c r="AA181" s="24" t="inlineStr">
        <is>
          <t>HIGH</t>
        </is>
      </c>
      <c r="AB181" s="24" t="inlineStr">
        <is>
          <t>0.011543006177035572</t>
        </is>
      </c>
      <c r="AC181" s="24" t="inlineStr">
        <is>
          <t>False</t>
        </is>
      </c>
      <c r="AD181" s="24" t="inlineStr">
        <is>
          <t>False</t>
        </is>
      </c>
      <c r="AE181" s="24" t="inlineStr">
        <is>
          <t>valuation_credit_ml_overlay_candidate.csv</t>
        </is>
      </c>
      <c r="AF181" s="24" t="inlineStr">
        <is>
          <t>208개 반도체 reference universe. Valuation Agent가 자체 intake 폴더로 복제해 Peer/ML/대시보드 비교에 사용.</t>
        </is>
      </c>
    </row>
    <row r="182" ht="24" customHeight="1">
      <c r="A182" s="29" t="inlineStr">
        <is>
          <t>83</t>
        </is>
      </c>
      <c r="B182" s="29" t="inlineStr">
        <is>
          <t>해당 없음</t>
        </is>
      </c>
      <c r="C182" s="29" t="inlineStr">
        <is>
          <t>램테크놀러지</t>
        </is>
      </c>
      <c r="D182" s="29" t="inlineStr">
        <is>
          <t>171010</t>
        </is>
      </c>
      <c r="E182" s="29" t="inlineStr">
        <is>
          <t>KOSDAQ</t>
        </is>
      </c>
      <c r="F182" s="29" t="inlineStr">
        <is>
          <t>장비</t>
        </is>
      </c>
      <c r="G182" s="29" t="inlineStr">
        <is>
          <t>장비</t>
        </is>
      </c>
      <c r="H182" s="29" t="inlineStr">
        <is>
          <t>False</t>
        </is>
      </c>
      <c r="I182" s="29" t="inlineStr">
        <is>
          <t>True</t>
        </is>
      </c>
      <c r="J182" s="29" t="inlineStr">
        <is>
          <t>OK</t>
        </is>
      </c>
      <c r="K182" s="29" t="inlineStr">
        <is>
          <t>데이터 사용 가능</t>
        </is>
      </c>
      <c r="L182" s="29" t="inlineStr">
        <is>
          <t>LOW</t>
        </is>
      </c>
      <c r="M182" s="29" t="inlineStr">
        <is>
          <t>LOW</t>
        </is>
      </c>
      <c r="N182" s="29" t="inlineStr">
        <is>
          <t>0.4097333333333334</t>
        </is>
      </c>
      <c r="O182" s="29" t="inlineStr">
        <is>
          <t>EXPENSIVE</t>
        </is>
      </c>
      <c r="P182" s="29" t="inlineStr">
        <is>
          <t>EXPENSIVE</t>
        </is>
      </c>
      <c r="Q182" s="29" t="inlineStr">
        <is>
          <t>FAIR</t>
        </is>
      </c>
      <c r="R182" s="29" t="inlineStr">
        <is>
          <t>0.500591784236833</t>
        </is>
      </c>
      <c r="S182" s="29" t="inlineStr">
        <is>
          <t>MEDIUM</t>
        </is>
      </c>
      <c r="T182" s="29" t="inlineStr">
        <is>
          <t>MEDIUM</t>
        </is>
      </c>
      <c r="U182" s="29" t="inlineStr">
        <is>
          <t>0.6428571428571429</t>
        </is>
      </c>
      <c r="V182" s="29" t="inlineStr">
        <is>
          <t>HIGH_RISK</t>
        </is>
      </c>
      <c r="W182" s="29" t="inlineStr">
        <is>
          <t>고위험</t>
        </is>
      </c>
      <c r="X182" s="29" t="inlineStr">
        <is>
          <t>HIGH_RISK</t>
        </is>
      </c>
      <c r="Y182" s="29" t="inlineStr">
        <is>
          <t>0.7085071659992903</t>
        </is>
      </c>
      <c r="Z182" s="29" t="inlineStr">
        <is>
          <t>HIGH</t>
        </is>
      </c>
      <c r="AA182" s="29" t="inlineStr">
        <is>
          <t>HIGH</t>
        </is>
      </c>
      <c r="AB182" s="29" t="inlineStr">
        <is>
          <t>0.08748635209855961</t>
        </is>
      </c>
      <c r="AC182" s="29" t="inlineStr">
        <is>
          <t>False</t>
        </is>
      </c>
      <c r="AD182" s="29" t="inlineStr">
        <is>
          <t>False</t>
        </is>
      </c>
      <c r="AE182" s="29" t="inlineStr">
        <is>
          <t>valuation_credit_ml_overlay_candidate.csv</t>
        </is>
      </c>
      <c r="AF182" s="29" t="inlineStr">
        <is>
          <t>208개 반도체 reference universe. Valuation Agent가 자체 intake 폴더로 복제해 Peer/ML/대시보드 비교에 사용.</t>
        </is>
      </c>
    </row>
    <row r="183" ht="24" customHeight="1">
      <c r="A183" s="24" t="inlineStr">
        <is>
          <t>108</t>
        </is>
      </c>
      <c r="B183" s="24" t="inlineStr">
        <is>
          <t>해당 없음</t>
        </is>
      </c>
      <c r="C183" s="24" t="inlineStr">
        <is>
          <t>저스템</t>
        </is>
      </c>
      <c r="D183" s="24" t="inlineStr">
        <is>
          <t>417840</t>
        </is>
      </c>
      <c r="E183" s="24" t="inlineStr">
        <is>
          <t>KOSDAQ</t>
        </is>
      </c>
      <c r="F183" s="24" t="inlineStr">
        <is>
          <t>장비</t>
        </is>
      </c>
      <c r="G183" s="24" t="inlineStr">
        <is>
          <t>장비</t>
        </is>
      </c>
      <c r="H183" s="24" t="inlineStr">
        <is>
          <t>False</t>
        </is>
      </c>
      <c r="I183" s="24" t="inlineStr">
        <is>
          <t>True</t>
        </is>
      </c>
      <c r="J183" s="24" t="inlineStr">
        <is>
          <t>OK</t>
        </is>
      </c>
      <c r="K183" s="24" t="inlineStr">
        <is>
          <t>데이터 사용 가능</t>
        </is>
      </c>
      <c r="L183" s="24" t="inlineStr">
        <is>
          <t>LOW</t>
        </is>
      </c>
      <c r="M183" s="24" t="inlineStr">
        <is>
          <t>LOW</t>
        </is>
      </c>
      <c r="N183" s="24" t="inlineStr">
        <is>
          <t>0.4036</t>
        </is>
      </c>
      <c r="O183" s="24" t="inlineStr">
        <is>
          <t>EXPENSIVE</t>
        </is>
      </c>
      <c r="P183" s="24" t="inlineStr">
        <is>
          <t>EXPENSIVE</t>
        </is>
      </c>
      <c r="Q183" s="24" t="inlineStr">
        <is>
          <t>EXPENSIVE</t>
        </is>
      </c>
      <c r="R183" s="24" t="inlineStr">
        <is>
          <t>0.7213257522774291</t>
        </is>
      </c>
      <c r="S183" s="24" t="inlineStr">
        <is>
          <t>HIGH</t>
        </is>
      </c>
      <c r="T183" s="24" t="inlineStr">
        <is>
          <t>HIGH</t>
        </is>
      </c>
      <c r="U183" s="24" t="inlineStr">
        <is>
          <t>0.2857142857142857</t>
        </is>
      </c>
      <c r="V183" s="24" t="inlineStr">
        <is>
          <t>MEDIUM_RISK</t>
        </is>
      </c>
      <c r="W183" s="24" t="inlineStr">
        <is>
          <t>중위험</t>
        </is>
      </c>
      <c r="X183" s="24" t="inlineStr">
        <is>
          <t>MEDIUM_RISK</t>
        </is>
      </c>
      <c r="Y183" s="24" t="inlineStr">
        <is>
          <t>0.6200895030304687</t>
        </is>
      </c>
      <c r="Z183" s="24" t="inlineStr">
        <is>
          <t>MEDIUM</t>
        </is>
      </c>
      <c r="AA183" s="24" t="inlineStr">
        <is>
          <t>MEDIUM</t>
        </is>
      </c>
      <c r="AB183" s="24" t="inlineStr">
        <is>
          <t>0.06530461326030516</t>
        </is>
      </c>
      <c r="AC183" s="24" t="inlineStr">
        <is>
          <t>False</t>
        </is>
      </c>
      <c r="AD183" s="24" t="inlineStr">
        <is>
          <t>False</t>
        </is>
      </c>
      <c r="AE183" s="24" t="inlineStr">
        <is>
          <t>valuation_credit_ml_overlay_candidate.csv</t>
        </is>
      </c>
      <c r="AF183" s="24" t="inlineStr">
        <is>
          <t>208개 반도체 reference universe. Valuation Agent가 자체 intake 폴더로 복제해 Peer/ML/대시보드 비교에 사용.</t>
        </is>
      </c>
    </row>
    <row r="184" ht="24" customHeight="1">
      <c r="A184" s="29" t="inlineStr">
        <is>
          <t>111</t>
        </is>
      </c>
      <c r="B184" s="29" t="inlineStr">
        <is>
          <t>해당 없음</t>
        </is>
      </c>
      <c r="C184" s="29" t="inlineStr">
        <is>
          <t>지아이에스</t>
        </is>
      </c>
      <c r="D184" s="29" t="inlineStr">
        <is>
          <t>306620</t>
        </is>
      </c>
      <c r="E184" s="29" t="inlineStr">
        <is>
          <t>KOSDAQ</t>
        </is>
      </c>
      <c r="F184" s="29" t="inlineStr">
        <is>
          <t>장비</t>
        </is>
      </c>
      <c r="G184" s="29" t="inlineStr">
        <is>
          <t>장비</t>
        </is>
      </c>
      <c r="H184" s="29" t="inlineStr">
        <is>
          <t>False</t>
        </is>
      </c>
      <c r="I184" s="29" t="inlineStr">
        <is>
          <t>True</t>
        </is>
      </c>
      <c r="J184" s="29" t="inlineStr">
        <is>
          <t>OK</t>
        </is>
      </c>
      <c r="K184" s="29" t="inlineStr">
        <is>
          <t>데이터 사용 가능</t>
        </is>
      </c>
      <c r="L184" s="29" t="inlineStr">
        <is>
          <t>LOW</t>
        </is>
      </c>
      <c r="M184" s="29" t="inlineStr">
        <is>
          <t>LOW</t>
        </is>
      </c>
      <c r="N184" s="29" t="inlineStr">
        <is>
          <t>0.4014666666666666</t>
        </is>
      </c>
      <c r="O184" s="29" t="inlineStr">
        <is>
          <t>EXPENSIVE</t>
        </is>
      </c>
      <c r="P184" s="29" t="inlineStr">
        <is>
          <t>EXPENSIVE</t>
        </is>
      </c>
      <c r="Q184" s="29" t="inlineStr">
        <is>
          <t>EXPENSIVE</t>
        </is>
      </c>
      <c r="R184" s="29" t="inlineStr">
        <is>
          <t>0.745903271306321</t>
        </is>
      </c>
      <c r="S184" s="29" t="inlineStr">
        <is>
          <t>HIGH</t>
        </is>
      </c>
      <c r="T184" s="29" t="inlineStr">
        <is>
          <t>HIGH</t>
        </is>
      </c>
      <c r="U184" s="29" t="inlineStr">
        <is>
          <t>0.5714285714285714</t>
        </is>
      </c>
      <c r="V184" s="29" t="inlineStr">
        <is>
          <t>HIGH_RISK</t>
        </is>
      </c>
      <c r="W184" s="29" t="inlineStr">
        <is>
          <t>고위험</t>
        </is>
      </c>
      <c r="X184" s="29" t="inlineStr">
        <is>
          <t>HIGH_RISK</t>
        </is>
      </c>
      <c r="Y184" s="29" t="inlineStr">
        <is>
          <t>0.7985810664806972</t>
        </is>
      </c>
      <c r="Z184" s="29" t="inlineStr">
        <is>
          <t>HIGH</t>
        </is>
      </c>
      <c r="AA184" s="29" t="inlineStr">
        <is>
          <t>HIGH</t>
        </is>
      </c>
      <c r="AB184" s="29" t="inlineStr">
        <is>
          <t>0.10027107402555603</t>
        </is>
      </c>
      <c r="AC184" s="29" t="inlineStr">
        <is>
          <t>False</t>
        </is>
      </c>
      <c r="AD184" s="29" t="inlineStr">
        <is>
          <t>False</t>
        </is>
      </c>
      <c r="AE184" s="29" t="inlineStr">
        <is>
          <t>valuation_credit_ml_overlay_candidate.csv</t>
        </is>
      </c>
      <c r="AF184" s="29" t="inlineStr">
        <is>
          <t>208개 반도체 reference universe. Valuation Agent가 자체 intake 폴더로 복제해 Peer/ML/대시보드 비교에 사용.</t>
        </is>
      </c>
    </row>
    <row r="185" ht="24" customHeight="1">
      <c r="A185" s="24" t="inlineStr">
        <is>
          <t>98</t>
        </is>
      </c>
      <c r="B185" s="24" t="inlineStr">
        <is>
          <t>해당 없음</t>
        </is>
      </c>
      <c r="C185" s="24" t="inlineStr">
        <is>
          <t>에프에스티</t>
        </is>
      </c>
      <c r="D185" s="24" t="inlineStr">
        <is>
          <t>036810</t>
        </is>
      </c>
      <c r="E185" s="24" t="inlineStr">
        <is>
          <t>KOSDAQ</t>
        </is>
      </c>
      <c r="F185" s="24" t="inlineStr">
        <is>
          <t>장비</t>
        </is>
      </c>
      <c r="G185" s="24" t="inlineStr">
        <is>
          <t>장비</t>
        </is>
      </c>
      <c r="H185" s="24" t="inlineStr">
        <is>
          <t>False</t>
        </is>
      </c>
      <c r="I185" s="24" t="inlineStr">
        <is>
          <t>True</t>
        </is>
      </c>
      <c r="J185" s="24" t="inlineStr">
        <is>
          <t>OK</t>
        </is>
      </c>
      <c r="K185" s="24" t="inlineStr">
        <is>
          <t>데이터 사용 가능</t>
        </is>
      </c>
      <c r="L185" s="24" t="inlineStr">
        <is>
          <t>LOW</t>
        </is>
      </c>
      <c r="M185" s="24" t="inlineStr">
        <is>
          <t>LOW</t>
        </is>
      </c>
      <c r="N185" s="24" t="inlineStr">
        <is>
          <t>0.3826666666666666</t>
        </is>
      </c>
      <c r="O185" s="24" t="inlineStr">
        <is>
          <t>EXPENSIVE</t>
        </is>
      </c>
      <c r="P185" s="24" t="inlineStr">
        <is>
          <t>EXPENSIVE</t>
        </is>
      </c>
      <c r="Q185" s="24" t="inlineStr">
        <is>
          <t>EXPENSIVE</t>
        </is>
      </c>
      <c r="R185" s="24" t="inlineStr">
        <is>
          <t>0.8925631629286743</t>
        </is>
      </c>
      <c r="S185" s="24" t="inlineStr">
        <is>
          <t>HIGH</t>
        </is>
      </c>
      <c r="T185" s="24" t="inlineStr">
        <is>
          <t>HIGH</t>
        </is>
      </c>
      <c r="U185" s="24" t="inlineStr">
        <is>
          <t>0.5</t>
        </is>
      </c>
      <c r="V185" s="24" t="inlineStr">
        <is>
          <t>HIGH_RISK</t>
        </is>
      </c>
      <c r="W185" s="24" t="inlineStr">
        <is>
          <t>고위험</t>
        </is>
      </c>
      <c r="X185" s="24" t="inlineStr">
        <is>
          <t>HIGH_RISK</t>
        </is>
      </c>
      <c r="Y185" s="24" t="inlineStr">
        <is>
          <t>0.6842794288306946</t>
        </is>
      </c>
      <c r="Z185" s="24" t="inlineStr">
        <is>
          <t>MEDIUM</t>
        </is>
      </c>
      <c r="AA185" s="24" t="inlineStr">
        <is>
          <t>MEDIUM</t>
        </is>
      </c>
      <c r="AB185" s="24" t="inlineStr">
        <is>
          <t>0.03870825972114044</t>
        </is>
      </c>
      <c r="AC185" s="24" t="inlineStr">
        <is>
          <t>False</t>
        </is>
      </c>
      <c r="AD185" s="24" t="inlineStr">
        <is>
          <t>False</t>
        </is>
      </c>
      <c r="AE185" s="24" t="inlineStr">
        <is>
          <t>valuation_credit_ml_overlay_candidate.csv</t>
        </is>
      </c>
      <c r="AF185" s="24" t="inlineStr">
        <is>
          <t>208개 반도체 reference universe. Valuation Agent가 자체 intake 폴더로 복제해 Peer/ML/대시보드 비교에 사용.</t>
        </is>
      </c>
    </row>
    <row r="186" ht="24" customHeight="1">
      <c r="A186" s="29" t="inlineStr">
        <is>
          <t>78</t>
        </is>
      </c>
      <c r="B186" s="29" t="inlineStr">
        <is>
          <t>해당 없음</t>
        </is>
      </c>
      <c r="C186" s="29" t="inlineStr">
        <is>
          <t>나노신소재</t>
        </is>
      </c>
      <c r="D186" s="29" t="inlineStr">
        <is>
          <t>121600</t>
        </is>
      </c>
      <c r="E186" s="29" t="inlineStr">
        <is>
          <t>KOSDAQ</t>
        </is>
      </c>
      <c r="F186" s="29" t="inlineStr">
        <is>
          <t>장비</t>
        </is>
      </c>
      <c r="G186" s="29" t="inlineStr">
        <is>
          <t>장비</t>
        </is>
      </c>
      <c r="H186" s="29" t="inlineStr">
        <is>
          <t>False</t>
        </is>
      </c>
      <c r="I186" s="29" t="inlineStr">
        <is>
          <t>True</t>
        </is>
      </c>
      <c r="J186" s="29" t="inlineStr">
        <is>
          <t>OK</t>
        </is>
      </c>
      <c r="K186" s="29" t="inlineStr">
        <is>
          <t>데이터 사용 가능</t>
        </is>
      </c>
      <c r="L186" s="29" t="inlineStr">
        <is>
          <t>LOW</t>
        </is>
      </c>
      <c r="M186" s="29" t="inlineStr">
        <is>
          <t>LOW</t>
        </is>
      </c>
      <c r="N186" s="29" t="inlineStr">
        <is>
          <t>0.3822666666666666</t>
        </is>
      </c>
      <c r="O186" s="29" t="inlineStr">
        <is>
          <t>EXPENSIVE</t>
        </is>
      </c>
      <c r="P186" s="29" t="inlineStr">
        <is>
          <t>EXPENSIVE</t>
        </is>
      </c>
      <c r="Q186" s="29" t="inlineStr">
        <is>
          <t>EXPENSIVE</t>
        </is>
      </c>
      <c r="R186" s="29" t="inlineStr">
        <is>
          <t>0.7555342246021253</t>
        </is>
      </c>
      <c r="S186" s="29" t="inlineStr">
        <is>
          <t>HIGH</t>
        </is>
      </c>
      <c r="T186" s="29" t="inlineStr">
        <is>
          <t>HIGH</t>
        </is>
      </c>
      <c r="U186" s="29" t="inlineStr">
        <is>
          <t>0.0</t>
        </is>
      </c>
      <c r="V186" s="29" t="inlineStr">
        <is>
          <t>LOW_RISK</t>
        </is>
      </c>
      <c r="W186" s="29" t="inlineStr">
        <is>
          <t>저위험</t>
        </is>
      </c>
      <c r="X186" s="29" t="inlineStr">
        <is>
          <t>LOW_RISK</t>
        </is>
      </c>
      <c r="Y186" s="29" t="inlineStr">
        <is>
          <t>0.6225133085657061</t>
        </is>
      </c>
      <c r="Z186" s="29" t="inlineStr">
        <is>
          <t>MEDIUM</t>
        </is>
      </c>
      <c r="AA186" s="29" t="inlineStr">
        <is>
          <t>MEDIUM</t>
        </is>
      </c>
      <c r="AB186" s="29" t="inlineStr">
        <is>
          <t>0.006422827813209868</t>
        </is>
      </c>
      <c r="AC186" s="29" t="inlineStr">
        <is>
          <t>False</t>
        </is>
      </c>
      <c r="AD186" s="29" t="inlineStr">
        <is>
          <t>False</t>
        </is>
      </c>
      <c r="AE186" s="29" t="inlineStr">
        <is>
          <t>valuation_credit_ml_overlay_candidate.csv</t>
        </is>
      </c>
      <c r="AF186" s="29" t="inlineStr">
        <is>
          <t>208개 반도체 reference universe. Valuation Agent가 자체 intake 폴더로 복제해 Peer/ML/대시보드 비교에 사용.</t>
        </is>
      </c>
    </row>
    <row r="187" ht="24" customHeight="1">
      <c r="A187" s="24" t="inlineStr">
        <is>
          <t>93</t>
        </is>
      </c>
      <c r="B187" s="24" t="inlineStr">
        <is>
          <t>해당 없음</t>
        </is>
      </c>
      <c r="C187" s="24" t="inlineStr">
        <is>
          <t>씨엠티엑스</t>
        </is>
      </c>
      <c r="D187" s="24" t="inlineStr">
        <is>
          <t>388210</t>
        </is>
      </c>
      <c r="E187" s="24" t="inlineStr">
        <is>
          <t>KOSDAQ</t>
        </is>
      </c>
      <c r="F187" s="24" t="inlineStr">
        <is>
          <t>장비</t>
        </is>
      </c>
      <c r="G187" s="24" t="inlineStr">
        <is>
          <t>장비</t>
        </is>
      </c>
      <c r="H187" s="24" t="inlineStr">
        <is>
          <t>False</t>
        </is>
      </c>
      <c r="I187" s="24" t="inlineStr">
        <is>
          <t>True</t>
        </is>
      </c>
      <c r="J187" s="24" t="inlineStr">
        <is>
          <t>OK_LIMITED_HISTORY_OR_GROWTH_NA</t>
        </is>
      </c>
      <c r="K187" s="24" t="inlineStr">
        <is>
          <t>데이터 사용 가능</t>
        </is>
      </c>
      <c r="L187" s="24" t="inlineStr">
        <is>
          <t>LOW</t>
        </is>
      </c>
      <c r="M187" s="24" t="inlineStr">
        <is>
          <t>LOW</t>
        </is>
      </c>
      <c r="N187" s="24" t="inlineStr">
        <is>
          <t>0.3652666666666667</t>
        </is>
      </c>
      <c r="O187" s="24" t="inlineStr">
        <is>
          <t>EXPENSIVE</t>
        </is>
      </c>
      <c r="P187" s="24" t="inlineStr">
        <is>
          <t>EXPENSIVE</t>
        </is>
      </c>
      <c r="Q187" s="24" t="inlineStr">
        <is>
          <t>EXPENSIVE</t>
        </is>
      </c>
      <c r="R187" s="24" t="inlineStr">
        <is>
          <t>0.7157707609420977</t>
        </is>
      </c>
      <c r="S187" s="24" t="inlineStr">
        <is>
          <t>HIGH</t>
        </is>
      </c>
      <c r="T187" s="24" t="inlineStr">
        <is>
          <t>HIGH</t>
        </is>
      </c>
      <c r="U187" s="24" t="inlineStr">
        <is>
          <t>0.2142857142857142</t>
        </is>
      </c>
      <c r="V187" s="24" t="inlineStr">
        <is>
          <t>MEDIUM_RISK</t>
        </is>
      </c>
      <c r="W187" s="24" t="inlineStr">
        <is>
          <t>중위험</t>
        </is>
      </c>
      <c r="X187" s="24" t="inlineStr">
        <is>
          <t>MEDIUM_RISK</t>
        </is>
      </c>
      <c r="Y187" s="24" t="inlineStr">
        <is>
          <t>0.6836967884951827</t>
        </is>
      </c>
      <c r="Z187" s="24" t="inlineStr">
        <is>
          <t>MEDIUM</t>
        </is>
      </c>
      <c r="AA187" s="24" t="inlineStr">
        <is>
          <t>MEDIUM</t>
        </is>
      </c>
      <c r="AB187" s="24" t="inlineStr">
        <is>
          <t>0.10495929656754996</t>
        </is>
      </c>
      <c r="AC187" s="24" t="inlineStr">
        <is>
          <t>False</t>
        </is>
      </c>
      <c r="AD187" s="24" t="inlineStr">
        <is>
          <t>True</t>
        </is>
      </c>
      <c r="AE187" s="24" t="inlineStr">
        <is>
          <t>valuation_credit_ml_overlay_candidate.csv</t>
        </is>
      </c>
      <c r="AF187" s="24" t="inlineStr">
        <is>
          <t>208개 반도체 reference universe. Valuation Agent가 자체 intake 폴더로 복제해 Peer/ML/대시보드 비교에 사용.</t>
        </is>
      </c>
    </row>
    <row r="188" ht="24" customHeight="1">
      <c r="A188" s="29" t="inlineStr">
        <is>
          <t>94</t>
        </is>
      </c>
      <c r="B188" s="29" t="inlineStr">
        <is>
          <t>해당 없음</t>
        </is>
      </c>
      <c r="C188" s="29" t="inlineStr">
        <is>
          <t>아스플로</t>
        </is>
      </c>
      <c r="D188" s="29" t="inlineStr">
        <is>
          <t>159010</t>
        </is>
      </c>
      <c r="E188" s="29" t="inlineStr">
        <is>
          <t>KOSDAQ</t>
        </is>
      </c>
      <c r="F188" s="29" t="inlineStr">
        <is>
          <t>장비</t>
        </is>
      </c>
      <c r="G188" s="29" t="inlineStr">
        <is>
          <t>장비</t>
        </is>
      </c>
      <c r="H188" s="29" t="inlineStr">
        <is>
          <t>False</t>
        </is>
      </c>
      <c r="I188" s="29" t="inlineStr">
        <is>
          <t>True</t>
        </is>
      </c>
      <c r="J188" s="29" t="inlineStr">
        <is>
          <t>OK</t>
        </is>
      </c>
      <c r="K188" s="29" t="inlineStr">
        <is>
          <t>데이터 사용 가능</t>
        </is>
      </c>
      <c r="L188" s="29" t="inlineStr">
        <is>
          <t>LOW</t>
        </is>
      </c>
      <c r="M188" s="29" t="inlineStr">
        <is>
          <t>LOW</t>
        </is>
      </c>
      <c r="N188" s="29" t="inlineStr">
        <is>
          <t>0.3025333333333333</t>
        </is>
      </c>
      <c r="O188" s="29" t="inlineStr">
        <is>
          <t>EXPENSIVE</t>
        </is>
      </c>
      <c r="P188" s="29" t="inlineStr">
        <is>
          <t>EXPENSIVE</t>
        </is>
      </c>
      <c r="Q188" s="29" t="inlineStr">
        <is>
          <t>EXPENSIVE</t>
        </is>
      </c>
      <c r="R188" s="29" t="inlineStr">
        <is>
          <t>0.8970141905473263</t>
        </is>
      </c>
      <c r="S188" s="29" t="inlineStr">
        <is>
          <t>HIGH</t>
        </is>
      </c>
      <c r="T188" s="29" t="inlineStr">
        <is>
          <t>HIGH</t>
        </is>
      </c>
      <c r="U188" s="29" t="inlineStr">
        <is>
          <t>0.5714285714285714</t>
        </is>
      </c>
      <c r="V188" s="29" t="inlineStr">
        <is>
          <t>HIGH_RISK</t>
        </is>
      </c>
      <c r="W188" s="29" t="inlineStr">
        <is>
          <t>고위험</t>
        </is>
      </c>
      <c r="X188" s="29" t="inlineStr">
        <is>
          <t>HIGH_RISK</t>
        </is>
      </c>
      <c r="Y188" s="29" t="inlineStr">
        <is>
          <t>0.9808254047374049</t>
        </is>
      </c>
      <c r="Z188" s="29" t="inlineStr">
        <is>
          <t>HIGH</t>
        </is>
      </c>
      <c r="AA188" s="29" t="inlineStr">
        <is>
          <t>HIGH</t>
        </is>
      </c>
      <c r="AB188" s="29" t="inlineStr">
        <is>
          <t>0.04621877213272216</t>
        </is>
      </c>
      <c r="AC188" s="29" t="inlineStr">
        <is>
          <t>False</t>
        </is>
      </c>
      <c r="AD188" s="29" t="inlineStr">
        <is>
          <t>False</t>
        </is>
      </c>
      <c r="AE188" s="29" t="inlineStr">
        <is>
          <t>valuation_credit_ml_overlay_candidate.csv</t>
        </is>
      </c>
      <c r="AF188" s="29" t="inlineStr">
        <is>
          <t>208개 반도체 reference universe. Valuation Agent가 자체 intake 폴더로 복제해 Peer/ML/대시보드 비교에 사용.</t>
        </is>
      </c>
    </row>
    <row r="189" ht="24" customHeight="1">
      <c r="A189" s="24" t="inlineStr">
        <is>
          <t>101</t>
        </is>
      </c>
      <c r="B189" s="24" t="inlineStr">
        <is>
          <t>해당 없음</t>
        </is>
      </c>
      <c r="C189" s="24" t="inlineStr">
        <is>
          <t>오로스테크놀로지</t>
        </is>
      </c>
      <c r="D189" s="24" t="inlineStr">
        <is>
          <t>322310</t>
        </is>
      </c>
      <c r="E189" s="24" t="inlineStr">
        <is>
          <t>KOSDAQ</t>
        </is>
      </c>
      <c r="F189" s="24" t="inlineStr">
        <is>
          <t>장비</t>
        </is>
      </c>
      <c r="G189" s="24" t="inlineStr">
        <is>
          <t>장비</t>
        </is>
      </c>
      <c r="H189" s="24" t="inlineStr">
        <is>
          <t>False</t>
        </is>
      </c>
      <c r="I189" s="24" t="inlineStr">
        <is>
          <t>True</t>
        </is>
      </c>
      <c r="J189" s="24" t="inlineStr">
        <is>
          <t>OK</t>
        </is>
      </c>
      <c r="K189" s="24" t="inlineStr">
        <is>
          <t>데이터 사용 가능</t>
        </is>
      </c>
      <c r="L189" s="24" t="inlineStr">
        <is>
          <t>LOW</t>
        </is>
      </c>
      <c r="M189" s="24" t="inlineStr">
        <is>
          <t>LOW</t>
        </is>
      </c>
      <c r="N189" s="24" t="inlineStr">
        <is>
          <t>0.2969333333333333</t>
        </is>
      </c>
      <c r="O189" s="24" t="inlineStr">
        <is>
          <t>EXPENSIVE</t>
        </is>
      </c>
      <c r="P189" s="24" t="inlineStr">
        <is>
          <t>EXPENSIVE</t>
        </is>
      </c>
      <c r="Q189" s="24" t="inlineStr">
        <is>
          <t>EXPENSIVE</t>
        </is>
      </c>
      <c r="R189" s="24" t="inlineStr">
        <is>
          <t>0.9263479879516093</t>
        </is>
      </c>
      <c r="S189" s="24" t="inlineStr">
        <is>
          <t>HIGH</t>
        </is>
      </c>
      <c r="T189" s="24" t="inlineStr">
        <is>
          <t>HIGH</t>
        </is>
      </c>
      <c r="U189" s="24" t="inlineStr">
        <is>
          <t>0.2857142857142857</t>
        </is>
      </c>
      <c r="V189" s="24" t="inlineStr">
        <is>
          <t>MEDIUM_RISK</t>
        </is>
      </c>
      <c r="W189" s="24" t="inlineStr">
        <is>
          <t>중위험</t>
        </is>
      </c>
      <c r="X189" s="24" t="inlineStr">
        <is>
          <t>HIGH_RISK</t>
        </is>
      </c>
      <c r="Y189" s="24" t="inlineStr">
        <is>
          <t>0.5823799649469713</t>
        </is>
      </c>
      <c r="Z189" s="24" t="inlineStr">
        <is>
          <t>MEDIUM</t>
        </is>
      </c>
      <c r="AA189" s="24" t="inlineStr">
        <is>
          <t>MEDIUM</t>
        </is>
      </c>
      <c r="AB189" s="24" t="inlineStr">
        <is>
          <t>0.025687830037607388</t>
        </is>
      </c>
      <c r="AC189" s="24" t="inlineStr">
        <is>
          <t>False</t>
        </is>
      </c>
      <c r="AD189" s="24" t="inlineStr">
        <is>
          <t>False</t>
        </is>
      </c>
      <c r="AE189" s="24" t="inlineStr">
        <is>
          <t>valuation_credit_ml_overlay_candidate.csv</t>
        </is>
      </c>
      <c r="AF189" s="24" t="inlineStr">
        <is>
          <t>208개 반도체 reference universe. Valuation Agent가 자체 intake 폴더로 복제해 Peer/ML/대시보드 비교에 사용.</t>
        </is>
      </c>
    </row>
    <row r="190" ht="24" customHeight="1">
      <c r="A190" s="29" t="inlineStr">
        <is>
          <t>84</t>
        </is>
      </c>
      <c r="B190" s="29" t="inlineStr">
        <is>
          <t>해당 없음</t>
        </is>
      </c>
      <c r="C190" s="29" t="inlineStr">
        <is>
          <t>러셀</t>
        </is>
      </c>
      <c r="D190" s="29" t="inlineStr">
        <is>
          <t>217500</t>
        </is>
      </c>
      <c r="E190" s="29" t="inlineStr">
        <is>
          <t>KOSDAQ</t>
        </is>
      </c>
      <c r="F190" s="29" t="inlineStr">
        <is>
          <t>장비</t>
        </is>
      </c>
      <c r="G190" s="29" t="inlineStr">
        <is>
          <t>장비</t>
        </is>
      </c>
      <c r="H190" s="29" t="inlineStr">
        <is>
          <t>False</t>
        </is>
      </c>
      <c r="I190" s="29" t="inlineStr">
        <is>
          <t>True</t>
        </is>
      </c>
      <c r="J190" s="29" t="inlineStr">
        <is>
          <t>OK</t>
        </is>
      </c>
      <c r="K190" s="29" t="inlineStr">
        <is>
          <t>데이터 사용 가능</t>
        </is>
      </c>
      <c r="L190" s="29" t="inlineStr">
        <is>
          <t>LOW</t>
        </is>
      </c>
      <c r="M190" s="29" t="inlineStr">
        <is>
          <t>LOW</t>
        </is>
      </c>
      <c r="N190" s="29" t="inlineStr">
        <is>
          <t>0.2889333333333334</t>
        </is>
      </c>
      <c r="O190" s="29" t="inlineStr">
        <is>
          <t>EXPENSIVE</t>
        </is>
      </c>
      <c r="P190" s="29" t="inlineStr">
        <is>
          <t>EXPENSIVE</t>
        </is>
      </c>
      <c r="Q190" s="29" t="inlineStr">
        <is>
          <t>EXPENSIVE</t>
        </is>
      </c>
      <c r="R190" s="29" t="inlineStr">
        <is>
          <t>0.873177337125051</t>
        </is>
      </c>
      <c r="S190" s="29" t="inlineStr">
        <is>
          <t>HIGH</t>
        </is>
      </c>
      <c r="T190" s="29" t="inlineStr">
        <is>
          <t>HIGH</t>
        </is>
      </c>
      <c r="U190" s="29" t="inlineStr">
        <is>
          <t>0.5714285714285714</t>
        </is>
      </c>
      <c r="V190" s="29" t="inlineStr">
        <is>
          <t>HIGH_RISK</t>
        </is>
      </c>
      <c r="W190" s="29" t="inlineStr">
        <is>
          <t>고위험</t>
        </is>
      </c>
      <c r="X190" s="29" t="inlineStr">
        <is>
          <t>HIGH_RISK</t>
        </is>
      </c>
      <c r="Y190" s="29" t="inlineStr">
        <is>
          <t>0.9431199578760465</t>
        </is>
      </c>
      <c r="Z190" s="29" t="inlineStr">
        <is>
          <t>HIGH</t>
        </is>
      </c>
      <c r="AA190" s="29" t="inlineStr">
        <is>
          <t>HIGH</t>
        </is>
      </c>
      <c r="AB190" s="29" t="inlineStr">
        <is>
          <t>0.17682420550247213</t>
        </is>
      </c>
      <c r="AC190" s="29" t="inlineStr">
        <is>
          <t>False</t>
        </is>
      </c>
      <c r="AD190" s="29" t="inlineStr">
        <is>
          <t>False</t>
        </is>
      </c>
      <c r="AE190" s="29" t="inlineStr">
        <is>
          <t>valuation_credit_ml_overlay_candidate.csv</t>
        </is>
      </c>
      <c r="AF190" s="29" t="inlineStr">
        <is>
          <t>208개 반도체 reference universe. Valuation Agent가 자체 intake 폴더로 복제해 Peer/ML/대시보드 비교에 사용.</t>
        </is>
      </c>
    </row>
    <row r="191" ht="24" customHeight="1">
      <c r="A191" s="24" t="inlineStr">
        <is>
          <t>86</t>
        </is>
      </c>
      <c r="B191" s="24" t="inlineStr">
        <is>
          <t>해당 없음</t>
        </is>
      </c>
      <c r="C191" s="24" t="inlineStr">
        <is>
          <t>미래컴퍼니</t>
        </is>
      </c>
      <c r="D191" s="24" t="inlineStr">
        <is>
          <t>049950</t>
        </is>
      </c>
      <c r="E191" s="24" t="inlineStr">
        <is>
          <t>KOSDAQ</t>
        </is>
      </c>
      <c r="F191" s="24" t="inlineStr">
        <is>
          <t>장비</t>
        </is>
      </c>
      <c r="G191" s="24" t="inlineStr">
        <is>
          <t>장비</t>
        </is>
      </c>
      <c r="H191" s="24" t="inlineStr">
        <is>
          <t>False</t>
        </is>
      </c>
      <c r="I191" s="24" t="inlineStr">
        <is>
          <t>True</t>
        </is>
      </c>
      <c r="J191" s="24" t="inlineStr">
        <is>
          <t>OK</t>
        </is>
      </c>
      <c r="K191" s="24" t="inlineStr">
        <is>
          <t>데이터 사용 가능</t>
        </is>
      </c>
      <c r="L191" s="24" t="inlineStr">
        <is>
          <t>LOW</t>
        </is>
      </c>
      <c r="M191" s="24" t="inlineStr">
        <is>
          <t>LOW</t>
        </is>
      </c>
      <c r="N191" s="24" t="inlineStr">
        <is>
          <t>0.2874666666666666</t>
        </is>
      </c>
      <c r="O191" s="24" t="inlineStr">
        <is>
          <t>EXPENSIVE</t>
        </is>
      </c>
      <c r="P191" s="24" t="inlineStr">
        <is>
          <t>EXPENSIVE</t>
        </is>
      </c>
      <c r="Q191" s="24" t="inlineStr">
        <is>
          <t>EXPENSIVE</t>
        </is>
      </c>
      <c r="R191" s="24" t="inlineStr">
        <is>
          <t>0.8354805452058427</t>
        </is>
      </c>
      <c r="S191" s="24" t="inlineStr">
        <is>
          <t>HIGH</t>
        </is>
      </c>
      <c r="T191" s="24" t="inlineStr">
        <is>
          <t>HIGH</t>
        </is>
      </c>
      <c r="U191" s="24" t="inlineStr">
        <is>
          <t>0.4285714285714285</t>
        </is>
      </c>
      <c r="V191" s="24" t="inlineStr">
        <is>
          <t>HIGH_RISK</t>
        </is>
      </c>
      <c r="W191" s="24" t="inlineStr">
        <is>
          <t>고위험</t>
        </is>
      </c>
      <c r="X191" s="24" t="inlineStr">
        <is>
          <t>HIGH_RISK</t>
        </is>
      </c>
      <c r="Y191" s="24" t="inlineStr">
        <is>
          <t>0.8989374267322742</t>
        </is>
      </c>
      <c r="Z191" s="24" t="inlineStr">
        <is>
          <t>HIGH</t>
        </is>
      </c>
      <c r="AA191" s="24" t="inlineStr">
        <is>
          <t>HIGH</t>
        </is>
      </c>
      <c r="AB191" s="24" t="inlineStr">
        <is>
          <t>0.23454395430777328</t>
        </is>
      </c>
      <c r="AC191" s="24" t="inlineStr">
        <is>
          <t>True</t>
        </is>
      </c>
      <c r="AD191" s="24" t="inlineStr">
        <is>
          <t>True</t>
        </is>
      </c>
      <c r="AE191" s="24" t="inlineStr">
        <is>
          <t>valuation_credit_ml_overlay_candidate.csv</t>
        </is>
      </c>
      <c r="AF191" s="24" t="inlineStr">
        <is>
          <t>208개 반도체 reference universe. Valuation Agent가 자체 intake 폴더로 복제해 Peer/ML/대시보드 비교에 사용.</t>
        </is>
      </c>
    </row>
    <row r="192" ht="24" customHeight="1">
      <c r="A192" s="29" t="inlineStr">
        <is>
          <t>100</t>
        </is>
      </c>
      <c r="B192" s="29" t="inlineStr">
        <is>
          <t>해당 없음</t>
        </is>
      </c>
      <c r="C192" s="29" t="inlineStr">
        <is>
          <t>예스티</t>
        </is>
      </c>
      <c r="D192" s="29" t="inlineStr">
        <is>
          <t>122640</t>
        </is>
      </c>
      <c r="E192" s="29" t="inlineStr">
        <is>
          <t>KOSDAQ</t>
        </is>
      </c>
      <c r="F192" s="29" t="inlineStr">
        <is>
          <t>장비</t>
        </is>
      </c>
      <c r="G192" s="29" t="inlineStr">
        <is>
          <t>장비</t>
        </is>
      </c>
      <c r="H192" s="29" t="inlineStr">
        <is>
          <t>False</t>
        </is>
      </c>
      <c r="I192" s="29" t="inlineStr">
        <is>
          <t>True</t>
        </is>
      </c>
      <c r="J192" s="29" t="inlineStr">
        <is>
          <t>OK</t>
        </is>
      </c>
      <c r="K192" s="29" t="inlineStr">
        <is>
          <t>데이터 사용 가능</t>
        </is>
      </c>
      <c r="L192" s="29" t="inlineStr">
        <is>
          <t>LOW</t>
        </is>
      </c>
      <c r="M192" s="29" t="inlineStr">
        <is>
          <t>LOW</t>
        </is>
      </c>
      <c r="N192" s="29" t="inlineStr">
        <is>
          <t>0.2778666666666666</t>
        </is>
      </c>
      <c r="O192" s="29" t="inlineStr">
        <is>
          <t>EXPENSIVE</t>
        </is>
      </c>
      <c r="P192" s="29" t="inlineStr">
        <is>
          <t>EXPENSIVE</t>
        </is>
      </c>
      <c r="Q192" s="29" t="inlineStr">
        <is>
          <t>EXPENSIVE</t>
        </is>
      </c>
      <c r="R192" s="29" t="inlineStr">
        <is>
          <t>0.8070752756860592</t>
        </is>
      </c>
      <c r="S192" s="29" t="inlineStr">
        <is>
          <t>HIGH</t>
        </is>
      </c>
      <c r="T192" s="29" t="inlineStr">
        <is>
          <t>HIGH</t>
        </is>
      </c>
      <c r="U192" s="29" t="inlineStr">
        <is>
          <t>0.2142857142857142</t>
        </is>
      </c>
      <c r="V192" s="29" t="inlineStr">
        <is>
          <t>MEDIUM_RISK</t>
        </is>
      </c>
      <c r="W192" s="29" t="inlineStr">
        <is>
          <t>중위험</t>
        </is>
      </c>
      <c r="X192" s="29" t="inlineStr">
        <is>
          <t>MEDIUM_RISK</t>
        </is>
      </c>
      <c r="Y192" s="29" t="inlineStr">
        <is>
          <t>0.6435379731563315</t>
        </is>
      </c>
      <c r="Z192" s="29" t="inlineStr">
        <is>
          <t>MEDIUM</t>
        </is>
      </c>
      <c r="AA192" s="29" t="inlineStr">
        <is>
          <t>MEDIUM</t>
        </is>
      </c>
      <c r="AB192" s="29" t="inlineStr">
        <is>
          <t>0.013991683799831916</t>
        </is>
      </c>
      <c r="AC192" s="29" t="inlineStr">
        <is>
          <t>False</t>
        </is>
      </c>
      <c r="AD192" s="29" t="inlineStr">
        <is>
          <t>False</t>
        </is>
      </c>
      <c r="AE192" s="29" t="inlineStr">
        <is>
          <t>valuation_credit_ml_overlay_candidate.csv</t>
        </is>
      </c>
      <c r="AF192" s="29" t="inlineStr">
        <is>
          <t>208개 반도체 reference universe. Valuation Agent가 자체 intake 폴더로 복제해 Peer/ML/대시보드 비교에 사용.</t>
        </is>
      </c>
    </row>
    <row r="193" ht="24" customHeight="1">
      <c r="A193" s="24" t="inlineStr">
        <is>
          <t>77</t>
        </is>
      </c>
      <c r="B193" s="24" t="inlineStr">
        <is>
          <t>해당 없음</t>
        </is>
      </c>
      <c r="C193" s="24" t="inlineStr">
        <is>
          <t>기가레인</t>
        </is>
      </c>
      <c r="D193" s="24" t="inlineStr">
        <is>
          <t>049080</t>
        </is>
      </c>
      <c r="E193" s="24" t="inlineStr">
        <is>
          <t>KOSDAQ</t>
        </is>
      </c>
      <c r="F193" s="24" t="inlineStr">
        <is>
          <t>장비</t>
        </is>
      </c>
      <c r="G193" s="24" t="inlineStr">
        <is>
          <t>장비</t>
        </is>
      </c>
      <c r="H193" s="24" t="inlineStr">
        <is>
          <t>False</t>
        </is>
      </c>
      <c r="I193" s="24" t="inlineStr">
        <is>
          <t>True</t>
        </is>
      </c>
      <c r="J193" s="24" t="inlineStr">
        <is>
          <t>OK</t>
        </is>
      </c>
      <c r="K193" s="24" t="inlineStr">
        <is>
          <t>데이터 사용 가능</t>
        </is>
      </c>
      <c r="L193" s="24" t="inlineStr">
        <is>
          <t>LOW</t>
        </is>
      </c>
      <c r="M193" s="24" t="inlineStr">
        <is>
          <t>LOW</t>
        </is>
      </c>
      <c r="N193" s="24" t="inlineStr">
        <is>
          <t>0.2353333333333333</t>
        </is>
      </c>
      <c r="O193" s="24" t="inlineStr">
        <is>
          <t>EXPENSIVE</t>
        </is>
      </c>
      <c r="P193" s="24" t="inlineStr">
        <is>
          <t>EXPENSIVE</t>
        </is>
      </c>
      <c r="Q193" s="24" t="inlineStr">
        <is>
          <t>EXPENSIVE</t>
        </is>
      </c>
      <c r="R193" s="24" t="inlineStr">
        <is>
          <t>0.9628494209555842</t>
        </is>
      </c>
      <c r="S193" s="24" t="inlineStr">
        <is>
          <t>HIGH</t>
        </is>
      </c>
      <c r="T193" s="24" t="inlineStr">
        <is>
          <t>HIGH</t>
        </is>
      </c>
      <c r="U193" s="24" t="inlineStr">
        <is>
          <t>0.5</t>
        </is>
      </c>
      <c r="V193" s="24" t="inlineStr">
        <is>
          <t>HIGH_RISK</t>
        </is>
      </c>
      <c r="W193" s="24" t="inlineStr">
        <is>
          <t>고위험</t>
        </is>
      </c>
      <c r="X193" s="24" t="inlineStr">
        <is>
          <t>HIGH_RISK</t>
        </is>
      </c>
      <c r="Y193" s="24" t="inlineStr">
        <is>
          <t>0.9675100472985046</t>
        </is>
      </c>
      <c r="Z193" s="24" t="inlineStr">
        <is>
          <t>HIGH</t>
        </is>
      </c>
      <c r="AA193" s="24" t="inlineStr">
        <is>
          <t>HIGH</t>
        </is>
      </c>
      <c r="AB193" s="24" t="inlineStr">
        <is>
          <t>0.24264303605410006</t>
        </is>
      </c>
      <c r="AC193" s="24" t="inlineStr">
        <is>
          <t>True</t>
        </is>
      </c>
      <c r="AD193" s="24" t="inlineStr">
        <is>
          <t>True</t>
        </is>
      </c>
      <c r="AE193" s="24" t="inlineStr">
        <is>
          <t>valuation_credit_ml_overlay_candidate.csv</t>
        </is>
      </c>
      <c r="AF193" s="24" t="inlineStr">
        <is>
          <t>208개 반도체 reference universe. Valuation Agent가 자체 intake 폴더로 복제해 Peer/ML/대시보드 비교에 사용.</t>
        </is>
      </c>
    </row>
    <row r="194" ht="24" customHeight="1">
      <c r="A194" s="29" t="inlineStr">
        <is>
          <t>79</t>
        </is>
      </c>
      <c r="B194" s="29" t="inlineStr">
        <is>
          <t>해당 없음</t>
        </is>
      </c>
      <c r="C194" s="29" t="inlineStr">
        <is>
          <t>넥스틴</t>
        </is>
      </c>
      <c r="D194" s="29" t="inlineStr">
        <is>
          <t>348210</t>
        </is>
      </c>
      <c r="E194" s="29" t="inlineStr">
        <is>
          <t>KOSDAQ GLOBAL</t>
        </is>
      </c>
      <c r="F194" s="29" t="inlineStr">
        <is>
          <t>장비</t>
        </is>
      </c>
      <c r="G194" s="29" t="inlineStr">
        <is>
          <t>장비</t>
        </is>
      </c>
      <c r="H194" s="29" t="inlineStr">
        <is>
          <t>False</t>
        </is>
      </c>
      <c r="I194" s="29" t="inlineStr">
        <is>
          <t>True</t>
        </is>
      </c>
      <c r="J194" s="29" t="inlineStr">
        <is>
          <t>OK</t>
        </is>
      </c>
      <c r="K194" s="29" t="inlineStr">
        <is>
          <t>데이터 사용 가능</t>
        </is>
      </c>
      <c r="L194" s="29" t="inlineStr">
        <is>
          <t>LOW</t>
        </is>
      </c>
      <c r="M194" s="29" t="inlineStr">
        <is>
          <t>LOW</t>
        </is>
      </c>
      <c r="N194" s="29" t="inlineStr">
        <is>
          <t>0.2353333333333333</t>
        </is>
      </c>
      <c r="O194" s="29" t="inlineStr">
        <is>
          <t>EXPENSIVE</t>
        </is>
      </c>
      <c r="P194" s="29" t="inlineStr">
        <is>
          <t>EXPENSIVE</t>
        </is>
      </c>
      <c r="Q194" s="29" t="inlineStr">
        <is>
          <t>EXPENSIVE</t>
        </is>
      </c>
      <c r="R194" s="29" t="inlineStr">
        <is>
          <t>0.7906546201121369</t>
        </is>
      </c>
      <c r="S194" s="29" t="inlineStr">
        <is>
          <t>HIGH</t>
        </is>
      </c>
      <c r="T194" s="29" t="inlineStr">
        <is>
          <t>HIGH</t>
        </is>
      </c>
      <c r="U194" s="29" t="inlineStr">
        <is>
          <t>0.4285714285714285</t>
        </is>
      </c>
      <c r="V194" s="29" t="inlineStr">
        <is>
          <t>HIGH_RISK</t>
        </is>
      </c>
      <c r="W194" s="29" t="inlineStr">
        <is>
          <t>고위험</t>
        </is>
      </c>
      <c r="X194" s="29" t="inlineStr">
        <is>
          <t>HIGH_RISK</t>
        </is>
      </c>
      <c r="Y194" s="29" t="inlineStr">
        <is>
          <t>0.8216799677089676</t>
        </is>
      </c>
      <c r="Z194" s="29" t="inlineStr">
        <is>
          <t>HIGH</t>
        </is>
      </c>
      <c r="AA194" s="29" t="inlineStr">
        <is>
          <t>HIGH</t>
        </is>
      </c>
      <c r="AB194" s="29" t="inlineStr">
        <is>
          <t>0.0826003513380603</t>
        </is>
      </c>
      <c r="AC194" s="29" t="inlineStr">
        <is>
          <t>False</t>
        </is>
      </c>
      <c r="AD194" s="29" t="inlineStr">
        <is>
          <t>False</t>
        </is>
      </c>
      <c r="AE194" s="29" t="inlineStr">
        <is>
          <t>valuation_credit_ml_overlay_candidate.csv</t>
        </is>
      </c>
      <c r="AF194" s="29" t="inlineStr">
        <is>
          <t>208개 반도체 reference universe. Valuation Agent가 자체 intake 폴더로 복제해 Peer/ML/대시보드 비교에 사용.</t>
        </is>
      </c>
    </row>
    <row r="195" ht="24" customHeight="1">
      <c r="A195" s="24" t="inlineStr">
        <is>
          <t>110</t>
        </is>
      </c>
      <c r="B195" s="24" t="inlineStr">
        <is>
          <t>해당 없음</t>
        </is>
      </c>
      <c r="C195" s="24" t="inlineStr">
        <is>
          <t>주성엔지니어링</t>
        </is>
      </c>
      <c r="D195" s="24" t="inlineStr">
        <is>
          <t>036930</t>
        </is>
      </c>
      <c r="E195" s="24" t="inlineStr">
        <is>
          <t>KOSDAQ GLOBAL</t>
        </is>
      </c>
      <c r="F195" s="24" t="inlineStr">
        <is>
          <t>장비</t>
        </is>
      </c>
      <c r="G195" s="24" t="inlineStr">
        <is>
          <t>장비</t>
        </is>
      </c>
      <c r="H195" s="24" t="inlineStr">
        <is>
          <t>False</t>
        </is>
      </c>
      <c r="I195" s="24" t="inlineStr">
        <is>
          <t>True</t>
        </is>
      </c>
      <c r="J195" s="24" t="inlineStr">
        <is>
          <t>OK</t>
        </is>
      </c>
      <c r="K195" s="24" t="inlineStr">
        <is>
          <t>데이터 사용 가능</t>
        </is>
      </c>
      <c r="L195" s="24" t="inlineStr">
        <is>
          <t>LOW</t>
        </is>
      </c>
      <c r="M195" s="24" t="inlineStr">
        <is>
          <t>LOW</t>
        </is>
      </c>
      <c r="N195" s="24" t="inlineStr">
        <is>
          <t>0.2335999999999999</t>
        </is>
      </c>
      <c r="O195" s="24" t="inlineStr">
        <is>
          <t>EXPENSIVE</t>
        </is>
      </c>
      <c r="P195" s="24" t="inlineStr">
        <is>
          <t>EXPENSIVE</t>
        </is>
      </c>
      <c r="Q195" s="24" t="inlineStr">
        <is>
          <t>EXPENSIVE</t>
        </is>
      </c>
      <c r="R195" s="24" t="inlineStr">
        <is>
          <t>0.7918979957613304</t>
        </is>
      </c>
      <c r="S195" s="24" t="inlineStr">
        <is>
          <t>HIGH</t>
        </is>
      </c>
      <c r="T195" s="24" t="inlineStr">
        <is>
          <t>HIGH</t>
        </is>
      </c>
      <c r="U195" s="24" t="inlineStr">
        <is>
          <t>0.2857142857142857</t>
        </is>
      </c>
      <c r="V195" s="24" t="inlineStr">
        <is>
          <t>MEDIUM_RISK</t>
        </is>
      </c>
      <c r="W195" s="24" t="inlineStr">
        <is>
          <t>중위험</t>
        </is>
      </c>
      <c r="X195" s="24" t="inlineStr">
        <is>
          <t>MEDIUM_RISK</t>
        </is>
      </c>
      <c r="Y195" s="24" t="inlineStr">
        <is>
          <t>0.4347911224964779</t>
        </is>
      </c>
      <c r="Z195" s="24" t="inlineStr">
        <is>
          <t>LOW</t>
        </is>
      </c>
      <c r="AA195" s="24" t="inlineStr">
        <is>
          <t>LOW</t>
        </is>
      </c>
      <c r="AB195" s="24" t="inlineStr">
        <is>
          <t>0.0617535897003664</t>
        </is>
      </c>
      <c r="AC195" s="24" t="inlineStr">
        <is>
          <t>False</t>
        </is>
      </c>
      <c r="AD195" s="24" t="inlineStr">
        <is>
          <t>True</t>
        </is>
      </c>
      <c r="AE195" s="24" t="inlineStr">
        <is>
          <t>valuation_credit_ml_overlay_candidate.csv</t>
        </is>
      </c>
      <c r="AF195" s="24" t="inlineStr">
        <is>
          <t>208개 반도체 reference universe. Valuation Agent가 자체 intake 폴더로 복제해 Peer/ML/대시보드 비교에 사용.</t>
        </is>
      </c>
    </row>
    <row r="196" ht="24" customHeight="1">
      <c r="A196" s="29" t="inlineStr">
        <is>
          <t>122</t>
        </is>
      </c>
      <c r="B196" s="29" t="inlineStr">
        <is>
          <t>해당 없음</t>
        </is>
      </c>
      <c r="C196" s="29" t="inlineStr">
        <is>
          <t>필옵틱스</t>
        </is>
      </c>
      <c r="D196" s="29" t="inlineStr">
        <is>
          <t>161580</t>
        </is>
      </c>
      <c r="E196" s="29" t="inlineStr">
        <is>
          <t>KOSDAQ</t>
        </is>
      </c>
      <c r="F196" s="29" t="inlineStr">
        <is>
          <t>장비</t>
        </is>
      </c>
      <c r="G196" s="29" t="inlineStr">
        <is>
          <t>장비</t>
        </is>
      </c>
      <c r="H196" s="29" t="inlineStr">
        <is>
          <t>False</t>
        </is>
      </c>
      <c r="I196" s="29" t="inlineStr">
        <is>
          <t>True</t>
        </is>
      </c>
      <c r="J196" s="29" t="inlineStr">
        <is>
          <t>OK</t>
        </is>
      </c>
      <c r="K196" s="29" t="inlineStr">
        <is>
          <t>데이터 사용 가능</t>
        </is>
      </c>
      <c r="L196" s="29" t="inlineStr">
        <is>
          <t>LOW</t>
        </is>
      </c>
      <c r="M196" s="29" t="inlineStr">
        <is>
          <t>LOW</t>
        </is>
      </c>
      <c r="N196" s="29" t="inlineStr">
        <is>
          <t>0.1741333333333333</t>
        </is>
      </c>
      <c r="O196" s="29" t="inlineStr">
        <is>
          <t>EXPENSIVE</t>
        </is>
      </c>
      <c r="P196" s="29" t="inlineStr">
        <is>
          <t>EXPENSIVE</t>
        </is>
      </c>
      <c r="Q196" s="29" t="inlineStr">
        <is>
          <t>EXPENSIVE</t>
        </is>
      </c>
      <c r="R196" s="29" t="inlineStr">
        <is>
          <t>0.9632435860929522</t>
        </is>
      </c>
      <c r="S196" s="29" t="inlineStr">
        <is>
          <t>HIGH</t>
        </is>
      </c>
      <c r="T196" s="29" t="inlineStr">
        <is>
          <t>HIGH</t>
        </is>
      </c>
      <c r="U196" s="29" t="inlineStr">
        <is>
          <t>0.2857142857142857</t>
        </is>
      </c>
      <c r="V196" s="29" t="inlineStr">
        <is>
          <t>MEDIUM_RISK</t>
        </is>
      </c>
      <c r="W196" s="29" t="inlineStr">
        <is>
          <t>중위험</t>
        </is>
      </c>
      <c r="X196" s="29" t="inlineStr">
        <is>
          <t>MEDIUM_RISK</t>
        </is>
      </c>
      <c r="Y196" s="29" t="inlineStr">
        <is>
          <t>0.6167987381468966</t>
        </is>
      </c>
      <c r="Z196" s="29" t="inlineStr">
        <is>
          <t>MEDIUM</t>
        </is>
      </c>
      <c r="AA196" s="29" t="inlineStr">
        <is>
          <t>MEDIUM</t>
        </is>
      </c>
      <c r="AB196" s="29" t="inlineStr">
        <is>
          <t>0.06203854489426491</t>
        </is>
      </c>
      <c r="AC196" s="29" t="inlineStr">
        <is>
          <t>False</t>
        </is>
      </c>
      <c r="AD196" s="29" t="inlineStr">
        <is>
          <t>False</t>
        </is>
      </c>
      <c r="AE196" s="29" t="inlineStr">
        <is>
          <t>valuation_credit_ml_overlay_candidate.csv</t>
        </is>
      </c>
      <c r="AF196" s="29" t="inlineStr">
        <is>
          <t>208개 반도체 reference universe. Valuation Agent가 자체 intake 폴더로 복제해 Peer/ML/대시보드 비교에 사용.</t>
        </is>
      </c>
    </row>
    <row r="197" ht="24" customHeight="1">
      <c r="A197" s="24" t="inlineStr">
        <is>
          <t>62</t>
        </is>
      </c>
      <c r="B197" s="24" t="inlineStr">
        <is>
          <t>해당 없음</t>
        </is>
      </c>
      <c r="C197" s="24" t="inlineStr">
        <is>
          <t>에스에이엠티</t>
        </is>
      </c>
      <c r="D197" s="24" t="inlineStr">
        <is>
          <t>031330</t>
        </is>
      </c>
      <c r="E197" s="24" t="inlineStr">
        <is>
          <t>KOSDAQ</t>
        </is>
      </c>
      <c r="F197" s="24" t="inlineStr">
        <is>
          <t>팹리스/설계</t>
        </is>
      </c>
      <c r="G197" s="24" t="inlineStr">
        <is>
          <t>팹리스/설계</t>
        </is>
      </c>
      <c r="H197" s="24" t="inlineStr">
        <is>
          <t>False</t>
        </is>
      </c>
      <c r="I197" s="24" t="inlineStr">
        <is>
          <t>True</t>
        </is>
      </c>
      <c r="J197" s="24" t="inlineStr">
        <is>
          <t>OK</t>
        </is>
      </c>
      <c r="K197" s="24" t="inlineStr">
        <is>
          <t>데이터 사용 가능</t>
        </is>
      </c>
      <c r="L197" s="24" t="inlineStr">
        <is>
          <t>LOW</t>
        </is>
      </c>
      <c r="M197" s="24" t="inlineStr">
        <is>
          <t>LOW</t>
        </is>
      </c>
      <c r="N197" s="24" t="inlineStr">
        <is>
          <t>0.7838383838383839</t>
        </is>
      </c>
      <c r="O197" s="24" t="inlineStr">
        <is>
          <t>FAIR</t>
        </is>
      </c>
      <c r="P197" s="24" t="inlineStr">
        <is>
          <t>FAIR</t>
        </is>
      </c>
      <c r="Q197" s="24" t="inlineStr">
        <is>
          <t>FAIR</t>
        </is>
      </c>
      <c r="R197" s="24" t="inlineStr">
        <is>
          <t>0.8575928985222669</t>
        </is>
      </c>
      <c r="S197" s="24" t="inlineStr">
        <is>
          <t>HIGH</t>
        </is>
      </c>
      <c r="T197" s="24" t="inlineStr">
        <is>
          <t>HIGH</t>
        </is>
      </c>
      <c r="U197" s="24" t="inlineStr">
        <is>
          <t>0.5</t>
        </is>
      </c>
      <c r="V197" s="24" t="inlineStr">
        <is>
          <t>HIGH_RISK</t>
        </is>
      </c>
      <c r="W197" s="24" t="inlineStr">
        <is>
          <t>고위험</t>
        </is>
      </c>
      <c r="X197" s="24" t="inlineStr">
        <is>
          <t>HIGH_RISK</t>
        </is>
      </c>
      <c r="Y197" s="24" t="inlineStr">
        <is>
          <t>0.5021487096911619</t>
        </is>
      </c>
      <c r="Z197" s="24" t="inlineStr">
        <is>
          <t>MEDIUM</t>
        </is>
      </c>
      <c r="AA197" s="24" t="inlineStr">
        <is>
          <t>MEDIUM</t>
        </is>
      </c>
      <c r="AB197" s="24" t="inlineStr">
        <is>
          <t>0.11372149345925425</t>
        </is>
      </c>
      <c r="AC197" s="24" t="inlineStr">
        <is>
          <t>False</t>
        </is>
      </c>
      <c r="AD197" s="24" t="inlineStr">
        <is>
          <t>False</t>
        </is>
      </c>
      <c r="AE197" s="24" t="inlineStr">
        <is>
          <t>valuation_credit_ml_overlay_candidate.csv</t>
        </is>
      </c>
      <c r="AF197" s="24" t="inlineStr">
        <is>
          <t>208개 반도체 reference universe. Valuation Agent가 자체 intake 폴더로 복제해 Peer/ML/대시보드 비교에 사용.</t>
        </is>
      </c>
    </row>
    <row r="198" ht="24" customHeight="1">
      <c r="A198" s="29" t="inlineStr">
        <is>
          <t>65</t>
        </is>
      </c>
      <c r="B198" s="29" t="inlineStr">
        <is>
          <t>해당 없음</t>
        </is>
      </c>
      <c r="C198" s="29" t="inlineStr">
        <is>
          <t>유니트론텍</t>
        </is>
      </c>
      <c r="D198" s="29" t="inlineStr">
        <is>
          <t>142210</t>
        </is>
      </c>
      <c r="E198" s="29" t="inlineStr">
        <is>
          <t>KOSDAQ</t>
        </is>
      </c>
      <c r="F198" s="29" t="inlineStr">
        <is>
          <t>팹리스/설계</t>
        </is>
      </c>
      <c r="G198" s="29" t="inlineStr">
        <is>
          <t>팹리스/설계</t>
        </is>
      </c>
      <c r="H198" s="29" t="inlineStr">
        <is>
          <t>False</t>
        </is>
      </c>
      <c r="I198" s="29" t="inlineStr">
        <is>
          <t>True</t>
        </is>
      </c>
      <c r="J198" s="29" t="inlineStr">
        <is>
          <t>OK</t>
        </is>
      </c>
      <c r="K198" s="29" t="inlineStr">
        <is>
          <t>데이터 사용 가능</t>
        </is>
      </c>
      <c r="L198" s="29" t="inlineStr">
        <is>
          <t>LOW</t>
        </is>
      </c>
      <c r="M198" s="29" t="inlineStr">
        <is>
          <t>LOW</t>
        </is>
      </c>
      <c r="N198" s="29" t="inlineStr">
        <is>
          <t>0.7478787878787879</t>
        </is>
      </c>
      <c r="O198" s="29" t="inlineStr">
        <is>
          <t>FAIR</t>
        </is>
      </c>
      <c r="P198" s="29" t="inlineStr">
        <is>
          <t>FAIR</t>
        </is>
      </c>
      <c r="Q198" s="29" t="inlineStr">
        <is>
          <t>FAIR</t>
        </is>
      </c>
      <c r="R198" s="29" t="inlineStr">
        <is>
          <t>0.8593164302034415</t>
        </is>
      </c>
      <c r="S198" s="29" t="inlineStr">
        <is>
          <t>HIGH</t>
        </is>
      </c>
      <c r="T198" s="29" t="inlineStr">
        <is>
          <t>HIGH</t>
        </is>
      </c>
      <c r="U198" s="29" t="inlineStr">
        <is>
          <t>0.3571428571428571</t>
        </is>
      </c>
      <c r="V198" s="29" t="inlineStr">
        <is>
          <t>MEDIUM_RISK</t>
        </is>
      </c>
      <c r="W198" s="29" t="inlineStr">
        <is>
          <t>중위험</t>
        </is>
      </c>
      <c r="X198" s="29" t="inlineStr">
        <is>
          <t>MEDIUM_RISK</t>
        </is>
      </c>
      <c r="Y198" s="29" t="inlineStr">
        <is>
          <t>0.6687746551665015</t>
        </is>
      </c>
      <c r="Z198" s="29" t="inlineStr">
        <is>
          <t>MEDIUM</t>
        </is>
      </c>
      <c r="AA198" s="29" t="inlineStr">
        <is>
          <t>MEDIUM</t>
        </is>
      </c>
      <c r="AB198" s="29" t="inlineStr">
        <is>
          <t>0.05354194050015521</t>
        </is>
      </c>
      <c r="AC198" s="29" t="inlineStr">
        <is>
          <t>False</t>
        </is>
      </c>
      <c r="AD198" s="29" t="inlineStr">
        <is>
          <t>False</t>
        </is>
      </c>
      <c r="AE198" s="29" t="inlineStr">
        <is>
          <t>valuation_credit_ml_overlay_candidate.csv</t>
        </is>
      </c>
      <c r="AF198" s="29" t="inlineStr">
        <is>
          <t>208개 반도체 reference universe. Valuation Agent가 자체 intake 폴더로 복제해 Peer/ML/대시보드 비교에 사용.</t>
        </is>
      </c>
    </row>
    <row r="199" ht="24" customHeight="1">
      <c r="A199" s="24" t="inlineStr">
        <is>
          <t>60</t>
        </is>
      </c>
      <c r="B199" s="24" t="inlineStr">
        <is>
          <t>해당 없음</t>
        </is>
      </c>
      <c r="C199" s="24" t="inlineStr">
        <is>
          <t>앤씨앤</t>
        </is>
      </c>
      <c r="D199" s="24" t="inlineStr">
        <is>
          <t>092600</t>
        </is>
      </c>
      <c r="E199" s="24" t="inlineStr">
        <is>
          <t>KOSDAQ</t>
        </is>
      </c>
      <c r="F199" s="24" t="inlineStr">
        <is>
          <t>팹리스/설계</t>
        </is>
      </c>
      <c r="G199" s="24" t="inlineStr">
        <is>
          <t>팹리스/설계</t>
        </is>
      </c>
      <c r="H199" s="24" t="inlineStr">
        <is>
          <t>False</t>
        </is>
      </c>
      <c r="I199" s="24" t="inlineStr">
        <is>
          <t>True</t>
        </is>
      </c>
      <c r="J199" s="24" t="inlineStr">
        <is>
          <t>OK</t>
        </is>
      </c>
      <c r="K199" s="24" t="inlineStr">
        <is>
          <t>데이터 사용 가능</t>
        </is>
      </c>
      <c r="L199" s="24" t="inlineStr">
        <is>
          <t>LOW</t>
        </is>
      </c>
      <c r="M199" s="24" t="inlineStr">
        <is>
          <t>LOW</t>
        </is>
      </c>
      <c r="N199" s="24" t="inlineStr">
        <is>
          <t>0.7450505050505051</t>
        </is>
      </c>
      <c r="O199" s="24" t="inlineStr">
        <is>
          <t>FAIR</t>
        </is>
      </c>
      <c r="P199" s="24" t="inlineStr">
        <is>
          <t>FAIR</t>
        </is>
      </c>
      <c r="Q199" s="24" t="inlineStr">
        <is>
          <t>FAIR</t>
        </is>
      </c>
      <c r="R199" s="24" t="inlineStr">
        <is>
          <t>0.8450252323777523</t>
        </is>
      </c>
      <c r="S199" s="24" t="inlineStr">
        <is>
          <t>HIGH</t>
        </is>
      </c>
      <c r="T199" s="24" t="inlineStr">
        <is>
          <t>HIGH</t>
        </is>
      </c>
      <c r="U199" s="24" t="inlineStr">
        <is>
          <t>0.5</t>
        </is>
      </c>
      <c r="V199" s="24" t="inlineStr">
        <is>
          <t>HIGH_RISK</t>
        </is>
      </c>
      <c r="W199" s="24" t="inlineStr">
        <is>
          <t>고위험</t>
        </is>
      </c>
      <c r="X199" s="24" t="inlineStr">
        <is>
          <t>HIGH_RISK</t>
        </is>
      </c>
      <c r="Y199" s="24" t="inlineStr">
        <is>
          <t>0.6852720703017778</t>
        </is>
      </c>
      <c r="Z199" s="24" t="inlineStr">
        <is>
          <t>MEDIUM</t>
        </is>
      </c>
      <c r="AA199" s="24" t="inlineStr">
        <is>
          <t>MEDIUM</t>
        </is>
      </c>
      <c r="AB199" s="24" t="inlineStr">
        <is>
          <t>0.05126917274476802</t>
        </is>
      </c>
      <c r="AC199" s="24" t="inlineStr">
        <is>
          <t>False</t>
        </is>
      </c>
      <c r="AD199" s="24" t="inlineStr">
        <is>
          <t>False</t>
        </is>
      </c>
      <c r="AE199" s="24" t="inlineStr">
        <is>
          <t>valuation_credit_ml_overlay_candidate.csv</t>
        </is>
      </c>
      <c r="AF199" s="24" t="inlineStr">
        <is>
          <t>208개 반도체 reference universe. Valuation Agent가 자체 intake 폴더로 복제해 Peer/ML/대시보드 비교에 사용.</t>
        </is>
      </c>
    </row>
    <row r="200" ht="24" customHeight="1">
      <c r="A200" s="29" t="inlineStr">
        <is>
          <t>47</t>
        </is>
      </c>
      <c r="B200" s="29" t="inlineStr">
        <is>
          <t>해당 없음</t>
        </is>
      </c>
      <c r="C200" s="29" t="inlineStr">
        <is>
          <t>마이크로컨텍솔</t>
        </is>
      </c>
      <c r="D200" s="29" t="inlineStr">
        <is>
          <t>098120</t>
        </is>
      </c>
      <c r="E200" s="29" t="inlineStr">
        <is>
          <t>KOSDAQ</t>
        </is>
      </c>
      <c r="F200" s="29" t="inlineStr">
        <is>
          <t>팹리스/설계</t>
        </is>
      </c>
      <c r="G200" s="29" t="inlineStr">
        <is>
          <t>팹리스/설계</t>
        </is>
      </c>
      <c r="H200" s="29" t="inlineStr">
        <is>
          <t>False</t>
        </is>
      </c>
      <c r="I200" s="29" t="inlineStr">
        <is>
          <t>True</t>
        </is>
      </c>
      <c r="J200" s="29" t="inlineStr">
        <is>
          <t>OK</t>
        </is>
      </c>
      <c r="K200" s="29" t="inlineStr">
        <is>
          <t>데이터 사용 가능</t>
        </is>
      </c>
      <c r="L200" s="29" t="inlineStr">
        <is>
          <t>LOW</t>
        </is>
      </c>
      <c r="M200" s="29" t="inlineStr">
        <is>
          <t>LOW</t>
        </is>
      </c>
      <c r="N200" s="29" t="inlineStr">
        <is>
          <t>0.7383838383838384</t>
        </is>
      </c>
      <c r="O200" s="29" t="inlineStr">
        <is>
          <t>ATTRACTIVE</t>
        </is>
      </c>
      <c r="P200" s="29" t="inlineStr">
        <is>
          <t>가치 매력</t>
        </is>
      </c>
      <c r="Q200" s="29" t="inlineStr">
        <is>
          <t>ATTRACTIVE</t>
        </is>
      </c>
      <c r="R200" s="29" t="inlineStr">
        <is>
          <t>0.8262966149459129</t>
        </is>
      </c>
      <c r="S200" s="29" t="inlineStr">
        <is>
          <t>HIGH</t>
        </is>
      </c>
      <c r="T200" s="29" t="inlineStr">
        <is>
          <t>HIGH</t>
        </is>
      </c>
      <c r="U200" s="29" t="inlineStr">
        <is>
          <t>0.1428571428571428</t>
        </is>
      </c>
      <c r="V200" s="29" t="inlineStr">
        <is>
          <t>LOW_RISK</t>
        </is>
      </c>
      <c r="W200" s="29" t="inlineStr">
        <is>
          <t>저위험</t>
        </is>
      </c>
      <c r="X200" s="29" t="inlineStr">
        <is>
          <t>LOW_RISK</t>
        </is>
      </c>
      <c r="Y200" s="29" t="inlineStr">
        <is>
          <t>0.7491981695245683</t>
        </is>
      </c>
      <c r="Z200" s="29" t="inlineStr">
        <is>
          <t>HIGH</t>
        </is>
      </c>
      <c r="AA200" s="29" t="inlineStr">
        <is>
          <t>HIGH</t>
        </is>
      </c>
      <c r="AB200" s="29" t="inlineStr">
        <is>
          <t>0.08427857084894262</t>
        </is>
      </c>
      <c r="AC200" s="29" t="inlineStr">
        <is>
          <t>False</t>
        </is>
      </c>
      <c r="AD200" s="29" t="inlineStr">
        <is>
          <t>False</t>
        </is>
      </c>
      <c r="AE200" s="29" t="inlineStr">
        <is>
          <t>valuation_credit_ml_overlay_candidate.csv</t>
        </is>
      </c>
      <c r="AF200" s="29" t="inlineStr">
        <is>
          <t>208개 반도체 reference universe. Valuation Agent가 자체 intake 폴더로 복제해 Peer/ML/대시보드 비교에 사용.</t>
        </is>
      </c>
    </row>
    <row r="201" ht="24" customHeight="1">
      <c r="A201" s="24" t="inlineStr">
        <is>
          <t>55</t>
        </is>
      </c>
      <c r="B201" s="24" t="inlineStr">
        <is>
          <t>해당 없음</t>
        </is>
      </c>
      <c r="C201" s="24" t="inlineStr">
        <is>
          <t>아이앤씨</t>
        </is>
      </c>
      <c r="D201" s="24" t="inlineStr">
        <is>
          <t>052860</t>
        </is>
      </c>
      <c r="E201" s="24" t="inlineStr">
        <is>
          <t>KOSDAQ</t>
        </is>
      </c>
      <c r="F201" s="24" t="inlineStr">
        <is>
          <t>팹리스/설계</t>
        </is>
      </c>
      <c r="G201" s="24" t="inlineStr">
        <is>
          <t>팹리스/설계</t>
        </is>
      </c>
      <c r="H201" s="24" t="inlineStr">
        <is>
          <t>False</t>
        </is>
      </c>
      <c r="I201" s="24" t="inlineStr">
        <is>
          <t>True</t>
        </is>
      </c>
      <c r="J201" s="24" t="inlineStr">
        <is>
          <t>OK</t>
        </is>
      </c>
      <c r="K201" s="24" t="inlineStr">
        <is>
          <t>데이터 사용 가능</t>
        </is>
      </c>
      <c r="L201" s="24" t="inlineStr">
        <is>
          <t>LOW</t>
        </is>
      </c>
      <c r="M201" s="24" t="inlineStr">
        <is>
          <t>LOW</t>
        </is>
      </c>
      <c r="N201" s="24" t="inlineStr">
        <is>
          <t>0.7325252525252526</t>
        </is>
      </c>
      <c r="O201" s="24" t="inlineStr">
        <is>
          <t>ATTRACTIVE</t>
        </is>
      </c>
      <c r="P201" s="24" t="inlineStr">
        <is>
          <t>가치 매력</t>
        </is>
      </c>
      <c r="Q201" s="24" t="inlineStr">
        <is>
          <t>ATTRACTIVE</t>
        </is>
      </c>
      <c r="R201" s="24" t="inlineStr">
        <is>
          <t>0.9267130449922303</t>
        </is>
      </c>
      <c r="S201" s="24" t="inlineStr">
        <is>
          <t>HIGH</t>
        </is>
      </c>
      <c r="T201" s="24" t="inlineStr">
        <is>
          <t>HIGH</t>
        </is>
      </c>
      <c r="U201" s="24" t="inlineStr">
        <is>
          <t>0.0</t>
        </is>
      </c>
      <c r="V201" s="24" t="inlineStr">
        <is>
          <t>LOW_RISK</t>
        </is>
      </c>
      <c r="W201" s="24" t="inlineStr">
        <is>
          <t>저위험</t>
        </is>
      </c>
      <c r="X201" s="24" t="inlineStr">
        <is>
          <t>LOW_RISK</t>
        </is>
      </c>
      <c r="Y201" s="24" t="inlineStr">
        <is>
          <t>0.8920304728976969</t>
        </is>
      </c>
      <c r="Z201" s="24" t="inlineStr">
        <is>
          <t>HIGH</t>
        </is>
      </c>
      <c r="AA201" s="24" t="inlineStr">
        <is>
          <t>HIGH</t>
        </is>
      </c>
      <c r="AB201" s="24" t="inlineStr">
        <is>
          <t>0.022475117759514655</t>
        </is>
      </c>
      <c r="AC201" s="24" t="inlineStr">
        <is>
          <t>False</t>
        </is>
      </c>
      <c r="AD201" s="24" t="inlineStr">
        <is>
          <t>False</t>
        </is>
      </c>
      <c r="AE201" s="24" t="inlineStr">
        <is>
          <t>valuation_credit_ml_overlay_candidate.csv</t>
        </is>
      </c>
      <c r="AF201" s="24" t="inlineStr">
        <is>
          <t>208개 반도체 reference universe. Valuation Agent가 자체 intake 폴더로 복제해 Peer/ML/대시보드 비교에 사용.</t>
        </is>
      </c>
    </row>
    <row r="202" ht="24" customHeight="1">
      <c r="A202" s="29" t="inlineStr">
        <is>
          <t>48</t>
        </is>
      </c>
      <c r="B202" s="29" t="inlineStr">
        <is>
          <t>해당 없음</t>
        </is>
      </c>
      <c r="C202" s="29" t="inlineStr">
        <is>
          <t>매커스</t>
        </is>
      </c>
      <c r="D202" s="29" t="inlineStr">
        <is>
          <t>093520</t>
        </is>
      </c>
      <c r="E202" s="29" t="inlineStr">
        <is>
          <t>KOSDAQ</t>
        </is>
      </c>
      <c r="F202" s="29" t="inlineStr">
        <is>
          <t>팹리스/설계</t>
        </is>
      </c>
      <c r="G202" s="29" t="inlineStr">
        <is>
          <t>팹리스/설계</t>
        </is>
      </c>
      <c r="H202" s="29" t="inlineStr">
        <is>
          <t>False</t>
        </is>
      </c>
      <c r="I202" s="29" t="inlineStr">
        <is>
          <t>True</t>
        </is>
      </c>
      <c r="J202" s="29" t="inlineStr">
        <is>
          <t>OK</t>
        </is>
      </c>
      <c r="K202" s="29" t="inlineStr">
        <is>
          <t>데이터 사용 가능</t>
        </is>
      </c>
      <c r="L202" s="29" t="inlineStr">
        <is>
          <t>LOW</t>
        </is>
      </c>
      <c r="M202" s="29" t="inlineStr">
        <is>
          <t>LOW</t>
        </is>
      </c>
      <c r="N202" s="29" t="inlineStr">
        <is>
          <t>0.7056565656565656</t>
        </is>
      </c>
      <c r="O202" s="29" t="inlineStr">
        <is>
          <t>ATTRACTIVE</t>
        </is>
      </c>
      <c r="P202" s="29" t="inlineStr">
        <is>
          <t>가치 매력</t>
        </is>
      </c>
      <c r="Q202" s="29" t="inlineStr">
        <is>
          <t>ATTRACTIVE</t>
        </is>
      </c>
      <c r="R202" s="29" t="inlineStr">
        <is>
          <t>0.9375173489226767</t>
        </is>
      </c>
      <c r="S202" s="29" t="inlineStr">
        <is>
          <t>HIGH</t>
        </is>
      </c>
      <c r="T202" s="29" t="inlineStr">
        <is>
          <t>HIGH</t>
        </is>
      </c>
      <c r="U202" s="29" t="inlineStr">
        <is>
          <t>0.0</t>
        </is>
      </c>
      <c r="V202" s="29" t="inlineStr">
        <is>
          <t>LOW_RISK</t>
        </is>
      </c>
      <c r="W202" s="29" t="inlineStr">
        <is>
          <t>저위험</t>
        </is>
      </c>
      <c r="X202" s="29" t="inlineStr">
        <is>
          <t>LOW_RISK</t>
        </is>
      </c>
      <c r="Y202" s="29" t="inlineStr">
        <is>
          <t>0.8297390345025338</t>
        </is>
      </c>
      <c r="Z202" s="29" t="inlineStr">
        <is>
          <t>HIGH</t>
        </is>
      </c>
      <c r="AA202" s="29" t="inlineStr">
        <is>
          <t>HIGH</t>
        </is>
      </c>
      <c r="AB202" s="29" t="inlineStr">
        <is>
          <t>0.08420442573717486</t>
        </is>
      </c>
      <c r="AC202" s="29" t="inlineStr">
        <is>
          <t>False</t>
        </is>
      </c>
      <c r="AD202" s="29" t="inlineStr">
        <is>
          <t>False</t>
        </is>
      </c>
      <c r="AE202" s="29" t="inlineStr">
        <is>
          <t>valuation_credit_ml_overlay_candidate.csv</t>
        </is>
      </c>
      <c r="AF202" s="29" t="inlineStr">
        <is>
          <t>208개 반도체 reference universe. Valuation Agent가 자체 intake 폴더로 복제해 Peer/ML/대시보드 비교에 사용.</t>
        </is>
      </c>
    </row>
    <row r="203" ht="24" customHeight="1">
      <c r="A203" s="24" t="inlineStr">
        <is>
          <t>41</t>
        </is>
      </c>
      <c r="B203" s="24" t="inlineStr">
        <is>
          <t>해당 없음</t>
        </is>
      </c>
      <c r="C203" s="24" t="inlineStr">
        <is>
          <t>LX세미콘</t>
        </is>
      </c>
      <c r="D203" s="24" t="inlineStr">
        <is>
          <t>108320</t>
        </is>
      </c>
      <c r="E203" s="24" t="inlineStr">
        <is>
          <t>KOSPI</t>
        </is>
      </c>
      <c r="F203" s="24" t="inlineStr">
        <is>
          <t>팹리스/설계</t>
        </is>
      </c>
      <c r="G203" s="24" t="inlineStr">
        <is>
          <t>팹리스/설계</t>
        </is>
      </c>
      <c r="H203" s="24" t="inlineStr">
        <is>
          <t>False</t>
        </is>
      </c>
      <c r="I203" s="24" t="inlineStr">
        <is>
          <t>True</t>
        </is>
      </c>
      <c r="J203" s="24" t="inlineStr">
        <is>
          <t>OK</t>
        </is>
      </c>
      <c r="K203" s="24" t="inlineStr">
        <is>
          <t>데이터 사용 가능</t>
        </is>
      </c>
      <c r="L203" s="24" t="inlineStr">
        <is>
          <t>LOW</t>
        </is>
      </c>
      <c r="M203" s="24" t="inlineStr">
        <is>
          <t>LOW</t>
        </is>
      </c>
      <c r="N203" s="24" t="inlineStr">
        <is>
          <t>0.6953535353535354</t>
        </is>
      </c>
      <c r="O203" s="24" t="inlineStr">
        <is>
          <t>ATTRACTIVE</t>
        </is>
      </c>
      <c r="P203" s="24" t="inlineStr">
        <is>
          <t>가치 매력</t>
        </is>
      </c>
      <c r="Q203" s="24" t="inlineStr">
        <is>
          <t>ATTRACTIVE</t>
        </is>
      </c>
      <c r="R203" s="24" t="inlineStr">
        <is>
          <t>0.951012131492064</t>
        </is>
      </c>
      <c r="S203" s="24" t="inlineStr">
        <is>
          <t>HIGH</t>
        </is>
      </c>
      <c r="T203" s="24" t="inlineStr">
        <is>
          <t>HIGH</t>
        </is>
      </c>
      <c r="U203" s="24" t="inlineStr">
        <is>
          <t>0.0</t>
        </is>
      </c>
      <c r="V203" s="24" t="inlineStr">
        <is>
          <t>LOW_RISK</t>
        </is>
      </c>
      <c r="W203" s="24" t="inlineStr">
        <is>
          <t>저위험</t>
        </is>
      </c>
      <c r="X203" s="24" t="inlineStr">
        <is>
          <t>LOW_RISK</t>
        </is>
      </c>
      <c r="Y203" s="24" t="inlineStr">
        <is>
          <t>0.9675260077633142</t>
        </is>
      </c>
      <c r="Z203" s="24" t="inlineStr">
        <is>
          <t>HIGH</t>
        </is>
      </c>
      <c r="AA203" s="24" t="inlineStr">
        <is>
          <t>HIGH</t>
        </is>
      </c>
      <c r="AB203" s="24" t="inlineStr">
        <is>
          <t>0.0526549169074082</t>
        </is>
      </c>
      <c r="AC203" s="24" t="inlineStr">
        <is>
          <t>False</t>
        </is>
      </c>
      <c r="AD203" s="24" t="inlineStr">
        <is>
          <t>False</t>
        </is>
      </c>
      <c r="AE203" s="24" t="inlineStr">
        <is>
          <t>valuation_credit_ml_overlay_candidate.csv</t>
        </is>
      </c>
      <c r="AF203" s="24" t="inlineStr">
        <is>
          <t>208개 반도체 reference universe. Valuation Agent가 자체 intake 폴더로 복제해 Peer/ML/대시보드 비교에 사용.</t>
        </is>
      </c>
    </row>
    <row r="204" ht="24" customHeight="1">
      <c r="A204" s="29" t="inlineStr">
        <is>
          <t>61</t>
        </is>
      </c>
      <c r="B204" s="29" t="inlineStr">
        <is>
          <t>해당 없음</t>
        </is>
      </c>
      <c r="C204" s="29" t="inlineStr">
        <is>
          <t>어보브반도체</t>
        </is>
      </c>
      <c r="D204" s="29" t="inlineStr">
        <is>
          <t>102120</t>
        </is>
      </c>
      <c r="E204" s="29" t="inlineStr">
        <is>
          <t>KOSDAQ</t>
        </is>
      </c>
      <c r="F204" s="29" t="inlineStr">
        <is>
          <t>팹리스/설계</t>
        </is>
      </c>
      <c r="G204" s="29" t="inlineStr">
        <is>
          <t>팹리스/설계</t>
        </is>
      </c>
      <c r="H204" s="29" t="inlineStr">
        <is>
          <t>False</t>
        </is>
      </c>
      <c r="I204" s="29" t="inlineStr">
        <is>
          <t>True</t>
        </is>
      </c>
      <c r="J204" s="29" t="inlineStr">
        <is>
          <t>OK</t>
        </is>
      </c>
      <c r="K204" s="29" t="inlineStr">
        <is>
          <t>데이터 사용 가능</t>
        </is>
      </c>
      <c r="L204" s="29" t="inlineStr">
        <is>
          <t>LOW</t>
        </is>
      </c>
      <c r="M204" s="29" t="inlineStr">
        <is>
          <t>LOW</t>
        </is>
      </c>
      <c r="N204" s="29" t="inlineStr">
        <is>
          <t>0.6933333333333332</t>
        </is>
      </c>
      <c r="O204" s="29" t="inlineStr">
        <is>
          <t>FAIR</t>
        </is>
      </c>
      <c r="P204" s="29" t="inlineStr">
        <is>
          <t>FAIR</t>
        </is>
      </c>
      <c r="Q204" s="29" t="inlineStr">
        <is>
          <t>FAIR</t>
        </is>
      </c>
      <c r="R204" s="29" t="inlineStr">
        <is>
          <t>0.9028406871788379</t>
        </is>
      </c>
      <c r="S204" s="29" t="inlineStr">
        <is>
          <t>HIGH</t>
        </is>
      </c>
      <c r="T204" s="29" t="inlineStr">
        <is>
          <t>HIGH</t>
        </is>
      </c>
      <c r="U204" s="29" t="inlineStr">
        <is>
          <t>0.0714285714285714</t>
        </is>
      </c>
      <c r="V204" s="29" t="inlineStr">
        <is>
          <t>LOW_RISK</t>
        </is>
      </c>
      <c r="W204" s="29" t="inlineStr">
        <is>
          <t>저위험</t>
        </is>
      </c>
      <c r="X204" s="29" t="inlineStr">
        <is>
          <t>LOW_RISK</t>
        </is>
      </c>
      <c r="Y204" s="29" t="inlineStr">
        <is>
          <t>0.7134163381020407</t>
        </is>
      </c>
      <c r="Z204" s="29" t="inlineStr">
        <is>
          <t>HIGH</t>
        </is>
      </c>
      <c r="AA204" s="29" t="inlineStr">
        <is>
          <t>HIGH</t>
        </is>
      </c>
      <c r="AB204" s="29" t="inlineStr">
        <is>
          <t>0.020764615542161708</t>
        </is>
      </c>
      <c r="AC204" s="29" t="inlineStr">
        <is>
          <t>False</t>
        </is>
      </c>
      <c r="AD204" s="29" t="inlineStr">
        <is>
          <t>False</t>
        </is>
      </c>
      <c r="AE204" s="29" t="inlineStr">
        <is>
          <t>valuation_credit_ml_overlay_candidate.csv</t>
        </is>
      </c>
      <c r="AF204" s="29" t="inlineStr">
        <is>
          <t>208개 반도체 reference universe. Valuation Agent가 자체 intake 폴더로 복제해 Peer/ML/대시보드 비교에 사용.</t>
        </is>
      </c>
    </row>
    <row r="205" ht="24" customHeight="1">
      <c r="A205" s="24" t="inlineStr">
        <is>
          <t>58</t>
        </is>
      </c>
      <c r="B205" s="24" t="inlineStr">
        <is>
          <t>해당 없음</t>
        </is>
      </c>
      <c r="C205" s="24" t="inlineStr">
        <is>
          <t>알에프세미</t>
        </is>
      </c>
      <c r="D205" s="24" t="inlineStr">
        <is>
          <t>096610</t>
        </is>
      </c>
      <c r="E205" s="24" t="inlineStr">
        <is>
          <t>KOSDAQ</t>
        </is>
      </c>
      <c r="F205" s="24" t="inlineStr">
        <is>
          <t>팹리스/설계</t>
        </is>
      </c>
      <c r="G205" s="24" t="inlineStr">
        <is>
          <t>팹리스/설계</t>
        </is>
      </c>
      <c r="H205" s="24" t="inlineStr">
        <is>
          <t>False</t>
        </is>
      </c>
      <c r="I205" s="24" t="inlineStr">
        <is>
          <t>True</t>
        </is>
      </c>
      <c r="J205" s="24" t="inlineStr">
        <is>
          <t>OK</t>
        </is>
      </c>
      <c r="K205" s="24" t="inlineStr">
        <is>
          <t>데이터 사용 가능</t>
        </is>
      </c>
      <c r="L205" s="24" t="inlineStr">
        <is>
          <t>LOW</t>
        </is>
      </c>
      <c r="M205" s="24" t="inlineStr">
        <is>
          <t>LOW</t>
        </is>
      </c>
      <c r="N205" s="24" t="inlineStr">
        <is>
          <t>0.603030303030303</t>
        </is>
      </c>
      <c r="O205" s="24" t="inlineStr">
        <is>
          <t>ATTRACTIVE</t>
        </is>
      </c>
      <c r="P205" s="24" t="inlineStr">
        <is>
          <t>가치 매력</t>
        </is>
      </c>
      <c r="Q205" s="24" t="inlineStr">
        <is>
          <t>ATTRACTIVE</t>
        </is>
      </c>
      <c r="R205" s="24" t="inlineStr">
        <is>
          <t>0.8083150256499313</t>
        </is>
      </c>
      <c r="S205" s="24" t="inlineStr">
        <is>
          <t>HIGH</t>
        </is>
      </c>
      <c r="T205" s="24" t="inlineStr">
        <is>
          <t>HIGH</t>
        </is>
      </c>
      <c r="U205" s="24" t="inlineStr">
        <is>
          <t>0.0714285714285714</t>
        </is>
      </c>
      <c r="V205" s="24" t="inlineStr">
        <is>
          <t>LOW_RISK</t>
        </is>
      </c>
      <c r="W205" s="24" t="inlineStr">
        <is>
          <t>저위험</t>
        </is>
      </c>
      <c r="X205" s="24" t="inlineStr">
        <is>
          <t>LOW_RISK</t>
        </is>
      </c>
      <c r="Y205" s="24" t="inlineStr">
        <is>
          <t>0.8655657172147194</t>
        </is>
      </c>
      <c r="Z205" s="24" t="inlineStr">
        <is>
          <t>HIGH</t>
        </is>
      </c>
      <c r="AA205" s="24" t="inlineStr">
        <is>
          <t>HIGH</t>
        </is>
      </c>
      <c r="AB205" s="24" t="inlineStr">
        <is>
          <t>0.30686355706948754</t>
        </is>
      </c>
      <c r="AC205" s="24" t="inlineStr">
        <is>
          <t>True</t>
        </is>
      </c>
      <c r="AD205" s="24" t="inlineStr">
        <is>
          <t>True</t>
        </is>
      </c>
      <c r="AE205" s="24" t="inlineStr">
        <is>
          <t>valuation_credit_ml_overlay_candidate.csv</t>
        </is>
      </c>
      <c r="AF205" s="24" t="inlineStr">
        <is>
          <t>208개 반도체 reference universe. Valuation Agent가 자체 intake 폴더로 복제해 Peer/ML/대시보드 비교에 사용.</t>
        </is>
      </c>
    </row>
    <row r="206" ht="24" customHeight="1">
      <c r="A206" s="29" t="inlineStr">
        <is>
          <t>66</t>
        </is>
      </c>
      <c r="B206" s="29" t="inlineStr">
        <is>
          <t>해당 없음</t>
        </is>
      </c>
      <c r="C206" s="29" t="inlineStr">
        <is>
          <t>제주반도체</t>
        </is>
      </c>
      <c r="D206" s="29" t="inlineStr">
        <is>
          <t>080220</t>
        </is>
      </c>
      <c r="E206" s="29" t="inlineStr">
        <is>
          <t>KOSDAQ</t>
        </is>
      </c>
      <c r="F206" s="29" t="inlineStr">
        <is>
          <t>팹리스/설계</t>
        </is>
      </c>
      <c r="G206" s="29" t="inlineStr">
        <is>
          <t>팹리스/설계</t>
        </is>
      </c>
      <c r="H206" s="29" t="inlineStr">
        <is>
          <t>False</t>
        </is>
      </c>
      <c r="I206" s="29" t="inlineStr">
        <is>
          <t>True</t>
        </is>
      </c>
      <c r="J206" s="29" t="inlineStr">
        <is>
          <t>OK</t>
        </is>
      </c>
      <c r="K206" s="29" t="inlineStr">
        <is>
          <t>데이터 사용 가능</t>
        </is>
      </c>
      <c r="L206" s="29" t="inlineStr">
        <is>
          <t>LOW</t>
        </is>
      </c>
      <c r="M206" s="29" t="inlineStr">
        <is>
          <t>LOW</t>
        </is>
      </c>
      <c r="N206" s="29" t="inlineStr">
        <is>
          <t>0.5917171717171718</t>
        </is>
      </c>
      <c r="O206" s="29" t="inlineStr">
        <is>
          <t>ATTRACTIVE</t>
        </is>
      </c>
      <c r="P206" s="29" t="inlineStr">
        <is>
          <t>가치 매력</t>
        </is>
      </c>
      <c r="Q206" s="29" t="inlineStr">
        <is>
          <t>ATTRACTIVE</t>
        </is>
      </c>
      <c r="R206" s="29" t="inlineStr">
        <is>
          <t>0.6955424557105586</t>
        </is>
      </c>
      <c r="S206" s="29" t="inlineStr">
        <is>
          <t>MEDIUM</t>
        </is>
      </c>
      <c r="T206" s="29" t="inlineStr">
        <is>
          <t>MEDIUM</t>
        </is>
      </c>
      <c r="U206" s="29" t="inlineStr">
        <is>
          <t>0.0</t>
        </is>
      </c>
      <c r="V206" s="29" t="inlineStr">
        <is>
          <t>LOW_RISK</t>
        </is>
      </c>
      <c r="W206" s="29" t="inlineStr">
        <is>
          <t>저위험</t>
        </is>
      </c>
      <c r="X206" s="29" t="inlineStr">
        <is>
          <t>LOW_RISK</t>
        </is>
      </c>
      <c r="Y206" s="29" t="inlineStr">
        <is>
          <t>0.9206625395821784</t>
        </is>
      </c>
      <c r="Z206" s="29" t="inlineStr">
        <is>
          <t>HIGH</t>
        </is>
      </c>
      <c r="AA206" s="29" t="inlineStr">
        <is>
          <t>HIGH</t>
        </is>
      </c>
      <c r="AB206" s="29" t="inlineStr">
        <is>
          <t>0.022944474321634056</t>
        </is>
      </c>
      <c r="AC206" s="29" t="inlineStr">
        <is>
          <t>False</t>
        </is>
      </c>
      <c r="AD206" s="29" t="inlineStr">
        <is>
          <t>False</t>
        </is>
      </c>
      <c r="AE206" s="29" t="inlineStr">
        <is>
          <t>valuation_credit_ml_overlay_candidate.csv</t>
        </is>
      </c>
      <c r="AF206" s="29" t="inlineStr">
        <is>
          <t>208개 반도체 reference universe. Valuation Agent가 자체 intake 폴더로 복제해 Peer/ML/대시보드 비교에 사용.</t>
        </is>
      </c>
    </row>
    <row r="207" ht="24" customHeight="1">
      <c r="A207" s="24" t="inlineStr">
        <is>
          <t>71</t>
        </is>
      </c>
      <c r="B207" s="24" t="inlineStr">
        <is>
          <t>해당 없음</t>
        </is>
      </c>
      <c r="C207" s="24" t="inlineStr">
        <is>
          <t>티에스이</t>
        </is>
      </c>
      <c r="D207" s="24" t="inlineStr">
        <is>
          <t>131290</t>
        </is>
      </c>
      <c r="E207" s="24" t="inlineStr">
        <is>
          <t>KOSDAQ</t>
        </is>
      </c>
      <c r="F207" s="24" t="inlineStr">
        <is>
          <t>팹리스/설계</t>
        </is>
      </c>
      <c r="G207" s="24" t="inlineStr">
        <is>
          <t>팹리스/설계</t>
        </is>
      </c>
      <c r="H207" s="24" t="inlineStr">
        <is>
          <t>False</t>
        </is>
      </c>
      <c r="I207" s="24" t="inlineStr">
        <is>
          <t>True</t>
        </is>
      </c>
      <c r="J207" s="24" t="inlineStr">
        <is>
          <t>OK</t>
        </is>
      </c>
      <c r="K207" s="24" t="inlineStr">
        <is>
          <t>데이터 사용 가능</t>
        </is>
      </c>
      <c r="L207" s="24" t="inlineStr">
        <is>
          <t>LOW</t>
        </is>
      </c>
      <c r="M207" s="24" t="inlineStr">
        <is>
          <t>LOW</t>
        </is>
      </c>
      <c r="N207" s="24" t="inlineStr">
        <is>
          <t>0.5880808080808082</t>
        </is>
      </c>
      <c r="O207" s="24" t="inlineStr">
        <is>
          <t>ATTRACTIVE</t>
        </is>
      </c>
      <c r="P207" s="24" t="inlineStr">
        <is>
          <t>가치 매력</t>
        </is>
      </c>
      <c r="Q207" s="24" t="inlineStr">
        <is>
          <t>ATTRACTIVE</t>
        </is>
      </c>
      <c r="R207" s="24" t="inlineStr">
        <is>
          <t>0.7390287615028212</t>
        </is>
      </c>
      <c r="S207" s="24" t="inlineStr">
        <is>
          <t>HIGH</t>
        </is>
      </c>
      <c r="T207" s="24" t="inlineStr">
        <is>
          <t>HIGH</t>
        </is>
      </c>
      <c r="U207" s="24" t="inlineStr">
        <is>
          <t>0.0</t>
        </is>
      </c>
      <c r="V207" s="24" t="inlineStr">
        <is>
          <t>LOW_RISK</t>
        </is>
      </c>
      <c r="W207" s="24" t="inlineStr">
        <is>
          <t>저위험</t>
        </is>
      </c>
      <c r="X207" s="24" t="inlineStr">
        <is>
          <t>LOW_RISK</t>
        </is>
      </c>
      <c r="Y207" s="24" t="inlineStr">
        <is>
          <t>0.9709748314872512</t>
        </is>
      </c>
      <c r="Z207" s="24" t="inlineStr">
        <is>
          <t>HIGH</t>
        </is>
      </c>
      <c r="AA207" s="24" t="inlineStr">
        <is>
          <t>HIGH</t>
        </is>
      </c>
      <c r="AB207" s="24" t="inlineStr">
        <is>
          <t>0.018067787318761474</t>
        </is>
      </c>
      <c r="AC207" s="24" t="inlineStr">
        <is>
          <t>False</t>
        </is>
      </c>
      <c r="AD207" s="24" t="inlineStr">
        <is>
          <t>False</t>
        </is>
      </c>
      <c r="AE207" s="24" t="inlineStr">
        <is>
          <t>valuation_credit_ml_overlay_candidate.csv</t>
        </is>
      </c>
      <c r="AF207" s="24" t="inlineStr">
        <is>
          <t>208개 반도체 reference universe. Valuation Agent가 자체 intake 폴더로 복제해 Peer/ML/대시보드 비교에 사용.</t>
        </is>
      </c>
    </row>
    <row r="208" ht="24" customHeight="1">
      <c r="A208" s="29" t="inlineStr">
        <is>
          <t>53</t>
        </is>
      </c>
      <c r="B208" s="29" t="inlineStr">
        <is>
          <t>해당 없음</t>
        </is>
      </c>
      <c r="C208" s="29" t="inlineStr">
        <is>
          <t>아나패스</t>
        </is>
      </c>
      <c r="D208" s="29" t="inlineStr">
        <is>
          <t>123860</t>
        </is>
      </c>
      <c r="E208" s="29" t="inlineStr">
        <is>
          <t>KOSDAQ</t>
        </is>
      </c>
      <c r="F208" s="29" t="inlineStr">
        <is>
          <t>팹리스/설계</t>
        </is>
      </c>
      <c r="G208" s="29" t="inlineStr">
        <is>
          <t>팹리스/설계</t>
        </is>
      </c>
      <c r="H208" s="29" t="inlineStr">
        <is>
          <t>False</t>
        </is>
      </c>
      <c r="I208" s="29" t="inlineStr">
        <is>
          <t>True</t>
        </is>
      </c>
      <c r="J208" s="29" t="inlineStr">
        <is>
          <t>OK</t>
        </is>
      </c>
      <c r="K208" s="29" t="inlineStr">
        <is>
          <t>데이터 사용 가능</t>
        </is>
      </c>
      <c r="L208" s="29" t="inlineStr">
        <is>
          <t>LOW</t>
        </is>
      </c>
      <c r="M208" s="29" t="inlineStr">
        <is>
          <t>LOW</t>
        </is>
      </c>
      <c r="N208" s="29" t="inlineStr">
        <is>
          <t>0.5761616161616162</t>
        </is>
      </c>
      <c r="O208" s="29" t="inlineStr">
        <is>
          <t>FAIR</t>
        </is>
      </c>
      <c r="P208" s="29" t="inlineStr">
        <is>
          <t>FAIR</t>
        </is>
      </c>
      <c r="Q208" s="29" t="inlineStr">
        <is>
          <t>ATTRACTIVE</t>
        </is>
      </c>
      <c r="R208" s="29" t="inlineStr">
        <is>
          <t>0.510332377942325</t>
        </is>
      </c>
      <c r="S208" s="29" t="inlineStr">
        <is>
          <t>MEDIUM</t>
        </is>
      </c>
      <c r="T208" s="29" t="inlineStr">
        <is>
          <t>MEDIUM</t>
        </is>
      </c>
      <c r="U208" s="29" t="inlineStr">
        <is>
          <t>0.0</t>
        </is>
      </c>
      <c r="V208" s="29" t="inlineStr">
        <is>
          <t>LOW_RISK</t>
        </is>
      </c>
      <c r="W208" s="29" t="inlineStr">
        <is>
          <t>저위험</t>
        </is>
      </c>
      <c r="X208" s="29" t="inlineStr">
        <is>
          <t>LOW_RISK</t>
        </is>
      </c>
      <c r="Y208" s="29" t="inlineStr">
        <is>
          <t>0.9162612285765747</t>
        </is>
      </c>
      <c r="Z208" s="29" t="inlineStr">
        <is>
          <t>HIGH</t>
        </is>
      </c>
      <c r="AA208" s="29" t="inlineStr">
        <is>
          <t>HIGH</t>
        </is>
      </c>
      <c r="AB208" s="29" t="inlineStr">
        <is>
          <t>0.10416084144507474</t>
        </is>
      </c>
      <c r="AC208" s="29" t="inlineStr">
        <is>
          <t>False</t>
        </is>
      </c>
      <c r="AD208" s="29" t="inlineStr">
        <is>
          <t>False</t>
        </is>
      </c>
      <c r="AE208" s="29" t="inlineStr">
        <is>
          <t>valuation_credit_ml_overlay_candidate.csv</t>
        </is>
      </c>
      <c r="AF208" s="29" t="inlineStr">
        <is>
          <t>208개 반도체 reference universe. Valuation Agent가 자체 intake 폴더로 복제해 Peer/ML/대시보드 비교에 사용.</t>
        </is>
      </c>
    </row>
    <row r="209" ht="24" customHeight="1">
      <c r="A209" s="24" t="inlineStr">
        <is>
          <t>68</t>
        </is>
      </c>
      <c r="B209" s="24" t="inlineStr">
        <is>
          <t>해당 없음</t>
        </is>
      </c>
      <c r="C209" s="24" t="inlineStr">
        <is>
          <t>코아시아</t>
        </is>
      </c>
      <c r="D209" s="24" t="inlineStr">
        <is>
          <t>045970</t>
        </is>
      </c>
      <c r="E209" s="24" t="inlineStr">
        <is>
          <t>KOSDAQ</t>
        </is>
      </c>
      <c r="F209" s="24" t="inlineStr">
        <is>
          <t>팹리스/설계</t>
        </is>
      </c>
      <c r="G209" s="24" t="inlineStr">
        <is>
          <t>팹리스/설계</t>
        </is>
      </c>
      <c r="H209" s="24" t="inlineStr">
        <is>
          <t>False</t>
        </is>
      </c>
      <c r="I209" s="24" t="inlineStr">
        <is>
          <t>True</t>
        </is>
      </c>
      <c r="J209" s="24" t="inlineStr">
        <is>
          <t>OK</t>
        </is>
      </c>
      <c r="K209" s="24" t="inlineStr">
        <is>
          <t>데이터 사용 가능</t>
        </is>
      </c>
      <c r="L209" s="24" t="inlineStr">
        <is>
          <t>LOW</t>
        </is>
      </c>
      <c r="M209" s="24" t="inlineStr">
        <is>
          <t>LOW</t>
        </is>
      </c>
      <c r="N209" s="24" t="inlineStr">
        <is>
          <t>0.5612121212121212</t>
        </is>
      </c>
      <c r="O209" s="24" t="inlineStr">
        <is>
          <t>FAIR</t>
        </is>
      </c>
      <c r="P209" s="24" t="inlineStr">
        <is>
          <t>FAIR</t>
        </is>
      </c>
      <c r="Q209" s="24" t="inlineStr">
        <is>
          <t>FAIR</t>
        </is>
      </c>
      <c r="R209" s="24" t="inlineStr">
        <is>
          <t>0.811266524244761</t>
        </is>
      </c>
      <c r="S209" s="24" t="inlineStr">
        <is>
          <t>HIGH</t>
        </is>
      </c>
      <c r="T209" s="24" t="inlineStr">
        <is>
          <t>HIGH</t>
        </is>
      </c>
      <c r="U209" s="24" t="inlineStr">
        <is>
          <t>0.5</t>
        </is>
      </c>
      <c r="V209" s="24" t="inlineStr">
        <is>
          <t>HIGH_RISK</t>
        </is>
      </c>
      <c r="W209" s="24" t="inlineStr">
        <is>
          <t>고위험</t>
        </is>
      </c>
      <c r="X209" s="24" t="inlineStr">
        <is>
          <t>HIGH_RISK</t>
        </is>
      </c>
      <c r="Y209" s="24" t="inlineStr">
        <is>
          <t>0.7677840717507917</t>
        </is>
      </c>
      <c r="Z209" s="24" t="inlineStr">
        <is>
          <t>HIGH</t>
        </is>
      </c>
      <c r="AA209" s="24" t="inlineStr">
        <is>
          <t>HIGH</t>
        </is>
      </c>
      <c r="AB209" s="24" t="inlineStr">
        <is>
          <t>0.06747219473464933</t>
        </is>
      </c>
      <c r="AC209" s="24" t="inlineStr">
        <is>
          <t>False</t>
        </is>
      </c>
      <c r="AD209" s="24" t="inlineStr">
        <is>
          <t>False</t>
        </is>
      </c>
      <c r="AE209" s="24" t="inlineStr">
        <is>
          <t>valuation_credit_ml_overlay_candidate.csv</t>
        </is>
      </c>
      <c r="AF209" s="24" t="inlineStr">
        <is>
          <t>208개 반도체 reference universe. Valuation Agent가 자체 intake 폴더로 복제해 Peer/ML/대시보드 비교에 사용.</t>
        </is>
      </c>
    </row>
    <row r="210" ht="24" customHeight="1">
      <c r="A210" s="29" t="inlineStr">
        <is>
          <t>73</t>
        </is>
      </c>
      <c r="B210" s="29" t="inlineStr">
        <is>
          <t>해당 없음</t>
        </is>
      </c>
      <c r="C210" s="29" t="inlineStr">
        <is>
          <t>픽셀플러스</t>
        </is>
      </c>
      <c r="D210" s="29" t="inlineStr">
        <is>
          <t>087600</t>
        </is>
      </c>
      <c r="E210" s="29" t="inlineStr">
        <is>
          <t>KOSDAQ</t>
        </is>
      </c>
      <c r="F210" s="29" t="inlineStr">
        <is>
          <t>팹리스/설계</t>
        </is>
      </c>
      <c r="G210" s="29" t="inlineStr">
        <is>
          <t>팹리스/설계</t>
        </is>
      </c>
      <c r="H210" s="29" t="inlineStr">
        <is>
          <t>False</t>
        </is>
      </c>
      <c r="I210" s="29" t="inlineStr">
        <is>
          <t>True</t>
        </is>
      </c>
      <c r="J210" s="29" t="inlineStr">
        <is>
          <t>OK</t>
        </is>
      </c>
      <c r="K210" s="29" t="inlineStr">
        <is>
          <t>데이터 사용 가능</t>
        </is>
      </c>
      <c r="L210" s="29" t="inlineStr">
        <is>
          <t>LOW</t>
        </is>
      </c>
      <c r="M210" s="29" t="inlineStr">
        <is>
          <t>LOW</t>
        </is>
      </c>
      <c r="N210" s="29" t="inlineStr">
        <is>
          <t>0.543030303030303</t>
        </is>
      </c>
      <c r="O210" s="29" t="inlineStr">
        <is>
          <t>FAIR</t>
        </is>
      </c>
      <c r="P210" s="29" t="inlineStr">
        <is>
          <t>FAIR</t>
        </is>
      </c>
      <c r="Q210" s="29" t="inlineStr">
        <is>
          <t>FAIR</t>
        </is>
      </c>
      <c r="R210" s="29" t="inlineStr">
        <is>
          <t>0.8353732583827468</t>
        </is>
      </c>
      <c r="S210" s="29" t="inlineStr">
        <is>
          <t>HIGH</t>
        </is>
      </c>
      <c r="T210" s="29" t="inlineStr">
        <is>
          <t>HIGH</t>
        </is>
      </c>
      <c r="U210" s="29" t="inlineStr">
        <is>
          <t>0.2857142857142857</t>
        </is>
      </c>
      <c r="V210" s="29" t="inlineStr">
        <is>
          <t>MEDIUM_RISK</t>
        </is>
      </c>
      <c r="W210" s="29" t="inlineStr">
        <is>
          <t>중위험</t>
        </is>
      </c>
      <c r="X210" s="29" t="inlineStr">
        <is>
          <t>MEDIUM_RISK</t>
        </is>
      </c>
      <c r="Y210" s="29" t="inlineStr">
        <is>
          <t>0.8277119254156154</t>
        </is>
      </c>
      <c r="Z210" s="29" t="inlineStr">
        <is>
          <t>HIGH</t>
        </is>
      </c>
      <c r="AA210" s="29" t="inlineStr">
        <is>
          <t>HIGH</t>
        </is>
      </c>
      <c r="AB210" s="29" t="inlineStr">
        <is>
          <t>0.08861749399056779</t>
        </is>
      </c>
      <c r="AC210" s="29" t="inlineStr">
        <is>
          <t>False</t>
        </is>
      </c>
      <c r="AD210" s="29" t="inlineStr">
        <is>
          <t>False</t>
        </is>
      </c>
      <c r="AE210" s="29" t="inlineStr">
        <is>
          <t>valuation_credit_ml_overlay_candidate.csv</t>
        </is>
      </c>
      <c r="AF210" s="29" t="inlineStr">
        <is>
          <t>208개 반도체 reference universe. Valuation Agent가 자체 intake 폴더로 복제해 Peer/ML/대시보드 비교에 사용.</t>
        </is>
      </c>
    </row>
    <row r="211" ht="24" customHeight="1">
      <c r="A211" s="24" t="inlineStr">
        <is>
          <t>67</t>
        </is>
      </c>
      <c r="B211" s="24" t="inlineStr">
        <is>
          <t>해당 없음</t>
        </is>
      </c>
      <c r="C211" s="24" t="inlineStr">
        <is>
          <t>칩스앤미디어</t>
        </is>
      </c>
      <c r="D211" s="24" t="inlineStr">
        <is>
          <t>094360</t>
        </is>
      </c>
      <c r="E211" s="24" t="inlineStr">
        <is>
          <t>KOSDAQ</t>
        </is>
      </c>
      <c r="F211" s="24" t="inlineStr">
        <is>
          <t>팹리스/설계</t>
        </is>
      </c>
      <c r="G211" s="24" t="inlineStr">
        <is>
          <t>팹리스/설계</t>
        </is>
      </c>
      <c r="H211" s="24" t="inlineStr">
        <is>
          <t>False</t>
        </is>
      </c>
      <c r="I211" s="24" t="inlineStr">
        <is>
          <t>True</t>
        </is>
      </c>
      <c r="J211" s="24" t="inlineStr">
        <is>
          <t>OK</t>
        </is>
      </c>
      <c r="K211" s="24" t="inlineStr">
        <is>
          <t>데이터 사용 가능</t>
        </is>
      </c>
      <c r="L211" s="24" t="inlineStr">
        <is>
          <t>LOW</t>
        </is>
      </c>
      <c r="M211" s="24" t="inlineStr">
        <is>
          <t>LOW</t>
        </is>
      </c>
      <c r="N211" s="24" t="inlineStr">
        <is>
          <t>0.5424242424242424</t>
        </is>
      </c>
      <c r="O211" s="24" t="inlineStr">
        <is>
          <t>FAIR</t>
        </is>
      </c>
      <c r="P211" s="24" t="inlineStr">
        <is>
          <t>FAIR</t>
        </is>
      </c>
      <c r="Q211" s="24" t="inlineStr">
        <is>
          <t>FAIR</t>
        </is>
      </c>
      <c r="R211" s="24" t="inlineStr">
        <is>
          <t>0.44740744488593415</t>
        </is>
      </c>
      <c r="S211" s="24" t="inlineStr">
        <is>
          <t>LOW</t>
        </is>
      </c>
      <c r="T211" s="24" t="inlineStr">
        <is>
          <t>LOW</t>
        </is>
      </c>
      <c r="U211" s="24" t="inlineStr">
        <is>
          <t>0.0</t>
        </is>
      </c>
      <c r="V211" s="24" t="inlineStr">
        <is>
          <t>LOW_RISK</t>
        </is>
      </c>
      <c r="W211" s="24" t="inlineStr">
        <is>
          <t>저위험</t>
        </is>
      </c>
      <c r="X211" s="24" t="inlineStr">
        <is>
          <t>LOW_RISK</t>
        </is>
      </c>
      <c r="Y211" s="24" t="inlineStr">
        <is>
          <t>0.9394752479511282</t>
        </is>
      </c>
      <c r="Z211" s="24" t="inlineStr">
        <is>
          <t>HIGH</t>
        </is>
      </c>
      <c r="AA211" s="24" t="inlineStr">
        <is>
          <t>HIGH</t>
        </is>
      </c>
      <c r="AB211" s="24" t="inlineStr">
        <is>
          <t>0.1165162896524789</t>
        </is>
      </c>
      <c r="AC211" s="24" t="inlineStr">
        <is>
          <t>False</t>
        </is>
      </c>
      <c r="AD211" s="24" t="inlineStr">
        <is>
          <t>True</t>
        </is>
      </c>
      <c r="AE211" s="24" t="inlineStr">
        <is>
          <t>valuation_credit_ml_overlay_candidate.csv</t>
        </is>
      </c>
      <c r="AF211" s="24" t="inlineStr">
        <is>
          <t>208개 반도체 reference universe. Valuation Agent가 자체 intake 폴더로 복제해 Peer/ML/대시보드 비교에 사용.</t>
        </is>
      </c>
    </row>
    <row r="212" ht="24" customHeight="1">
      <c r="A212" s="29" t="inlineStr">
        <is>
          <t>57</t>
        </is>
      </c>
      <c r="B212" s="29" t="inlineStr">
        <is>
          <t>해당 없음</t>
        </is>
      </c>
      <c r="C212" s="29" t="inlineStr">
        <is>
          <t>아이케이세미콘</t>
        </is>
      </c>
      <c r="D212" s="29" t="inlineStr">
        <is>
          <t>149010</t>
        </is>
      </c>
      <c r="E212" s="29" t="inlineStr">
        <is>
          <t>KONEX</t>
        </is>
      </c>
      <c r="F212" s="29" t="inlineStr">
        <is>
          <t>팹리스/설계</t>
        </is>
      </c>
      <c r="G212" s="29" t="inlineStr">
        <is>
          <t>팹리스/설계</t>
        </is>
      </c>
      <c r="H212" s="29" t="inlineStr">
        <is>
          <t>False</t>
        </is>
      </c>
      <c r="I212" s="29" t="inlineStr">
        <is>
          <t>True</t>
        </is>
      </c>
      <c r="J212" s="29" t="inlineStr">
        <is>
          <t>NO_DART_FINANCIAL_DATA</t>
        </is>
      </c>
      <c r="K212" s="29" t="inlineStr">
        <is>
          <t>데이터 사용 가능</t>
        </is>
      </c>
      <c r="L212" s="29" t="inlineStr">
        <is>
          <t>HIGH</t>
        </is>
      </c>
      <c r="M212" s="29" t="inlineStr">
        <is>
          <t>HIGH</t>
        </is>
      </c>
      <c r="N212" s="29" t="inlineStr">
        <is>
          <t>0.497979797979798</t>
        </is>
      </c>
      <c r="O212" s="29" t="inlineStr">
        <is>
          <t>FAIR</t>
        </is>
      </c>
      <c r="P212" s="29" t="inlineStr">
        <is>
          <t>FAIR</t>
        </is>
      </c>
      <c r="Q212" s="29" t="inlineStr">
        <is>
          <t>FAIR</t>
        </is>
      </c>
      <c r="R212" s="29" t="inlineStr">
        <is>
          <t>0.9626560040296214</t>
        </is>
      </c>
      <c r="S212" s="29" t="inlineStr">
        <is>
          <t>HIGH</t>
        </is>
      </c>
      <c r="T212" s="29" t="inlineStr">
        <is>
          <t>HIGH</t>
        </is>
      </c>
      <c r="U212" s="29" t="inlineStr">
        <is>
          <t>0.6428571428571429</t>
        </is>
      </c>
      <c r="V212" s="29" t="inlineStr">
        <is>
          <t>HIGH_RISK</t>
        </is>
      </c>
      <c r="W212" s="29" t="inlineStr">
        <is>
          <t>고위험</t>
        </is>
      </c>
      <c r="X212" s="29" t="inlineStr">
        <is>
          <t>HIGH_RISK</t>
        </is>
      </c>
      <c r="Y212" s="29" t="inlineStr">
        <is>
          <t>0.7070645883552188</t>
        </is>
      </c>
      <c r="Z212" s="29" t="inlineStr">
        <is>
          <t>HIGH</t>
        </is>
      </c>
      <c r="AA212" s="29" t="inlineStr">
        <is>
          <t>HIGH</t>
        </is>
      </c>
      <c r="AB212" s="29" t="inlineStr">
        <is>
          <t>0.07589516599498297</t>
        </is>
      </c>
      <c r="AC212" s="29" t="inlineStr">
        <is>
          <t>False</t>
        </is>
      </c>
      <c r="AD212" s="29" t="inlineStr">
        <is>
          <t>True</t>
        </is>
      </c>
      <c r="AE212" s="29" t="inlineStr">
        <is>
          <t>valuation_credit_ml_overlay_candidate.csv</t>
        </is>
      </c>
      <c r="AF212" s="29" t="inlineStr">
        <is>
          <t>208개 반도체 reference universe. Valuation Agent가 자체 intake 폴더로 복제해 Peer/ML/대시보드 비교에 사용.</t>
        </is>
      </c>
    </row>
    <row r="213" ht="24" customHeight="1">
      <c r="A213" s="24" t="inlineStr">
        <is>
          <t>70</t>
        </is>
      </c>
      <c r="B213" s="24" t="inlineStr">
        <is>
          <t>해당 없음</t>
        </is>
      </c>
      <c r="C213" s="24" t="inlineStr">
        <is>
          <t>텔레칩스</t>
        </is>
      </c>
      <c r="D213" s="24" t="inlineStr">
        <is>
          <t>054450</t>
        </is>
      </c>
      <c r="E213" s="24" t="inlineStr">
        <is>
          <t>KOSDAQ</t>
        </is>
      </c>
      <c r="F213" s="24" t="inlineStr">
        <is>
          <t>팹리스/설계</t>
        </is>
      </c>
      <c r="G213" s="24" t="inlineStr">
        <is>
          <t>팹리스/설계</t>
        </is>
      </c>
      <c r="H213" s="24" t="inlineStr">
        <is>
          <t>False</t>
        </is>
      </c>
      <c r="I213" s="24" t="inlineStr">
        <is>
          <t>True</t>
        </is>
      </c>
      <c r="J213" s="24" t="inlineStr">
        <is>
          <t>OK</t>
        </is>
      </c>
      <c r="K213" s="24" t="inlineStr">
        <is>
          <t>데이터 사용 가능</t>
        </is>
      </c>
      <c r="L213" s="24" t="inlineStr">
        <is>
          <t>LOW</t>
        </is>
      </c>
      <c r="M213" s="24" t="inlineStr">
        <is>
          <t>LOW</t>
        </is>
      </c>
      <c r="N213" s="24" t="inlineStr">
        <is>
          <t>0.4943434343434343</t>
        </is>
      </c>
      <c r="O213" s="24" t="inlineStr">
        <is>
          <t>FAIR</t>
        </is>
      </c>
      <c r="P213" s="24" t="inlineStr">
        <is>
          <t>FAIR</t>
        </is>
      </c>
      <c r="Q213" s="24" t="inlineStr">
        <is>
          <t>EXPENSIVE</t>
        </is>
      </c>
      <c r="R213" s="24" t="inlineStr">
        <is>
          <t>0.5716537225721987</t>
        </is>
      </c>
      <c r="S213" s="24" t="inlineStr">
        <is>
          <t>MEDIUM</t>
        </is>
      </c>
      <c r="T213" s="24" t="inlineStr">
        <is>
          <t>MEDIUM</t>
        </is>
      </c>
      <c r="U213" s="24" t="inlineStr">
        <is>
          <t>0.7142857142857143</t>
        </is>
      </c>
      <c r="V213" s="24" t="inlineStr">
        <is>
          <t>HIGH_RISK</t>
        </is>
      </c>
      <c r="W213" s="24" t="inlineStr">
        <is>
          <t>고위험</t>
        </is>
      </c>
      <c r="X213" s="24" t="inlineStr">
        <is>
          <t>HIGH_RISK</t>
        </is>
      </c>
      <c r="Y213" s="24" t="inlineStr">
        <is>
          <t>0.9759550340612091</t>
        </is>
      </c>
      <c r="Z213" s="24" t="inlineStr">
        <is>
          <t>HIGH</t>
        </is>
      </c>
      <c r="AA213" s="24" t="inlineStr">
        <is>
          <t>HIGH</t>
        </is>
      </c>
      <c r="AB213" s="24" t="inlineStr">
        <is>
          <t>0.07328745198510121</t>
        </is>
      </c>
      <c r="AC213" s="24" t="inlineStr">
        <is>
          <t>False</t>
        </is>
      </c>
      <c r="AD213" s="24" t="inlineStr">
        <is>
          <t>False</t>
        </is>
      </c>
      <c r="AE213" s="24" t="inlineStr">
        <is>
          <t>valuation_credit_ml_overlay_candidate.csv</t>
        </is>
      </c>
      <c r="AF213" s="24" t="inlineStr">
        <is>
          <t>208개 반도체 reference universe. Valuation Agent가 자체 intake 폴더로 복제해 Peer/ML/대시보드 비교에 사용.</t>
        </is>
      </c>
    </row>
    <row r="214" ht="24" customHeight="1">
      <c r="A214" s="29" t="inlineStr">
        <is>
          <t>59</t>
        </is>
      </c>
      <c r="B214" s="29" t="inlineStr">
        <is>
          <t>해당 없음</t>
        </is>
      </c>
      <c r="C214" s="29" t="inlineStr">
        <is>
          <t>알파칩스</t>
        </is>
      </c>
      <c r="D214" s="29" t="inlineStr">
        <is>
          <t>117670</t>
        </is>
      </c>
      <c r="E214" s="29" t="inlineStr">
        <is>
          <t>KOSDAQ</t>
        </is>
      </c>
      <c r="F214" s="29" t="inlineStr">
        <is>
          <t>팹리스/설계</t>
        </is>
      </c>
      <c r="G214" s="29" t="inlineStr">
        <is>
          <t>팹리스/설계</t>
        </is>
      </c>
      <c r="H214" s="29" t="inlineStr">
        <is>
          <t>False</t>
        </is>
      </c>
      <c r="I214" s="29" t="inlineStr">
        <is>
          <t>True</t>
        </is>
      </c>
      <c r="J214" s="29" t="inlineStr">
        <is>
          <t>OK</t>
        </is>
      </c>
      <c r="K214" s="29" t="inlineStr">
        <is>
          <t>데이터 사용 가능</t>
        </is>
      </c>
      <c r="L214" s="29" t="inlineStr">
        <is>
          <t>LOW</t>
        </is>
      </c>
      <c r="M214" s="29" t="inlineStr">
        <is>
          <t>LOW</t>
        </is>
      </c>
      <c r="N214" s="29" t="inlineStr">
        <is>
          <t>0.4826262626262627</t>
        </is>
      </c>
      <c r="O214" s="29" t="inlineStr">
        <is>
          <t>FAIR</t>
        </is>
      </c>
      <c r="P214" s="29" t="inlineStr">
        <is>
          <t>FAIR</t>
        </is>
      </c>
      <c r="Q214" s="29" t="inlineStr">
        <is>
          <t>FAIR</t>
        </is>
      </c>
      <c r="R214" s="29" t="inlineStr">
        <is>
          <t>0.7398835550872951</t>
        </is>
      </c>
      <c r="S214" s="29" t="inlineStr">
        <is>
          <t>HIGH</t>
        </is>
      </c>
      <c r="T214" s="29" t="inlineStr">
        <is>
          <t>HIGH</t>
        </is>
      </c>
      <c r="U214" s="29" t="inlineStr">
        <is>
          <t>0.2857142857142857</t>
        </is>
      </c>
      <c r="V214" s="29" t="inlineStr">
        <is>
          <t>MEDIUM_RISK</t>
        </is>
      </c>
      <c r="W214" s="29" t="inlineStr">
        <is>
          <t>중위험</t>
        </is>
      </c>
      <c r="X214" s="29" t="inlineStr">
        <is>
          <t>MEDIUM_RISK</t>
        </is>
      </c>
      <c r="Y214" s="29" t="inlineStr">
        <is>
          <t>0.8321400367761521</t>
        </is>
      </c>
      <c r="Z214" s="29" t="inlineStr">
        <is>
          <t>HIGH</t>
        </is>
      </c>
      <c r="AA214" s="29" t="inlineStr">
        <is>
          <t>HIGH</t>
        </is>
      </c>
      <c r="AB214" s="29" t="inlineStr">
        <is>
          <t>0.06605777558134833</t>
        </is>
      </c>
      <c r="AC214" s="29" t="inlineStr">
        <is>
          <t>False</t>
        </is>
      </c>
      <c r="AD214" s="29" t="inlineStr">
        <is>
          <t>False</t>
        </is>
      </c>
      <c r="AE214" s="29" t="inlineStr">
        <is>
          <t>valuation_credit_ml_overlay_candidate.csv</t>
        </is>
      </c>
      <c r="AF214" s="29" t="inlineStr">
        <is>
          <t>208개 반도체 reference universe. Valuation Agent가 자체 intake 폴더로 복제해 Peer/ML/대시보드 비교에 사용.</t>
        </is>
      </c>
    </row>
    <row r="215" ht="24" customHeight="1">
      <c r="A215" s="24" t="inlineStr">
        <is>
          <t>46</t>
        </is>
      </c>
      <c r="B215" s="24" t="inlineStr">
        <is>
          <t>해당 없음</t>
        </is>
      </c>
      <c r="C215" s="24" t="inlineStr">
        <is>
          <t>라온로보틱스</t>
        </is>
      </c>
      <c r="D215" s="24" t="inlineStr">
        <is>
          <t>232680</t>
        </is>
      </c>
      <c r="E215" s="24" t="inlineStr">
        <is>
          <t>KOSDAQ</t>
        </is>
      </c>
      <c r="F215" s="24" t="inlineStr">
        <is>
          <t>팹리스/설계</t>
        </is>
      </c>
      <c r="G215" s="24" t="inlineStr">
        <is>
          <t>팹리스/설계</t>
        </is>
      </c>
      <c r="H215" s="24" t="inlineStr">
        <is>
          <t>False</t>
        </is>
      </c>
      <c r="I215" s="24" t="inlineStr">
        <is>
          <t>True</t>
        </is>
      </c>
      <c r="J215" s="24" t="inlineStr">
        <is>
          <t>OK</t>
        </is>
      </c>
      <c r="K215" s="24" t="inlineStr">
        <is>
          <t>데이터 사용 가능</t>
        </is>
      </c>
      <c r="L215" s="24" t="inlineStr">
        <is>
          <t>LOW</t>
        </is>
      </c>
      <c r="M215" s="24" t="inlineStr">
        <is>
          <t>LOW</t>
        </is>
      </c>
      <c r="N215" s="24" t="inlineStr">
        <is>
          <t>0.4745454545454545</t>
        </is>
      </c>
      <c r="O215" s="24" t="inlineStr">
        <is>
          <t>FAIR</t>
        </is>
      </c>
      <c r="P215" s="24" t="inlineStr">
        <is>
          <t>FAIR</t>
        </is>
      </c>
      <c r="Q215" s="24" t="inlineStr">
        <is>
          <t>FAIR</t>
        </is>
      </c>
      <c r="R215" s="24" t="inlineStr">
        <is>
          <t>0.7863374675167921</t>
        </is>
      </c>
      <c r="S215" s="24" t="inlineStr">
        <is>
          <t>HIGH</t>
        </is>
      </c>
      <c r="T215" s="24" t="inlineStr">
        <is>
          <t>HIGH</t>
        </is>
      </c>
      <c r="U215" s="24" t="inlineStr">
        <is>
          <t>0.1428571428571428</t>
        </is>
      </c>
      <c r="V215" s="24" t="inlineStr">
        <is>
          <t>LOW_RISK</t>
        </is>
      </c>
      <c r="W215" s="24" t="inlineStr">
        <is>
          <t>저위험</t>
        </is>
      </c>
      <c r="X215" s="24" t="inlineStr">
        <is>
          <t>LOW_RISK</t>
        </is>
      </c>
      <c r="Y215" s="24" t="inlineStr">
        <is>
          <t>0.6877521386643212</t>
        </is>
      </c>
      <c r="Z215" s="24" t="inlineStr">
        <is>
          <t>MEDIUM</t>
        </is>
      </c>
      <c r="AA215" s="24" t="inlineStr">
        <is>
          <t>MEDIUM</t>
        </is>
      </c>
      <c r="AB215" s="24" t="inlineStr">
        <is>
          <t>0.026169607074936322</t>
        </is>
      </c>
      <c r="AC215" s="24" t="inlineStr">
        <is>
          <t>False</t>
        </is>
      </c>
      <c r="AD215" s="24" t="inlineStr">
        <is>
          <t>False</t>
        </is>
      </c>
      <c r="AE215" s="24" t="inlineStr">
        <is>
          <t>valuation_credit_ml_overlay_candidate.csv</t>
        </is>
      </c>
      <c r="AF215" s="24" t="inlineStr">
        <is>
          <t>208개 반도체 reference universe. Valuation Agent가 자체 intake 폴더로 복제해 Peer/ML/대시보드 비교에 사용.</t>
        </is>
      </c>
    </row>
    <row r="216" ht="24" customHeight="1">
      <c r="A216" s="29" t="inlineStr">
        <is>
          <t>51</t>
        </is>
      </c>
      <c r="B216" s="29" t="inlineStr">
        <is>
          <t>해당 없음</t>
        </is>
      </c>
      <c r="C216" s="29" t="inlineStr">
        <is>
          <t>싸이닉솔루션</t>
        </is>
      </c>
      <c r="D216" s="29" t="inlineStr">
        <is>
          <t>234030</t>
        </is>
      </c>
      <c r="E216" s="29" t="inlineStr">
        <is>
          <t>KOSDAQ</t>
        </is>
      </c>
      <c r="F216" s="29" t="inlineStr">
        <is>
          <t>팹리스/설계</t>
        </is>
      </c>
      <c r="G216" s="29" t="inlineStr">
        <is>
          <t>팹리스/설계</t>
        </is>
      </c>
      <c r="H216" s="29" t="inlineStr">
        <is>
          <t>False</t>
        </is>
      </c>
      <c r="I216" s="29" t="inlineStr">
        <is>
          <t>True</t>
        </is>
      </c>
      <c r="J216" s="29" t="inlineStr">
        <is>
          <t>OK_LIMITED_HISTORY_OR_GROWTH_NA</t>
        </is>
      </c>
      <c r="K216" s="29" t="inlineStr">
        <is>
          <t>데이터 사용 가능</t>
        </is>
      </c>
      <c r="L216" s="29" t="inlineStr">
        <is>
          <t>LOW</t>
        </is>
      </c>
      <c r="M216" s="29" t="inlineStr">
        <is>
          <t>LOW</t>
        </is>
      </c>
      <c r="N216" s="29" t="inlineStr">
        <is>
          <t>0.4670707070707071</t>
        </is>
      </c>
      <c r="O216" s="29" t="inlineStr">
        <is>
          <t>FAIR</t>
        </is>
      </c>
      <c r="P216" s="29" t="inlineStr">
        <is>
          <t>FAIR</t>
        </is>
      </c>
      <c r="Q216" s="29" t="inlineStr">
        <is>
          <t>FAIR</t>
        </is>
      </c>
      <c r="R216" s="29" t="inlineStr">
        <is>
          <t>0.7962034217650586</t>
        </is>
      </c>
      <c r="S216" s="29" t="inlineStr">
        <is>
          <t>HIGH</t>
        </is>
      </c>
      <c r="T216" s="29" t="inlineStr">
        <is>
          <t>HIGH</t>
        </is>
      </c>
      <c r="U216" s="29" t="inlineStr">
        <is>
          <t>0.3571428571428571</t>
        </is>
      </c>
      <c r="V216" s="29" t="inlineStr">
        <is>
          <t>MEDIUM_RISK</t>
        </is>
      </c>
      <c r="W216" s="29" t="inlineStr">
        <is>
          <t>중위험</t>
        </is>
      </c>
      <c r="X216" s="29" t="inlineStr">
        <is>
          <t>MEDIUM_RISK</t>
        </is>
      </c>
      <c r="Y216" s="29" t="inlineStr">
        <is>
          <t>0.7381251250014311</t>
        </is>
      </c>
      <c r="Z216" s="29" t="inlineStr">
        <is>
          <t>HIGH</t>
        </is>
      </c>
      <c r="AA216" s="29" t="inlineStr">
        <is>
          <t>HIGH</t>
        </is>
      </c>
      <c r="AB216" s="29" t="inlineStr">
        <is>
          <t>0.06902922032160619</t>
        </is>
      </c>
      <c r="AC216" s="29" t="inlineStr">
        <is>
          <t>False</t>
        </is>
      </c>
      <c r="AD216" s="29" t="inlineStr">
        <is>
          <t>True</t>
        </is>
      </c>
      <c r="AE216" s="29" t="inlineStr">
        <is>
          <t>valuation_credit_ml_overlay_candidate.csv</t>
        </is>
      </c>
      <c r="AF216" s="29" t="inlineStr">
        <is>
          <t>208개 반도체 reference universe. Valuation Agent가 자체 intake 폴더로 복제해 Peer/ML/대시보드 비교에 사용.</t>
        </is>
      </c>
    </row>
    <row r="217" ht="24" customHeight="1">
      <c r="A217" s="24" t="inlineStr">
        <is>
          <t>56</t>
        </is>
      </c>
      <c r="B217" s="24" t="inlineStr">
        <is>
          <t>해당 없음</t>
        </is>
      </c>
      <c r="C217" s="24" t="inlineStr">
        <is>
          <t>아이언디바이스</t>
        </is>
      </c>
      <c r="D217" s="24" t="inlineStr">
        <is>
          <t>464500</t>
        </is>
      </c>
      <c r="E217" s="24" t="inlineStr">
        <is>
          <t>KOSDAQ</t>
        </is>
      </c>
      <c r="F217" s="24" t="inlineStr">
        <is>
          <t>팹리스/설계</t>
        </is>
      </c>
      <c r="G217" s="24" t="inlineStr">
        <is>
          <t>팹리스/설계</t>
        </is>
      </c>
      <c r="H217" s="24" t="inlineStr">
        <is>
          <t>False</t>
        </is>
      </c>
      <c r="I217" s="24" t="inlineStr">
        <is>
          <t>True</t>
        </is>
      </c>
      <c r="J217" s="24" t="inlineStr">
        <is>
          <t>OK_LIMITED_HISTORY_OR_GROWTH_NA</t>
        </is>
      </c>
      <c r="K217" s="24" t="inlineStr">
        <is>
          <t>데이터 사용 가능</t>
        </is>
      </c>
      <c r="L217" s="24" t="inlineStr">
        <is>
          <t>LOW</t>
        </is>
      </c>
      <c r="M217" s="24" t="inlineStr">
        <is>
          <t>LOW</t>
        </is>
      </c>
      <c r="N217" s="24" t="inlineStr">
        <is>
          <t>0.4278787878787879</t>
        </is>
      </c>
      <c r="O217" s="24" t="inlineStr">
        <is>
          <t>FAIR</t>
        </is>
      </c>
      <c r="P217" s="24" t="inlineStr">
        <is>
          <t>FAIR</t>
        </is>
      </c>
      <c r="Q217" s="24" t="inlineStr">
        <is>
          <t>EXPENSIVE</t>
        </is>
      </c>
      <c r="R217" s="24" t="inlineStr">
        <is>
          <t>0.767854918982104</t>
        </is>
      </c>
      <c r="S217" s="24" t="inlineStr">
        <is>
          <t>HIGH</t>
        </is>
      </c>
      <c r="T217" s="24" t="inlineStr">
        <is>
          <t>HIGH</t>
        </is>
      </c>
      <c r="U217" s="24" t="inlineStr">
        <is>
          <t>0.5714285714285714</t>
        </is>
      </c>
      <c r="V217" s="24" t="inlineStr">
        <is>
          <t>HIGH_RISK</t>
        </is>
      </c>
      <c r="W217" s="24" t="inlineStr">
        <is>
          <t>고위험</t>
        </is>
      </c>
      <c r="X217" s="24" t="inlineStr">
        <is>
          <t>HIGH_RISK</t>
        </is>
      </c>
      <c r="Y217" s="24" t="inlineStr">
        <is>
          <t>0.9669454138137473</t>
        </is>
      </c>
      <c r="Z217" s="24" t="inlineStr">
        <is>
          <t>HIGH</t>
        </is>
      </c>
      <c r="AA217" s="24" t="inlineStr">
        <is>
          <t>HIGH</t>
        </is>
      </c>
      <c r="AB217" s="24" t="inlineStr">
        <is>
          <t>0.37904191381671964</t>
        </is>
      </c>
      <c r="AC217" s="24" t="inlineStr">
        <is>
          <t>True</t>
        </is>
      </c>
      <c r="AD217" s="24" t="inlineStr">
        <is>
          <t>True</t>
        </is>
      </c>
      <c r="AE217" s="24" t="inlineStr">
        <is>
          <t>valuation_credit_ml_overlay_candidate.csv</t>
        </is>
      </c>
      <c r="AF217" s="24" t="inlineStr">
        <is>
          <t>208개 반도체 reference universe. Valuation Agent가 자체 intake 폴더로 복제해 Peer/ML/대시보드 비교에 사용.</t>
        </is>
      </c>
    </row>
    <row r="218" ht="24" customHeight="1">
      <c r="A218" s="29" t="inlineStr">
        <is>
          <t>52</t>
        </is>
      </c>
      <c r="B218" s="29" t="inlineStr">
        <is>
          <t>해당 없음</t>
        </is>
      </c>
      <c r="C218" s="29" t="inlineStr">
        <is>
          <t>쓰리에이로직스</t>
        </is>
      </c>
      <c r="D218" s="29" t="inlineStr">
        <is>
          <t>177900</t>
        </is>
      </c>
      <c r="E218" s="29" t="inlineStr">
        <is>
          <t>KOSDAQ</t>
        </is>
      </c>
      <c r="F218" s="29" t="inlineStr">
        <is>
          <t>팹리스/설계</t>
        </is>
      </c>
      <c r="G218" s="29" t="inlineStr">
        <is>
          <t>팹리스/설계</t>
        </is>
      </c>
      <c r="H218" s="29" t="inlineStr">
        <is>
          <t>False</t>
        </is>
      </c>
      <c r="I218" s="29" t="inlineStr">
        <is>
          <t>True</t>
        </is>
      </c>
      <c r="J218" s="29" t="inlineStr">
        <is>
          <t>OK_LIMITED_HISTORY_OR_GROWTH_NA</t>
        </is>
      </c>
      <c r="K218" s="29" t="inlineStr">
        <is>
          <t>데이터 사용 가능</t>
        </is>
      </c>
      <c r="L218" s="29" t="inlineStr">
        <is>
          <t>LOW</t>
        </is>
      </c>
      <c r="M218" s="29" t="inlineStr">
        <is>
          <t>LOW</t>
        </is>
      </c>
      <c r="N218" s="29" t="inlineStr">
        <is>
          <t>0.4266666666666666</t>
        </is>
      </c>
      <c r="O218" s="29" t="inlineStr">
        <is>
          <t>FAIR</t>
        </is>
      </c>
      <c r="P218" s="29" t="inlineStr">
        <is>
          <t>FAIR</t>
        </is>
      </c>
      <c r="Q218" s="29" t="inlineStr">
        <is>
          <t>EXPENSIVE</t>
        </is>
      </c>
      <c r="R218" s="29" t="inlineStr">
        <is>
          <t>0.5793703556022938</t>
        </is>
      </c>
      <c r="S218" s="29" t="inlineStr">
        <is>
          <t>MEDIUM</t>
        </is>
      </c>
      <c r="T218" s="29" t="inlineStr">
        <is>
          <t>MEDIUM</t>
        </is>
      </c>
      <c r="U218" s="29" t="inlineStr">
        <is>
          <t>0.5714285714285714</t>
        </is>
      </c>
      <c r="V218" s="29" t="inlineStr">
        <is>
          <t>HIGH_RISK</t>
        </is>
      </c>
      <c r="W218" s="29" t="inlineStr">
        <is>
          <t>고위험</t>
        </is>
      </c>
      <c r="X218" s="29" t="inlineStr">
        <is>
          <t>HIGH_RISK</t>
        </is>
      </c>
      <c r="Y218" s="29" t="inlineStr">
        <is>
          <t>0.947298040301951</t>
        </is>
      </c>
      <c r="Z218" s="29" t="inlineStr">
        <is>
          <t>HIGH</t>
        </is>
      </c>
      <c r="AA218" s="29" t="inlineStr">
        <is>
          <t>HIGH</t>
        </is>
      </c>
      <c r="AB218" s="29" t="inlineStr">
        <is>
          <t>0.09970421258194967</t>
        </is>
      </c>
      <c r="AC218" s="29" t="inlineStr">
        <is>
          <t>False</t>
        </is>
      </c>
      <c r="AD218" s="29" t="inlineStr">
        <is>
          <t>True</t>
        </is>
      </c>
      <c r="AE218" s="29" t="inlineStr">
        <is>
          <t>valuation_credit_ml_overlay_candidate.csv</t>
        </is>
      </c>
      <c r="AF218" s="29" t="inlineStr">
        <is>
          <t>208개 반도체 reference universe. Valuation Agent가 자체 intake 폴더로 복제해 Peer/ML/대시보드 비교에 사용.</t>
        </is>
      </c>
    </row>
    <row r="219" ht="24" customHeight="1">
      <c r="A219" s="24" t="inlineStr">
        <is>
          <t>43</t>
        </is>
      </c>
      <c r="B219" s="24" t="inlineStr">
        <is>
          <t>해당 없음</t>
        </is>
      </c>
      <c r="C219" s="24" t="inlineStr">
        <is>
          <t>넥스트칩</t>
        </is>
      </c>
      <c r="D219" s="24" t="inlineStr">
        <is>
          <t>396270</t>
        </is>
      </c>
      <c r="E219" s="24" t="inlineStr">
        <is>
          <t>KOSDAQ</t>
        </is>
      </c>
      <c r="F219" s="24" t="inlineStr">
        <is>
          <t>팹리스/설계</t>
        </is>
      </c>
      <c r="G219" s="24" t="inlineStr">
        <is>
          <t>팹리스/설계</t>
        </is>
      </c>
      <c r="H219" s="24" t="inlineStr">
        <is>
          <t>False</t>
        </is>
      </c>
      <c r="I219" s="24" t="inlineStr">
        <is>
          <t>True</t>
        </is>
      </c>
      <c r="J219" s="24" t="inlineStr">
        <is>
          <t>OK</t>
        </is>
      </c>
      <c r="K219" s="24" t="inlineStr">
        <is>
          <t>데이터 사용 가능</t>
        </is>
      </c>
      <c r="L219" s="24" t="inlineStr">
        <is>
          <t>LOW</t>
        </is>
      </c>
      <c r="M219" s="24" t="inlineStr">
        <is>
          <t>LOW</t>
        </is>
      </c>
      <c r="N219" s="24" t="inlineStr">
        <is>
          <t>0.3743434343434344</t>
        </is>
      </c>
      <c r="O219" s="24" t="inlineStr">
        <is>
          <t>EXPENSIVE</t>
        </is>
      </c>
      <c r="P219" s="24" t="inlineStr">
        <is>
          <t>EXPENSIVE</t>
        </is>
      </c>
      <c r="Q219" s="24" t="inlineStr">
        <is>
          <t>EXPENSIVE</t>
        </is>
      </c>
      <c r="R219" s="24" t="inlineStr">
        <is>
          <t>0.9380466040149497</t>
        </is>
      </c>
      <c r="S219" s="24" t="inlineStr">
        <is>
          <t>HIGH</t>
        </is>
      </c>
      <c r="T219" s="24" t="inlineStr">
        <is>
          <t>HIGH</t>
        </is>
      </c>
      <c r="U219" s="24" t="inlineStr">
        <is>
          <t>0.7142857142857143</t>
        </is>
      </c>
      <c r="V219" s="24" t="inlineStr">
        <is>
          <t>HIGH_RISK</t>
        </is>
      </c>
      <c r="W219" s="24" t="inlineStr">
        <is>
          <t>고위험</t>
        </is>
      </c>
      <c r="X219" s="24" t="inlineStr">
        <is>
          <t>HIGH_RISK</t>
        </is>
      </c>
      <c r="Y219" s="24" t="inlineStr">
        <is>
          <t>0.9903921975513593</t>
        </is>
      </c>
      <c r="Z219" s="24" t="inlineStr">
        <is>
          <t>HIGH</t>
        </is>
      </c>
      <c r="AA219" s="24" t="inlineStr">
        <is>
          <t>HIGH</t>
        </is>
      </c>
      <c r="AB219" s="24" t="inlineStr">
        <is>
          <t>0.35370954409664757</t>
        </is>
      </c>
      <c r="AC219" s="24" t="inlineStr">
        <is>
          <t>True</t>
        </is>
      </c>
      <c r="AD219" s="24" t="inlineStr">
        <is>
          <t>True</t>
        </is>
      </c>
      <c r="AE219" s="24" t="inlineStr">
        <is>
          <t>valuation_credit_ml_overlay_candidate.csv</t>
        </is>
      </c>
      <c r="AF219" s="24" t="inlineStr">
        <is>
          <t>208개 반도체 reference universe. Valuation Agent가 자체 intake 폴더로 복제해 Peer/ML/대시보드 비교에 사용.</t>
        </is>
      </c>
    </row>
    <row r="220" ht="24" customHeight="1">
      <c r="A220" s="29" t="inlineStr">
        <is>
          <t>49</t>
        </is>
      </c>
      <c r="B220" s="29" t="inlineStr">
        <is>
          <t>해당 없음</t>
        </is>
      </c>
      <c r="C220" s="29" t="inlineStr">
        <is>
          <t>사피엔반도체</t>
        </is>
      </c>
      <c r="D220" s="29" t="inlineStr">
        <is>
          <t>452430</t>
        </is>
      </c>
      <c r="E220" s="29" t="inlineStr">
        <is>
          <t>KOSDAQ</t>
        </is>
      </c>
      <c r="F220" s="29" t="inlineStr">
        <is>
          <t>팹리스/설계</t>
        </is>
      </c>
      <c r="G220" s="29" t="inlineStr">
        <is>
          <t>팹리스/설계</t>
        </is>
      </c>
      <c r="H220" s="29" t="inlineStr">
        <is>
          <t>False</t>
        </is>
      </c>
      <c r="I220" s="29" t="inlineStr">
        <is>
          <t>True</t>
        </is>
      </c>
      <c r="J220" s="29" t="inlineStr">
        <is>
          <t>OK_LIMITED_HISTORY_OR_GROWTH_NA</t>
        </is>
      </c>
      <c r="K220" s="29" t="inlineStr">
        <is>
          <t>데이터 사용 가능</t>
        </is>
      </c>
      <c r="L220" s="29" t="inlineStr">
        <is>
          <t>LOW</t>
        </is>
      </c>
      <c r="M220" s="29" t="inlineStr">
        <is>
          <t>LOW</t>
        </is>
      </c>
      <c r="N220" s="29" t="inlineStr">
        <is>
          <t>0.3721212121212121</t>
        </is>
      </c>
      <c r="O220" s="29" t="inlineStr">
        <is>
          <t>EXPENSIVE</t>
        </is>
      </c>
      <c r="P220" s="29" t="inlineStr">
        <is>
          <t>EXPENSIVE</t>
        </is>
      </c>
      <c r="Q220" s="29" t="inlineStr">
        <is>
          <t>EXPENSIVE</t>
        </is>
      </c>
      <c r="R220" s="29" t="inlineStr">
        <is>
          <t>0.8482781866315999</t>
        </is>
      </c>
      <c r="S220" s="29" t="inlineStr">
        <is>
          <t>HIGH</t>
        </is>
      </c>
      <c r="T220" s="29" t="inlineStr">
        <is>
          <t>HIGH</t>
        </is>
      </c>
      <c r="U220" s="29" t="inlineStr">
        <is>
          <t>0.5714285714285714</t>
        </is>
      </c>
      <c r="V220" s="29" t="inlineStr">
        <is>
          <t>HIGH_RISK</t>
        </is>
      </c>
      <c r="W220" s="29" t="inlineStr">
        <is>
          <t>고위험</t>
        </is>
      </c>
      <c r="X220" s="29" t="inlineStr">
        <is>
          <t>MEDIUM_RISK</t>
        </is>
      </c>
      <c r="Y220" s="29" t="inlineStr">
        <is>
          <t>0.5745685064585346</t>
        </is>
      </c>
      <c r="Z220" s="29" t="inlineStr">
        <is>
          <t>MEDIUM</t>
        </is>
      </c>
      <c r="AA220" s="29" t="inlineStr">
        <is>
          <t>MEDIUM</t>
        </is>
      </c>
      <c r="AB220" s="29" t="inlineStr">
        <is>
          <t>0.12187984427462309</t>
        </is>
      </c>
      <c r="AC220" s="29" t="inlineStr">
        <is>
          <t>False</t>
        </is>
      </c>
      <c r="AD220" s="29" t="inlineStr">
        <is>
          <t>True</t>
        </is>
      </c>
      <c r="AE220" s="29" t="inlineStr">
        <is>
          <t>valuation_credit_ml_overlay_candidate.csv</t>
        </is>
      </c>
      <c r="AF220" s="29" t="inlineStr">
        <is>
          <t>208개 반도체 reference universe. Valuation Agent가 자체 intake 폴더로 복제해 Peer/ML/대시보드 비교에 사용.</t>
        </is>
      </c>
    </row>
    <row r="221" ht="24" customHeight="1">
      <c r="A221" s="24" t="inlineStr">
        <is>
          <t>44</t>
        </is>
      </c>
      <c r="B221" s="24" t="inlineStr">
        <is>
          <t>해당 없음</t>
        </is>
      </c>
      <c r="C221" s="24" t="inlineStr">
        <is>
          <t>동운아나텍</t>
        </is>
      </c>
      <c r="D221" s="24" t="inlineStr">
        <is>
          <t>094170</t>
        </is>
      </c>
      <c r="E221" s="24" t="inlineStr">
        <is>
          <t>KOSDAQ</t>
        </is>
      </c>
      <c r="F221" s="24" t="inlineStr">
        <is>
          <t>팹리스/설계</t>
        </is>
      </c>
      <c r="G221" s="24" t="inlineStr">
        <is>
          <t>팹리스/설계</t>
        </is>
      </c>
      <c r="H221" s="24" t="inlineStr">
        <is>
          <t>False</t>
        </is>
      </c>
      <c r="I221" s="24" t="inlineStr">
        <is>
          <t>True</t>
        </is>
      </c>
      <c r="J221" s="24" t="inlineStr">
        <is>
          <t>OK</t>
        </is>
      </c>
      <c r="K221" s="24" t="inlineStr">
        <is>
          <t>데이터 사용 가능</t>
        </is>
      </c>
      <c r="L221" s="24" t="inlineStr">
        <is>
          <t>LOW</t>
        </is>
      </c>
      <c r="M221" s="24" t="inlineStr">
        <is>
          <t>LOW</t>
        </is>
      </c>
      <c r="N221" s="24" t="inlineStr">
        <is>
          <t>0.3670707070707071</t>
        </is>
      </c>
      <c r="O221" s="24" t="inlineStr">
        <is>
          <t>EXPENSIVE</t>
        </is>
      </c>
      <c r="P221" s="24" t="inlineStr">
        <is>
          <t>EXPENSIVE</t>
        </is>
      </c>
      <c r="Q221" s="24" t="inlineStr">
        <is>
          <t>EXPENSIVE</t>
        </is>
      </c>
      <c r="R221" s="24" t="inlineStr">
        <is>
          <t>0.4894423516429773</t>
        </is>
      </c>
      <c r="S221" s="24" t="inlineStr">
        <is>
          <t>LOW</t>
        </is>
      </c>
      <c r="T221" s="24" t="inlineStr">
        <is>
          <t>LOW</t>
        </is>
      </c>
      <c r="U221" s="24" t="inlineStr">
        <is>
          <t>0.2142857142857142</t>
        </is>
      </c>
      <c r="V221" s="24" t="inlineStr">
        <is>
          <t>MEDIUM_RISK</t>
        </is>
      </c>
      <c r="W221" s="24" t="inlineStr">
        <is>
          <t>중위험</t>
        </is>
      </c>
      <c r="X221" s="24" t="inlineStr">
        <is>
          <t>MEDIUM_RISK</t>
        </is>
      </c>
      <c r="Y221" s="24" t="inlineStr">
        <is>
          <t>0.5063531969196903</t>
        </is>
      </c>
      <c r="Z221" s="24" t="inlineStr">
        <is>
          <t>MEDIUM</t>
        </is>
      </c>
      <c r="AA221" s="24" t="inlineStr">
        <is>
          <t>MEDIUM</t>
        </is>
      </c>
      <c r="AB221" s="24" t="inlineStr">
        <is>
          <t>0.09811976029987664</t>
        </is>
      </c>
      <c r="AC221" s="24" t="inlineStr">
        <is>
          <t>False</t>
        </is>
      </c>
      <c r="AD221" s="24" t="inlineStr">
        <is>
          <t>True</t>
        </is>
      </c>
      <c r="AE221" s="24" t="inlineStr">
        <is>
          <t>valuation_credit_ml_overlay_candidate.csv</t>
        </is>
      </c>
      <c r="AF221" s="24" t="inlineStr">
        <is>
          <t>208개 반도체 reference universe. Valuation Agent가 자체 intake 폴더로 복제해 Peer/ML/대시보드 비교에 사용.</t>
        </is>
      </c>
    </row>
    <row r="222" ht="24" customHeight="1">
      <c r="A222" s="29" t="inlineStr">
        <is>
          <t>50</t>
        </is>
      </c>
      <c r="B222" s="29" t="inlineStr">
        <is>
          <t>해당 없음</t>
        </is>
      </c>
      <c r="C222" s="29" t="inlineStr">
        <is>
          <t>세미파이브</t>
        </is>
      </c>
      <c r="D222" s="29" t="inlineStr">
        <is>
          <t>490470</t>
        </is>
      </c>
      <c r="E222" s="29" t="inlineStr">
        <is>
          <t>KOSDAQ</t>
        </is>
      </c>
      <c r="F222" s="29" t="inlineStr">
        <is>
          <t>팹리스/설계</t>
        </is>
      </c>
      <c r="G222" s="29" t="inlineStr">
        <is>
          <t>팹리스/설계</t>
        </is>
      </c>
      <c r="H222" s="29" t="inlineStr">
        <is>
          <t>False</t>
        </is>
      </c>
      <c r="I222" s="29" t="inlineStr">
        <is>
          <t>True</t>
        </is>
      </c>
      <c r="J222" s="29" t="inlineStr">
        <is>
          <t>OK_LIMITED_HISTORY_OR_GROWTH_NA</t>
        </is>
      </c>
      <c r="K222" s="29" t="inlineStr">
        <is>
          <t>데이터 사용 가능</t>
        </is>
      </c>
      <c r="L222" s="29" t="inlineStr">
        <is>
          <t>LOW</t>
        </is>
      </c>
      <c r="M222" s="29" t="inlineStr">
        <is>
          <t>LOW</t>
        </is>
      </c>
      <c r="N222" s="29" t="inlineStr">
        <is>
          <t>0.3646464646464646</t>
        </is>
      </c>
      <c r="O222" s="29" t="inlineStr">
        <is>
          <t>EXPENSIVE</t>
        </is>
      </c>
      <c r="P222" s="29" t="inlineStr">
        <is>
          <t>EXPENSIVE</t>
        </is>
      </c>
      <c r="Q222" s="29" t="inlineStr">
        <is>
          <t>EXPENSIVE</t>
        </is>
      </c>
      <c r="R222" s="29" t="inlineStr">
        <is>
          <t>0.9277538303818181</t>
        </is>
      </c>
      <c r="S222" s="29" t="inlineStr">
        <is>
          <t>HIGH</t>
        </is>
      </c>
      <c r="T222" s="29" t="inlineStr">
        <is>
          <t>HIGH</t>
        </is>
      </c>
      <c r="U222" s="29" t="inlineStr">
        <is>
          <t>0.5</t>
        </is>
      </c>
      <c r="V222" s="29" t="inlineStr">
        <is>
          <t>HIGH_RISK</t>
        </is>
      </c>
      <c r="W222" s="29" t="inlineStr">
        <is>
          <t>고위험</t>
        </is>
      </c>
      <c r="X222" s="29" t="inlineStr">
        <is>
          <t>HIGH_RISK</t>
        </is>
      </c>
      <c r="Y222" s="29" t="inlineStr">
        <is>
          <t>0.8726925242668786</t>
        </is>
      </c>
      <c r="Z222" s="29" t="inlineStr">
        <is>
          <t>HIGH</t>
        </is>
      </c>
      <c r="AA222" s="29" t="inlineStr">
        <is>
          <t>HIGH</t>
        </is>
      </c>
      <c r="AB222" s="29" t="inlineStr">
        <is>
          <t>0.10138163372341347</t>
        </is>
      </c>
      <c r="AC222" s="29" t="inlineStr">
        <is>
          <t>False</t>
        </is>
      </c>
      <c r="AD222" s="29" t="inlineStr">
        <is>
          <t>True</t>
        </is>
      </c>
      <c r="AE222" s="29" t="inlineStr">
        <is>
          <t>valuation_credit_ml_overlay_candidate.csv</t>
        </is>
      </c>
      <c r="AF222" s="29" t="inlineStr">
        <is>
          <t>208개 반도체 reference universe. Valuation Agent가 자체 intake 폴더로 복제해 Peer/ML/대시보드 비교에 사용.</t>
        </is>
      </c>
    </row>
    <row r="223" ht="24" customHeight="1">
      <c r="A223" s="24" t="inlineStr">
        <is>
          <t>63</t>
        </is>
      </c>
      <c r="B223" s="24" t="inlineStr">
        <is>
          <t>해당 없음</t>
        </is>
      </c>
      <c r="C223" s="24" t="inlineStr">
        <is>
          <t>에이직랜드</t>
        </is>
      </c>
      <c r="D223" s="24" t="inlineStr">
        <is>
          <t>445090</t>
        </is>
      </c>
      <c r="E223" s="24" t="inlineStr">
        <is>
          <t>KOSDAQ</t>
        </is>
      </c>
      <c r="F223" s="24" t="inlineStr">
        <is>
          <t>팹리스/설계</t>
        </is>
      </c>
      <c r="G223" s="24" t="inlineStr">
        <is>
          <t>팹리스/설계</t>
        </is>
      </c>
      <c r="H223" s="24" t="inlineStr">
        <is>
          <t>False</t>
        </is>
      </c>
      <c r="I223" s="24" t="inlineStr">
        <is>
          <t>True</t>
        </is>
      </c>
      <c r="J223" s="24" t="inlineStr">
        <is>
          <t>OK_LIMITED_HISTORY_OR_GROWTH_NA</t>
        </is>
      </c>
      <c r="K223" s="24" t="inlineStr">
        <is>
          <t>데이터 사용 가능</t>
        </is>
      </c>
      <c r="L223" s="24" t="inlineStr">
        <is>
          <t>LOW</t>
        </is>
      </c>
      <c r="M223" s="24" t="inlineStr">
        <is>
          <t>LOW</t>
        </is>
      </c>
      <c r="N223" s="24" t="inlineStr">
        <is>
          <t>0.3294949494949495</t>
        </is>
      </c>
      <c r="O223" s="24" t="inlineStr">
        <is>
          <t>EXPENSIVE</t>
        </is>
      </c>
      <c r="P223" s="24" t="inlineStr">
        <is>
          <t>EXPENSIVE</t>
        </is>
      </c>
      <c r="Q223" s="24" t="inlineStr">
        <is>
          <t>EXPENSIVE</t>
        </is>
      </c>
      <c r="R223" s="24" t="inlineStr">
        <is>
          <t>0.9058303131641584</t>
        </is>
      </c>
      <c r="S223" s="24" t="inlineStr">
        <is>
          <t>HIGH</t>
        </is>
      </c>
      <c r="T223" s="24" t="inlineStr">
        <is>
          <t>HIGH</t>
        </is>
      </c>
      <c r="U223" s="24" t="inlineStr">
        <is>
          <t>0.7857142857142857</t>
        </is>
      </c>
      <c r="V223" s="24" t="inlineStr">
        <is>
          <t>HIGH_RISK</t>
        </is>
      </c>
      <c r="W223" s="24" t="inlineStr">
        <is>
          <t>고위험</t>
        </is>
      </c>
      <c r="X223" s="24" t="inlineStr">
        <is>
          <t>HIGH_RISK</t>
        </is>
      </c>
      <c r="Y223" s="24" t="inlineStr">
        <is>
          <t>0.9947590219356869</t>
        </is>
      </c>
      <c r="Z223" s="24" t="inlineStr">
        <is>
          <t>HIGH</t>
        </is>
      </c>
      <c r="AA223" s="24" t="inlineStr">
        <is>
          <t>HIGH</t>
        </is>
      </c>
      <c r="AB223" s="24" t="inlineStr">
        <is>
          <t>0.22322767104490657</t>
        </is>
      </c>
      <c r="AC223" s="24" t="inlineStr">
        <is>
          <t>False</t>
        </is>
      </c>
      <c r="AD223" s="24" t="inlineStr">
        <is>
          <t>True</t>
        </is>
      </c>
      <c r="AE223" s="24" t="inlineStr">
        <is>
          <t>valuation_credit_ml_overlay_candidate.csv</t>
        </is>
      </c>
      <c r="AF223" s="24" t="inlineStr">
        <is>
          <t>208개 반도체 reference universe. Valuation Agent가 자체 intake 폴더로 복제해 Peer/ML/대시보드 비교에 사용.</t>
        </is>
      </c>
    </row>
    <row r="224" ht="24" customHeight="1">
      <c r="A224" s="29" t="inlineStr">
        <is>
          <t>45</t>
        </is>
      </c>
      <c r="B224" s="29" t="inlineStr">
        <is>
          <t>해당 없음</t>
        </is>
      </c>
      <c r="C224" s="29" t="inlineStr">
        <is>
          <t>라닉스</t>
        </is>
      </c>
      <c r="D224" s="29" t="inlineStr">
        <is>
          <t>317120</t>
        </is>
      </c>
      <c r="E224" s="29" t="inlineStr">
        <is>
          <t>KOSDAQ</t>
        </is>
      </c>
      <c r="F224" s="29" t="inlineStr">
        <is>
          <t>팹리스/설계</t>
        </is>
      </c>
      <c r="G224" s="29" t="inlineStr">
        <is>
          <t>팹리스/설계</t>
        </is>
      </c>
      <c r="H224" s="29" t="inlineStr">
        <is>
          <t>False</t>
        </is>
      </c>
      <c r="I224" s="29" t="inlineStr">
        <is>
          <t>True</t>
        </is>
      </c>
      <c r="J224" s="29" t="inlineStr">
        <is>
          <t>OK</t>
        </is>
      </c>
      <c r="K224" s="29" t="inlineStr">
        <is>
          <t>데이터 사용 가능</t>
        </is>
      </c>
      <c r="L224" s="29" t="inlineStr">
        <is>
          <t>LOW</t>
        </is>
      </c>
      <c r="M224" s="29" t="inlineStr">
        <is>
          <t>LOW</t>
        </is>
      </c>
      <c r="N224" s="29" t="inlineStr">
        <is>
          <t>0.3208080808080809</t>
        </is>
      </c>
      <c r="O224" s="29" t="inlineStr">
        <is>
          <t>EXPENSIVE</t>
        </is>
      </c>
      <c r="P224" s="29" t="inlineStr">
        <is>
          <t>EXPENSIVE</t>
        </is>
      </c>
      <c r="Q224" s="29" t="inlineStr">
        <is>
          <t>EXPENSIVE</t>
        </is>
      </c>
      <c r="R224" s="29" t="inlineStr">
        <is>
          <t>0.9281808400807596</t>
        </is>
      </c>
      <c r="S224" s="29" t="inlineStr">
        <is>
          <t>HIGH</t>
        </is>
      </c>
      <c r="T224" s="29" t="inlineStr">
        <is>
          <t>HIGH</t>
        </is>
      </c>
      <c r="U224" s="29" t="inlineStr">
        <is>
          <t>0.7142857142857143</t>
        </is>
      </c>
      <c r="V224" s="29" t="inlineStr">
        <is>
          <t>HIGH_RISK</t>
        </is>
      </c>
      <c r="W224" s="29" t="inlineStr">
        <is>
          <t>고위험</t>
        </is>
      </c>
      <c r="X224" s="29" t="inlineStr">
        <is>
          <t>HIGH_RISK</t>
        </is>
      </c>
      <c r="Y224" s="29" t="inlineStr">
        <is>
          <t>0.9891542031597422</t>
        </is>
      </c>
      <c r="Z224" s="29" t="inlineStr">
        <is>
          <t>HIGH</t>
        </is>
      </c>
      <c r="AA224" s="29" t="inlineStr">
        <is>
          <t>HIGH</t>
        </is>
      </c>
      <c r="AB224" s="29" t="inlineStr">
        <is>
          <t>0.2722138190712409</t>
        </is>
      </c>
      <c r="AC224" s="29" t="inlineStr">
        <is>
          <t>True</t>
        </is>
      </c>
      <c r="AD224" s="29" t="inlineStr">
        <is>
          <t>True</t>
        </is>
      </c>
      <c r="AE224" s="29" t="inlineStr">
        <is>
          <t>valuation_credit_ml_overlay_candidate.csv</t>
        </is>
      </c>
      <c r="AF224" s="29" t="inlineStr">
        <is>
          <t>208개 반도체 reference universe. Valuation Agent가 자체 intake 폴더로 복제해 Peer/ML/대시보드 비교에 사용.</t>
        </is>
      </c>
    </row>
    <row r="225" ht="24" customHeight="1">
      <c r="A225" s="24" t="inlineStr">
        <is>
          <t>42</t>
        </is>
      </c>
      <c r="B225" s="24" t="inlineStr">
        <is>
          <t>해당 없음</t>
        </is>
      </c>
      <c r="C225" s="24" t="inlineStr">
        <is>
          <t>가온칩스</t>
        </is>
      </c>
      <c r="D225" s="24" t="inlineStr">
        <is>
          <t>399720</t>
        </is>
      </c>
      <c r="E225" s="24" t="inlineStr">
        <is>
          <t>KOSDAQ</t>
        </is>
      </c>
      <c r="F225" s="24" t="inlineStr">
        <is>
          <t>팹리스/설계</t>
        </is>
      </c>
      <c r="G225" s="24" t="inlineStr">
        <is>
          <t>팹리스/설계</t>
        </is>
      </c>
      <c r="H225" s="24" t="inlineStr">
        <is>
          <t>False</t>
        </is>
      </c>
      <c r="I225" s="24" t="inlineStr">
        <is>
          <t>True</t>
        </is>
      </c>
      <c r="J225" s="24" t="inlineStr">
        <is>
          <t>OK</t>
        </is>
      </c>
      <c r="K225" s="24" t="inlineStr">
        <is>
          <t>데이터 사용 가능</t>
        </is>
      </c>
      <c r="L225" s="24" t="inlineStr">
        <is>
          <t>LOW</t>
        </is>
      </c>
      <c r="M225" s="24" t="inlineStr">
        <is>
          <t>LOW</t>
        </is>
      </c>
      <c r="N225" s="24" t="inlineStr">
        <is>
          <t>0.3119191919191919</t>
        </is>
      </c>
      <c r="O225" s="24" t="inlineStr">
        <is>
          <t>EXPENSIVE</t>
        </is>
      </c>
      <c r="P225" s="24" t="inlineStr">
        <is>
          <t>EXPENSIVE</t>
        </is>
      </c>
      <c r="Q225" s="24" t="inlineStr">
        <is>
          <t>EXPENSIVE</t>
        </is>
      </c>
      <c r="R225" s="24" t="inlineStr">
        <is>
          <t>0.9202856043409283</t>
        </is>
      </c>
      <c r="S225" s="24" t="inlineStr">
        <is>
          <t>HIGH</t>
        </is>
      </c>
      <c r="T225" s="24" t="inlineStr">
        <is>
          <t>HIGH</t>
        </is>
      </c>
      <c r="U225" s="24" t="inlineStr">
        <is>
          <t>0.5714285714285714</t>
        </is>
      </c>
      <c r="V225" s="24" t="inlineStr">
        <is>
          <t>HIGH_RISK</t>
        </is>
      </c>
      <c r="W225" s="24" t="inlineStr">
        <is>
          <t>고위험</t>
        </is>
      </c>
      <c r="X225" s="24" t="inlineStr">
        <is>
          <t>HIGH_RISK</t>
        </is>
      </c>
      <c r="Y225" s="24" t="inlineStr">
        <is>
          <t>0.9252273149693407</t>
        </is>
      </c>
      <c r="Z225" s="24" t="inlineStr">
        <is>
          <t>HIGH</t>
        </is>
      </c>
      <c r="AA225" s="24" t="inlineStr">
        <is>
          <t>HIGH</t>
        </is>
      </c>
      <c r="AB225" s="24" t="inlineStr">
        <is>
          <t>0.08996216176961074</t>
        </is>
      </c>
      <c r="AC225" s="24" t="inlineStr">
        <is>
          <t>False</t>
        </is>
      </c>
      <c r="AD225" s="24" t="inlineStr">
        <is>
          <t>False</t>
        </is>
      </c>
      <c r="AE225" s="24" t="inlineStr">
        <is>
          <t>valuation_credit_ml_overlay_candidate.csv</t>
        </is>
      </c>
      <c r="AF225" s="24" t="inlineStr">
        <is>
          <t>208개 반도체 reference universe. Valuation Agent가 자체 intake 폴더로 복제해 Peer/ML/대시보드 비교에 사용.</t>
        </is>
      </c>
    </row>
    <row r="226" ht="24" customHeight="1">
      <c r="A226" s="29" t="inlineStr">
        <is>
          <t>72</t>
        </is>
      </c>
      <c r="B226" s="29" t="inlineStr">
        <is>
          <t>해당 없음</t>
        </is>
      </c>
      <c r="C226" s="29" t="inlineStr">
        <is>
          <t>파두</t>
        </is>
      </c>
      <c r="D226" s="29" t="inlineStr">
        <is>
          <t>440110</t>
        </is>
      </c>
      <c r="E226" s="29" t="inlineStr">
        <is>
          <t>KOSDAQ</t>
        </is>
      </c>
      <c r="F226" s="29" t="inlineStr">
        <is>
          <t>팹리스/설계</t>
        </is>
      </c>
      <c r="G226" s="29" t="inlineStr">
        <is>
          <t>팹리스/설계</t>
        </is>
      </c>
      <c r="H226" s="29" t="inlineStr">
        <is>
          <t>False</t>
        </is>
      </c>
      <c r="I226" s="29" t="inlineStr">
        <is>
          <t>True</t>
        </is>
      </c>
      <c r="J226" s="29" t="inlineStr">
        <is>
          <t>OK_LIMITED_HISTORY_OR_GROWTH_NA</t>
        </is>
      </c>
      <c r="K226" s="29" t="inlineStr">
        <is>
          <t>데이터 사용 가능</t>
        </is>
      </c>
      <c r="L226" s="29" t="inlineStr">
        <is>
          <t>LOW</t>
        </is>
      </c>
      <c r="M226" s="29" t="inlineStr">
        <is>
          <t>LOW</t>
        </is>
      </c>
      <c r="N226" s="29" t="inlineStr">
        <is>
          <t>0.2817171717171717</t>
        </is>
      </c>
      <c r="O226" s="29" t="inlineStr">
        <is>
          <t>EXPENSIVE</t>
        </is>
      </c>
      <c r="P226" s="29" t="inlineStr">
        <is>
          <t>EXPENSIVE</t>
        </is>
      </c>
      <c r="Q226" s="29" t="inlineStr">
        <is>
          <t>EXPENSIVE</t>
        </is>
      </c>
      <c r="R226" s="29" t="inlineStr">
        <is>
          <t>0.9722302520284296</t>
        </is>
      </c>
      <c r="S226" s="29" t="inlineStr">
        <is>
          <t>HIGH</t>
        </is>
      </c>
      <c r="T226" s="29" t="inlineStr">
        <is>
          <t>HIGH</t>
        </is>
      </c>
      <c r="U226" s="29" t="inlineStr">
        <is>
          <t>0.7142857142857143</t>
        </is>
      </c>
      <c r="V226" s="29" t="inlineStr">
        <is>
          <t>HIGH_RISK</t>
        </is>
      </c>
      <c r="W226" s="29" t="inlineStr">
        <is>
          <t>고위험</t>
        </is>
      </c>
      <c r="X226" s="29" t="inlineStr">
        <is>
          <t>HIGH_RISK</t>
        </is>
      </c>
      <c r="Y226" s="29" t="inlineStr">
        <is>
          <t>0.9166704410023929</t>
        </is>
      </c>
      <c r="Z226" s="29" t="inlineStr">
        <is>
          <t>HIGH</t>
        </is>
      </c>
      <c r="AA226" s="29" t="inlineStr">
        <is>
          <t>HIGH</t>
        </is>
      </c>
      <c r="AB226" s="29" t="inlineStr">
        <is>
          <t>0.4892266150598854</t>
        </is>
      </c>
      <c r="AC226" s="29" t="inlineStr">
        <is>
          <t>True</t>
        </is>
      </c>
      <c r="AD226" s="29" t="inlineStr">
        <is>
          <t>True</t>
        </is>
      </c>
      <c r="AE226" s="29" t="inlineStr">
        <is>
          <t>valuation_credit_ml_overlay_candidate.csv</t>
        </is>
      </c>
      <c r="AF226" s="29" t="inlineStr">
        <is>
          <t>208개 반도체 reference universe. Valuation Agent가 자체 intake 폴더로 복제해 Peer/ML/대시보드 비교에 사용.</t>
        </is>
      </c>
    </row>
    <row r="227" ht="24" customHeight="1">
      <c r="A227" s="24" t="inlineStr">
        <is>
          <t>54</t>
        </is>
      </c>
      <c r="B227" s="24" t="inlineStr">
        <is>
          <t>해당 없음</t>
        </is>
      </c>
      <c r="C227" s="24" t="inlineStr">
        <is>
          <t>아이씨티케이</t>
        </is>
      </c>
      <c r="D227" s="24" t="inlineStr">
        <is>
          <t>456010</t>
        </is>
      </c>
      <c r="E227" s="24" t="inlineStr">
        <is>
          <t>KOSDAQ</t>
        </is>
      </c>
      <c r="F227" s="24" t="inlineStr">
        <is>
          <t>팹리스/설계</t>
        </is>
      </c>
      <c r="G227" s="24" t="inlineStr">
        <is>
          <t>팹리스/설계</t>
        </is>
      </c>
      <c r="H227" s="24" t="inlineStr">
        <is>
          <t>False</t>
        </is>
      </c>
      <c r="I227" s="24" t="inlineStr">
        <is>
          <t>True</t>
        </is>
      </c>
      <c r="J227" s="24" t="inlineStr">
        <is>
          <t>OK_LIMITED_HISTORY_OR_GROWTH_NA</t>
        </is>
      </c>
      <c r="K227" s="24" t="inlineStr">
        <is>
          <t>데이터 사용 가능</t>
        </is>
      </c>
      <c r="L227" s="24" t="inlineStr">
        <is>
          <t>LOW</t>
        </is>
      </c>
      <c r="M227" s="24" t="inlineStr">
        <is>
          <t>LOW</t>
        </is>
      </c>
      <c r="N227" s="24" t="inlineStr">
        <is>
          <t>0.2421212121212121</t>
        </is>
      </c>
      <c r="O227" s="24" t="inlineStr">
        <is>
          <t>EXPENSIVE</t>
        </is>
      </c>
      <c r="P227" s="24" t="inlineStr">
        <is>
          <t>EXPENSIVE</t>
        </is>
      </c>
      <c r="Q227" s="24" t="inlineStr">
        <is>
          <t>EXPENSIVE</t>
        </is>
      </c>
      <c r="R227" s="24" t="inlineStr">
        <is>
          <t>0.9318776222941163</t>
        </is>
      </c>
      <c r="S227" s="24" t="inlineStr">
        <is>
          <t>HIGH</t>
        </is>
      </c>
      <c r="T227" s="24" t="inlineStr">
        <is>
          <t>HIGH</t>
        </is>
      </c>
      <c r="U227" s="24" t="inlineStr">
        <is>
          <t>0.5714285714285714</t>
        </is>
      </c>
      <c r="V227" s="24" t="inlineStr">
        <is>
          <t>HIGH_RISK</t>
        </is>
      </c>
      <c r="W227" s="24" t="inlineStr">
        <is>
          <t>고위험</t>
        </is>
      </c>
      <c r="X227" s="24" t="inlineStr">
        <is>
          <t>HIGH_RISK</t>
        </is>
      </c>
      <c r="Y227" s="24" t="inlineStr">
        <is>
          <t>0.9704486787687135</t>
        </is>
      </c>
      <c r="Z227" s="24" t="inlineStr">
        <is>
          <t>HIGH</t>
        </is>
      </c>
      <c r="AA227" s="24" t="inlineStr">
        <is>
          <t>HIGH</t>
        </is>
      </c>
      <c r="AB227" s="24" t="inlineStr">
        <is>
          <t>0.44110450319077704</t>
        </is>
      </c>
      <c r="AC227" s="24" t="inlineStr">
        <is>
          <t>True</t>
        </is>
      </c>
      <c r="AD227" s="24" t="inlineStr">
        <is>
          <t>True</t>
        </is>
      </c>
      <c r="AE227" s="24" t="inlineStr">
        <is>
          <t>valuation_credit_ml_overlay_candidate.csv</t>
        </is>
      </c>
      <c r="AF227" s="24" t="inlineStr">
        <is>
          <t>208개 반도체 reference universe. Valuation Agent가 자체 intake 폴더로 복제해 Peer/ML/대시보드 비교에 사용.</t>
        </is>
      </c>
    </row>
    <row r="228" ht="24" customHeight="1">
      <c r="A228" s="29" t="inlineStr">
        <is>
          <t>64</t>
        </is>
      </c>
      <c r="B228" s="29" t="inlineStr">
        <is>
          <t>해당 없음</t>
        </is>
      </c>
      <c r="C228" s="29" t="inlineStr">
        <is>
          <t>오픈엣지테크놀로지</t>
        </is>
      </c>
      <c r="D228" s="29" t="inlineStr">
        <is>
          <t>394280</t>
        </is>
      </c>
      <c r="E228" s="29" t="inlineStr">
        <is>
          <t>KOSDAQ</t>
        </is>
      </c>
      <c r="F228" s="29" t="inlineStr">
        <is>
          <t>팹리스/설계</t>
        </is>
      </c>
      <c r="G228" s="29" t="inlineStr">
        <is>
          <t>팹리스/설계</t>
        </is>
      </c>
      <c r="H228" s="29" t="inlineStr">
        <is>
          <t>False</t>
        </is>
      </c>
      <c r="I228" s="29" t="inlineStr">
        <is>
          <t>True</t>
        </is>
      </c>
      <c r="J228" s="29" t="inlineStr">
        <is>
          <t>OK</t>
        </is>
      </c>
      <c r="K228" s="29" t="inlineStr">
        <is>
          <t>데이터 사용 가능</t>
        </is>
      </c>
      <c r="L228" s="29" t="inlineStr">
        <is>
          <t>LOW</t>
        </is>
      </c>
      <c r="M228" s="29" t="inlineStr">
        <is>
          <t>LOW</t>
        </is>
      </c>
      <c r="N228" s="29" t="inlineStr">
        <is>
          <t>0.2383838383838384</t>
        </is>
      </c>
      <c r="O228" s="29" t="inlineStr">
        <is>
          <t>EXPENSIVE</t>
        </is>
      </c>
      <c r="P228" s="29" t="inlineStr">
        <is>
          <t>EXPENSIVE</t>
        </is>
      </c>
      <c r="Q228" s="29" t="inlineStr">
        <is>
          <t>EXPENSIVE</t>
        </is>
      </c>
      <c r="R228" s="29" t="inlineStr">
        <is>
          <t>0.9776205348568181</t>
        </is>
      </c>
      <c r="S228" s="29" t="inlineStr">
        <is>
          <t>HIGH</t>
        </is>
      </c>
      <c r="T228" s="29" t="inlineStr">
        <is>
          <t>HIGH</t>
        </is>
      </c>
      <c r="U228" s="29" t="inlineStr">
        <is>
          <t>0.5714285714285714</t>
        </is>
      </c>
      <c r="V228" s="29" t="inlineStr">
        <is>
          <t>HIGH_RISK</t>
        </is>
      </c>
      <c r="W228" s="29" t="inlineStr">
        <is>
          <t>고위험</t>
        </is>
      </c>
      <c r="X228" s="29" t="inlineStr">
        <is>
          <t>HIGH_RISK</t>
        </is>
      </c>
      <c r="Y228" s="29" t="inlineStr">
        <is>
          <t>0.979409987987143</t>
        </is>
      </c>
      <c r="Z228" s="29" t="inlineStr">
        <is>
          <t>HIGH</t>
        </is>
      </c>
      <c r="AA228" s="29" t="inlineStr">
        <is>
          <t>HIGH</t>
        </is>
      </c>
      <c r="AB228" s="29" t="inlineStr">
        <is>
          <t>0.49673253879125484</t>
        </is>
      </c>
      <c r="AC228" s="29" t="inlineStr">
        <is>
          <t>True</t>
        </is>
      </c>
      <c r="AD228" s="29" t="inlineStr">
        <is>
          <t>True</t>
        </is>
      </c>
      <c r="AE228" s="29" t="inlineStr">
        <is>
          <t>valuation_credit_ml_overlay_candidate.csv</t>
        </is>
      </c>
      <c r="AF228" s="29" t="inlineStr">
        <is>
          <t>208개 반도체 reference universe. Valuation Agent가 자체 intake 폴더로 복제해 Peer/ML/대시보드 비교에 사용.</t>
        </is>
      </c>
    </row>
    <row r="229" ht="24" customHeight="1">
      <c r="A229" s="24" t="inlineStr">
        <is>
          <t>69</t>
        </is>
      </c>
      <c r="B229" s="24" t="inlineStr">
        <is>
          <t>해당 없음</t>
        </is>
      </c>
      <c r="C229" s="24" t="inlineStr">
        <is>
          <t>퀄리타스반도체</t>
        </is>
      </c>
      <c r="D229" s="24" t="inlineStr">
        <is>
          <t>432720</t>
        </is>
      </c>
      <c r="E229" s="24" t="inlineStr">
        <is>
          <t>KOSDAQ</t>
        </is>
      </c>
      <c r="F229" s="24" t="inlineStr">
        <is>
          <t>팹리스/설계</t>
        </is>
      </c>
      <c r="G229" s="24" t="inlineStr">
        <is>
          <t>팹리스/설계</t>
        </is>
      </c>
      <c r="H229" s="24" t="inlineStr">
        <is>
          <t>False</t>
        </is>
      </c>
      <c r="I229" s="24" t="inlineStr">
        <is>
          <t>True</t>
        </is>
      </c>
      <c r="J229" s="24" t="inlineStr">
        <is>
          <t>OK_LIMITED_HISTORY_OR_GROWTH_NA</t>
        </is>
      </c>
      <c r="K229" s="24" t="inlineStr">
        <is>
          <t>데이터 사용 가능</t>
        </is>
      </c>
      <c r="L229" s="24" t="inlineStr">
        <is>
          <t>LOW</t>
        </is>
      </c>
      <c r="M229" s="24" t="inlineStr">
        <is>
          <t>LOW</t>
        </is>
      </c>
      <c r="N229" s="24" t="inlineStr">
        <is>
          <t>0.2119191919191919</t>
        </is>
      </c>
      <c r="O229" s="24" t="inlineStr">
        <is>
          <t>EXPENSIVE</t>
        </is>
      </c>
      <c r="P229" s="24" t="inlineStr">
        <is>
          <t>EXPENSIVE</t>
        </is>
      </c>
      <c r="Q229" s="24" t="inlineStr">
        <is>
          <t>EXPENSIVE</t>
        </is>
      </c>
      <c r="R229" s="24" t="inlineStr">
        <is>
          <t>0.9844433173148716</t>
        </is>
      </c>
      <c r="S229" s="24" t="inlineStr">
        <is>
          <t>HIGH</t>
        </is>
      </c>
      <c r="T229" s="24" t="inlineStr">
        <is>
          <t>HIGH</t>
        </is>
      </c>
      <c r="U229" s="24" t="inlineStr">
        <is>
          <t>0.5714285714285714</t>
        </is>
      </c>
      <c r="V229" s="24" t="inlineStr">
        <is>
          <t>HIGH_RISK</t>
        </is>
      </c>
      <c r="W229" s="24" t="inlineStr">
        <is>
          <t>고위험</t>
        </is>
      </c>
      <c r="X229" s="24" t="inlineStr">
        <is>
          <t>HIGH_RISK</t>
        </is>
      </c>
      <c r="Y229" s="24" t="inlineStr">
        <is>
          <t>0.9775928777225235</t>
        </is>
      </c>
      <c r="Z229" s="24" t="inlineStr">
        <is>
          <t>HIGH</t>
        </is>
      </c>
      <c r="AA229" s="24" t="inlineStr">
        <is>
          <t>HIGH</t>
        </is>
      </c>
      <c r="AB229" s="24" t="inlineStr">
        <is>
          <t>0.7960673007059423</t>
        </is>
      </c>
      <c r="AC229" s="24" t="inlineStr">
        <is>
          <t>True</t>
        </is>
      </c>
      <c r="AD229" s="24" t="inlineStr">
        <is>
          <t>True</t>
        </is>
      </c>
      <c r="AE229" s="24" t="inlineStr">
        <is>
          <t>valuation_credit_ml_overlay_candidate.csv</t>
        </is>
      </c>
      <c r="AF229" s="24" t="inlineStr">
        <is>
          <t>208개 반도체 reference universe. Valuation Agent가 자체 intake 폴더로 복제해 Peer/ML/대시보드 비교에 사용.</t>
        </is>
      </c>
    </row>
    <row r="230" ht="24" customHeight="1">
      <c r="A230" s="29" t="inlineStr">
        <is>
          <t>168</t>
        </is>
      </c>
      <c r="B230" s="29" t="inlineStr">
        <is>
          <t>해당 없음</t>
        </is>
      </c>
      <c r="C230" s="29" t="inlineStr">
        <is>
          <t>성우테크론</t>
        </is>
      </c>
      <c r="D230" s="29" t="inlineStr">
        <is>
          <t>045300</t>
        </is>
      </c>
      <c r="E230" s="29" t="inlineStr">
        <is>
          <t>KOSDAQ</t>
        </is>
      </c>
      <c r="F230" s="29" t="inlineStr">
        <is>
          <t>후공정/패키징/테스트</t>
        </is>
      </c>
      <c r="G230" s="29" t="inlineStr">
        <is>
          <t>후공정/패키징/테스트</t>
        </is>
      </c>
      <c r="H230" s="29" t="inlineStr">
        <is>
          <t>False</t>
        </is>
      </c>
      <c r="I230" s="29" t="inlineStr">
        <is>
          <t>True</t>
        </is>
      </c>
      <c r="J230" s="29" t="inlineStr">
        <is>
          <t>OK</t>
        </is>
      </c>
      <c r="K230" s="29" t="inlineStr">
        <is>
          <t>데이터 사용 가능</t>
        </is>
      </c>
      <c r="L230" s="29" t="inlineStr">
        <is>
          <t>LOW</t>
        </is>
      </c>
      <c r="M230" s="29" t="inlineStr">
        <is>
          <t>LOW</t>
        </is>
      </c>
      <c r="N230" s="29" t="inlineStr">
        <is>
          <t>0.7764444444444445</t>
        </is>
      </c>
      <c r="O230" s="29" t="inlineStr">
        <is>
          <t>ATTRACTIVE</t>
        </is>
      </c>
      <c r="P230" s="29" t="inlineStr">
        <is>
          <t>가치 매력</t>
        </is>
      </c>
      <c r="Q230" s="29" t="inlineStr">
        <is>
          <t>ATTRACTIVE</t>
        </is>
      </c>
      <c r="R230" s="29" t="inlineStr">
        <is>
          <t>0.9526864248076319</t>
        </is>
      </c>
      <c r="S230" s="29" t="inlineStr">
        <is>
          <t>HIGH</t>
        </is>
      </c>
      <c r="T230" s="29" t="inlineStr">
        <is>
          <t>HIGH</t>
        </is>
      </c>
      <c r="U230" s="29" t="inlineStr">
        <is>
          <t>0.0714285714285714</t>
        </is>
      </c>
      <c r="V230" s="29" t="inlineStr">
        <is>
          <t>LOW_RISK</t>
        </is>
      </c>
      <c r="W230" s="29" t="inlineStr">
        <is>
          <t>저위험</t>
        </is>
      </c>
      <c r="X230" s="29" t="inlineStr">
        <is>
          <t>LOW_RISK</t>
        </is>
      </c>
      <c r="Y230" s="29" t="inlineStr">
        <is>
          <t>0.869939352370702</t>
        </is>
      </c>
      <c r="Z230" s="29" t="inlineStr">
        <is>
          <t>HIGH</t>
        </is>
      </c>
      <c r="AA230" s="29" t="inlineStr">
        <is>
          <t>HIGH</t>
        </is>
      </c>
      <c r="AB230" s="29" t="inlineStr">
        <is>
          <t>0.10286671144812394</t>
        </is>
      </c>
      <c r="AC230" s="29" t="inlineStr">
        <is>
          <t>False</t>
        </is>
      </c>
      <c r="AD230" s="29" t="inlineStr">
        <is>
          <t>False</t>
        </is>
      </c>
      <c r="AE230" s="29" t="inlineStr">
        <is>
          <t>valuation_credit_ml_overlay_candidate.csv</t>
        </is>
      </c>
      <c r="AF230" s="29" t="inlineStr">
        <is>
          <t>208개 반도체 reference universe. Valuation Agent가 자체 intake 폴더로 복제해 Peer/ML/대시보드 비교에 사용.</t>
        </is>
      </c>
    </row>
    <row r="231" ht="24" customHeight="1">
      <c r="A231" s="24" t="inlineStr">
        <is>
          <t>165</t>
        </is>
      </c>
      <c r="B231" s="24" t="inlineStr">
        <is>
          <t>해당 없음</t>
        </is>
      </c>
      <c r="C231" s="24" t="inlineStr">
        <is>
          <t>미래산업</t>
        </is>
      </c>
      <c r="D231" s="24" t="inlineStr">
        <is>
          <t>025560</t>
        </is>
      </c>
      <c r="E231" s="24" t="inlineStr">
        <is>
          <t>KOSPI</t>
        </is>
      </c>
      <c r="F231" s="24" t="inlineStr">
        <is>
          <t>후공정/패키징/테스트</t>
        </is>
      </c>
      <c r="G231" s="24" t="inlineStr">
        <is>
          <t>후공정/패키징/테스트</t>
        </is>
      </c>
      <c r="H231" s="24" t="inlineStr">
        <is>
          <t>False</t>
        </is>
      </c>
      <c r="I231" s="24" t="inlineStr">
        <is>
          <t>True</t>
        </is>
      </c>
      <c r="J231" s="24" t="inlineStr">
        <is>
          <t>OK</t>
        </is>
      </c>
      <c r="K231" s="24" t="inlineStr">
        <is>
          <t>데이터 사용 가능</t>
        </is>
      </c>
      <c r="L231" s="24" t="inlineStr">
        <is>
          <t>LOW</t>
        </is>
      </c>
      <c r="M231" s="24" t="inlineStr">
        <is>
          <t>LOW</t>
        </is>
      </c>
      <c r="N231" s="24" t="inlineStr">
        <is>
          <t>0.7748148148148148</t>
        </is>
      </c>
      <c r="O231" s="24" t="inlineStr">
        <is>
          <t>FAIR</t>
        </is>
      </c>
      <c r="P231" s="24" t="inlineStr">
        <is>
          <t>FAIR</t>
        </is>
      </c>
      <c r="Q231" s="24" t="inlineStr">
        <is>
          <t>FAIR</t>
        </is>
      </c>
      <c r="R231" s="24" t="inlineStr">
        <is>
          <t>0.883291104654336</t>
        </is>
      </c>
      <c r="S231" s="24" t="inlineStr">
        <is>
          <t>HIGH</t>
        </is>
      </c>
      <c r="T231" s="24" t="inlineStr">
        <is>
          <t>HIGH</t>
        </is>
      </c>
      <c r="U231" s="24" t="inlineStr">
        <is>
          <t>0.2857142857142857</t>
        </is>
      </c>
      <c r="V231" s="24" t="inlineStr">
        <is>
          <t>MEDIUM_RISK</t>
        </is>
      </c>
      <c r="W231" s="24" t="inlineStr">
        <is>
          <t>중위험</t>
        </is>
      </c>
      <c r="X231" s="24" t="inlineStr">
        <is>
          <t>MEDIUM_RISK</t>
        </is>
      </c>
      <c r="Y231" s="24" t="inlineStr">
        <is>
          <t>0.695536763680257</t>
        </is>
      </c>
      <c r="Z231" s="24" t="inlineStr">
        <is>
          <t>MEDIUM</t>
        </is>
      </c>
      <c r="AA231" s="24" t="inlineStr">
        <is>
          <t>MEDIUM</t>
        </is>
      </c>
      <c r="AB231" s="24" t="inlineStr">
        <is>
          <t>0.08100242357773374</t>
        </is>
      </c>
      <c r="AC231" s="24" t="inlineStr">
        <is>
          <t>False</t>
        </is>
      </c>
      <c r="AD231" s="24" t="inlineStr">
        <is>
          <t>False</t>
        </is>
      </c>
      <c r="AE231" s="24" t="inlineStr">
        <is>
          <t>valuation_credit_ml_overlay_candidate.csv</t>
        </is>
      </c>
      <c r="AF231" s="24" t="inlineStr">
        <is>
          <t>208개 반도체 reference universe. Valuation Agent가 자체 intake 폴더로 복제해 Peer/ML/대시보드 비교에 사용.</t>
        </is>
      </c>
    </row>
    <row r="232" ht="24" customHeight="1">
      <c r="A232" s="29" t="inlineStr">
        <is>
          <t>163</t>
        </is>
      </c>
      <c r="B232" s="29" t="inlineStr">
        <is>
          <t>해당 없음</t>
        </is>
      </c>
      <c r="C232" s="29" t="inlineStr">
        <is>
          <t>링크제니시스</t>
        </is>
      </c>
      <c r="D232" s="29" t="inlineStr">
        <is>
          <t>219420</t>
        </is>
      </c>
      <c r="E232" s="29" t="inlineStr">
        <is>
          <t>KOSDAQ</t>
        </is>
      </c>
      <c r="F232" s="29" t="inlineStr">
        <is>
          <t>후공정/패키징/테스트</t>
        </is>
      </c>
      <c r="G232" s="29" t="inlineStr">
        <is>
          <t>후공정/패키징/테스트</t>
        </is>
      </c>
      <c r="H232" s="29" t="inlineStr">
        <is>
          <t>False</t>
        </is>
      </c>
      <c r="I232" s="29" t="inlineStr">
        <is>
          <t>True</t>
        </is>
      </c>
      <c r="J232" s="29" t="inlineStr">
        <is>
          <t>OK</t>
        </is>
      </c>
      <c r="K232" s="29" t="inlineStr">
        <is>
          <t>데이터 사용 가능</t>
        </is>
      </c>
      <c r="L232" s="29" t="inlineStr">
        <is>
          <t>LOW</t>
        </is>
      </c>
      <c r="M232" s="29" t="inlineStr">
        <is>
          <t>LOW</t>
        </is>
      </c>
      <c r="N232" s="29" t="inlineStr">
        <is>
          <t>0.7522962962962964</t>
        </is>
      </c>
      <c r="O232" s="29" t="inlineStr">
        <is>
          <t>ATTRACTIVE</t>
        </is>
      </c>
      <c r="P232" s="29" t="inlineStr">
        <is>
          <t>가치 매력</t>
        </is>
      </c>
      <c r="Q232" s="29" t="inlineStr">
        <is>
          <t>ATTRACTIVE</t>
        </is>
      </c>
      <c r="R232" s="29" t="inlineStr">
        <is>
          <t>0.8724992666433111</t>
        </is>
      </c>
      <c r="S232" s="29" t="inlineStr">
        <is>
          <t>HIGH</t>
        </is>
      </c>
      <c r="T232" s="29" t="inlineStr">
        <is>
          <t>HIGH</t>
        </is>
      </c>
      <c r="U232" s="29" t="inlineStr">
        <is>
          <t>0.0714285714285714</t>
        </is>
      </c>
      <c r="V232" s="29" t="inlineStr">
        <is>
          <t>LOW_RISK</t>
        </is>
      </c>
      <c r="W232" s="29" t="inlineStr">
        <is>
          <t>저위험</t>
        </is>
      </c>
      <c r="X232" s="29" t="inlineStr">
        <is>
          <t>LOW_RISK</t>
        </is>
      </c>
      <c r="Y232" s="29" t="inlineStr">
        <is>
          <t>0.8663667518810074</t>
        </is>
      </c>
      <c r="Z232" s="29" t="inlineStr">
        <is>
          <t>HIGH</t>
        </is>
      </c>
      <c r="AA232" s="29" t="inlineStr">
        <is>
          <t>HIGH</t>
        </is>
      </c>
      <c r="AB232" s="29" t="inlineStr">
        <is>
          <t>0.1247344063934745</t>
        </is>
      </c>
      <c r="AC232" s="29" t="inlineStr">
        <is>
          <t>False</t>
        </is>
      </c>
      <c r="AD232" s="29" t="inlineStr">
        <is>
          <t>False</t>
        </is>
      </c>
      <c r="AE232" s="29" t="inlineStr">
        <is>
          <t>valuation_credit_ml_overlay_candidate.csv</t>
        </is>
      </c>
      <c r="AF232" s="29" t="inlineStr">
        <is>
          <t>208개 반도체 reference universe. Valuation Agent가 자체 intake 폴더로 복제해 Peer/ML/대시보드 비교에 사용.</t>
        </is>
      </c>
    </row>
    <row r="233" ht="24" customHeight="1">
      <c r="A233" s="24" t="inlineStr">
        <is>
          <t>189</t>
        </is>
      </c>
      <c r="B233" s="24" t="inlineStr">
        <is>
          <t>해당 없음</t>
        </is>
      </c>
      <c r="C233" s="24" t="inlineStr">
        <is>
          <t>프로텍</t>
        </is>
      </c>
      <c r="D233" s="24" t="inlineStr">
        <is>
          <t>053610</t>
        </is>
      </c>
      <c r="E233" s="24" t="inlineStr">
        <is>
          <t>KOSDAQ</t>
        </is>
      </c>
      <c r="F233" s="24" t="inlineStr">
        <is>
          <t>후공정/패키징/테스트</t>
        </is>
      </c>
      <c r="G233" s="24" t="inlineStr">
        <is>
          <t>후공정/패키징/테스트</t>
        </is>
      </c>
      <c r="H233" s="24" t="inlineStr">
        <is>
          <t>False</t>
        </is>
      </c>
      <c r="I233" s="24" t="inlineStr">
        <is>
          <t>True</t>
        </is>
      </c>
      <c r="J233" s="24" t="inlineStr">
        <is>
          <t>OK</t>
        </is>
      </c>
      <c r="K233" s="24" t="inlineStr">
        <is>
          <t>데이터 사용 가능</t>
        </is>
      </c>
      <c r="L233" s="24" t="inlineStr">
        <is>
          <t>LOW</t>
        </is>
      </c>
      <c r="M233" s="24" t="inlineStr">
        <is>
          <t>LOW</t>
        </is>
      </c>
      <c r="N233" s="24" t="inlineStr">
        <is>
          <t>0.7342222222222222</t>
        </is>
      </c>
      <c r="O233" s="24" t="inlineStr">
        <is>
          <t>FAIR</t>
        </is>
      </c>
      <c r="P233" s="24" t="inlineStr">
        <is>
          <t>FAIR</t>
        </is>
      </c>
      <c r="Q233" s="24" t="inlineStr">
        <is>
          <t>FAIR</t>
        </is>
      </c>
      <c r="R233" s="24" t="inlineStr">
        <is>
          <t>0.8971257561900263</t>
        </is>
      </c>
      <c r="S233" s="24" t="inlineStr">
        <is>
          <t>HIGH</t>
        </is>
      </c>
      <c r="T233" s="24" t="inlineStr">
        <is>
          <t>HIGH</t>
        </is>
      </c>
      <c r="U233" s="24" t="inlineStr">
        <is>
          <t>0.0714285714285714</t>
        </is>
      </c>
      <c r="V233" s="24" t="inlineStr">
        <is>
          <t>LOW_RISK</t>
        </is>
      </c>
      <c r="W233" s="24" t="inlineStr">
        <is>
          <t>저위험</t>
        </is>
      </c>
      <c r="X233" s="24" t="inlineStr">
        <is>
          <t>LOW_RISK</t>
        </is>
      </c>
      <c r="Y233" s="24" t="inlineStr">
        <is>
          <t>0.9163768919768406</t>
        </is>
      </c>
      <c r="Z233" s="24" t="inlineStr">
        <is>
          <t>HIGH</t>
        </is>
      </c>
      <c r="AA233" s="24" t="inlineStr">
        <is>
          <t>HIGH</t>
        </is>
      </c>
      <c r="AB233" s="24" t="inlineStr">
        <is>
          <t>0.04594870251712977</t>
        </is>
      </c>
      <c r="AC233" s="24" t="inlineStr">
        <is>
          <t>False</t>
        </is>
      </c>
      <c r="AD233" s="24" t="inlineStr">
        <is>
          <t>False</t>
        </is>
      </c>
      <c r="AE233" s="24" t="inlineStr">
        <is>
          <t>valuation_credit_ml_overlay_candidate.csv</t>
        </is>
      </c>
      <c r="AF233" s="24" t="inlineStr">
        <is>
          <t>208개 반도체 reference universe. Valuation Agent가 자체 intake 폴더로 복제해 Peer/ML/대시보드 비교에 사용.</t>
        </is>
      </c>
    </row>
    <row r="234" ht="24" customHeight="1">
      <c r="A234" s="29" t="inlineStr">
        <is>
          <t>188</t>
        </is>
      </c>
      <c r="B234" s="29" t="inlineStr">
        <is>
          <t>해당 없음</t>
        </is>
      </c>
      <c r="C234" s="29" t="inlineStr">
        <is>
          <t>프로이천</t>
        </is>
      </c>
      <c r="D234" s="29" t="inlineStr">
        <is>
          <t>321260</t>
        </is>
      </c>
      <c r="E234" s="29" t="inlineStr">
        <is>
          <t>KOSDAQ</t>
        </is>
      </c>
      <c r="F234" s="29" t="inlineStr">
        <is>
          <t>후공정/패키징/테스트</t>
        </is>
      </c>
      <c r="G234" s="29" t="inlineStr">
        <is>
          <t>후공정/패키징/테스트</t>
        </is>
      </c>
      <c r="H234" s="29" t="inlineStr">
        <is>
          <t>False</t>
        </is>
      </c>
      <c r="I234" s="29" t="inlineStr">
        <is>
          <t>True</t>
        </is>
      </c>
      <c r="J234" s="29" t="inlineStr">
        <is>
          <t>OK</t>
        </is>
      </c>
      <c r="K234" s="29" t="inlineStr">
        <is>
          <t>데이터 사용 가능</t>
        </is>
      </c>
      <c r="L234" s="29" t="inlineStr">
        <is>
          <t>LOW</t>
        </is>
      </c>
      <c r="M234" s="29" t="inlineStr">
        <is>
          <t>LOW</t>
        </is>
      </c>
      <c r="N234" s="29" t="inlineStr">
        <is>
          <t>0.6905185185185185</t>
        </is>
      </c>
      <c r="O234" s="29" t="inlineStr">
        <is>
          <t>ATTRACTIVE</t>
        </is>
      </c>
      <c r="P234" s="29" t="inlineStr">
        <is>
          <t>가치 매력</t>
        </is>
      </c>
      <c r="Q234" s="29" t="inlineStr">
        <is>
          <t>ATTRACTIVE</t>
        </is>
      </c>
      <c r="R234" s="29" t="inlineStr">
        <is>
          <t>0.9481469936627798</t>
        </is>
      </c>
      <c r="S234" s="29" t="inlineStr">
        <is>
          <t>HIGH</t>
        </is>
      </c>
      <c r="T234" s="29" t="inlineStr">
        <is>
          <t>HIGH</t>
        </is>
      </c>
      <c r="U234" s="29" t="inlineStr">
        <is>
          <t>0.1428571428571428</t>
        </is>
      </c>
      <c r="V234" s="29" t="inlineStr">
        <is>
          <t>LOW_RISK</t>
        </is>
      </c>
      <c r="W234" s="29" t="inlineStr">
        <is>
          <t>저위험</t>
        </is>
      </c>
      <c r="X234" s="29" t="inlineStr">
        <is>
          <t>LOW_RISK</t>
        </is>
      </c>
      <c r="Y234" s="29" t="inlineStr">
        <is>
          <t>0.7571217577270841</t>
        </is>
      </c>
      <c r="Z234" s="29" t="inlineStr">
        <is>
          <t>HIGH</t>
        </is>
      </c>
      <c r="AA234" s="29" t="inlineStr">
        <is>
          <t>HIGH</t>
        </is>
      </c>
      <c r="AB234" s="29" t="inlineStr">
        <is>
          <t>0.1980202748075635</t>
        </is>
      </c>
      <c r="AC234" s="29" t="inlineStr">
        <is>
          <t>False</t>
        </is>
      </c>
      <c r="AD234" s="29" t="inlineStr">
        <is>
          <t>False</t>
        </is>
      </c>
      <c r="AE234" s="29" t="inlineStr">
        <is>
          <t>valuation_credit_ml_overlay_candidate.csv</t>
        </is>
      </c>
      <c r="AF234" s="29" t="inlineStr">
        <is>
          <t>208개 반도체 reference universe. Valuation Agent가 자체 intake 폴더로 복제해 Peer/ML/대시보드 비교에 사용.</t>
        </is>
      </c>
    </row>
    <row r="235" ht="24" customHeight="1">
      <c r="A235" s="24" t="inlineStr">
        <is>
          <t>167</t>
        </is>
      </c>
      <c r="B235" s="24" t="inlineStr">
        <is>
          <t>해당 없음</t>
        </is>
      </c>
      <c r="C235" s="24" t="inlineStr">
        <is>
          <t>샘씨엔에스</t>
        </is>
      </c>
      <c r="D235" s="24" t="inlineStr">
        <is>
          <t>252990</t>
        </is>
      </c>
      <c r="E235" s="24" t="inlineStr">
        <is>
          <t>KOSDAQ</t>
        </is>
      </c>
      <c r="F235" s="24" t="inlineStr">
        <is>
          <t>후공정/패키징/테스트</t>
        </is>
      </c>
      <c r="G235" s="24" t="inlineStr">
        <is>
          <t>후공정/패키징/테스트</t>
        </is>
      </c>
      <c r="H235" s="24" t="inlineStr">
        <is>
          <t>False</t>
        </is>
      </c>
      <c r="I235" s="24" t="inlineStr">
        <is>
          <t>True</t>
        </is>
      </c>
      <c r="J235" s="24" t="inlineStr">
        <is>
          <t>OK</t>
        </is>
      </c>
      <c r="K235" s="24" t="inlineStr">
        <is>
          <t>데이터 사용 가능</t>
        </is>
      </c>
      <c r="L235" s="24" t="inlineStr">
        <is>
          <t>LOW</t>
        </is>
      </c>
      <c r="M235" s="24" t="inlineStr">
        <is>
          <t>LOW</t>
        </is>
      </c>
      <c r="N235" s="24" t="inlineStr">
        <is>
          <t>0.6491851851851852</t>
        </is>
      </c>
      <c r="O235" s="24" t="inlineStr">
        <is>
          <t>ATTRACTIVE</t>
        </is>
      </c>
      <c r="P235" s="24" t="inlineStr">
        <is>
          <t>가치 매력</t>
        </is>
      </c>
      <c r="Q235" s="24" t="inlineStr">
        <is>
          <t>ATTRACTIVE</t>
        </is>
      </c>
      <c r="R235" s="24" t="inlineStr">
        <is>
          <t>0.5521991152548656</t>
        </is>
      </c>
      <c r="S235" s="24" t="inlineStr">
        <is>
          <t>MEDIUM</t>
        </is>
      </c>
      <c r="T235" s="24" t="inlineStr">
        <is>
          <t>MEDIUM</t>
        </is>
      </c>
      <c r="U235" s="24" t="inlineStr">
        <is>
          <t>0.1428571428571428</t>
        </is>
      </c>
      <c r="V235" s="24" t="inlineStr">
        <is>
          <t>LOW_RISK</t>
        </is>
      </c>
      <c r="W235" s="24" t="inlineStr">
        <is>
          <t>저위험</t>
        </is>
      </c>
      <c r="X235" s="24" t="inlineStr">
        <is>
          <t>LOW_RISK</t>
        </is>
      </c>
      <c r="Y235" s="24" t="inlineStr">
        <is>
          <t>0.8184283672559926</t>
        </is>
      </c>
      <c r="Z235" s="24" t="inlineStr">
        <is>
          <t>HIGH</t>
        </is>
      </c>
      <c r="AA235" s="24" t="inlineStr">
        <is>
          <t>HIGH</t>
        </is>
      </c>
      <c r="AB235" s="24" t="inlineStr">
        <is>
          <t>0.02862485694144737</t>
        </is>
      </c>
      <c r="AC235" s="24" t="inlineStr">
        <is>
          <t>False</t>
        </is>
      </c>
      <c r="AD235" s="24" t="inlineStr">
        <is>
          <t>False</t>
        </is>
      </c>
      <c r="AE235" s="24" t="inlineStr">
        <is>
          <t>valuation_credit_ml_overlay_candidate.csv</t>
        </is>
      </c>
      <c r="AF235" s="24" t="inlineStr">
        <is>
          <t>208개 반도체 reference universe. Valuation Agent가 자체 intake 폴더로 복제해 Peer/ML/대시보드 비교에 사용.</t>
        </is>
      </c>
    </row>
    <row r="236" ht="24" customHeight="1">
      <c r="A236" s="29" t="inlineStr">
        <is>
          <t>191</t>
        </is>
      </c>
      <c r="B236" s="29" t="inlineStr">
        <is>
          <t>해당 없음</t>
        </is>
      </c>
      <c r="C236" s="29" t="inlineStr">
        <is>
          <t>하나마이크론</t>
        </is>
      </c>
      <c r="D236" s="29" t="inlineStr">
        <is>
          <t>067310</t>
        </is>
      </c>
      <c r="E236" s="29" t="inlineStr">
        <is>
          <t>KOSDAQ</t>
        </is>
      </c>
      <c r="F236" s="29" t="inlineStr">
        <is>
          <t>후공정/패키징/테스트</t>
        </is>
      </c>
      <c r="G236" s="29" t="inlineStr">
        <is>
          <t>후공정/패키징/테스트</t>
        </is>
      </c>
      <c r="H236" s="29" t="inlineStr">
        <is>
          <t>False</t>
        </is>
      </c>
      <c r="I236" s="29" t="inlineStr">
        <is>
          <t>True</t>
        </is>
      </c>
      <c r="J236" s="29" t="inlineStr">
        <is>
          <t>OK</t>
        </is>
      </c>
      <c r="K236" s="29" t="inlineStr">
        <is>
          <t>데이터 사용 가능</t>
        </is>
      </c>
      <c r="L236" s="29" t="inlineStr">
        <is>
          <t>LOW</t>
        </is>
      </c>
      <c r="M236" s="29" t="inlineStr">
        <is>
          <t>LOW</t>
        </is>
      </c>
      <c r="N236" s="29" t="inlineStr">
        <is>
          <t>0.6405925925925926</t>
        </is>
      </c>
      <c r="O236" s="29" t="inlineStr">
        <is>
          <t>ATTRACTIVE</t>
        </is>
      </c>
      <c r="P236" s="29" t="inlineStr">
        <is>
          <t>가치 매력</t>
        </is>
      </c>
      <c r="Q236" s="29" t="inlineStr">
        <is>
          <t>ATTRACTIVE</t>
        </is>
      </c>
      <c r="R236" s="29" t="inlineStr">
        <is>
          <t>0.8727001075083287</t>
        </is>
      </c>
      <c r="S236" s="29" t="inlineStr">
        <is>
          <t>HIGH</t>
        </is>
      </c>
      <c r="T236" s="29" t="inlineStr">
        <is>
          <t>HIGH</t>
        </is>
      </c>
      <c r="U236" s="29" t="inlineStr">
        <is>
          <t>0.2857142857142857</t>
        </is>
      </c>
      <c r="V236" s="29" t="inlineStr">
        <is>
          <t>MEDIUM_RISK</t>
        </is>
      </c>
      <c r="W236" s="29" t="inlineStr">
        <is>
          <t>중위험</t>
        </is>
      </c>
      <c r="X236" s="29" t="inlineStr">
        <is>
          <t>MEDIUM_RISK</t>
        </is>
      </c>
      <c r="Y236" s="29" t="inlineStr">
        <is>
          <t>0.4659076101576026</t>
        </is>
      </c>
      <c r="Z236" s="29" t="inlineStr">
        <is>
          <t>LOW</t>
        </is>
      </c>
      <c r="AA236" s="29" t="inlineStr">
        <is>
          <t>LOW</t>
        </is>
      </c>
      <c r="AB236" s="29" t="inlineStr">
        <is>
          <t>0.1167493316831868</t>
        </is>
      </c>
      <c r="AC236" s="29" t="inlineStr">
        <is>
          <t>False</t>
        </is>
      </c>
      <c r="AD236" s="29" t="inlineStr">
        <is>
          <t>True</t>
        </is>
      </c>
      <c r="AE236" s="29" t="inlineStr">
        <is>
          <t>valuation_credit_ml_overlay_candidate.csv</t>
        </is>
      </c>
      <c r="AF236" s="29" t="inlineStr">
        <is>
          <t>208개 반도체 reference universe. Valuation Agent가 자체 intake 폴더로 복제해 Peer/ML/대시보드 비교에 사용.</t>
        </is>
      </c>
    </row>
    <row r="237" ht="24" customHeight="1">
      <c r="A237" s="24" t="inlineStr">
        <is>
          <t>157</t>
        </is>
      </c>
      <c r="B237" s="24" t="inlineStr">
        <is>
          <t>nepes</t>
        </is>
      </c>
      <c r="C237" s="24" t="inlineStr">
        <is>
          <t>네패스</t>
        </is>
      </c>
      <c r="D237" s="24" t="inlineStr">
        <is>
          <t>033640</t>
        </is>
      </c>
      <c r="E237" s="24" t="inlineStr">
        <is>
          <t>KOSDAQ</t>
        </is>
      </c>
      <c r="F237" s="24" t="inlineStr">
        <is>
          <t>후공정/패키징/테스트</t>
        </is>
      </c>
      <c r="G237" s="24" t="inlineStr">
        <is>
          <t>후공정/패키징/테스트</t>
        </is>
      </c>
      <c r="H237" s="24" t="inlineStr">
        <is>
          <t>True</t>
        </is>
      </c>
      <c r="I237" s="24" t="inlineStr">
        <is>
          <t>True</t>
        </is>
      </c>
      <c r="J237" s="24" t="inlineStr">
        <is>
          <t>OK</t>
        </is>
      </c>
      <c r="K237" s="24" t="inlineStr">
        <is>
          <t>데이터 사용 가능</t>
        </is>
      </c>
      <c r="L237" s="24" t="inlineStr">
        <is>
          <t>LOW</t>
        </is>
      </c>
      <c r="M237" s="24" t="inlineStr">
        <is>
          <t>LOW</t>
        </is>
      </c>
      <c r="N237" s="24" t="inlineStr">
        <is>
          <t>0.6385185185185186</t>
        </is>
      </c>
      <c r="O237" s="24" t="inlineStr">
        <is>
          <t>ATTRACTIVE</t>
        </is>
      </c>
      <c r="P237" s="24" t="inlineStr">
        <is>
          <t>가치 매력</t>
        </is>
      </c>
      <c r="Q237" s="24" t="inlineStr">
        <is>
          <t>ATTRACTIVE</t>
        </is>
      </c>
      <c r="R237" s="24" t="inlineStr">
        <is>
          <t>0.8763685947958789</t>
        </is>
      </c>
      <c r="S237" s="24" t="inlineStr">
        <is>
          <t>HIGH</t>
        </is>
      </c>
      <c r="T237" s="24" t="inlineStr">
        <is>
          <t>HIGH</t>
        </is>
      </c>
      <c r="U237" s="24" t="inlineStr">
        <is>
          <t>0.2857142857142857</t>
        </is>
      </c>
      <c r="V237" s="24" t="inlineStr">
        <is>
          <t>MEDIUM_RISK</t>
        </is>
      </c>
      <c r="W237" s="24" t="inlineStr">
        <is>
          <t>중위험</t>
        </is>
      </c>
      <c r="X237" s="24" t="inlineStr">
        <is>
          <t>MEDIUM_RISK</t>
        </is>
      </c>
      <c r="Y237" s="24" t="inlineStr">
        <is>
          <t>0.5963458259503356</t>
        </is>
      </c>
      <c r="Z237" s="24" t="inlineStr">
        <is>
          <t>MEDIUM</t>
        </is>
      </c>
      <c r="AA237" s="24" t="inlineStr">
        <is>
          <t>MEDIUM</t>
        </is>
      </c>
      <c r="AB237" s="24" t="inlineStr">
        <is>
          <t>0.07896643996759804</t>
        </is>
      </c>
      <c r="AC237" s="24" t="inlineStr">
        <is>
          <t>False</t>
        </is>
      </c>
      <c r="AD237" s="24" t="inlineStr">
        <is>
          <t>False</t>
        </is>
      </c>
      <c r="AE237" s="24" t="inlineStr">
        <is>
          <t>valuation_credit_ml_overlay_candidate.csv</t>
        </is>
      </c>
      <c r="AF237" s="24" t="inlineStr">
        <is>
          <t>208개 반도체 reference universe. Valuation Agent가 자체 intake 폴더로 복제해 Peer/ML/대시보드 비교에 사용.</t>
        </is>
      </c>
    </row>
    <row r="238" ht="24" customHeight="1">
      <c r="A238" s="29" t="inlineStr">
        <is>
          <t>151</t>
        </is>
      </c>
      <c r="B238" s="29" t="inlineStr">
        <is>
          <t>해당 없음</t>
        </is>
      </c>
      <c r="C238" s="29" t="inlineStr">
        <is>
          <t>KX하이텍</t>
        </is>
      </c>
      <c r="D238" s="29" t="inlineStr">
        <is>
          <t>052900</t>
        </is>
      </c>
      <c r="E238" s="29" t="inlineStr">
        <is>
          <t>KOSDAQ</t>
        </is>
      </c>
      <c r="F238" s="29" t="inlineStr">
        <is>
          <t>후공정/패키징/테스트</t>
        </is>
      </c>
      <c r="G238" s="29" t="inlineStr">
        <is>
          <t>후공정/패키징/테스트</t>
        </is>
      </c>
      <c r="H238" s="29" t="inlineStr">
        <is>
          <t>False</t>
        </is>
      </c>
      <c r="I238" s="29" t="inlineStr">
        <is>
          <t>True</t>
        </is>
      </c>
      <c r="J238" s="29" t="inlineStr">
        <is>
          <t>OK</t>
        </is>
      </c>
      <c r="K238" s="29" t="inlineStr">
        <is>
          <t>데이터 사용 가능</t>
        </is>
      </c>
      <c r="L238" s="29" t="inlineStr">
        <is>
          <t>LOW</t>
        </is>
      </c>
      <c r="M238" s="29" t="inlineStr">
        <is>
          <t>LOW</t>
        </is>
      </c>
      <c r="N238" s="29" t="inlineStr">
        <is>
          <t>0.6361481481481482</t>
        </is>
      </c>
      <c r="O238" s="29" t="inlineStr">
        <is>
          <t>ATTRACTIVE</t>
        </is>
      </c>
      <c r="P238" s="29" t="inlineStr">
        <is>
          <t>가치 매력</t>
        </is>
      </c>
      <c r="Q238" s="29" t="inlineStr">
        <is>
          <t>ATTRACTIVE</t>
        </is>
      </c>
      <c r="R238" s="29" t="inlineStr">
        <is>
          <t>0.7896879678479897</t>
        </is>
      </c>
      <c r="S238" s="29" t="inlineStr">
        <is>
          <t>HIGH</t>
        </is>
      </c>
      <c r="T238" s="29" t="inlineStr">
        <is>
          <t>HIGH</t>
        </is>
      </c>
      <c r="U238" s="29" t="inlineStr">
        <is>
          <t>0.0714285714285714</t>
        </is>
      </c>
      <c r="V238" s="29" t="inlineStr">
        <is>
          <t>LOW_RISK</t>
        </is>
      </c>
      <c r="W238" s="29" t="inlineStr">
        <is>
          <t>저위험</t>
        </is>
      </c>
      <c r="X238" s="29" t="inlineStr">
        <is>
          <t>LOW_RISK</t>
        </is>
      </c>
      <c r="Y238" s="29" t="inlineStr">
        <is>
          <t>0.87015899446037</t>
        </is>
      </c>
      <c r="Z238" s="29" t="inlineStr">
        <is>
          <t>HIGH</t>
        </is>
      </c>
      <c r="AA238" s="29" t="inlineStr">
        <is>
          <t>HIGH</t>
        </is>
      </c>
      <c r="AB238" s="29" t="inlineStr">
        <is>
          <t>0.012348610212675635</t>
        </is>
      </c>
      <c r="AC238" s="29" t="inlineStr">
        <is>
          <t>False</t>
        </is>
      </c>
      <c r="AD238" s="29" t="inlineStr">
        <is>
          <t>False</t>
        </is>
      </c>
      <c r="AE238" s="29" t="inlineStr">
        <is>
          <t>valuation_credit_ml_overlay_candidate.csv</t>
        </is>
      </c>
      <c r="AF238" s="29" t="inlineStr">
        <is>
          <t>208개 반도체 reference universe. Valuation Agent가 자체 intake 폴더로 복제해 Peer/ML/대시보드 비교에 사용.</t>
        </is>
      </c>
    </row>
    <row r="239" ht="24" customHeight="1">
      <c r="A239" s="24" t="inlineStr">
        <is>
          <t>172</t>
        </is>
      </c>
      <c r="B239" s="24" t="inlineStr">
        <is>
          <t>해당 없음</t>
        </is>
      </c>
      <c r="C239" s="24" t="inlineStr">
        <is>
          <t>에이치엠넥스</t>
        </is>
      </c>
      <c r="D239" s="24" t="inlineStr">
        <is>
          <t>036170</t>
        </is>
      </c>
      <c r="E239" s="24" t="inlineStr">
        <is>
          <t>KOSDAQ</t>
        </is>
      </c>
      <c r="F239" s="24" t="inlineStr">
        <is>
          <t>후공정/패키징/테스트</t>
        </is>
      </c>
      <c r="G239" s="24" t="inlineStr">
        <is>
          <t>후공정/패키징/테스트</t>
        </is>
      </c>
      <c r="H239" s="24" t="inlineStr">
        <is>
          <t>False</t>
        </is>
      </c>
      <c r="I239" s="24" t="inlineStr">
        <is>
          <t>True</t>
        </is>
      </c>
      <c r="J239" s="24" t="inlineStr">
        <is>
          <t>OK</t>
        </is>
      </c>
      <c r="K239" s="24" t="inlineStr">
        <is>
          <t>데이터 사용 가능</t>
        </is>
      </c>
      <c r="L239" s="24" t="inlineStr">
        <is>
          <t>LOW</t>
        </is>
      </c>
      <c r="M239" s="24" t="inlineStr">
        <is>
          <t>LOW</t>
        </is>
      </c>
      <c r="N239" s="24" t="inlineStr">
        <is>
          <t>0.621037037037037</t>
        </is>
      </c>
      <c r="O239" s="24" t="inlineStr">
        <is>
          <t>FAIR</t>
        </is>
      </c>
      <c r="P239" s="24" t="inlineStr">
        <is>
          <t>FAIR</t>
        </is>
      </c>
      <c r="Q239" s="24" t="inlineStr">
        <is>
          <t>FAIR</t>
        </is>
      </c>
      <c r="R239" s="24" t="inlineStr">
        <is>
          <t>0.7433115072206052</t>
        </is>
      </c>
      <c r="S239" s="24" t="inlineStr">
        <is>
          <t>HIGH</t>
        </is>
      </c>
      <c r="T239" s="24" t="inlineStr">
        <is>
          <t>HIGH</t>
        </is>
      </c>
      <c r="U239" s="24" t="inlineStr">
        <is>
          <t>0.3571428571428571</t>
        </is>
      </c>
      <c r="V239" s="24" t="inlineStr">
        <is>
          <t>MEDIUM_RISK</t>
        </is>
      </c>
      <c r="W239" s="24" t="inlineStr">
        <is>
          <t>중위험</t>
        </is>
      </c>
      <c r="X239" s="24" t="inlineStr">
        <is>
          <t>MEDIUM_RISK</t>
        </is>
      </c>
      <c r="Y239" s="24" t="inlineStr">
        <is>
          <t>0.7084051764737881</t>
        </is>
      </c>
      <c r="Z239" s="24" t="inlineStr">
        <is>
          <t>HIGH</t>
        </is>
      </c>
      <c r="AA239" s="24" t="inlineStr">
        <is>
          <t>HIGH</t>
        </is>
      </c>
      <c r="AB239" s="24" t="inlineStr">
        <is>
          <t>0.3531105059628509</t>
        </is>
      </c>
      <c r="AC239" s="24" t="inlineStr">
        <is>
          <t>True</t>
        </is>
      </c>
      <c r="AD239" s="24" t="inlineStr">
        <is>
          <t>True</t>
        </is>
      </c>
      <c r="AE239" s="24" t="inlineStr">
        <is>
          <t>valuation_credit_ml_overlay_candidate.csv</t>
        </is>
      </c>
      <c r="AF239" s="24" t="inlineStr">
        <is>
          <t>208개 반도체 reference universe. Valuation Agent가 자체 intake 폴더로 복제해 Peer/ML/대시보드 비교에 사용.</t>
        </is>
      </c>
    </row>
    <row r="240" ht="24" customHeight="1">
      <c r="A240" s="29" t="inlineStr">
        <is>
          <t>162</t>
        </is>
      </c>
      <c r="B240" s="29" t="inlineStr">
        <is>
          <t>해당 없음</t>
        </is>
      </c>
      <c r="C240" s="29" t="inlineStr">
        <is>
          <t>리노공업</t>
        </is>
      </c>
      <c r="D240" s="29" t="inlineStr">
        <is>
          <t>058470</t>
        </is>
      </c>
      <c r="E240" s="29" t="inlineStr">
        <is>
          <t>KOSDAQ GLOBAL</t>
        </is>
      </c>
      <c r="F240" s="29" t="inlineStr">
        <is>
          <t>후공정/패키징/테스트</t>
        </is>
      </c>
      <c r="G240" s="29" t="inlineStr">
        <is>
          <t>후공정/패키징/테스트</t>
        </is>
      </c>
      <c r="H240" s="29" t="inlineStr">
        <is>
          <t>False</t>
        </is>
      </c>
      <c r="I240" s="29" t="inlineStr">
        <is>
          <t>True</t>
        </is>
      </c>
      <c r="J240" s="29" t="inlineStr">
        <is>
          <t>OK</t>
        </is>
      </c>
      <c r="K240" s="29" t="inlineStr">
        <is>
          <t>데이터 사용 가능</t>
        </is>
      </c>
      <c r="L240" s="29" t="inlineStr">
        <is>
          <t>LOW</t>
        </is>
      </c>
      <c r="M240" s="29" t="inlineStr">
        <is>
          <t>LOW</t>
        </is>
      </c>
      <c r="N240" s="29" t="inlineStr">
        <is>
          <t>0.6191111111111112</t>
        </is>
      </c>
      <c r="O240" s="29" t="inlineStr">
        <is>
          <t>ATTRACTIVE</t>
        </is>
      </c>
      <c r="P240" s="29" t="inlineStr">
        <is>
          <t>가치 매력</t>
        </is>
      </c>
      <c r="Q240" s="29" t="inlineStr">
        <is>
          <t>ATTRACTIVE</t>
        </is>
      </c>
      <c r="R240" s="29" t="inlineStr">
        <is>
          <t>0.6825301704423244</t>
        </is>
      </c>
      <c r="S240" s="29" t="inlineStr">
        <is>
          <t>MEDIUM</t>
        </is>
      </c>
      <c r="T240" s="29" t="inlineStr">
        <is>
          <t>MEDIUM</t>
        </is>
      </c>
      <c r="U240" s="29" t="inlineStr">
        <is>
          <t>0.0</t>
        </is>
      </c>
      <c r="V240" s="29" t="inlineStr">
        <is>
          <t>LOW_RISK</t>
        </is>
      </c>
      <c r="W240" s="29" t="inlineStr">
        <is>
          <t>저위험</t>
        </is>
      </c>
      <c r="X240" s="29" t="inlineStr">
        <is>
          <t>LOW_RISK</t>
        </is>
      </c>
      <c r="Y240" s="29" t="inlineStr">
        <is>
          <t>0.941163557572434</t>
        </is>
      </c>
      <c r="Z240" s="29" t="inlineStr">
        <is>
          <t>HIGH</t>
        </is>
      </c>
      <c r="AA240" s="29" t="inlineStr">
        <is>
          <t>HIGH</t>
        </is>
      </c>
      <c r="AB240" s="29" t="inlineStr">
        <is>
          <t>0.3137137380028342</t>
        </is>
      </c>
      <c r="AC240" s="29" t="inlineStr">
        <is>
          <t>True</t>
        </is>
      </c>
      <c r="AD240" s="29" t="inlineStr">
        <is>
          <t>True</t>
        </is>
      </c>
      <c r="AE240" s="29" t="inlineStr">
        <is>
          <t>valuation_credit_ml_overlay_candidate.csv</t>
        </is>
      </c>
      <c r="AF240" s="29" t="inlineStr">
        <is>
          <t>208개 반도체 reference universe. Valuation Agent가 자체 intake 폴더로 복제해 Peer/ML/대시보드 비교에 사용.</t>
        </is>
      </c>
    </row>
    <row r="241" ht="24" customHeight="1">
      <c r="A241" s="24" t="inlineStr">
        <is>
          <t>175</t>
        </is>
      </c>
      <c r="B241" s="24" t="inlineStr">
        <is>
          <t>해당 없음</t>
        </is>
      </c>
      <c r="C241" s="24" t="inlineStr">
        <is>
          <t>오킨스전자</t>
        </is>
      </c>
      <c r="D241" s="24" t="inlineStr">
        <is>
          <t>080580</t>
        </is>
      </c>
      <c r="E241" s="24" t="inlineStr">
        <is>
          <t>KOSDAQ</t>
        </is>
      </c>
      <c r="F241" s="24" t="inlineStr">
        <is>
          <t>후공정/패키징/테스트</t>
        </is>
      </c>
      <c r="G241" s="24" t="inlineStr">
        <is>
          <t>후공정/패키징/테스트</t>
        </is>
      </c>
      <c r="H241" s="24" t="inlineStr">
        <is>
          <t>False</t>
        </is>
      </c>
      <c r="I241" s="24" t="inlineStr">
        <is>
          <t>True</t>
        </is>
      </c>
      <c r="J241" s="24" t="inlineStr">
        <is>
          <t>OK</t>
        </is>
      </c>
      <c r="K241" s="24" t="inlineStr">
        <is>
          <t>데이터 사용 가능</t>
        </is>
      </c>
      <c r="L241" s="24" t="inlineStr">
        <is>
          <t>LOW</t>
        </is>
      </c>
      <c r="M241" s="24" t="inlineStr">
        <is>
          <t>LOW</t>
        </is>
      </c>
      <c r="N241" s="24" t="inlineStr">
        <is>
          <t>0.6062222222222222</t>
        </is>
      </c>
      <c r="O241" s="24" t="inlineStr">
        <is>
          <t>ATTRACTIVE</t>
        </is>
      </c>
      <c r="P241" s="24" t="inlineStr">
        <is>
          <t>가치 매력</t>
        </is>
      </c>
      <c r="Q241" s="24" t="inlineStr">
        <is>
          <t>ATTRACTIVE</t>
        </is>
      </c>
      <c r="R241" s="24" t="inlineStr">
        <is>
          <t>0.8105235691914331</t>
        </is>
      </c>
      <c r="S241" s="24" t="inlineStr">
        <is>
          <t>HIGH</t>
        </is>
      </c>
      <c r="T241" s="24" t="inlineStr">
        <is>
          <t>HIGH</t>
        </is>
      </c>
      <c r="U241" s="24" t="inlineStr">
        <is>
          <t>0.2142857142857142</t>
        </is>
      </c>
      <c r="V241" s="24" t="inlineStr">
        <is>
          <t>MEDIUM_RISK</t>
        </is>
      </c>
      <c r="W241" s="24" t="inlineStr">
        <is>
          <t>중위험</t>
        </is>
      </c>
      <c r="X241" s="24" t="inlineStr">
        <is>
          <t>MEDIUM_RISK</t>
        </is>
      </c>
      <c r="Y241" s="24" t="inlineStr">
        <is>
          <t>0.5565647223385506</t>
        </is>
      </c>
      <c r="Z241" s="24" t="inlineStr">
        <is>
          <t>MEDIUM</t>
        </is>
      </c>
      <c r="AA241" s="24" t="inlineStr">
        <is>
          <t>MEDIUM</t>
        </is>
      </c>
      <c r="AB241" s="24" t="inlineStr">
        <is>
          <t>0.05131400931985753</t>
        </is>
      </c>
      <c r="AC241" s="24" t="inlineStr">
        <is>
          <t>False</t>
        </is>
      </c>
      <c r="AD241" s="24" t="inlineStr">
        <is>
          <t>False</t>
        </is>
      </c>
      <c r="AE241" s="24" t="inlineStr">
        <is>
          <t>valuation_credit_ml_overlay_candidate.csv</t>
        </is>
      </c>
      <c r="AF241" s="24" t="inlineStr">
        <is>
          <t>208개 반도체 reference universe. Valuation Agent가 자체 intake 폴더로 복제해 Peer/ML/대시보드 비교에 사용.</t>
        </is>
      </c>
    </row>
    <row r="242" ht="24" customHeight="1">
      <c r="A242" s="29" t="inlineStr">
        <is>
          <t>160</t>
        </is>
      </c>
      <c r="B242" s="29" t="inlineStr">
        <is>
          <t>해당 없음</t>
        </is>
      </c>
      <c r="C242" s="29" t="inlineStr">
        <is>
          <t>디아이</t>
        </is>
      </c>
      <c r="D242" s="29" t="inlineStr">
        <is>
          <t>003160</t>
        </is>
      </c>
      <c r="E242" s="29" t="inlineStr">
        <is>
          <t>KOSPI</t>
        </is>
      </c>
      <c r="F242" s="29" t="inlineStr">
        <is>
          <t>후공정/패키징/테스트</t>
        </is>
      </c>
      <c r="G242" s="29" t="inlineStr">
        <is>
          <t>후공정/패키징/테스트</t>
        </is>
      </c>
      <c r="H242" s="29" t="inlineStr">
        <is>
          <t>False</t>
        </is>
      </c>
      <c r="I242" s="29" t="inlineStr">
        <is>
          <t>True</t>
        </is>
      </c>
      <c r="J242" s="29" t="inlineStr">
        <is>
          <t>OK</t>
        </is>
      </c>
      <c r="K242" s="29" t="inlineStr">
        <is>
          <t>데이터 사용 가능</t>
        </is>
      </c>
      <c r="L242" s="29" t="inlineStr">
        <is>
          <t>LOW</t>
        </is>
      </c>
      <c r="M242" s="29" t="inlineStr">
        <is>
          <t>LOW</t>
        </is>
      </c>
      <c r="N242" s="29" t="inlineStr">
        <is>
          <t>0.5875555555555555</t>
        </is>
      </c>
      <c r="O242" s="29" t="inlineStr">
        <is>
          <t>ATTRACTIVE</t>
        </is>
      </c>
      <c r="P242" s="29" t="inlineStr">
        <is>
          <t>가치 매력</t>
        </is>
      </c>
      <c r="Q242" s="29" t="inlineStr">
        <is>
          <t>ATTRACTIVE</t>
        </is>
      </c>
      <c r="R242" s="29" t="inlineStr">
        <is>
          <t>0.6560906263736197</t>
        </is>
      </c>
      <c r="S242" s="29" t="inlineStr">
        <is>
          <t>MEDIUM</t>
        </is>
      </c>
      <c r="T242" s="29" t="inlineStr">
        <is>
          <t>MEDIUM</t>
        </is>
      </c>
      <c r="U242" s="29" t="inlineStr">
        <is>
          <t>0.0714285714285714</t>
        </is>
      </c>
      <c r="V242" s="29" t="inlineStr">
        <is>
          <t>LOW_RISK</t>
        </is>
      </c>
      <c r="W242" s="29" t="inlineStr">
        <is>
          <t>저위험</t>
        </is>
      </c>
      <c r="X242" s="29" t="inlineStr">
        <is>
          <t>LOW_RISK</t>
        </is>
      </c>
      <c r="Y242" s="29" t="inlineStr">
        <is>
          <t>0.7571818581431954</t>
        </is>
      </c>
      <c r="Z242" s="29" t="inlineStr">
        <is>
          <t>HIGH</t>
        </is>
      </c>
      <c r="AA242" s="29" t="inlineStr">
        <is>
          <t>HIGH</t>
        </is>
      </c>
      <c r="AB242" s="29" t="inlineStr">
        <is>
          <t>0.027510707117244317</t>
        </is>
      </c>
      <c r="AC242" s="29" t="inlineStr">
        <is>
          <t>False</t>
        </is>
      </c>
      <c r="AD242" s="29" t="inlineStr">
        <is>
          <t>False</t>
        </is>
      </c>
      <c r="AE242" s="29" t="inlineStr">
        <is>
          <t>valuation_credit_ml_overlay_candidate.csv</t>
        </is>
      </c>
      <c r="AF242" s="29" t="inlineStr">
        <is>
          <t>208개 반도체 reference universe. Valuation Agent가 자체 intake 폴더로 복제해 Peer/ML/대시보드 비교에 사용.</t>
        </is>
      </c>
    </row>
    <row r="243" ht="24" customHeight="1">
      <c r="A243" s="24" t="inlineStr">
        <is>
          <t>174</t>
        </is>
      </c>
      <c r="B243" s="24" t="inlineStr">
        <is>
          <t>해당 없음</t>
        </is>
      </c>
      <c r="C243" s="24" t="inlineStr">
        <is>
          <t>엑시콘</t>
        </is>
      </c>
      <c r="D243" s="24" t="inlineStr">
        <is>
          <t>092870</t>
        </is>
      </c>
      <c r="E243" s="24" t="inlineStr">
        <is>
          <t>KOSDAQ</t>
        </is>
      </c>
      <c r="F243" s="24" t="inlineStr">
        <is>
          <t>후공정/패키징/테스트</t>
        </is>
      </c>
      <c r="G243" s="24" t="inlineStr">
        <is>
          <t>후공정/패키징/테스트</t>
        </is>
      </c>
      <c r="H243" s="24" t="inlineStr">
        <is>
          <t>False</t>
        </is>
      </c>
      <c r="I243" s="24" t="inlineStr">
        <is>
          <t>True</t>
        </is>
      </c>
      <c r="J243" s="24" t="inlineStr">
        <is>
          <t>OK</t>
        </is>
      </c>
      <c r="K243" s="24" t="inlineStr">
        <is>
          <t>데이터 사용 가능</t>
        </is>
      </c>
      <c r="L243" s="24" t="inlineStr">
        <is>
          <t>LOW</t>
        </is>
      </c>
      <c r="M243" s="24" t="inlineStr">
        <is>
          <t>LOW</t>
        </is>
      </c>
      <c r="N243" s="24" t="inlineStr">
        <is>
          <t>0.5711111111111111</t>
        </is>
      </c>
      <c r="O243" s="24" t="inlineStr">
        <is>
          <t>FAIR</t>
        </is>
      </c>
      <c r="P243" s="24" t="inlineStr">
        <is>
          <t>FAIR</t>
        </is>
      </c>
      <c r="Q243" s="24" t="inlineStr">
        <is>
          <t>FAIR</t>
        </is>
      </c>
      <c r="R243" s="24" t="inlineStr">
        <is>
          <t>0.7870958268046786</t>
        </is>
      </c>
      <c r="S243" s="24" t="inlineStr">
        <is>
          <t>HIGH</t>
        </is>
      </c>
      <c r="T243" s="24" t="inlineStr">
        <is>
          <t>HIGH</t>
        </is>
      </c>
      <c r="U243" s="24" t="inlineStr">
        <is>
          <t>0.2142857142857142</t>
        </is>
      </c>
      <c r="V243" s="24" t="inlineStr">
        <is>
          <t>MEDIUM_RISK</t>
        </is>
      </c>
      <c r="W243" s="24" t="inlineStr">
        <is>
          <t>중위험</t>
        </is>
      </c>
      <c r="X243" s="24" t="inlineStr">
        <is>
          <t>MEDIUM_RISK</t>
        </is>
      </c>
      <c r="Y243" s="24" t="inlineStr">
        <is>
          <t>0.6956414267155251</t>
        </is>
      </c>
      <c r="Z243" s="24" t="inlineStr">
        <is>
          <t>MEDIUM</t>
        </is>
      </c>
      <c r="AA243" s="24" t="inlineStr">
        <is>
          <t>MEDIUM</t>
        </is>
      </c>
      <c r="AB243" s="24" t="inlineStr">
        <is>
          <t>0.09079387845598708</t>
        </is>
      </c>
      <c r="AC243" s="24" t="inlineStr">
        <is>
          <t>False</t>
        </is>
      </c>
      <c r="AD243" s="24" t="inlineStr">
        <is>
          <t>False</t>
        </is>
      </c>
      <c r="AE243" s="24" t="inlineStr">
        <is>
          <t>valuation_credit_ml_overlay_candidate.csv</t>
        </is>
      </c>
      <c r="AF243" s="24" t="inlineStr">
        <is>
          <t>208개 반도체 reference universe. Valuation Agent가 자체 intake 폴더로 복제해 Peer/ML/대시보드 비교에 사용.</t>
        </is>
      </c>
    </row>
    <row r="244" ht="24" customHeight="1">
      <c r="A244" s="29" t="inlineStr">
        <is>
          <t>177</t>
        </is>
      </c>
      <c r="B244" s="29" t="inlineStr">
        <is>
          <t>해당 없음</t>
        </is>
      </c>
      <c r="C244" s="29" t="inlineStr">
        <is>
          <t>우리이앤엘하루틴</t>
        </is>
      </c>
      <c r="D244" s="29" t="inlineStr">
        <is>
          <t>153490</t>
        </is>
      </c>
      <c r="E244" s="29" t="inlineStr">
        <is>
          <t>KOSDAQ</t>
        </is>
      </c>
      <c r="F244" s="29" t="inlineStr">
        <is>
          <t>후공정/패키징/테스트</t>
        </is>
      </c>
      <c r="G244" s="29" t="inlineStr">
        <is>
          <t>후공정/패키징/테스트</t>
        </is>
      </c>
      <c r="H244" s="29" t="inlineStr">
        <is>
          <t>False</t>
        </is>
      </c>
      <c r="I244" s="29" t="inlineStr">
        <is>
          <t>True</t>
        </is>
      </c>
      <c r="J244" s="29" t="inlineStr">
        <is>
          <t>OK</t>
        </is>
      </c>
      <c r="K244" s="29" t="inlineStr">
        <is>
          <t>데이터 사용 가능</t>
        </is>
      </c>
      <c r="L244" s="29" t="inlineStr">
        <is>
          <t>LOW</t>
        </is>
      </c>
      <c r="M244" s="29" t="inlineStr">
        <is>
          <t>LOW</t>
        </is>
      </c>
      <c r="N244" s="29" t="inlineStr">
        <is>
          <t>0.5598518518518519</t>
        </is>
      </c>
      <c r="O244" s="29" t="inlineStr">
        <is>
          <t>FAIR</t>
        </is>
      </c>
      <c r="P244" s="29" t="inlineStr">
        <is>
          <t>FAIR</t>
        </is>
      </c>
      <c r="Q244" s="29" t="inlineStr">
        <is>
          <t>FAIR</t>
        </is>
      </c>
      <c r="R244" s="29" t="inlineStr">
        <is>
          <t>0.803860880134826</t>
        </is>
      </c>
      <c r="S244" s="29" t="inlineStr">
        <is>
          <t>HIGH</t>
        </is>
      </c>
      <c r="T244" s="29" t="inlineStr">
        <is>
          <t>HIGH</t>
        </is>
      </c>
      <c r="U244" s="29" t="inlineStr">
        <is>
          <t>0.1428571428571428</t>
        </is>
      </c>
      <c r="V244" s="29" t="inlineStr">
        <is>
          <t>LOW_RISK</t>
        </is>
      </c>
      <c r="W244" s="29" t="inlineStr">
        <is>
          <t>저위험</t>
        </is>
      </c>
      <c r="X244" s="29" t="inlineStr">
        <is>
          <t>LOW_RISK</t>
        </is>
      </c>
      <c r="Y244" s="29" t="inlineStr">
        <is>
          <t>0.5263237628250668</t>
        </is>
      </c>
      <c r="Z244" s="29" t="inlineStr">
        <is>
          <t>MEDIUM</t>
        </is>
      </c>
      <c r="AA244" s="29" t="inlineStr">
        <is>
          <t>MEDIUM</t>
        </is>
      </c>
      <c r="AB244" s="29" t="inlineStr">
        <is>
          <t>0.12425981563248314</t>
        </is>
      </c>
      <c r="AC244" s="29" t="inlineStr">
        <is>
          <t>False</t>
        </is>
      </c>
      <c r="AD244" s="29" t="inlineStr">
        <is>
          <t>False</t>
        </is>
      </c>
      <c r="AE244" s="29" t="inlineStr">
        <is>
          <t>valuation_credit_ml_overlay_candidate.csv</t>
        </is>
      </c>
      <c r="AF244" s="29" t="inlineStr">
        <is>
          <t>208개 반도체 reference universe. Valuation Agent가 자체 intake 폴더로 복제해 Peer/ML/대시보드 비교에 사용.</t>
        </is>
      </c>
    </row>
    <row r="245" ht="24" customHeight="1">
      <c r="A245" s="24" t="inlineStr">
        <is>
          <t>176</t>
        </is>
      </c>
      <c r="B245" s="24" t="inlineStr">
        <is>
          <t>해당 없음</t>
        </is>
      </c>
      <c r="C245" s="24" t="inlineStr">
        <is>
          <t>와이씨</t>
        </is>
      </c>
      <c r="D245" s="24" t="inlineStr">
        <is>
          <t>232140</t>
        </is>
      </c>
      <c r="E245" s="24" t="inlineStr">
        <is>
          <t>KOSDAQ</t>
        </is>
      </c>
      <c r="F245" s="24" t="inlineStr">
        <is>
          <t>후공정/패키징/테스트</t>
        </is>
      </c>
      <c r="G245" s="24" t="inlineStr">
        <is>
          <t>후공정/패키징/테스트</t>
        </is>
      </c>
      <c r="H245" s="24" t="inlineStr">
        <is>
          <t>False</t>
        </is>
      </c>
      <c r="I245" s="24" t="inlineStr">
        <is>
          <t>True</t>
        </is>
      </c>
      <c r="J245" s="24" t="inlineStr">
        <is>
          <t>OK</t>
        </is>
      </c>
      <c r="K245" s="24" t="inlineStr">
        <is>
          <t>데이터 사용 가능</t>
        </is>
      </c>
      <c r="L245" s="24" t="inlineStr">
        <is>
          <t>LOW</t>
        </is>
      </c>
      <c r="M245" s="24" t="inlineStr">
        <is>
          <t>LOW</t>
        </is>
      </c>
      <c r="N245" s="24" t="inlineStr">
        <is>
          <t>0.5573333333333333</t>
        </is>
      </c>
      <c r="O245" s="24" t="inlineStr">
        <is>
          <t>FAIR</t>
        </is>
      </c>
      <c r="P245" s="24" t="inlineStr">
        <is>
          <t>FAIR</t>
        </is>
      </c>
      <c r="Q245" s="24" t="inlineStr">
        <is>
          <t>FAIR</t>
        </is>
      </c>
      <c r="R245" s="24" t="inlineStr">
        <is>
          <t>0.5813875575219858</t>
        </is>
      </c>
      <c r="S245" s="24" t="inlineStr">
        <is>
          <t>MEDIUM</t>
        </is>
      </c>
      <c r="T245" s="24" t="inlineStr">
        <is>
          <t>MEDIUM</t>
        </is>
      </c>
      <c r="U245" s="24" t="inlineStr">
        <is>
          <t>0.0</t>
        </is>
      </c>
      <c r="V245" s="24" t="inlineStr">
        <is>
          <t>LOW_RISK</t>
        </is>
      </c>
      <c r="W245" s="24" t="inlineStr">
        <is>
          <t>저위험</t>
        </is>
      </c>
      <c r="X245" s="24" t="inlineStr">
        <is>
          <t>LOW_RISK</t>
        </is>
      </c>
      <c r="Y245" s="24" t="inlineStr">
        <is>
          <t>0.9779169949984006</t>
        </is>
      </c>
      <c r="Z245" s="24" t="inlineStr">
        <is>
          <t>HIGH</t>
        </is>
      </c>
      <c r="AA245" s="24" t="inlineStr">
        <is>
          <t>HIGH</t>
        </is>
      </c>
      <c r="AB245" s="24" t="inlineStr">
        <is>
          <t>0.027903490153269303</t>
        </is>
      </c>
      <c r="AC245" s="24" t="inlineStr">
        <is>
          <t>False</t>
        </is>
      </c>
      <c r="AD245" s="24" t="inlineStr">
        <is>
          <t>False</t>
        </is>
      </c>
      <c r="AE245" s="24" t="inlineStr">
        <is>
          <t>valuation_credit_ml_overlay_candidate.csv</t>
        </is>
      </c>
      <c r="AF245" s="24" t="inlineStr">
        <is>
          <t>208개 반도체 reference universe. Valuation Agent가 자체 intake 폴더로 복제해 Peer/ML/대시보드 비교에 사용.</t>
        </is>
      </c>
    </row>
    <row r="246" ht="24" customHeight="1">
      <c r="A246" s="29" t="inlineStr">
        <is>
          <t>155</t>
        </is>
      </c>
      <c r="B246" s="29" t="inlineStr">
        <is>
          <t>해당 없음</t>
        </is>
      </c>
      <c r="C246" s="29" t="inlineStr">
        <is>
          <t>기가비스</t>
        </is>
      </c>
      <c r="D246" s="29" t="inlineStr">
        <is>
          <t>420770</t>
        </is>
      </c>
      <c r="E246" s="29" t="inlineStr">
        <is>
          <t>KOSDAQ</t>
        </is>
      </c>
      <c r="F246" s="29" t="inlineStr">
        <is>
          <t>후공정/패키징/테스트</t>
        </is>
      </c>
      <c r="G246" s="29" t="inlineStr">
        <is>
          <t>후공정/패키징/테스트</t>
        </is>
      </c>
      <c r="H246" s="29" t="inlineStr">
        <is>
          <t>False</t>
        </is>
      </c>
      <c r="I246" s="29" t="inlineStr">
        <is>
          <t>True</t>
        </is>
      </c>
      <c r="J246" s="29" t="inlineStr">
        <is>
          <t>OK_LIMITED_HISTORY_OR_GROWTH_NA</t>
        </is>
      </c>
      <c r="K246" s="29" t="inlineStr">
        <is>
          <t>데이터 사용 가능</t>
        </is>
      </c>
      <c r="L246" s="29" t="inlineStr">
        <is>
          <t>LOW</t>
        </is>
      </c>
      <c r="M246" s="29" t="inlineStr">
        <is>
          <t>LOW</t>
        </is>
      </c>
      <c r="N246" s="29" t="inlineStr">
        <is>
          <t>0.5544444444444445</t>
        </is>
      </c>
      <c r="O246" s="29" t="inlineStr">
        <is>
          <t>FAIR</t>
        </is>
      </c>
      <c r="P246" s="29" t="inlineStr">
        <is>
          <t>FAIR</t>
        </is>
      </c>
      <c r="Q246" s="29" t="inlineStr">
        <is>
          <t>FAIR</t>
        </is>
      </c>
      <c r="R246" s="29" t="inlineStr">
        <is>
          <t>0.604283449323821</t>
        </is>
      </c>
      <c r="S246" s="29" t="inlineStr">
        <is>
          <t>MEDIUM</t>
        </is>
      </c>
      <c r="T246" s="29" t="inlineStr">
        <is>
          <t>MEDIUM</t>
        </is>
      </c>
      <c r="U246" s="29" t="inlineStr">
        <is>
          <t>0.0714285714285714</t>
        </is>
      </c>
      <c r="V246" s="29" t="inlineStr">
        <is>
          <t>LOW_RISK</t>
        </is>
      </c>
      <c r="W246" s="29" t="inlineStr">
        <is>
          <t>저위험</t>
        </is>
      </c>
      <c r="X246" s="29" t="inlineStr">
        <is>
          <t>LOW_RISK</t>
        </is>
      </c>
      <c r="Y246" s="29" t="inlineStr">
        <is>
          <t>0.9462252670112353</t>
        </is>
      </c>
      <c r="Z246" s="29" t="inlineStr">
        <is>
          <t>HIGH</t>
        </is>
      </c>
      <c r="AA246" s="29" t="inlineStr">
        <is>
          <t>HIGH</t>
        </is>
      </c>
      <c r="AB246" s="29" t="inlineStr">
        <is>
          <t>0.34444594339538714</t>
        </is>
      </c>
      <c r="AC246" s="29" t="inlineStr">
        <is>
          <t>True</t>
        </is>
      </c>
      <c r="AD246" s="29" t="inlineStr">
        <is>
          <t>True</t>
        </is>
      </c>
      <c r="AE246" s="29" t="inlineStr">
        <is>
          <t>valuation_credit_ml_overlay_candidate.csv</t>
        </is>
      </c>
      <c r="AF246" s="29" t="inlineStr">
        <is>
          <t>208개 반도체 reference universe. Valuation Agent가 자체 intake 폴더로 복제해 Peer/ML/대시보드 비교에 사용.</t>
        </is>
      </c>
    </row>
    <row r="247" ht="24" customHeight="1">
      <c r="A247" s="24" t="inlineStr">
        <is>
          <t>194</t>
        </is>
      </c>
      <c r="B247" s="24" t="inlineStr">
        <is>
          <t>해당 없음</t>
        </is>
      </c>
      <c r="C247" s="24" t="inlineStr">
        <is>
          <t>해성디에스</t>
        </is>
      </c>
      <c r="D247" s="24" t="inlineStr">
        <is>
          <t>195870</t>
        </is>
      </c>
      <c r="E247" s="24" t="inlineStr">
        <is>
          <t>KOSPI</t>
        </is>
      </c>
      <c r="F247" s="24" t="inlineStr">
        <is>
          <t>후공정/패키징/테스트</t>
        </is>
      </c>
      <c r="G247" s="24" t="inlineStr">
        <is>
          <t>후공정/패키징/테스트</t>
        </is>
      </c>
      <c r="H247" s="24" t="inlineStr">
        <is>
          <t>False</t>
        </is>
      </c>
      <c r="I247" s="24" t="inlineStr">
        <is>
          <t>True</t>
        </is>
      </c>
      <c r="J247" s="24" t="inlineStr">
        <is>
          <t>OK</t>
        </is>
      </c>
      <c r="K247" s="24" t="inlineStr">
        <is>
          <t>데이터 사용 가능</t>
        </is>
      </c>
      <c r="L247" s="24" t="inlineStr">
        <is>
          <t>LOW</t>
        </is>
      </c>
      <c r="M247" s="24" t="inlineStr">
        <is>
          <t>LOW</t>
        </is>
      </c>
      <c r="N247" s="24" t="inlineStr">
        <is>
          <t>0.5333333333333333</t>
        </is>
      </c>
      <c r="O247" s="24" t="inlineStr">
        <is>
          <t>FAIR</t>
        </is>
      </c>
      <c r="P247" s="24" t="inlineStr">
        <is>
          <t>FAIR</t>
        </is>
      </c>
      <c r="Q247" s="24" t="inlineStr">
        <is>
          <t>FAIR</t>
        </is>
      </c>
      <c r="R247" s="24" t="inlineStr">
        <is>
          <t>0.8942165906576592</t>
        </is>
      </c>
      <c r="S247" s="24" t="inlineStr">
        <is>
          <t>HIGH</t>
        </is>
      </c>
      <c r="T247" s="24" t="inlineStr">
        <is>
          <t>HIGH</t>
        </is>
      </c>
      <c r="U247" s="24" t="inlineStr">
        <is>
          <t>0.0714285714285714</t>
        </is>
      </c>
      <c r="V247" s="24" t="inlineStr">
        <is>
          <t>LOW_RISK</t>
        </is>
      </c>
      <c r="W247" s="24" t="inlineStr">
        <is>
          <t>저위험</t>
        </is>
      </c>
      <c r="X247" s="24" t="inlineStr">
        <is>
          <t>LOW_RISK</t>
        </is>
      </c>
      <c r="Y247" s="24" t="inlineStr">
        <is>
          <t>0.7552918248784374</t>
        </is>
      </c>
      <c r="Z247" s="24" t="inlineStr">
        <is>
          <t>HIGH</t>
        </is>
      </c>
      <c r="AA247" s="24" t="inlineStr">
        <is>
          <t>HIGH</t>
        </is>
      </c>
      <c r="AB247" s="24" t="inlineStr">
        <is>
          <t>0.0</t>
        </is>
      </c>
      <c r="AC247" s="24" t="inlineStr">
        <is>
          <t>False</t>
        </is>
      </c>
      <c r="AD247" s="24" t="inlineStr">
        <is>
          <t>False</t>
        </is>
      </c>
      <c r="AE247" s="24" t="inlineStr">
        <is>
          <t>valuation_credit_ml_overlay_candidate.csv</t>
        </is>
      </c>
      <c r="AF247" s="24" t="inlineStr">
        <is>
          <t>208개 반도체 reference universe. Valuation Agent가 자체 intake 폴더로 복제해 Peer/ML/대시보드 비교에 사용.</t>
        </is>
      </c>
    </row>
    <row r="248" ht="24" customHeight="1">
      <c r="A248" s="29" t="inlineStr">
        <is>
          <t>150</t>
        </is>
      </c>
      <c r="B248" s="29" t="inlineStr">
        <is>
          <t>해당 없음</t>
        </is>
      </c>
      <c r="C248" s="29" t="inlineStr">
        <is>
          <t>ISC</t>
        </is>
      </c>
      <c r="D248" s="29" t="inlineStr">
        <is>
          <t>095340</t>
        </is>
      </c>
      <c r="E248" s="29" t="inlineStr">
        <is>
          <t>KOSDAQ GLOBAL</t>
        </is>
      </c>
      <c r="F248" s="29" t="inlineStr">
        <is>
          <t>후공정/패키징/테스트</t>
        </is>
      </c>
      <c r="G248" s="29" t="inlineStr">
        <is>
          <t>후공정/패키징/테스트</t>
        </is>
      </c>
      <c r="H248" s="29" t="inlineStr">
        <is>
          <t>False</t>
        </is>
      </c>
      <c r="I248" s="29" t="inlineStr">
        <is>
          <t>True</t>
        </is>
      </c>
      <c r="J248" s="29" t="inlineStr">
        <is>
          <t>OK</t>
        </is>
      </c>
      <c r="K248" s="29" t="inlineStr">
        <is>
          <t>데이터 사용 가능</t>
        </is>
      </c>
      <c r="L248" s="29" t="inlineStr">
        <is>
          <t>LOW</t>
        </is>
      </c>
      <c r="M248" s="29" t="inlineStr">
        <is>
          <t>LOW</t>
        </is>
      </c>
      <c r="N248" s="29" t="inlineStr">
        <is>
          <t>0.5176296296296296</t>
        </is>
      </c>
      <c r="O248" s="29" t="inlineStr">
        <is>
          <t>FAIR</t>
        </is>
      </c>
      <c r="P248" s="29" t="inlineStr">
        <is>
          <t>FAIR</t>
        </is>
      </c>
      <c r="Q248" s="29" t="inlineStr">
        <is>
          <t>FAIR</t>
        </is>
      </c>
      <c r="R248" s="29" t="inlineStr">
        <is>
          <t>0.5753148434947495</t>
        </is>
      </c>
      <c r="S248" s="29" t="inlineStr">
        <is>
          <t>MEDIUM</t>
        </is>
      </c>
      <c r="T248" s="29" t="inlineStr">
        <is>
          <t>MEDIUM</t>
        </is>
      </c>
      <c r="U248" s="29" t="inlineStr">
        <is>
          <t>0.0</t>
        </is>
      </c>
      <c r="V248" s="29" t="inlineStr">
        <is>
          <t>LOW_RISK</t>
        </is>
      </c>
      <c r="W248" s="29" t="inlineStr">
        <is>
          <t>저위험</t>
        </is>
      </c>
      <c r="X248" s="29" t="inlineStr">
        <is>
          <t>LOW_RISK</t>
        </is>
      </c>
      <c r="Y248" s="29" t="inlineStr">
        <is>
          <t>0.9755870924998499</t>
        </is>
      </c>
      <c r="Z248" s="29" t="inlineStr">
        <is>
          <t>HIGH</t>
        </is>
      </c>
      <c r="AA248" s="29" t="inlineStr">
        <is>
          <t>HIGH</t>
        </is>
      </c>
      <c r="AB248" s="29" t="inlineStr">
        <is>
          <t>0.14006921921799445</t>
        </is>
      </c>
      <c r="AC248" s="29" t="inlineStr">
        <is>
          <t>False</t>
        </is>
      </c>
      <c r="AD248" s="29" t="inlineStr">
        <is>
          <t>False</t>
        </is>
      </c>
      <c r="AE248" s="29" t="inlineStr">
        <is>
          <t>valuation_credit_ml_overlay_candidate.csv</t>
        </is>
      </c>
      <c r="AF248" s="29" t="inlineStr">
        <is>
          <t>208개 반도체 reference universe. Valuation Agent가 자체 intake 폴더로 복제해 Peer/ML/대시보드 비교에 사용.</t>
        </is>
      </c>
    </row>
    <row r="249" ht="24" customHeight="1">
      <c r="A249" s="24" t="inlineStr">
        <is>
          <t>173</t>
        </is>
      </c>
      <c r="B249" s="24" t="inlineStr">
        <is>
          <t>해당 없음</t>
        </is>
      </c>
      <c r="C249" s="24" t="inlineStr">
        <is>
          <t>에이팩트</t>
        </is>
      </c>
      <c r="D249" s="24" t="inlineStr">
        <is>
          <t>200470</t>
        </is>
      </c>
      <c r="E249" s="24" t="inlineStr">
        <is>
          <t>KOSDAQ</t>
        </is>
      </c>
      <c r="F249" s="24" t="inlineStr">
        <is>
          <t>후공정/패키징/테스트</t>
        </is>
      </c>
      <c r="G249" s="24" t="inlineStr">
        <is>
          <t>후공정/패키징/테스트</t>
        </is>
      </c>
      <c r="H249" s="24" t="inlineStr">
        <is>
          <t>False</t>
        </is>
      </c>
      <c r="I249" s="24" t="inlineStr">
        <is>
          <t>True</t>
        </is>
      </c>
      <c r="J249" s="24" t="inlineStr">
        <is>
          <t>OK</t>
        </is>
      </c>
      <c r="K249" s="24" t="inlineStr">
        <is>
          <t>데이터 사용 가능</t>
        </is>
      </c>
      <c r="L249" s="24" t="inlineStr">
        <is>
          <t>LOW</t>
        </is>
      </c>
      <c r="M249" s="24" t="inlineStr">
        <is>
          <t>LOW</t>
        </is>
      </c>
      <c r="N249" s="24" t="inlineStr">
        <is>
          <t>0.5026666666666667</t>
        </is>
      </c>
      <c r="O249" s="24" t="inlineStr">
        <is>
          <t>FAIR</t>
        </is>
      </c>
      <c r="P249" s="24" t="inlineStr">
        <is>
          <t>FAIR</t>
        </is>
      </c>
      <c r="Q249" s="24" t="inlineStr">
        <is>
          <t>FAIR</t>
        </is>
      </c>
      <c r="R249" s="24" t="inlineStr">
        <is>
          <t>0.8010795762920226</t>
        </is>
      </c>
      <c r="S249" s="24" t="inlineStr">
        <is>
          <t>HIGH</t>
        </is>
      </c>
      <c r="T249" s="24" t="inlineStr">
        <is>
          <t>HIGH</t>
        </is>
      </c>
      <c r="U249" s="24" t="inlineStr">
        <is>
          <t>0.4285714285714285</t>
        </is>
      </c>
      <c r="V249" s="24" t="inlineStr">
        <is>
          <t>HIGH_RISK</t>
        </is>
      </c>
      <c r="W249" s="24" t="inlineStr">
        <is>
          <t>고위험</t>
        </is>
      </c>
      <c r="X249" s="24" t="inlineStr">
        <is>
          <t>MEDIUM_RISK</t>
        </is>
      </c>
      <c r="Y249" s="24" t="inlineStr">
        <is>
          <t>0.40666664980482187</t>
        </is>
      </c>
      <c r="Z249" s="24" t="inlineStr">
        <is>
          <t>LOW</t>
        </is>
      </c>
      <c r="AA249" s="24" t="inlineStr">
        <is>
          <t>LOW</t>
        </is>
      </c>
      <c r="AB249" s="24" t="inlineStr">
        <is>
          <t>0.060282917359955154</t>
        </is>
      </c>
      <c r="AC249" s="24" t="inlineStr">
        <is>
          <t>False</t>
        </is>
      </c>
      <c r="AD249" s="24" t="inlineStr">
        <is>
          <t>True</t>
        </is>
      </c>
      <c r="AE249" s="24" t="inlineStr">
        <is>
          <t>valuation_credit_ml_overlay_candidate.csv</t>
        </is>
      </c>
      <c r="AF249" s="24" t="inlineStr">
        <is>
          <t>208개 반도체 reference universe. Valuation Agent가 자체 intake 폴더로 복제해 Peer/ML/대시보드 비교에 사용.</t>
        </is>
      </c>
    </row>
    <row r="250" ht="24" customHeight="1">
      <c r="A250" s="29" t="inlineStr">
        <is>
          <t>166</t>
        </is>
      </c>
      <c r="B250" s="29" t="inlineStr">
        <is>
          <t>해당 없음</t>
        </is>
      </c>
      <c r="C250" s="29" t="inlineStr">
        <is>
          <t>삼성전기</t>
        </is>
      </c>
      <c r="D250" s="29" t="inlineStr">
        <is>
          <t>009150</t>
        </is>
      </c>
      <c r="E250" s="29" t="inlineStr">
        <is>
          <t>KOSPI</t>
        </is>
      </c>
      <c r="F250" s="29" t="inlineStr">
        <is>
          <t>후공정/패키징/테스트</t>
        </is>
      </c>
      <c r="G250" s="29" t="inlineStr">
        <is>
          <t>후공정/패키징/테스트</t>
        </is>
      </c>
      <c r="H250" s="29" t="inlineStr">
        <is>
          <t>False</t>
        </is>
      </c>
      <c r="I250" s="29" t="inlineStr">
        <is>
          <t>True</t>
        </is>
      </c>
      <c r="J250" s="29" t="inlineStr">
        <is>
          <t>OK</t>
        </is>
      </c>
      <c r="K250" s="29" t="inlineStr">
        <is>
          <t>데이터 사용 가능</t>
        </is>
      </c>
      <c r="L250" s="29" t="inlineStr">
        <is>
          <t>LOW</t>
        </is>
      </c>
      <c r="M250" s="29" t="inlineStr">
        <is>
          <t>LOW</t>
        </is>
      </c>
      <c r="N250" s="29" t="inlineStr">
        <is>
          <t>0.4957037037037037</t>
        </is>
      </c>
      <c r="O250" s="29" t="inlineStr">
        <is>
          <t>FAIR</t>
        </is>
      </c>
      <c r="P250" s="29" t="inlineStr">
        <is>
          <t>FAIR</t>
        </is>
      </c>
      <c r="Q250" s="29" t="inlineStr">
        <is>
          <t>FAIR</t>
        </is>
      </c>
      <c r="R250" s="29" t="inlineStr">
        <is>
          <t>0.5297655139045552</t>
        </is>
      </c>
      <c r="S250" s="29" t="inlineStr">
        <is>
          <t>MEDIUM</t>
        </is>
      </c>
      <c r="T250" s="29" t="inlineStr">
        <is>
          <t>MEDIUM</t>
        </is>
      </c>
      <c r="U250" s="29" t="inlineStr">
        <is>
          <t>0.0</t>
        </is>
      </c>
      <c r="V250" s="29" t="inlineStr">
        <is>
          <t>LOW_RISK</t>
        </is>
      </c>
      <c r="W250" s="29" t="inlineStr">
        <is>
          <t>저위험</t>
        </is>
      </c>
      <c r="X250" s="29" t="inlineStr">
        <is>
          <t>LOW_RISK</t>
        </is>
      </c>
      <c r="Y250" s="29" t="inlineStr">
        <is>
          <t>0.9613637696053304</t>
        </is>
      </c>
      <c r="Z250" s="29" t="inlineStr">
        <is>
          <t>HIGH</t>
        </is>
      </c>
      <c r="AA250" s="29" t="inlineStr">
        <is>
          <t>HIGH</t>
        </is>
      </c>
      <c r="AB250" s="29" t="inlineStr">
        <is>
          <t>0.09523408011479967</t>
        </is>
      </c>
      <c r="AC250" s="29" t="inlineStr">
        <is>
          <t>False</t>
        </is>
      </c>
      <c r="AD250" s="29" t="inlineStr">
        <is>
          <t>False</t>
        </is>
      </c>
      <c r="AE250" s="29" t="inlineStr">
        <is>
          <t>valuation_credit_ml_overlay_candidate.csv</t>
        </is>
      </c>
      <c r="AF250" s="29" t="inlineStr">
        <is>
          <t>208개 반도체 reference universe. Valuation Agent가 자체 intake 폴더로 복제해 Peer/ML/대시보드 비교에 사용.</t>
        </is>
      </c>
    </row>
    <row r="251" ht="24" customHeight="1">
      <c r="A251" s="24" t="inlineStr">
        <is>
          <t>171</t>
        </is>
      </c>
      <c r="B251" s="24" t="inlineStr">
        <is>
          <t>해당 없음</t>
        </is>
      </c>
      <c r="C251" s="24" t="inlineStr">
        <is>
          <t>에이엘티</t>
        </is>
      </c>
      <c r="D251" s="24" t="inlineStr">
        <is>
          <t>172670</t>
        </is>
      </c>
      <c r="E251" s="24" t="inlineStr">
        <is>
          <t>KOSDAQ</t>
        </is>
      </c>
      <c r="F251" s="24" t="inlineStr">
        <is>
          <t>후공정/패키징/테스트</t>
        </is>
      </c>
      <c r="G251" s="24" t="inlineStr">
        <is>
          <t>후공정/패키징/테스트</t>
        </is>
      </c>
      <c r="H251" s="24" t="inlineStr">
        <is>
          <t>False</t>
        </is>
      </c>
      <c r="I251" s="24" t="inlineStr">
        <is>
          <t>True</t>
        </is>
      </c>
      <c r="J251" s="24" t="inlineStr">
        <is>
          <t>OK</t>
        </is>
      </c>
      <c r="K251" s="24" t="inlineStr">
        <is>
          <t>데이터 사용 가능</t>
        </is>
      </c>
      <c r="L251" s="24" t="inlineStr">
        <is>
          <t>LOW</t>
        </is>
      </c>
      <c r="M251" s="24" t="inlineStr">
        <is>
          <t>LOW</t>
        </is>
      </c>
      <c r="N251" s="24" t="inlineStr">
        <is>
          <t>0.4877037037037036</t>
        </is>
      </c>
      <c r="O251" s="24" t="inlineStr">
        <is>
          <t>FAIR</t>
        </is>
      </c>
      <c r="P251" s="24" t="inlineStr">
        <is>
          <t>FAIR</t>
        </is>
      </c>
      <c r="Q251" s="24" t="inlineStr">
        <is>
          <t>FAIR</t>
        </is>
      </c>
      <c r="R251" s="24" t="inlineStr">
        <is>
          <t>0.5308622758067901</t>
        </is>
      </c>
      <c r="S251" s="24" t="inlineStr">
        <is>
          <t>MEDIUM</t>
        </is>
      </c>
      <c r="T251" s="24" t="inlineStr">
        <is>
          <t>MEDIUM</t>
        </is>
      </c>
      <c r="U251" s="24" t="inlineStr">
        <is>
          <t>0.3571428571428571</t>
        </is>
      </c>
      <c r="V251" s="24" t="inlineStr">
        <is>
          <t>MEDIUM_RISK</t>
        </is>
      </c>
      <c r="W251" s="24" t="inlineStr">
        <is>
          <t>중위험</t>
        </is>
      </c>
      <c r="X251" s="24" t="inlineStr">
        <is>
          <t>MEDIUM_RISK</t>
        </is>
      </c>
      <c r="Y251" s="24" t="inlineStr">
        <is>
          <t>0.6934148613969219</t>
        </is>
      </c>
      <c r="Z251" s="24" t="inlineStr">
        <is>
          <t>MEDIUM</t>
        </is>
      </c>
      <c r="AA251" s="24" t="inlineStr">
        <is>
          <t>MEDIUM</t>
        </is>
      </c>
      <c r="AB251" s="24" t="inlineStr">
        <is>
          <t>0.07946889412350498</t>
        </is>
      </c>
      <c r="AC251" s="24" t="inlineStr">
        <is>
          <t>False</t>
        </is>
      </c>
      <c r="AD251" s="24" t="inlineStr">
        <is>
          <t>False</t>
        </is>
      </c>
      <c r="AE251" s="24" t="inlineStr">
        <is>
          <t>valuation_credit_ml_overlay_candidate.csv</t>
        </is>
      </c>
      <c r="AF251" s="24" t="inlineStr">
        <is>
          <t>208개 반도체 reference universe. Valuation Agent가 자체 intake 폴더로 복제해 Peer/ML/대시보드 비교에 사용.</t>
        </is>
      </c>
    </row>
    <row r="252" ht="24" customHeight="1">
      <c r="A252" s="29" t="inlineStr">
        <is>
          <t>184</t>
        </is>
      </c>
      <c r="B252" s="29" t="inlineStr">
        <is>
          <t>해당 없음</t>
        </is>
      </c>
      <c r="C252" s="29" t="inlineStr">
        <is>
          <t>큐알티</t>
        </is>
      </c>
      <c r="D252" s="29" t="inlineStr">
        <is>
          <t>405100</t>
        </is>
      </c>
      <c r="E252" s="29" t="inlineStr">
        <is>
          <t>KOSDAQ</t>
        </is>
      </c>
      <c r="F252" s="29" t="inlineStr">
        <is>
          <t>후공정/패키징/테스트</t>
        </is>
      </c>
      <c r="G252" s="29" t="inlineStr">
        <is>
          <t>후공정/패키징/테스트</t>
        </is>
      </c>
      <c r="H252" s="29" t="inlineStr">
        <is>
          <t>False</t>
        </is>
      </c>
      <c r="I252" s="29" t="inlineStr">
        <is>
          <t>True</t>
        </is>
      </c>
      <c r="J252" s="29" t="inlineStr">
        <is>
          <t>OK</t>
        </is>
      </c>
      <c r="K252" s="29" t="inlineStr">
        <is>
          <t>데이터 사용 가능</t>
        </is>
      </c>
      <c r="L252" s="29" t="inlineStr">
        <is>
          <t>LOW</t>
        </is>
      </c>
      <c r="M252" s="29" t="inlineStr">
        <is>
          <t>LOW</t>
        </is>
      </c>
      <c r="N252" s="29" t="inlineStr">
        <is>
          <t>0.4782222222222222</t>
        </is>
      </c>
      <c r="O252" s="29" t="inlineStr">
        <is>
          <t>FAIR</t>
        </is>
      </c>
      <c r="P252" s="29" t="inlineStr">
        <is>
          <t>FAIR</t>
        </is>
      </c>
      <c r="Q252" s="29" t="inlineStr">
        <is>
          <t>ATTRACTIVE</t>
        </is>
      </c>
      <c r="R252" s="29" t="inlineStr">
        <is>
          <t>0.4463498311096922</t>
        </is>
      </c>
      <c r="S252" s="29" t="inlineStr">
        <is>
          <t>LOW</t>
        </is>
      </c>
      <c r="T252" s="29" t="inlineStr">
        <is>
          <t>LOW</t>
        </is>
      </c>
      <c r="U252" s="29" t="inlineStr">
        <is>
          <t>0.0</t>
        </is>
      </c>
      <c r="V252" s="29" t="inlineStr">
        <is>
          <t>LOW_RISK</t>
        </is>
      </c>
      <c r="W252" s="29" t="inlineStr">
        <is>
          <t>저위험</t>
        </is>
      </c>
      <c r="X252" s="29" t="inlineStr">
        <is>
          <t>LOW_RISK</t>
        </is>
      </c>
      <c r="Y252" s="29" t="inlineStr">
        <is>
          <t>0.8693080817598533</t>
        </is>
      </c>
      <c r="Z252" s="29" t="inlineStr">
        <is>
          <t>HIGH</t>
        </is>
      </c>
      <c r="AA252" s="29" t="inlineStr">
        <is>
          <t>HIGH</t>
        </is>
      </c>
      <c r="AB252" s="29" t="inlineStr">
        <is>
          <t>0.014158930737617927</t>
        </is>
      </c>
      <c r="AC252" s="29" t="inlineStr">
        <is>
          <t>False</t>
        </is>
      </c>
      <c r="AD252" s="29" t="inlineStr">
        <is>
          <t>True</t>
        </is>
      </c>
      <c r="AE252" s="29" t="inlineStr">
        <is>
          <t>valuation_credit_ml_overlay_candidate.csv</t>
        </is>
      </c>
      <c r="AF252" s="29" t="inlineStr">
        <is>
          <t>208개 반도체 reference universe. Valuation Agent가 자체 intake 폴더로 복제해 Peer/ML/대시보드 비교에 사용.</t>
        </is>
      </c>
    </row>
    <row r="253" ht="24" customHeight="1">
      <c r="A253" s="24" t="inlineStr">
        <is>
          <t>192</t>
        </is>
      </c>
      <c r="B253" s="24" t="inlineStr">
        <is>
          <t>hanmi</t>
        </is>
      </c>
      <c r="C253" s="24" t="inlineStr">
        <is>
          <t>한미반도체</t>
        </is>
      </c>
      <c r="D253" s="24" t="inlineStr">
        <is>
          <t>042700</t>
        </is>
      </c>
      <c r="E253" s="24" t="inlineStr">
        <is>
          <t>KOSPI</t>
        </is>
      </c>
      <c r="F253" s="24" t="inlineStr">
        <is>
          <t>후공정/패키징/테스트</t>
        </is>
      </c>
      <c r="G253" s="24" t="inlineStr">
        <is>
          <t>후공정/패키징/테스트</t>
        </is>
      </c>
      <c r="H253" s="24" t="inlineStr">
        <is>
          <t>True</t>
        </is>
      </c>
      <c r="I253" s="24" t="inlineStr">
        <is>
          <t>True</t>
        </is>
      </c>
      <c r="J253" s="24" t="inlineStr">
        <is>
          <t>OK</t>
        </is>
      </c>
      <c r="K253" s="24" t="inlineStr">
        <is>
          <t>데이터 사용 가능</t>
        </is>
      </c>
      <c r="L253" s="24" t="inlineStr">
        <is>
          <t>LOW</t>
        </is>
      </c>
      <c r="M253" s="24" t="inlineStr">
        <is>
          <t>LOW</t>
        </is>
      </c>
      <c r="N253" s="24" t="inlineStr">
        <is>
          <t>0.4712592592592592</t>
        </is>
      </c>
      <c r="O253" s="24" t="inlineStr">
        <is>
          <t>FAIR</t>
        </is>
      </c>
      <c r="P253" s="24" t="inlineStr">
        <is>
          <t>FAIR</t>
        </is>
      </c>
      <c r="Q253" s="24" t="inlineStr">
        <is>
          <t>FAIR</t>
        </is>
      </c>
      <c r="R253" s="24" t="inlineStr">
        <is>
          <t>0.618072727307107</t>
        </is>
      </c>
      <c r="S253" s="24" t="inlineStr">
        <is>
          <t>MEDIUM</t>
        </is>
      </c>
      <c r="T253" s="24" t="inlineStr">
        <is>
          <t>MEDIUM</t>
        </is>
      </c>
      <c r="U253" s="24" t="inlineStr">
        <is>
          <t>0.0</t>
        </is>
      </c>
      <c r="V253" s="24" t="inlineStr">
        <is>
          <t>LOW_RISK</t>
        </is>
      </c>
      <c r="W253" s="24" t="inlineStr">
        <is>
          <t>저위험</t>
        </is>
      </c>
      <c r="X253" s="24" t="inlineStr">
        <is>
          <t>LOW_RISK</t>
        </is>
      </c>
      <c r="Y253" s="24" t="inlineStr">
        <is>
          <t>0.9350232170644448</t>
        </is>
      </c>
      <c r="Z253" s="24" t="inlineStr">
        <is>
          <t>HIGH</t>
        </is>
      </c>
      <c r="AA253" s="24" t="inlineStr">
        <is>
          <t>HIGH</t>
        </is>
      </c>
      <c r="AB253" s="24" t="inlineStr">
        <is>
          <t>0.2707179947680644</t>
        </is>
      </c>
      <c r="AC253" s="24" t="inlineStr">
        <is>
          <t>True</t>
        </is>
      </c>
      <c r="AD253" s="24" t="inlineStr">
        <is>
          <t>True</t>
        </is>
      </c>
      <c r="AE253" s="24" t="inlineStr">
        <is>
          <t>valuation_credit_ml_overlay_candidate.csv</t>
        </is>
      </c>
      <c r="AF253" s="24" t="inlineStr">
        <is>
          <t>208개 반도체 reference universe. Valuation Agent가 자체 intake 폴더로 복제해 Peer/ML/대시보드 비교에 사용.</t>
        </is>
      </c>
    </row>
    <row r="254" ht="24" customHeight="1">
      <c r="A254" s="29" t="inlineStr">
        <is>
          <t>185</t>
        </is>
      </c>
      <c r="B254" s="29" t="inlineStr">
        <is>
          <t>해당 없음</t>
        </is>
      </c>
      <c r="C254" s="29" t="inlineStr">
        <is>
          <t>큐엠씨</t>
        </is>
      </c>
      <c r="D254" s="29" t="inlineStr">
        <is>
          <t>136660</t>
        </is>
      </c>
      <c r="E254" s="29" t="inlineStr">
        <is>
          <t>KONEX</t>
        </is>
      </c>
      <c r="F254" s="29" t="inlineStr">
        <is>
          <t>후공정/패키징/테스트</t>
        </is>
      </c>
      <c r="G254" s="29" t="inlineStr">
        <is>
          <t>후공정/패키징/테스트</t>
        </is>
      </c>
      <c r="H254" s="29" t="inlineStr">
        <is>
          <t>False</t>
        </is>
      </c>
      <c r="I254" s="29" t="inlineStr">
        <is>
          <t>True</t>
        </is>
      </c>
      <c r="J254" s="29" t="inlineStr">
        <is>
          <t>NO_DART_FINANCIAL_DATA</t>
        </is>
      </c>
      <c r="K254" s="29" t="inlineStr">
        <is>
          <t>데이터 사용 가능</t>
        </is>
      </c>
      <c r="L254" s="29" t="inlineStr">
        <is>
          <t>HIGH</t>
        </is>
      </c>
      <c r="M254" s="29" t="inlineStr">
        <is>
          <t>HIGH</t>
        </is>
      </c>
      <c r="N254" s="29" t="inlineStr">
        <is>
          <t>0.4711111111111111</t>
        </is>
      </c>
      <c r="O254" s="29" t="inlineStr">
        <is>
          <t>FAIR</t>
        </is>
      </c>
      <c r="P254" s="29" t="inlineStr">
        <is>
          <t>FAIR</t>
        </is>
      </c>
      <c r="Q254" s="29" t="inlineStr">
        <is>
          <t>FAIR</t>
        </is>
      </c>
      <c r="R254" s="29" t="inlineStr">
        <is>
          <t>0.9731046168075388</t>
        </is>
      </c>
      <c r="S254" s="29" t="inlineStr">
        <is>
          <t>HIGH</t>
        </is>
      </c>
      <c r="T254" s="29" t="inlineStr">
        <is>
          <t>HIGH</t>
        </is>
      </c>
      <c r="U254" s="29" t="inlineStr">
        <is>
          <t>0.2857142857142857</t>
        </is>
      </c>
      <c r="V254" s="29" t="inlineStr">
        <is>
          <t>MEDIUM_RISK</t>
        </is>
      </c>
      <c r="W254" s="29" t="inlineStr">
        <is>
          <t>중위험</t>
        </is>
      </c>
      <c r="X254" s="29" t="inlineStr">
        <is>
          <t>MEDIUM_RISK</t>
        </is>
      </c>
      <c r="Y254" s="29" t="inlineStr">
        <is>
          <t>0.7892126449586269</t>
        </is>
      </c>
      <c r="Z254" s="29" t="inlineStr">
        <is>
          <t>HIGH</t>
        </is>
      </c>
      <c r="AA254" s="29" t="inlineStr">
        <is>
          <t>HIGH</t>
        </is>
      </c>
      <c r="AB254" s="29" t="inlineStr">
        <is>
          <t>0.07859474908410963</t>
        </is>
      </c>
      <c r="AC254" s="29" t="inlineStr">
        <is>
          <t>False</t>
        </is>
      </c>
      <c r="AD254" s="29" t="inlineStr">
        <is>
          <t>True</t>
        </is>
      </c>
      <c r="AE254" s="29" t="inlineStr">
        <is>
          <t>valuation_credit_ml_overlay_candidate.csv</t>
        </is>
      </c>
      <c r="AF254" s="29" t="inlineStr">
        <is>
          <t>208개 반도체 reference universe. Valuation Agent가 자체 intake 폴더로 복제해 Peer/ML/대시보드 비교에 사용.</t>
        </is>
      </c>
    </row>
    <row r="255" ht="24" customHeight="1">
      <c r="A255" s="24" t="inlineStr">
        <is>
          <t>161</t>
        </is>
      </c>
      <c r="B255" s="24" t="inlineStr">
        <is>
          <t>해당 없음</t>
        </is>
      </c>
      <c r="C255" s="24" t="inlineStr">
        <is>
          <t>럭스피아</t>
        </is>
      </c>
      <c r="D255" s="24" t="inlineStr">
        <is>
          <t>092590</t>
        </is>
      </c>
      <c r="E255" s="24" t="inlineStr">
        <is>
          <t>KONEX</t>
        </is>
      </c>
      <c r="F255" s="24" t="inlineStr">
        <is>
          <t>후공정/패키징/테스트</t>
        </is>
      </c>
      <c r="G255" s="24" t="inlineStr">
        <is>
          <t>후공정/패키징/테스트</t>
        </is>
      </c>
      <c r="H255" s="24" t="inlineStr">
        <is>
          <t>False</t>
        </is>
      </c>
      <c r="I255" s="24" t="inlineStr">
        <is>
          <t>True</t>
        </is>
      </c>
      <c r="J255" s="24" t="inlineStr">
        <is>
          <t>NO_DART_FINANCIAL_DATA</t>
        </is>
      </c>
      <c r="K255" s="24" t="inlineStr">
        <is>
          <t>데이터 사용 가능</t>
        </is>
      </c>
      <c r="L255" s="24" t="inlineStr">
        <is>
          <t>HIGH</t>
        </is>
      </c>
      <c r="M255" s="24" t="inlineStr">
        <is>
          <t>HIGH</t>
        </is>
      </c>
      <c r="N255" s="24" t="inlineStr">
        <is>
          <t>0.4681481481481481</t>
        </is>
      </c>
      <c r="O255" s="24" t="inlineStr">
        <is>
          <t>FAIR</t>
        </is>
      </c>
      <c r="P255" s="24" t="inlineStr">
        <is>
          <t>FAIR</t>
        </is>
      </c>
      <c r="Q255" s="24" t="inlineStr">
        <is>
          <t>FAIR</t>
        </is>
      </c>
      <c r="R255" s="24" t="inlineStr">
        <is>
          <t>0.969533908094729</t>
        </is>
      </c>
      <c r="S255" s="24" t="inlineStr">
        <is>
          <t>HIGH</t>
        </is>
      </c>
      <c r="T255" s="24" t="inlineStr">
        <is>
          <t>HIGH</t>
        </is>
      </c>
      <c r="U255" s="24" t="inlineStr">
        <is>
          <t>0.2857142857142857</t>
        </is>
      </c>
      <c r="V255" s="24" t="inlineStr">
        <is>
          <t>MEDIUM_RISK</t>
        </is>
      </c>
      <c r="W255" s="24" t="inlineStr">
        <is>
          <t>중위험</t>
        </is>
      </c>
      <c r="X255" s="24" t="inlineStr">
        <is>
          <t>MEDIUM_RISK</t>
        </is>
      </c>
      <c r="Y255" s="24" t="inlineStr">
        <is>
          <t>0.7911598348888624</t>
        </is>
      </c>
      <c r="Z255" s="24" t="inlineStr">
        <is>
          <t>HIGH</t>
        </is>
      </c>
      <c r="AA255" s="24" t="inlineStr">
        <is>
          <t>HIGH</t>
        </is>
      </c>
      <c r="AB255" s="24" t="inlineStr">
        <is>
          <t>0.2507708118458056</t>
        </is>
      </c>
      <c r="AC255" s="24" t="inlineStr">
        <is>
          <t>True</t>
        </is>
      </c>
      <c r="AD255" s="24" t="inlineStr">
        <is>
          <t>True</t>
        </is>
      </c>
      <c r="AE255" s="24" t="inlineStr">
        <is>
          <t>valuation_credit_ml_overlay_candidate.csv</t>
        </is>
      </c>
      <c r="AF255" s="24" t="inlineStr">
        <is>
          <t>208개 반도체 reference universe. Valuation Agent가 자체 intake 폴더로 복제해 Peer/ML/대시보드 비교에 사용.</t>
        </is>
      </c>
    </row>
    <row r="256" ht="24" customHeight="1">
      <c r="A256" s="29" t="inlineStr">
        <is>
          <t>170</t>
        </is>
      </c>
      <c r="B256" s="29" t="inlineStr">
        <is>
          <t>해당 없음</t>
        </is>
      </c>
      <c r="C256" s="29" t="inlineStr">
        <is>
          <t>아이텍</t>
        </is>
      </c>
      <c r="D256" s="29" t="inlineStr">
        <is>
          <t>119830</t>
        </is>
      </c>
      <c r="E256" s="29" t="inlineStr">
        <is>
          <t>KOSDAQ</t>
        </is>
      </c>
      <c r="F256" s="29" t="inlineStr">
        <is>
          <t>후공정/패키징/테스트</t>
        </is>
      </c>
      <c r="G256" s="29" t="inlineStr">
        <is>
          <t>후공정/패키징/테스트</t>
        </is>
      </c>
      <c r="H256" s="29" t="inlineStr">
        <is>
          <t>False</t>
        </is>
      </c>
      <c r="I256" s="29" t="inlineStr">
        <is>
          <t>True</t>
        </is>
      </c>
      <c r="J256" s="29" t="inlineStr">
        <is>
          <t>OK</t>
        </is>
      </c>
      <c r="K256" s="29" t="inlineStr">
        <is>
          <t>데이터 사용 가능</t>
        </is>
      </c>
      <c r="L256" s="29" t="inlineStr">
        <is>
          <t>LOW</t>
        </is>
      </c>
      <c r="M256" s="29" t="inlineStr">
        <is>
          <t>LOW</t>
        </is>
      </c>
      <c r="N256" s="29" t="inlineStr">
        <is>
          <t>0.4573333333333333</t>
        </is>
      </c>
      <c r="O256" s="29" t="inlineStr">
        <is>
          <t>FAIR</t>
        </is>
      </c>
      <c r="P256" s="29" t="inlineStr">
        <is>
          <t>FAIR</t>
        </is>
      </c>
      <c r="Q256" s="29" t="inlineStr">
        <is>
          <t>FAIR</t>
        </is>
      </c>
      <c r="R256" s="29" t="inlineStr">
        <is>
          <t>0.6018206034002739</t>
        </is>
      </c>
      <c r="S256" s="29" t="inlineStr">
        <is>
          <t>MEDIUM</t>
        </is>
      </c>
      <c r="T256" s="29" t="inlineStr">
        <is>
          <t>MEDIUM</t>
        </is>
      </c>
      <c r="U256" s="29" t="inlineStr">
        <is>
          <t>0.2142857142857142</t>
        </is>
      </c>
      <c r="V256" s="29" t="inlineStr">
        <is>
          <t>MEDIUM_RISK</t>
        </is>
      </c>
      <c r="W256" s="29" t="inlineStr">
        <is>
          <t>중위험</t>
        </is>
      </c>
      <c r="X256" s="29" t="inlineStr">
        <is>
          <t>MEDIUM_RISK</t>
        </is>
      </c>
      <c r="Y256" s="29" t="inlineStr">
        <is>
          <t>0.793957358322354</t>
        </is>
      </c>
      <c r="Z256" s="29" t="inlineStr">
        <is>
          <t>HIGH</t>
        </is>
      </c>
      <c r="AA256" s="29" t="inlineStr">
        <is>
          <t>HIGH</t>
        </is>
      </c>
      <c r="AB256" s="29" t="inlineStr">
        <is>
          <t>0.17465361432297097</t>
        </is>
      </c>
      <c r="AC256" s="29" t="inlineStr">
        <is>
          <t>False</t>
        </is>
      </c>
      <c r="AD256" s="29" t="inlineStr">
        <is>
          <t>False</t>
        </is>
      </c>
      <c r="AE256" s="29" t="inlineStr">
        <is>
          <t>valuation_credit_ml_overlay_candidate.csv</t>
        </is>
      </c>
      <c r="AF256" s="29" t="inlineStr">
        <is>
          <t>208개 반도체 reference universe. Valuation Agent가 자체 intake 폴더로 복제해 Peer/ML/대시보드 비교에 사용.</t>
        </is>
      </c>
    </row>
    <row r="257" ht="24" customHeight="1">
      <c r="A257" s="24" t="inlineStr">
        <is>
          <t>179</t>
        </is>
      </c>
      <c r="B257" s="24" t="inlineStr">
        <is>
          <t>해당 없음</t>
        </is>
      </c>
      <c r="C257" s="24" t="inlineStr">
        <is>
          <t>윈팩</t>
        </is>
      </c>
      <c r="D257" s="24" t="inlineStr">
        <is>
          <t>097800</t>
        </is>
      </c>
      <c r="E257" s="24" t="inlineStr">
        <is>
          <t>KOSDAQ</t>
        </is>
      </c>
      <c r="F257" s="24" t="inlineStr">
        <is>
          <t>후공정/패키징/테스트</t>
        </is>
      </c>
      <c r="G257" s="24" t="inlineStr">
        <is>
          <t>후공정/패키징/테스트</t>
        </is>
      </c>
      <c r="H257" s="24" t="inlineStr">
        <is>
          <t>False</t>
        </is>
      </c>
      <c r="I257" s="24" t="inlineStr">
        <is>
          <t>True</t>
        </is>
      </c>
      <c r="J257" s="24" t="inlineStr">
        <is>
          <t>OK</t>
        </is>
      </c>
      <c r="K257" s="24" t="inlineStr">
        <is>
          <t>데이터 사용 가능</t>
        </is>
      </c>
      <c r="L257" s="24" t="inlineStr">
        <is>
          <t>LOW</t>
        </is>
      </c>
      <c r="M257" s="24" t="inlineStr">
        <is>
          <t>LOW</t>
        </is>
      </c>
      <c r="N257" s="24" t="inlineStr">
        <is>
          <t>0.4417777777777778</t>
        </is>
      </c>
      <c r="O257" s="24" t="inlineStr">
        <is>
          <t>FAIR</t>
        </is>
      </c>
      <c r="P257" s="24" t="inlineStr">
        <is>
          <t>FAIR</t>
        </is>
      </c>
      <c r="Q257" s="24" t="inlineStr">
        <is>
          <t>FAIR</t>
        </is>
      </c>
      <c r="R257" s="24" t="inlineStr">
        <is>
          <t>0.5735742758518154</t>
        </is>
      </c>
      <c r="S257" s="24" t="inlineStr">
        <is>
          <t>MEDIUM</t>
        </is>
      </c>
      <c r="T257" s="24" t="inlineStr">
        <is>
          <t>MEDIUM</t>
        </is>
      </c>
      <c r="U257" s="24" t="inlineStr">
        <is>
          <t>0.7142857142857143</t>
        </is>
      </c>
      <c r="V257" s="24" t="inlineStr">
        <is>
          <t>HIGH_RISK</t>
        </is>
      </c>
      <c r="W257" s="24" t="inlineStr">
        <is>
          <t>고위험</t>
        </is>
      </c>
      <c r="X257" s="24" t="inlineStr">
        <is>
          <t>HIGH_RISK</t>
        </is>
      </c>
      <c r="Y257" s="24" t="inlineStr">
        <is>
          <t>0.9273765785577542</t>
        </is>
      </c>
      <c r="Z257" s="24" t="inlineStr">
        <is>
          <t>HIGH</t>
        </is>
      </c>
      <c r="AA257" s="24" t="inlineStr">
        <is>
          <t>HIGH</t>
        </is>
      </c>
      <c r="AB257" s="24" t="inlineStr">
        <is>
          <t>0.09157899320413745</t>
        </is>
      </c>
      <c r="AC257" s="24" t="inlineStr">
        <is>
          <t>False</t>
        </is>
      </c>
      <c r="AD257" s="24" t="inlineStr">
        <is>
          <t>False</t>
        </is>
      </c>
      <c r="AE257" s="24" t="inlineStr">
        <is>
          <t>valuation_credit_ml_overlay_candidate.csv</t>
        </is>
      </c>
      <c r="AF257" s="24" t="inlineStr">
        <is>
          <t>208개 반도체 reference universe. Valuation Agent가 자체 intake 폴더로 복제해 Peer/ML/대시보드 비교에 사용.</t>
        </is>
      </c>
    </row>
    <row r="258" ht="24" customHeight="1">
      <c r="A258" s="29" t="inlineStr">
        <is>
          <t>187</t>
        </is>
      </c>
      <c r="B258" s="29" t="inlineStr">
        <is>
          <t>해당 없음</t>
        </is>
      </c>
      <c r="C258" s="29" t="inlineStr">
        <is>
          <t>팸텍</t>
        </is>
      </c>
      <c r="D258" s="29" t="inlineStr">
        <is>
          <t>271830</t>
        </is>
      </c>
      <c r="E258" s="29" t="inlineStr">
        <is>
          <t>KOSDAQ</t>
        </is>
      </c>
      <c r="F258" s="29" t="inlineStr">
        <is>
          <t>후공정/패키징/테스트</t>
        </is>
      </c>
      <c r="G258" s="29" t="inlineStr">
        <is>
          <t>후공정/패키징/테스트</t>
        </is>
      </c>
      <c r="H258" s="29" t="inlineStr">
        <is>
          <t>False</t>
        </is>
      </c>
      <c r="I258" s="29" t="inlineStr">
        <is>
          <t>True</t>
        </is>
      </c>
      <c r="J258" s="29" t="inlineStr">
        <is>
          <t>OK</t>
        </is>
      </c>
      <c r="K258" s="29" t="inlineStr">
        <is>
          <t>데이터 사용 가능</t>
        </is>
      </c>
      <c r="L258" s="29" t="inlineStr">
        <is>
          <t>LOW</t>
        </is>
      </c>
      <c r="M258" s="29" t="inlineStr">
        <is>
          <t>LOW</t>
        </is>
      </c>
      <c r="N258" s="29" t="inlineStr">
        <is>
          <t>0.4402962962962963</t>
        </is>
      </c>
      <c r="O258" s="29" t="inlineStr">
        <is>
          <t>FAIR</t>
        </is>
      </c>
      <c r="P258" s="29" t="inlineStr">
        <is>
          <t>FAIR</t>
        </is>
      </c>
      <c r="Q258" s="29" t="inlineStr">
        <is>
          <t>FAIR</t>
        </is>
      </c>
      <c r="R258" s="29" t="inlineStr">
        <is>
          <t>0.6809009837226325</t>
        </is>
      </c>
      <c r="S258" s="29" t="inlineStr">
        <is>
          <t>MEDIUM</t>
        </is>
      </c>
      <c r="T258" s="29" t="inlineStr">
        <is>
          <t>MEDIUM</t>
        </is>
      </c>
      <c r="U258" s="29" t="inlineStr">
        <is>
          <t>0.5714285714285714</t>
        </is>
      </c>
      <c r="V258" s="29" t="inlineStr">
        <is>
          <t>HIGH_RISK</t>
        </is>
      </c>
      <c r="W258" s="29" t="inlineStr">
        <is>
          <t>고위험</t>
        </is>
      </c>
      <c r="X258" s="29" t="inlineStr">
        <is>
          <t>HIGH_RISK</t>
        </is>
      </c>
      <c r="Y258" s="29" t="inlineStr">
        <is>
          <t>0.9054415631219938</t>
        </is>
      </c>
      <c r="Z258" s="29" t="inlineStr">
        <is>
          <t>HIGH</t>
        </is>
      </c>
      <c r="AA258" s="29" t="inlineStr">
        <is>
          <t>HIGH</t>
        </is>
      </c>
      <c r="AB258" s="29" t="inlineStr">
        <is>
          <t>0.08867309587377735</t>
        </is>
      </c>
      <c r="AC258" s="29" t="inlineStr">
        <is>
          <t>False</t>
        </is>
      </c>
      <c r="AD258" s="29" t="inlineStr">
        <is>
          <t>False</t>
        </is>
      </c>
      <c r="AE258" s="29" t="inlineStr">
        <is>
          <t>valuation_credit_ml_overlay_candidate.csv</t>
        </is>
      </c>
      <c r="AF258" s="29" t="inlineStr">
        <is>
          <t>208개 반도체 reference universe. Valuation Agent가 자체 intake 폴더로 복제해 Peer/ML/대시보드 비교에 사용.</t>
        </is>
      </c>
    </row>
    <row r="259" ht="24" customHeight="1">
      <c r="A259" s="24" t="inlineStr">
        <is>
          <t>152</t>
        </is>
      </c>
      <c r="B259" s="24" t="inlineStr">
        <is>
          <t>해당 없음</t>
        </is>
      </c>
      <c r="C259" s="24" t="inlineStr">
        <is>
          <t>LB세미콘</t>
        </is>
      </c>
      <c r="D259" s="24" t="inlineStr">
        <is>
          <t>061970</t>
        </is>
      </c>
      <c r="E259" s="24" t="inlineStr">
        <is>
          <t>KOSDAQ</t>
        </is>
      </c>
      <c r="F259" s="24" t="inlineStr">
        <is>
          <t>후공정/패키징/테스트</t>
        </is>
      </c>
      <c r="G259" s="24" t="inlineStr">
        <is>
          <t>후공정/패키징/테스트</t>
        </is>
      </c>
      <c r="H259" s="24" t="inlineStr">
        <is>
          <t>False</t>
        </is>
      </c>
      <c r="I259" s="24" t="inlineStr">
        <is>
          <t>True</t>
        </is>
      </c>
      <c r="J259" s="24" t="inlineStr">
        <is>
          <t>OK</t>
        </is>
      </c>
      <c r="K259" s="24" t="inlineStr">
        <is>
          <t>데이터 사용 가능</t>
        </is>
      </c>
      <c r="L259" s="24" t="inlineStr">
        <is>
          <t>LOW</t>
        </is>
      </c>
      <c r="M259" s="24" t="inlineStr">
        <is>
          <t>LOW</t>
        </is>
      </c>
      <c r="N259" s="24" t="inlineStr">
        <is>
          <t>0.4394074074074074</t>
        </is>
      </c>
      <c r="O259" s="24" t="inlineStr">
        <is>
          <t>FAIR</t>
        </is>
      </c>
      <c r="P259" s="24" t="inlineStr">
        <is>
          <t>FAIR</t>
        </is>
      </c>
      <c r="Q259" s="24" t="inlineStr">
        <is>
          <t>FAIR</t>
        </is>
      </c>
      <c r="R259" s="24" t="inlineStr">
        <is>
          <t>0.519835518569549</t>
        </is>
      </c>
      <c r="S259" s="24" t="inlineStr">
        <is>
          <t>MEDIUM</t>
        </is>
      </c>
      <c r="T259" s="24" t="inlineStr">
        <is>
          <t>MEDIUM</t>
        </is>
      </c>
      <c r="U259" s="24" t="inlineStr">
        <is>
          <t>0.5714285714285714</t>
        </is>
      </c>
      <c r="V259" s="24" t="inlineStr">
        <is>
          <t>HIGH_RISK</t>
        </is>
      </c>
      <c r="W259" s="24" t="inlineStr">
        <is>
          <t>고위험</t>
        </is>
      </c>
      <c r="X259" s="24" t="inlineStr">
        <is>
          <t>HIGH_RISK</t>
        </is>
      </c>
      <c r="Y259" s="24" t="inlineStr">
        <is>
          <t>0.8577554718342005</t>
        </is>
      </c>
      <c r="Z259" s="24" t="inlineStr">
        <is>
          <t>HIGH</t>
        </is>
      </c>
      <c r="AA259" s="24" t="inlineStr">
        <is>
          <t>HIGH</t>
        </is>
      </c>
      <c r="AB259" s="24" t="inlineStr">
        <is>
          <t>0.04865368060535977</t>
        </is>
      </c>
      <c r="AC259" s="24" t="inlineStr">
        <is>
          <t>False</t>
        </is>
      </c>
      <c r="AD259" s="24" t="inlineStr">
        <is>
          <t>False</t>
        </is>
      </c>
      <c r="AE259" s="24" t="inlineStr">
        <is>
          <t>valuation_credit_ml_overlay_candidate.csv</t>
        </is>
      </c>
      <c r="AF259" s="24" t="inlineStr">
        <is>
          <t>208개 반도체 reference universe. Valuation Agent가 자체 intake 폴더로 복제해 Peer/ML/대시보드 비교에 사용.</t>
        </is>
      </c>
    </row>
    <row r="260" ht="24" customHeight="1">
      <c r="A260" s="29" t="inlineStr">
        <is>
          <t>183</t>
        </is>
      </c>
      <c r="B260" s="29" t="inlineStr">
        <is>
          <t>해당 없음</t>
        </is>
      </c>
      <c r="C260" s="29" t="inlineStr">
        <is>
          <t>제이티</t>
        </is>
      </c>
      <c r="D260" s="29" t="inlineStr">
        <is>
          <t>089790</t>
        </is>
      </c>
      <c r="E260" s="29" t="inlineStr">
        <is>
          <t>KOSDAQ</t>
        </is>
      </c>
      <c r="F260" s="29" t="inlineStr">
        <is>
          <t>후공정/패키징/테스트</t>
        </is>
      </c>
      <c r="G260" s="29" t="inlineStr">
        <is>
          <t>후공정/패키징/테스트</t>
        </is>
      </c>
      <c r="H260" s="29" t="inlineStr">
        <is>
          <t>False</t>
        </is>
      </c>
      <c r="I260" s="29" t="inlineStr">
        <is>
          <t>True</t>
        </is>
      </c>
      <c r="J260" s="29" t="inlineStr">
        <is>
          <t>OK</t>
        </is>
      </c>
      <c r="K260" s="29" t="inlineStr">
        <is>
          <t>데이터 사용 가능</t>
        </is>
      </c>
      <c r="L260" s="29" t="inlineStr">
        <is>
          <t>LOW</t>
        </is>
      </c>
      <c r="M260" s="29" t="inlineStr">
        <is>
          <t>LOW</t>
        </is>
      </c>
      <c r="N260" s="29" t="inlineStr">
        <is>
          <t>0.4293333333333333</t>
        </is>
      </c>
      <c r="O260" s="29" t="inlineStr">
        <is>
          <t>FAIR</t>
        </is>
      </c>
      <c r="P260" s="29" t="inlineStr">
        <is>
          <t>FAIR</t>
        </is>
      </c>
      <c r="Q260" s="29" t="inlineStr">
        <is>
          <t>FAIR</t>
        </is>
      </c>
      <c r="R260" s="29" t="inlineStr">
        <is>
          <t>0.7953438622461361</t>
        </is>
      </c>
      <c r="S260" s="29" t="inlineStr">
        <is>
          <t>HIGH</t>
        </is>
      </c>
      <c r="T260" s="29" t="inlineStr">
        <is>
          <t>HIGH</t>
        </is>
      </c>
      <c r="U260" s="29" t="inlineStr">
        <is>
          <t>0.2857142857142857</t>
        </is>
      </c>
      <c r="V260" s="29" t="inlineStr">
        <is>
          <t>MEDIUM_RISK</t>
        </is>
      </c>
      <c r="W260" s="29" t="inlineStr">
        <is>
          <t>중위험</t>
        </is>
      </c>
      <c r="X260" s="29" t="inlineStr">
        <is>
          <t>MEDIUM_RISK</t>
        </is>
      </c>
      <c r="Y260" s="29" t="inlineStr">
        <is>
          <t>0.634985809262478</t>
        </is>
      </c>
      <c r="Z260" s="29" t="inlineStr">
        <is>
          <t>MEDIUM</t>
        </is>
      </c>
      <c r="AA260" s="29" t="inlineStr">
        <is>
          <t>MEDIUM</t>
        </is>
      </c>
      <c r="AB260" s="29" t="inlineStr">
        <is>
          <t>0.0037958156542815414</t>
        </is>
      </c>
      <c r="AC260" s="29" t="inlineStr">
        <is>
          <t>False</t>
        </is>
      </c>
      <c r="AD260" s="29" t="inlineStr">
        <is>
          <t>False</t>
        </is>
      </c>
      <c r="AE260" s="29" t="inlineStr">
        <is>
          <t>valuation_credit_ml_overlay_candidate.csv</t>
        </is>
      </c>
      <c r="AF260" s="29" t="inlineStr">
        <is>
          <t>208개 반도체 reference universe. Valuation Agent가 자체 intake 폴더로 복제해 Peer/ML/대시보드 비교에 사용.</t>
        </is>
      </c>
    </row>
    <row r="261" ht="24" customHeight="1">
      <c r="A261" s="24" t="inlineStr">
        <is>
          <t>182</t>
        </is>
      </c>
      <c r="B261" s="24" t="inlineStr">
        <is>
          <t>해당 없음</t>
        </is>
      </c>
      <c r="C261" s="24" t="inlineStr">
        <is>
          <t>제너셈</t>
        </is>
      </c>
      <c r="D261" s="24" t="inlineStr">
        <is>
          <t>217190</t>
        </is>
      </c>
      <c r="E261" s="24" t="inlineStr">
        <is>
          <t>KOSDAQ</t>
        </is>
      </c>
      <c r="F261" s="24" t="inlineStr">
        <is>
          <t>후공정/패키징/테스트</t>
        </is>
      </c>
      <c r="G261" s="24" t="inlineStr">
        <is>
          <t>후공정/패키징/테스트</t>
        </is>
      </c>
      <c r="H261" s="24" t="inlineStr">
        <is>
          <t>False</t>
        </is>
      </c>
      <c r="I261" s="24" t="inlineStr">
        <is>
          <t>True</t>
        </is>
      </c>
      <c r="J261" s="24" t="inlineStr">
        <is>
          <t>HIGH_PRIORITY_MANUAL_REVIEW</t>
        </is>
      </c>
      <c r="K261" s="24" t="inlineStr">
        <is>
          <t>데이터 사용 가능</t>
        </is>
      </c>
      <c r="L261" s="24" t="inlineStr">
        <is>
          <t>HIGH</t>
        </is>
      </c>
      <c r="M261" s="24" t="inlineStr">
        <is>
          <t>HIGH</t>
        </is>
      </c>
      <c r="N261" s="24" t="inlineStr">
        <is>
          <t>0.4278518518518518</t>
        </is>
      </c>
      <c r="O261" s="24" t="inlineStr">
        <is>
          <t>FAIR</t>
        </is>
      </c>
      <c r="P261" s="24" t="inlineStr">
        <is>
          <t>FAIR</t>
        </is>
      </c>
      <c r="Q261" s="24" t="inlineStr">
        <is>
          <t>FAIR</t>
        </is>
      </c>
      <c r="R261" s="24" t="inlineStr">
        <is>
          <t>0.7410125545144256</t>
        </is>
      </c>
      <c r="S261" s="24" t="inlineStr">
        <is>
          <t>HIGH</t>
        </is>
      </c>
      <c r="T261" s="24" t="inlineStr">
        <is>
          <t>HIGH</t>
        </is>
      </c>
      <c r="U261" s="24" t="inlineStr">
        <is>
          <t>0.2857142857142857</t>
        </is>
      </c>
      <c r="V261" s="24" t="inlineStr">
        <is>
          <t>MEDIUM_RISK</t>
        </is>
      </c>
      <c r="W261" s="24" t="inlineStr">
        <is>
          <t>중위험</t>
        </is>
      </c>
      <c r="X261" s="24" t="inlineStr">
        <is>
          <t>MEDIUM_RISK</t>
        </is>
      </c>
      <c r="Y261" s="24" t="inlineStr">
        <is>
          <t>0.7596080290203916</t>
        </is>
      </c>
      <c r="Z261" s="24" t="inlineStr">
        <is>
          <t>HIGH</t>
        </is>
      </c>
      <c r="AA261" s="24" t="inlineStr">
        <is>
          <t>HIGH</t>
        </is>
      </c>
      <c r="AB261" s="24" t="inlineStr">
        <is>
          <t>0.005601152238630833</t>
        </is>
      </c>
      <c r="AC261" s="24" t="inlineStr">
        <is>
          <t>False</t>
        </is>
      </c>
      <c r="AD261" s="24" t="inlineStr">
        <is>
          <t>True</t>
        </is>
      </c>
      <c r="AE261" s="24" t="inlineStr">
        <is>
          <t>valuation_credit_ml_overlay_candidate.csv</t>
        </is>
      </c>
      <c r="AF261" s="24" t="inlineStr">
        <is>
          <t>208개 반도체 reference universe. Valuation Agent가 자체 intake 폴더로 복제해 Peer/ML/대시보드 비교에 사용.</t>
        </is>
      </c>
    </row>
    <row r="262" ht="24" customHeight="1">
      <c r="A262" s="29" t="inlineStr">
        <is>
          <t>158</t>
        </is>
      </c>
      <c r="B262" s="29" t="inlineStr">
        <is>
          <t>해당 없음</t>
        </is>
      </c>
      <c r="C262" s="29" t="inlineStr">
        <is>
          <t>네패스아크</t>
        </is>
      </c>
      <c r="D262" s="29" t="inlineStr">
        <is>
          <t>330860</t>
        </is>
      </c>
      <c r="E262" s="29" t="inlineStr">
        <is>
          <t>KOSDAQ</t>
        </is>
      </c>
      <c r="F262" s="29" t="inlineStr">
        <is>
          <t>후공정/패키징/테스트</t>
        </is>
      </c>
      <c r="G262" s="29" t="inlineStr">
        <is>
          <t>후공정/패키징/테스트</t>
        </is>
      </c>
      <c r="H262" s="29" t="inlineStr">
        <is>
          <t>False</t>
        </is>
      </c>
      <c r="I262" s="29" t="inlineStr">
        <is>
          <t>True</t>
        </is>
      </c>
      <c r="J262" s="29" t="inlineStr">
        <is>
          <t>OK</t>
        </is>
      </c>
      <c r="K262" s="29" t="inlineStr">
        <is>
          <t>데이터 사용 가능</t>
        </is>
      </c>
      <c r="L262" s="29" t="inlineStr">
        <is>
          <t>LOW</t>
        </is>
      </c>
      <c r="M262" s="29" t="inlineStr">
        <is>
          <t>LOW</t>
        </is>
      </c>
      <c r="N262" s="29" t="inlineStr">
        <is>
          <t>0.4207407407407407</t>
        </is>
      </c>
      <c r="O262" s="29" t="inlineStr">
        <is>
          <t>EXPENSIVE</t>
        </is>
      </c>
      <c r="P262" s="29" t="inlineStr">
        <is>
          <t>EXPENSIVE</t>
        </is>
      </c>
      <c r="Q262" s="29" t="inlineStr">
        <is>
          <t>EXPENSIVE</t>
        </is>
      </c>
      <c r="R262" s="29" t="inlineStr">
        <is>
          <t>0.5804758808286147</t>
        </is>
      </c>
      <c r="S262" s="29" t="inlineStr">
        <is>
          <t>MEDIUM</t>
        </is>
      </c>
      <c r="T262" s="29" t="inlineStr">
        <is>
          <t>MEDIUM</t>
        </is>
      </c>
      <c r="U262" s="29" t="inlineStr">
        <is>
          <t>0.0</t>
        </is>
      </c>
      <c r="V262" s="29" t="inlineStr">
        <is>
          <t>LOW_RISK</t>
        </is>
      </c>
      <c r="W262" s="29" t="inlineStr">
        <is>
          <t>저위험</t>
        </is>
      </c>
      <c r="X262" s="29" t="inlineStr">
        <is>
          <t>LOW_RISK</t>
        </is>
      </c>
      <c r="Y262" s="29" t="inlineStr">
        <is>
          <t>0.7522882908851339</t>
        </is>
      </c>
      <c r="Z262" s="29" t="inlineStr">
        <is>
          <t>HIGH</t>
        </is>
      </c>
      <c r="AA262" s="29" t="inlineStr">
        <is>
          <t>HIGH</t>
        </is>
      </c>
      <c r="AB262" s="29" t="inlineStr">
        <is>
          <t>0.07850484580290398</t>
        </is>
      </c>
      <c r="AC262" s="29" t="inlineStr">
        <is>
          <t>False</t>
        </is>
      </c>
      <c r="AD262" s="29" t="inlineStr">
        <is>
          <t>False</t>
        </is>
      </c>
      <c r="AE262" s="29" t="inlineStr">
        <is>
          <t>valuation_credit_ml_overlay_candidate.csv</t>
        </is>
      </c>
      <c r="AF262" s="29" t="inlineStr">
        <is>
          <t>208개 반도체 reference universe. Valuation Agent가 자체 intake 폴더로 복제해 Peer/ML/대시보드 비교에 사용.</t>
        </is>
      </c>
    </row>
    <row r="263" ht="24" customHeight="1">
      <c r="A263" s="24" t="inlineStr">
        <is>
          <t>164</t>
        </is>
      </c>
      <c r="B263" s="24" t="inlineStr">
        <is>
          <t>해당 없음</t>
        </is>
      </c>
      <c r="C263" s="24" t="inlineStr">
        <is>
          <t>마이크로투나노</t>
        </is>
      </c>
      <c r="D263" s="24" t="inlineStr">
        <is>
          <t>424980</t>
        </is>
      </c>
      <c r="E263" s="24" t="inlineStr">
        <is>
          <t>KOSDAQ</t>
        </is>
      </c>
      <c r="F263" s="24" t="inlineStr">
        <is>
          <t>후공정/패키징/테스트</t>
        </is>
      </c>
      <c r="G263" s="24" t="inlineStr">
        <is>
          <t>후공정/패키징/테스트</t>
        </is>
      </c>
      <c r="H263" s="24" t="inlineStr">
        <is>
          <t>False</t>
        </is>
      </c>
      <c r="I263" s="24" t="inlineStr">
        <is>
          <t>True</t>
        </is>
      </c>
      <c r="J263" s="24" t="inlineStr">
        <is>
          <t>OK_LIMITED_HISTORY_OR_GROWTH_NA</t>
        </is>
      </c>
      <c r="K263" s="24" t="inlineStr">
        <is>
          <t>데이터 사용 가능</t>
        </is>
      </c>
      <c r="L263" s="24" t="inlineStr">
        <is>
          <t>LOW</t>
        </is>
      </c>
      <c r="M263" s="24" t="inlineStr">
        <is>
          <t>LOW</t>
        </is>
      </c>
      <c r="N263" s="24" t="inlineStr">
        <is>
          <t>0.4188148148148148</t>
        </is>
      </c>
      <c r="O263" s="24" t="inlineStr">
        <is>
          <t>EXPENSIVE</t>
        </is>
      </c>
      <c r="P263" s="24" t="inlineStr">
        <is>
          <t>EXPENSIVE</t>
        </is>
      </c>
      <c r="Q263" s="24" t="inlineStr">
        <is>
          <t>EXPENSIVE</t>
        </is>
      </c>
      <c r="R263" s="24" t="inlineStr">
        <is>
          <t>0.8919952418828875</t>
        </is>
      </c>
      <c r="S263" s="24" t="inlineStr">
        <is>
          <t>HIGH</t>
        </is>
      </c>
      <c r="T263" s="24" t="inlineStr">
        <is>
          <t>HIGH</t>
        </is>
      </c>
      <c r="U263" s="24" t="inlineStr">
        <is>
          <t>0.5714285714285714</t>
        </is>
      </c>
      <c r="V263" s="24" t="inlineStr">
        <is>
          <t>HIGH_RISK</t>
        </is>
      </c>
      <c r="W263" s="24" t="inlineStr">
        <is>
          <t>고위험</t>
        </is>
      </c>
      <c r="X263" s="24" t="inlineStr">
        <is>
          <t>HIGH_RISK</t>
        </is>
      </c>
      <c r="Y263" s="24" t="inlineStr">
        <is>
          <t>0.8679140027753699</t>
        </is>
      </c>
      <c r="Z263" s="24" t="inlineStr">
        <is>
          <t>HIGH</t>
        </is>
      </c>
      <c r="AA263" s="24" t="inlineStr">
        <is>
          <t>HIGH</t>
        </is>
      </c>
      <c r="AB263" s="24" t="inlineStr">
        <is>
          <t>0.06592211461176288</t>
        </is>
      </c>
      <c r="AC263" s="24" t="inlineStr">
        <is>
          <t>False</t>
        </is>
      </c>
      <c r="AD263" s="24" t="inlineStr">
        <is>
          <t>True</t>
        </is>
      </c>
      <c r="AE263" s="24" t="inlineStr">
        <is>
          <t>valuation_credit_ml_overlay_candidate.csv</t>
        </is>
      </c>
      <c r="AF263" s="24" t="inlineStr">
        <is>
          <t>208개 반도체 reference universe. Valuation Agent가 자체 intake 폴더로 복제해 Peer/ML/대시보드 비교에 사용.</t>
        </is>
      </c>
    </row>
    <row r="264" ht="24" customHeight="1">
      <c r="A264" s="29" t="inlineStr">
        <is>
          <t>169</t>
        </is>
      </c>
      <c r="B264" s="29" t="inlineStr">
        <is>
          <t>해당 없음</t>
        </is>
      </c>
      <c r="C264" s="29" t="inlineStr">
        <is>
          <t>시그네틱스</t>
        </is>
      </c>
      <c r="D264" s="29" t="inlineStr">
        <is>
          <t>033170</t>
        </is>
      </c>
      <c r="E264" s="29" t="inlineStr">
        <is>
          <t>KOSDAQ</t>
        </is>
      </c>
      <c r="F264" s="29" t="inlineStr">
        <is>
          <t>후공정/패키징/테스트</t>
        </is>
      </c>
      <c r="G264" s="29" t="inlineStr">
        <is>
          <t>후공정/패키징/테스트</t>
        </is>
      </c>
      <c r="H264" s="29" t="inlineStr">
        <is>
          <t>False</t>
        </is>
      </c>
      <c r="I264" s="29" t="inlineStr">
        <is>
          <t>True</t>
        </is>
      </c>
      <c r="J264" s="29" t="inlineStr">
        <is>
          <t>OK</t>
        </is>
      </c>
      <c r="K264" s="29" t="inlineStr">
        <is>
          <t>데이터 사용 가능</t>
        </is>
      </c>
      <c r="L264" s="29" t="inlineStr">
        <is>
          <t>LOW</t>
        </is>
      </c>
      <c r="M264" s="29" t="inlineStr">
        <is>
          <t>LOW</t>
        </is>
      </c>
      <c r="N264" s="29" t="inlineStr">
        <is>
          <t>0.4068148148148148</t>
        </is>
      </c>
      <c r="O264" s="29" t="inlineStr">
        <is>
          <t>EXPENSIVE</t>
        </is>
      </c>
      <c r="P264" s="29" t="inlineStr">
        <is>
          <t>EXPENSIVE</t>
        </is>
      </c>
      <c r="Q264" s="29" t="inlineStr">
        <is>
          <t>EXPENSIVE</t>
        </is>
      </c>
      <c r="R264" s="29" t="inlineStr">
        <is>
          <t>0.6660306558324866</t>
        </is>
      </c>
      <c r="S264" s="29" t="inlineStr">
        <is>
          <t>MEDIUM</t>
        </is>
      </c>
      <c r="T264" s="29" t="inlineStr">
        <is>
          <t>MEDIUM</t>
        </is>
      </c>
      <c r="U264" s="29" t="inlineStr">
        <is>
          <t>0.6428571428571429</t>
        </is>
      </c>
      <c r="V264" s="29" t="inlineStr">
        <is>
          <t>HIGH_RISK</t>
        </is>
      </c>
      <c r="W264" s="29" t="inlineStr">
        <is>
          <t>고위험</t>
        </is>
      </c>
      <c r="X264" s="29" t="inlineStr">
        <is>
          <t>HIGH_RISK</t>
        </is>
      </c>
      <c r="Y264" s="29" t="inlineStr">
        <is>
          <t>0.9103717836414464</t>
        </is>
      </c>
      <c r="Z264" s="29" t="inlineStr">
        <is>
          <t>HIGH</t>
        </is>
      </c>
      <c r="AA264" s="29" t="inlineStr">
        <is>
          <t>HIGH</t>
        </is>
      </c>
      <c r="AB264" s="29" t="inlineStr">
        <is>
          <t>0.09415815096164672</t>
        </is>
      </c>
      <c r="AC264" s="29" t="inlineStr">
        <is>
          <t>False</t>
        </is>
      </c>
      <c r="AD264" s="29" t="inlineStr">
        <is>
          <t>False</t>
        </is>
      </c>
      <c r="AE264" s="29" t="inlineStr">
        <is>
          <t>valuation_credit_ml_overlay_candidate.csv</t>
        </is>
      </c>
      <c r="AF264" s="29" t="inlineStr">
        <is>
          <t>208개 반도체 reference universe. Valuation Agent가 자체 intake 폴더로 복제해 Peer/ML/대시보드 비교에 사용.</t>
        </is>
      </c>
    </row>
    <row r="265" ht="24" customHeight="1">
      <c r="A265" s="24" t="inlineStr">
        <is>
          <t>154</t>
        </is>
      </c>
      <c r="B265" s="24" t="inlineStr">
        <is>
          <t>해당 없음</t>
        </is>
      </c>
      <c r="C265" s="24" t="inlineStr">
        <is>
          <t>고영</t>
        </is>
      </c>
      <c r="D265" s="24" t="inlineStr">
        <is>
          <t>098460</t>
        </is>
      </c>
      <c r="E265" s="24" t="inlineStr">
        <is>
          <t>KOSDAQ</t>
        </is>
      </c>
      <c r="F265" s="24" t="inlineStr">
        <is>
          <t>후공정/패키징/테스트</t>
        </is>
      </c>
      <c r="G265" s="24" t="inlineStr">
        <is>
          <t>후공정/패키징/테스트</t>
        </is>
      </c>
      <c r="H265" s="24" t="inlineStr">
        <is>
          <t>False</t>
        </is>
      </c>
      <c r="I265" s="24" t="inlineStr">
        <is>
          <t>True</t>
        </is>
      </c>
      <c r="J265" s="24" t="inlineStr">
        <is>
          <t>OK</t>
        </is>
      </c>
      <c r="K265" s="24" t="inlineStr">
        <is>
          <t>데이터 사용 가능</t>
        </is>
      </c>
      <c r="L265" s="24" t="inlineStr">
        <is>
          <t>LOW</t>
        </is>
      </c>
      <c r="M265" s="24" t="inlineStr">
        <is>
          <t>LOW</t>
        </is>
      </c>
      <c r="N265" s="24" t="inlineStr">
        <is>
          <t>0.3933333333333333</t>
        </is>
      </c>
      <c r="O265" s="24" t="inlineStr">
        <is>
          <t>EXPENSIVE</t>
        </is>
      </c>
      <c r="P265" s="24" t="inlineStr">
        <is>
          <t>EXPENSIVE</t>
        </is>
      </c>
      <c r="Q265" s="24" t="inlineStr">
        <is>
          <t>EXPENSIVE</t>
        </is>
      </c>
      <c r="R265" s="24" t="inlineStr">
        <is>
          <t>0.4306692416005982</t>
        </is>
      </c>
      <c r="S265" s="24" t="inlineStr">
        <is>
          <t>LOW</t>
        </is>
      </c>
      <c r="T265" s="24" t="inlineStr">
        <is>
          <t>LOW</t>
        </is>
      </c>
      <c r="U265" s="24" t="inlineStr">
        <is>
          <t>0.0714285714285714</t>
        </is>
      </c>
      <c r="V265" s="24" t="inlineStr">
        <is>
          <t>LOW_RISK</t>
        </is>
      </c>
      <c r="W265" s="24" t="inlineStr">
        <is>
          <t>저위험</t>
        </is>
      </c>
      <c r="X265" s="24" t="inlineStr">
        <is>
          <t>LOW_RISK</t>
        </is>
      </c>
      <c r="Y265" s="24" t="inlineStr">
        <is>
          <t>0.9147267479763326</t>
        </is>
      </c>
      <c r="Z265" s="24" t="inlineStr">
        <is>
          <t>HIGH</t>
        </is>
      </c>
      <c r="AA265" s="24" t="inlineStr">
        <is>
          <t>HIGH</t>
        </is>
      </c>
      <c r="AB265" s="24" t="inlineStr">
        <is>
          <t>0.05497222824798623</t>
        </is>
      </c>
      <c r="AC265" s="24" t="inlineStr">
        <is>
          <t>False</t>
        </is>
      </c>
      <c r="AD265" s="24" t="inlineStr">
        <is>
          <t>True</t>
        </is>
      </c>
      <c r="AE265" s="24" t="inlineStr">
        <is>
          <t>valuation_credit_ml_overlay_candidate.csv</t>
        </is>
      </c>
      <c r="AF265" s="24" t="inlineStr">
        <is>
          <t>208개 반도체 reference universe. Valuation Agent가 자체 intake 폴더로 복제해 Peer/ML/대시보드 비교에 사용.</t>
        </is>
      </c>
    </row>
    <row r="266" ht="24" customHeight="1">
      <c r="A266" s="29" t="inlineStr">
        <is>
          <t>178</t>
        </is>
      </c>
      <c r="B266" s="29" t="inlineStr">
        <is>
          <t>해당 없음</t>
        </is>
      </c>
      <c r="C266" s="29" t="inlineStr">
        <is>
          <t>웨이비스</t>
        </is>
      </c>
      <c r="D266" s="29" t="inlineStr">
        <is>
          <t>289930</t>
        </is>
      </c>
      <c r="E266" s="29" t="inlineStr">
        <is>
          <t>KOSDAQ</t>
        </is>
      </c>
      <c r="F266" s="29" t="inlineStr">
        <is>
          <t>후공정/패키징/테스트</t>
        </is>
      </c>
      <c r="G266" s="29" t="inlineStr">
        <is>
          <t>후공정/패키징/테스트</t>
        </is>
      </c>
      <c r="H266" s="29" t="inlineStr">
        <is>
          <t>False</t>
        </is>
      </c>
      <c r="I266" s="29" t="inlineStr">
        <is>
          <t>True</t>
        </is>
      </c>
      <c r="J266" s="29" t="inlineStr">
        <is>
          <t>OK_LIMITED_HISTORY_OR_GROWTH_NA</t>
        </is>
      </c>
      <c r="K266" s="29" t="inlineStr">
        <is>
          <t>데이터 사용 가능</t>
        </is>
      </c>
      <c r="L266" s="29" t="inlineStr">
        <is>
          <t>LOW</t>
        </is>
      </c>
      <c r="M266" s="29" t="inlineStr">
        <is>
          <t>LOW</t>
        </is>
      </c>
      <c r="N266" s="29" t="inlineStr">
        <is>
          <t>0.3765925925925926</t>
        </is>
      </c>
      <c r="O266" s="29" t="inlineStr">
        <is>
          <t>EXPENSIVE</t>
        </is>
      </c>
      <c r="P266" s="29" t="inlineStr">
        <is>
          <t>EXPENSIVE</t>
        </is>
      </c>
      <c r="Q266" s="29" t="inlineStr">
        <is>
          <t>EXPENSIVE</t>
        </is>
      </c>
      <c r="R266" s="29" t="inlineStr">
        <is>
          <t>0.5209890944205295</t>
        </is>
      </c>
      <c r="S266" s="29" t="inlineStr">
        <is>
          <t>MEDIUM</t>
        </is>
      </c>
      <c r="T266" s="29" t="inlineStr">
        <is>
          <t>MEDIUM</t>
        </is>
      </c>
      <c r="U266" s="29" t="inlineStr">
        <is>
          <t>0.1428571428571428</t>
        </is>
      </c>
      <c r="V266" s="29" t="inlineStr">
        <is>
          <t>LOW_RISK</t>
        </is>
      </c>
      <c r="W266" s="29" t="inlineStr">
        <is>
          <t>저위험</t>
        </is>
      </c>
      <c r="X266" s="29" t="inlineStr">
        <is>
          <t>LOW_RISK</t>
        </is>
      </c>
      <c r="Y266" s="29" t="inlineStr">
        <is>
          <t>0.5760026387111382</t>
        </is>
      </c>
      <c r="Z266" s="29" t="inlineStr">
        <is>
          <t>MEDIUM</t>
        </is>
      </c>
      <c r="AA266" s="29" t="inlineStr">
        <is>
          <t>MEDIUM</t>
        </is>
      </c>
      <c r="AB266" s="29" t="inlineStr">
        <is>
          <t>0.04339911179550382</t>
        </is>
      </c>
      <c r="AC266" s="29" t="inlineStr">
        <is>
          <t>False</t>
        </is>
      </c>
      <c r="AD266" s="29" t="inlineStr">
        <is>
          <t>True</t>
        </is>
      </c>
      <c r="AE266" s="29" t="inlineStr">
        <is>
          <t>valuation_credit_ml_overlay_candidate.csv</t>
        </is>
      </c>
      <c r="AF266" s="29" t="inlineStr">
        <is>
          <t>208개 반도체 reference universe. Valuation Agent가 자체 intake 폴더로 복제해 Peer/ML/대시보드 비교에 사용.</t>
        </is>
      </c>
    </row>
    <row r="267" ht="24" customHeight="1">
      <c r="A267" s="24" t="inlineStr">
        <is>
          <t>153</t>
        </is>
      </c>
      <c r="B267" s="24" t="inlineStr">
        <is>
          <t>해당 없음</t>
        </is>
      </c>
      <c r="C267" s="24" t="inlineStr">
        <is>
          <t>SFA반도체</t>
        </is>
      </c>
      <c r="D267" s="24" t="inlineStr">
        <is>
          <t>036540</t>
        </is>
      </c>
      <c r="E267" s="24" t="inlineStr">
        <is>
          <t>KOSDAQ</t>
        </is>
      </c>
      <c r="F267" s="24" t="inlineStr">
        <is>
          <t>후공정/패키징/테스트</t>
        </is>
      </c>
      <c r="G267" s="24" t="inlineStr">
        <is>
          <t>후공정/패키징/테스트</t>
        </is>
      </c>
      <c r="H267" s="24" t="inlineStr">
        <is>
          <t>False</t>
        </is>
      </c>
      <c r="I267" s="24" t="inlineStr">
        <is>
          <t>True</t>
        </is>
      </c>
      <c r="J267" s="24" t="inlineStr">
        <is>
          <t>OK</t>
        </is>
      </c>
      <c r="K267" s="24" t="inlineStr">
        <is>
          <t>데이터 사용 가능</t>
        </is>
      </c>
      <c r="L267" s="24" t="inlineStr">
        <is>
          <t>LOW</t>
        </is>
      </c>
      <c r="M267" s="24" t="inlineStr">
        <is>
          <t>LOW</t>
        </is>
      </c>
      <c r="N267" s="24" t="inlineStr">
        <is>
          <t>0.3725925925925926</t>
        </is>
      </c>
      <c r="O267" s="24" t="inlineStr">
        <is>
          <t>EXPENSIVE</t>
        </is>
      </c>
      <c r="P267" s="24" t="inlineStr">
        <is>
          <t>EXPENSIVE</t>
        </is>
      </c>
      <c r="Q267" s="24" t="inlineStr">
        <is>
          <t>EXPENSIVE</t>
        </is>
      </c>
      <c r="R267" s="24" t="inlineStr">
        <is>
          <t>0.7912156659089058</t>
        </is>
      </c>
      <c r="S267" s="24" t="inlineStr">
        <is>
          <t>HIGH</t>
        </is>
      </c>
      <c r="T267" s="24" t="inlineStr">
        <is>
          <t>HIGH</t>
        </is>
      </c>
      <c r="U267" s="24" t="inlineStr">
        <is>
          <t>0.2857142857142857</t>
        </is>
      </c>
      <c r="V267" s="24" t="inlineStr">
        <is>
          <t>MEDIUM_RISK</t>
        </is>
      </c>
      <c r="W267" s="24" t="inlineStr">
        <is>
          <t>중위험</t>
        </is>
      </c>
      <c r="X267" s="24" t="inlineStr">
        <is>
          <t>MEDIUM_RISK</t>
        </is>
      </c>
      <c r="Y267" s="24" t="inlineStr">
        <is>
          <t>0.6035260416354965</t>
        </is>
      </c>
      <c r="Z267" s="24" t="inlineStr">
        <is>
          <t>MEDIUM</t>
        </is>
      </c>
      <c r="AA267" s="24" t="inlineStr">
        <is>
          <t>MEDIUM</t>
        </is>
      </c>
      <c r="AB267" s="24" t="inlineStr">
        <is>
          <t>0.060421941503641885</t>
        </is>
      </c>
      <c r="AC267" s="24" t="inlineStr">
        <is>
          <t>False</t>
        </is>
      </c>
      <c r="AD267" s="24" t="inlineStr">
        <is>
          <t>False</t>
        </is>
      </c>
      <c r="AE267" s="24" t="inlineStr">
        <is>
          <t>valuation_credit_ml_overlay_candidate.csv</t>
        </is>
      </c>
      <c r="AF267" s="24" t="inlineStr">
        <is>
          <t>208개 반도체 reference universe. Valuation Agent가 자체 intake 폴더로 복제해 Peer/ML/대시보드 비교에 사용.</t>
        </is>
      </c>
    </row>
    <row r="268" ht="24" customHeight="1">
      <c r="A268" s="29" t="inlineStr">
        <is>
          <t>181</t>
        </is>
      </c>
      <c r="B268" s="29" t="inlineStr">
        <is>
          <t>해당 없음</t>
        </is>
      </c>
      <c r="C268" s="29" t="inlineStr">
        <is>
          <t>인텍플러스</t>
        </is>
      </c>
      <c r="D268" s="29" t="inlineStr">
        <is>
          <t>064290</t>
        </is>
      </c>
      <c r="E268" s="29" t="inlineStr">
        <is>
          <t>KOSDAQ</t>
        </is>
      </c>
      <c r="F268" s="29" t="inlineStr">
        <is>
          <t>후공정/패키징/테스트</t>
        </is>
      </c>
      <c r="G268" s="29" t="inlineStr">
        <is>
          <t>후공정/패키징/테스트</t>
        </is>
      </c>
      <c r="H268" s="29" t="inlineStr">
        <is>
          <t>False</t>
        </is>
      </c>
      <c r="I268" s="29" t="inlineStr">
        <is>
          <t>True</t>
        </is>
      </c>
      <c r="J268" s="29" t="inlineStr">
        <is>
          <t>OK</t>
        </is>
      </c>
      <c r="K268" s="29" t="inlineStr">
        <is>
          <t>데이터 사용 가능</t>
        </is>
      </c>
      <c r="L268" s="29" t="inlineStr">
        <is>
          <t>LOW</t>
        </is>
      </c>
      <c r="M268" s="29" t="inlineStr">
        <is>
          <t>LOW</t>
        </is>
      </c>
      <c r="N268" s="29" t="inlineStr">
        <is>
          <t>0.3431111111111111</t>
        </is>
      </c>
      <c r="O268" s="29" t="inlineStr">
        <is>
          <t>EXPENSIVE</t>
        </is>
      </c>
      <c r="P268" s="29" t="inlineStr">
        <is>
          <t>EXPENSIVE</t>
        </is>
      </c>
      <c r="Q268" s="29" t="inlineStr">
        <is>
          <t>EXPENSIVE</t>
        </is>
      </c>
      <c r="R268" s="29" t="inlineStr">
        <is>
          <t>0.7612288958400996</t>
        </is>
      </c>
      <c r="S268" s="29" t="inlineStr">
        <is>
          <t>HIGH</t>
        </is>
      </c>
      <c r="T268" s="29" t="inlineStr">
        <is>
          <t>HIGH</t>
        </is>
      </c>
      <c r="U268" s="29" t="inlineStr">
        <is>
          <t>0.4285714285714285</t>
        </is>
      </c>
      <c r="V268" s="29" t="inlineStr">
        <is>
          <t>HIGH_RISK</t>
        </is>
      </c>
      <c r="W268" s="29" t="inlineStr">
        <is>
          <t>고위험</t>
        </is>
      </c>
      <c r="X268" s="29" t="inlineStr">
        <is>
          <t>MEDIUM_RISK</t>
        </is>
      </c>
      <c r="Y268" s="29" t="inlineStr">
        <is>
          <t>0.5782298550270377</t>
        </is>
      </c>
      <c r="Z268" s="29" t="inlineStr">
        <is>
          <t>MEDIUM</t>
        </is>
      </c>
      <c r="AA268" s="29" t="inlineStr">
        <is>
          <t>MEDIUM</t>
        </is>
      </c>
      <c r="AB268" s="29" t="inlineStr">
        <is>
          <t>0.054796756066406084</t>
        </is>
      </c>
      <c r="AC268" s="29" t="inlineStr">
        <is>
          <t>False</t>
        </is>
      </c>
      <c r="AD268" s="29" t="inlineStr">
        <is>
          <t>False</t>
        </is>
      </c>
      <c r="AE268" s="29" t="inlineStr">
        <is>
          <t>valuation_credit_ml_overlay_candidate.csv</t>
        </is>
      </c>
      <c r="AF268" s="29" t="inlineStr">
        <is>
          <t>208개 반도체 reference universe. Valuation Agent가 자체 intake 폴더로 복제해 Peer/ML/대시보드 비교에 사용.</t>
        </is>
      </c>
    </row>
    <row r="269" ht="24" customHeight="1">
      <c r="A269" s="24" t="inlineStr">
        <is>
          <t>193</t>
        </is>
      </c>
      <c r="B269" s="24" t="inlineStr">
        <is>
          <t>해당 없음</t>
        </is>
      </c>
      <c r="C269" s="24" t="inlineStr">
        <is>
          <t>한울반도체</t>
        </is>
      </c>
      <c r="D269" s="24" t="inlineStr">
        <is>
          <t>320000</t>
        </is>
      </c>
      <c r="E269" s="24" t="inlineStr">
        <is>
          <t>KOSDAQ</t>
        </is>
      </c>
      <c r="F269" s="24" t="inlineStr">
        <is>
          <t>후공정/패키징/테스트</t>
        </is>
      </c>
      <c r="G269" s="24" t="inlineStr">
        <is>
          <t>후공정/패키징/테스트</t>
        </is>
      </c>
      <c r="H269" s="24" t="inlineStr">
        <is>
          <t>False</t>
        </is>
      </c>
      <c r="I269" s="24" t="inlineStr">
        <is>
          <t>True</t>
        </is>
      </c>
      <c r="J269" s="24" t="inlineStr">
        <is>
          <t>OK</t>
        </is>
      </c>
      <c r="K269" s="24" t="inlineStr">
        <is>
          <t>데이터 사용 가능</t>
        </is>
      </c>
      <c r="L269" s="24" t="inlineStr">
        <is>
          <t>LOW</t>
        </is>
      </c>
      <c r="M269" s="24" t="inlineStr">
        <is>
          <t>LOW</t>
        </is>
      </c>
      <c r="N269" s="24" t="inlineStr">
        <is>
          <t>0.3376296296296296</t>
        </is>
      </c>
      <c r="O269" s="24" t="inlineStr">
        <is>
          <t>EXPENSIVE</t>
        </is>
      </c>
      <c r="P269" s="24" t="inlineStr">
        <is>
          <t>EXPENSIVE</t>
        </is>
      </c>
      <c r="Q269" s="24" t="inlineStr">
        <is>
          <t>EXPENSIVE</t>
        </is>
      </c>
      <c r="R269" s="24" t="inlineStr">
        <is>
          <t>0.7769228627558715</t>
        </is>
      </c>
      <c r="S269" s="24" t="inlineStr">
        <is>
          <t>HIGH</t>
        </is>
      </c>
      <c r="T269" s="24" t="inlineStr">
        <is>
          <t>HIGH</t>
        </is>
      </c>
      <c r="U269" s="24" t="inlineStr">
        <is>
          <t>0.7142857142857143</t>
        </is>
      </c>
      <c r="V269" s="24" t="inlineStr">
        <is>
          <t>HIGH_RISK</t>
        </is>
      </c>
      <c r="W269" s="24" t="inlineStr">
        <is>
          <t>고위험</t>
        </is>
      </c>
      <c r="X269" s="24" t="inlineStr">
        <is>
          <t>HIGH_RISK</t>
        </is>
      </c>
      <c r="Y269" s="24" t="inlineStr">
        <is>
          <t>0.9268996528836525</t>
        </is>
      </c>
      <c r="Z269" s="24" t="inlineStr">
        <is>
          <t>HIGH</t>
        </is>
      </c>
      <c r="AA269" s="24" t="inlineStr">
        <is>
          <t>HIGH</t>
        </is>
      </c>
      <c r="AB269" s="24" t="inlineStr">
        <is>
          <t>0.3732718821533064</t>
        </is>
      </c>
      <c r="AC269" s="24" t="inlineStr">
        <is>
          <t>True</t>
        </is>
      </c>
      <c r="AD269" s="24" t="inlineStr">
        <is>
          <t>True</t>
        </is>
      </c>
      <c r="AE269" s="24" t="inlineStr">
        <is>
          <t>valuation_credit_ml_overlay_candidate.csv</t>
        </is>
      </c>
      <c r="AF269" s="24" t="inlineStr">
        <is>
          <t>208개 반도체 reference universe. Valuation Agent가 자체 intake 폴더로 복제해 Peer/ML/대시보드 비교에 사용.</t>
        </is>
      </c>
    </row>
    <row r="270" ht="24" customHeight="1">
      <c r="A270" s="29" t="inlineStr">
        <is>
          <t>180</t>
        </is>
      </c>
      <c r="B270" s="29" t="inlineStr">
        <is>
          <t>해당 없음</t>
        </is>
      </c>
      <c r="C270" s="29" t="inlineStr">
        <is>
          <t>유니테스트</t>
        </is>
      </c>
      <c r="D270" s="29" t="inlineStr">
        <is>
          <t>086390</t>
        </is>
      </c>
      <c r="E270" s="29" t="inlineStr">
        <is>
          <t>KOSDAQ</t>
        </is>
      </c>
      <c r="F270" s="29" t="inlineStr">
        <is>
          <t>후공정/패키징/테스트</t>
        </is>
      </c>
      <c r="G270" s="29" t="inlineStr">
        <is>
          <t>후공정/패키징/테스트</t>
        </is>
      </c>
      <c r="H270" s="29" t="inlineStr">
        <is>
          <t>False</t>
        </is>
      </c>
      <c r="I270" s="29" t="inlineStr">
        <is>
          <t>True</t>
        </is>
      </c>
      <c r="J270" s="29" t="inlineStr">
        <is>
          <t>OK</t>
        </is>
      </c>
      <c r="K270" s="29" t="inlineStr">
        <is>
          <t>데이터 사용 가능</t>
        </is>
      </c>
      <c r="L270" s="29" t="inlineStr">
        <is>
          <t>LOW</t>
        </is>
      </c>
      <c r="M270" s="29" t="inlineStr">
        <is>
          <t>LOW</t>
        </is>
      </c>
      <c r="N270" s="29" t="inlineStr">
        <is>
          <t>0.3371851851851852</t>
        </is>
      </c>
      <c r="O270" s="29" t="inlineStr">
        <is>
          <t>EXPENSIVE</t>
        </is>
      </c>
      <c r="P270" s="29" t="inlineStr">
        <is>
          <t>EXPENSIVE</t>
        </is>
      </c>
      <c r="Q270" s="29" t="inlineStr">
        <is>
          <t>EXPENSIVE</t>
        </is>
      </c>
      <c r="R270" s="29" t="inlineStr">
        <is>
          <t>0.9109345080202441</t>
        </is>
      </c>
      <c r="S270" s="29" t="inlineStr">
        <is>
          <t>HIGH</t>
        </is>
      </c>
      <c r="T270" s="29" t="inlineStr">
        <is>
          <t>HIGH</t>
        </is>
      </c>
      <c r="U270" s="29" t="inlineStr">
        <is>
          <t>0.5714285714285714</t>
        </is>
      </c>
      <c r="V270" s="29" t="inlineStr">
        <is>
          <t>HIGH_RISK</t>
        </is>
      </c>
      <c r="W270" s="29" t="inlineStr">
        <is>
          <t>고위험</t>
        </is>
      </c>
      <c r="X270" s="29" t="inlineStr">
        <is>
          <t>HIGH_RISK</t>
        </is>
      </c>
      <c r="Y270" s="29" t="inlineStr">
        <is>
          <t>0.9310666121801914</t>
        </is>
      </c>
      <c r="Z270" s="29" t="inlineStr">
        <is>
          <t>HIGH</t>
        </is>
      </c>
      <c r="AA270" s="29" t="inlineStr">
        <is>
          <t>HIGH</t>
        </is>
      </c>
      <c r="AB270" s="29" t="inlineStr">
        <is>
          <t>0.07777762014388422</t>
        </is>
      </c>
      <c r="AC270" s="29" t="inlineStr">
        <is>
          <t>False</t>
        </is>
      </c>
      <c r="AD270" s="29" t="inlineStr">
        <is>
          <t>False</t>
        </is>
      </c>
      <c r="AE270" s="29" t="inlineStr">
        <is>
          <t>valuation_credit_ml_overlay_candidate.csv</t>
        </is>
      </c>
      <c r="AF270" s="29" t="inlineStr">
        <is>
          <t>208개 반도체 reference universe. Valuation Agent가 자체 intake 폴더로 복제해 Peer/ML/대시보드 비교에 사용.</t>
        </is>
      </c>
    </row>
    <row r="271" ht="24" customHeight="1">
      <c r="A271" s="24" t="inlineStr">
        <is>
          <t>159</t>
        </is>
      </c>
      <c r="B271" s="24" t="inlineStr">
        <is>
          <t>해당 없음</t>
        </is>
      </c>
      <c r="C271" s="24" t="inlineStr">
        <is>
          <t>두산테스나</t>
        </is>
      </c>
      <c r="D271" s="24" t="inlineStr">
        <is>
          <t>131970</t>
        </is>
      </c>
      <c r="E271" s="24" t="inlineStr">
        <is>
          <t>KOSDAQ GLOBAL</t>
        </is>
      </c>
      <c r="F271" s="24" t="inlineStr">
        <is>
          <t>후공정/패키징/테스트</t>
        </is>
      </c>
      <c r="G271" s="24" t="inlineStr">
        <is>
          <t>후공정/패키징/테스트</t>
        </is>
      </c>
      <c r="H271" s="24" t="inlineStr">
        <is>
          <t>False</t>
        </is>
      </c>
      <c r="I271" s="24" t="inlineStr">
        <is>
          <t>True</t>
        </is>
      </c>
      <c r="J271" s="24" t="inlineStr">
        <is>
          <t>OK</t>
        </is>
      </c>
      <c r="K271" s="24" t="inlineStr">
        <is>
          <t>데이터 사용 가능</t>
        </is>
      </c>
      <c r="L271" s="24" t="inlineStr">
        <is>
          <t>LOW</t>
        </is>
      </c>
      <c r="M271" s="24" t="inlineStr">
        <is>
          <t>LOW</t>
        </is>
      </c>
      <c r="N271" s="24" t="inlineStr">
        <is>
          <t>0.3217037037037037</t>
        </is>
      </c>
      <c r="O271" s="24" t="inlineStr">
        <is>
          <t>EXPENSIVE</t>
        </is>
      </c>
      <c r="P271" s="24" t="inlineStr">
        <is>
          <t>EXPENSIVE</t>
        </is>
      </c>
      <c r="Q271" s="24" t="inlineStr">
        <is>
          <t>EXPENSIVE</t>
        </is>
      </c>
      <c r="R271" s="24" t="inlineStr">
        <is>
          <t>0.5774876642912814</t>
        </is>
      </c>
      <c r="S271" s="24" t="inlineStr">
        <is>
          <t>MEDIUM</t>
        </is>
      </c>
      <c r="T271" s="24" t="inlineStr">
        <is>
          <t>MEDIUM</t>
        </is>
      </c>
      <c r="U271" s="24" t="inlineStr">
        <is>
          <t>0.1428571428571428</t>
        </is>
      </c>
      <c r="V271" s="24" t="inlineStr">
        <is>
          <t>LOW_RISK</t>
        </is>
      </c>
      <c r="W271" s="24" t="inlineStr">
        <is>
          <t>저위험</t>
        </is>
      </c>
      <c r="X271" s="24" t="inlineStr">
        <is>
          <t>LOW_RISK</t>
        </is>
      </c>
      <c r="Y271" s="24" t="inlineStr">
        <is>
          <t>0.5730698742411416</t>
        </is>
      </c>
      <c r="Z271" s="24" t="inlineStr">
        <is>
          <t>MEDIUM</t>
        </is>
      </c>
      <c r="AA271" s="24" t="inlineStr">
        <is>
          <t>MEDIUM</t>
        </is>
      </c>
      <c r="AB271" s="24" t="inlineStr">
        <is>
          <t>0.11339298523731103</t>
        </is>
      </c>
      <c r="AC271" s="24" t="inlineStr">
        <is>
          <t>False</t>
        </is>
      </c>
      <c r="AD271" s="24" t="inlineStr">
        <is>
          <t>False</t>
        </is>
      </c>
      <c r="AE271" s="24" t="inlineStr">
        <is>
          <t>valuation_credit_ml_overlay_candidate.csv</t>
        </is>
      </c>
      <c r="AF271" s="24" t="inlineStr">
        <is>
          <t>208개 반도체 reference universe. Valuation Agent가 자체 intake 폴더로 복제해 Peer/ML/대시보드 비교에 사용.</t>
        </is>
      </c>
    </row>
    <row r="272" ht="24" customHeight="1">
      <c r="A272" s="29" t="inlineStr">
        <is>
          <t>156</t>
        </is>
      </c>
      <c r="B272" s="29" t="inlineStr">
        <is>
          <t>해당 없음</t>
        </is>
      </c>
      <c r="C272" s="29" t="inlineStr">
        <is>
          <t>네오셈</t>
        </is>
      </c>
      <c r="D272" s="29" t="inlineStr">
        <is>
          <t>253590</t>
        </is>
      </c>
      <c r="E272" s="29" t="inlineStr">
        <is>
          <t>KOSDAQ</t>
        </is>
      </c>
      <c r="F272" s="29" t="inlineStr">
        <is>
          <t>후공정/패키징/테스트</t>
        </is>
      </c>
      <c r="G272" s="29" t="inlineStr">
        <is>
          <t>후공정/패키징/테스트</t>
        </is>
      </c>
      <c r="H272" s="29" t="inlineStr">
        <is>
          <t>False</t>
        </is>
      </c>
      <c r="I272" s="29" t="inlineStr">
        <is>
          <t>True</t>
        </is>
      </c>
      <c r="J272" s="29" t="inlineStr">
        <is>
          <t>OK</t>
        </is>
      </c>
      <c r="K272" s="29" t="inlineStr">
        <is>
          <t>데이터 사용 가능</t>
        </is>
      </c>
      <c r="L272" s="29" t="inlineStr">
        <is>
          <t>LOW</t>
        </is>
      </c>
      <c r="M272" s="29" t="inlineStr">
        <is>
          <t>LOW</t>
        </is>
      </c>
      <c r="N272" s="29" t="inlineStr">
        <is>
          <t>0.3059259259259259</t>
        </is>
      </c>
      <c r="O272" s="29" t="inlineStr">
        <is>
          <t>EXPENSIVE</t>
        </is>
      </c>
      <c r="P272" s="29" t="inlineStr">
        <is>
          <t>EXPENSIVE</t>
        </is>
      </c>
      <c r="Q272" s="29" t="inlineStr">
        <is>
          <t>EXPENSIVE</t>
        </is>
      </c>
      <c r="R272" s="29" t="inlineStr">
        <is>
          <t>0.7695353673338539</t>
        </is>
      </c>
      <c r="S272" s="29" t="inlineStr">
        <is>
          <t>HIGH</t>
        </is>
      </c>
      <c r="T272" s="29" t="inlineStr">
        <is>
          <t>HIGH</t>
        </is>
      </c>
      <c r="U272" s="29" t="inlineStr">
        <is>
          <t>0.0714285714285714</t>
        </is>
      </c>
      <c r="V272" s="29" t="inlineStr">
        <is>
          <t>LOW_RISK</t>
        </is>
      </c>
      <c r="W272" s="29" t="inlineStr">
        <is>
          <t>저위험</t>
        </is>
      </c>
      <c r="X272" s="29" t="inlineStr">
        <is>
          <t>LOW_RISK</t>
        </is>
      </c>
      <c r="Y272" s="29" t="inlineStr">
        <is>
          <t>0.7735591671201707</t>
        </is>
      </c>
      <c r="Z272" s="29" t="inlineStr">
        <is>
          <t>HIGH</t>
        </is>
      </c>
      <c r="AA272" s="29" t="inlineStr">
        <is>
          <t>HIGH</t>
        </is>
      </c>
      <c r="AB272" s="29" t="inlineStr">
        <is>
          <t>0.06887713556186657</t>
        </is>
      </c>
      <c r="AC272" s="29" t="inlineStr">
        <is>
          <t>False</t>
        </is>
      </c>
      <c r="AD272" s="29" t="inlineStr">
        <is>
          <t>False</t>
        </is>
      </c>
      <c r="AE272" s="29" t="inlineStr">
        <is>
          <t>valuation_credit_ml_overlay_candidate.csv</t>
        </is>
      </c>
      <c r="AF272" s="29" t="inlineStr">
        <is>
          <t>208개 반도체 reference universe. Valuation Agent가 자체 intake 폴더로 복제해 Peer/ML/대시보드 비교에 사용.</t>
        </is>
      </c>
    </row>
    <row r="273" ht="24" customHeight="1">
      <c r="A273" s="24" t="inlineStr">
        <is>
          <t>190</t>
        </is>
      </c>
      <c r="B273" s="24" t="inlineStr">
        <is>
          <t>해당 없음</t>
        </is>
      </c>
      <c r="C273" s="24" t="inlineStr">
        <is>
          <t>피엠티</t>
        </is>
      </c>
      <c r="D273" s="24" t="inlineStr">
        <is>
          <t>147760</t>
        </is>
      </c>
      <c r="E273" s="24" t="inlineStr">
        <is>
          <t>KOSDAQ</t>
        </is>
      </c>
      <c r="F273" s="24" t="inlineStr">
        <is>
          <t>후공정/패키징/테스트</t>
        </is>
      </c>
      <c r="G273" s="24" t="inlineStr">
        <is>
          <t>후공정/패키징/테스트</t>
        </is>
      </c>
      <c r="H273" s="24" t="inlineStr">
        <is>
          <t>False</t>
        </is>
      </c>
      <c r="I273" s="24" t="inlineStr">
        <is>
          <t>True</t>
        </is>
      </c>
      <c r="J273" s="24" t="inlineStr">
        <is>
          <t>OK</t>
        </is>
      </c>
      <c r="K273" s="24" t="inlineStr">
        <is>
          <t>데이터 사용 가능</t>
        </is>
      </c>
      <c r="L273" s="24" t="inlineStr">
        <is>
          <t>LOW</t>
        </is>
      </c>
      <c r="M273" s="24" t="inlineStr">
        <is>
          <t>LOW</t>
        </is>
      </c>
      <c r="N273" s="24" t="inlineStr">
        <is>
          <t>0.2471111111111111</t>
        </is>
      </c>
      <c r="O273" s="24" t="inlineStr">
        <is>
          <t>EXPENSIVE</t>
        </is>
      </c>
      <c r="P273" s="24" t="inlineStr">
        <is>
          <t>EXPENSIVE</t>
        </is>
      </c>
      <c r="Q273" s="24" t="inlineStr">
        <is>
          <t>EXPENSIVE</t>
        </is>
      </c>
      <c r="R273" s="24" t="inlineStr">
        <is>
          <t>0.952821790032095</t>
        </is>
      </c>
      <c r="S273" s="24" t="inlineStr">
        <is>
          <t>HIGH</t>
        </is>
      </c>
      <c r="T273" s="24" t="inlineStr">
        <is>
          <t>HIGH</t>
        </is>
      </c>
      <c r="U273" s="24" t="inlineStr">
        <is>
          <t>0.7857142857142857</t>
        </is>
      </c>
      <c r="V273" s="24" t="inlineStr">
        <is>
          <t>HIGH_RISK</t>
        </is>
      </c>
      <c r="W273" s="24" t="inlineStr">
        <is>
          <t>고위험</t>
        </is>
      </c>
      <c r="X273" s="24" t="inlineStr">
        <is>
          <t>HIGH_RISK</t>
        </is>
      </c>
      <c r="Y273" s="24" t="inlineStr">
        <is>
          <t>0.9374258948385606</t>
        </is>
      </c>
      <c r="Z273" s="24" t="inlineStr">
        <is>
          <t>HIGH</t>
        </is>
      </c>
      <c r="AA273" s="24" t="inlineStr">
        <is>
          <t>HIGH</t>
        </is>
      </c>
      <c r="AB273" s="24" t="inlineStr">
        <is>
          <t>0.45054632167168013</t>
        </is>
      </c>
      <c r="AC273" s="24" t="inlineStr">
        <is>
          <t>True</t>
        </is>
      </c>
      <c r="AD273" s="24" t="inlineStr">
        <is>
          <t>True</t>
        </is>
      </c>
      <c r="AE273" s="24" t="inlineStr">
        <is>
          <t>valuation_credit_ml_overlay_candidate.csv</t>
        </is>
      </c>
      <c r="AF273" s="24" t="inlineStr">
        <is>
          <t>208개 반도체 reference universe. Valuation Agent가 자체 intake 폴더로 복제해 Peer/ML/대시보드 비교에 사용.</t>
        </is>
      </c>
    </row>
    <row r="274" ht="24" customHeight="1">
      <c r="A274" s="29" t="inlineStr">
        <is>
          <t>186</t>
        </is>
      </c>
      <c r="B274" s="29" t="inlineStr">
        <is>
          <t>해당 없음</t>
        </is>
      </c>
      <c r="C274" s="29" t="inlineStr">
        <is>
          <t>테크윙</t>
        </is>
      </c>
      <c r="D274" s="29" t="inlineStr">
        <is>
          <t>089030</t>
        </is>
      </c>
      <c r="E274" s="29" t="inlineStr">
        <is>
          <t>KOSDAQ</t>
        </is>
      </c>
      <c r="F274" s="29" t="inlineStr">
        <is>
          <t>후공정/패키징/테스트</t>
        </is>
      </c>
      <c r="G274" s="29" t="inlineStr">
        <is>
          <t>후공정/패키징/테스트</t>
        </is>
      </c>
      <c r="H274" s="29" t="inlineStr">
        <is>
          <t>False</t>
        </is>
      </c>
      <c r="I274" s="29" t="inlineStr">
        <is>
          <t>True</t>
        </is>
      </c>
      <c r="J274" s="29" t="inlineStr">
        <is>
          <t>OK</t>
        </is>
      </c>
      <c r="K274" s="29" t="inlineStr">
        <is>
          <t>데이터 사용 가능</t>
        </is>
      </c>
      <c r="L274" s="29" t="inlineStr">
        <is>
          <t>LOW</t>
        </is>
      </c>
      <c r="M274" s="29" t="inlineStr">
        <is>
          <t>LOW</t>
        </is>
      </c>
      <c r="N274" s="29" t="inlineStr">
        <is>
          <t>0.2205925925925926</t>
        </is>
      </c>
      <c r="O274" s="29" t="inlineStr">
        <is>
          <t>EXPENSIVE</t>
        </is>
      </c>
      <c r="P274" s="29" t="inlineStr">
        <is>
          <t>EXPENSIVE</t>
        </is>
      </c>
      <c r="Q274" s="29" t="inlineStr">
        <is>
          <t>EXPENSIVE</t>
        </is>
      </c>
      <c r="R274" s="29" t="inlineStr">
        <is>
          <t>0.7946423848576873</t>
        </is>
      </c>
      <c r="S274" s="29" t="inlineStr">
        <is>
          <t>HIGH</t>
        </is>
      </c>
      <c r="T274" s="29" t="inlineStr">
        <is>
          <t>HIGH</t>
        </is>
      </c>
      <c r="U274" s="29" t="inlineStr">
        <is>
          <t>0.5714285714285714</t>
        </is>
      </c>
      <c r="V274" s="29" t="inlineStr">
        <is>
          <t>HIGH_RISK</t>
        </is>
      </c>
      <c r="W274" s="29" t="inlineStr">
        <is>
          <t>고위험</t>
        </is>
      </c>
      <c r="X274" s="29" t="inlineStr">
        <is>
          <t>MEDIUM_RISK</t>
        </is>
      </c>
      <c r="Y274" s="29" t="inlineStr">
        <is>
          <t>0.4396420822644243</t>
        </is>
      </c>
      <c r="Z274" s="29" t="inlineStr">
        <is>
          <t>LOW</t>
        </is>
      </c>
      <c r="AA274" s="29" t="inlineStr">
        <is>
          <t>LOW</t>
        </is>
      </c>
      <c r="AB274" s="29" t="inlineStr">
        <is>
          <t>0.13035438491081522</t>
        </is>
      </c>
      <c r="AC274" s="29" t="inlineStr">
        <is>
          <t>False</t>
        </is>
      </c>
      <c r="AD274" s="29" t="inlineStr">
        <is>
          <t>True</t>
        </is>
      </c>
      <c r="AE274" s="29" t="inlineStr">
        <is>
          <t>valuation_credit_ml_overlay_candidate.csv</t>
        </is>
      </c>
      <c r="AF274" s="29" t="inlineStr">
        <is>
          <t>208개 반도체 reference universe. Valuation Agent가 자체 intake 폴더로 복제해 Peer/ML/대시보드 비교에 사용.</t>
        </is>
      </c>
    </row>
  </sheetData>
  <autoFilter ref="A66:AF274"/>
  <mergeCells count="5">
    <mergeCell ref="A2:L2"/>
    <mergeCell ref="A1:L1"/>
    <mergeCell ref="A4:F4"/>
    <mergeCell ref="A21:F21"/>
    <mergeCell ref="A65:F65"/>
  </mergeCells>
  <pageMargins left="0.75" right="0.75" top="1" bottom="1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36" customWidth="1" min="2" max="2"/>
    <col width="17" customWidth="1" min="3" max="3"/>
    <col width="3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어보브반도체 가치평가 브릿지</t>
        </is>
      </c>
    </row>
    <row r="2" ht="28" customHeight="1">
      <c r="A2" s="17" t="inlineStr">
        <is>
          <t>DCF · Peer P/S · 208개 Universe · 품질 ML · 유동성/리스크를 하나의 보조 점수로 연결</t>
        </is>
      </c>
    </row>
    <row r="3" ht="24" customHeight="1"/>
    <row r="4" ht="24" customHeight="1">
      <c r="A4" s="18" t="inlineStr">
        <is>
          <t>종합 점수</t>
        </is>
      </c>
      <c r="B4" s="19" t="n"/>
      <c r="C4" s="18" t="inlineStr">
        <is>
          <t>DCF 괴리율</t>
        </is>
      </c>
      <c r="D4" s="19" t="n"/>
      <c r="E4" s="18" t="inlineStr">
        <is>
          <t>P/S</t>
        </is>
      </c>
      <c r="F4" s="19" t="n"/>
      <c r="G4" s="18" t="inlineStr">
        <is>
          <t>Peer P/S 중앙값</t>
        </is>
      </c>
      <c r="H4" s="19" t="n"/>
      <c r="I4" s="18" t="inlineStr">
        <is>
          <t>208개 Universe</t>
        </is>
      </c>
      <c r="J4" s="19" t="n"/>
    </row>
    <row r="5" ht="24" customHeight="1">
      <c r="A5" s="20" t="inlineStr">
        <is>
          <t>46.7/100</t>
        </is>
      </c>
      <c r="B5" s="19" t="n"/>
      <c r="C5" s="20" t="inlineStr">
        <is>
          <t>-51.3%</t>
        </is>
      </c>
      <c r="D5" s="19" t="n"/>
      <c r="E5" s="20" t="inlineStr">
        <is>
          <t>1.28배</t>
        </is>
      </c>
      <c r="F5" s="19" t="n"/>
      <c r="G5" s="20" t="inlineStr">
        <is>
          <t>3.50배</t>
        </is>
      </c>
      <c r="H5" s="19" t="n"/>
      <c r="I5" s="20" t="inlineStr">
        <is>
          <t>208개</t>
        </is>
      </c>
      <c r="J5" s="19" t="n"/>
    </row>
    <row r="6" ht="24" customHeight="1">
      <c r="A6" s="21" t="inlineStr">
        <is>
          <t>중립</t>
        </is>
      </c>
      <c r="B6" s="19" t="n"/>
      <c r="C6" s="21" t="inlineStr">
        <is>
          <t>내재주가/현재가-1</t>
        </is>
      </c>
      <c r="D6" s="19" t="n"/>
      <c r="E6" s="21" t="inlineStr">
        <is>
          <t>피어 대비 저PSR 구간: 상대 저평가 가능성</t>
        </is>
      </c>
      <c r="F6" s="19" t="n"/>
      <c r="G6" s="21" t="inlineStr">
        <is>
          <t>live peer 기준</t>
        </is>
      </c>
      <c r="H6" s="19" t="n"/>
      <c r="I6" s="21" t="inlineStr">
        <is>
          <t>팹리스/설계</t>
        </is>
      </c>
      <c r="J6" s="19" t="n"/>
    </row>
    <row r="7" ht="24" customHeight="1"/>
    <row r="8" ht="24" customHeight="1"/>
    <row r="9" ht="24" customHeight="1">
      <c r="A9" s="22" t="inlineStr">
        <is>
          <t>핵심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역할</t>
        </is>
      </c>
      <c r="B11" s="24" t="inlineStr">
        <is>
          <t>Chair 최종 가중합을 대체하지 않는 보조 밸류에이션 판단 근거</t>
        </is>
      </c>
    </row>
    <row r="12" ht="24" customHeight="1">
      <c r="A12" s="29" t="inlineStr">
        <is>
          <t>해석</t>
        </is>
      </c>
      <c r="B12" s="29" t="inlineStr">
        <is>
          <t>현 가격과 내재가치·상대가치가 크게 벌어지지 않은 구간입니다.</t>
        </is>
      </c>
    </row>
    <row r="13" ht="24" customHeight="1">
      <c r="A13" s="24" t="inlineStr">
        <is>
          <t>방법</t>
        </is>
      </c>
      <c r="B13" s="24" t="inlineStr">
        <is>
          <t>DCF 25% + Peer P/S 15% + 품질 ML 15% + 208개 Universe 10% + 가치범위표/역산 DCF/오너 이익 20% + 유동성/리스크 10% + 검증 5%</t>
        </is>
      </c>
    </row>
    <row r="14" ht="24" customHeight="1">
      <c r="A14" s="29" t="inlineStr">
        <is>
          <t>검증상태</t>
        </is>
      </c>
      <c r="B14" s="29" t="inlineStr">
        <is>
          <t>PASS</t>
        </is>
      </c>
    </row>
    <row r="15" ht="24" customHeight="1"/>
    <row r="16" ht="24" customHeight="1"/>
    <row r="17" ht="24" customHeight="1">
      <c r="A17" s="22" t="inlineStr">
        <is>
          <t>가중 점수 구성</t>
        </is>
      </c>
    </row>
    <row r="18" ht="24" customHeight="1">
      <c r="A18" s="25" t="inlineStr">
        <is>
          <t>요인 코드</t>
        </is>
      </c>
      <c r="B18" s="25" t="inlineStr">
        <is>
          <t>요인</t>
        </is>
      </c>
      <c r="C18" s="25" t="inlineStr">
        <is>
          <t>가중치</t>
        </is>
      </c>
      <c r="D18" s="25" t="inlineStr">
        <is>
          <t>원천값</t>
        </is>
      </c>
      <c r="E18" s="25" t="inlineStr">
        <is>
          <t>점수</t>
        </is>
      </c>
      <c r="F18" s="25" t="inlineStr">
        <is>
          <t>해석</t>
        </is>
      </c>
    </row>
    <row r="19" ht="24" customHeight="1">
      <c r="A19" s="24" t="inlineStr">
        <is>
          <t>DCF_UPSIDE</t>
        </is>
      </c>
      <c r="B19" s="24" t="inlineStr">
        <is>
          <t>DCF 현재가 대비 괴리율</t>
        </is>
      </c>
      <c r="C19" s="30" t="n">
        <v>0.25</v>
      </c>
      <c r="D19" s="30" t="n">
        <v>-0.5133561747534614</v>
      </c>
      <c r="E19" s="30" t="n">
        <v>0</v>
      </c>
      <c r="F19" s="24" t="inlineStr">
        <is>
          <t>내재주가가 현재가보다 높을수록 우호</t>
        </is>
      </c>
    </row>
    <row r="20" ht="24" customHeight="1">
      <c r="A20" s="29" t="inlineStr">
        <is>
          <t>PEER_PSR</t>
        </is>
      </c>
      <c r="B20" s="29" t="inlineStr">
        <is>
          <t>Peer P/S 상대 매력도</t>
        </is>
      </c>
      <c r="C20" s="31" t="n">
        <v>0.15</v>
      </c>
      <c r="D20" s="31" t="n">
        <v>1.280233220880724</v>
      </c>
      <c r="E20" s="31" t="n">
        <v>100</v>
      </c>
      <c r="F20" s="29" t="inlineStr">
        <is>
          <t>P/S가 동종 피어 대비 낮을수록 우호</t>
        </is>
      </c>
    </row>
    <row r="21" ht="24" customHeight="1">
      <c r="A21" s="24" t="inlineStr">
        <is>
          <t>QUALITY_ML</t>
        </is>
      </c>
      <c r="B21" s="24" t="inlineStr">
        <is>
          <t>수익성·현금흐름·안정성 ML 보조점수</t>
        </is>
      </c>
      <c r="C21" s="30" t="n">
        <v>0.15</v>
      </c>
      <c r="D21" s="30" t="n">
        <v>42.71</v>
      </c>
      <c r="E21" s="30" t="n">
        <v>42.71</v>
      </c>
      <c r="F21" s="24" t="inlineStr">
        <is>
          <t>Valuation Agent 자체 peer percentile composite</t>
        </is>
      </c>
    </row>
    <row r="22" ht="24" customHeight="1">
      <c r="A22" s="29" t="inlineStr">
        <is>
          <t>REFERENCE_UNIVERSE</t>
        </is>
      </c>
      <c r="B22" s="29" t="inlineStr">
        <is>
          <t>208개 반도체 Reference Universe 위치</t>
        </is>
      </c>
      <c r="C22" s="31" t="n">
        <v>0.1</v>
      </c>
      <c r="D22" s="31" t="n">
        <v>69.33333333333333</v>
      </c>
      <c r="E22" s="31" t="n">
        <v>69.33333333333333</v>
      </c>
      <c r="F22" s="29" t="inlineStr">
        <is>
          <t>업로드/기존 universe 후보 파일의 valuation proxy 기반 상대 위치</t>
        </is>
      </c>
    </row>
    <row r="23" ht="24" customHeight="1">
      <c r="A23" s="24" t="inlineStr">
        <is>
          <t>ADVANCED_VALUATION</t>
        </is>
      </c>
      <c r="B23" s="24" t="inlineStr">
        <is>
          <t>가치범위표·역산 DCF·오너 이익 교차검증</t>
        </is>
      </c>
      <c r="C23" s="30" t="n">
        <v>0.2</v>
      </c>
      <c r="D23" s="30" t="n">
        <v>44</v>
      </c>
      <c r="E23" s="30" t="n">
        <v>44</v>
      </c>
      <c r="F23" s="24" t="inlineStr">
        <is>
          <t>DCF 하나에 의존하지 않고 복수 가치평가 방법의 중앙값·안전마진·역산가정을 함께 평가</t>
        </is>
      </c>
    </row>
    <row r="24" ht="24" customHeight="1">
      <c r="A24" s="29" t="inlineStr">
        <is>
          <t>LIQUIDITY_RISK</t>
        </is>
      </c>
      <c r="B24" s="29" t="inlineStr">
        <is>
          <t>유동성·변동성 리스크</t>
        </is>
      </c>
      <c r="C24" s="31" t="n">
        <v>0.1</v>
      </c>
      <c r="D24" s="31" t="n">
        <v>18328562775.5</v>
      </c>
      <c r="E24" s="31" t="n">
        <v>46</v>
      </c>
      <c r="F24" s="29" t="inlineStr">
        <is>
          <t>거래대금은 높을수록, 변동성과 MDD는 낮을수록 우호</t>
        </is>
      </c>
    </row>
    <row r="25" ht="24" customHeight="1">
      <c r="A25" s="24" t="inlineStr">
        <is>
          <t>DATA_VALIDATION</t>
        </is>
      </c>
      <c r="B25" s="24" t="inlineStr">
        <is>
          <t>데이터 검증 상태</t>
        </is>
      </c>
      <c r="C25" s="30" t="n">
        <v>0.05</v>
      </c>
      <c r="D25" s="24" t="inlineStr">
        <is>
          <t>PASS</t>
        </is>
      </c>
      <c r="E25" s="30" t="n">
        <v>100</v>
      </c>
      <c r="F25" s="24" t="inlineStr">
        <is>
          <t>PASS이면 workbook/dashboard용 주요 데이터 준비 완료</t>
        </is>
      </c>
    </row>
    <row r="26" ht="24" customHeight="1"/>
    <row r="27" ht="24" customHeight="1"/>
    <row r="28" ht="24" customHeight="1">
      <c r="A28" s="22" t="inlineStr">
        <is>
          <t>데이터 연결 맵</t>
        </is>
      </c>
    </row>
    <row r="29" ht="24" customHeight="1">
      <c r="A29" s="25" t="inlineStr">
        <is>
          <t>데이터블록</t>
        </is>
      </c>
      <c r="B29" s="25" t="inlineStr">
        <is>
          <t>사용값</t>
        </is>
      </c>
      <c r="C29" s="25" t="inlineStr">
        <is>
          <t>출처</t>
        </is>
      </c>
    </row>
    <row r="30" ht="24" customHeight="1">
      <c r="A30" s="24" t="inlineStr">
        <is>
          <t>DCF</t>
        </is>
      </c>
      <c r="B30" s="24" t="inlineStr">
        <is>
          <t>5,786원</t>
        </is>
      </c>
      <c r="C30" s="24" t="inlineStr">
        <is>
          <t>valuation_metrics.json / 09_DCF_가치평가</t>
        </is>
      </c>
    </row>
    <row r="31" ht="24" customHeight="1">
      <c r="A31" s="29" t="inlineStr">
        <is>
          <t>Peer P/S</t>
        </is>
      </c>
      <c r="B31" s="29" t="inlineStr">
        <is>
          <t>1.28배</t>
        </is>
      </c>
      <c r="C31" s="29" t="inlineStr">
        <is>
          <t>valuation_peer_input.csv / 10_피어비교</t>
        </is>
      </c>
    </row>
    <row r="32" ht="24" customHeight="1">
      <c r="A32" s="24" t="inlineStr">
        <is>
          <t>208개 Universe</t>
        </is>
      </c>
      <c r="B32" s="24" t="inlineStr">
        <is>
          <t>208개</t>
        </is>
      </c>
      <c r="C32" s="24" t="inlineStr">
        <is>
          <t>valuation_reference_universe_208.csv</t>
        </is>
      </c>
    </row>
    <row r="33" ht="24" customHeight="1">
      <c r="A33" s="29" t="inlineStr">
        <is>
          <t>주가·유동성</t>
        </is>
      </c>
      <c r="B33" s="29" t="inlineStr">
        <is>
          <t>183.3억원</t>
        </is>
      </c>
      <c r="C33" s="29" t="inlineStr">
        <is>
          <t>valuation_price_history.csv / valuation_price_summary.json</t>
        </is>
      </c>
    </row>
    <row r="34" ht="24" customHeight="1">
      <c r="A34" s="24" t="inlineStr">
        <is>
          <t>ML 보조판단</t>
        </is>
      </c>
      <c r="B34" s="24" t="inlineStr">
        <is>
          <t>42.7/100</t>
        </is>
      </c>
      <c r="C34" s="24" t="inlineStr">
        <is>
          <t>valuation_agent 자체 peer percentile composite</t>
        </is>
      </c>
    </row>
  </sheetData>
  <autoFilter ref="A29:C34"/>
  <mergeCells count="20">
    <mergeCell ref="C6:D6"/>
    <mergeCell ref="I6:J6"/>
    <mergeCell ref="C5:D5"/>
    <mergeCell ref="E5:F5"/>
    <mergeCell ref="A1:K1"/>
    <mergeCell ref="A6:B6"/>
    <mergeCell ref="C4:D4"/>
    <mergeCell ref="E4:F4"/>
    <mergeCell ref="A17:F17"/>
    <mergeCell ref="G6:H6"/>
    <mergeCell ref="E6:F6"/>
    <mergeCell ref="A28:F28"/>
    <mergeCell ref="A9:F9"/>
    <mergeCell ref="A5:B5"/>
    <mergeCell ref="A2:K2"/>
    <mergeCell ref="G5:H5"/>
    <mergeCell ref="I5:J5"/>
    <mergeCell ref="A4:B4"/>
    <mergeCell ref="G4:H4"/>
    <mergeCell ref="I4:J4"/>
  </mergeCells>
  <pageMargins left="0.75" right="0.7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38" customWidth="1" min="6" max="6"/>
    <col width="17" customWidth="1" min="7" max="7"/>
    <col width="17" customWidth="1" min="8" max="8"/>
    <col width="17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어보브반도체 시나리오 요약</t>
        </is>
      </c>
    </row>
    <row r="2" ht="28" customHeight="1">
      <c r="A2" s="17" t="inlineStr">
        <is>
          <t>Base/Bull/Bear 가정을 한눈에 볼 수 있도록 대시보드 다운로드용으로 정리</t>
        </is>
      </c>
    </row>
    <row r="3" ht="24" customHeight="1"/>
    <row r="4" ht="24" customHeight="1">
      <c r="A4" s="22" t="inlineStr">
        <is>
          <t>3단계 시나리오 가정</t>
        </is>
      </c>
    </row>
    <row r="5" ht="24" customHeight="1">
      <c r="A5" s="25" t="inlineStr">
        <is>
          <t>시나리오</t>
        </is>
      </c>
      <c r="B5" s="25" t="inlineStr">
        <is>
          <t>매출성장률</t>
        </is>
      </c>
      <c r="C5" s="25" t="inlineStr">
        <is>
          <t>FCF마진</t>
        </is>
      </c>
      <c r="D5" s="25" t="inlineStr">
        <is>
          <t>WACC</t>
        </is>
      </c>
      <c r="E5" s="25" t="inlineStr">
        <is>
          <t>영구성장률</t>
        </is>
      </c>
      <c r="F5" s="25" t="inlineStr">
        <is>
          <t>해석</t>
        </is>
      </c>
    </row>
    <row r="6" ht="24" customHeight="1">
      <c r="A6" s="24" t="inlineStr">
        <is>
          <t>Bear</t>
        </is>
      </c>
      <c r="B6" s="30" t="n">
        <v>-0.01715006324219916</v>
      </c>
      <c r="C6" s="30" t="n">
        <v>0.05955713939965476</v>
      </c>
      <c r="D6" s="30" t="n">
        <v>0.1141714346658058</v>
      </c>
      <c r="E6" s="30" t="n">
        <v>0.009999999999999998</v>
      </c>
      <c r="F6" s="24" t="inlineStr">
        <is>
          <t>보수적 수익성·할인율 가정</t>
        </is>
      </c>
    </row>
    <row r="7" ht="24" customHeight="1">
      <c r="A7" s="29" t="inlineStr">
        <is>
          <t>Base</t>
        </is>
      </c>
      <c r="B7" s="31" t="n">
        <v>0.002849936757800838</v>
      </c>
      <c r="C7" s="31" t="n">
        <v>0.07955713939965477</v>
      </c>
      <c r="D7" s="31" t="n">
        <v>0.1041714346658058</v>
      </c>
      <c r="E7" s="31" t="n">
        <v>0.015</v>
      </c>
      <c r="F7" s="29" t="inlineStr">
        <is>
          <t>현재 모델 기본 가정</t>
        </is>
      </c>
    </row>
    <row r="8" ht="24" customHeight="1">
      <c r="A8" s="24" t="inlineStr">
        <is>
          <t>Bull</t>
        </is>
      </c>
      <c r="B8" s="30" t="n">
        <v>0.02284993675780084</v>
      </c>
      <c r="C8" s="30" t="n">
        <v>0.09955713939965477</v>
      </c>
      <c r="D8" s="30" t="n">
        <v>0.09417143466580578</v>
      </c>
      <c r="E8" s="30" t="n">
        <v>0.02</v>
      </c>
      <c r="F8" s="24" t="inlineStr">
        <is>
          <t>성장·마진 개선 가정</t>
        </is>
      </c>
    </row>
    <row r="9" ht="24" customHeight="1"/>
    <row r="10" ht="24" customHeight="1"/>
    <row r="11" ht="24" customHeight="1">
      <c r="A11" s="22" t="inlineStr">
        <is>
          <t>대시보드 연결 가이드</t>
        </is>
      </c>
    </row>
    <row r="12" ht="24" customHeight="1">
      <c r="A12" s="25" t="inlineStr">
        <is>
          <t>항목</t>
        </is>
      </c>
      <c r="B12" s="25" t="inlineStr">
        <is>
          <t>내용</t>
        </is>
      </c>
    </row>
    <row r="13" ht="24" customHeight="1">
      <c r="A13" s="24" t="inlineStr">
        <is>
          <t>활용</t>
        </is>
      </c>
      <c r="B13" s="24" t="inlineStr">
        <is>
          <t>대시보드에서 WACC/성장률/마진 슬라이더를 만들 때 기본 입력값으로 사용</t>
        </is>
      </c>
    </row>
    <row r="14" ht="24" customHeight="1">
      <c r="A14" s="29" t="inlineStr">
        <is>
          <t>주의</t>
        </is>
      </c>
      <c r="B14" s="29" t="inlineStr">
        <is>
          <t>정식 투자 판단은 Chair의 6개 에이전트 종합과 별도 검토 필요</t>
        </is>
      </c>
    </row>
  </sheetData>
  <autoFilter ref="A12:B14"/>
  <mergeCells count="4">
    <mergeCell ref="A1:J1"/>
    <mergeCell ref="A11:F11"/>
    <mergeCell ref="A4:F4"/>
    <mergeCell ref="A2:J2"/>
  </mergeCells>
  <pageMargins left="0.75" right="0.75" top="1" bottom="1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데이터 품질·커버리지</t>
        </is>
      </c>
    </row>
    <row r="2" ht="28" customHeight="1">
      <c r="A2" s="17" t="inlineStr">
        <is>
          <t>공란/해당 없음/계산 제외 항목을 숨기지 않고 데이터 커버리지로 관리</t>
        </is>
      </c>
    </row>
    <row r="3" ht="24" customHeight="1"/>
    <row r="4" ht="24" customHeight="1">
      <c r="A4" s="22" t="inlineStr">
        <is>
          <t>커버리지 체크</t>
        </is>
      </c>
    </row>
    <row r="5" ht="24" customHeight="1">
      <c r="A5" s="25" t="inlineStr">
        <is>
          <t>데이터블록</t>
        </is>
      </c>
      <c r="B5" s="25" t="inlineStr">
        <is>
          <t>행수</t>
        </is>
      </c>
      <c r="C5" s="25" t="inlineStr">
        <is>
          <t>상태</t>
        </is>
      </c>
      <c r="D5" s="25" t="inlineStr">
        <is>
          <t>대시보드 영향</t>
        </is>
      </c>
    </row>
    <row r="6" ht="24" customHeight="1">
      <c r="A6" s="24" t="inlineStr">
        <is>
          <t>DART 정규화 재무제표</t>
        </is>
      </c>
      <c r="B6" s="30" t="n">
        <v>5</v>
      </c>
      <c r="C6" s="24" t="inlineStr">
        <is>
          <t>OK</t>
        </is>
      </c>
      <c r="D6" s="24" t="inlineStr">
        <is>
          <t>DCF/WACC/핵심비율</t>
        </is>
      </c>
    </row>
    <row r="7" ht="24" customHeight="1">
      <c r="A7" s="29" t="inlineStr">
        <is>
          <t>주가 이력</t>
        </is>
      </c>
      <c r="B7" s="31" t="n">
        <v>1221</v>
      </c>
      <c r="C7" s="29" t="inlineStr">
        <is>
          <t>OK</t>
        </is>
      </c>
      <c r="D7" s="29" t="inlineStr">
        <is>
          <t>현재가/변동성/MDD/차트</t>
        </is>
      </c>
    </row>
    <row r="8" ht="24" customHeight="1">
      <c r="A8" s="24" t="inlineStr">
        <is>
          <t>Live peer</t>
        </is>
      </c>
      <c r="B8" s="30" t="n">
        <v>5</v>
      </c>
      <c r="C8" s="24" t="inlineStr">
        <is>
          <t>OK</t>
        </is>
      </c>
      <c r="D8" s="24" t="inlineStr">
        <is>
          <t>P/S, PER, PBR</t>
        </is>
      </c>
    </row>
    <row r="9" ht="24" customHeight="1">
      <c r="A9" s="29" t="inlineStr">
        <is>
          <t>208개 Reference Universe</t>
        </is>
      </c>
      <c r="B9" s="31" t="n">
        <v>208</v>
      </c>
      <c r="C9" s="29" t="inlineStr">
        <is>
          <t>OK</t>
        </is>
      </c>
      <c r="D9" s="29" t="inlineStr">
        <is>
          <t>상대 위치/ML 보조</t>
        </is>
      </c>
    </row>
    <row r="10" ht="24" customHeight="1">
      <c r="A10" s="24" t="inlineStr">
        <is>
          <t>가치평가 스코어카드</t>
        </is>
      </c>
      <c r="B10" s="30" t="n">
        <v>7</v>
      </c>
      <c r="C10" s="24" t="inlineStr">
        <is>
          <t>OK</t>
        </is>
      </c>
      <c r="D10" s="24" t="inlineStr">
        <is>
          <t>투자자 요약/Chair 보조</t>
        </is>
      </c>
    </row>
    <row r="11" ht="24" customHeight="1">
      <c r="A11" s="29" t="inlineStr">
        <is>
          <t>Validation</t>
        </is>
      </c>
      <c r="B11" s="31" t="n">
        <v>1</v>
      </c>
      <c r="C11" s="29" t="inlineStr">
        <is>
          <t>PASS</t>
        </is>
      </c>
      <c r="D11" s="29" t="inlineStr">
        <is>
          <t>경고/품질 배지</t>
        </is>
      </c>
    </row>
    <row r="12" ht="24" customHeight="1"/>
    <row r="13" ht="24" customHeight="1"/>
    <row r="14" ht="24" customHeight="1">
      <c r="A14" s="22" t="inlineStr">
        <is>
          <t>Validation 이슈</t>
        </is>
      </c>
    </row>
    <row r="15" ht="24" customHeight="1">
      <c r="A15" s="25" t="inlineStr">
        <is>
          <t>중요도</t>
        </is>
      </c>
      <c r="B15" s="25" t="inlineStr">
        <is>
          <t>코드</t>
        </is>
      </c>
      <c r="C15" s="25" t="inlineStr">
        <is>
          <t>메시지</t>
        </is>
      </c>
    </row>
    <row r="16" ht="24" customHeight="1">
      <c r="A16" s="24" t="inlineStr">
        <is>
          <t>INFO</t>
        </is>
      </c>
      <c r="B16" s="24" t="inlineStr">
        <is>
          <t>NO_MAJOR_WARNINGS</t>
        </is>
      </c>
      <c r="C16" s="24" t="inlineStr">
        <is>
          <t>주요 validation warning 없음</t>
        </is>
      </c>
    </row>
  </sheetData>
  <autoFilter ref="A15:C16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어보브반도체 종합 가치평가 요약</t>
        </is>
      </c>
    </row>
    <row r="2" ht="28" customHeight="1">
      <c r="A2" s="17" t="inlineStr">
        <is>
          <t>DCF·상대가치·역산 DCF·오너 이익·EPV·Graham Number로 교차검증</t>
        </is>
      </c>
    </row>
    <row r="3" ht="24" customHeight="1"/>
    <row r="4" ht="24" customHeight="1">
      <c r="A4" s="18" t="inlineStr">
        <is>
          <t>종합 가치평가 점수</t>
        </is>
      </c>
      <c r="B4" s="19" t="n"/>
      <c r="C4" s="18" t="inlineStr">
        <is>
          <t>가치범위 중앙값</t>
        </is>
      </c>
      <c r="D4" s="19" t="n"/>
      <c r="E4" s="18" t="inlineStr">
        <is>
          <t>안전마진</t>
        </is>
      </c>
      <c r="F4" s="19" t="n"/>
      <c r="G4" s="18" t="inlineStr">
        <is>
          <t>역산 DCF</t>
        </is>
      </c>
      <c r="H4" s="19" t="n"/>
      <c r="I4" s="18" t="inlineStr">
        <is>
          <t>오너 이익</t>
        </is>
      </c>
      <c r="J4" s="19" t="n"/>
      <c r="K4" s="18" t="inlineStr">
        <is>
          <t>검증상태</t>
        </is>
      </c>
      <c r="L4" s="19" t="n"/>
    </row>
    <row r="5" ht="24" customHeight="1">
      <c r="A5" s="20" t="inlineStr">
        <is>
          <t>44.0/100</t>
        </is>
      </c>
      <c r="B5" s="19" t="n"/>
      <c r="C5" s="20" t="inlineStr">
        <is>
          <t>6,476원</t>
        </is>
      </c>
      <c r="D5" s="19" t="n"/>
      <c r="E5" s="20" t="inlineStr">
        <is>
          <t>-45.5%</t>
        </is>
      </c>
      <c r="F5" s="19" t="n"/>
      <c r="G5" s="20" t="inlineStr">
        <is>
          <t>5.2%</t>
        </is>
      </c>
      <c r="H5" s="19" t="n"/>
      <c r="I5" s="20" t="inlineStr">
        <is>
          <t>3,644원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복수 방법 교차검증</t>
        </is>
      </c>
      <c r="B6" s="19" t="n"/>
      <c r="C6" s="21" t="inlineStr">
        <is>
          <t>밸류에이션 부담</t>
        </is>
      </c>
      <c r="D6" s="19" t="n"/>
      <c r="E6" s="21" t="inlineStr">
        <is>
          <t>중앙값/현재가-1</t>
        </is>
      </c>
      <c r="F6" s="19" t="n"/>
      <c r="G6" s="21" t="inlineStr">
        <is>
          <t>시장가격 내재 성장률</t>
        </is>
      </c>
      <c r="H6" s="19" t="n"/>
      <c r="I6" s="21" t="inlineStr">
        <is>
          <t>보수 현금창출 기준</t>
        </is>
      </c>
      <c r="J6" s="19" t="n"/>
      <c r="K6" s="21" t="inlineStr">
        <is>
          <t>PASS 권장</t>
        </is>
      </c>
      <c r="L6" s="19" t="n"/>
    </row>
    <row r="7" ht="24" customHeight="1"/>
    <row r="8" ht="24" customHeight="1"/>
    <row r="9" ht="24" customHeight="1">
      <c r="A9" s="22" t="inlineStr">
        <is>
          <t>투자자용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결론</t>
        </is>
      </c>
      <c r="B11" s="24" t="inlineStr">
        <is>
          <t>현 가격과 내재가치·상대가치가 크게 벌어지지 않은 구간입니다.</t>
        </is>
      </c>
    </row>
    <row r="12" ht="24" customHeight="1">
      <c r="A12" s="29" t="inlineStr">
        <is>
          <t>핵심 산식</t>
        </is>
      </c>
      <c r="B12" s="29" t="inlineStr">
        <is>
          <t>DCF + 피어 멀티플 가치범위표 + 역산 DCF + 오너 이익/EPV + 시장내재 배수 + 데이터 커버리지</t>
        </is>
      </c>
    </row>
    <row r="13" ht="24" customHeight="1">
      <c r="A13" s="24" t="inlineStr">
        <is>
          <t>사용 이유</t>
        </is>
      </c>
      <c r="B13" s="24" t="inlineStr">
        <is>
          <t>DCF는 가정 민감도가 크므로, 시장이 내재한 성장률과 상대가치·현금창출 가치가 같은 방향인지 확인합니다.</t>
        </is>
      </c>
    </row>
    <row r="14" ht="24" customHeight="1">
      <c r="A14" s="29" t="inlineStr">
        <is>
          <t>대시보드 활용</t>
        </is>
      </c>
      <c r="B14" s="29" t="inlineStr">
        <is>
          <t>summary_cards와 advanced_valuation 블록을 사용하면 Streamlit/React에서 가치범위 차트·민감도 카드·다운로드 버튼 구현 가능</t>
        </is>
      </c>
    </row>
    <row r="15" ht="24" customHeight="1"/>
    <row r="16" ht="24" customHeight="1"/>
    <row r="17" ht="24" customHeight="1">
      <c r="A17" s="22" t="inlineStr">
        <is>
          <t>방법별 내재가격 요약</t>
        </is>
      </c>
    </row>
    <row r="18" ht="24" customHeight="1">
      <c r="A18" s="25" t="inlineStr">
        <is>
          <t>방법 코드</t>
        </is>
      </c>
      <c r="B18" s="25" t="inlineStr">
        <is>
          <t>가치평가 방법</t>
        </is>
      </c>
      <c r="C18" s="25" t="inlineStr">
        <is>
          <t>하단 지분가치</t>
        </is>
      </c>
      <c r="D18" s="25" t="inlineStr">
        <is>
          <t>중앙 지분가치</t>
        </is>
      </c>
      <c r="E18" s="25" t="inlineStr">
        <is>
          <t>상단 지분가치</t>
        </is>
      </c>
      <c r="F18" s="25" t="inlineStr">
        <is>
          <t>하단 주당가치</t>
        </is>
      </c>
      <c r="G18" s="25" t="inlineStr">
        <is>
          <t>중앙 주당가치</t>
        </is>
      </c>
      <c r="H18" s="25" t="inlineStr">
        <is>
          <t>상단 주당가치</t>
        </is>
      </c>
      <c r="I18" s="25" t="inlineStr">
        <is>
          <t>현재가</t>
        </is>
      </c>
      <c r="J18" s="25" t="inlineStr">
        <is>
          <t>현재가 대비</t>
        </is>
      </c>
      <c r="K18" s="25" t="inlineStr">
        <is>
          <t>해석</t>
        </is>
      </c>
      <c r="L18" s="25" t="inlineStr">
        <is>
          <t>출처</t>
        </is>
      </c>
      <c r="M18" s="25" t="inlineStr">
        <is>
          <t>신뢰도</t>
        </is>
      </c>
    </row>
    <row r="19" ht="24" customHeight="1">
      <c r="A19" s="24" t="inlineStr">
        <is>
          <t>DCF_BASE</t>
        </is>
      </c>
      <c r="B19" s="24" t="inlineStr">
        <is>
          <t>DCF 기준가치</t>
        </is>
      </c>
      <c r="C19" s="30" t="n">
        <v>87450469731.16899</v>
      </c>
      <c r="D19" s="30" t="n">
        <v>102882905566.0812</v>
      </c>
      <c r="E19" s="30" t="n">
        <v>118315341400.9933</v>
      </c>
      <c r="F19" s="30" t="n">
        <v>4918.265819854142</v>
      </c>
      <c r="G19" s="30" t="n">
        <v>5786.195082181344</v>
      </c>
      <c r="H19" s="30" t="n">
        <v>6654.124344508545</v>
      </c>
      <c r="I19" s="30" t="n">
        <v>11890</v>
      </c>
      <c r="J19" s="35" t="n">
        <v>-0.5133561747534614</v>
      </c>
      <c r="K19" s="24" t="inlineStr">
        <is>
          <t>밸류에이션 부담</t>
        </is>
      </c>
      <c r="L19" s="24" t="inlineStr">
        <is>
          <t>Valuation Agent DCF</t>
        </is>
      </c>
      <c r="M19" s="24" t="inlineStr">
        <is>
          <t>핵심 모델</t>
        </is>
      </c>
    </row>
    <row r="20" ht="24" customHeight="1">
      <c r="A20" s="29" t="inlineStr">
        <is>
          <t>PSR_COMP</t>
        </is>
      </c>
      <c r="B20" s="29" t="inlineStr">
        <is>
          <t>P/S 상대가치</t>
        </is>
      </c>
      <c r="C20" s="31" t="n">
        <v>345234431244.7841</v>
      </c>
      <c r="D20" s="31" t="n">
        <v>854603351952.2654</v>
      </c>
      <c r="E20" s="31" t="n">
        <v>912087685673.5658</v>
      </c>
      <c r="F20" s="31" t="n">
        <v>19416.18733721705</v>
      </c>
      <c r="G20" s="31" t="n">
        <v>48063.39483779261</v>
      </c>
      <c r="H20" s="31" t="n">
        <v>51296.34755477261</v>
      </c>
      <c r="I20" s="31" t="n">
        <v>11890</v>
      </c>
      <c r="J20" s="36" t="n">
        <v>3.042337665079277</v>
      </c>
      <c r="K20" s="29" t="inlineStr">
        <is>
          <t>상승여력 우호</t>
        </is>
      </c>
      <c r="L20" s="29" t="inlineStr">
        <is>
          <t>시가총액/매출 피어 비교</t>
        </is>
      </c>
      <c r="M20" s="29" t="inlineStr">
        <is>
          <t>피어 중앙값 기반</t>
        </is>
      </c>
    </row>
    <row r="21" ht="24" customHeight="1">
      <c r="A21" s="24" t="inlineStr">
        <is>
          <t>PBR_COMP</t>
        </is>
      </c>
      <c r="B21" s="24" t="inlineStr">
        <is>
          <t>P/B 상대가치</t>
        </is>
      </c>
      <c r="C21" s="30" t="n">
        <v>405960549852.4182</v>
      </c>
      <c r="D21" s="30" t="n">
        <v>420088624578.6984</v>
      </c>
      <c r="E21" s="30" t="n">
        <v>607389818441.5217</v>
      </c>
      <c r="F21" s="30" t="n">
        <v>22831.45994168066</v>
      </c>
      <c r="G21" s="30" t="n">
        <v>23626.03116857303</v>
      </c>
      <c r="H21" s="30" t="n">
        <v>34159.96040446216</v>
      </c>
      <c r="I21" s="30" t="n">
        <v>11890</v>
      </c>
      <c r="J21" s="35" t="n">
        <v>0.9870505608555953</v>
      </c>
      <c r="K21" s="24" t="inlineStr">
        <is>
          <t>상승여력 우호</t>
        </is>
      </c>
      <c r="L21" s="24" t="inlineStr">
        <is>
          <t>시가총액/자본 피어 비교</t>
        </is>
      </c>
      <c r="M21" s="24" t="inlineStr">
        <is>
          <t>피어 중앙값 기반</t>
        </is>
      </c>
    </row>
    <row r="22" ht="24" customHeight="1">
      <c r="A22" s="29" t="inlineStr">
        <is>
          <t>PER_COMP</t>
        </is>
      </c>
      <c r="B22" s="29" t="inlineStr">
        <is>
          <t>PER 상대가치</t>
        </is>
      </c>
      <c r="C22" s="31" t="n">
        <v>40931972410.85367</v>
      </c>
      <c r="D22" s="31" t="n">
        <v>47283377329.28766</v>
      </c>
      <c r="E22" s="31" t="n">
        <v>64886730916.05988</v>
      </c>
      <c r="F22" s="31" t="n">
        <v>2302.03818763208</v>
      </c>
      <c r="G22" s="31" t="n">
        <v>2659.244933512527</v>
      </c>
      <c r="H22" s="31" t="n">
        <v>3649.267886239682</v>
      </c>
      <c r="I22" s="31" t="n">
        <v>11890</v>
      </c>
      <c r="J22" s="36" t="n">
        <v>-0.7763460947424283</v>
      </c>
      <c r="K22" s="29" t="inlineStr">
        <is>
          <t>밸류에이션 부담</t>
        </is>
      </c>
      <c r="L22" s="29" t="inlineStr">
        <is>
          <t>시가총액/순이익 피어 비교</t>
        </is>
      </c>
      <c r="M22" s="29" t="inlineStr">
        <is>
          <t>피어 중앙값 기반</t>
        </is>
      </c>
    </row>
    <row r="23" ht="24" customHeight="1">
      <c r="A23" s="24" t="inlineStr">
        <is>
          <t>PFCF_COMP</t>
        </is>
      </c>
      <c r="B23" s="24" t="inlineStr">
        <is>
          <t>P/FCF 상대가치</t>
        </is>
      </c>
      <c r="C23" s="30" t="n">
        <v>43700563847.7087</v>
      </c>
      <c r="D23" s="30" t="n">
        <v>104409892719.5622</v>
      </c>
      <c r="E23" s="30" t="n">
        <v>119911073632.8135</v>
      </c>
      <c r="F23" s="30" t="n">
        <v>2457.745397380454</v>
      </c>
      <c r="G23" s="30" t="n">
        <v>5872.073737234985</v>
      </c>
      <c r="H23" s="30" t="n">
        <v>6743.869263175386</v>
      </c>
      <c r="I23" s="30" t="n">
        <v>11890</v>
      </c>
      <c r="J23" s="35" t="n">
        <v>-0.5061334115025244</v>
      </c>
      <c r="K23" s="24" t="inlineStr">
        <is>
          <t>밸류에이션 부담</t>
        </is>
      </c>
      <c r="L23" s="24" t="inlineStr">
        <is>
          <t>시가총액/FCF 피어 비교</t>
        </is>
      </c>
      <c r="M23" s="24" t="inlineStr">
        <is>
          <t>피어 중앙값 기반</t>
        </is>
      </c>
    </row>
    <row r="24" ht="24" customHeight="1">
      <c r="A24" s="29" t="inlineStr">
        <is>
          <t>EV_SALES_COMP</t>
        </is>
      </c>
      <c r="B24" s="29" t="inlineStr">
        <is>
          <t>EV/Sales 상대가치</t>
        </is>
      </c>
      <c r="C24" s="31" t="n">
        <v>410232670630.6395</v>
      </c>
      <c r="D24" s="31" t="n">
        <v>858102522558.1816</v>
      </c>
      <c r="E24" s="31" t="n">
        <v>1975442179345.903</v>
      </c>
      <c r="F24" s="31" t="n">
        <v>23071.72652534116</v>
      </c>
      <c r="G24" s="31" t="n">
        <v>48260.19024943328</v>
      </c>
      <c r="H24" s="31" t="n">
        <v>111100.0293039278</v>
      </c>
      <c r="I24" s="31" t="n">
        <v>11890</v>
      </c>
      <c r="J24" s="36" t="n">
        <v>3.058889003316509</v>
      </c>
      <c r="K24" s="29" t="inlineStr">
        <is>
          <t>상승여력 우호</t>
        </is>
      </c>
      <c r="L24" s="29" t="inlineStr">
        <is>
          <t>EV/매출 피어 비교</t>
        </is>
      </c>
      <c r="M24" s="29" t="inlineStr">
        <is>
          <t>EV 조정 피어 기준</t>
        </is>
      </c>
    </row>
    <row r="25" ht="24" customHeight="1">
      <c r="A25" s="24" t="inlineStr">
        <is>
          <t>EV_EBIT_COMP</t>
        </is>
      </c>
      <c r="B25" s="24" t="inlineStr">
        <is>
          <t>EV/EBIT 상대가치</t>
        </is>
      </c>
      <c r="C25" s="30" t="n">
        <v>91676204446.38287</v>
      </c>
      <c r="D25" s="30" t="n">
        <v>115144083361.2585</v>
      </c>
      <c r="E25" s="30" t="n">
        <v>364290501392.5912</v>
      </c>
      <c r="F25" s="30" t="n">
        <v>5155.923624066027</v>
      </c>
      <c r="G25" s="30" t="n">
        <v>6475.770928332363</v>
      </c>
      <c r="H25" s="30" t="n">
        <v>20487.91192322345</v>
      </c>
      <c r="I25" s="30" t="n">
        <v>11890</v>
      </c>
      <c r="J25" s="35" t="n">
        <v>-0.4553598882815506</v>
      </c>
      <c r="K25" s="24" t="inlineStr">
        <is>
          <t>밸류에이션 부담</t>
        </is>
      </c>
      <c r="L25" s="24" t="inlineStr">
        <is>
          <t>EV/영업이익 피어 비교</t>
        </is>
      </c>
      <c r="M25" s="24" t="inlineStr">
        <is>
          <t>EV 조정 피어 기준</t>
        </is>
      </c>
    </row>
    <row r="26" ht="24" customHeight="1"/>
    <row r="27" ht="24" customHeight="1"/>
    <row r="28" ht="24" customHeight="1">
      <c r="A28" s="22" t="inlineStr">
        <is>
          <t>시장내재 배수 자동산출</t>
        </is>
      </c>
    </row>
    <row r="29" ht="24" customHeight="1">
      <c r="A29" s="25" t="inlineStr">
        <is>
          <t>latest_close</t>
        </is>
      </c>
      <c r="B29" s="25" t="inlineStr">
        <is>
          <t>시가총액</t>
        </is>
      </c>
      <c r="C29" s="25" t="inlineStr">
        <is>
          <t>EV proxy</t>
        </is>
      </c>
      <c r="D29" s="25" t="inlineStr">
        <is>
          <t>psr_market</t>
        </is>
      </c>
      <c r="E29" s="25" t="inlineStr">
        <is>
          <t>pbr_market</t>
        </is>
      </c>
      <c r="F29" s="25" t="inlineStr">
        <is>
          <t>per_market</t>
        </is>
      </c>
      <c r="G29" s="25" t="inlineStr">
        <is>
          <t>p_fcf_market</t>
        </is>
      </c>
      <c r="H29" s="25" t="inlineStr">
        <is>
          <t>ev_sales_market</t>
        </is>
      </c>
      <c r="I29" s="25" t="inlineStr">
        <is>
          <t>ev_ebit_market</t>
        </is>
      </c>
      <c r="J29" s="25" t="inlineStr">
        <is>
          <t>eps_derived</t>
        </is>
      </c>
      <c r="K29" s="25" t="inlineStr">
        <is>
          <t>bps_derived</t>
        </is>
      </c>
      <c r="L29" s="25" t="inlineStr">
        <is>
          <t>fcf_yield_market</t>
        </is>
      </c>
      <c r="M29" s="25" t="inlineStr">
        <is>
          <t>sales_yield_market</t>
        </is>
      </c>
      <c r="N29" s="25" t="inlineStr">
        <is>
          <t>source_kr</t>
        </is>
      </c>
    </row>
    <row r="30" ht="24" customHeight="1">
      <c r="A30" s="30" t="n">
        <v>11890</v>
      </c>
      <c r="B30" s="30" t="n">
        <v>211413153170</v>
      </c>
      <c r="C30" s="30" t="n">
        <v>324755498261</v>
      </c>
      <c r="D30" s="42" t="n">
        <v>0.8660085106056655</v>
      </c>
      <c r="E30" s="42" t="n">
        <v>1.368879027544403</v>
      </c>
      <c r="F30" s="42" t="n">
        <v>107.8956185135952</v>
      </c>
      <c r="G30" s="42" t="n">
        <v>31.31890519985617</v>
      </c>
      <c r="H30" s="42" t="n">
        <v>1.330291049270051</v>
      </c>
      <c r="I30" s="42" t="n">
        <v>32.00133771515592</v>
      </c>
      <c r="J30" s="30" t="n">
        <v>110.1990994982046</v>
      </c>
      <c r="K30" s="30" t="n">
        <v>8685.93919605092</v>
      </c>
      <c r="L30" s="35" t="n">
        <v>0.03192959631311099</v>
      </c>
      <c r="M30" s="35" t="n">
        <v>1.154723063056995</v>
      </c>
      <c r="N30" s="24" t="inlineStr">
        <is>
          <t>DART 정규화 재무제표 + Valuation Agent 주가/발행주식 수 intake로 자동 산출</t>
        </is>
      </c>
    </row>
    <row r="31" ht="24" customHeight="1"/>
    <row r="32" ht="24" customHeight="1"/>
    <row r="33" ht="24" customHeight="1">
      <c r="A33" s="22" t="inlineStr">
        <is>
          <t>품질 진단 체크</t>
        </is>
      </c>
    </row>
    <row r="34" ht="24" customHeight="1">
      <c r="A34" s="25" t="inlineStr">
        <is>
          <t>진단항목</t>
        </is>
      </c>
      <c r="B34" s="25" t="inlineStr">
        <is>
          <t>상태</t>
        </is>
      </c>
      <c r="C34" s="25" t="inlineStr">
        <is>
          <t>근거값</t>
        </is>
      </c>
      <c r="D34" s="25" t="inlineStr">
        <is>
          <t>해석</t>
        </is>
      </c>
    </row>
    <row r="35" ht="24" customHeight="1">
      <c r="A35" s="24" t="inlineStr">
        <is>
          <t>재무제표 기간</t>
        </is>
      </c>
      <c r="B35" s="24" t="inlineStr">
        <is>
          <t>충분</t>
        </is>
      </c>
      <c r="C35" s="30" t="n">
        <v>5</v>
      </c>
      <c r="D35" s="24" t="inlineStr">
        <is>
          <t>5개년이면 DCF 추세 가정과 CAGR 산정에 충분합니다.</t>
        </is>
      </c>
    </row>
    <row r="36" ht="24" customHeight="1">
      <c r="A36" s="29" t="inlineStr">
        <is>
          <t>주가 이력</t>
        </is>
      </c>
      <c r="B36" s="29" t="inlineStr">
        <is>
          <t>충분</t>
        </is>
      </c>
      <c r="C36" s="31" t="n">
        <v>1221</v>
      </c>
      <c r="D36" s="29" t="inlineStr">
        <is>
          <t>현재가, 52주 범위, MDD, 변동성, 거래대금 지표 품질을 좌우합니다.</t>
        </is>
      </c>
    </row>
    <row r="37" ht="24" customHeight="1">
      <c r="A37" s="24" t="inlineStr">
        <is>
          <t>가치평가 방법 수</t>
        </is>
      </c>
      <c r="B37" s="24" t="inlineStr">
        <is>
          <t>충분</t>
        </is>
      </c>
      <c r="C37" s="30" t="n">
        <v>7</v>
      </c>
      <c r="D37" s="24" t="inlineStr">
        <is>
          <t>DCF 하나가 아니라 상대가치·EV 멀티플·현금창출 지표까지 교차검증합니다.</t>
        </is>
      </c>
    </row>
    <row r="38" ht="24" customHeight="1">
      <c r="A38" s="29" t="inlineStr">
        <is>
          <t>수익성</t>
        </is>
      </c>
      <c r="B38" s="29" t="inlineStr">
        <is>
          <t>중립</t>
        </is>
      </c>
      <c r="C38" s="31" t="n">
        <v>0.04156985752005054</v>
      </c>
      <c r="D38" s="29" t="inlineStr">
        <is>
          <t>영업이익률이 높을수록 DCF의 현금흐름 안정성이 높습니다.</t>
        </is>
      </c>
    </row>
    <row r="39" ht="24" customHeight="1">
      <c r="A39" s="24" t="inlineStr">
        <is>
          <t>현금창출</t>
        </is>
      </c>
      <c r="B39" s="24" t="inlineStr">
        <is>
          <t>중립</t>
        </is>
      </c>
      <c r="C39" s="30" t="n">
        <v>0.02765130214735739</v>
      </c>
      <c r="D39" s="24" t="inlineStr">
        <is>
          <t>FCF margin과 오너 이익 수익률이 DCF 품질의 핵심입니다.</t>
        </is>
      </c>
    </row>
    <row r="40" ht="24" customHeight="1">
      <c r="A40" s="29" t="inlineStr">
        <is>
          <t>재무 레버리지</t>
        </is>
      </c>
      <c r="B40" s="29" t="inlineStr">
        <is>
          <t>보수적</t>
        </is>
      </c>
      <c r="C40" s="31" t="n">
        <v>0.8521787103408686</v>
      </c>
      <c r="D40" s="29" t="inlineStr">
        <is>
          <t>부채/자본이 높으면 WACC와 지분가치 산정에 보수 가정을 적용합니다.</t>
        </is>
      </c>
    </row>
    <row r="41" ht="24" customHeight="1">
      <c r="A41" s="24" t="inlineStr">
        <is>
          <t>시장 내재가정</t>
        </is>
      </c>
      <c r="B41" s="24" t="inlineStr">
        <is>
          <t>계산 완료</t>
        </is>
      </c>
      <c r="C41" s="30" t="n">
        <v>0.05184902936990823</v>
      </c>
      <c r="D41" s="24" t="inlineStr">
        <is>
          <t>현재 시가총액이 요구하는 영구성장률을 역산해 과도한 기대가 반영됐는지 확인합니다.</t>
        </is>
      </c>
    </row>
    <row r="42" ht="24" customHeight="1">
      <c r="A42" s="29" t="inlineStr">
        <is>
          <t>오너 이익</t>
        </is>
      </c>
      <c r="B42" s="29" t="inlineStr">
        <is>
          <t>계산 완료</t>
        </is>
      </c>
      <c r="C42" s="31" t="n">
        <v>3644.405026971441</v>
      </c>
      <c r="D42" s="29" t="inlineStr">
        <is>
          <t>CFO-CAPEX 또는 FCF 기반 보수 가치가 DCF와 같은 방향인지 확인합니다.</t>
        </is>
      </c>
    </row>
  </sheetData>
  <autoFilter ref="A34:D42"/>
  <mergeCells count="24">
    <mergeCell ref="C6:D6"/>
    <mergeCell ref="I6:J6"/>
    <mergeCell ref="C5:D5"/>
    <mergeCell ref="E5:F5"/>
    <mergeCell ref="K5:L5"/>
    <mergeCell ref="A6:B6"/>
    <mergeCell ref="C4:D4"/>
    <mergeCell ref="A33:F33"/>
    <mergeCell ref="A2:L2"/>
    <mergeCell ref="E4:F4"/>
    <mergeCell ref="A17:F17"/>
    <mergeCell ref="G6:H6"/>
    <mergeCell ref="E6:F6"/>
    <mergeCell ref="A28:F28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4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어보브반도체 가치범위표</t>
        </is>
      </c>
    </row>
    <row r="2" ht="28" customHeight="1">
      <c r="A2" s="17" t="inlineStr">
        <is>
          <t>DCF, P/S, P/B, PER, P/FCF, EV/Sales, EV/EBIT 기준 내재가격 범위를 한 화면에서 비교</t>
        </is>
      </c>
    </row>
    <row r="3" ht="24" customHeight="1"/>
    <row r="4" ht="24" customHeight="1">
      <c r="A4" s="18" t="inlineStr">
        <is>
          <t>현재가</t>
        </is>
      </c>
      <c r="B4" s="19" t="n"/>
      <c r="C4" s="18" t="inlineStr">
        <is>
          <t>하단값</t>
        </is>
      </c>
      <c r="D4" s="19" t="n"/>
      <c r="E4" s="18" t="inlineStr">
        <is>
          <t>중앙값</t>
        </is>
      </c>
      <c r="F4" s="19" t="n"/>
      <c r="G4" s="18" t="inlineStr">
        <is>
          <t>상단값</t>
        </is>
      </c>
      <c r="H4" s="19" t="n"/>
      <c r="I4" s="18" t="inlineStr">
        <is>
          <t>방법 수</t>
        </is>
      </c>
      <c r="J4" s="19" t="n"/>
      <c r="K4" s="18" t="inlineStr">
        <is>
          <t>안전마진</t>
        </is>
      </c>
      <c r="L4" s="19" t="n"/>
    </row>
    <row r="5" ht="24" customHeight="1">
      <c r="A5" s="20" t="inlineStr">
        <is>
          <t>11,890원</t>
        </is>
      </c>
      <c r="B5" s="19" t="n"/>
      <c r="C5" s="20" t="inlineStr">
        <is>
          <t>5,829원</t>
        </is>
      </c>
      <c r="D5" s="19" t="n"/>
      <c r="E5" s="20" t="inlineStr">
        <is>
          <t>6,476원</t>
        </is>
      </c>
      <c r="F5" s="19" t="n"/>
      <c r="G5" s="20" t="inlineStr">
        <is>
          <t>35,845원</t>
        </is>
      </c>
      <c r="H5" s="19" t="n"/>
      <c r="I5" s="20" t="inlineStr">
        <is>
          <t>7</t>
        </is>
      </c>
      <c r="J5" s="19" t="n"/>
      <c r="K5" s="20" t="inlineStr">
        <is>
          <t>-45.5%</t>
        </is>
      </c>
      <c r="L5" s="19" t="n"/>
    </row>
    <row r="6" ht="24" customHeight="1">
      <c r="A6" s="21" t="inlineStr">
        <is>
          <t>시장 기준</t>
        </is>
      </c>
      <c r="B6" s="19" t="n"/>
      <c r="C6" s="21" t="inlineStr">
        <is>
          <t>25% 분위</t>
        </is>
      </c>
      <c r="D6" s="19" t="n"/>
      <c r="E6" s="21" t="inlineStr">
        <is>
          <t>50% 분위</t>
        </is>
      </c>
      <c r="F6" s="19" t="n"/>
      <c r="G6" s="21" t="inlineStr">
        <is>
          <t>75% 분위</t>
        </is>
      </c>
      <c r="H6" s="19" t="n"/>
      <c r="I6" s="21" t="inlineStr">
        <is>
          <t>산출 가능한 방법</t>
        </is>
      </c>
      <c r="J6" s="19" t="n"/>
      <c r="K6" s="21" t="inlineStr">
        <is>
          <t>중앙값 기준</t>
        </is>
      </c>
      <c r="L6" s="19" t="n"/>
    </row>
    <row r="7" ht="24" customHeight="1"/>
    <row r="8" ht="24" customHeight="1"/>
    <row r="9" ht="24" customHeight="1">
      <c r="A9" s="22" t="inlineStr">
        <is>
          <t>가치평가 방법별 Low/Base/High</t>
        </is>
      </c>
    </row>
    <row r="10" ht="24" customHeight="1">
      <c r="A10" s="25" t="inlineStr">
        <is>
          <t>방법 코드</t>
        </is>
      </c>
      <c r="B10" s="25" t="inlineStr">
        <is>
          <t>가치평가 방법</t>
        </is>
      </c>
      <c r="C10" s="25" t="inlineStr">
        <is>
          <t>하단 지분가치</t>
        </is>
      </c>
      <c r="D10" s="25" t="inlineStr">
        <is>
          <t>중앙 지분가치</t>
        </is>
      </c>
      <c r="E10" s="25" t="inlineStr">
        <is>
          <t>상단 지분가치</t>
        </is>
      </c>
      <c r="F10" s="25" t="inlineStr">
        <is>
          <t>하단 주당가치</t>
        </is>
      </c>
      <c r="G10" s="25" t="inlineStr">
        <is>
          <t>중앙 주당가치</t>
        </is>
      </c>
      <c r="H10" s="25" t="inlineStr">
        <is>
          <t>상단 주당가치</t>
        </is>
      </c>
      <c r="I10" s="25" t="inlineStr">
        <is>
          <t>현재가</t>
        </is>
      </c>
      <c r="J10" s="25" t="inlineStr">
        <is>
          <t>현재가 대비</t>
        </is>
      </c>
      <c r="K10" s="25" t="inlineStr">
        <is>
          <t>해석</t>
        </is>
      </c>
      <c r="L10" s="25" t="inlineStr">
        <is>
          <t>출처</t>
        </is>
      </c>
      <c r="M10" s="25" t="inlineStr">
        <is>
          <t>신뢰도</t>
        </is>
      </c>
    </row>
    <row r="11" ht="24" customHeight="1">
      <c r="A11" s="24" t="inlineStr">
        <is>
          <t>DCF_BASE</t>
        </is>
      </c>
      <c r="B11" s="24" t="inlineStr">
        <is>
          <t>DCF 기준가치</t>
        </is>
      </c>
      <c r="C11" s="30" t="n">
        <v>87450469731.16899</v>
      </c>
      <c r="D11" s="30" t="n">
        <v>102882905566.0812</v>
      </c>
      <c r="E11" s="30" t="n">
        <v>118315341400.9933</v>
      </c>
      <c r="F11" s="30" t="n">
        <v>4918.265819854142</v>
      </c>
      <c r="G11" s="30" t="n">
        <v>5786.195082181344</v>
      </c>
      <c r="H11" s="30" t="n">
        <v>6654.124344508545</v>
      </c>
      <c r="I11" s="30" t="n">
        <v>11890</v>
      </c>
      <c r="J11" s="35" t="n">
        <v>-0.5133561747534614</v>
      </c>
      <c r="K11" s="24" t="inlineStr">
        <is>
          <t>밸류에이션 부담</t>
        </is>
      </c>
      <c r="L11" s="24" t="inlineStr">
        <is>
          <t>Valuation Agent DCF</t>
        </is>
      </c>
      <c r="M11" s="24" t="inlineStr">
        <is>
          <t>핵심 모델</t>
        </is>
      </c>
    </row>
    <row r="12" ht="24" customHeight="1">
      <c r="A12" s="29" t="inlineStr">
        <is>
          <t>PSR_COMP</t>
        </is>
      </c>
      <c r="B12" s="29" t="inlineStr">
        <is>
          <t>P/S 상대가치</t>
        </is>
      </c>
      <c r="C12" s="31" t="n">
        <v>345234431244.7841</v>
      </c>
      <c r="D12" s="31" t="n">
        <v>854603351952.2654</v>
      </c>
      <c r="E12" s="31" t="n">
        <v>912087685673.5658</v>
      </c>
      <c r="F12" s="31" t="n">
        <v>19416.18733721705</v>
      </c>
      <c r="G12" s="31" t="n">
        <v>48063.39483779261</v>
      </c>
      <c r="H12" s="31" t="n">
        <v>51296.34755477261</v>
      </c>
      <c r="I12" s="31" t="n">
        <v>11890</v>
      </c>
      <c r="J12" s="36" t="n">
        <v>3.042337665079277</v>
      </c>
      <c r="K12" s="29" t="inlineStr">
        <is>
          <t>상승여력 우호</t>
        </is>
      </c>
      <c r="L12" s="29" t="inlineStr">
        <is>
          <t>시가총액/매출 피어 비교</t>
        </is>
      </c>
      <c r="M12" s="29" t="inlineStr">
        <is>
          <t>피어 중앙값 기반</t>
        </is>
      </c>
    </row>
    <row r="13" ht="24" customHeight="1">
      <c r="A13" s="24" t="inlineStr">
        <is>
          <t>PBR_COMP</t>
        </is>
      </c>
      <c r="B13" s="24" t="inlineStr">
        <is>
          <t>P/B 상대가치</t>
        </is>
      </c>
      <c r="C13" s="30" t="n">
        <v>405960549852.4182</v>
      </c>
      <c r="D13" s="30" t="n">
        <v>420088624578.6984</v>
      </c>
      <c r="E13" s="30" t="n">
        <v>607389818441.5217</v>
      </c>
      <c r="F13" s="30" t="n">
        <v>22831.45994168066</v>
      </c>
      <c r="G13" s="30" t="n">
        <v>23626.03116857303</v>
      </c>
      <c r="H13" s="30" t="n">
        <v>34159.96040446216</v>
      </c>
      <c r="I13" s="30" t="n">
        <v>11890</v>
      </c>
      <c r="J13" s="35" t="n">
        <v>0.9870505608555953</v>
      </c>
      <c r="K13" s="24" t="inlineStr">
        <is>
          <t>상승여력 우호</t>
        </is>
      </c>
      <c r="L13" s="24" t="inlineStr">
        <is>
          <t>시가총액/자본 피어 비교</t>
        </is>
      </c>
      <c r="M13" s="24" t="inlineStr">
        <is>
          <t>피어 중앙값 기반</t>
        </is>
      </c>
    </row>
    <row r="14" ht="24" customHeight="1">
      <c r="A14" s="29" t="inlineStr">
        <is>
          <t>PER_COMP</t>
        </is>
      </c>
      <c r="B14" s="29" t="inlineStr">
        <is>
          <t>PER 상대가치</t>
        </is>
      </c>
      <c r="C14" s="31" t="n">
        <v>40931972410.85367</v>
      </c>
      <c r="D14" s="31" t="n">
        <v>47283377329.28766</v>
      </c>
      <c r="E14" s="31" t="n">
        <v>64886730916.05988</v>
      </c>
      <c r="F14" s="31" t="n">
        <v>2302.03818763208</v>
      </c>
      <c r="G14" s="31" t="n">
        <v>2659.244933512527</v>
      </c>
      <c r="H14" s="31" t="n">
        <v>3649.267886239682</v>
      </c>
      <c r="I14" s="31" t="n">
        <v>11890</v>
      </c>
      <c r="J14" s="36" t="n">
        <v>-0.7763460947424283</v>
      </c>
      <c r="K14" s="29" t="inlineStr">
        <is>
          <t>밸류에이션 부담</t>
        </is>
      </c>
      <c r="L14" s="29" t="inlineStr">
        <is>
          <t>시가총액/순이익 피어 비교</t>
        </is>
      </c>
      <c r="M14" s="29" t="inlineStr">
        <is>
          <t>피어 중앙값 기반</t>
        </is>
      </c>
    </row>
    <row r="15" ht="24" customHeight="1">
      <c r="A15" s="24" t="inlineStr">
        <is>
          <t>PFCF_COMP</t>
        </is>
      </c>
      <c r="B15" s="24" t="inlineStr">
        <is>
          <t>P/FCF 상대가치</t>
        </is>
      </c>
      <c r="C15" s="30" t="n">
        <v>43700563847.7087</v>
      </c>
      <c r="D15" s="30" t="n">
        <v>104409892719.5622</v>
      </c>
      <c r="E15" s="30" t="n">
        <v>119911073632.8135</v>
      </c>
      <c r="F15" s="30" t="n">
        <v>2457.745397380454</v>
      </c>
      <c r="G15" s="30" t="n">
        <v>5872.073737234985</v>
      </c>
      <c r="H15" s="30" t="n">
        <v>6743.869263175386</v>
      </c>
      <c r="I15" s="30" t="n">
        <v>11890</v>
      </c>
      <c r="J15" s="35" t="n">
        <v>-0.5061334115025244</v>
      </c>
      <c r="K15" s="24" t="inlineStr">
        <is>
          <t>밸류에이션 부담</t>
        </is>
      </c>
      <c r="L15" s="24" t="inlineStr">
        <is>
          <t>시가총액/FCF 피어 비교</t>
        </is>
      </c>
      <c r="M15" s="24" t="inlineStr">
        <is>
          <t>피어 중앙값 기반</t>
        </is>
      </c>
    </row>
    <row r="16" ht="24" customHeight="1">
      <c r="A16" s="29" t="inlineStr">
        <is>
          <t>EV_SALES_COMP</t>
        </is>
      </c>
      <c r="B16" s="29" t="inlineStr">
        <is>
          <t>EV/Sales 상대가치</t>
        </is>
      </c>
      <c r="C16" s="31" t="n">
        <v>410232670630.6395</v>
      </c>
      <c r="D16" s="31" t="n">
        <v>858102522558.1816</v>
      </c>
      <c r="E16" s="31" t="n">
        <v>1975442179345.903</v>
      </c>
      <c r="F16" s="31" t="n">
        <v>23071.72652534116</v>
      </c>
      <c r="G16" s="31" t="n">
        <v>48260.19024943328</v>
      </c>
      <c r="H16" s="31" t="n">
        <v>111100.0293039278</v>
      </c>
      <c r="I16" s="31" t="n">
        <v>11890</v>
      </c>
      <c r="J16" s="36" t="n">
        <v>3.058889003316509</v>
      </c>
      <c r="K16" s="29" t="inlineStr">
        <is>
          <t>상승여력 우호</t>
        </is>
      </c>
      <c r="L16" s="29" t="inlineStr">
        <is>
          <t>EV/매출 피어 비교</t>
        </is>
      </c>
      <c r="M16" s="29" t="inlineStr">
        <is>
          <t>EV 조정 피어 기준</t>
        </is>
      </c>
    </row>
    <row r="17" ht="24" customHeight="1">
      <c r="A17" s="24" t="inlineStr">
        <is>
          <t>EV_EBIT_COMP</t>
        </is>
      </c>
      <c r="B17" s="24" t="inlineStr">
        <is>
          <t>EV/EBIT 상대가치</t>
        </is>
      </c>
      <c r="C17" s="30" t="n">
        <v>91676204446.38287</v>
      </c>
      <c r="D17" s="30" t="n">
        <v>115144083361.2585</v>
      </c>
      <c r="E17" s="30" t="n">
        <v>364290501392.5912</v>
      </c>
      <c r="F17" s="30" t="n">
        <v>5155.923624066027</v>
      </c>
      <c r="G17" s="30" t="n">
        <v>6475.770928332363</v>
      </c>
      <c r="H17" s="30" t="n">
        <v>20487.91192322345</v>
      </c>
      <c r="I17" s="30" t="n">
        <v>11890</v>
      </c>
      <c r="J17" s="35" t="n">
        <v>-0.4553598882815506</v>
      </c>
      <c r="K17" s="24" t="inlineStr">
        <is>
          <t>밸류에이션 부담</t>
        </is>
      </c>
      <c r="L17" s="24" t="inlineStr">
        <is>
          <t>EV/영업이익 피어 비교</t>
        </is>
      </c>
      <c r="M17" s="24" t="inlineStr">
        <is>
          <t>EV 조정 피어 기준</t>
        </is>
      </c>
    </row>
    <row r="18" ht="24" customHeight="1"/>
    <row r="19" ht="24" customHeight="1"/>
    <row r="20" ht="24" customHeight="1">
      <c r="A20" s="22" t="inlineStr">
        <is>
          <t>사용 가이드</t>
        </is>
      </c>
    </row>
    <row r="21" ht="24" customHeight="1">
      <c r="A21" s="25" t="inlineStr">
        <is>
          <t>항목</t>
        </is>
      </c>
      <c r="B21" s="25" t="inlineStr">
        <is>
          <t>내용</t>
        </is>
      </c>
    </row>
    <row r="22" ht="24" customHeight="1">
      <c r="A22" s="24" t="inlineStr">
        <is>
          <t>해석 방법</t>
        </is>
      </c>
      <c r="B22" s="24" t="inlineStr">
        <is>
          <t>한 방법만 우호적이면 확신도가 낮고, 여러 방법의 중앙값이 현재가보다 높으면 상대적으로 우호적입니다.</t>
        </is>
      </c>
    </row>
    <row r="23" ht="24" customHeight="1">
      <c r="A23" s="29" t="inlineStr">
        <is>
          <t>주의</t>
        </is>
      </c>
      <c r="B23" s="29" t="inlineStr">
        <is>
          <t>PER/PBR/EV/EBIT는 적자·음수 지표에서 자동 제외됩니다. 제외 사유는 빈칸이 아니라 해당 없음으로 표시됩니다.</t>
        </is>
      </c>
    </row>
  </sheetData>
  <autoFilter ref="A21:B23"/>
  <mergeCells count="22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G6:H6"/>
    <mergeCell ref="A20:F20"/>
    <mergeCell ref="E6:F6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어보브반도체 역산 DCF·오너 이익</t>
        </is>
      </c>
    </row>
    <row r="2" ht="28" customHeight="1">
      <c r="A2" s="17" t="inlineStr">
        <is>
          <t>현재 주가가 요구하는 성장률과 현금창출 기준 보수 가치를 점검</t>
        </is>
      </c>
    </row>
    <row r="3" ht="24" customHeight="1"/>
    <row r="4" ht="24" customHeight="1">
      <c r="A4" s="18" t="inlineStr">
        <is>
          <t>시장 내재 EV</t>
        </is>
      </c>
      <c r="B4" s="19" t="n"/>
      <c r="C4" s="18" t="inlineStr">
        <is>
          <t>모델 EV</t>
        </is>
      </c>
      <c r="D4" s="19" t="n"/>
      <c r="E4" s="18" t="inlineStr">
        <is>
          <t>EV 괴리</t>
        </is>
      </c>
      <c r="F4" s="19" t="n"/>
      <c r="G4" s="18" t="inlineStr">
        <is>
          <t>요구 FCF 수익률</t>
        </is>
      </c>
      <c r="H4" s="19" t="n"/>
      <c r="I4" s="18" t="inlineStr">
        <is>
          <t>역산 성장률</t>
        </is>
      </c>
      <c r="J4" s="19" t="n"/>
    </row>
    <row r="5" ht="24" customHeight="1">
      <c r="A5" s="20" t="inlineStr">
        <is>
          <t>3,247.6억원</t>
        </is>
      </c>
      <c r="B5" s="19" t="n"/>
      <c r="C5" s="20" t="inlineStr">
        <is>
          <t>2,162.3억원</t>
        </is>
      </c>
      <c r="D5" s="19" t="n"/>
      <c r="E5" s="20" t="inlineStr">
        <is>
          <t>50.2%</t>
        </is>
      </c>
      <c r="F5" s="19" t="n"/>
      <c r="G5" s="20" t="inlineStr">
        <is>
          <t>2.1%</t>
        </is>
      </c>
      <c r="H5" s="19" t="n"/>
      <c r="I5" s="20" t="inlineStr">
        <is>
          <t>5.2%</t>
        </is>
      </c>
      <c r="J5" s="19" t="n"/>
    </row>
    <row r="6" ht="24" customHeight="1">
      <c r="A6" s="21" t="inlineStr">
        <is>
          <t>시가총액+부채-현금</t>
        </is>
      </c>
      <c r="B6" s="19" t="n"/>
      <c r="C6" s="21" t="inlineStr">
        <is>
          <t>DCF 산출 EV</t>
        </is>
      </c>
      <c r="D6" s="19" t="n"/>
      <c r="E6" s="21" t="inlineStr">
        <is>
          <t>시장/모델-1</t>
        </is>
      </c>
      <c r="F6" s="19" t="n"/>
      <c r="G6" s="21" t="inlineStr">
        <is>
          <t>FCF/시장내재 EV</t>
        </is>
      </c>
      <c r="H6" s="19" t="n"/>
      <c r="I6" s="21" t="inlineStr">
        <is>
          <t>시장가격 내재</t>
        </is>
      </c>
      <c r="J6" s="19" t="n"/>
    </row>
    <row r="7" ht="24" customHeight="1"/>
    <row r="8" ht="24" customHeight="1"/>
    <row r="9" ht="24" customHeight="1">
      <c r="A9" s="22" t="inlineStr">
        <is>
          <t>역산 DCF 핵심값</t>
        </is>
      </c>
    </row>
    <row r="10" ht="24" customHeight="1">
      <c r="A10" s="25" t="inlineStr">
        <is>
          <t>현재가</t>
        </is>
      </c>
      <c r="B10" s="25" t="inlineStr">
        <is>
          <t>시가총액</t>
        </is>
      </c>
      <c r="C10" s="25" t="inlineStr">
        <is>
          <t>시장 내재 EV</t>
        </is>
      </c>
      <c r="D10" s="25" t="inlineStr">
        <is>
          <t>모델 EV</t>
        </is>
      </c>
      <c r="E10" s="25" t="inlineStr">
        <is>
          <t>시장/모델 EV 괴리</t>
        </is>
      </c>
      <c r="F10" s="25" t="inlineStr">
        <is>
          <t>요구 FCF 수익률</t>
        </is>
      </c>
      <c r="G10" s="25" t="inlineStr">
        <is>
          <t>역산 영구성장률</t>
        </is>
      </c>
      <c r="H10" s="25" t="inlineStr">
        <is>
          <t>wacc_used</t>
        </is>
      </c>
      <c r="I10" s="25" t="inlineStr">
        <is>
          <t>해석</t>
        </is>
      </c>
    </row>
    <row r="11" ht="24" customHeight="1">
      <c r="A11" s="30" t="n">
        <v>11890</v>
      </c>
      <c r="B11" s="30" t="n">
        <v>211413153170</v>
      </c>
      <c r="C11" s="30" t="n">
        <v>324755498261</v>
      </c>
      <c r="D11" s="30" t="n">
        <v>216225250657.0812</v>
      </c>
      <c r="E11" s="35" t="n">
        <v>0.501931422320516</v>
      </c>
      <c r="F11" s="35" t="n">
        <v>0.02078590407905851</v>
      </c>
      <c r="G11" s="35" t="n">
        <v>0.05184902936990823</v>
      </c>
      <c r="H11" s="30" t="n">
        <v>0.1041714346658058</v>
      </c>
      <c r="I11" s="24" t="inlineStr">
        <is>
          <t>현재 주가가 요구하는 FCF yield와 영구성장률을 역산해 DCF 가정의 현실성을 점검합니다.</t>
        </is>
      </c>
    </row>
    <row r="12" ht="24" customHeight="1"/>
    <row r="13" ht="24" customHeight="1"/>
    <row r="14" ht="24" customHeight="1">
      <c r="A14" s="22" t="inlineStr">
        <is>
          <t>오너 이익 / EPV / Graham Number</t>
        </is>
      </c>
    </row>
    <row r="15" ht="24" customHeight="1">
      <c r="A15" s="25" t="inlineStr">
        <is>
          <t>오너 이익</t>
        </is>
      </c>
      <c r="B15" s="25" t="inlineStr">
        <is>
          <t>owner_earnings_method_kr</t>
        </is>
      </c>
      <c r="C15" s="25" t="inlineStr">
        <is>
          <t>오너 이익 수익률</t>
        </is>
      </c>
      <c r="D15" s="25" t="inlineStr">
        <is>
          <t>owner_earnings_value</t>
        </is>
      </c>
      <c r="E15" s="25" t="inlineStr">
        <is>
          <t>오너 이익 주당가치</t>
        </is>
      </c>
      <c r="F15" s="25" t="inlineStr">
        <is>
          <t>epv_equity_value</t>
        </is>
      </c>
      <c r="G15" s="25" t="inlineStr">
        <is>
          <t>EPV 주당가치</t>
        </is>
      </c>
      <c r="H15" s="25" t="inlineStr">
        <is>
          <t>eps</t>
        </is>
      </c>
      <c r="I15" s="25" t="inlineStr">
        <is>
          <t>bps</t>
        </is>
      </c>
      <c r="J15" s="25" t="inlineStr">
        <is>
          <t>Graham Number</t>
        </is>
      </c>
      <c r="K15" s="25" t="inlineStr">
        <is>
          <t>method_note_kr</t>
        </is>
      </c>
    </row>
    <row r="16" ht="24" customHeight="1">
      <c r="A16" s="30" t="n">
        <v>6750336636</v>
      </c>
      <c r="B16" s="24" t="inlineStr">
        <is>
          <t>FCF = CFO - CAPEX</t>
        </is>
      </c>
      <c r="C16" s="35" t="n">
        <v>0.03192959631311099</v>
      </c>
      <c r="D16" s="30" t="n">
        <v>64800265616.53753</v>
      </c>
      <c r="E16" s="30" t="n">
        <v>3644.405026971441</v>
      </c>
      <c r="F16" s="30" t="n">
        <v>-39304575589.76395</v>
      </c>
      <c r="G16" s="30" t="n">
        <v>-2210.512433852714</v>
      </c>
      <c r="H16" s="30" t="n">
        <v>110.1990994982046</v>
      </c>
      <c r="I16" s="30" t="n">
        <v>8685.93919605092</v>
      </c>
      <c r="J16" s="30" t="n">
        <v>4640.755353201873</v>
      </c>
      <c r="K16" s="24" t="inlineStr">
        <is>
          <t>오너 이익, EPV, Graham Number는 DCF를 보완하는 보수적 교차검증 지표입니다.</t>
        </is>
      </c>
    </row>
    <row r="17" ht="24" customHeight="1"/>
    <row r="18" ht="24" customHeight="1"/>
    <row r="19" ht="24" customHeight="1">
      <c r="A19" s="22" t="inlineStr">
        <is>
          <t>해석 가이드</t>
        </is>
      </c>
    </row>
    <row r="20" ht="24" customHeight="1">
      <c r="A20" s="25" t="inlineStr">
        <is>
          <t>항목</t>
        </is>
      </c>
      <c r="B20" s="25" t="inlineStr">
        <is>
          <t>내용</t>
        </is>
      </c>
    </row>
    <row r="21" ht="24" customHeight="1">
      <c r="A21" s="24" t="inlineStr">
        <is>
          <t>역산 DCF</t>
        </is>
      </c>
      <c r="B21" s="24" t="inlineStr">
        <is>
          <t>현재 주가를 정당화하려면 어떤 영구성장률·FCF 수익률이 필요한지 역산합니다.</t>
        </is>
      </c>
    </row>
    <row r="22" ht="24" customHeight="1">
      <c r="A22" s="29" t="inlineStr">
        <is>
          <t>오너 이익</t>
        </is>
      </c>
      <c r="B22" s="29" t="inlineStr">
        <is>
          <t>CFO-CAPEX 또는 FCF를 기반으로 보수적 현금창출 가치를 계산합니다.</t>
        </is>
      </c>
    </row>
    <row r="23" ht="24" customHeight="1">
      <c r="A23" s="24" t="inlineStr">
        <is>
          <t>EPV</t>
        </is>
      </c>
      <c r="B23" s="24" t="inlineStr">
        <is>
          <t>영업이익의 지속가능성을 가정해 현재 수익력 기준 기업가치를 확인합니다.</t>
        </is>
      </c>
    </row>
  </sheetData>
  <autoFilter ref="A20:B23"/>
  <mergeCells count="20">
    <mergeCell ref="C6:D6"/>
    <mergeCell ref="I6:J6"/>
    <mergeCell ref="C5:D5"/>
    <mergeCell ref="E5:F5"/>
    <mergeCell ref="A6:B6"/>
    <mergeCell ref="C4:D4"/>
    <mergeCell ref="E4:F4"/>
    <mergeCell ref="A14:F14"/>
    <mergeCell ref="G6:H6"/>
    <mergeCell ref="A1:J1"/>
    <mergeCell ref="E6:F6"/>
    <mergeCell ref="A19:F19"/>
    <mergeCell ref="A9:F9"/>
    <mergeCell ref="A5:B5"/>
    <mergeCell ref="G5:H5"/>
    <mergeCell ref="I5:J5"/>
    <mergeCell ref="A4:B4"/>
    <mergeCell ref="G4:H4"/>
    <mergeCell ref="I4:J4"/>
    <mergeCell ref="A2:J2"/>
  </mergeCells>
  <pageMargins left="0.75" right="0.75" top="1" bottom="1" header="0.5" footer="0.5"/>
  <pageSetup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30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어보브반도체 데이터 수집현황·보강경로</t>
        </is>
      </c>
    </row>
    <row r="2" ht="28" customHeight="1">
      <c r="A2" s="17" t="inlineStr">
        <is>
          <t>원천 제공 여부와 대체 산출 경로를 분리해 Chair·대시보드에서 그대로 확인</t>
        </is>
      </c>
    </row>
    <row r="3" ht="24" customHeight="1"/>
    <row r="4" ht="24" customHeight="1">
      <c r="A4" s="22" t="inlineStr">
        <is>
          <t>데이터 블록별 확보 상태</t>
        </is>
      </c>
    </row>
    <row r="5" ht="24" customHeight="1">
      <c r="A5" s="25" t="inlineStr">
        <is>
          <t>데이터블록</t>
        </is>
      </c>
      <c r="B5" s="25" t="inlineStr">
        <is>
          <t>상태</t>
        </is>
      </c>
      <c r="C5" s="25" t="inlineStr">
        <is>
          <t>수집경로</t>
        </is>
      </c>
      <c r="D5" s="25" t="inlineStr">
        <is>
          <t>가치평가 활용</t>
        </is>
      </c>
      <c r="E5" s="25" t="inlineStr">
        <is>
          <t>대시보드 표시</t>
        </is>
      </c>
    </row>
    <row r="6" ht="24" customHeight="1">
      <c r="A6" s="24" t="inlineStr">
        <is>
          <t>DART 재무제표</t>
        </is>
      </c>
      <c r="B6" s="24" t="inlineStr">
        <is>
          <t>확보</t>
        </is>
      </c>
      <c r="C6" s="24" t="inlineStr">
        <is>
          <t>OpenDART fnlttSinglAcntAll/fnlttSinglAcnt</t>
        </is>
      </c>
      <c r="D6" s="24" t="inlineStr">
        <is>
          <t>매출·자본·순이익·현금흐름 확보</t>
        </is>
      </c>
      <c r="E6" s="24" t="inlineStr">
        <is>
          <t>표시 가능</t>
        </is>
      </c>
    </row>
    <row r="7" ht="24" customHeight="1">
      <c r="A7" s="29" t="inlineStr">
        <is>
          <t>주가 이력</t>
        </is>
      </c>
      <c r="B7" s="29" t="inlineStr">
        <is>
          <t>확보</t>
        </is>
      </c>
      <c r="C7" s="29" t="inlineStr">
        <is>
          <t>yfinance → Yahoo chart → Naver 일별시세 fallback</t>
        </is>
      </c>
      <c r="D7" s="29" t="inlineStr">
        <is>
          <t>현재가·변동성·MDD·거래대금 확보</t>
        </is>
      </c>
      <c r="E7" s="29" t="inlineStr">
        <is>
          <t>표시 가능</t>
        </is>
      </c>
    </row>
    <row r="8" ht="24" customHeight="1">
      <c r="A8" s="24" t="inlineStr">
        <is>
          <t>발행주식 수</t>
        </is>
      </c>
      <c r="B8" s="24" t="inlineStr">
        <is>
          <t>확보</t>
        </is>
      </c>
      <c r="C8" s="24" t="inlineStr">
        <is>
          <t>OpenDART stockTotqySttus</t>
        </is>
      </c>
      <c r="D8" s="24" t="inlineStr">
        <is>
          <t>내재주가·시가총액 계산</t>
        </is>
      </c>
      <c r="E8" s="24" t="inlineStr">
        <is>
          <t>표시 가능</t>
        </is>
      </c>
    </row>
    <row r="9" ht="24" customHeight="1">
      <c r="A9" s="29" t="inlineStr">
        <is>
          <t>피어 멀티플</t>
        </is>
      </c>
      <c r="B9" s="29" t="inlineStr">
        <is>
          <t>확보</t>
        </is>
      </c>
      <c r="C9" s="29" t="inlineStr">
        <is>
          <t>Valuation 전용 live peer intake</t>
        </is>
      </c>
      <c r="D9" s="29" t="inlineStr">
        <is>
          <t>P/S·PER·PBR·EV/Sales 비교</t>
        </is>
      </c>
      <c r="E9" s="29" t="inlineStr">
        <is>
          <t>표시 가능</t>
        </is>
      </c>
    </row>
    <row r="10" ht="24" customHeight="1">
      <c r="A10" s="24" t="inlineStr">
        <is>
          <t>208개 Universe</t>
        </is>
      </c>
      <c r="B10" s="24" t="inlineStr">
        <is>
          <t>확보</t>
        </is>
      </c>
      <c r="C10" s="24" t="inlineStr">
        <is>
          <t>Tech universe 축 복제 + valuation proxy</t>
        </is>
      </c>
      <c r="D10" s="24" t="inlineStr">
        <is>
          <t>대규모 상대 위치 비교</t>
        </is>
      </c>
      <c r="E10" s="24" t="inlineStr">
        <is>
          <t>표시 가능</t>
        </is>
      </c>
    </row>
    <row r="11" ht="24" customHeight="1">
      <c r="A11" s="29" t="inlineStr">
        <is>
          <t>보조 투자지표</t>
        </is>
      </c>
      <c r="B11" s="29" t="inlineStr">
        <is>
          <t>확보</t>
        </is>
      </c>
      <c r="C11" s="29" t="inlineStr">
        <is>
          <t>Naver finance live + DART/주가 자동 산출 fallback</t>
        </is>
      </c>
      <c r="D11" s="29" t="inlineStr">
        <is>
          <t>외부 표시 PER/PBR/EPS/BPS 또는 자체 산출값</t>
        </is>
      </c>
      <c r="E11" s="29" t="inlineStr">
        <is>
          <t>표시 가능</t>
        </is>
      </c>
    </row>
    <row r="12" ht="24" customHeight="1"/>
    <row r="13" ht="24" customHeight="1"/>
    <row r="14" ht="24" customHeight="1">
      <c r="A14" s="22" t="inlineStr">
        <is>
          <t>자동 생성/참조 파일 경로</t>
        </is>
      </c>
    </row>
    <row r="15" ht="24" customHeight="1">
      <c r="A15" s="25" t="inlineStr">
        <is>
          <t>파일구분</t>
        </is>
      </c>
      <c r="B15" s="25" t="inlineStr">
        <is>
          <t>경로</t>
        </is>
      </c>
      <c r="C15" s="25" t="inlineStr">
        <is>
          <t>활용</t>
        </is>
      </c>
    </row>
    <row r="16" ht="24" customHeight="1">
      <c r="A16" s="24" t="inlineStr">
        <is>
          <t>template_catalog_csv</t>
        </is>
      </c>
      <c r="B16" s="24" t="inlineStr">
        <is>
          <t>data/반도체/어보브반도체/valuation/intake/valuation_modeling_template_catalog.csv</t>
        </is>
      </c>
      <c r="C16" s="24" t="inlineStr">
        <is>
          <t>Valuation Agent intake/output</t>
        </is>
      </c>
    </row>
    <row r="17" ht="24" customHeight="1">
      <c r="A17" s="29" t="inlineStr">
        <is>
          <t>template_catalog_json</t>
        </is>
      </c>
      <c r="B17" s="29" t="inlineStr">
        <is>
          <t>data/반도체/어보브반도체/valuation/intake/valuation_modeling_template_catalog.json</t>
        </is>
      </c>
      <c r="C17" s="29" t="inlineStr">
        <is>
          <t>Valuation Agent intake/output</t>
        </is>
      </c>
    </row>
    <row r="18" ht="24" customHeight="1">
      <c r="A18" s="24" t="inlineStr">
        <is>
          <t>raw_dart_accounts_csv</t>
        </is>
      </c>
      <c r="B18" s="24" t="inlineStr">
        <is>
          <t>data/반도체/어보브반도체/valuation/intake/valuation_raw_dart_accounts.csv</t>
        </is>
      </c>
      <c r="C18" s="24" t="inlineStr">
        <is>
          <t>Valuation Agent intake/output</t>
        </is>
      </c>
    </row>
    <row r="19" ht="24" customHeight="1">
      <c r="A19" s="29" t="inlineStr">
        <is>
          <t>normalized_financials_csv</t>
        </is>
      </c>
      <c r="B19" s="29" t="inlineStr">
        <is>
          <t>data/반도체/어보브반도체/valuation/intake/valuation_normalized_financials.csv</t>
        </is>
      </c>
      <c r="C19" s="29" t="inlineStr">
        <is>
          <t>Valuation Agent intake/output</t>
        </is>
      </c>
    </row>
    <row r="20" ht="24" customHeight="1">
      <c r="A20" s="24" t="inlineStr">
        <is>
          <t>price_history_csv</t>
        </is>
      </c>
      <c r="B20" s="24" t="inlineStr">
        <is>
          <t>data/반도체/어보브반도체/valuation/intake/valuation_price_history.csv</t>
        </is>
      </c>
      <c r="C20" s="24" t="inlineStr">
        <is>
          <t>Valuation Agent intake/output</t>
        </is>
      </c>
    </row>
    <row r="21" ht="24" customHeight="1">
      <c r="A21" s="29" t="inlineStr">
        <is>
          <t>share_count_csv</t>
        </is>
      </c>
      <c r="B21" s="29" t="inlineStr">
        <is>
          <t>data/반도체/어보브반도체/valuation/intake/valuation_share_count.csv</t>
        </is>
      </c>
      <c r="C21" s="29" t="inlineStr">
        <is>
          <t>Valuation Agent intake/output</t>
        </is>
      </c>
    </row>
    <row r="22" ht="24" customHeight="1">
      <c r="A22" s="24" t="inlineStr">
        <is>
          <t>price_summary_json</t>
        </is>
      </c>
      <c r="B22" s="24" t="inlineStr">
        <is>
          <t>data/반도체/어보브반도체/valuation/intake/valuation_price_summary.json</t>
        </is>
      </c>
      <c r="C22" s="24" t="inlineStr">
        <is>
          <t>Valuation Agent intake/output</t>
        </is>
      </c>
    </row>
    <row r="23" ht="24" customHeight="1">
      <c r="A23" s="29" t="inlineStr">
        <is>
          <t>market_snapshot_json</t>
        </is>
      </c>
      <c r="B23" s="29" t="inlineStr">
        <is>
          <t>data/반도체/어보브반도체/valuation/intake/valuation_market_snapshot.json</t>
        </is>
      </c>
      <c r="C23" s="29" t="inlineStr">
        <is>
          <t>Valuation Agent intake/output</t>
        </is>
      </c>
    </row>
    <row r="24" ht="24" customHeight="1">
      <c r="A24" s="24" t="inlineStr">
        <is>
          <t>market_snapshot_csv</t>
        </is>
      </c>
      <c r="B24" s="24" t="inlineStr">
        <is>
          <t>data/반도체/어보브반도체/valuation/intake/valuation_market_snapshot.csv</t>
        </is>
      </c>
      <c r="C24" s="24" t="inlineStr">
        <is>
          <t>Valuation Agent intake/output</t>
        </is>
      </c>
    </row>
    <row r="25" ht="24" customHeight="1">
      <c r="A25" s="29" t="inlineStr">
        <is>
          <t>peer_input_csv</t>
        </is>
      </c>
      <c r="B25" s="29" t="inlineStr">
        <is>
          <t>data/반도체/어보브반도체/valuation/intake/valuation_peer_input.csv</t>
        </is>
      </c>
      <c r="C25" s="29" t="inlineStr">
        <is>
          <t>Valuation Agent intake/output</t>
        </is>
      </c>
    </row>
    <row r="26" ht="24" customHeight="1">
      <c r="A26" s="24" t="inlineStr">
        <is>
          <t>assumptions_json</t>
        </is>
      </c>
      <c r="B26" s="24" t="inlineStr">
        <is>
          <t>data/반도체/어보브반도체/valuation/intake/valuation_assumptions.json</t>
        </is>
      </c>
      <c r="C26" s="24" t="inlineStr">
        <is>
          <t>Valuation Agent intake/output</t>
        </is>
      </c>
    </row>
    <row r="27" ht="24" customHeight="1">
      <c r="A27" s="29" t="inlineStr">
        <is>
          <t>reference_universe_208_csv</t>
        </is>
      </c>
      <c r="B27" s="29" t="inlineStr">
        <is>
          <t>data/반도체/어보브반도체/valuation/intake/valuation_reference_universe_208.csv</t>
        </is>
      </c>
      <c r="C27" s="29" t="inlineStr">
        <is>
          <t>Valuation Agent intake/output</t>
        </is>
      </c>
    </row>
    <row r="28" ht="24" customHeight="1">
      <c r="A28" s="24" t="inlineStr">
        <is>
          <t>reference_universe_focus_csv</t>
        </is>
      </c>
      <c r="B28" s="24" t="inlineStr">
        <is>
          <t>data/반도체/어보브반도체/valuation/intake/valuation_reference_universe_focus.csv</t>
        </is>
      </c>
      <c r="C28" s="24" t="inlineStr">
        <is>
          <t>Valuation Agent intake/output</t>
        </is>
      </c>
    </row>
    <row r="29" ht="24" customHeight="1">
      <c r="A29" s="29" t="inlineStr">
        <is>
          <t>reference_universe_summary_json</t>
        </is>
      </c>
      <c r="B29" s="29" t="inlineStr">
        <is>
          <t>data/반도체/어보브반도체/valuation/intake/valuation_reference_universe_summary.json</t>
        </is>
      </c>
      <c r="C29" s="29" t="inlineStr">
        <is>
          <t>Valuation Agent intake/output</t>
        </is>
      </c>
    </row>
  </sheetData>
  <autoFilter ref="A15:C29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어보브반도체 투자판단 요약</t>
        </is>
      </c>
      <c r="B1" t="inlineStr"/>
      <c r="C1" t="inlineStr"/>
      <c r="D1" t="inlineStr"/>
      <c r="E1" t="inlineStr"/>
      <c r="F1" t="inlineStr"/>
    </row>
    <row r="2">
      <c r="A2" t="inlineStr">
        <is>
          <t>목적</t>
        </is>
      </c>
      <c r="B2" t="inlineStr">
        <is>
          <t>DCF·상대가치·주가역산·오너이익·208개 기준 비교군을 한 장에서 확인하는 투자자용 요약입니다.</t>
        </is>
      </c>
      <c r="C2" t="inlineStr"/>
      <c r="D2" t="inlineStr"/>
      <c r="E2" t="inlineStr"/>
      <c r="F2" t="inlineStr"/>
    </row>
    <row r="3">
      <c r="A3" t="inlineStr">
        <is>
          <t>최종 가치평가 관점</t>
        </is>
      </c>
      <c r="B3" t="inlineStr">
        <is>
          <t>가치평가 관점 보수</t>
        </is>
      </c>
      <c r="C3" t="inlineStr">
        <is>
          <t>근거</t>
        </is>
      </c>
      <c r="D3" t="inlineStr">
        <is>
          <t>DCF 기준 현재가 부담이 큽니다. 종합 가치평가 점수가 45점 미만으로 보수적 해석이 필요합니다.</t>
        </is>
      </c>
      <c r="E3" t="inlineStr">
        <is>
          <t>검증 상태</t>
        </is>
      </c>
      <c r="F3" t="inlineStr">
        <is>
          <t>통과</t>
        </is>
      </c>
    </row>
    <row r="4">
      <c r="A4" t="inlineStr">
        <is>
          <t>핵심 지표</t>
        </is>
      </c>
      <c r="B4" t="inlineStr">
        <is>
          <t>값</t>
        </is>
      </c>
      <c r="C4" t="inlineStr">
        <is>
          <t>해석</t>
        </is>
      </c>
      <c r="D4" t="inlineStr">
        <is>
          <t>원천/산식</t>
        </is>
      </c>
      <c r="E4" t="inlineStr">
        <is>
          <t>대시보드 활용</t>
        </is>
      </c>
      <c r="F4" t="inlineStr">
        <is>
          <t>주의사항</t>
        </is>
      </c>
    </row>
    <row r="5">
      <c r="A5" t="inlineStr">
        <is>
          <t>현재가</t>
        </is>
      </c>
      <c r="B5" t="inlineStr">
        <is>
          <t>11,890원</t>
        </is>
      </c>
      <c r="C5" t="inlineStr">
        <is>
          <t>시장 기준점</t>
        </is>
      </c>
      <c r="D5" t="inlineStr">
        <is>
          <t>가치평가 전용 주가 수집</t>
        </is>
      </c>
      <c r="E5" t="inlineStr">
        <is>
          <t>주가 카드</t>
        </is>
      </c>
      <c r="F5" t="inlineStr">
        <is>
          <t>수집일 기준 변동 가능</t>
        </is>
      </c>
    </row>
    <row r="6">
      <c r="A6" t="inlineStr">
        <is>
          <t>DCF 내재주가</t>
        </is>
      </c>
      <c r="B6" t="inlineStr">
        <is>
          <t>5,786원</t>
        </is>
      </c>
      <c r="C6" t="inlineStr">
        <is>
          <t>절대가치 기준</t>
        </is>
      </c>
      <c r="D6" t="inlineStr">
        <is>
          <t>FCF 추정 + WACC + 영구성장률</t>
        </is>
      </c>
      <c r="E6" t="inlineStr">
        <is>
          <t>DCF 카드</t>
        </is>
      </c>
      <c r="F6" t="inlineStr">
        <is>
          <t>가정 민감도 확인 필요</t>
        </is>
      </c>
    </row>
    <row r="7">
      <c r="A7" t="inlineStr">
        <is>
          <t>현재가 대비 괴리율</t>
        </is>
      </c>
      <c r="B7" t="inlineStr">
        <is>
          <t>-51.3%</t>
        </is>
      </c>
      <c r="C7" t="inlineStr">
        <is>
          <t>안전마진 확인</t>
        </is>
      </c>
      <c r="D7" t="inlineStr">
        <is>
          <t>내재주가/현재가 - 1</t>
        </is>
      </c>
      <c r="E7" t="inlineStr">
        <is>
          <t>안전마진 배지</t>
        </is>
      </c>
      <c r="F7" t="inlineStr">
        <is>
          <t>절대 투자판단 단독 사용 금지</t>
        </is>
      </c>
    </row>
    <row r="8">
      <c r="A8" t="inlineStr">
        <is>
          <t>WACC</t>
        </is>
      </c>
      <c r="B8" t="inlineStr">
        <is>
          <t>10.4%</t>
        </is>
      </c>
      <c r="C8" t="inlineStr">
        <is>
          <t>할인율</t>
        </is>
      </c>
      <c r="D8" t="inlineStr">
        <is>
          <t>무위험이자율·시장위험프리미엄·베타·타인자본비용</t>
        </is>
      </c>
      <c r="E8" t="inlineStr">
        <is>
          <t>가정 슬라이더</t>
        </is>
      </c>
      <c r="F8" t="inlineStr">
        <is>
          <t>금리 변화 민감</t>
        </is>
      </c>
    </row>
    <row r="9">
      <c r="A9" t="inlineStr">
        <is>
          <t>P/S</t>
        </is>
      </c>
      <c r="B9" t="inlineStr">
        <is>
          <t>1.28배</t>
        </is>
      </c>
      <c r="C9" t="inlineStr">
        <is>
          <t>매출 대비 시장가치</t>
        </is>
      </c>
      <c r="D9" t="inlineStr">
        <is>
          <t>시가총액/매출액</t>
        </is>
      </c>
      <c r="E9" t="inlineStr">
        <is>
          <t>상대가치 카드</t>
        </is>
      </c>
      <c r="F9" t="inlineStr">
        <is>
          <t>적자기업에도 활용 가능</t>
        </is>
      </c>
    </row>
    <row r="10">
      <c r="A10" t="inlineStr">
        <is>
          <t>비교기업 P/S 중앙값</t>
        </is>
      </c>
      <c r="B10" t="inlineStr">
        <is>
          <t>3.50배</t>
        </is>
      </c>
      <c r="C10" t="inlineStr">
        <is>
          <t>5개 비교기업 기준</t>
        </is>
      </c>
      <c r="D10" t="inlineStr">
        <is>
          <t>피어 입력 자동 생성</t>
        </is>
      </c>
      <c r="E10" t="inlineStr">
        <is>
          <t>비교기업 차트</t>
        </is>
      </c>
      <c r="F10" t="inlineStr">
        <is>
          <t>비교기업 품질 확인 필요</t>
        </is>
      </c>
    </row>
    <row r="11">
      <c r="A11" t="inlineStr">
        <is>
          <t>가치범위 중앙값</t>
        </is>
      </c>
      <c r="B11" t="inlineStr">
        <is>
          <t>6,476원</t>
        </is>
      </c>
      <c r="C11" t="inlineStr">
        <is>
          <t>여러 방식의 교차검증</t>
        </is>
      </c>
      <c r="D11" t="inlineStr">
        <is>
          <t>DCF·P/S·P/B·PER·P/FCF 등</t>
        </is>
      </c>
      <c r="E11" t="inlineStr">
        <is>
          <t>가치범위표</t>
        </is>
      </c>
      <c r="F11" t="inlineStr">
        <is>
          <t>일부 방식은 손실기업에서 제외</t>
        </is>
      </c>
    </row>
    <row r="12">
      <c r="A12" t="inlineStr">
        <is>
          <t>주가역산 영구성장률</t>
        </is>
      </c>
      <c r="B12" t="inlineStr">
        <is>
          <t>5.2%</t>
        </is>
      </c>
      <c r="C12" t="inlineStr">
        <is>
          <t>현재 주가가 요구하는 장기 성장률</t>
        </is>
      </c>
      <c r="D12" t="inlineStr">
        <is>
          <t>현재가 기준 역산</t>
        </is>
      </c>
      <c r="E12" t="inlineStr">
        <is>
          <t>역산 DCF</t>
        </is>
      </c>
      <c r="F12" t="inlineStr">
        <is>
          <t>음수/과도한 값은 보수 해석</t>
        </is>
      </c>
    </row>
    <row r="13">
      <c r="A13" t="inlineStr">
        <is>
          <t>오너이익 주당가치</t>
        </is>
      </c>
      <c r="B13" t="inlineStr">
        <is>
          <t>3,644원</t>
        </is>
      </c>
      <c r="C13" t="inlineStr">
        <is>
          <t>현금창출력 기반 교차검증</t>
        </is>
      </c>
      <c r="D13" t="inlineStr">
        <is>
          <t>CFO - CAPEX 또는 FCF</t>
        </is>
      </c>
      <c r="E13" t="inlineStr">
        <is>
          <t>오너이익 카드</t>
        </is>
      </c>
      <c r="F13" t="inlineStr">
        <is>
          <t>CAPEX 변동성 반영 필요</t>
        </is>
      </c>
    </row>
    <row r="14">
      <c r="A14" t="inlineStr">
        <is>
          <t>시장내재 P/S</t>
        </is>
      </c>
      <c r="B14" t="inlineStr">
        <is>
          <t>0.87배</t>
        </is>
      </c>
      <c r="C14" t="inlineStr">
        <is>
          <t>현재 시장이 부여한 매출 배수</t>
        </is>
      </c>
      <c r="D14" t="inlineStr">
        <is>
          <t>시가총액/매출</t>
        </is>
      </c>
      <c r="E14" t="inlineStr">
        <is>
          <t>시장내재 배수</t>
        </is>
      </c>
      <c r="F14" t="inlineStr">
        <is>
          <t>순환 업종에서는 변동 가능</t>
        </is>
      </c>
    </row>
    <row r="15">
      <c r="A15" t="inlineStr">
        <is>
          <t>208개 비교군</t>
        </is>
      </c>
      <c r="B15" t="inlineStr">
        <is>
          <t>208개 기준</t>
        </is>
      </c>
      <c r="C15" t="inlineStr">
        <is>
          <t>섹터 내부 상대 위치</t>
        </is>
      </c>
      <c r="D15" t="inlineStr">
        <is>
          <t>Tech 기준 비교군 파일 활용</t>
        </is>
      </c>
      <c r="E15" t="inlineStr">
        <is>
          <t>분포/랭킹</t>
        </is>
      </c>
      <c r="F15" t="inlineStr">
        <is>
          <t>데이터 원천 업데이트 필요</t>
        </is>
      </c>
    </row>
    <row r="16">
      <c r="A16" t="inlineStr">
        <is>
          <t>검증 결과</t>
        </is>
      </c>
      <c r="B16" t="inlineStr">
        <is>
          <t>통과</t>
        </is>
      </c>
      <c r="C16" t="inlineStr">
        <is>
          <t>모델 완성도</t>
        </is>
      </c>
      <c r="D16" t="inlineStr">
        <is>
          <t>검증 JSON</t>
        </is>
      </c>
      <c r="E16" t="inlineStr">
        <is>
          <t>검증 배지</t>
        </is>
      </c>
      <c r="F16" t="inlineStr">
        <is>
          <t>경고 발생 시 점검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어보브반도체 데이터 보강 내역</t>
        </is>
      </c>
      <c r="B1" t="inlineStr"/>
      <c r="C1" t="inlineStr"/>
      <c r="D1" t="inlineStr"/>
      <c r="E1" t="inlineStr"/>
      <c r="F1" t="inlineStr"/>
    </row>
    <row r="2">
      <c r="A2" t="inlineStr">
        <is>
          <t>원칙</t>
        </is>
      </c>
      <c r="B2" t="inlineStr">
        <is>
          <t>공란을 반복 문구로 채우지 않고, DART·주가·발행주식 수·네이버금융·208개 기준 비교군 중 확인 가능한 원천 또는 명시적 대체 산식만 표시합니다.</t>
        </is>
      </c>
      <c r="C2" t="inlineStr"/>
      <c r="D2" t="inlineStr"/>
      <c r="E2" t="inlineStr"/>
      <c r="F2" t="inlineStr"/>
    </row>
    <row r="3">
      <c r="A3" t="inlineStr">
        <is>
          <t>항목</t>
        </is>
      </c>
      <c r="B3" t="inlineStr">
        <is>
          <t>보강 방식</t>
        </is>
      </c>
      <c r="C3" t="inlineStr">
        <is>
          <t>현재 값</t>
        </is>
      </c>
      <c r="D3" t="inlineStr">
        <is>
          <t>사용 원천</t>
        </is>
      </c>
      <c r="E3" t="inlineStr">
        <is>
          <t>계산/확인 방식</t>
        </is>
      </c>
      <c r="F3" t="inlineStr">
        <is>
          <t>비고</t>
        </is>
      </c>
    </row>
    <row r="4">
      <c r="A4" t="inlineStr">
        <is>
          <t>PER</t>
        </is>
      </c>
      <c r="B4" t="inlineStr">
        <is>
          <t>네이버금융 값 우선, 없으면 DART 순이익과 시가총액으로 자동 산출</t>
        </is>
      </c>
      <c r="C4" t="inlineStr">
        <is>
          <t>20.51배</t>
        </is>
      </c>
      <c r="D4" t="inlineStr">
        <is>
          <t>네이버금융 / DART / 주가</t>
        </is>
      </c>
      <c r="E4" t="inlineStr">
        <is>
          <t>시가총액 ÷ 순이익</t>
        </is>
      </c>
      <c r="F4" t="inlineStr">
        <is>
          <t>순손실이면 계산 제외</t>
        </is>
      </c>
    </row>
    <row r="5">
      <c r="A5" t="inlineStr">
        <is>
          <t>PBR</t>
        </is>
      </c>
      <c r="B5" t="inlineStr">
        <is>
          <t>네이버금융 값 우선, 없으면 DART 자본총계와 시가총액으로 자동 산출</t>
        </is>
      </c>
      <c r="C5" t="inlineStr">
        <is>
          <t>1.62배</t>
        </is>
      </c>
      <c r="D5" t="inlineStr">
        <is>
          <t>네이버금융 / DART / 주가</t>
        </is>
      </c>
      <c r="E5" t="inlineStr">
        <is>
          <t>시가총액 ÷ 자본총계</t>
        </is>
      </c>
      <c r="F5" t="inlineStr">
        <is>
          <t>자본잠식이면 보수 해석</t>
        </is>
      </c>
    </row>
    <row r="6">
      <c r="A6" t="inlineStr">
        <is>
          <t>PSR</t>
        </is>
      </c>
      <c r="B6" t="inlineStr">
        <is>
          <t>주가와 매출액으로 자동 산출</t>
        </is>
      </c>
      <c r="C6" t="inlineStr">
        <is>
          <t>1.28배</t>
        </is>
      </c>
      <c r="D6" t="inlineStr">
        <is>
          <t>DART 매출액 / 주가 / 발행주식 수</t>
        </is>
      </c>
      <c r="E6" t="inlineStr">
        <is>
          <t>시가총액 ÷ 매출액</t>
        </is>
      </c>
      <c r="F6" t="inlineStr">
        <is>
          <t>적자기업 비교에 유용</t>
        </is>
      </c>
    </row>
    <row r="7">
      <c r="A7" t="inlineStr">
        <is>
          <t>P/FCF</t>
        </is>
      </c>
      <c r="B7" t="inlineStr">
        <is>
          <t>FCF가 양수이면 자동 산출</t>
        </is>
      </c>
      <c r="C7" t="inlineStr">
        <is>
          <t>31.32배</t>
        </is>
      </c>
      <c r="D7" t="inlineStr">
        <is>
          <t>DART 영업현금흐름·CAPEX / 주가</t>
        </is>
      </c>
      <c r="E7" t="inlineStr">
        <is>
          <t>시가총액 ÷ FCF</t>
        </is>
      </c>
      <c r="F7" t="inlineStr">
        <is>
          <t>FCF 음수이면 계산 제외</t>
        </is>
      </c>
    </row>
    <row r="8">
      <c r="A8" t="inlineStr">
        <is>
          <t>EV/Sales</t>
        </is>
      </c>
      <c r="B8" t="inlineStr">
        <is>
          <t>기업가치와 매출액으로 자동 산출</t>
        </is>
      </c>
      <c r="C8" t="inlineStr">
        <is>
          <t>1.33배</t>
        </is>
      </c>
      <c r="D8" t="inlineStr">
        <is>
          <t>DART 현금·부채 / 주가</t>
        </is>
      </c>
      <c r="E8" t="inlineStr">
        <is>
          <t>EV ÷ 매출액</t>
        </is>
      </c>
      <c r="F8" t="inlineStr">
        <is>
          <t>현금/부채 원천계정 확인</t>
        </is>
      </c>
    </row>
    <row r="9">
      <c r="A9" t="inlineStr">
        <is>
          <t>EV/EBIT</t>
        </is>
      </c>
      <c r="B9" t="inlineStr">
        <is>
          <t>영업이익이 양수이면 자동 산출</t>
        </is>
      </c>
      <c r="C9" t="inlineStr">
        <is>
          <t>32.00배</t>
        </is>
      </c>
      <c r="D9" t="inlineStr">
        <is>
          <t>DART 영업이익 / 주가</t>
        </is>
      </c>
      <c r="E9" t="inlineStr">
        <is>
          <t>EV ÷ 영업이익</t>
        </is>
      </c>
      <c r="F9" t="inlineStr">
        <is>
          <t>적자이면 계산 제외</t>
        </is>
      </c>
    </row>
    <row r="10">
      <c r="A10" t="inlineStr">
        <is>
          <t>발행주식 수</t>
        </is>
      </c>
      <c r="B10" t="inlineStr">
        <is>
          <t>DART 주식총수 현황에서 보강</t>
        </is>
      </c>
      <c r="C10" t="inlineStr">
        <is>
          <t>17,780,753주</t>
        </is>
      </c>
      <c r="D10" t="inlineStr">
        <is>
          <t>OpenDART stockTotqySttus</t>
        </is>
      </c>
      <c r="E10" t="inlineStr">
        <is>
          <t>최신 보고서 기준</t>
        </is>
      </c>
      <c r="F10" t="inlineStr">
        <is>
          <t>자기주식/증자 반영 필요</t>
        </is>
      </c>
    </row>
    <row r="11">
      <c r="A11" t="inlineStr">
        <is>
          <t>시가총액</t>
        </is>
      </c>
      <c r="B11" t="inlineStr">
        <is>
          <t>현재가와 발행주식 수로 자동 산출</t>
        </is>
      </c>
      <c r="C11" t="inlineStr">
        <is>
          <t>2,114.1억원</t>
        </is>
      </c>
      <c r="D11" t="inlineStr">
        <is>
          <t>주가 provider / DART 발행주식 수</t>
        </is>
      </c>
      <c r="E11" t="inlineStr">
        <is>
          <t>현재가 × 발행주식 수</t>
        </is>
      </c>
      <c r="F11" t="inlineStr">
        <is>
          <t>주가 기준일 확인</t>
        </is>
      </c>
    </row>
    <row r="12">
      <c r="A12" t="inlineStr">
        <is>
          <t>유동성</t>
        </is>
      </c>
      <c r="B12" t="inlineStr">
        <is>
          <t>거래대금·거래회전율로 보강</t>
        </is>
      </c>
      <c r="C12" t="inlineStr">
        <is>
          <t>183.3억원</t>
        </is>
      </c>
      <c r="D12" t="inlineStr">
        <is>
          <t>주가 데이터</t>
        </is>
      </c>
      <c r="E12" t="inlineStr">
        <is>
          <t>20일 평균 거래대금</t>
        </is>
      </c>
      <c r="F12" t="inlineStr">
        <is>
          <t>대시보드 필터 활용</t>
        </is>
      </c>
    </row>
    <row r="13">
      <c r="A13" t="inlineStr">
        <is>
          <t>208개 기준 비교군</t>
        </is>
      </c>
      <c r="B13" t="inlineStr">
        <is>
          <t>Tech 기준 비교군 파일을 Valuation 비교군으로 재활용</t>
        </is>
      </c>
      <c r="C13" t="inlineStr">
        <is>
          <t>208</t>
        </is>
      </c>
      <c r="D13" t="inlineStr">
        <is>
          <t>valuation_기준_비교군_208.csv</t>
        </is>
      </c>
      <c r="E13" t="inlineStr">
        <is>
          <t>동일 섹터 상대 위치</t>
        </is>
      </c>
      <c r="F13" t="inlineStr">
        <is>
          <t>상대가치 확장용</t>
        </is>
      </c>
    </row>
    <row r="14">
      <c r="A14" t="inlineStr">
        <is>
          <t>후속 보강 계획</t>
        </is>
      </c>
      <c r="B14" t="inlineStr">
        <is>
          <t>항목</t>
        </is>
      </c>
      <c r="C14" t="inlineStr">
        <is>
          <t>현재 처리</t>
        </is>
      </c>
      <c r="D14" t="inlineStr">
        <is>
          <t>권장 원천</t>
        </is>
      </c>
      <c r="E14" t="inlineStr">
        <is>
          <t>목적</t>
        </is>
      </c>
      <c r="F14" t="inlineStr">
        <is>
          <t>비고</t>
        </is>
      </c>
    </row>
    <row r="15">
      <c r="A15" t="inlineStr">
        <is>
          <t>후속 보강 계획</t>
        </is>
      </c>
      <c r="B15" t="inlineStr">
        <is>
          <t>항목</t>
        </is>
      </c>
      <c r="C15" t="inlineStr">
        <is>
          <t>보조 산출</t>
        </is>
      </c>
      <c r="D15" t="inlineStr">
        <is>
          <t>DART/주가/공시</t>
        </is>
      </c>
      <c r="E15" t="inlineStr">
        <is>
          <t>가치평가 정확도 개선</t>
        </is>
      </c>
      <c r="F15" t="inlineStr">
        <is>
          <t>대체 산식 유지</t>
        </is>
      </c>
    </row>
    <row r="16">
      <c r="A16" t="inlineStr">
        <is>
          <t>후속 보강 계획</t>
        </is>
      </c>
      <c r="B16" t="inlineStr">
        <is>
          <t>항목</t>
        </is>
      </c>
      <c r="C16" t="inlineStr">
        <is>
          <t>보조 산출</t>
        </is>
      </c>
      <c r="D16" t="inlineStr">
        <is>
          <t>DART/주가/공시</t>
        </is>
      </c>
      <c r="E16" t="inlineStr">
        <is>
          <t>가치평가 정확도 개선</t>
        </is>
      </c>
      <c r="F16" t="inlineStr">
        <is>
          <t>대체 산식 유지</t>
        </is>
      </c>
    </row>
    <row r="17">
      <c r="A17" t="inlineStr">
        <is>
          <t>후속 보강 계획</t>
        </is>
      </c>
      <c r="B17" t="inlineStr">
        <is>
          <t>항목</t>
        </is>
      </c>
      <c r="C17" t="inlineStr">
        <is>
          <t>보조 산출</t>
        </is>
      </c>
      <c r="D17" t="inlineStr">
        <is>
          <t>DART/주가/공시</t>
        </is>
      </c>
      <c r="E17" t="inlineStr">
        <is>
          <t>가치평가 정확도 개선</t>
        </is>
      </c>
      <c r="F17" t="inlineStr">
        <is>
          <t>대체 산식 유지</t>
        </is>
      </c>
    </row>
    <row r="18">
      <c r="A18" t="inlineStr">
        <is>
          <t>후속 보강 계획</t>
        </is>
      </c>
      <c r="B18" t="inlineStr">
        <is>
          <t>항목</t>
        </is>
      </c>
      <c r="C18" t="inlineStr">
        <is>
          <t>보조 산출</t>
        </is>
      </c>
      <c r="D18" t="inlineStr">
        <is>
          <t>DART/주가/공시</t>
        </is>
      </c>
      <c r="E18" t="inlineStr">
        <is>
          <t>가치평가 정확도 개선</t>
        </is>
      </c>
      <c r="F18" t="inlineStr">
        <is>
          <t>대체 산식 유지</t>
        </is>
      </c>
    </row>
    <row r="19">
      <c r="A19" t="inlineStr">
        <is>
          <t>후속 보강 계획</t>
        </is>
      </c>
      <c r="B19" t="inlineStr">
        <is>
          <t>항목</t>
        </is>
      </c>
      <c r="C19" t="inlineStr">
        <is>
          <t>보조 산출</t>
        </is>
      </c>
      <c r="D19" t="inlineStr">
        <is>
          <t>DART/주가/공시</t>
        </is>
      </c>
      <c r="E19" t="inlineStr">
        <is>
          <t>가치평가 정확도 개선</t>
        </is>
      </c>
      <c r="F19" t="inlineStr">
        <is>
          <t>대체 산식 유지</t>
        </is>
      </c>
    </row>
    <row r="20">
      <c r="A20" t="inlineStr">
        <is>
          <t>후속 보강 계획</t>
        </is>
      </c>
      <c r="B20" t="inlineStr">
        <is>
          <t>항목</t>
        </is>
      </c>
      <c r="C20" t="inlineStr">
        <is>
          <t>보조 산출</t>
        </is>
      </c>
      <c r="D20" t="inlineStr">
        <is>
          <t>DART/주가/공시</t>
        </is>
      </c>
      <c r="E20" t="inlineStr">
        <is>
          <t>가치평가 정확도 개선</t>
        </is>
      </c>
      <c r="F20" t="inlineStr">
        <is>
          <t>대체 산식 유지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대시보드 연동키</t>
        </is>
      </c>
      <c r="B1" t="inlineStr"/>
      <c r="C1" t="inlineStr"/>
      <c r="D1" t="inlineStr"/>
      <c r="E1" t="inlineStr"/>
    </row>
    <row r="2">
      <c r="A2" t="inlineStr">
        <is>
          <t>설명</t>
        </is>
      </c>
      <c r="B2" t="inlineStr">
        <is>
          <t>React/Streamlit 대시보드에서 바로 사용할 수 있는 주요 JSON 키와 표시명을 정리합니다.</t>
        </is>
      </c>
      <c r="C2" t="inlineStr"/>
      <c r="D2" t="inlineStr"/>
      <c r="E2" t="inlineStr"/>
    </row>
    <row r="3">
      <c r="A3" t="inlineStr">
        <is>
          <t>JSON 키</t>
        </is>
      </c>
      <c r="B3" t="inlineStr">
        <is>
          <t>표시명</t>
        </is>
      </c>
      <c r="C3" t="inlineStr">
        <is>
          <t>값</t>
        </is>
      </c>
      <c r="D3" t="inlineStr">
        <is>
          <t>형식</t>
        </is>
      </c>
      <c r="E3" t="inlineStr">
        <is>
          <t>활용 위치</t>
        </is>
      </c>
    </row>
    <row r="4">
      <c r="A4" t="inlineStr">
        <is>
          <t>wacc</t>
        </is>
      </c>
      <c r="B4" t="inlineStr">
        <is>
          <t>WACC</t>
        </is>
      </c>
      <c r="C4" t="n">
        <v>0.1041714346658058</v>
      </c>
      <c r="D4" t="inlineStr">
        <is>
          <t>percent</t>
        </is>
      </c>
      <c r="E4" t="inlineStr">
        <is>
          <t>핵심 카드</t>
        </is>
      </c>
    </row>
    <row r="5">
      <c r="A5" t="inlineStr">
        <is>
          <t>enterprise_value</t>
        </is>
      </c>
      <c r="B5" t="inlineStr">
        <is>
          <t>DCF 기업가치</t>
        </is>
      </c>
      <c r="C5" t="n">
        <v>216225250657.0812</v>
      </c>
      <c r="D5" t="inlineStr">
        <is>
          <t>krw</t>
        </is>
      </c>
      <c r="E5" t="inlineStr">
        <is>
          <t>핵심 카드</t>
        </is>
      </c>
    </row>
    <row r="6">
      <c r="A6" t="inlineStr">
        <is>
          <t>equity_value</t>
        </is>
      </c>
      <c r="B6" t="inlineStr">
        <is>
          <t>DCF 지분가치</t>
        </is>
      </c>
      <c r="C6" t="n">
        <v>102882905566.0812</v>
      </c>
      <c r="D6" t="inlineStr">
        <is>
          <t>krw</t>
        </is>
      </c>
      <c r="E6" t="inlineStr">
        <is>
          <t>핵심 카드</t>
        </is>
      </c>
    </row>
    <row r="7">
      <c r="A7" t="inlineStr">
        <is>
          <t>latest_close</t>
        </is>
      </c>
      <c r="B7" t="inlineStr">
        <is>
          <t>현재가</t>
        </is>
      </c>
      <c r="C7" t="n">
        <v>11890</v>
      </c>
      <c r="D7" t="inlineStr">
        <is>
          <t>krw_per_share</t>
        </is>
      </c>
      <c r="E7" t="inlineStr">
        <is>
          <t>핵심 카드</t>
        </is>
      </c>
    </row>
    <row r="8">
      <c r="A8" t="inlineStr">
        <is>
          <t>implied_price</t>
        </is>
      </c>
      <c r="B8" t="inlineStr">
        <is>
          <t>DCF 내재주가</t>
        </is>
      </c>
      <c r="C8" t="n">
        <v>5786.195082181344</v>
      </c>
      <c r="D8" t="inlineStr">
        <is>
          <t>krw_per_share</t>
        </is>
      </c>
      <c r="E8" t="inlineStr">
        <is>
          <t>핵심 카드</t>
        </is>
      </c>
    </row>
    <row r="9">
      <c r="A9" t="inlineStr">
        <is>
          <t>upside_downside_pct</t>
        </is>
      </c>
      <c r="B9" t="inlineStr">
        <is>
          <t>현재가 대비 괴리율</t>
        </is>
      </c>
      <c r="C9" t="n">
        <v>-0.5133561747534614</v>
      </c>
      <c r="D9" t="inlineStr">
        <is>
          <t>percent</t>
        </is>
      </c>
      <c r="E9" t="inlineStr">
        <is>
          <t>핵심 카드</t>
        </is>
      </c>
    </row>
    <row r="10">
      <c r="A10" t="inlineStr">
        <is>
          <t>target_psr</t>
        </is>
      </c>
      <c r="B10" t="inlineStr">
        <is>
          <t>P/S</t>
        </is>
      </c>
      <c r="C10" t="n">
        <v>1.280233220880724</v>
      </c>
      <c r="D10" t="inlineStr">
        <is>
          <t>multiple</t>
        </is>
      </c>
      <c r="E10" t="inlineStr">
        <is>
          <t>핵심 카드</t>
        </is>
      </c>
    </row>
    <row r="11">
      <c r="A11" t="inlineStr">
        <is>
          <t>median_psr</t>
        </is>
      </c>
      <c r="B11" t="inlineStr">
        <is>
          <t>비교기업 P/S 중앙값</t>
        </is>
      </c>
      <c r="C11" t="n">
        <v>3.500698820700488</v>
      </c>
      <c r="D11" t="inlineStr">
        <is>
          <t>multiple</t>
        </is>
      </c>
      <c r="E11" t="inlineStr">
        <is>
          <t>핵심 카드</t>
        </is>
      </c>
    </row>
    <row r="12">
      <c r="A12" t="inlineStr">
        <is>
          <t>psr_gap</t>
        </is>
      </c>
      <c r="B12" t="inlineStr">
        <is>
          <t>P/S 중앙값 대비</t>
        </is>
      </c>
      <c r="C12" t="n">
        <v>-0.6342920981061291</v>
      </c>
      <c r="D12" t="inlineStr">
        <is>
          <t>percent</t>
        </is>
      </c>
      <c r="E12" t="inlineStr">
        <is>
          <t>핵심 카드</t>
        </is>
      </c>
    </row>
    <row r="13">
      <c r="A13" t="inlineStr">
        <is>
          <t>기준_rows</t>
        </is>
      </c>
      <c r="B13" t="inlineStr">
        <is>
          <t>208개 반도체 비교군</t>
        </is>
      </c>
      <c r="C13" t="n">
        <v>208</v>
      </c>
      <c r="D13" t="inlineStr">
        <is>
          <t>count</t>
        </is>
      </c>
      <c r="E13" t="inlineStr">
        <is>
          <t>핵심 카드</t>
        </is>
      </c>
    </row>
    <row r="14">
      <c r="A14" t="inlineStr">
        <is>
          <t>기준_비교기업_group</t>
        </is>
      </c>
      <c r="B14" t="inlineStr">
        <is>
          <t>기준 비교군 그룹</t>
        </is>
      </c>
      <c r="C14" t="inlineStr">
        <is>
          <t>팹리스/설계</t>
        </is>
      </c>
      <c r="D14" t="inlineStr">
        <is>
          <t>text</t>
        </is>
      </c>
      <c r="E14" t="inlineStr">
        <is>
          <t>핵심 카드</t>
        </is>
      </c>
    </row>
    <row r="15">
      <c r="A15" t="inlineStr">
        <is>
          <t>return_1y</t>
        </is>
      </c>
      <c r="B15" t="inlineStr">
        <is>
          <t>1년 수익률</t>
        </is>
      </c>
      <c r="C15" t="n">
        <v>0.1174812030075187</v>
      </c>
      <c r="D15" t="inlineStr">
        <is>
          <t>percent</t>
        </is>
      </c>
      <c r="E15" t="inlineStr">
        <is>
          <t>핵심 카드</t>
        </is>
      </c>
    </row>
    <row r="16">
      <c r="A16" t="inlineStr">
        <is>
          <t>mdd</t>
        </is>
      </c>
      <c r="B16" t="inlineStr">
        <is>
          <t>MDD</t>
        </is>
      </c>
      <c r="C16" t="n">
        <v>-0.7125827814569536</v>
      </c>
      <c r="D16" t="inlineStr">
        <is>
          <t>percent</t>
        </is>
      </c>
      <c r="E16" t="inlineStr">
        <is>
          <t>핵심 카드</t>
        </is>
      </c>
    </row>
    <row r="17">
      <c r="A17" t="inlineStr">
        <is>
          <t>volatility</t>
        </is>
      </c>
      <c r="B17" t="inlineStr">
        <is>
          <t>연환산 변동성</t>
        </is>
      </c>
      <c r="C17" t="n">
        <v>0.5895368669727092</v>
      </c>
      <c r="D17" t="inlineStr">
        <is>
          <t>percent</t>
        </is>
      </c>
      <c r="E17" t="inlineStr">
        <is>
          <t>핵심 카드</t>
        </is>
      </c>
    </row>
    <row r="18">
      <c r="A18" t="inlineStr">
        <is>
          <t>market_cap</t>
        </is>
      </c>
      <c r="B18" t="inlineStr">
        <is>
          <t>시가총액</t>
        </is>
      </c>
      <c r="C18" t="n">
        <v>211413153170</v>
      </c>
      <c r="D18" t="inlineStr">
        <is>
          <t>krw</t>
        </is>
      </c>
      <c r="E18" t="inlineStr">
        <is>
          <t>핵심 카드</t>
        </is>
      </c>
    </row>
    <row r="19">
      <c r="A19" t="inlineStr">
        <is>
          <t>shares_outstanding</t>
        </is>
      </c>
      <c r="B19" t="inlineStr">
        <is>
          <t>발행주식 수</t>
        </is>
      </c>
      <c r="C19" t="n">
        <v>17780753</v>
      </c>
      <c r="D19" t="inlineStr">
        <is>
          <t>shares</t>
        </is>
      </c>
      <c r="E19" t="inlineStr">
        <is>
          <t>핵심 카드</t>
        </is>
      </c>
    </row>
    <row r="20">
      <c r="A20" t="inlineStr">
        <is>
          <t>avg_trading_value_20d</t>
        </is>
      </c>
      <c r="B20" t="inlineStr">
        <is>
          <t>20일 평균 거래대금</t>
        </is>
      </c>
      <c r="C20" t="n">
        <v>18328562775.5</v>
      </c>
      <c r="D20" t="inlineStr">
        <is>
          <t>krw</t>
        </is>
      </c>
      <c r="E20" t="inlineStr">
        <is>
          <t>핵심 카드</t>
        </is>
      </c>
    </row>
    <row r="21">
      <c r="A21" t="inlineStr">
        <is>
          <t>turnover_latest</t>
        </is>
      </c>
      <c r="B21" t="inlineStr">
        <is>
          <t>최근 거래회전율</t>
        </is>
      </c>
      <c r="C21" t="n">
        <v>0.008792259810369111</v>
      </c>
      <c r="D21" t="inlineStr">
        <is>
          <t>percent</t>
        </is>
      </c>
      <c r="E21" t="inlineStr">
        <is>
          <t>핵심 카드</t>
        </is>
      </c>
    </row>
    <row r="22">
      <c r="A22" t="inlineStr">
        <is>
          <t>ml_composite_score</t>
        </is>
      </c>
      <c r="B22" t="inlineStr">
        <is>
          <t>ML 보조 품질점수</t>
        </is>
      </c>
      <c r="C22" t="n">
        <v>42.71</v>
      </c>
      <c r="D22" t="inlineStr">
        <is>
          <t>score</t>
        </is>
      </c>
      <c r="E22" t="inlineStr">
        <is>
          <t>핵심 카드</t>
        </is>
      </c>
    </row>
    <row r="23">
      <c r="A23" t="inlineStr">
        <is>
          <t>ml_label</t>
        </is>
      </c>
      <c r="B23" t="inlineStr">
        <is>
          <t>ML 보조 라벨</t>
        </is>
      </c>
      <c r="C23" t="inlineStr">
        <is>
          <t>가치평가 보조근거 주의</t>
        </is>
      </c>
      <c r="D23" t="inlineStr">
        <is>
          <t>text</t>
        </is>
      </c>
      <c r="E23" t="inlineStr">
        <is>
          <t>핵심 카드</t>
        </is>
      </c>
    </row>
    <row r="24">
      <c r="A24" t="inlineStr">
        <is>
          <t>valuation_점수판</t>
        </is>
      </c>
      <c r="B24" t="inlineStr">
        <is>
          <t>보조 가치평가 점수</t>
        </is>
      </c>
      <c r="C24" t="n">
        <v>46.74</v>
      </c>
      <c r="D24" t="inlineStr">
        <is>
          <t>score</t>
        </is>
      </c>
      <c r="E24" t="inlineStr">
        <is>
          <t>핵심 카드</t>
        </is>
      </c>
    </row>
    <row r="25">
      <c r="A25" t="inlineStr">
        <is>
          <t>valuation_점수판_label</t>
        </is>
      </c>
      <c r="B25" t="inlineStr">
        <is>
          <t>보조 가치평가 라벨</t>
        </is>
      </c>
      <c r="C25" t="inlineStr">
        <is>
          <t>중립</t>
        </is>
      </c>
      <c r="D25" t="inlineStr">
        <is>
          <t>text</t>
        </is>
      </c>
      <c r="E25" t="inlineStr">
        <is>
          <t>핵심 카드</t>
        </is>
      </c>
    </row>
    <row r="26">
      <c r="A26" t="inlineStr">
        <is>
          <t>advanced_valuation_score</t>
        </is>
      </c>
      <c r="B26" t="inlineStr">
        <is>
          <t>종합 가치평가 점수</t>
        </is>
      </c>
      <c r="C26" t="n">
        <v>44</v>
      </c>
      <c r="D26" t="inlineStr">
        <is>
          <t>score</t>
        </is>
      </c>
      <c r="E26" t="inlineStr">
        <is>
          <t>핵심 카드</t>
        </is>
      </c>
    </row>
    <row r="27">
      <c r="A27" t="inlineStr">
        <is>
          <t>valuation_range_base_price</t>
        </is>
      </c>
      <c r="B27" t="inlineStr">
        <is>
          <t>가치범위 중앙값</t>
        </is>
      </c>
      <c r="C27" t="n">
        <v>6475.770928332363</v>
      </c>
      <c r="D27" t="inlineStr">
        <is>
          <t>krw_per_share</t>
        </is>
      </c>
      <c r="E27" t="inlineStr">
        <is>
          <t>핵심 카드</t>
        </is>
      </c>
    </row>
    <row r="28">
      <c r="A28" t="inlineStr">
        <is>
          <t>valuation_range_margin</t>
        </is>
      </c>
      <c r="B28" t="inlineStr">
        <is>
          <t>가치범위 안전마진</t>
        </is>
      </c>
      <c r="C28" t="n">
        <v>-0.4553598882815506</v>
      </c>
      <c r="D28" t="inlineStr">
        <is>
          <t>percent</t>
        </is>
      </c>
      <c r="E28" t="inlineStr">
        <is>
          <t>핵심 카드</t>
        </is>
      </c>
    </row>
    <row r="29">
      <c r="A29" t="inlineStr">
        <is>
          <t>reverse_dcf_growth</t>
        </is>
      </c>
      <c r="B29" t="inlineStr">
        <is>
          <t>역산 영구성장률</t>
        </is>
      </c>
      <c r="C29" t="n">
        <v>0.05184902936990823</v>
      </c>
      <c r="D29" t="inlineStr">
        <is>
          <t>percent</t>
        </is>
      </c>
      <c r="E29" t="inlineStr">
        <is>
          <t>핵심 카드</t>
        </is>
      </c>
    </row>
    <row r="30">
      <c r="A30" t="inlineStr">
        <is>
          <t>owner_earnings_price</t>
        </is>
      </c>
      <c r="B30" t="inlineStr">
        <is>
          <t>오너 이익 주당가치</t>
        </is>
      </c>
      <c r="C30" t="n">
        <v>3644.405026971441</v>
      </c>
      <c r="D30" t="inlineStr">
        <is>
          <t>krw_per_share</t>
        </is>
      </c>
      <c r="E30" t="inlineStr">
        <is>
          <t>핵심 카드</t>
        </is>
      </c>
    </row>
    <row r="31">
      <c r="A31" t="inlineStr">
        <is>
          <t>market_psr</t>
        </is>
      </c>
      <c r="B31" t="inlineStr">
        <is>
          <t>시장내재 P/S</t>
        </is>
      </c>
      <c r="C31" t="n">
        <v>0.8660085106056655</v>
      </c>
      <c r="D31" t="inlineStr">
        <is>
          <t>multiple</t>
        </is>
      </c>
      <c r="E31" t="inlineStr">
        <is>
          <t>핵심 카드</t>
        </is>
      </c>
    </row>
    <row r="32">
      <c r="A32" t="inlineStr">
        <is>
          <t>market_pbr</t>
        </is>
      </c>
      <c r="B32" t="inlineStr">
        <is>
          <t>시장내재 P/B</t>
        </is>
      </c>
      <c r="C32" t="n">
        <v>1.368879027544403</v>
      </c>
      <c r="D32" t="inlineStr">
        <is>
          <t>multiple</t>
        </is>
      </c>
      <c r="E32" t="inlineStr">
        <is>
          <t>핵심 카드</t>
        </is>
      </c>
    </row>
    <row r="33">
      <c r="A33" t="inlineStr">
        <is>
          <t>market_fcf_yield</t>
        </is>
      </c>
      <c r="B33" t="inlineStr">
        <is>
          <t>시장내재 FCF 수익률</t>
        </is>
      </c>
      <c r="C33" t="n">
        <v>0.03192959631311099</v>
      </c>
      <c r="D33" t="inlineStr">
        <is>
          <t>percent</t>
        </is>
      </c>
      <c r="E33" t="inlineStr">
        <is>
          <t>핵심 카드</t>
        </is>
      </c>
    </row>
    <row r="34">
      <c r="A34" t="inlineStr">
        <is>
          <t>검증_status</t>
        </is>
      </c>
      <c r="B34" t="inlineStr">
        <is>
          <t>검증 상태</t>
        </is>
      </c>
      <c r="C34" t="inlineStr">
        <is>
          <t>PASS</t>
        </is>
      </c>
      <c r="D34" t="inlineStr">
        <is>
          <t>text</t>
        </is>
      </c>
      <c r="E34" t="inlineStr">
        <is>
          <t>핵심 카드</t>
        </is>
      </c>
    </row>
    <row r="35">
      <c r="A35" t="inlineStr">
        <is>
          <t>price_history</t>
        </is>
      </c>
      <c r="B35" t="inlineStr">
        <is>
          <t>주가 차트</t>
        </is>
      </c>
      <c r="C35" t="inlineStr">
        <is>
          <t>최근 250거래일</t>
        </is>
      </c>
      <c r="D35" t="inlineStr">
        <is>
          <t>list</t>
        </is>
      </c>
      <c r="E35" t="inlineStr">
        <is>
          <t>라인차트</t>
        </is>
      </c>
    </row>
    <row r="36">
      <c r="A36" t="inlineStr">
        <is>
          <t>historical_ficials</t>
        </is>
      </c>
      <c r="B36" t="inlineStr">
        <is>
          <t>재무 추이</t>
        </is>
      </c>
      <c r="C36" t="inlineStr">
        <is>
          <t>최근 5개년</t>
        </is>
      </c>
      <c r="D36" t="inlineStr">
        <is>
          <t>list</t>
        </is>
      </c>
      <c r="E36" t="inlineStr">
        <is>
          <t>막대/라인 혼합</t>
        </is>
      </c>
    </row>
    <row r="37">
      <c r="A37" t="inlineStr">
        <is>
          <t>비교기업_multiples</t>
        </is>
      </c>
      <c r="B37" t="inlineStr">
        <is>
          <t>비교기업 배수</t>
        </is>
      </c>
      <c r="C37" t="inlineStr">
        <is>
          <t>5개 기업 + 확장 비교군</t>
        </is>
      </c>
      <c r="D37" t="inlineStr">
        <is>
          <t>list</t>
        </is>
      </c>
      <c r="E37" t="inlineStr">
        <is>
          <t>상대가치 표</t>
        </is>
      </c>
    </row>
    <row r="38">
      <c r="A38" t="inlineStr">
        <is>
          <t>기준_비교군_focus</t>
        </is>
      </c>
      <c r="B38" t="inlineStr">
        <is>
          <t>208개 비교군 상대위치</t>
        </is>
      </c>
      <c r="C38" t="inlineStr">
        <is>
          <t>선택기업/동일 세부군/전체 평균</t>
        </is>
      </c>
      <c r="D38" t="inlineStr">
        <is>
          <t>list</t>
        </is>
      </c>
      <c r="E38" t="inlineStr">
        <is>
          <t>시장위치 맵</t>
        </is>
      </c>
    </row>
    <row r="39">
      <c r="A39" t="inlineStr">
        <is>
          <t>advanced_valuation</t>
        </is>
      </c>
      <c r="B39" t="inlineStr">
        <is>
          <t>종합 가치평가</t>
        </is>
      </c>
      <c r="C39" t="inlineStr">
        <is>
          <t>가치범위·역산 DCF·오너이익</t>
        </is>
      </c>
      <c r="D39" t="inlineStr">
        <is>
          <t>object</t>
        </is>
      </c>
      <c r="E39" t="inlineStr">
        <is>
          <t>상세 패널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18" customWidth="1" min="5" max="5"/>
    <col width="14" customWidth="1" min="6" max="6"/>
    <col width="14" customWidth="1" min="7" max="7"/>
    <col width="15" customWidth="1" min="8" max="8"/>
    <col width="13" customWidth="1" min="9" max="9"/>
    <col width="10" customWidth="1" min="10" max="10"/>
    <col width="10" customWidth="1" min="11" max="11"/>
    <col width="10" customWidth="1" min="12" max="12"/>
    <col width="13" customWidth="1" min="13" max="13"/>
    <col width="18" customWidth="1" min="14" max="14"/>
  </cols>
  <sheetData>
    <row r="1" ht="34" customHeight="1">
      <c r="A1" s="44" t="inlineStr">
        <is>
          <t>어보브반도체 반도체 시장 내 상대 위치 맵</t>
        </is>
      </c>
    </row>
    <row r="2" ht="22" customHeight="1">
      <c r="A2" s="2" t="inlineStr">
        <is>
          <t>기업 선택값을 바꾸면 선택기업·동일 세부군·208개 전체 평균 비교와 TAM/SAM/SOM 범위가 함께 갱신됩니다.</t>
        </is>
      </c>
    </row>
    <row r="3" ht="22" customHeight="1"/>
    <row r="4" ht="22" customHeight="1">
      <c r="A4" s="3" t="inlineStr">
        <is>
          <t>기업 선택</t>
        </is>
      </c>
      <c r="B4" s="45" t="inlineStr">
        <is>
          <t>어보브반도체</t>
        </is>
      </c>
      <c r="C4" t="inlineStr"/>
      <c r="D4" s="3" t="inlineStr">
        <is>
          <t>동일 세부군</t>
        </is>
      </c>
      <c r="E4" s="45">
        <f>IFERROR(XLOOKUP($B$4,$A$59:$A$266,$E$59:$E$266),"")</f>
        <v/>
      </c>
      <c r="F4" t="inlineStr"/>
      <c r="G4" s="3" t="inlineStr">
        <is>
          <t>선택기업 점수</t>
        </is>
      </c>
      <c r="H4" s="46">
        <f>IFERROR(XLOOKUP($B$4,$A$59:$A$266,$F$59:$F$266),"")</f>
        <v/>
      </c>
      <c r="I4" t="inlineStr"/>
      <c r="J4" s="3" t="inlineStr">
        <is>
          <t>208개 내 백분위</t>
        </is>
      </c>
      <c r="K4" s="47">
        <f>IFERROR(PERCENTRANK.INC($F$59:$F$266,$H$4),"")</f>
        <v/>
      </c>
      <c r="L4" t="inlineStr"/>
      <c r="M4" s="3" t="inlineStr">
        <is>
          <t>라벨</t>
        </is>
      </c>
      <c r="N4" s="45">
        <f>IFERROR(XLOOKUP($B$4,$A$59:$A$266,$H$59:$H$266),"")</f>
        <v/>
      </c>
    </row>
    <row r="5" ht="22" customHeight="1"/>
    <row r="6" ht="22" customHeight="1"/>
    <row r="7" ht="22" customHeight="1"/>
    <row r="8" ht="22" customHeight="1">
      <c r="A8" s="5" t="inlineStr">
        <is>
          <t>비교 기준</t>
        </is>
      </c>
      <c r="B8" s="5" t="inlineStr">
        <is>
          <t>밸류에이션 점수</t>
        </is>
      </c>
      <c r="C8" s="5" t="inlineStr">
        <is>
          <t>신용위험 점수</t>
        </is>
      </c>
      <c r="D8" s="5" t="inlineStr">
        <is>
          <t>기업 수</t>
        </is>
      </c>
    </row>
    <row r="9" ht="22" customHeight="1">
      <c r="A9" s="48" t="inlineStr">
        <is>
          <t>선택기업</t>
        </is>
      </c>
      <c r="B9" s="48">
        <f>IFERROR(XLOOKUP($B$4,$A$59:$A$266,$F$59:$F$266),"")</f>
        <v/>
      </c>
      <c r="C9" s="48">
        <f>IFERROR(XLOOKUP($B$4,$A$59:$A$266,$G$59:$G$266),"")</f>
        <v/>
      </c>
      <c r="D9" s="48" t="n">
        <v>1</v>
      </c>
    </row>
    <row r="10" ht="22" customHeight="1">
      <c r="A10" s="49" t="inlineStr">
        <is>
          <t>동일 세부군 평균</t>
        </is>
      </c>
      <c r="B10" s="49">
        <f>IFERROR(AVERAGEIF($E$59:$E$266,$E$4,$F$59:$F$266),"")</f>
        <v/>
      </c>
      <c r="C10" s="49">
        <f>IFERROR(AVERAGEIF($E$59:$E$266,$E$4,$G$59:$G$266),"")</f>
        <v/>
      </c>
      <c r="D10" s="49">
        <f>IFERROR(COUNTIF($E$59:$E$266,$E$4),"")</f>
        <v/>
      </c>
    </row>
    <row r="11" ht="22" customHeight="1">
      <c r="A11" s="50" t="inlineStr">
        <is>
          <t>208개 전체 평균</t>
        </is>
      </c>
      <c r="B11" s="50">
        <f>IFERROR(AVERAGE($F$59:$F$266),"")</f>
        <v/>
      </c>
      <c r="C11" s="50">
        <f>IFERROR(AVERAGE($G$59:$G$266),"")</f>
        <v/>
      </c>
      <c r="D11" s="50" t="n">
        <v>208</v>
      </c>
    </row>
    <row r="12" ht="22" customHeight="1"/>
    <row r="13" ht="22" customHeight="1"/>
    <row r="14" ht="22" customHeight="1"/>
    <row r="15" ht="22" customHeight="1"/>
    <row r="16" ht="22" customHeight="1">
      <c r="A16" s="5" t="inlineStr">
        <is>
          <t>범위</t>
        </is>
      </c>
      <c r="B16" s="5" t="inlineStr">
        <is>
          <t>기업 수</t>
        </is>
      </c>
      <c r="C16" s="5" t="inlineStr">
        <is>
          <t>해석</t>
        </is>
      </c>
    </row>
    <row r="17" ht="22" customHeight="1">
      <c r="A17" s="48" t="inlineStr">
        <is>
          <t>TAM: 반도체 전체 비교군</t>
        </is>
      </c>
      <c r="B17" s="48" t="n">
        <v>208</v>
      </c>
      <c r="C17" s="48" t="inlineStr">
        <is>
          <t>현재 가치평가 에이전트가 비교 가능한 전체 반도체 기준군</t>
        </is>
      </c>
    </row>
    <row r="18" ht="22" customHeight="1">
      <c r="A18" s="49" t="inlineStr">
        <is>
          <t>SAM: 선택기업 세부군</t>
        </is>
      </c>
      <c r="B18" s="49">
        <f>IFERROR(COUNTIF($E$59:$E$266,$E$4),"")</f>
        <v/>
      </c>
      <c r="C18" s="49" t="inlineStr">
        <is>
          <t>동일 사업축 안에서 상대가치 비교가 더 직접적인 집단</t>
        </is>
      </c>
    </row>
    <row r="19" ht="22" customHeight="1">
      <c r="A19" s="51" t="inlineStr">
        <is>
          <t>SOM: 선택기업</t>
        </is>
      </c>
      <c r="B19" s="51" t="n">
        <v>1</v>
      </c>
      <c r="C19" s="51" t="inlineStr">
        <is>
          <t>현재 선택한 분석 대상 기업</t>
        </is>
      </c>
    </row>
    <row r="20" ht="22" customHeight="1"/>
    <row r="21" ht="22" customHeight="1"/>
    <row r="22" ht="22" customHeight="1"/>
    <row r="23" ht="22" customHeight="1"/>
    <row r="24" ht="22" customHeight="1">
      <c r="A24" s="15" t="inlineStr">
        <is>
          <t>5개 핵심기업 비교</t>
        </is>
      </c>
      <c r="B24" t="inlineStr"/>
      <c r="C24" t="inlineStr"/>
      <c r="D24" t="inlineStr"/>
      <c r="E24" t="inlineStr"/>
      <c r="F24" t="inlineStr"/>
    </row>
    <row r="25" ht="22" customHeight="1">
      <c r="A25" s="5" t="inlineStr">
        <is>
          <t>기업명</t>
        </is>
      </c>
      <c r="B25" s="5" t="inlineStr">
        <is>
          <t>세부군</t>
        </is>
      </c>
      <c r="C25" s="5" t="inlineStr">
        <is>
          <t>밸류에이션 점수</t>
        </is>
      </c>
      <c r="D25" s="5" t="inlineStr">
        <is>
          <t>신용위험 점수</t>
        </is>
      </c>
      <c r="E25" s="5" t="inlineStr">
        <is>
          <t>라벨</t>
        </is>
      </c>
      <c r="F25" s="5" t="inlineStr">
        <is>
          <t>P/S</t>
        </is>
      </c>
    </row>
    <row r="26" ht="22" customHeight="1">
      <c r="A26" s="15" t="inlineStr">
        <is>
          <t>네패스</t>
        </is>
      </c>
      <c r="B26" s="15" t="inlineStr">
        <is>
          <t>후공정/패키징/테스트</t>
        </is>
      </c>
      <c r="C26" s="15" t="n">
        <v>63.85</v>
      </c>
      <c r="D26" s="15" t="n">
        <v>28.57</v>
      </c>
      <c r="E26" s="15" t="inlineStr">
        <is>
          <t>가치 매력</t>
        </is>
      </c>
      <c r="F26" t="inlineStr"/>
    </row>
    <row r="27" ht="22" customHeight="1">
      <c r="A27" s="15" t="inlineStr">
        <is>
          <t>한솔케미칼</t>
        </is>
      </c>
      <c r="B27" s="15" t="inlineStr">
        <is>
          <t>소재</t>
        </is>
      </c>
      <c r="C27" s="15" t="n">
        <v>63.31</v>
      </c>
      <c r="D27" s="15" t="n">
        <v>0</v>
      </c>
      <c r="E27" s="15" t="inlineStr">
        <is>
          <t>가치 매력</t>
        </is>
      </c>
      <c r="F27" t="inlineStr"/>
    </row>
    <row r="28" ht="22" customHeight="1">
      <c r="A28" s="15" t="inlineStr">
        <is>
          <t>엘티씨</t>
        </is>
      </c>
      <c r="B28" s="15" t="inlineStr">
        <is>
          <t>소재</t>
        </is>
      </c>
      <c r="C28" s="15" t="n">
        <v>58.38</v>
      </c>
      <c r="D28" s="15" t="n">
        <v>0</v>
      </c>
      <c r="E28" s="15" t="inlineStr">
        <is>
          <t>중립</t>
        </is>
      </c>
      <c r="F28" t="inlineStr"/>
    </row>
    <row r="29" ht="22" customHeight="1">
      <c r="A29" s="15" t="inlineStr">
        <is>
          <t>한미반도체</t>
        </is>
      </c>
      <c r="B29" s="15" t="inlineStr">
        <is>
          <t>후공정/패키징/테스트</t>
        </is>
      </c>
      <c r="C29" s="15" t="n">
        <v>47.13</v>
      </c>
      <c r="D29" s="15" t="n">
        <v>0</v>
      </c>
      <c r="E29" s="15" t="inlineStr">
        <is>
          <t>중립</t>
        </is>
      </c>
      <c r="F29" t="inlineStr"/>
    </row>
    <row r="30" ht="22" customHeight="1">
      <c r="A30" s="15" t="inlineStr">
        <is>
          <t>덕산테코피아</t>
        </is>
      </c>
      <c r="B30" s="15" t="inlineStr">
        <is>
          <t>소재</t>
        </is>
      </c>
      <c r="C30" s="15" t="n">
        <v>25.1</v>
      </c>
      <c r="D30" s="15" t="n">
        <v>71.43000000000001</v>
      </c>
      <c r="E30" s="15" t="inlineStr">
        <is>
          <t>고평가 부담</t>
        </is>
      </c>
      <c r="F30" t="inlineStr"/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>
      <c r="A57" s="3" t="inlineStr">
        <is>
          <t>선택/차트 원천 데이터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 ht="22" customHeight="1">
      <c r="A58" s="5" t="inlineStr">
        <is>
          <t>기업명</t>
        </is>
      </c>
      <c r="B58" s="5" t="inlineStr">
        <is>
          <t>기업코드</t>
        </is>
      </c>
      <c r="C58" s="5" t="inlineStr">
        <is>
          <t>종목코드</t>
        </is>
      </c>
      <c r="D58" s="5" t="inlineStr">
        <is>
          <t>시장</t>
        </is>
      </c>
      <c r="E58" s="5" t="inlineStr">
        <is>
          <t>세부군</t>
        </is>
      </c>
      <c r="F58" s="5" t="inlineStr">
        <is>
          <t>밸류에이션 점수</t>
        </is>
      </c>
      <c r="G58" s="5" t="inlineStr">
        <is>
          <t>신용위험 점수</t>
        </is>
      </c>
      <c r="H58" s="5" t="inlineStr">
        <is>
          <t>라벨</t>
        </is>
      </c>
      <c r="I58" s="5" t="inlineStr">
        <is>
          <t>신뢰도</t>
        </is>
      </c>
      <c r="J58" s="5" t="inlineStr">
        <is>
          <t>5개 핵심</t>
        </is>
      </c>
      <c r="K58" s="5" t="inlineStr">
        <is>
          <t>분석대상</t>
        </is>
      </c>
      <c r="L58" s="5" t="inlineStr">
        <is>
          <t>P/S</t>
        </is>
      </c>
    </row>
    <row r="59" ht="22" customHeight="1">
      <c r="A59" s="15" t="inlineStr">
        <is>
          <t>엔투텍</t>
        </is>
      </c>
      <c r="B59" t="inlineStr"/>
      <c r="C59" s="15" t="inlineStr">
        <is>
          <t>227950</t>
        </is>
      </c>
      <c r="D59" s="15" t="inlineStr">
        <is>
          <t>KOSDAQ</t>
        </is>
      </c>
      <c r="E59" s="15" t="inlineStr">
        <is>
          <t>장비</t>
        </is>
      </c>
      <c r="F59" s="15" t="n">
        <v>81.29000000000001</v>
      </c>
      <c r="G59" s="15" t="n">
        <v>21.43</v>
      </c>
      <c r="H59" s="15" t="inlineStr">
        <is>
          <t>가치 매력</t>
        </is>
      </c>
      <c r="I59" s="15" t="inlineStr">
        <is>
          <t>0.8347222629406851</t>
        </is>
      </c>
      <c r="J59" t="inlineStr"/>
      <c r="K59" t="inlineStr"/>
      <c r="L59" t="inlineStr"/>
    </row>
    <row r="60" ht="22" customHeight="1">
      <c r="A60" s="15" t="inlineStr">
        <is>
          <t>에스에이엠티</t>
        </is>
      </c>
      <c r="B60" t="inlineStr"/>
      <c r="C60" s="15" t="inlineStr">
        <is>
          <t>031330</t>
        </is>
      </c>
      <c r="D60" s="15" t="inlineStr">
        <is>
          <t>KOSDAQ</t>
        </is>
      </c>
      <c r="E60" s="15" t="inlineStr">
        <is>
          <t>팹리스/설계</t>
        </is>
      </c>
      <c r="F60" s="15" t="n">
        <v>78.38</v>
      </c>
      <c r="G60" s="15" t="n">
        <v>50</v>
      </c>
      <c r="H60" s="15" t="inlineStr">
        <is>
          <t>중립</t>
        </is>
      </c>
      <c r="I60" s="15" t="inlineStr">
        <is>
          <t>0.8575928985222669</t>
        </is>
      </c>
      <c r="J60" t="inlineStr"/>
      <c r="K60" t="inlineStr"/>
      <c r="L60" t="inlineStr"/>
    </row>
    <row r="61" ht="22" customHeight="1">
      <c r="A61" s="15" t="inlineStr">
        <is>
          <t>성우테크론</t>
        </is>
      </c>
      <c r="B61" t="inlineStr"/>
      <c r="C61" s="15" t="inlineStr">
        <is>
          <t>045300</t>
        </is>
      </c>
      <c r="D61" s="15" t="inlineStr">
        <is>
          <t>KOSDAQ</t>
        </is>
      </c>
      <c r="E61" s="15" t="inlineStr">
        <is>
          <t>후공정/패키징/테스트</t>
        </is>
      </c>
      <c r="F61" s="15" t="n">
        <v>77.64</v>
      </c>
      <c r="G61" s="15" t="n">
        <v>7.14</v>
      </c>
      <c r="H61" s="15" t="inlineStr">
        <is>
          <t>가치 매력</t>
        </is>
      </c>
      <c r="I61" s="15" t="inlineStr">
        <is>
          <t>0.9526864248076319</t>
        </is>
      </c>
      <c r="J61" t="inlineStr"/>
      <c r="K61" t="inlineStr"/>
      <c r="L61" t="inlineStr"/>
    </row>
    <row r="62" ht="22" customHeight="1">
      <c r="A62" s="15" t="inlineStr">
        <is>
          <t>미래산업</t>
        </is>
      </c>
      <c r="B62" t="inlineStr"/>
      <c r="C62" s="15" t="inlineStr">
        <is>
          <t>025560</t>
        </is>
      </c>
      <c r="D62" s="15" t="inlineStr">
        <is>
          <t>KOSPI</t>
        </is>
      </c>
      <c r="E62" s="15" t="inlineStr">
        <is>
          <t>후공정/패키징/테스트</t>
        </is>
      </c>
      <c r="F62" s="15" t="n">
        <v>77.48</v>
      </c>
      <c r="G62" s="15" t="n">
        <v>28.57</v>
      </c>
      <c r="H62" s="15" t="inlineStr">
        <is>
          <t>중립</t>
        </is>
      </c>
      <c r="I62" s="15" t="inlineStr">
        <is>
          <t>0.883291104654336</t>
        </is>
      </c>
      <c r="J62" t="inlineStr"/>
      <c r="K62" t="inlineStr"/>
      <c r="L62" t="inlineStr"/>
    </row>
    <row r="63" ht="22" customHeight="1">
      <c r="A63" s="15" t="inlineStr">
        <is>
          <t>미코</t>
        </is>
      </c>
      <c r="B63" t="inlineStr"/>
      <c r="C63" s="15" t="inlineStr">
        <is>
          <t>059090</t>
        </is>
      </c>
      <c r="D63" s="15" t="inlineStr">
        <is>
          <t>KOSDAQ</t>
        </is>
      </c>
      <c r="E63" s="15" t="inlineStr">
        <is>
          <t>IDM/제조/메모리</t>
        </is>
      </c>
      <c r="F63" s="15" t="n">
        <v>77.33</v>
      </c>
      <c r="G63" s="15" t="n">
        <v>21.43</v>
      </c>
      <c r="H63" s="15" t="inlineStr">
        <is>
          <t>중립</t>
        </is>
      </c>
      <c r="I63" s="15" t="inlineStr">
        <is>
          <t>0.9066669659525092</t>
        </is>
      </c>
      <c r="J63" t="inlineStr"/>
      <c r="K63" t="inlineStr"/>
      <c r="L63" t="inlineStr"/>
    </row>
    <row r="64" ht="22" customHeight="1">
      <c r="A64" s="15" t="inlineStr">
        <is>
          <t>링크제니시스</t>
        </is>
      </c>
      <c r="B64" t="inlineStr"/>
      <c r="C64" s="15" t="inlineStr">
        <is>
          <t>219420</t>
        </is>
      </c>
      <c r="D64" s="15" t="inlineStr">
        <is>
          <t>KOSDAQ</t>
        </is>
      </c>
      <c r="E64" s="15" t="inlineStr">
        <is>
          <t>후공정/패키징/테스트</t>
        </is>
      </c>
      <c r="F64" s="15" t="n">
        <v>75.23</v>
      </c>
      <c r="G64" s="15" t="n">
        <v>7.14</v>
      </c>
      <c r="H64" s="15" t="inlineStr">
        <is>
          <t>가치 매력</t>
        </is>
      </c>
      <c r="I64" s="15" t="inlineStr">
        <is>
          <t>0.8724992666433111</t>
        </is>
      </c>
      <c r="J64" t="inlineStr"/>
      <c r="K64" t="inlineStr"/>
      <c r="L64" t="inlineStr"/>
    </row>
    <row r="65" ht="22" customHeight="1">
      <c r="A65" s="15" t="inlineStr">
        <is>
          <t>엘디티</t>
        </is>
      </c>
      <c r="B65" t="inlineStr"/>
      <c r="C65" s="15" t="inlineStr">
        <is>
          <t>096870</t>
        </is>
      </c>
      <c r="D65" s="15" t="inlineStr">
        <is>
          <t>KOSDAQ</t>
        </is>
      </c>
      <c r="E65" s="15" t="inlineStr">
        <is>
          <t>IDM/제조/메모리</t>
        </is>
      </c>
      <c r="F65" s="15" t="n">
        <v>75.18000000000001</v>
      </c>
      <c r="G65" s="15" t="n">
        <v>7.14</v>
      </c>
      <c r="H65" s="15" t="inlineStr">
        <is>
          <t>가치 매력</t>
        </is>
      </c>
      <c r="I65" s="15" t="inlineStr">
        <is>
          <t>0.8817908899004964</t>
        </is>
      </c>
      <c r="J65" t="inlineStr"/>
      <c r="K65" t="inlineStr"/>
      <c r="L65" t="inlineStr"/>
    </row>
    <row r="66" ht="22" customHeight="1">
      <c r="A66" s="15" t="inlineStr">
        <is>
          <t>유니트론텍</t>
        </is>
      </c>
      <c r="B66" t="inlineStr"/>
      <c r="C66" s="15" t="inlineStr">
        <is>
          <t>142210</t>
        </is>
      </c>
      <c r="D66" s="15" t="inlineStr">
        <is>
          <t>KOSDAQ</t>
        </is>
      </c>
      <c r="E66" s="15" t="inlineStr">
        <is>
          <t>팹리스/설계</t>
        </is>
      </c>
      <c r="F66" s="15" t="n">
        <v>74.79000000000001</v>
      </c>
      <c r="G66" s="15" t="n">
        <v>35.71</v>
      </c>
      <c r="H66" s="15" t="inlineStr">
        <is>
          <t>중립</t>
        </is>
      </c>
      <c r="I66" s="15" t="inlineStr">
        <is>
          <t>0.8593164302034415</t>
        </is>
      </c>
      <c r="J66" t="inlineStr"/>
      <c r="K66" t="inlineStr"/>
      <c r="L66" t="inlineStr"/>
    </row>
    <row r="67" ht="22" customHeight="1">
      <c r="A67" s="15" t="inlineStr">
        <is>
          <t>메카로</t>
        </is>
      </c>
      <c r="B67" t="inlineStr"/>
      <c r="C67" s="15" t="inlineStr">
        <is>
          <t>241770</t>
        </is>
      </c>
      <c r="D67" s="15" t="inlineStr">
        <is>
          <t>KOSDAQ</t>
        </is>
      </c>
      <c r="E67" s="15" t="inlineStr">
        <is>
          <t>IDM/제조/메모리</t>
        </is>
      </c>
      <c r="F67" s="15" t="n">
        <v>74.77</v>
      </c>
      <c r="G67" s="15" t="n">
        <v>0</v>
      </c>
      <c r="H67" s="15" t="inlineStr">
        <is>
          <t>가치 매력</t>
        </is>
      </c>
      <c r="I67" s="15" t="inlineStr">
        <is>
          <t>0.9154158498128573</t>
        </is>
      </c>
      <c r="J67" t="inlineStr"/>
      <c r="K67" t="inlineStr"/>
      <c r="L67" t="inlineStr"/>
    </row>
    <row r="68" ht="22" customHeight="1">
      <c r="A68" s="15" t="inlineStr">
        <is>
          <t>월덱스</t>
        </is>
      </c>
      <c r="B68" t="inlineStr"/>
      <c r="C68" s="15" t="inlineStr">
        <is>
          <t>101160</t>
        </is>
      </c>
      <c r="D68" s="15" t="inlineStr">
        <is>
          <t>KOSDAQ</t>
        </is>
      </c>
      <c r="E68" s="15" t="inlineStr">
        <is>
          <t>소재</t>
        </is>
      </c>
      <c r="F68" s="15" t="n">
        <v>74.59</v>
      </c>
      <c r="G68" s="15" t="n">
        <v>0</v>
      </c>
      <c r="H68" s="15" t="inlineStr">
        <is>
          <t>가치 매력</t>
        </is>
      </c>
      <c r="I68" s="15" t="inlineStr">
        <is>
          <t>0.9476922450763601</t>
        </is>
      </c>
      <c r="J68" t="inlineStr"/>
      <c r="K68" t="inlineStr"/>
      <c r="L68" t="inlineStr"/>
    </row>
    <row r="69" ht="22" customHeight="1">
      <c r="A69" s="15" t="inlineStr">
        <is>
          <t>앤씨앤</t>
        </is>
      </c>
      <c r="B69" t="inlineStr"/>
      <c r="C69" s="15" t="inlineStr">
        <is>
          <t>092600</t>
        </is>
      </c>
      <c r="D69" s="15" t="inlineStr">
        <is>
          <t>KOSDAQ</t>
        </is>
      </c>
      <c r="E69" s="15" t="inlineStr">
        <is>
          <t>팹리스/설계</t>
        </is>
      </c>
      <c r="F69" s="15" t="n">
        <v>74.51000000000001</v>
      </c>
      <c r="G69" s="15" t="n">
        <v>50</v>
      </c>
      <c r="H69" s="15" t="inlineStr">
        <is>
          <t>중립</t>
        </is>
      </c>
      <c r="I69" s="15" t="inlineStr">
        <is>
          <t>0.8450252323777523</t>
        </is>
      </c>
      <c r="J69" t="inlineStr"/>
      <c r="K69" t="inlineStr"/>
      <c r="L69" t="inlineStr"/>
    </row>
    <row r="70" ht="22" customHeight="1">
      <c r="A70" s="15" t="inlineStr">
        <is>
          <t>퓨릿</t>
        </is>
      </c>
      <c r="B70" t="inlineStr"/>
      <c r="C70" s="15" t="inlineStr">
        <is>
          <t>445180</t>
        </is>
      </c>
      <c r="D70" s="15" t="inlineStr">
        <is>
          <t>KOSDAQ</t>
        </is>
      </c>
      <c r="E70" s="15" t="inlineStr">
        <is>
          <t>소재</t>
        </is>
      </c>
      <c r="F70" s="15" t="n">
        <v>74.48999999999999</v>
      </c>
      <c r="G70" s="15" t="n">
        <v>7.14</v>
      </c>
      <c r="H70" s="15" t="inlineStr">
        <is>
          <t>가치 매력</t>
        </is>
      </c>
      <c r="I70" s="15" t="inlineStr">
        <is>
          <t>0.8817607106455689</t>
        </is>
      </c>
      <c r="J70" t="inlineStr"/>
      <c r="K70" t="inlineStr"/>
      <c r="L70" t="inlineStr"/>
    </row>
    <row r="71" ht="22" customHeight="1">
      <c r="A71" s="15" t="inlineStr">
        <is>
          <t>마이크로컨텍솔</t>
        </is>
      </c>
      <c r="B71" t="inlineStr"/>
      <c r="C71" s="15" t="inlineStr">
        <is>
          <t>098120</t>
        </is>
      </c>
      <c r="D71" s="15" t="inlineStr">
        <is>
          <t>KOSDAQ</t>
        </is>
      </c>
      <c r="E71" s="15" t="inlineStr">
        <is>
          <t>팹리스/설계</t>
        </is>
      </c>
      <c r="F71" s="15" t="n">
        <v>73.84</v>
      </c>
      <c r="G71" s="15" t="n">
        <v>14.29</v>
      </c>
      <c r="H71" s="15" t="inlineStr">
        <is>
          <t>가치 매력</t>
        </is>
      </c>
      <c r="I71" s="15" t="inlineStr">
        <is>
          <t>0.8262966149459129</t>
        </is>
      </c>
      <c r="J71" t="inlineStr"/>
      <c r="K71" t="inlineStr"/>
      <c r="L71" t="inlineStr"/>
    </row>
    <row r="72" ht="22" customHeight="1">
      <c r="A72" s="15" t="inlineStr">
        <is>
          <t>프로텍</t>
        </is>
      </c>
      <c r="B72" t="inlineStr"/>
      <c r="C72" s="15" t="inlineStr">
        <is>
          <t>053610</t>
        </is>
      </c>
      <c r="D72" s="15" t="inlineStr">
        <is>
          <t>KOSDAQ</t>
        </is>
      </c>
      <c r="E72" s="15" t="inlineStr">
        <is>
          <t>후공정/패키징/테스트</t>
        </is>
      </c>
      <c r="F72" s="15" t="n">
        <v>73.42</v>
      </c>
      <c r="G72" s="15" t="n">
        <v>7.14</v>
      </c>
      <c r="H72" s="15" t="inlineStr">
        <is>
          <t>중립</t>
        </is>
      </c>
      <c r="I72" s="15" t="inlineStr">
        <is>
          <t>0.8971257561900263</t>
        </is>
      </c>
      <c r="J72" t="inlineStr"/>
      <c r="K72" t="inlineStr"/>
      <c r="L72" t="inlineStr"/>
    </row>
    <row r="73" ht="22" customHeight="1">
      <c r="A73" s="15" t="inlineStr">
        <is>
          <t>아이앤씨</t>
        </is>
      </c>
      <c r="B73" t="inlineStr"/>
      <c r="C73" s="15" t="inlineStr">
        <is>
          <t>052860</t>
        </is>
      </c>
      <c r="D73" s="15" t="inlineStr">
        <is>
          <t>KOSDAQ</t>
        </is>
      </c>
      <c r="E73" s="15" t="inlineStr">
        <is>
          <t>팹리스/설계</t>
        </is>
      </c>
      <c r="F73" s="15" t="n">
        <v>73.25</v>
      </c>
      <c r="G73" s="15" t="n">
        <v>0</v>
      </c>
      <c r="H73" s="15" t="inlineStr">
        <is>
          <t>가치 매력</t>
        </is>
      </c>
      <c r="I73" s="15" t="inlineStr">
        <is>
          <t>0.9267130449922303</t>
        </is>
      </c>
      <c r="J73" t="inlineStr"/>
      <c r="K73" t="inlineStr"/>
      <c r="L73" t="inlineStr"/>
    </row>
    <row r="74" ht="22" customHeight="1">
      <c r="A74" s="15" t="inlineStr">
        <is>
          <t>비아트론</t>
        </is>
      </c>
      <c r="B74" t="inlineStr"/>
      <c r="C74" s="15" t="inlineStr">
        <is>
          <t>141000</t>
        </is>
      </c>
      <c r="D74" s="15" t="inlineStr">
        <is>
          <t>KOSDAQ</t>
        </is>
      </c>
      <c r="E74" s="15" t="inlineStr">
        <is>
          <t>장비</t>
        </is>
      </c>
      <c r="F74" s="15" t="n">
        <v>71.05</v>
      </c>
      <c r="G74" s="15" t="n">
        <v>0</v>
      </c>
      <c r="H74" s="15" t="inlineStr">
        <is>
          <t>가치 매력</t>
        </is>
      </c>
      <c r="I74" s="15" t="inlineStr">
        <is>
          <t>0.934708213344448</t>
        </is>
      </c>
      <c r="J74" t="inlineStr"/>
      <c r="K74" t="inlineStr"/>
      <c r="L74" t="inlineStr"/>
    </row>
    <row r="75" ht="22" customHeight="1">
      <c r="A75" s="15" t="inlineStr">
        <is>
          <t>인터플렉스</t>
        </is>
      </c>
      <c r="B75" t="inlineStr"/>
      <c r="C75" s="15" t="inlineStr">
        <is>
          <t>051370</t>
        </is>
      </c>
      <c r="D75" s="15" t="inlineStr">
        <is>
          <t>KOSDAQ</t>
        </is>
      </c>
      <c r="E75" s="15" t="inlineStr">
        <is>
          <t>부품/기판</t>
        </is>
      </c>
      <c r="F75" s="15" t="n">
        <v>70.90000000000001</v>
      </c>
      <c r="G75" s="15" t="n">
        <v>7.14</v>
      </c>
      <c r="H75" s="15" t="inlineStr">
        <is>
          <t>중립</t>
        </is>
      </c>
      <c r="I75" s="15" t="inlineStr">
        <is>
          <t>0.904555257888918</t>
        </is>
      </c>
      <c r="J75" t="inlineStr"/>
      <c r="K75" t="inlineStr"/>
      <c r="L75" t="inlineStr"/>
    </row>
    <row r="76" ht="22" customHeight="1">
      <c r="A76" s="15" t="inlineStr">
        <is>
          <t>삼성전자</t>
        </is>
      </c>
      <c r="B76" t="inlineStr"/>
      <c r="C76" s="15" t="inlineStr">
        <is>
          <t>005930</t>
        </is>
      </c>
      <c r="D76" s="15" t="inlineStr">
        <is>
          <t>KOSPI</t>
        </is>
      </c>
      <c r="E76" s="15" t="inlineStr">
        <is>
          <t>IDM/제조/메모리</t>
        </is>
      </c>
      <c r="F76" s="15" t="n">
        <v>70.78</v>
      </c>
      <c r="G76" s="15" t="n">
        <v>0</v>
      </c>
      <c r="H76" s="15" t="inlineStr">
        <is>
          <t>가치 매력</t>
        </is>
      </c>
      <c r="I76" s="15" t="inlineStr">
        <is>
          <t>0.9371541027950523</t>
        </is>
      </c>
      <c r="J76" t="inlineStr"/>
      <c r="K76" t="inlineStr"/>
      <c r="L76" t="inlineStr"/>
    </row>
    <row r="77" ht="22" customHeight="1">
      <c r="A77" s="15" t="inlineStr">
        <is>
          <t>케이씨</t>
        </is>
      </c>
      <c r="B77" t="inlineStr"/>
      <c r="C77" s="15" t="inlineStr">
        <is>
          <t>029460</t>
        </is>
      </c>
      <c r="D77" s="15" t="inlineStr">
        <is>
          <t>KOSPI</t>
        </is>
      </c>
      <c r="E77" s="15" t="inlineStr">
        <is>
          <t>장비</t>
        </is>
      </c>
      <c r="F77" s="15" t="n">
        <v>70.65000000000001</v>
      </c>
      <c r="G77" s="15" t="n">
        <v>0</v>
      </c>
      <c r="H77" s="15" t="inlineStr">
        <is>
          <t>가치 매력</t>
        </is>
      </c>
      <c r="I77" s="15" t="inlineStr">
        <is>
          <t>0.9151708177015135</t>
        </is>
      </c>
      <c r="J77" t="inlineStr"/>
      <c r="K77" t="inlineStr"/>
      <c r="L77" t="inlineStr"/>
    </row>
    <row r="78" ht="22" customHeight="1">
      <c r="A78" s="15" t="inlineStr">
        <is>
          <t>이엔에프테크놀로지</t>
        </is>
      </c>
      <c r="B78" t="inlineStr"/>
      <c r="C78" s="15" t="inlineStr">
        <is>
          <t>102710</t>
        </is>
      </c>
      <c r="D78" s="15" t="inlineStr">
        <is>
          <t>KOSDAQ</t>
        </is>
      </c>
      <c r="E78" s="15" t="inlineStr">
        <is>
          <t>소재</t>
        </is>
      </c>
      <c r="F78" s="15" t="n">
        <v>70.62</v>
      </c>
      <c r="G78" s="15" t="n">
        <v>0</v>
      </c>
      <c r="H78" s="15" t="inlineStr">
        <is>
          <t>가치 매력</t>
        </is>
      </c>
      <c r="I78" s="15" t="inlineStr">
        <is>
          <t>0.9371627732042065</t>
        </is>
      </c>
      <c r="J78" t="inlineStr"/>
      <c r="K78" t="inlineStr"/>
      <c r="L78" t="inlineStr"/>
    </row>
    <row r="79" ht="22" customHeight="1">
      <c r="A79" s="15" t="inlineStr">
        <is>
          <t>매커스</t>
        </is>
      </c>
      <c r="B79" t="inlineStr"/>
      <c r="C79" s="15" t="inlineStr">
        <is>
          <t>093520</t>
        </is>
      </c>
      <c r="D79" s="15" t="inlineStr">
        <is>
          <t>KOSDAQ</t>
        </is>
      </c>
      <c r="E79" s="15" t="inlineStr">
        <is>
          <t>팹리스/설계</t>
        </is>
      </c>
      <c r="F79" s="15" t="n">
        <v>70.56999999999999</v>
      </c>
      <c r="G79" s="15" t="n">
        <v>0</v>
      </c>
      <c r="H79" s="15" t="inlineStr">
        <is>
          <t>가치 매력</t>
        </is>
      </c>
      <c r="I79" s="15" t="inlineStr">
        <is>
          <t>0.9375173489226767</t>
        </is>
      </c>
      <c r="J79" t="inlineStr"/>
      <c r="K79" t="inlineStr"/>
      <c r="L79" t="inlineStr"/>
    </row>
    <row r="80" ht="22" customHeight="1">
      <c r="A80" s="15" t="inlineStr">
        <is>
          <t>LX세미콘</t>
        </is>
      </c>
      <c r="B80" t="inlineStr"/>
      <c r="C80" s="15" t="inlineStr">
        <is>
          <t>108320</t>
        </is>
      </c>
      <c r="D80" s="15" t="inlineStr">
        <is>
          <t>KOSPI</t>
        </is>
      </c>
      <c r="E80" s="15" t="inlineStr">
        <is>
          <t>팹리스/설계</t>
        </is>
      </c>
      <c r="F80" s="15" t="n">
        <v>69.54000000000001</v>
      </c>
      <c r="G80" s="15" t="n">
        <v>0</v>
      </c>
      <c r="H80" s="15" t="inlineStr">
        <is>
          <t>가치 매력</t>
        </is>
      </c>
      <c r="I80" s="15" t="inlineStr">
        <is>
          <t>0.951012131492064</t>
        </is>
      </c>
      <c r="J80" t="inlineStr"/>
      <c r="K80" t="inlineStr"/>
      <c r="L80" t="inlineStr"/>
    </row>
    <row r="81" ht="22" customHeight="1">
      <c r="A81" s="15" t="inlineStr">
        <is>
          <t>SK하이닉스</t>
        </is>
      </c>
      <c r="B81" t="inlineStr"/>
      <c r="C81" s="15" t="inlineStr">
        <is>
          <t>000660</t>
        </is>
      </c>
      <c r="D81" s="15" t="inlineStr">
        <is>
          <t>KOSPI</t>
        </is>
      </c>
      <c r="E81" s="15" t="inlineStr">
        <is>
          <t>IDM/제조/메모리</t>
        </is>
      </c>
      <c r="F81" s="15" t="n">
        <v>69.33</v>
      </c>
      <c r="G81" s="15" t="n">
        <v>0</v>
      </c>
      <c r="H81" s="15" t="inlineStr">
        <is>
          <t>가치 매력</t>
        </is>
      </c>
      <c r="I81" s="15" t="inlineStr">
        <is>
          <t>0.8582250965188642</t>
        </is>
      </c>
      <c r="J81" t="inlineStr"/>
      <c r="K81" t="inlineStr"/>
      <c r="L81" t="inlineStr"/>
    </row>
    <row r="82" ht="22" customHeight="1">
      <c r="A82" s="15" t="inlineStr">
        <is>
          <t>어보브반도체</t>
        </is>
      </c>
      <c r="B82" t="inlineStr"/>
      <c r="C82" s="15" t="inlineStr">
        <is>
          <t>102120</t>
        </is>
      </c>
      <c r="D82" s="15" t="inlineStr">
        <is>
          <t>KOSDAQ</t>
        </is>
      </c>
      <c r="E82" s="15" t="inlineStr">
        <is>
          <t>팹리스/설계</t>
        </is>
      </c>
      <c r="F82" s="15" t="n">
        <v>69.33</v>
      </c>
      <c r="G82" s="15" t="n">
        <v>7.14</v>
      </c>
      <c r="H82" s="15" t="inlineStr">
        <is>
          <t>중립</t>
        </is>
      </c>
      <c r="I82" s="15" t="inlineStr">
        <is>
          <t>0.9028406871788379</t>
        </is>
      </c>
      <c r="J82" t="inlineStr"/>
      <c r="K82" t="inlineStr"/>
      <c r="L82" t="inlineStr"/>
    </row>
    <row r="83" ht="22" customHeight="1">
      <c r="A83" s="15" t="inlineStr">
        <is>
          <t>더코디</t>
        </is>
      </c>
      <c r="B83" t="inlineStr"/>
      <c r="C83" s="15" t="inlineStr">
        <is>
          <t>224060</t>
        </is>
      </c>
      <c r="D83" s="15" t="inlineStr">
        <is>
          <t>KOSDAQ</t>
        </is>
      </c>
      <c r="E83" s="15" t="inlineStr">
        <is>
          <t>장비</t>
        </is>
      </c>
      <c r="F83" s="15" t="n">
        <v>69.09</v>
      </c>
      <c r="G83" s="15" t="n">
        <v>85.70999999999999</v>
      </c>
      <c r="H83" s="15" t="inlineStr">
        <is>
          <t>중립</t>
        </is>
      </c>
      <c r="I83" s="15" t="inlineStr">
        <is>
          <t>0.6613330626239345</t>
        </is>
      </c>
      <c r="J83" t="inlineStr"/>
      <c r="K83" t="inlineStr"/>
      <c r="L83" t="inlineStr"/>
    </row>
    <row r="84" ht="22" customHeight="1">
      <c r="A84" s="15" t="inlineStr">
        <is>
          <t>프로이천</t>
        </is>
      </c>
      <c r="B84" t="inlineStr"/>
      <c r="C84" s="15" t="inlineStr">
        <is>
          <t>321260</t>
        </is>
      </c>
      <c r="D84" s="15" t="inlineStr">
        <is>
          <t>KOSDAQ</t>
        </is>
      </c>
      <c r="E84" s="15" t="inlineStr">
        <is>
          <t>후공정/패키징/테스트</t>
        </is>
      </c>
      <c r="F84" s="15" t="n">
        <v>69.05</v>
      </c>
      <c r="G84" s="15" t="n">
        <v>14.29</v>
      </c>
      <c r="H84" s="15" t="inlineStr">
        <is>
          <t>가치 매력</t>
        </is>
      </c>
      <c r="I84" s="15" t="inlineStr">
        <is>
          <t>0.9481469936627798</t>
        </is>
      </c>
      <c r="J84" t="inlineStr"/>
      <c r="K84" t="inlineStr"/>
      <c r="L84" t="inlineStr"/>
    </row>
    <row r="85" ht="22" customHeight="1">
      <c r="A85" s="15" t="inlineStr">
        <is>
          <t>케이엔제이</t>
        </is>
      </c>
      <c r="B85" t="inlineStr"/>
      <c r="C85" s="15" t="inlineStr">
        <is>
          <t>272110</t>
        </is>
      </c>
      <c r="D85" s="15" t="inlineStr">
        <is>
          <t>KOSDAQ</t>
        </is>
      </c>
      <c r="E85" s="15" t="inlineStr">
        <is>
          <t>IDM/제조/메모리</t>
        </is>
      </c>
      <c r="F85" s="15" t="n">
        <v>69</v>
      </c>
      <c r="G85" s="15" t="n">
        <v>35.71</v>
      </c>
      <c r="H85" s="15" t="inlineStr">
        <is>
          <t>중립</t>
        </is>
      </c>
      <c r="I85" s="15" t="inlineStr">
        <is>
          <t>0.8941431334693103</t>
        </is>
      </c>
      <c r="J85" t="inlineStr"/>
      <c r="K85" t="inlineStr"/>
      <c r="L85" t="inlineStr"/>
    </row>
    <row r="86" ht="22" customHeight="1">
      <c r="A86" s="15" t="inlineStr">
        <is>
          <t>KPX케미칼</t>
        </is>
      </c>
      <c r="B86" t="inlineStr"/>
      <c r="C86" s="15" t="inlineStr">
        <is>
          <t>025000</t>
        </is>
      </c>
      <c r="D86" s="15" t="inlineStr">
        <is>
          <t>KOSPI</t>
        </is>
      </c>
      <c r="E86" s="15" t="inlineStr">
        <is>
          <t>장비</t>
        </is>
      </c>
      <c r="F86" s="15" t="n">
        <v>68.76000000000001</v>
      </c>
      <c r="G86" s="15" t="n">
        <v>0</v>
      </c>
      <c r="H86" s="15" t="inlineStr">
        <is>
          <t>가치 매력</t>
        </is>
      </c>
      <c r="I86" s="15" t="inlineStr">
        <is>
          <t>0.9091955435785402</t>
        </is>
      </c>
      <c r="J86" t="inlineStr"/>
      <c r="K86" t="inlineStr"/>
      <c r="L86" t="inlineStr"/>
    </row>
    <row r="87" ht="22" customHeight="1">
      <c r="A87" s="15" t="inlineStr">
        <is>
          <t>성도이엔지</t>
        </is>
      </c>
      <c r="B87" t="inlineStr"/>
      <c r="C87" s="15" t="inlineStr">
        <is>
          <t>037350</t>
        </is>
      </c>
      <c r="D87" s="15" t="inlineStr">
        <is>
          <t>KOSDAQ</t>
        </is>
      </c>
      <c r="E87" s="15" t="inlineStr">
        <is>
          <t>장비</t>
        </is>
      </c>
      <c r="F87" s="15" t="n">
        <v>68.75</v>
      </c>
      <c r="G87" s="15" t="n">
        <v>0</v>
      </c>
      <c r="H87" s="15" t="inlineStr">
        <is>
          <t>가치 매력</t>
        </is>
      </c>
      <c r="I87" s="15" t="inlineStr">
        <is>
          <t>0.9250659167833418</t>
        </is>
      </c>
      <c r="J87" t="inlineStr"/>
      <c r="K87" t="inlineStr"/>
      <c r="L87" t="inlineStr"/>
    </row>
    <row r="88" ht="22" customHeight="1">
      <c r="A88" s="15" t="inlineStr">
        <is>
          <t>한양디지텍</t>
        </is>
      </c>
      <c r="B88" t="inlineStr"/>
      <c r="C88" s="15" t="inlineStr">
        <is>
          <t>078350</t>
        </is>
      </c>
      <c r="D88" s="15" t="inlineStr">
        <is>
          <t>KOSDAQ</t>
        </is>
      </c>
      <c r="E88" s="15" t="inlineStr">
        <is>
          <t>IDM/제조/메모리</t>
        </is>
      </c>
      <c r="F88" s="15" t="n">
        <v>68.05</v>
      </c>
      <c r="G88" s="15" t="n">
        <v>7.14</v>
      </c>
      <c r="H88" s="15" t="inlineStr">
        <is>
          <t>가치 매력</t>
        </is>
      </c>
      <c r="I88" s="15" t="inlineStr">
        <is>
          <t>0.8705426081647281</t>
        </is>
      </c>
      <c r="J88" t="inlineStr"/>
      <c r="K88" t="inlineStr"/>
      <c r="L88" t="inlineStr"/>
    </row>
    <row r="89" ht="22" customHeight="1">
      <c r="A89" s="15" t="inlineStr">
        <is>
          <t>유니퀘스트</t>
        </is>
      </c>
      <c r="B89" t="inlineStr"/>
      <c r="C89" s="15" t="inlineStr">
        <is>
          <t>077500</t>
        </is>
      </c>
      <c r="D89" s="15" t="inlineStr">
        <is>
          <t>KOSPI</t>
        </is>
      </c>
      <c r="E89" s="15" t="inlineStr">
        <is>
          <t>장비</t>
        </is>
      </c>
      <c r="F89" s="15" t="n">
        <v>67.84</v>
      </c>
      <c r="G89" s="15" t="n">
        <v>0</v>
      </c>
      <c r="H89" s="15" t="inlineStr">
        <is>
          <t>가치 매력</t>
        </is>
      </c>
      <c r="I89" s="15" t="inlineStr">
        <is>
          <t>0.8881603628406226</t>
        </is>
      </c>
      <c r="J89" t="inlineStr"/>
      <c r="K89" t="inlineStr"/>
      <c r="L89" t="inlineStr"/>
    </row>
    <row r="90" ht="22" customHeight="1">
      <c r="A90" s="15" t="inlineStr">
        <is>
          <t>원익머트리얼즈</t>
        </is>
      </c>
      <c r="B90" t="inlineStr"/>
      <c r="C90" s="15" t="inlineStr">
        <is>
          <t>104830</t>
        </is>
      </c>
      <c r="D90" s="15" t="inlineStr">
        <is>
          <t>KOSDAQ</t>
        </is>
      </c>
      <c r="E90" s="15" t="inlineStr">
        <is>
          <t>소재</t>
        </is>
      </c>
      <c r="F90" s="15" t="n">
        <v>66.81999999999999</v>
      </c>
      <c r="G90" s="15" t="n">
        <v>7.14</v>
      </c>
      <c r="H90" s="15" t="inlineStr">
        <is>
          <t>중립</t>
        </is>
      </c>
      <c r="I90" s="15" t="inlineStr">
        <is>
          <t>0.9160049727267536</t>
        </is>
      </c>
      <c r="J90" t="inlineStr"/>
      <c r="K90" t="inlineStr"/>
      <c r="L90" t="inlineStr"/>
    </row>
    <row r="91" ht="22" customHeight="1">
      <c r="A91" s="15" t="inlineStr">
        <is>
          <t>솔브레인홀딩스</t>
        </is>
      </c>
      <c r="B91" t="inlineStr"/>
      <c r="C91" s="15" t="inlineStr">
        <is>
          <t>036830</t>
        </is>
      </c>
      <c r="D91" s="15" t="inlineStr">
        <is>
          <t>KOSDAQ GLOBAL</t>
        </is>
      </c>
      <c r="E91" s="15" t="inlineStr">
        <is>
          <t>소재</t>
        </is>
      </c>
      <c r="F91" s="15" t="n">
        <v>66.67</v>
      </c>
      <c r="G91" s="15" t="n">
        <v>0</v>
      </c>
      <c r="H91" s="15" t="inlineStr">
        <is>
          <t>가치 매력</t>
        </is>
      </c>
      <c r="I91" s="15" t="inlineStr">
        <is>
          <t>0.5229115612060397</t>
        </is>
      </c>
      <c r="J91" t="inlineStr"/>
      <c r="K91" t="inlineStr"/>
      <c r="L91" t="inlineStr"/>
    </row>
    <row r="92" ht="22" customHeight="1">
      <c r="A92" s="15" t="inlineStr">
        <is>
          <t>DB하이텍</t>
        </is>
      </c>
      <c r="B92" t="inlineStr"/>
      <c r="C92" s="15" t="inlineStr">
        <is>
          <t>000990</t>
        </is>
      </c>
      <c r="D92" s="15" t="inlineStr">
        <is>
          <t>KOSPI</t>
        </is>
      </c>
      <c r="E92" s="15" t="inlineStr">
        <is>
          <t>IDM/제조/메모리</t>
        </is>
      </c>
      <c r="F92" s="15" t="n">
        <v>66.53</v>
      </c>
      <c r="G92" s="15" t="n">
        <v>0</v>
      </c>
      <c r="H92" s="15" t="inlineStr">
        <is>
          <t>가치 매력</t>
        </is>
      </c>
      <c r="I92" s="15" t="inlineStr">
        <is>
          <t>0.9104444876024207</t>
        </is>
      </c>
      <c r="J92" t="inlineStr"/>
      <c r="K92" t="inlineStr"/>
      <c r="L92" t="inlineStr"/>
    </row>
    <row r="93" ht="22" customHeight="1">
      <c r="A93" s="15" t="inlineStr">
        <is>
          <t>자화전자</t>
        </is>
      </c>
      <c r="B93" t="inlineStr"/>
      <c r="C93" s="15" t="inlineStr">
        <is>
          <t>033240</t>
        </is>
      </c>
      <c r="D93" s="15" t="inlineStr">
        <is>
          <t>KOSPI</t>
        </is>
      </c>
      <c r="E93" s="15" t="inlineStr">
        <is>
          <t>부품/기판</t>
        </is>
      </c>
      <c r="F93" s="15" t="n">
        <v>66.48</v>
      </c>
      <c r="G93" s="15" t="n">
        <v>7.14</v>
      </c>
      <c r="H93" s="15" t="inlineStr">
        <is>
          <t>중립</t>
        </is>
      </c>
      <c r="I93" s="15" t="inlineStr">
        <is>
          <t>0.9380223994723259</t>
        </is>
      </c>
      <c r="J93" t="inlineStr"/>
      <c r="K93" t="inlineStr"/>
      <c r="L93" t="inlineStr"/>
    </row>
    <row r="94" ht="22" customHeight="1">
      <c r="A94" s="15" t="inlineStr">
        <is>
          <t>한솔아이원스</t>
        </is>
      </c>
      <c r="B94" t="inlineStr"/>
      <c r="C94" s="15" t="inlineStr">
        <is>
          <t>114810</t>
        </is>
      </c>
      <c r="D94" s="15" t="inlineStr">
        <is>
          <t>KOSDAQ</t>
        </is>
      </c>
      <c r="E94" s="15" t="inlineStr">
        <is>
          <t>장비</t>
        </is>
      </c>
      <c r="F94" s="15" t="n">
        <v>66.48</v>
      </c>
      <c r="G94" s="15" t="n">
        <v>14.29</v>
      </c>
      <c r="H94" s="15" t="inlineStr">
        <is>
          <t>가치 매력</t>
        </is>
      </c>
      <c r="I94" s="15" t="inlineStr">
        <is>
          <t>0.9031428820161691</t>
        </is>
      </c>
      <c r="J94" t="inlineStr"/>
      <c r="K94" t="inlineStr"/>
      <c r="L94" t="inlineStr"/>
    </row>
    <row r="95" ht="22" customHeight="1">
      <c r="A95" s="15" t="inlineStr">
        <is>
          <t>샘씨엔에스</t>
        </is>
      </c>
      <c r="B95" t="inlineStr"/>
      <c r="C95" s="15" t="inlineStr">
        <is>
          <t>252990</t>
        </is>
      </c>
      <c r="D95" s="15" t="inlineStr">
        <is>
          <t>KOSDAQ</t>
        </is>
      </c>
      <c r="E95" s="15" t="inlineStr">
        <is>
          <t>후공정/패키징/테스트</t>
        </is>
      </c>
      <c r="F95" s="15" t="n">
        <v>64.92</v>
      </c>
      <c r="G95" s="15" t="n">
        <v>14.29</v>
      </c>
      <c r="H95" s="15" t="inlineStr">
        <is>
          <t>가치 매력</t>
        </is>
      </c>
      <c r="I95" s="15" t="inlineStr">
        <is>
          <t>0.5521991152548656</t>
        </is>
      </c>
      <c r="J95" t="inlineStr"/>
      <c r="K95" t="inlineStr"/>
      <c r="L95" t="inlineStr"/>
    </row>
    <row r="96" ht="22" customHeight="1">
      <c r="A96" s="15" t="inlineStr">
        <is>
          <t>GST</t>
        </is>
      </c>
      <c r="B96" t="inlineStr"/>
      <c r="C96" s="15" t="inlineStr">
        <is>
          <t>083450</t>
        </is>
      </c>
      <c r="D96" s="15" t="inlineStr">
        <is>
          <t>KOSDAQ</t>
        </is>
      </c>
      <c r="E96" s="15" t="inlineStr">
        <is>
          <t>장비</t>
        </is>
      </c>
      <c r="F96" s="15" t="n">
        <v>64.75</v>
      </c>
      <c r="G96" s="15" t="n">
        <v>0</v>
      </c>
      <c r="H96" s="15" t="inlineStr">
        <is>
          <t>가치 매력</t>
        </is>
      </c>
      <c r="I96" s="15" t="inlineStr">
        <is>
          <t>0.900491542853433</t>
        </is>
      </c>
      <c r="J96" t="inlineStr"/>
      <c r="K96" t="inlineStr"/>
      <c r="L96" t="inlineStr"/>
    </row>
    <row r="97" ht="22" customHeight="1">
      <c r="A97" s="15" t="inlineStr">
        <is>
          <t>하나마이크론</t>
        </is>
      </c>
      <c r="B97" t="inlineStr"/>
      <c r="C97" s="15" t="inlineStr">
        <is>
          <t>067310</t>
        </is>
      </c>
      <c r="D97" s="15" t="inlineStr">
        <is>
          <t>KOSDAQ</t>
        </is>
      </c>
      <c r="E97" s="15" t="inlineStr">
        <is>
          <t>후공정/패키징/테스트</t>
        </is>
      </c>
      <c r="F97" s="15" t="n">
        <v>64.06</v>
      </c>
      <c r="G97" s="15" t="n">
        <v>28.57</v>
      </c>
      <c r="H97" s="15" t="inlineStr">
        <is>
          <t>가치 매력</t>
        </is>
      </c>
      <c r="I97" s="15" t="inlineStr">
        <is>
          <t>0.8727001075083287</t>
        </is>
      </c>
      <c r="J97" t="inlineStr"/>
      <c r="K97" t="inlineStr"/>
      <c r="L97" t="inlineStr"/>
    </row>
    <row r="98" ht="22" customHeight="1">
      <c r="A98" s="15" t="inlineStr">
        <is>
          <t>티이엠씨씨엔에스</t>
        </is>
      </c>
      <c r="B98" t="inlineStr"/>
      <c r="C98" s="15" t="inlineStr">
        <is>
          <t>241790</t>
        </is>
      </c>
      <c r="D98" s="15" t="inlineStr">
        <is>
          <t>KOSDAQ</t>
        </is>
      </c>
      <c r="E98" s="15" t="inlineStr">
        <is>
          <t>장비</t>
        </is>
      </c>
      <c r="F98" s="15" t="n">
        <v>63.93</v>
      </c>
      <c r="G98" s="15" t="n">
        <v>7.14</v>
      </c>
      <c r="H98" s="15" t="inlineStr">
        <is>
          <t>가치 매력</t>
        </is>
      </c>
      <c r="I98" s="15" t="inlineStr">
        <is>
          <t>0.8915695356337118</t>
        </is>
      </c>
      <c r="J98" t="inlineStr"/>
      <c r="K98" t="inlineStr"/>
      <c r="L98" t="inlineStr"/>
    </row>
    <row r="99" ht="22" customHeight="1">
      <c r="A99" s="15" t="inlineStr">
        <is>
          <t>네패스</t>
        </is>
      </c>
      <c r="B99" s="15" t="inlineStr">
        <is>
          <t>nepes</t>
        </is>
      </c>
      <c r="C99" s="15" t="inlineStr">
        <is>
          <t>033640</t>
        </is>
      </c>
      <c r="D99" s="15" t="inlineStr">
        <is>
          <t>KOSDAQ</t>
        </is>
      </c>
      <c r="E99" s="15" t="inlineStr">
        <is>
          <t>후공정/패키징/테스트</t>
        </is>
      </c>
      <c r="F99" s="15" t="n">
        <v>63.85</v>
      </c>
      <c r="G99" s="15" t="n">
        <v>28.57</v>
      </c>
      <c r="H99" s="15" t="inlineStr">
        <is>
          <t>가치 매력</t>
        </is>
      </c>
      <c r="I99" s="15" t="inlineStr">
        <is>
          <t>0.8763685947958789</t>
        </is>
      </c>
      <c r="J99" s="15" t="inlineStr">
        <is>
          <t>예</t>
        </is>
      </c>
      <c r="K99" t="inlineStr"/>
      <c r="L99" t="inlineStr"/>
    </row>
    <row r="100" ht="22" customHeight="1">
      <c r="A100" s="15" t="inlineStr">
        <is>
          <t>KX하이텍</t>
        </is>
      </c>
      <c r="B100" t="inlineStr"/>
      <c r="C100" s="15" t="inlineStr">
        <is>
          <t>052900</t>
        </is>
      </c>
      <c r="D100" s="15" t="inlineStr">
        <is>
          <t>KOSDAQ</t>
        </is>
      </c>
      <c r="E100" s="15" t="inlineStr">
        <is>
          <t>후공정/패키징/테스트</t>
        </is>
      </c>
      <c r="F100" s="15" t="n">
        <v>63.61</v>
      </c>
      <c r="G100" s="15" t="n">
        <v>7.14</v>
      </c>
      <c r="H100" s="15" t="inlineStr">
        <is>
          <t>가치 매력</t>
        </is>
      </c>
      <c r="I100" s="15" t="inlineStr">
        <is>
          <t>0.7896879678479897</t>
        </is>
      </c>
      <c r="J100" t="inlineStr"/>
      <c r="K100" t="inlineStr"/>
      <c r="L100" t="inlineStr"/>
    </row>
    <row r="101" ht="22" customHeight="1">
      <c r="A101" s="15" t="inlineStr">
        <is>
          <t>코미코</t>
        </is>
      </c>
      <c r="B101" t="inlineStr"/>
      <c r="C101" s="15" t="inlineStr">
        <is>
          <t>183300</t>
        </is>
      </c>
      <c r="D101" s="15" t="inlineStr">
        <is>
          <t>KOSDAQ GLOBAL</t>
        </is>
      </c>
      <c r="E101" s="15" t="inlineStr">
        <is>
          <t>부품/기판</t>
        </is>
      </c>
      <c r="F101" s="15" t="n">
        <v>63.43</v>
      </c>
      <c r="G101" s="15" t="n">
        <v>35.71</v>
      </c>
      <c r="H101" s="15" t="inlineStr">
        <is>
          <t>중립</t>
        </is>
      </c>
      <c r="I101" s="15" t="inlineStr">
        <is>
          <t>0.8305894153326006</t>
        </is>
      </c>
      <c r="J101" t="inlineStr"/>
      <c r="K101" t="inlineStr"/>
      <c r="L101" t="inlineStr"/>
    </row>
    <row r="102" ht="22" customHeight="1">
      <c r="A102" s="15" t="inlineStr">
        <is>
          <t>디아이티</t>
        </is>
      </c>
      <c r="B102" t="inlineStr"/>
      <c r="C102" s="15" t="inlineStr">
        <is>
          <t>110990</t>
        </is>
      </c>
      <c r="D102" s="15" t="inlineStr">
        <is>
          <t>KOSDAQ</t>
        </is>
      </c>
      <c r="E102" s="15" t="inlineStr">
        <is>
          <t>장비</t>
        </is>
      </c>
      <c r="F102" s="15" t="n">
        <v>63.41</v>
      </c>
      <c r="G102" s="15" t="n">
        <v>0</v>
      </c>
      <c r="H102" s="15" t="inlineStr">
        <is>
          <t>가치 매력</t>
        </is>
      </c>
      <c r="I102" s="15" t="inlineStr">
        <is>
          <t>0.8847780199048246</t>
        </is>
      </c>
      <c r="J102" t="inlineStr"/>
      <c r="K102" t="inlineStr"/>
      <c r="L102" t="inlineStr"/>
    </row>
    <row r="103" ht="22" customHeight="1">
      <c r="A103" s="15" t="inlineStr">
        <is>
          <t>한솔케미칼</t>
        </is>
      </c>
      <c r="B103" s="15" t="inlineStr">
        <is>
          <t>hansol</t>
        </is>
      </c>
      <c r="C103" s="15" t="inlineStr">
        <is>
          <t>014680</t>
        </is>
      </c>
      <c r="D103" s="15" t="inlineStr">
        <is>
          <t>KOSPI</t>
        </is>
      </c>
      <c r="E103" s="15" t="inlineStr">
        <is>
          <t>소재</t>
        </is>
      </c>
      <c r="F103" s="15" t="n">
        <v>63.31</v>
      </c>
      <c r="G103" s="15" t="n">
        <v>0</v>
      </c>
      <c r="H103" s="15" t="inlineStr">
        <is>
          <t>가치 매력</t>
        </is>
      </c>
      <c r="I103" s="15" t="inlineStr">
        <is>
          <t>0.8364696976606926</t>
        </is>
      </c>
      <c r="J103" s="15" t="inlineStr">
        <is>
          <t>예</t>
        </is>
      </c>
      <c r="K103" t="inlineStr"/>
      <c r="L103" t="inlineStr"/>
    </row>
    <row r="104" ht="22" customHeight="1">
      <c r="A104" s="15" t="inlineStr">
        <is>
          <t>케이씨텍</t>
        </is>
      </c>
      <c r="B104" t="inlineStr"/>
      <c r="C104" s="15" t="inlineStr">
        <is>
          <t>281820</t>
        </is>
      </c>
      <c r="D104" s="15" t="inlineStr">
        <is>
          <t>KOSPI</t>
        </is>
      </c>
      <c r="E104" s="15" t="inlineStr">
        <is>
          <t>장비</t>
        </is>
      </c>
      <c r="F104" s="15" t="n">
        <v>63.15</v>
      </c>
      <c r="G104" s="15" t="n">
        <v>0</v>
      </c>
      <c r="H104" s="15" t="inlineStr">
        <is>
          <t>가치 매력</t>
        </is>
      </c>
      <c r="I104" s="15" t="inlineStr">
        <is>
          <t>0.8895261430914092</t>
        </is>
      </c>
      <c r="J104" t="inlineStr"/>
      <c r="K104" t="inlineStr"/>
      <c r="L104" t="inlineStr"/>
    </row>
    <row r="105" ht="22" customHeight="1">
      <c r="A105" s="15" t="inlineStr">
        <is>
          <t>이녹스첨단소재</t>
        </is>
      </c>
      <c r="B105" t="inlineStr"/>
      <c r="C105" s="15" t="inlineStr">
        <is>
          <t>272290</t>
        </is>
      </c>
      <c r="D105" s="15" t="inlineStr">
        <is>
          <t>KOSDAQ GLOBAL</t>
        </is>
      </c>
      <c r="E105" s="15" t="inlineStr">
        <is>
          <t>소재</t>
        </is>
      </c>
      <c r="F105" s="15" t="n">
        <v>63.13</v>
      </c>
      <c r="G105" s="15" t="n">
        <v>7.14</v>
      </c>
      <c r="H105" s="15" t="inlineStr">
        <is>
          <t>중립</t>
        </is>
      </c>
      <c r="I105" s="15" t="inlineStr">
        <is>
          <t>0.900184891106931</t>
        </is>
      </c>
      <c r="J105" t="inlineStr"/>
      <c r="K105" t="inlineStr"/>
      <c r="L105" t="inlineStr"/>
    </row>
    <row r="106" ht="22" customHeight="1">
      <c r="A106" s="15" t="inlineStr">
        <is>
          <t>로체시스템즈</t>
        </is>
      </c>
      <c r="B106" t="inlineStr"/>
      <c r="C106" s="15" t="inlineStr">
        <is>
          <t>071280</t>
        </is>
      </c>
      <c r="D106" s="15" t="inlineStr">
        <is>
          <t>KOSDAQ</t>
        </is>
      </c>
      <c r="E106" s="15" t="inlineStr">
        <is>
          <t>장비</t>
        </is>
      </c>
      <c r="F106" s="15" t="n">
        <v>62.59</v>
      </c>
      <c r="G106" s="15" t="n">
        <v>7.14</v>
      </c>
      <c r="H106" s="15" t="inlineStr">
        <is>
          <t>가치 매력</t>
        </is>
      </c>
      <c r="I106" s="15" t="inlineStr">
        <is>
          <t>0.9642438845844894</t>
        </is>
      </c>
      <c r="J106" t="inlineStr"/>
      <c r="K106" t="inlineStr"/>
      <c r="L106" t="inlineStr"/>
    </row>
    <row r="107" ht="22" customHeight="1">
      <c r="A107" s="15" t="inlineStr">
        <is>
          <t>에이치엠넥스</t>
        </is>
      </c>
      <c r="B107" t="inlineStr"/>
      <c r="C107" s="15" t="inlineStr">
        <is>
          <t>036170</t>
        </is>
      </c>
      <c r="D107" s="15" t="inlineStr">
        <is>
          <t>KOSDAQ</t>
        </is>
      </c>
      <c r="E107" s="15" t="inlineStr">
        <is>
          <t>후공정/패키징/테스트</t>
        </is>
      </c>
      <c r="F107" s="15" t="n">
        <v>62.1</v>
      </c>
      <c r="G107" s="15" t="n">
        <v>35.71</v>
      </c>
      <c r="H107" s="15" t="inlineStr">
        <is>
          <t>중립</t>
        </is>
      </c>
      <c r="I107" s="15" t="inlineStr">
        <is>
          <t>0.7433115072206052</t>
        </is>
      </c>
      <c r="J107" t="inlineStr"/>
      <c r="K107" t="inlineStr"/>
      <c r="L107" t="inlineStr"/>
    </row>
    <row r="108" ht="22" customHeight="1">
      <c r="A108" s="15" t="inlineStr">
        <is>
          <t>리노공업</t>
        </is>
      </c>
      <c r="B108" t="inlineStr"/>
      <c r="C108" s="15" t="inlineStr">
        <is>
          <t>058470</t>
        </is>
      </c>
      <c r="D108" s="15" t="inlineStr">
        <is>
          <t>KOSDAQ GLOBAL</t>
        </is>
      </c>
      <c r="E108" s="15" t="inlineStr">
        <is>
          <t>후공정/패키징/테스트</t>
        </is>
      </c>
      <c r="F108" s="15" t="n">
        <v>61.91</v>
      </c>
      <c r="G108" s="15" t="n">
        <v>0</v>
      </c>
      <c r="H108" s="15" t="inlineStr">
        <is>
          <t>가치 매력</t>
        </is>
      </c>
      <c r="I108" s="15" t="inlineStr">
        <is>
          <t>0.6825301704423244</t>
        </is>
      </c>
      <c r="J108" t="inlineStr"/>
      <c r="K108" t="inlineStr"/>
      <c r="L108" t="inlineStr"/>
    </row>
    <row r="109" ht="22" customHeight="1">
      <c r="A109" s="15" t="inlineStr">
        <is>
          <t>아이씨디</t>
        </is>
      </c>
      <c r="B109" t="inlineStr"/>
      <c r="C109" s="15" t="inlineStr">
        <is>
          <t>040910</t>
        </is>
      </c>
      <c r="D109" s="15" t="inlineStr">
        <is>
          <t>KOSDAQ</t>
        </is>
      </c>
      <c r="E109" s="15" t="inlineStr">
        <is>
          <t>장비</t>
        </is>
      </c>
      <c r="F109" s="15" t="n">
        <v>61.59</v>
      </c>
      <c r="G109" s="15" t="n">
        <v>7.14</v>
      </c>
      <c r="H109" s="15" t="inlineStr">
        <is>
          <t>중립</t>
        </is>
      </c>
      <c r="I109" s="15" t="inlineStr">
        <is>
          <t>0.692546582663732</t>
        </is>
      </c>
      <c r="J109" t="inlineStr"/>
      <c r="K109" t="inlineStr"/>
      <c r="L109" t="inlineStr"/>
    </row>
    <row r="110" ht="22" customHeight="1">
      <c r="A110" s="15" t="inlineStr">
        <is>
          <t>에스에프에이</t>
        </is>
      </c>
      <c r="B110" t="inlineStr"/>
      <c r="C110" s="15" t="inlineStr">
        <is>
          <t>056190</t>
        </is>
      </c>
      <c r="D110" s="15" t="inlineStr">
        <is>
          <t>KOSDAQ GLOBAL</t>
        </is>
      </c>
      <c r="E110" s="15" t="inlineStr">
        <is>
          <t>장비</t>
        </is>
      </c>
      <c r="F110" s="15" t="n">
        <v>60.99</v>
      </c>
      <c r="G110" s="15" t="n">
        <v>0</v>
      </c>
      <c r="H110" s="15" t="inlineStr">
        <is>
          <t>가치 매력</t>
        </is>
      </c>
      <c r="I110" s="15" t="inlineStr">
        <is>
          <t>0.8690882589557657</t>
        </is>
      </c>
      <c r="J110" t="inlineStr"/>
      <c r="K110" t="inlineStr"/>
      <c r="L110" t="inlineStr"/>
    </row>
    <row r="111" ht="22" customHeight="1">
      <c r="A111" s="15" t="inlineStr">
        <is>
          <t>오디텍</t>
        </is>
      </c>
      <c r="B111" t="inlineStr"/>
      <c r="C111" s="15" t="inlineStr">
        <is>
          <t>080520</t>
        </is>
      </c>
      <c r="D111" s="15" t="inlineStr">
        <is>
          <t>KOSDAQ</t>
        </is>
      </c>
      <c r="E111" s="15" t="inlineStr">
        <is>
          <t>IDM/제조/메모리</t>
        </is>
      </c>
      <c r="F111" s="15" t="n">
        <v>60.83</v>
      </c>
      <c r="G111" s="15" t="n">
        <v>42.86</v>
      </c>
      <c r="H111" s="15" t="inlineStr">
        <is>
          <t>중립</t>
        </is>
      </c>
      <c r="I111" s="15" t="inlineStr">
        <is>
          <t>0.8328575689014174</t>
        </is>
      </c>
      <c r="J111" t="inlineStr"/>
      <c r="K111" t="inlineStr"/>
      <c r="L111" t="inlineStr"/>
    </row>
    <row r="112" ht="22" customHeight="1">
      <c r="A112" s="15" t="inlineStr">
        <is>
          <t>오킨스전자</t>
        </is>
      </c>
      <c r="B112" t="inlineStr"/>
      <c r="C112" s="15" t="inlineStr">
        <is>
          <t>080580</t>
        </is>
      </c>
      <c r="D112" s="15" t="inlineStr">
        <is>
          <t>KOSDAQ</t>
        </is>
      </c>
      <c r="E112" s="15" t="inlineStr">
        <is>
          <t>후공정/패키징/테스트</t>
        </is>
      </c>
      <c r="F112" s="15" t="n">
        <v>60.62</v>
      </c>
      <c r="G112" s="15" t="n">
        <v>21.43</v>
      </c>
      <c r="H112" s="15" t="inlineStr">
        <is>
          <t>가치 매력</t>
        </is>
      </c>
      <c r="I112" s="15" t="inlineStr">
        <is>
          <t>0.8105235691914331</t>
        </is>
      </c>
      <c r="J112" t="inlineStr"/>
      <c r="K112" t="inlineStr"/>
      <c r="L112" t="inlineStr"/>
    </row>
    <row r="113" ht="22" customHeight="1">
      <c r="A113" s="15" t="inlineStr">
        <is>
          <t>알에프세미</t>
        </is>
      </c>
      <c r="B113" t="inlineStr"/>
      <c r="C113" s="15" t="inlineStr">
        <is>
          <t>096610</t>
        </is>
      </c>
      <c r="D113" s="15" t="inlineStr">
        <is>
          <t>KOSDAQ</t>
        </is>
      </c>
      <c r="E113" s="15" t="inlineStr">
        <is>
          <t>팹리스/설계</t>
        </is>
      </c>
      <c r="F113" s="15" t="n">
        <v>60.3</v>
      </c>
      <c r="G113" s="15" t="n">
        <v>7.14</v>
      </c>
      <c r="H113" s="15" t="inlineStr">
        <is>
          <t>가치 매력</t>
        </is>
      </c>
      <c r="I113" s="15" t="inlineStr">
        <is>
          <t>0.8083150256499313</t>
        </is>
      </c>
      <c r="J113" t="inlineStr"/>
      <c r="K113" t="inlineStr"/>
      <c r="L113" t="inlineStr"/>
    </row>
    <row r="114" ht="22" customHeight="1">
      <c r="A114" s="15" t="inlineStr">
        <is>
          <t>그린리소스</t>
        </is>
      </c>
      <c r="B114" t="inlineStr"/>
      <c r="C114" s="15" t="inlineStr">
        <is>
          <t>402490</t>
        </is>
      </c>
      <c r="D114" s="15" t="inlineStr">
        <is>
          <t>KOSDAQ</t>
        </is>
      </c>
      <c r="E114" s="15" t="inlineStr">
        <is>
          <t>IDM/제조/메모리</t>
        </is>
      </c>
      <c r="F114" s="15" t="n">
        <v>60.22</v>
      </c>
      <c r="G114" s="15" t="n">
        <v>42.86</v>
      </c>
      <c r="H114" s="15" t="inlineStr">
        <is>
          <t>중립</t>
        </is>
      </c>
      <c r="I114" s="15" t="inlineStr">
        <is>
          <t>0.7869051998623771</t>
        </is>
      </c>
      <c r="J114" t="inlineStr"/>
      <c r="K114" t="inlineStr"/>
      <c r="L114" t="inlineStr"/>
    </row>
    <row r="115" ht="22" customHeight="1">
      <c r="A115" s="15" t="inlineStr">
        <is>
          <t>삼양엔씨켐</t>
        </is>
      </c>
      <c r="B115" t="inlineStr"/>
      <c r="C115" s="15" t="inlineStr">
        <is>
          <t>482630</t>
        </is>
      </c>
      <c r="D115" s="15" t="inlineStr">
        <is>
          <t>KOSDAQ</t>
        </is>
      </c>
      <c r="E115" s="15" t="inlineStr">
        <is>
          <t>장비</t>
        </is>
      </c>
      <c r="F115" s="15" t="n">
        <v>59.93</v>
      </c>
      <c r="G115" s="15" t="n">
        <v>7.14</v>
      </c>
      <c r="H115" s="15" t="inlineStr">
        <is>
          <t>가치 매력</t>
        </is>
      </c>
      <c r="I115" s="15" t="inlineStr">
        <is>
          <t>0.6408467710997098</t>
        </is>
      </c>
      <c r="J115" t="inlineStr"/>
      <c r="K115" t="inlineStr"/>
      <c r="L115" t="inlineStr"/>
    </row>
    <row r="116" ht="22" customHeight="1">
      <c r="A116" s="15" t="inlineStr">
        <is>
          <t>루멘스</t>
        </is>
      </c>
      <c r="B116" t="inlineStr"/>
      <c r="C116" s="15" t="inlineStr">
        <is>
          <t>038060</t>
        </is>
      </c>
      <c r="D116" s="15" t="inlineStr">
        <is>
          <t>KOSDAQ</t>
        </is>
      </c>
      <c r="E116" s="15" t="inlineStr">
        <is>
          <t>IDM/제조/메모리</t>
        </is>
      </c>
      <c r="F116" s="15" t="n">
        <v>59.7</v>
      </c>
      <c r="G116" s="15" t="n">
        <v>35.71</v>
      </c>
      <c r="H116" s="15" t="inlineStr">
        <is>
          <t>중립</t>
        </is>
      </c>
      <c r="I116" s="15" t="inlineStr">
        <is>
          <t>0.8437683700786414</t>
        </is>
      </c>
      <c r="J116" t="inlineStr"/>
      <c r="K116" t="inlineStr"/>
      <c r="L116" t="inlineStr"/>
    </row>
    <row r="117" ht="22" customHeight="1">
      <c r="A117" s="15" t="inlineStr">
        <is>
          <t>싸이맥스</t>
        </is>
      </c>
      <c r="B117" t="inlineStr"/>
      <c r="C117" s="15" t="inlineStr">
        <is>
          <t>160980</t>
        </is>
      </c>
      <c r="D117" s="15" t="inlineStr">
        <is>
          <t>KOSDAQ</t>
        </is>
      </c>
      <c r="E117" s="15" t="inlineStr">
        <is>
          <t>장비</t>
        </is>
      </c>
      <c r="F117" s="15" t="n">
        <v>59.61</v>
      </c>
      <c r="G117" s="15" t="n">
        <v>0</v>
      </c>
      <c r="H117" s="15" t="inlineStr">
        <is>
          <t>가치 매력</t>
        </is>
      </c>
      <c r="I117" s="15" t="inlineStr">
        <is>
          <t>0.8128181122496774</t>
        </is>
      </c>
      <c r="J117" t="inlineStr"/>
      <c r="K117" t="inlineStr"/>
      <c r="L117" t="inlineStr"/>
    </row>
    <row r="118" ht="22" customHeight="1">
      <c r="A118" s="15" t="inlineStr">
        <is>
          <t>제주반도체</t>
        </is>
      </c>
      <c r="B118" t="inlineStr"/>
      <c r="C118" s="15" t="inlineStr">
        <is>
          <t>080220</t>
        </is>
      </c>
      <c r="D118" s="15" t="inlineStr">
        <is>
          <t>KOSDAQ</t>
        </is>
      </c>
      <c r="E118" s="15" t="inlineStr">
        <is>
          <t>팹리스/설계</t>
        </is>
      </c>
      <c r="F118" s="15" t="n">
        <v>59.17</v>
      </c>
      <c r="G118" s="15" t="n">
        <v>0</v>
      </c>
      <c r="H118" s="15" t="inlineStr">
        <is>
          <t>가치 매력</t>
        </is>
      </c>
      <c r="I118" s="15" t="inlineStr">
        <is>
          <t>0.6955424557105586</t>
        </is>
      </c>
      <c r="J118" t="inlineStr"/>
      <c r="K118" t="inlineStr"/>
      <c r="L118" t="inlineStr"/>
    </row>
    <row r="119" ht="22" customHeight="1">
      <c r="A119" s="15" t="inlineStr">
        <is>
          <t>티에스이</t>
        </is>
      </c>
      <c r="B119" t="inlineStr"/>
      <c r="C119" s="15" t="inlineStr">
        <is>
          <t>131290</t>
        </is>
      </c>
      <c r="D119" s="15" t="inlineStr">
        <is>
          <t>KOSDAQ</t>
        </is>
      </c>
      <c r="E119" s="15" t="inlineStr">
        <is>
          <t>팹리스/설계</t>
        </is>
      </c>
      <c r="F119" s="15" t="n">
        <v>58.81</v>
      </c>
      <c r="G119" s="15" t="n">
        <v>0</v>
      </c>
      <c r="H119" s="15" t="inlineStr">
        <is>
          <t>가치 매력</t>
        </is>
      </c>
      <c r="I119" s="15" t="inlineStr">
        <is>
          <t>0.7390287615028212</t>
        </is>
      </c>
      <c r="J119" t="inlineStr"/>
      <c r="K119" t="inlineStr"/>
      <c r="L119" t="inlineStr"/>
    </row>
    <row r="120" ht="22" customHeight="1">
      <c r="A120" s="15" t="inlineStr">
        <is>
          <t>디아이</t>
        </is>
      </c>
      <c r="B120" t="inlineStr"/>
      <c r="C120" s="15" t="inlineStr">
        <is>
          <t>003160</t>
        </is>
      </c>
      <c r="D120" s="15" t="inlineStr">
        <is>
          <t>KOSPI</t>
        </is>
      </c>
      <c r="E120" s="15" t="inlineStr">
        <is>
          <t>후공정/패키징/테스트</t>
        </is>
      </c>
      <c r="F120" s="15" t="n">
        <v>58.76</v>
      </c>
      <c r="G120" s="15" t="n">
        <v>7.14</v>
      </c>
      <c r="H120" s="15" t="inlineStr">
        <is>
          <t>가치 매력</t>
        </is>
      </c>
      <c r="I120" s="15" t="inlineStr">
        <is>
          <t>0.6560906263736197</t>
        </is>
      </c>
      <c r="J120" t="inlineStr"/>
      <c r="K120" t="inlineStr"/>
      <c r="L120" t="inlineStr"/>
    </row>
    <row r="121" ht="22" customHeight="1">
      <c r="A121" s="15" t="inlineStr">
        <is>
          <t>피델릭스</t>
        </is>
      </c>
      <c r="B121" t="inlineStr"/>
      <c r="C121" s="15" t="inlineStr">
        <is>
          <t>032580</t>
        </is>
      </c>
      <c r="D121" s="15" t="inlineStr">
        <is>
          <t>KOSDAQ</t>
        </is>
      </c>
      <c r="E121" s="15" t="inlineStr">
        <is>
          <t>IDM/제조/메모리</t>
        </is>
      </c>
      <c r="F121" s="15" t="n">
        <v>58.73</v>
      </c>
      <c r="G121" s="15" t="n">
        <v>50</v>
      </c>
      <c r="H121" s="15" t="inlineStr">
        <is>
          <t>중립</t>
        </is>
      </c>
      <c r="I121" s="15" t="inlineStr">
        <is>
          <t>0.8604826019551013</t>
        </is>
      </c>
      <c r="J121" t="inlineStr"/>
      <c r="K121" t="inlineStr"/>
      <c r="L121" t="inlineStr"/>
    </row>
    <row r="122" ht="22" customHeight="1">
      <c r="A122" s="15" t="inlineStr">
        <is>
          <t>엘티씨</t>
        </is>
      </c>
      <c r="B122" s="15" t="inlineStr">
        <is>
          <t>ltc</t>
        </is>
      </c>
      <c r="C122" s="15" t="inlineStr">
        <is>
          <t>170920</t>
        </is>
      </c>
      <c r="D122" s="15" t="inlineStr">
        <is>
          <t>KOSDAQ</t>
        </is>
      </c>
      <c r="E122" s="15" t="inlineStr">
        <is>
          <t>소재</t>
        </is>
      </c>
      <c r="F122" s="15" t="n">
        <v>58.38</v>
      </c>
      <c r="G122" s="15" t="n">
        <v>0</v>
      </c>
      <c r="H122" s="15" t="inlineStr">
        <is>
          <t>중립</t>
        </is>
      </c>
      <c r="I122" s="15" t="inlineStr">
        <is>
          <t>0.6353016273848794</t>
        </is>
      </c>
      <c r="J122" s="15" t="inlineStr">
        <is>
          <t>예</t>
        </is>
      </c>
      <c r="K122" t="inlineStr"/>
      <c r="L122" t="inlineStr"/>
    </row>
    <row r="123" ht="22" customHeight="1">
      <c r="A123" s="15" t="inlineStr">
        <is>
          <t>엔시트론</t>
        </is>
      </c>
      <c r="B123" t="inlineStr"/>
      <c r="C123" s="15" t="inlineStr">
        <is>
          <t>101400</t>
        </is>
      </c>
      <c r="D123" s="15" t="inlineStr">
        <is>
          <t>KOSDAQ</t>
        </is>
      </c>
      <c r="E123" s="15" t="inlineStr">
        <is>
          <t>IDM/제조/메모리</t>
        </is>
      </c>
      <c r="F123" s="15" t="n">
        <v>57.73</v>
      </c>
      <c r="G123" s="15" t="n">
        <v>35.71</v>
      </c>
      <c r="H123" s="15" t="inlineStr">
        <is>
          <t>중립</t>
        </is>
      </c>
      <c r="I123" s="15" t="inlineStr">
        <is>
          <t>0.8173941540342667</t>
        </is>
      </c>
      <c r="J123" t="inlineStr"/>
      <c r="K123" t="inlineStr"/>
      <c r="L123" t="inlineStr"/>
    </row>
    <row r="124" ht="22" customHeight="1">
      <c r="A124" s="15" t="inlineStr">
        <is>
          <t>아나패스</t>
        </is>
      </c>
      <c r="B124" t="inlineStr"/>
      <c r="C124" s="15" t="inlineStr">
        <is>
          <t>123860</t>
        </is>
      </c>
      <c r="D124" s="15" t="inlineStr">
        <is>
          <t>KOSDAQ</t>
        </is>
      </c>
      <c r="E124" s="15" t="inlineStr">
        <is>
          <t>팹리스/설계</t>
        </is>
      </c>
      <c r="F124" s="15" t="n">
        <v>57.62</v>
      </c>
      <c r="G124" s="15" t="n">
        <v>0</v>
      </c>
      <c r="H124" s="15" t="inlineStr">
        <is>
          <t>중립</t>
        </is>
      </c>
      <c r="I124" s="15" t="inlineStr">
        <is>
          <t>0.510332377942325</t>
        </is>
      </c>
      <c r="J124" t="inlineStr"/>
      <c r="K124" t="inlineStr"/>
      <c r="L124" t="inlineStr"/>
    </row>
    <row r="125" ht="22" customHeight="1">
      <c r="A125" s="15" t="inlineStr">
        <is>
          <t>비에이치</t>
        </is>
      </c>
      <c r="B125" t="inlineStr"/>
      <c r="C125" s="15" t="inlineStr">
        <is>
          <t>090460</t>
        </is>
      </c>
      <c r="D125" s="15" t="inlineStr">
        <is>
          <t>KOSPI</t>
        </is>
      </c>
      <c r="E125" s="15" t="inlineStr">
        <is>
          <t>부품/기판</t>
        </is>
      </c>
      <c r="F125" s="15" t="n">
        <v>57.52</v>
      </c>
      <c r="G125" s="15" t="n">
        <v>0</v>
      </c>
      <c r="H125" s="15" t="inlineStr">
        <is>
          <t>중립</t>
        </is>
      </c>
      <c r="I125" s="15" t="inlineStr">
        <is>
          <t>0.5078538652826</t>
        </is>
      </c>
      <c r="J125" t="inlineStr"/>
      <c r="K125" t="inlineStr"/>
      <c r="L125" t="inlineStr"/>
    </row>
    <row r="126" ht="22" customHeight="1">
      <c r="A126" s="15" t="inlineStr">
        <is>
          <t>뉴파워프라즈마</t>
        </is>
      </c>
      <c r="B126" t="inlineStr"/>
      <c r="C126" s="15" t="inlineStr">
        <is>
          <t>144960</t>
        </is>
      </c>
      <c r="D126" s="15" t="inlineStr">
        <is>
          <t>KOSDAQ</t>
        </is>
      </c>
      <c r="E126" s="15" t="inlineStr">
        <is>
          <t>장비</t>
        </is>
      </c>
      <c r="F126" s="15" t="n">
        <v>57.49</v>
      </c>
      <c r="G126" s="15" t="n">
        <v>21.43</v>
      </c>
      <c r="H126" s="15" t="inlineStr">
        <is>
          <t>중립</t>
        </is>
      </c>
      <c r="I126" s="15" t="inlineStr">
        <is>
          <t>0.868464354966477</t>
        </is>
      </c>
      <c r="J126" t="inlineStr"/>
      <c r="K126" t="inlineStr"/>
      <c r="L126" t="inlineStr"/>
    </row>
    <row r="127" ht="22" customHeight="1">
      <c r="A127" s="15" t="inlineStr">
        <is>
          <t>이엘씨</t>
        </is>
      </c>
      <c r="B127" t="inlineStr"/>
      <c r="C127" s="15" t="inlineStr">
        <is>
          <t>041520</t>
        </is>
      </c>
      <c r="D127" s="15" t="inlineStr">
        <is>
          <t>KOSDAQ</t>
        </is>
      </c>
      <c r="E127" s="15" t="inlineStr">
        <is>
          <t>장비</t>
        </is>
      </c>
      <c r="F127" s="15" t="n">
        <v>57.22</v>
      </c>
      <c r="G127" s="15" t="n">
        <v>35.71</v>
      </c>
      <c r="H127" s="15" t="inlineStr">
        <is>
          <t>중립</t>
        </is>
      </c>
      <c r="I127" s="15" t="inlineStr">
        <is>
          <t>0.7059172837936919</t>
        </is>
      </c>
      <c r="J127" t="inlineStr"/>
      <c r="K127" t="inlineStr"/>
      <c r="L127" t="inlineStr"/>
    </row>
    <row r="128" ht="22" customHeight="1">
      <c r="A128" s="15" t="inlineStr">
        <is>
          <t>엑시콘</t>
        </is>
      </c>
      <c r="B128" t="inlineStr"/>
      <c r="C128" s="15" t="inlineStr">
        <is>
          <t>092870</t>
        </is>
      </c>
      <c r="D128" s="15" t="inlineStr">
        <is>
          <t>KOSDAQ</t>
        </is>
      </c>
      <c r="E128" s="15" t="inlineStr">
        <is>
          <t>후공정/패키징/테스트</t>
        </is>
      </c>
      <c r="F128" s="15" t="n">
        <v>57.11</v>
      </c>
      <c r="G128" s="15" t="n">
        <v>21.43</v>
      </c>
      <c r="H128" s="15" t="inlineStr">
        <is>
          <t>중립</t>
        </is>
      </c>
      <c r="I128" s="15" t="inlineStr">
        <is>
          <t>0.7870958268046786</t>
        </is>
      </c>
      <c r="J128" t="inlineStr"/>
      <c r="K128" t="inlineStr"/>
      <c r="L128" t="inlineStr"/>
    </row>
    <row r="129" ht="22" customHeight="1">
      <c r="A129" s="15" t="inlineStr">
        <is>
          <t>티이엠씨</t>
        </is>
      </c>
      <c r="B129" t="inlineStr"/>
      <c r="C129" s="15" t="inlineStr">
        <is>
          <t>425040</t>
        </is>
      </c>
      <c r="D129" s="15" t="inlineStr">
        <is>
          <t>KOSDAQ</t>
        </is>
      </c>
      <c r="E129" s="15" t="inlineStr">
        <is>
          <t>소재</t>
        </is>
      </c>
      <c r="F129" s="15" t="n">
        <v>56.67</v>
      </c>
      <c r="G129" s="15" t="n">
        <v>7.14</v>
      </c>
      <c r="H129" s="15" t="inlineStr">
        <is>
          <t>중립</t>
        </is>
      </c>
      <c r="I129" s="15" t="inlineStr">
        <is>
          <t>0.8720430887980049</t>
        </is>
      </c>
      <c r="J129" t="inlineStr"/>
      <c r="K129" t="inlineStr"/>
      <c r="L129" t="inlineStr"/>
    </row>
    <row r="130" ht="22" customHeight="1">
      <c r="A130" s="15" t="inlineStr">
        <is>
          <t>서울바이오시스</t>
        </is>
      </c>
      <c r="B130" t="inlineStr"/>
      <c r="C130" s="15" t="inlineStr">
        <is>
          <t>092190</t>
        </is>
      </c>
      <c r="D130" s="15" t="inlineStr">
        <is>
          <t>KOSDAQ</t>
        </is>
      </c>
      <c r="E130" s="15" t="inlineStr">
        <is>
          <t>IDM/제조/메모리</t>
        </is>
      </c>
      <c r="F130" s="15" t="n">
        <v>56.55</v>
      </c>
      <c r="G130" s="15" t="n">
        <v>42.86</v>
      </c>
      <c r="H130" s="15" t="inlineStr">
        <is>
          <t>중립</t>
        </is>
      </c>
      <c r="I130" s="15" t="inlineStr">
        <is>
          <t>0.7336783523450653</t>
        </is>
      </c>
      <c r="J130" t="inlineStr"/>
      <c r="K130" t="inlineStr"/>
      <c r="L130" t="inlineStr"/>
    </row>
    <row r="131" ht="22" customHeight="1">
      <c r="A131" s="15" t="inlineStr">
        <is>
          <t>에스앤에스텍</t>
        </is>
      </c>
      <c r="B131" t="inlineStr"/>
      <c r="C131" s="15" t="inlineStr">
        <is>
          <t>101490</t>
        </is>
      </c>
      <c r="D131" s="15" t="inlineStr">
        <is>
          <t>KOSDAQ</t>
        </is>
      </c>
      <c r="E131" s="15" t="inlineStr">
        <is>
          <t>소재</t>
        </is>
      </c>
      <c r="F131" s="15" t="n">
        <v>56.54</v>
      </c>
      <c r="G131" s="15" t="n">
        <v>7.14</v>
      </c>
      <c r="H131" s="15" t="inlineStr">
        <is>
          <t>중립</t>
        </is>
      </c>
      <c r="I131" s="15" t="inlineStr">
        <is>
          <t>0.7907123507381016</t>
        </is>
      </c>
      <c r="J131" t="inlineStr"/>
      <c r="K131" t="inlineStr"/>
      <c r="L131" t="inlineStr"/>
    </row>
    <row r="132" ht="22" customHeight="1">
      <c r="A132" s="15" t="inlineStr">
        <is>
          <t>포인트엔지니어링</t>
        </is>
      </c>
      <c r="B132" t="inlineStr"/>
      <c r="C132" s="15" t="inlineStr">
        <is>
          <t>256630</t>
        </is>
      </c>
      <c r="D132" s="15" t="inlineStr">
        <is>
          <t>KOSDAQ</t>
        </is>
      </c>
      <c r="E132" s="15" t="inlineStr">
        <is>
          <t>장비</t>
        </is>
      </c>
      <c r="F132" s="15" t="n">
        <v>56.49</v>
      </c>
      <c r="G132" s="15" t="n">
        <v>14.29</v>
      </c>
      <c r="H132" s="15" t="inlineStr">
        <is>
          <t>중립</t>
        </is>
      </c>
      <c r="I132" s="15" t="inlineStr">
        <is>
          <t>0.735270480034121</t>
        </is>
      </c>
      <c r="J132" t="inlineStr"/>
      <c r="K132" t="inlineStr"/>
      <c r="L132" t="inlineStr"/>
    </row>
    <row r="133" ht="22" customHeight="1">
      <c r="A133" s="15" t="inlineStr">
        <is>
          <t>테스</t>
        </is>
      </c>
      <c r="B133" t="inlineStr"/>
      <c r="C133" s="15" t="inlineStr">
        <is>
          <t>095610</t>
        </is>
      </c>
      <c r="D133" s="15" t="inlineStr">
        <is>
          <t>KOSDAQ</t>
        </is>
      </c>
      <c r="E133" s="15" t="inlineStr">
        <is>
          <t>장비</t>
        </is>
      </c>
      <c r="F133" s="15" t="n">
        <v>56.4</v>
      </c>
      <c r="G133" s="15" t="n">
        <v>14.29</v>
      </c>
      <c r="H133" s="15" t="inlineStr">
        <is>
          <t>중립</t>
        </is>
      </c>
      <c r="I133" s="15" t="inlineStr">
        <is>
          <t>0.5083695341145091</t>
        </is>
      </c>
      <c r="J133" t="inlineStr"/>
      <c r="K133" t="inlineStr"/>
      <c r="L133" t="inlineStr"/>
    </row>
    <row r="134" ht="22" customHeight="1">
      <c r="A134" s="15" t="inlineStr">
        <is>
          <t>코아시아</t>
        </is>
      </c>
      <c r="B134" t="inlineStr"/>
      <c r="C134" s="15" t="inlineStr">
        <is>
          <t>045970</t>
        </is>
      </c>
      <c r="D134" s="15" t="inlineStr">
        <is>
          <t>KOSDAQ</t>
        </is>
      </c>
      <c r="E134" s="15" t="inlineStr">
        <is>
          <t>팹리스/설계</t>
        </is>
      </c>
      <c r="F134" s="15" t="n">
        <v>56.12</v>
      </c>
      <c r="G134" s="15" t="n">
        <v>50</v>
      </c>
      <c r="H134" s="15" t="inlineStr">
        <is>
          <t>중립</t>
        </is>
      </c>
      <c r="I134" s="15" t="inlineStr">
        <is>
          <t>0.811266524244761</t>
        </is>
      </c>
      <c r="J134" t="inlineStr"/>
      <c r="K134" t="inlineStr"/>
      <c r="L134" t="inlineStr"/>
    </row>
    <row r="135" ht="22" customHeight="1">
      <c r="A135" s="15" t="inlineStr">
        <is>
          <t>우리이앤엘하루틴</t>
        </is>
      </c>
      <c r="B135" t="inlineStr"/>
      <c r="C135" s="15" t="inlineStr">
        <is>
          <t>153490</t>
        </is>
      </c>
      <c r="D135" s="15" t="inlineStr">
        <is>
          <t>KOSDAQ</t>
        </is>
      </c>
      <c r="E135" s="15" t="inlineStr">
        <is>
          <t>후공정/패키징/테스트</t>
        </is>
      </c>
      <c r="F135" s="15" t="n">
        <v>55.99</v>
      </c>
      <c r="G135" s="15" t="n">
        <v>14.29</v>
      </c>
      <c r="H135" s="15" t="inlineStr">
        <is>
          <t>중립</t>
        </is>
      </c>
      <c r="I135" s="15" t="inlineStr">
        <is>
          <t>0.803860880134826</t>
        </is>
      </c>
      <c r="J135" t="inlineStr"/>
      <c r="K135" t="inlineStr"/>
      <c r="L135" t="inlineStr"/>
    </row>
    <row r="136" ht="22" customHeight="1">
      <c r="A136" s="15" t="inlineStr">
        <is>
          <t>와이씨</t>
        </is>
      </c>
      <c r="B136" t="inlineStr"/>
      <c r="C136" s="15" t="inlineStr">
        <is>
          <t>232140</t>
        </is>
      </c>
      <c r="D136" s="15" t="inlineStr">
        <is>
          <t>KOSDAQ</t>
        </is>
      </c>
      <c r="E136" s="15" t="inlineStr">
        <is>
          <t>후공정/패키징/테스트</t>
        </is>
      </c>
      <c r="F136" s="15" t="n">
        <v>55.73</v>
      </c>
      <c r="G136" s="15" t="n">
        <v>0</v>
      </c>
      <c r="H136" s="15" t="inlineStr">
        <is>
          <t>중립</t>
        </is>
      </c>
      <c r="I136" s="15" t="inlineStr">
        <is>
          <t>0.5813875575219858</t>
        </is>
      </c>
      <c r="J136" t="inlineStr"/>
      <c r="K136" t="inlineStr"/>
      <c r="L136" t="inlineStr"/>
    </row>
    <row r="137" ht="22" customHeight="1">
      <c r="A137" s="15" t="inlineStr">
        <is>
          <t>기가비스</t>
        </is>
      </c>
      <c r="B137" t="inlineStr"/>
      <c r="C137" s="15" t="inlineStr">
        <is>
          <t>420770</t>
        </is>
      </c>
      <c r="D137" s="15" t="inlineStr">
        <is>
          <t>KOSDAQ</t>
        </is>
      </c>
      <c r="E137" s="15" t="inlineStr">
        <is>
          <t>후공정/패키징/테스트</t>
        </is>
      </c>
      <c r="F137" s="15" t="n">
        <v>55.44</v>
      </c>
      <c r="G137" s="15" t="n">
        <v>7.14</v>
      </c>
      <c r="H137" s="15" t="inlineStr">
        <is>
          <t>중립</t>
        </is>
      </c>
      <c r="I137" s="15" t="inlineStr">
        <is>
          <t>0.604283449323821</t>
        </is>
      </c>
      <c r="J137" t="inlineStr"/>
      <c r="K137" t="inlineStr"/>
      <c r="L137" t="inlineStr"/>
    </row>
    <row r="138" ht="22" customHeight="1">
      <c r="A138" s="15" t="inlineStr">
        <is>
          <t>픽셀플러스</t>
        </is>
      </c>
      <c r="B138" t="inlineStr"/>
      <c r="C138" s="15" t="inlineStr">
        <is>
          <t>087600</t>
        </is>
      </c>
      <c r="D138" s="15" t="inlineStr">
        <is>
          <t>KOSDAQ</t>
        </is>
      </c>
      <c r="E138" s="15" t="inlineStr">
        <is>
          <t>팹리스/설계</t>
        </is>
      </c>
      <c r="F138" s="15" t="n">
        <v>54.3</v>
      </c>
      <c r="G138" s="15" t="n">
        <v>28.57</v>
      </c>
      <c r="H138" s="15" t="inlineStr">
        <is>
          <t>중립</t>
        </is>
      </c>
      <c r="I138" s="15" t="inlineStr">
        <is>
          <t>0.8353732583827468</t>
        </is>
      </c>
      <c r="J138" t="inlineStr"/>
      <c r="K138" t="inlineStr"/>
      <c r="L138" t="inlineStr"/>
    </row>
    <row r="139" ht="22" customHeight="1">
      <c r="A139" s="15" t="inlineStr">
        <is>
          <t>칩스앤미디어</t>
        </is>
      </c>
      <c r="B139" t="inlineStr"/>
      <c r="C139" s="15" t="inlineStr">
        <is>
          <t>094360</t>
        </is>
      </c>
      <c r="D139" s="15" t="inlineStr">
        <is>
          <t>KOSDAQ</t>
        </is>
      </c>
      <c r="E139" s="15" t="inlineStr">
        <is>
          <t>팹리스/설계</t>
        </is>
      </c>
      <c r="F139" s="15" t="n">
        <v>54.24</v>
      </c>
      <c r="G139" s="15" t="n">
        <v>0</v>
      </c>
      <c r="H139" s="15" t="inlineStr">
        <is>
          <t>중립</t>
        </is>
      </c>
      <c r="I139" s="15" t="inlineStr">
        <is>
          <t>0.44740744488593415</t>
        </is>
      </c>
      <c r="J139" t="inlineStr"/>
      <c r="K139" t="inlineStr"/>
      <c r="L139" t="inlineStr"/>
    </row>
    <row r="140" ht="22" customHeight="1">
      <c r="A140" s="15" t="inlineStr">
        <is>
          <t>큐에스아이</t>
        </is>
      </c>
      <c r="B140" t="inlineStr"/>
      <c r="C140" s="15" t="inlineStr">
        <is>
          <t>066310</t>
        </is>
      </c>
      <c r="D140" s="15" t="inlineStr">
        <is>
          <t>KOSDAQ</t>
        </is>
      </c>
      <c r="E140" s="15" t="inlineStr">
        <is>
          <t>IDM/제조/메모리</t>
        </is>
      </c>
      <c r="F140" s="15" t="n">
        <v>54.23</v>
      </c>
      <c r="G140" s="15" t="n">
        <v>7.14</v>
      </c>
      <c r="H140" s="15" t="inlineStr">
        <is>
          <t>중립</t>
        </is>
      </c>
      <c r="I140" s="15" t="inlineStr">
        <is>
          <t>0.5496283015517583</t>
        </is>
      </c>
      <c r="J140" t="inlineStr"/>
      <c r="K140" t="inlineStr"/>
      <c r="L140" t="inlineStr"/>
    </row>
    <row r="141" ht="22" customHeight="1">
      <c r="A141" s="15" t="inlineStr">
        <is>
          <t>유니셈</t>
        </is>
      </c>
      <c r="B141" t="inlineStr"/>
      <c r="C141" s="15" t="inlineStr">
        <is>
          <t>036200</t>
        </is>
      </c>
      <c r="D141" s="15" t="inlineStr">
        <is>
          <t>KOSDAQ</t>
        </is>
      </c>
      <c r="E141" s="15" t="inlineStr">
        <is>
          <t>장비</t>
        </is>
      </c>
      <c r="F141" s="15" t="n">
        <v>54.09</v>
      </c>
      <c r="G141" s="15" t="n">
        <v>21.43</v>
      </c>
      <c r="H141" s="15" t="inlineStr">
        <is>
          <t>중립</t>
        </is>
      </c>
      <c r="I141" s="15" t="inlineStr">
        <is>
          <t>0.751305499027411</t>
        </is>
      </c>
      <c r="J141" t="inlineStr"/>
      <c r="K141" t="inlineStr"/>
      <c r="L141" t="inlineStr"/>
    </row>
    <row r="142" ht="22" customHeight="1">
      <c r="A142" s="15" t="inlineStr">
        <is>
          <t>피에스케이홀딩스</t>
        </is>
      </c>
      <c r="B142" t="inlineStr"/>
      <c r="C142" s="15" t="inlineStr">
        <is>
          <t>031980</t>
        </is>
      </c>
      <c r="D142" s="15" t="inlineStr">
        <is>
          <t>KOSDAQ</t>
        </is>
      </c>
      <c r="E142" s="15" t="inlineStr">
        <is>
          <t>장비</t>
        </is>
      </c>
      <c r="F142" s="15" t="n">
        <v>53.85</v>
      </c>
      <c r="G142" s="15" t="n">
        <v>0</v>
      </c>
      <c r="H142" s="15" t="inlineStr">
        <is>
          <t>중립</t>
        </is>
      </c>
      <c r="I142" s="15" t="inlineStr">
        <is>
          <t>0.7521125976897308</t>
        </is>
      </c>
      <c r="J142" t="inlineStr"/>
      <c r="K142" t="inlineStr"/>
      <c r="L142" t="inlineStr"/>
    </row>
    <row r="143" ht="22" customHeight="1">
      <c r="A143" s="15" t="inlineStr">
        <is>
          <t>워트</t>
        </is>
      </c>
      <c r="B143" t="inlineStr"/>
      <c r="C143" s="15" t="inlineStr">
        <is>
          <t>396470</t>
        </is>
      </c>
      <c r="D143" s="15" t="inlineStr">
        <is>
          <t>KOSDAQ</t>
        </is>
      </c>
      <c r="E143" s="15" t="inlineStr">
        <is>
          <t>장비</t>
        </is>
      </c>
      <c r="F143" s="15" t="n">
        <v>53.84</v>
      </c>
      <c r="G143" s="15" t="n">
        <v>7.14</v>
      </c>
      <c r="H143" s="15" t="inlineStr">
        <is>
          <t>중립</t>
        </is>
      </c>
      <c r="I143" s="15" t="inlineStr">
        <is>
          <t>0.6073344328439819</t>
        </is>
      </c>
      <c r="J143" t="inlineStr"/>
      <c r="K143" t="inlineStr"/>
      <c r="L143" t="inlineStr"/>
    </row>
    <row r="144" ht="22" customHeight="1">
      <c r="A144" s="15" t="inlineStr">
        <is>
          <t>엘오티베큠</t>
        </is>
      </c>
      <c r="B144" t="inlineStr"/>
      <c r="C144" s="15" t="inlineStr">
        <is>
          <t>083310</t>
        </is>
      </c>
      <c r="D144" s="15" t="inlineStr">
        <is>
          <t>KOSDAQ</t>
        </is>
      </c>
      <c r="E144" s="15" t="inlineStr">
        <is>
          <t>IDM/제조/메모리</t>
        </is>
      </c>
      <c r="F144" s="15" t="n">
        <v>53.8</v>
      </c>
      <c r="G144" s="15" t="n">
        <v>21.43</v>
      </c>
      <c r="H144" s="15" t="inlineStr">
        <is>
          <t>중립</t>
        </is>
      </c>
      <c r="I144" s="15" t="inlineStr">
        <is>
          <t>0.860578291373445</t>
        </is>
      </c>
      <c r="J144" t="inlineStr"/>
      <c r="K144" t="inlineStr"/>
      <c r="L144" t="inlineStr"/>
    </row>
    <row r="145" ht="22" customHeight="1">
      <c r="A145" s="15" t="inlineStr">
        <is>
          <t>비씨엔씨</t>
        </is>
      </c>
      <c r="B145" t="inlineStr"/>
      <c r="C145" s="15" t="inlineStr">
        <is>
          <t>146320</t>
        </is>
      </c>
      <c r="D145" s="15" t="inlineStr">
        <is>
          <t>KOSDAQ</t>
        </is>
      </c>
      <c r="E145" s="15" t="inlineStr">
        <is>
          <t>IDM/제조/메모리</t>
        </is>
      </c>
      <c r="F145" s="15" t="n">
        <v>53.66</v>
      </c>
      <c r="G145" s="15" t="n">
        <v>28.57</v>
      </c>
      <c r="H145" s="15" t="inlineStr">
        <is>
          <t>중립</t>
        </is>
      </c>
      <c r="I145" s="15" t="inlineStr">
        <is>
          <t>0.7033805368548921</t>
        </is>
      </c>
      <c r="J145" t="inlineStr"/>
      <c r="K145" t="inlineStr"/>
      <c r="L145" t="inlineStr"/>
    </row>
    <row r="146" ht="22" customHeight="1">
      <c r="A146" s="15" t="inlineStr">
        <is>
          <t>티엘비</t>
        </is>
      </c>
      <c r="B146" t="inlineStr"/>
      <c r="C146" s="15" t="inlineStr">
        <is>
          <t>356860</t>
        </is>
      </c>
      <c r="D146" s="15" t="inlineStr">
        <is>
          <t>KOSDAQ</t>
        </is>
      </c>
      <c r="E146" s="15" t="inlineStr">
        <is>
          <t>IDM/제조/메모리</t>
        </is>
      </c>
      <c r="F146" s="15" t="n">
        <v>53.62</v>
      </c>
      <c r="G146" s="15" t="n">
        <v>7.14</v>
      </c>
      <c r="H146" s="15" t="inlineStr">
        <is>
          <t>중립</t>
        </is>
      </c>
      <c r="I146" s="15" t="inlineStr">
        <is>
          <t>0.8509295904965918</t>
        </is>
      </c>
      <c r="J146" t="inlineStr"/>
      <c r="K146" t="inlineStr"/>
      <c r="L146" t="inlineStr"/>
    </row>
    <row r="147" ht="22" customHeight="1">
      <c r="A147" s="15" t="inlineStr">
        <is>
          <t>피에스케이</t>
        </is>
      </c>
      <c r="B147" t="inlineStr"/>
      <c r="C147" s="15" t="inlineStr">
        <is>
          <t>319660</t>
        </is>
      </c>
      <c r="D147" s="15" t="inlineStr">
        <is>
          <t>KOSDAQ GLOBAL</t>
        </is>
      </c>
      <c r="E147" s="15" t="inlineStr">
        <is>
          <t>장비</t>
        </is>
      </c>
      <c r="F147" s="15" t="n">
        <v>53.57</v>
      </c>
      <c r="G147" s="15" t="n">
        <v>0</v>
      </c>
      <c r="H147" s="15" t="inlineStr">
        <is>
          <t>중립</t>
        </is>
      </c>
      <c r="I147" s="15" t="inlineStr">
        <is>
          <t>0.7072072873445469</t>
        </is>
      </c>
      <c r="J147" t="inlineStr"/>
      <c r="K147" t="inlineStr"/>
      <c r="L147" t="inlineStr"/>
    </row>
    <row r="148" ht="22" customHeight="1">
      <c r="A148" s="15" t="inlineStr">
        <is>
          <t>해성디에스</t>
        </is>
      </c>
      <c r="B148" t="inlineStr"/>
      <c r="C148" s="15" t="inlineStr">
        <is>
          <t>195870</t>
        </is>
      </c>
      <c r="D148" s="15" t="inlineStr">
        <is>
          <t>KOSPI</t>
        </is>
      </c>
      <c r="E148" s="15" t="inlineStr">
        <is>
          <t>후공정/패키징/테스트</t>
        </is>
      </c>
      <c r="F148" s="15" t="n">
        <v>53.33</v>
      </c>
      <c r="G148" s="15" t="n">
        <v>7.14</v>
      </c>
      <c r="H148" s="15" t="inlineStr">
        <is>
          <t>중립</t>
        </is>
      </c>
      <c r="I148" s="15" t="inlineStr">
        <is>
          <t>0.8942165906576592</t>
        </is>
      </c>
      <c r="J148" t="inlineStr"/>
      <c r="K148" t="inlineStr"/>
      <c r="L148" t="inlineStr"/>
    </row>
    <row r="149" ht="22" customHeight="1">
      <c r="A149" s="15" t="inlineStr">
        <is>
          <t>심텍홀딩스</t>
        </is>
      </c>
      <c r="B149" t="inlineStr"/>
      <c r="C149" s="15" t="inlineStr">
        <is>
          <t>036710</t>
        </is>
      </c>
      <c r="D149" s="15" t="inlineStr">
        <is>
          <t>KOSDAQ</t>
        </is>
      </c>
      <c r="E149" s="15" t="inlineStr">
        <is>
          <t>부품/기판</t>
        </is>
      </c>
      <c r="F149" s="15" t="n">
        <v>53.24</v>
      </c>
      <c r="G149" s="15" t="n">
        <v>78.56999999999999</v>
      </c>
      <c r="H149" s="15" t="inlineStr">
        <is>
          <t>중립</t>
        </is>
      </c>
      <c r="I149" s="15" t="inlineStr">
        <is>
          <t>0.726519318190825</t>
        </is>
      </c>
      <c r="J149" t="inlineStr"/>
      <c r="K149" t="inlineStr"/>
      <c r="L149" t="inlineStr"/>
    </row>
    <row r="150" ht="22" customHeight="1">
      <c r="A150" s="15" t="inlineStr">
        <is>
          <t>하나머티리얼즈</t>
        </is>
      </c>
      <c r="B150" t="inlineStr"/>
      <c r="C150" s="15" t="inlineStr">
        <is>
          <t>166090</t>
        </is>
      </c>
      <c r="D150" s="15" t="inlineStr">
        <is>
          <t>KOSDAQ GLOBAL</t>
        </is>
      </c>
      <c r="E150" s="15" t="inlineStr">
        <is>
          <t>IDM/제조/메모리</t>
        </is>
      </c>
      <c r="F150" s="15" t="n">
        <v>53.22</v>
      </c>
      <c r="G150" s="15" t="n">
        <v>0</v>
      </c>
      <c r="H150" s="15" t="inlineStr">
        <is>
          <t>중립</t>
        </is>
      </c>
      <c r="I150" s="15" t="inlineStr">
        <is>
          <t>0.6425667923365267</t>
        </is>
      </c>
      <c r="J150" t="inlineStr"/>
      <c r="K150" t="inlineStr"/>
      <c r="L150" t="inlineStr"/>
    </row>
    <row r="151" ht="22" customHeight="1">
      <c r="A151" s="15" t="inlineStr">
        <is>
          <t>엠디바이스</t>
        </is>
      </c>
      <c r="B151" t="inlineStr"/>
      <c r="C151" s="15" t="inlineStr">
        <is>
          <t>226590</t>
        </is>
      </c>
      <c r="D151" s="15" t="inlineStr">
        <is>
          <t>KOSDAQ</t>
        </is>
      </c>
      <c r="E151" s="15" t="inlineStr">
        <is>
          <t>부품/기판</t>
        </is>
      </c>
      <c r="F151" s="15" t="n">
        <v>53.19</v>
      </c>
      <c r="G151" s="15" t="n">
        <v>42.86</v>
      </c>
      <c r="H151" s="15" t="inlineStr">
        <is>
          <t>중립</t>
        </is>
      </c>
      <c r="I151" s="15" t="inlineStr">
        <is>
          <t>0.7655361666958056</t>
        </is>
      </c>
      <c r="J151" t="inlineStr"/>
      <c r="K151" t="inlineStr"/>
      <c r="L151" t="inlineStr"/>
    </row>
    <row r="152" ht="22" customHeight="1">
      <c r="A152" s="15" t="inlineStr">
        <is>
          <t>제이아이테크</t>
        </is>
      </c>
      <c r="B152" t="inlineStr"/>
      <c r="C152" s="15" t="inlineStr">
        <is>
          <t>417500</t>
        </is>
      </c>
      <c r="D152" s="15" t="inlineStr">
        <is>
          <t>KOSDAQ</t>
        </is>
      </c>
      <c r="E152" s="15" t="inlineStr">
        <is>
          <t>소재</t>
        </is>
      </c>
      <c r="F152" s="15" t="n">
        <v>52.64</v>
      </c>
      <c r="G152" s="15" t="n">
        <v>7.14</v>
      </c>
      <c r="H152" s="15" t="inlineStr">
        <is>
          <t>중립</t>
        </is>
      </c>
      <c r="I152" s="15" t="inlineStr">
        <is>
          <t>0.8525733569966568</t>
        </is>
      </c>
      <c r="J152" t="inlineStr"/>
      <c r="K152" t="inlineStr"/>
      <c r="L152" t="inlineStr"/>
    </row>
    <row r="153" ht="22" customHeight="1">
      <c r="A153" s="15" t="inlineStr">
        <is>
          <t>브이엠</t>
        </is>
      </c>
      <c r="B153" t="inlineStr"/>
      <c r="C153" s="15" t="inlineStr">
        <is>
          <t>089970</t>
        </is>
      </c>
      <c r="D153" s="15" t="inlineStr">
        <is>
          <t>KOSDAQ</t>
        </is>
      </c>
      <c r="E153" s="15" t="inlineStr">
        <is>
          <t>장비</t>
        </is>
      </c>
      <c r="F153" s="15" t="n">
        <v>52.04</v>
      </c>
      <c r="G153" s="15" t="n">
        <v>0</v>
      </c>
      <c r="H153" s="15" t="inlineStr">
        <is>
          <t>중립</t>
        </is>
      </c>
      <c r="I153" s="15" t="inlineStr">
        <is>
          <t>0.737579554357605</t>
        </is>
      </c>
      <c r="J153" t="inlineStr"/>
      <c r="K153" t="inlineStr"/>
      <c r="L153" t="inlineStr"/>
    </row>
    <row r="154" ht="22" customHeight="1">
      <c r="A154" s="15" t="inlineStr">
        <is>
          <t>ISC</t>
        </is>
      </c>
      <c r="B154" t="inlineStr"/>
      <c r="C154" s="15" t="inlineStr">
        <is>
          <t>095340</t>
        </is>
      </c>
      <c r="D154" s="15" t="inlineStr">
        <is>
          <t>KOSDAQ GLOBAL</t>
        </is>
      </c>
      <c r="E154" s="15" t="inlineStr">
        <is>
          <t>후공정/패키징/테스트</t>
        </is>
      </c>
      <c r="F154" s="15" t="n">
        <v>51.76</v>
      </c>
      <c r="G154" s="15" t="n">
        <v>0</v>
      </c>
      <c r="H154" s="15" t="inlineStr">
        <is>
          <t>중립</t>
        </is>
      </c>
      <c r="I154" s="15" t="inlineStr">
        <is>
          <t>0.5753148434947495</t>
        </is>
      </c>
      <c r="J154" t="inlineStr"/>
      <c r="K154" t="inlineStr"/>
      <c r="L154" t="inlineStr"/>
    </row>
    <row r="155" ht="22" customHeight="1">
      <c r="A155" s="15" t="inlineStr">
        <is>
          <t>원익QnC</t>
        </is>
      </c>
      <c r="B155" t="inlineStr"/>
      <c r="C155" s="15" t="inlineStr">
        <is>
          <t>074600</t>
        </is>
      </c>
      <c r="D155" s="15" t="inlineStr">
        <is>
          <t>KOSDAQ GLOBAL</t>
        </is>
      </c>
      <c r="E155" s="15" t="inlineStr">
        <is>
          <t>소재</t>
        </is>
      </c>
      <c r="F155" s="15" t="n">
        <v>51.56</v>
      </c>
      <c r="G155" s="15" t="n">
        <v>28.57</v>
      </c>
      <c r="H155" s="15" t="inlineStr">
        <is>
          <t>중립</t>
        </is>
      </c>
      <c r="I155" s="15" t="inlineStr">
        <is>
          <t>0.4211836082778998</t>
        </is>
      </c>
      <c r="J155" t="inlineStr"/>
      <c r="K155" t="inlineStr"/>
      <c r="L155" t="inlineStr"/>
    </row>
    <row r="156" ht="22" customHeight="1">
      <c r="A156" s="15" t="inlineStr">
        <is>
          <t>엠케이전자</t>
        </is>
      </c>
      <c r="B156" t="inlineStr"/>
      <c r="C156" s="15" t="inlineStr">
        <is>
          <t>033160</t>
        </is>
      </c>
      <c r="D156" s="15" t="inlineStr">
        <is>
          <t>KOSDAQ</t>
        </is>
      </c>
      <c r="E156" s="15" t="inlineStr">
        <is>
          <t>소재</t>
        </is>
      </c>
      <c r="F156" s="15" t="n">
        <v>51.05</v>
      </c>
      <c r="G156" s="15" t="n">
        <v>57.14</v>
      </c>
      <c r="H156" s="15" t="inlineStr">
        <is>
          <t>중립</t>
        </is>
      </c>
      <c r="I156" s="15" t="inlineStr">
        <is>
          <t>0.801168459079624</t>
        </is>
      </c>
      <c r="J156" t="inlineStr"/>
      <c r="K156" t="inlineStr"/>
      <c r="L156" t="inlineStr"/>
    </row>
    <row r="157" ht="22" customHeight="1">
      <c r="A157" s="15" t="inlineStr">
        <is>
          <t>웰킵스하이텍</t>
        </is>
      </c>
      <c r="B157" t="inlineStr"/>
      <c r="C157" s="15" t="inlineStr">
        <is>
          <t>043590</t>
        </is>
      </c>
      <c r="D157" s="15" t="inlineStr">
        <is>
          <t>KOSDAQ</t>
        </is>
      </c>
      <c r="E157" s="15" t="inlineStr">
        <is>
          <t>IDM/제조/메모리</t>
        </is>
      </c>
      <c r="F157" s="15" t="n">
        <v>50.87</v>
      </c>
      <c r="G157" s="15" t="n">
        <v>71.43000000000001</v>
      </c>
      <c r="H157" s="15" t="inlineStr">
        <is>
          <t>중립</t>
        </is>
      </c>
      <c r="I157" s="15" t="inlineStr">
        <is>
          <t>0.7753200487478359</t>
        </is>
      </c>
      <c r="J157" t="inlineStr"/>
      <c r="K157" t="inlineStr"/>
      <c r="L157" t="inlineStr"/>
    </row>
    <row r="158" ht="22" customHeight="1">
      <c r="A158" s="15" t="inlineStr">
        <is>
          <t>타이거일렉</t>
        </is>
      </c>
      <c r="B158" t="inlineStr"/>
      <c r="C158" s="15" t="inlineStr">
        <is>
          <t>219130</t>
        </is>
      </c>
      <c r="D158" s="15" t="inlineStr">
        <is>
          <t>KOSDAQ</t>
        </is>
      </c>
      <c r="E158" s="15" t="inlineStr">
        <is>
          <t>부품/기판</t>
        </is>
      </c>
      <c r="F158" s="15" t="n">
        <v>50.67</v>
      </c>
      <c r="G158" s="15" t="n">
        <v>14.29</v>
      </c>
      <c r="H158" s="15" t="inlineStr">
        <is>
          <t>중립</t>
        </is>
      </c>
      <c r="I158" s="15" t="inlineStr">
        <is>
          <t>0.6463040733623892</t>
        </is>
      </c>
      <c r="J158" t="inlineStr"/>
      <c r="K158" t="inlineStr"/>
      <c r="L158" t="inlineStr"/>
    </row>
    <row r="159" ht="22" customHeight="1">
      <c r="A159" s="15" t="inlineStr">
        <is>
          <t>이수페타시스</t>
        </is>
      </c>
      <c r="B159" t="inlineStr"/>
      <c r="C159" s="15" t="inlineStr">
        <is>
          <t>007660</t>
        </is>
      </c>
      <c r="D159" s="15" t="inlineStr">
        <is>
          <t>KOSPI</t>
        </is>
      </c>
      <c r="E159" s="15" t="inlineStr">
        <is>
          <t>부품/기판</t>
        </is>
      </c>
      <c r="F159" s="15" t="n">
        <v>50.62</v>
      </c>
      <c r="G159" s="15" t="n">
        <v>0</v>
      </c>
      <c r="H159" s="15" t="inlineStr">
        <is>
          <t>중립</t>
        </is>
      </c>
      <c r="I159" s="15" t="inlineStr">
        <is>
          <t>0.599589540069591</t>
        </is>
      </c>
      <c r="J159" t="inlineStr"/>
      <c r="K159" t="inlineStr"/>
      <c r="L159" t="inlineStr"/>
    </row>
    <row r="160" ht="22" customHeight="1">
      <c r="A160" s="15" t="inlineStr">
        <is>
          <t>에이팩트</t>
        </is>
      </c>
      <c r="B160" t="inlineStr"/>
      <c r="C160" s="15" t="inlineStr">
        <is>
          <t>200470</t>
        </is>
      </c>
      <c r="D160" s="15" t="inlineStr">
        <is>
          <t>KOSDAQ</t>
        </is>
      </c>
      <c r="E160" s="15" t="inlineStr">
        <is>
          <t>후공정/패키징/테스트</t>
        </is>
      </c>
      <c r="F160" s="15" t="n">
        <v>50.27</v>
      </c>
      <c r="G160" s="15" t="n">
        <v>42.86</v>
      </c>
      <c r="H160" s="15" t="inlineStr">
        <is>
          <t>중립</t>
        </is>
      </c>
      <c r="I160" s="15" t="inlineStr">
        <is>
          <t>0.8010795762920226</t>
        </is>
      </c>
      <c r="J160" t="inlineStr"/>
      <c r="K160" t="inlineStr"/>
      <c r="L160" t="inlineStr"/>
    </row>
    <row r="161" ht="22" customHeight="1">
      <c r="A161" s="15" t="inlineStr">
        <is>
          <t>와이엠티</t>
        </is>
      </c>
      <c r="B161" t="inlineStr"/>
      <c r="C161" s="15" t="inlineStr">
        <is>
          <t>251370</t>
        </is>
      </c>
      <c r="D161" s="15" t="inlineStr">
        <is>
          <t>KOSDAQ</t>
        </is>
      </c>
      <c r="E161" s="15" t="inlineStr">
        <is>
          <t>소재</t>
        </is>
      </c>
      <c r="F161" s="15" t="n">
        <v>49.9</v>
      </c>
      <c r="G161" s="15" t="n">
        <v>21.43</v>
      </c>
      <c r="H161" s="15" t="inlineStr">
        <is>
          <t>중립</t>
        </is>
      </c>
      <c r="I161" s="15" t="inlineStr">
        <is>
          <t>0.730943868859095</t>
        </is>
      </c>
      <c r="J161" t="inlineStr"/>
      <c r="K161" t="inlineStr"/>
      <c r="L161" t="inlineStr"/>
    </row>
    <row r="162" ht="22" customHeight="1">
      <c r="A162" s="15" t="inlineStr">
        <is>
          <t>아이케이세미콘</t>
        </is>
      </c>
      <c r="B162" t="inlineStr"/>
      <c r="C162" s="15" t="inlineStr">
        <is>
          <t>149010</t>
        </is>
      </c>
      <c r="D162" s="15" t="inlineStr">
        <is>
          <t>KONEX</t>
        </is>
      </c>
      <c r="E162" s="15" t="inlineStr">
        <is>
          <t>팹리스/설계</t>
        </is>
      </c>
      <c r="F162" s="15" t="n">
        <v>49.8</v>
      </c>
      <c r="G162" s="15" t="n">
        <v>64.29000000000001</v>
      </c>
      <c r="H162" s="15" t="inlineStr">
        <is>
          <t>중립</t>
        </is>
      </c>
      <c r="I162" s="15" t="inlineStr">
        <is>
          <t>0.9626560040296214</t>
        </is>
      </c>
      <c r="J162" t="inlineStr"/>
      <c r="K162" t="inlineStr"/>
      <c r="L162" t="inlineStr"/>
    </row>
    <row r="163" ht="22" customHeight="1">
      <c r="A163" s="15" t="inlineStr">
        <is>
          <t>코세스</t>
        </is>
      </c>
      <c r="B163" t="inlineStr"/>
      <c r="C163" s="15" t="inlineStr">
        <is>
          <t>089890</t>
        </is>
      </c>
      <c r="D163" s="15" t="inlineStr">
        <is>
          <t>KOSDAQ</t>
        </is>
      </c>
      <c r="E163" s="15" t="inlineStr">
        <is>
          <t>장비</t>
        </is>
      </c>
      <c r="F163" s="15" t="n">
        <v>49.79</v>
      </c>
      <c r="G163" s="15" t="n">
        <v>7.14</v>
      </c>
      <c r="H163" s="15" t="inlineStr">
        <is>
          <t>중립</t>
        </is>
      </c>
      <c r="I163" s="15" t="inlineStr">
        <is>
          <t>0.7228094449358575</t>
        </is>
      </c>
      <c r="J163" t="inlineStr"/>
      <c r="K163" t="inlineStr"/>
      <c r="L163" t="inlineStr"/>
    </row>
    <row r="164" ht="22" customHeight="1">
      <c r="A164" s="15" t="inlineStr">
        <is>
          <t>코스텍시스템</t>
        </is>
      </c>
      <c r="B164" t="inlineStr"/>
      <c r="C164" s="15" t="inlineStr">
        <is>
          <t>169670</t>
        </is>
      </c>
      <c r="D164" s="15" t="inlineStr">
        <is>
          <t>KONEX</t>
        </is>
      </c>
      <c r="E164" s="15" t="inlineStr">
        <is>
          <t>장비</t>
        </is>
      </c>
      <c r="F164" s="15" t="n">
        <v>49.6</v>
      </c>
      <c r="G164" s="15" t="n">
        <v>21.43</v>
      </c>
      <c r="H164" s="15" t="inlineStr">
        <is>
          <t>중립</t>
        </is>
      </c>
      <c r="I164" s="15" t="inlineStr">
        <is>
          <t>0.9640840061970892</t>
        </is>
      </c>
      <c r="J164" t="inlineStr"/>
      <c r="K164" t="inlineStr"/>
      <c r="L164" t="inlineStr"/>
    </row>
    <row r="165" ht="22" customHeight="1">
      <c r="A165" s="15" t="inlineStr">
        <is>
          <t>삼성전기</t>
        </is>
      </c>
      <c r="B165" t="inlineStr"/>
      <c r="C165" s="15" t="inlineStr">
        <is>
          <t>009150</t>
        </is>
      </c>
      <c r="D165" s="15" t="inlineStr">
        <is>
          <t>KOSPI</t>
        </is>
      </c>
      <c r="E165" s="15" t="inlineStr">
        <is>
          <t>후공정/패키징/테스트</t>
        </is>
      </c>
      <c r="F165" s="15" t="n">
        <v>49.57</v>
      </c>
      <c r="G165" s="15" t="n">
        <v>0</v>
      </c>
      <c r="H165" s="15" t="inlineStr">
        <is>
          <t>중립</t>
        </is>
      </c>
      <c r="I165" s="15" t="inlineStr">
        <is>
          <t>0.5297655139045552</t>
        </is>
      </c>
      <c r="J165" t="inlineStr"/>
      <c r="K165" t="inlineStr"/>
      <c r="L165" t="inlineStr"/>
    </row>
    <row r="166" ht="22" customHeight="1">
      <c r="A166" s="15" t="inlineStr">
        <is>
          <t>티씨케이</t>
        </is>
      </c>
      <c r="B166" t="inlineStr"/>
      <c r="C166" s="15" t="inlineStr">
        <is>
          <t>064760</t>
        </is>
      </c>
      <c r="D166" s="15" t="inlineStr">
        <is>
          <t>KOSDAQ GLOBAL</t>
        </is>
      </c>
      <c r="E166" s="15" t="inlineStr">
        <is>
          <t>소재</t>
        </is>
      </c>
      <c r="F166" s="15" t="n">
        <v>49.56</v>
      </c>
      <c r="G166" s="15" t="n">
        <v>0</v>
      </c>
      <c r="H166" s="15" t="inlineStr">
        <is>
          <t>중립</t>
        </is>
      </c>
      <c r="I166" s="15" t="inlineStr">
        <is>
          <t>0.6535546916238612</t>
        </is>
      </c>
      <c r="J166" t="inlineStr"/>
      <c r="K166" t="inlineStr"/>
      <c r="L166" t="inlineStr"/>
    </row>
    <row r="167" ht="22" customHeight="1">
      <c r="A167" s="15" t="inlineStr">
        <is>
          <t>텔레칩스</t>
        </is>
      </c>
      <c r="B167" t="inlineStr"/>
      <c r="C167" s="15" t="inlineStr">
        <is>
          <t>054450</t>
        </is>
      </c>
      <c r="D167" s="15" t="inlineStr">
        <is>
          <t>KOSDAQ</t>
        </is>
      </c>
      <c r="E167" s="15" t="inlineStr">
        <is>
          <t>팹리스/설계</t>
        </is>
      </c>
      <c r="F167" s="15" t="n">
        <v>49.43</v>
      </c>
      <c r="G167" s="15" t="n">
        <v>71.43000000000001</v>
      </c>
      <c r="H167" s="15" t="inlineStr">
        <is>
          <t>중립</t>
        </is>
      </c>
      <c r="I167" s="15" t="inlineStr">
        <is>
          <t>0.5716537225721987</t>
        </is>
      </c>
      <c r="J167" t="inlineStr"/>
      <c r="K167" t="inlineStr"/>
      <c r="L167" t="inlineStr"/>
    </row>
    <row r="168" ht="22" customHeight="1">
      <c r="A168" s="15" t="inlineStr">
        <is>
          <t>에이엘티</t>
        </is>
      </c>
      <c r="B168" t="inlineStr"/>
      <c r="C168" s="15" t="inlineStr">
        <is>
          <t>172670</t>
        </is>
      </c>
      <c r="D168" s="15" t="inlineStr">
        <is>
          <t>KOSDAQ</t>
        </is>
      </c>
      <c r="E168" s="15" t="inlineStr">
        <is>
          <t>후공정/패키징/테스트</t>
        </is>
      </c>
      <c r="F168" s="15" t="n">
        <v>48.77</v>
      </c>
      <c r="G168" s="15" t="n">
        <v>35.71</v>
      </c>
      <c r="H168" s="15" t="inlineStr">
        <is>
          <t>중립</t>
        </is>
      </c>
      <c r="I168" s="15" t="inlineStr">
        <is>
          <t>0.5308622758067901</t>
        </is>
      </c>
      <c r="J168" t="inlineStr"/>
      <c r="K168" t="inlineStr"/>
      <c r="L168" t="inlineStr"/>
    </row>
    <row r="169" ht="22" customHeight="1">
      <c r="A169" s="15" t="inlineStr">
        <is>
          <t>알파칩스</t>
        </is>
      </c>
      <c r="B169" t="inlineStr"/>
      <c r="C169" s="15" t="inlineStr">
        <is>
          <t>117670</t>
        </is>
      </c>
      <c r="D169" s="15" t="inlineStr">
        <is>
          <t>KOSDAQ</t>
        </is>
      </c>
      <c r="E169" s="15" t="inlineStr">
        <is>
          <t>팹리스/설계</t>
        </is>
      </c>
      <c r="F169" s="15" t="n">
        <v>48.26</v>
      </c>
      <c r="G169" s="15" t="n">
        <v>28.57</v>
      </c>
      <c r="H169" s="15" t="inlineStr">
        <is>
          <t>중립</t>
        </is>
      </c>
      <c r="I169" s="15" t="inlineStr">
        <is>
          <t>0.7398835550872951</t>
        </is>
      </c>
      <c r="J169" t="inlineStr"/>
      <c r="K169" t="inlineStr"/>
      <c r="L169" t="inlineStr"/>
    </row>
    <row r="170" ht="22" customHeight="1">
      <c r="A170" s="15" t="inlineStr">
        <is>
          <t>큐알티</t>
        </is>
      </c>
      <c r="B170" t="inlineStr"/>
      <c r="C170" s="15" t="inlineStr">
        <is>
          <t>405100</t>
        </is>
      </c>
      <c r="D170" s="15" t="inlineStr">
        <is>
          <t>KOSDAQ</t>
        </is>
      </c>
      <c r="E170" s="15" t="inlineStr">
        <is>
          <t>후공정/패키징/테스트</t>
        </is>
      </c>
      <c r="F170" s="15" t="n">
        <v>47.82</v>
      </c>
      <c r="G170" s="15" t="n">
        <v>0</v>
      </c>
      <c r="H170" s="15" t="inlineStr">
        <is>
          <t>중립</t>
        </is>
      </c>
      <c r="I170" s="15" t="inlineStr">
        <is>
          <t>0.4463498311096922</t>
        </is>
      </c>
      <c r="J170" t="inlineStr"/>
      <c r="K170" t="inlineStr"/>
      <c r="L170" t="inlineStr"/>
    </row>
    <row r="171" ht="22" customHeight="1">
      <c r="A171" s="15" t="inlineStr">
        <is>
          <t>테크엘</t>
        </is>
      </c>
      <c r="B171" t="inlineStr"/>
      <c r="C171" s="15" t="inlineStr">
        <is>
          <t>064520</t>
        </is>
      </c>
      <c r="D171" s="15" t="inlineStr">
        <is>
          <t>KOSDAQ</t>
        </is>
      </c>
      <c r="E171" s="15" t="inlineStr">
        <is>
          <t>IDM/제조/메모리</t>
        </is>
      </c>
      <c r="F171" s="15" t="n">
        <v>47.57</v>
      </c>
      <c r="G171" s="15" t="n">
        <v>50</v>
      </c>
      <c r="H171" s="15" t="inlineStr">
        <is>
          <t>중립</t>
        </is>
      </c>
      <c r="I171" s="15" t="inlineStr">
        <is>
          <t>0.7806095936743286</t>
        </is>
      </c>
      <c r="J171" t="inlineStr"/>
      <c r="K171" t="inlineStr"/>
      <c r="L171" t="inlineStr"/>
    </row>
    <row r="172" ht="22" customHeight="1">
      <c r="A172" s="15" t="inlineStr">
        <is>
          <t>HPSP</t>
        </is>
      </c>
      <c r="B172" t="inlineStr"/>
      <c r="C172" s="15" t="inlineStr">
        <is>
          <t>403870</t>
        </is>
      </c>
      <c r="D172" s="15" t="inlineStr">
        <is>
          <t>KOSDAQ GLOBAL</t>
        </is>
      </c>
      <c r="E172" s="15" t="inlineStr">
        <is>
          <t>장비</t>
        </is>
      </c>
      <c r="F172" s="15" t="n">
        <v>47.52</v>
      </c>
      <c r="G172" s="15" t="n">
        <v>0</v>
      </c>
      <c r="H172" s="15" t="inlineStr">
        <is>
          <t>중립</t>
        </is>
      </c>
      <c r="I172" s="15" t="inlineStr">
        <is>
          <t>0.7108284021978194</t>
        </is>
      </c>
      <c r="J172" t="inlineStr"/>
      <c r="K172" t="inlineStr"/>
      <c r="L172" t="inlineStr"/>
    </row>
    <row r="173" ht="22" customHeight="1">
      <c r="A173" s="15" t="inlineStr">
        <is>
          <t>라온로보틱스</t>
        </is>
      </c>
      <c r="B173" t="inlineStr"/>
      <c r="C173" s="15" t="inlineStr">
        <is>
          <t>232680</t>
        </is>
      </c>
      <c r="D173" s="15" t="inlineStr">
        <is>
          <t>KOSDAQ</t>
        </is>
      </c>
      <c r="E173" s="15" t="inlineStr">
        <is>
          <t>팹리스/설계</t>
        </is>
      </c>
      <c r="F173" s="15" t="n">
        <v>47.45</v>
      </c>
      <c r="G173" s="15" t="n">
        <v>14.29</v>
      </c>
      <c r="H173" s="15" t="inlineStr">
        <is>
          <t>중립</t>
        </is>
      </c>
      <c r="I173" s="15" t="inlineStr">
        <is>
          <t>0.7863374675167921</t>
        </is>
      </c>
      <c r="J173" t="inlineStr"/>
      <c r="K173" t="inlineStr"/>
      <c r="L173" t="inlineStr"/>
    </row>
    <row r="174" ht="22" customHeight="1">
      <c r="A174" s="15" t="inlineStr">
        <is>
          <t>서울반도체</t>
        </is>
      </c>
      <c r="B174" t="inlineStr"/>
      <c r="C174" s="15" t="inlineStr">
        <is>
          <t>046890</t>
        </is>
      </c>
      <c r="D174" s="15" t="inlineStr">
        <is>
          <t>KOSDAQ GLOBAL</t>
        </is>
      </c>
      <c r="E174" s="15" t="inlineStr">
        <is>
          <t>IDM/제조/메모리</t>
        </is>
      </c>
      <c r="F174" s="15" t="n">
        <v>47.13</v>
      </c>
      <c r="G174" s="15" t="n">
        <v>42.86</v>
      </c>
      <c r="H174" s="15" t="inlineStr">
        <is>
          <t>중립</t>
        </is>
      </c>
      <c r="I174" s="15" t="inlineStr">
        <is>
          <t>0.8223266790603506</t>
        </is>
      </c>
      <c r="J174" t="inlineStr"/>
      <c r="K174" t="inlineStr"/>
      <c r="L174" t="inlineStr"/>
    </row>
    <row r="175" ht="22" customHeight="1">
      <c r="A175" s="15" t="inlineStr">
        <is>
          <t>한미반도체</t>
        </is>
      </c>
      <c r="B175" s="15" t="inlineStr">
        <is>
          <t>hanmi</t>
        </is>
      </c>
      <c r="C175" s="15" t="inlineStr">
        <is>
          <t>042700</t>
        </is>
      </c>
      <c r="D175" s="15" t="inlineStr">
        <is>
          <t>KOSPI</t>
        </is>
      </c>
      <c r="E175" s="15" t="inlineStr">
        <is>
          <t>후공정/패키징/테스트</t>
        </is>
      </c>
      <c r="F175" s="15" t="n">
        <v>47.13</v>
      </c>
      <c r="G175" s="15" t="n">
        <v>0</v>
      </c>
      <c r="H175" s="15" t="inlineStr">
        <is>
          <t>중립</t>
        </is>
      </c>
      <c r="I175" s="15" t="inlineStr">
        <is>
          <t>0.618072727307107</t>
        </is>
      </c>
      <c r="J175" s="15" t="inlineStr">
        <is>
          <t>예</t>
        </is>
      </c>
      <c r="K175" t="inlineStr"/>
      <c r="L175" t="inlineStr"/>
    </row>
    <row r="176" ht="22" customHeight="1">
      <c r="A176" s="15" t="inlineStr">
        <is>
          <t>큐엠씨</t>
        </is>
      </c>
      <c r="B176" t="inlineStr"/>
      <c r="C176" s="15" t="inlineStr">
        <is>
          <t>136660</t>
        </is>
      </c>
      <c r="D176" s="15" t="inlineStr">
        <is>
          <t>KONEX</t>
        </is>
      </c>
      <c r="E176" s="15" t="inlineStr">
        <is>
          <t>후공정/패키징/테스트</t>
        </is>
      </c>
      <c r="F176" s="15" t="n">
        <v>47.11</v>
      </c>
      <c r="G176" s="15" t="n">
        <v>28.57</v>
      </c>
      <c r="H176" s="15" t="inlineStr">
        <is>
          <t>중립</t>
        </is>
      </c>
      <c r="I176" s="15" t="inlineStr">
        <is>
          <t>0.9731046168075388</t>
        </is>
      </c>
      <c r="J176" t="inlineStr"/>
      <c r="K176" t="inlineStr"/>
      <c r="L176" t="inlineStr"/>
    </row>
    <row r="177" ht="22" customHeight="1">
      <c r="A177" s="15" t="inlineStr">
        <is>
          <t>동진쎄미켐</t>
        </is>
      </c>
      <c r="B177" t="inlineStr"/>
      <c r="C177" s="15" t="inlineStr">
        <is>
          <t>005290</t>
        </is>
      </c>
      <c r="D177" s="15" t="inlineStr">
        <is>
          <t>KOSDAQ</t>
        </is>
      </c>
      <c r="E177" s="15" t="inlineStr">
        <is>
          <t>소재</t>
        </is>
      </c>
      <c r="F177" s="15" t="n">
        <v>47.03</v>
      </c>
      <c r="G177" s="15" t="n">
        <v>0</v>
      </c>
      <c r="H177" s="15" t="inlineStr">
        <is>
          <t>중립</t>
        </is>
      </c>
      <c r="I177" s="15" t="inlineStr">
        <is>
          <t>0.48929755601795294</t>
        </is>
      </c>
      <c r="J177" t="inlineStr"/>
      <c r="K177" t="inlineStr"/>
      <c r="L177" t="inlineStr"/>
    </row>
    <row r="178" ht="22" customHeight="1">
      <c r="A178" s="15" t="inlineStr">
        <is>
          <t>럭스피아</t>
        </is>
      </c>
      <c r="B178" t="inlineStr"/>
      <c r="C178" s="15" t="inlineStr">
        <is>
          <t>092590</t>
        </is>
      </c>
      <c r="D178" s="15" t="inlineStr">
        <is>
          <t>KONEX</t>
        </is>
      </c>
      <c r="E178" s="15" t="inlineStr">
        <is>
          <t>후공정/패키징/테스트</t>
        </is>
      </c>
      <c r="F178" s="15" t="n">
        <v>46.81</v>
      </c>
      <c r="G178" s="15" t="n">
        <v>28.57</v>
      </c>
      <c r="H178" s="15" t="inlineStr">
        <is>
          <t>중립</t>
        </is>
      </c>
      <c r="I178" s="15" t="inlineStr">
        <is>
          <t>0.969533908094729</t>
        </is>
      </c>
      <c r="J178" t="inlineStr"/>
      <c r="K178" t="inlineStr"/>
      <c r="L178" t="inlineStr"/>
    </row>
    <row r="179" ht="22" customHeight="1">
      <c r="A179" s="15" t="inlineStr">
        <is>
          <t>코리아써키트</t>
        </is>
      </c>
      <c r="B179" t="inlineStr"/>
      <c r="C179" s="15" t="inlineStr">
        <is>
          <t>007810</t>
        </is>
      </c>
      <c r="D179" s="15" t="inlineStr">
        <is>
          <t>KOSPI</t>
        </is>
      </c>
      <c r="E179" s="15" t="inlineStr">
        <is>
          <t>부품/기판</t>
        </is>
      </c>
      <c r="F179" s="15" t="n">
        <v>46.76</v>
      </c>
      <c r="G179" s="15" t="n">
        <v>28.57</v>
      </c>
      <c r="H179" s="15" t="inlineStr">
        <is>
          <t>중립</t>
        </is>
      </c>
      <c r="I179" s="15" t="inlineStr">
        <is>
          <t>0.8409076697911426</t>
        </is>
      </c>
      <c r="J179" t="inlineStr"/>
      <c r="K179" t="inlineStr"/>
      <c r="L179" t="inlineStr"/>
    </row>
    <row r="180" ht="22" customHeight="1">
      <c r="A180" s="15" t="inlineStr">
        <is>
          <t>싸이닉솔루션</t>
        </is>
      </c>
      <c r="B180" t="inlineStr"/>
      <c r="C180" s="15" t="inlineStr">
        <is>
          <t>234030</t>
        </is>
      </c>
      <c r="D180" s="15" t="inlineStr">
        <is>
          <t>KOSDAQ</t>
        </is>
      </c>
      <c r="E180" s="15" t="inlineStr">
        <is>
          <t>팹리스/설계</t>
        </is>
      </c>
      <c r="F180" s="15" t="n">
        <v>46.71</v>
      </c>
      <c r="G180" s="15" t="n">
        <v>35.71</v>
      </c>
      <c r="H180" s="15" t="inlineStr">
        <is>
          <t>중립</t>
        </is>
      </c>
      <c r="I180" s="15" t="inlineStr">
        <is>
          <t>0.7962034217650586</t>
        </is>
      </c>
      <c r="J180" t="inlineStr"/>
      <c r="K180" t="inlineStr"/>
      <c r="L180" t="inlineStr"/>
    </row>
    <row r="181" ht="22" customHeight="1">
      <c r="A181" s="15" t="inlineStr">
        <is>
          <t>HD현대에너지솔루션</t>
        </is>
      </c>
      <c r="B181" t="inlineStr"/>
      <c r="C181" s="15" t="inlineStr">
        <is>
          <t>322000</t>
        </is>
      </c>
      <c r="D181" s="15" t="inlineStr">
        <is>
          <t>KOSPI</t>
        </is>
      </c>
      <c r="E181" s="15" t="inlineStr">
        <is>
          <t>IDM/제조/메모리</t>
        </is>
      </c>
      <c r="F181" s="15" t="n">
        <v>46.5</v>
      </c>
      <c r="G181" s="15" t="n">
        <v>14.29</v>
      </c>
      <c r="H181" s="15" t="inlineStr">
        <is>
          <t>중립</t>
        </is>
      </c>
      <c r="I181" s="15" t="inlineStr">
        <is>
          <t>0.6226975287022534</t>
        </is>
      </c>
      <c r="J181" t="inlineStr"/>
      <c r="K181" t="inlineStr"/>
      <c r="L181" t="inlineStr"/>
    </row>
    <row r="182" ht="22" customHeight="1">
      <c r="A182" s="15" t="inlineStr">
        <is>
          <t>원익IPS</t>
        </is>
      </c>
      <c r="B182" t="inlineStr"/>
      <c r="C182" s="15" t="inlineStr">
        <is>
          <t>240810</t>
        </is>
      </c>
      <c r="D182" s="15" t="inlineStr">
        <is>
          <t>KOSDAQ GLOBAL</t>
        </is>
      </c>
      <c r="E182" s="15" t="inlineStr">
        <is>
          <t>장비</t>
        </is>
      </c>
      <c r="F182" s="15" t="n">
        <v>46.35</v>
      </c>
      <c r="G182" s="15" t="n">
        <v>7.14</v>
      </c>
      <c r="H182" s="15" t="inlineStr">
        <is>
          <t>중립</t>
        </is>
      </c>
      <c r="I182" s="15" t="inlineStr">
        <is>
          <t>0.5727476694226805</t>
        </is>
      </c>
      <c r="J182" t="inlineStr"/>
      <c r="K182" t="inlineStr"/>
      <c r="L182" t="inlineStr"/>
    </row>
    <row r="183" ht="22" customHeight="1">
      <c r="A183" s="15" t="inlineStr">
        <is>
          <t>파크시스템스</t>
        </is>
      </c>
      <c r="B183" t="inlineStr"/>
      <c r="C183" s="15" t="inlineStr">
        <is>
          <t>140860</t>
        </is>
      </c>
      <c r="D183" s="15" t="inlineStr">
        <is>
          <t>KOSDAQ GLOBAL</t>
        </is>
      </c>
      <c r="E183" s="15" t="inlineStr">
        <is>
          <t>장비</t>
        </is>
      </c>
      <c r="F183" s="15" t="n">
        <v>46.12</v>
      </c>
      <c r="G183" s="15" t="n">
        <v>7.14</v>
      </c>
      <c r="H183" s="15" t="inlineStr">
        <is>
          <t>중립</t>
        </is>
      </c>
      <c r="I183" s="15" t="inlineStr">
        <is>
          <t>0.7158734205313764</t>
        </is>
      </c>
      <c r="J183" t="inlineStr"/>
      <c r="K183" t="inlineStr"/>
      <c r="L183" t="inlineStr"/>
    </row>
    <row r="184" ht="22" customHeight="1">
      <c r="A184" s="15" t="inlineStr">
        <is>
          <t>와이투솔루션</t>
        </is>
      </c>
      <c r="B184" t="inlineStr"/>
      <c r="C184" s="15" t="inlineStr">
        <is>
          <t>011690</t>
        </is>
      </c>
      <c r="D184" s="15" t="inlineStr">
        <is>
          <t>KOSPI</t>
        </is>
      </c>
      <c r="E184" s="15" t="inlineStr">
        <is>
          <t>IDM/제조/메모리</t>
        </is>
      </c>
      <c r="F184" s="15" t="n">
        <v>46.02</v>
      </c>
      <c r="G184" s="15" t="n">
        <v>57.14</v>
      </c>
      <c r="H184" s="15" t="inlineStr">
        <is>
          <t>중립</t>
        </is>
      </c>
      <c r="I184" s="15" t="inlineStr">
        <is>
          <t>0.7379153959384467</t>
        </is>
      </c>
      <c r="J184" t="inlineStr"/>
      <c r="K184" t="inlineStr"/>
      <c r="L184" t="inlineStr"/>
    </row>
    <row r="185" ht="22" customHeight="1">
      <c r="A185" s="15" t="inlineStr">
        <is>
          <t>서플러스글로벌</t>
        </is>
      </c>
      <c r="B185" t="inlineStr"/>
      <c r="C185" s="15" t="inlineStr">
        <is>
          <t>140070</t>
        </is>
      </c>
      <c r="D185" s="15" t="inlineStr">
        <is>
          <t>KOSDAQ</t>
        </is>
      </c>
      <c r="E185" s="15" t="inlineStr">
        <is>
          <t>장비</t>
        </is>
      </c>
      <c r="F185" s="15" t="n">
        <v>45.95</v>
      </c>
      <c r="G185" s="15" t="n">
        <v>71.43000000000001</v>
      </c>
      <c r="H185" s="15" t="inlineStr">
        <is>
          <t>중립</t>
        </is>
      </c>
      <c r="I185" s="15" t="inlineStr">
        <is>
          <t>0.6515364241286621</t>
        </is>
      </c>
      <c r="J185" t="inlineStr"/>
      <c r="K185" t="inlineStr"/>
      <c r="L185" t="inlineStr"/>
    </row>
    <row r="186" ht="22" customHeight="1">
      <c r="A186" s="15" t="inlineStr">
        <is>
          <t>아이텍</t>
        </is>
      </c>
      <c r="B186" t="inlineStr"/>
      <c r="C186" s="15" t="inlineStr">
        <is>
          <t>119830</t>
        </is>
      </c>
      <c r="D186" s="15" t="inlineStr">
        <is>
          <t>KOSDAQ</t>
        </is>
      </c>
      <c r="E186" s="15" t="inlineStr">
        <is>
          <t>후공정/패키징/테스트</t>
        </is>
      </c>
      <c r="F186" s="15" t="n">
        <v>45.73</v>
      </c>
      <c r="G186" s="15" t="n">
        <v>21.43</v>
      </c>
      <c r="H186" s="15" t="inlineStr">
        <is>
          <t>중립</t>
        </is>
      </c>
      <c r="I186" s="15" t="inlineStr">
        <is>
          <t>0.6018206034002739</t>
        </is>
      </c>
      <c r="J186" t="inlineStr"/>
      <c r="K186" t="inlineStr"/>
      <c r="L186" t="inlineStr"/>
    </row>
    <row r="187" ht="22" customHeight="1">
      <c r="A187" s="15" t="inlineStr">
        <is>
          <t>신성이엔지</t>
        </is>
      </c>
      <c r="B187" t="inlineStr"/>
      <c r="C187" s="15" t="inlineStr">
        <is>
          <t>011930</t>
        </is>
      </c>
      <c r="D187" s="15" t="inlineStr">
        <is>
          <t>KOSPI</t>
        </is>
      </c>
      <c r="E187" s="15" t="inlineStr">
        <is>
          <t>IDM/제조/메모리</t>
        </is>
      </c>
      <c r="F187" s="15" t="n">
        <v>45.52</v>
      </c>
      <c r="G187" s="15" t="n">
        <v>57.14</v>
      </c>
      <c r="H187" s="15" t="inlineStr">
        <is>
          <t>중립</t>
        </is>
      </c>
      <c r="I187" s="15" t="inlineStr">
        <is>
          <t>0.7610157176994289</t>
        </is>
      </c>
      <c r="J187" t="inlineStr"/>
      <c r="K187" t="inlineStr"/>
      <c r="L187" t="inlineStr"/>
    </row>
    <row r="188" ht="22" customHeight="1">
      <c r="A188" s="15" t="inlineStr">
        <is>
          <t>KEC</t>
        </is>
      </c>
      <c r="B188" t="inlineStr"/>
      <c r="C188" s="15" t="inlineStr">
        <is>
          <t>092220</t>
        </is>
      </c>
      <c r="D188" s="15" t="inlineStr">
        <is>
          <t>KOSPI</t>
        </is>
      </c>
      <c r="E188" s="15" t="inlineStr">
        <is>
          <t>IDM/제조/메모리</t>
        </is>
      </c>
      <c r="F188" s="15" t="n">
        <v>45.5</v>
      </c>
      <c r="G188" s="15" t="n">
        <v>50</v>
      </c>
      <c r="H188" s="15" t="inlineStr">
        <is>
          <t>중립</t>
        </is>
      </c>
      <c r="I188" s="15" t="inlineStr">
        <is>
          <t>0.7937660338126779</t>
        </is>
      </c>
      <c r="J188" t="inlineStr"/>
      <c r="K188" t="inlineStr"/>
      <c r="L188" t="inlineStr"/>
    </row>
    <row r="189" ht="22" customHeight="1">
      <c r="A189" s="15" t="inlineStr">
        <is>
          <t>에스티아이</t>
        </is>
      </c>
      <c r="B189" t="inlineStr"/>
      <c r="C189" s="15" t="inlineStr">
        <is>
          <t>039440</t>
        </is>
      </c>
      <c r="D189" s="15" t="inlineStr">
        <is>
          <t>KOSDAQ</t>
        </is>
      </c>
      <c r="E189" s="15" t="inlineStr">
        <is>
          <t>장비</t>
        </is>
      </c>
      <c r="F189" s="15" t="n">
        <v>45.5</v>
      </c>
      <c r="G189" s="15" t="n">
        <v>0</v>
      </c>
      <c r="H189" s="15" t="inlineStr">
        <is>
          <t>중립</t>
        </is>
      </c>
      <c r="I189" s="15" t="inlineStr">
        <is>
          <t>0.53270990340385</t>
        </is>
      </c>
      <c r="J189" t="inlineStr"/>
      <c r="K189" t="inlineStr"/>
      <c r="L189" t="inlineStr"/>
    </row>
    <row r="190" ht="22" customHeight="1">
      <c r="A190" s="15" t="inlineStr">
        <is>
          <t>윈팩</t>
        </is>
      </c>
      <c r="B190" t="inlineStr"/>
      <c r="C190" s="15" t="inlineStr">
        <is>
          <t>097800</t>
        </is>
      </c>
      <c r="D190" s="15" t="inlineStr">
        <is>
          <t>KOSDAQ</t>
        </is>
      </c>
      <c r="E190" s="15" t="inlineStr">
        <is>
          <t>후공정/패키징/테스트</t>
        </is>
      </c>
      <c r="F190" s="15" t="n">
        <v>44.18</v>
      </c>
      <c r="G190" s="15" t="n">
        <v>71.43000000000001</v>
      </c>
      <c r="H190" s="15" t="inlineStr">
        <is>
          <t>중립</t>
        </is>
      </c>
      <c r="I190" s="15" t="inlineStr">
        <is>
          <t>0.5735742758518154</t>
        </is>
      </c>
      <c r="J190" t="inlineStr"/>
      <c r="K190" t="inlineStr"/>
      <c r="L190" t="inlineStr"/>
    </row>
    <row r="191" ht="22" customHeight="1">
      <c r="A191" s="15" t="inlineStr">
        <is>
          <t>켐트로닉스</t>
        </is>
      </c>
      <c r="B191" t="inlineStr"/>
      <c r="C191" s="15" t="inlineStr">
        <is>
          <t>089010</t>
        </is>
      </c>
      <c r="D191" s="15" t="inlineStr">
        <is>
          <t>KOSDAQ</t>
        </is>
      </c>
      <c r="E191" s="15" t="inlineStr">
        <is>
          <t>소재</t>
        </is>
      </c>
      <c r="F191" s="15" t="n">
        <v>44.13</v>
      </c>
      <c r="G191" s="15" t="n">
        <v>35.71</v>
      </c>
      <c r="H191" s="15" t="inlineStr">
        <is>
          <t>중립</t>
        </is>
      </c>
      <c r="I191" s="15" t="inlineStr">
        <is>
          <t>0.7697961799623572</t>
        </is>
      </c>
      <c r="J191" t="inlineStr"/>
      <c r="K191" t="inlineStr"/>
      <c r="L191" t="inlineStr"/>
    </row>
    <row r="192" ht="22" customHeight="1">
      <c r="A192" s="15" t="inlineStr">
        <is>
          <t>팸텍</t>
        </is>
      </c>
      <c r="B192" t="inlineStr"/>
      <c r="C192" s="15" t="inlineStr">
        <is>
          <t>271830</t>
        </is>
      </c>
      <c r="D192" s="15" t="inlineStr">
        <is>
          <t>KOSDAQ</t>
        </is>
      </c>
      <c r="E192" s="15" t="inlineStr">
        <is>
          <t>후공정/패키징/테스트</t>
        </is>
      </c>
      <c r="F192" s="15" t="n">
        <v>44.03</v>
      </c>
      <c r="G192" s="15" t="n">
        <v>57.14</v>
      </c>
      <c r="H192" s="15" t="inlineStr">
        <is>
          <t>중립</t>
        </is>
      </c>
      <c r="I192" s="15" t="inlineStr">
        <is>
          <t>0.6809009837226325</t>
        </is>
      </c>
      <c r="J192" t="inlineStr"/>
      <c r="K192" t="inlineStr"/>
      <c r="L192" t="inlineStr"/>
    </row>
    <row r="193" ht="22" customHeight="1">
      <c r="A193" s="15" t="inlineStr">
        <is>
          <t>LB세미콘</t>
        </is>
      </c>
      <c r="B193" t="inlineStr"/>
      <c r="C193" s="15" t="inlineStr">
        <is>
          <t>061970</t>
        </is>
      </c>
      <c r="D193" s="15" t="inlineStr">
        <is>
          <t>KOSDAQ</t>
        </is>
      </c>
      <c r="E193" s="15" t="inlineStr">
        <is>
          <t>후공정/패키징/테스트</t>
        </is>
      </c>
      <c r="F193" s="15" t="n">
        <v>43.94</v>
      </c>
      <c r="G193" s="15" t="n">
        <v>57.14</v>
      </c>
      <c r="H193" s="15" t="inlineStr">
        <is>
          <t>중립</t>
        </is>
      </c>
      <c r="I193" s="15" t="inlineStr">
        <is>
          <t>0.519835518569549</t>
        </is>
      </c>
      <c r="J193" t="inlineStr"/>
      <c r="K193" t="inlineStr"/>
      <c r="L193" t="inlineStr"/>
    </row>
    <row r="194" ht="22" customHeight="1">
      <c r="A194" s="15" t="inlineStr">
        <is>
          <t>유진테크</t>
        </is>
      </c>
      <c r="B194" t="inlineStr"/>
      <c r="C194" s="15" t="inlineStr">
        <is>
          <t>084370</t>
        </is>
      </c>
      <c r="D194" s="15" t="inlineStr">
        <is>
          <t>KOSDAQ</t>
        </is>
      </c>
      <c r="E194" s="15" t="inlineStr">
        <is>
          <t>장비</t>
        </is>
      </c>
      <c r="F194" s="15" t="n">
        <v>43.36</v>
      </c>
      <c r="G194" s="15" t="n">
        <v>0</v>
      </c>
      <c r="H194" s="15" t="inlineStr">
        <is>
          <t>중립</t>
        </is>
      </c>
      <c r="I194" s="15" t="inlineStr">
        <is>
          <t>0.7415227894291446</t>
        </is>
      </c>
      <c r="J194" t="inlineStr"/>
      <c r="K194" t="inlineStr"/>
      <c r="L194" t="inlineStr"/>
    </row>
    <row r="195" ht="22" customHeight="1">
      <c r="A195" s="15" t="inlineStr">
        <is>
          <t>일진디스플</t>
        </is>
      </c>
      <c r="B195" t="inlineStr"/>
      <c r="C195" s="15" t="inlineStr">
        <is>
          <t>020760</t>
        </is>
      </c>
      <c r="D195" s="15" t="inlineStr">
        <is>
          <t>KOSPI</t>
        </is>
      </c>
      <c r="E195" s="15" t="inlineStr">
        <is>
          <t>IDM/제조/메모리</t>
        </is>
      </c>
      <c r="F195" s="15" t="n">
        <v>43.35</v>
      </c>
      <c r="G195" s="15" t="n">
        <v>64.29000000000001</v>
      </c>
      <c r="H195" s="15" t="inlineStr">
        <is>
          <t>중립</t>
        </is>
      </c>
      <c r="I195" s="15" t="inlineStr">
        <is>
          <t>0.7887205359697603</t>
        </is>
      </c>
      <c r="J195" t="inlineStr"/>
      <c r="K195" t="inlineStr"/>
      <c r="L195" t="inlineStr"/>
    </row>
    <row r="196" ht="22" customHeight="1">
      <c r="A196" s="15" t="inlineStr">
        <is>
          <t>덕산하이메탈</t>
        </is>
      </c>
      <c r="B196" t="inlineStr"/>
      <c r="C196" s="15" t="inlineStr">
        <is>
          <t>077360</t>
        </is>
      </c>
      <c r="D196" s="15" t="inlineStr">
        <is>
          <t>KOSDAQ</t>
        </is>
      </c>
      <c r="E196" s="15" t="inlineStr">
        <is>
          <t>IDM/제조/메모리</t>
        </is>
      </c>
      <c r="F196" s="15" t="n">
        <v>43.33</v>
      </c>
      <c r="G196" s="15" t="n">
        <v>28.57</v>
      </c>
      <c r="H196" s="15" t="inlineStr">
        <is>
          <t>중립</t>
        </is>
      </c>
      <c r="I196" s="15" t="inlineStr">
        <is>
          <t>0.6698541971057747</t>
        </is>
      </c>
      <c r="J196" t="inlineStr"/>
      <c r="K196" t="inlineStr"/>
      <c r="L196" t="inlineStr"/>
    </row>
    <row r="197" ht="22" customHeight="1">
      <c r="A197" s="15" t="inlineStr">
        <is>
          <t>솔브레인</t>
        </is>
      </c>
      <c r="B197" t="inlineStr"/>
      <c r="C197" s="15" t="inlineStr">
        <is>
          <t>357780</t>
        </is>
      </c>
      <c r="D197" s="15" t="inlineStr">
        <is>
          <t>KOSDAQ GLOBAL</t>
        </is>
      </c>
      <c r="E197" s="15" t="inlineStr">
        <is>
          <t>소재</t>
        </is>
      </c>
      <c r="F197" s="15" t="n">
        <v>43.31</v>
      </c>
      <c r="G197" s="15" t="n">
        <v>0</v>
      </c>
      <c r="H197" s="15" t="inlineStr">
        <is>
          <t>중립</t>
        </is>
      </c>
      <c r="I197" s="15" t="inlineStr">
        <is>
          <t>0.6367158518654258</t>
        </is>
      </c>
      <c r="J197" t="inlineStr"/>
      <c r="K197" t="inlineStr"/>
      <c r="L197" t="inlineStr"/>
    </row>
    <row r="198" ht="22" customHeight="1">
      <c r="A198" s="15" t="inlineStr">
        <is>
          <t>제이티</t>
        </is>
      </c>
      <c r="B198" t="inlineStr"/>
      <c r="C198" s="15" t="inlineStr">
        <is>
          <t>089790</t>
        </is>
      </c>
      <c r="D198" s="15" t="inlineStr">
        <is>
          <t>KOSDAQ</t>
        </is>
      </c>
      <c r="E198" s="15" t="inlineStr">
        <is>
          <t>후공정/패키징/테스트</t>
        </is>
      </c>
      <c r="F198" s="15" t="n">
        <v>42.93</v>
      </c>
      <c r="G198" s="15" t="n">
        <v>28.57</v>
      </c>
      <c r="H198" s="15" t="inlineStr">
        <is>
          <t>중립</t>
        </is>
      </c>
      <c r="I198" s="15" t="inlineStr">
        <is>
          <t>0.7953438622461361</t>
        </is>
      </c>
      <c r="J198" t="inlineStr"/>
      <c r="K198" t="inlineStr"/>
      <c r="L198" t="inlineStr"/>
    </row>
    <row r="199" ht="22" customHeight="1">
      <c r="A199" s="15" t="inlineStr">
        <is>
          <t>아이언디바이스</t>
        </is>
      </c>
      <c r="B199" t="inlineStr"/>
      <c r="C199" s="15" t="inlineStr">
        <is>
          <t>464500</t>
        </is>
      </c>
      <c r="D199" s="15" t="inlineStr">
        <is>
          <t>KOSDAQ</t>
        </is>
      </c>
      <c r="E199" s="15" t="inlineStr">
        <is>
          <t>팹리스/설계</t>
        </is>
      </c>
      <c r="F199" s="15" t="n">
        <v>42.79</v>
      </c>
      <c r="G199" s="15" t="n">
        <v>57.14</v>
      </c>
      <c r="H199" s="15" t="inlineStr">
        <is>
          <t>중립</t>
        </is>
      </c>
      <c r="I199" s="15" t="inlineStr">
        <is>
          <t>0.767854918982104</t>
        </is>
      </c>
      <c r="J199" t="inlineStr"/>
      <c r="K199" t="inlineStr"/>
      <c r="L199" t="inlineStr"/>
    </row>
    <row r="200" ht="22" customHeight="1">
      <c r="A200" s="15" t="inlineStr">
        <is>
          <t>제너셈</t>
        </is>
      </c>
      <c r="B200" t="inlineStr"/>
      <c r="C200" s="15" t="inlineStr">
        <is>
          <t>217190</t>
        </is>
      </c>
      <c r="D200" s="15" t="inlineStr">
        <is>
          <t>KOSDAQ</t>
        </is>
      </c>
      <c r="E200" s="15" t="inlineStr">
        <is>
          <t>후공정/패키징/테스트</t>
        </is>
      </c>
      <c r="F200" s="15" t="n">
        <v>42.79</v>
      </c>
      <c r="G200" s="15" t="n">
        <v>28.57</v>
      </c>
      <c r="H200" s="15" t="inlineStr">
        <is>
          <t>중립</t>
        </is>
      </c>
      <c r="I200" s="15" t="inlineStr">
        <is>
          <t>0.7410125545144256</t>
        </is>
      </c>
      <c r="J200" t="inlineStr"/>
      <c r="K200" t="inlineStr"/>
      <c r="L200" t="inlineStr"/>
    </row>
    <row r="201" ht="22" customHeight="1">
      <c r="A201" s="15" t="inlineStr">
        <is>
          <t>에이디테크놀로지</t>
        </is>
      </c>
      <c r="B201" t="inlineStr"/>
      <c r="C201" s="15" t="inlineStr">
        <is>
          <t>200710</t>
        </is>
      </c>
      <c r="D201" s="15" t="inlineStr">
        <is>
          <t>KOSDAQ</t>
        </is>
      </c>
      <c r="E201" s="15" t="inlineStr">
        <is>
          <t>IDM/제조/메모리</t>
        </is>
      </c>
      <c r="F201" s="15" t="n">
        <v>42.72</v>
      </c>
      <c r="G201" s="15" t="n">
        <v>28.57</v>
      </c>
      <c r="H201" s="15" t="inlineStr">
        <is>
          <t>중립</t>
        </is>
      </c>
      <c r="I201" s="15" t="inlineStr">
        <is>
          <t>0.6637416757093363</t>
        </is>
      </c>
      <c r="J201" t="inlineStr"/>
      <c r="K201" t="inlineStr"/>
      <c r="L201" t="inlineStr"/>
    </row>
    <row r="202" ht="22" customHeight="1">
      <c r="A202" s="15" t="inlineStr">
        <is>
          <t>쓰리에이로직스</t>
        </is>
      </c>
      <c r="B202" t="inlineStr"/>
      <c r="C202" s="15" t="inlineStr">
        <is>
          <t>177900</t>
        </is>
      </c>
      <c r="D202" s="15" t="inlineStr">
        <is>
          <t>KOSDAQ</t>
        </is>
      </c>
      <c r="E202" s="15" t="inlineStr">
        <is>
          <t>팹리스/설계</t>
        </is>
      </c>
      <c r="F202" s="15" t="n">
        <v>42.67</v>
      </c>
      <c r="G202" s="15" t="n">
        <v>57.14</v>
      </c>
      <c r="H202" s="15" t="inlineStr">
        <is>
          <t>중립</t>
        </is>
      </c>
      <c r="I202" s="15" t="inlineStr">
        <is>
          <t>0.5793703556022938</t>
        </is>
      </c>
      <c r="J202" t="inlineStr"/>
      <c r="K202" t="inlineStr"/>
      <c r="L202" t="inlineStr"/>
    </row>
    <row r="203" ht="22" customHeight="1">
      <c r="A203" s="15" t="inlineStr">
        <is>
          <t>제우스</t>
        </is>
      </c>
      <c r="B203" t="inlineStr"/>
      <c r="C203" s="15" t="inlineStr">
        <is>
          <t>079370</t>
        </is>
      </c>
      <c r="D203" s="15" t="inlineStr">
        <is>
          <t>KOSDAQ</t>
        </is>
      </c>
      <c r="E203" s="15" t="inlineStr">
        <is>
          <t>장비</t>
        </is>
      </c>
      <c r="F203" s="15" t="n">
        <v>42.59</v>
      </c>
      <c r="G203" s="15" t="n">
        <v>21.43</v>
      </c>
      <c r="H203" s="15" t="inlineStr">
        <is>
          <t>중립</t>
        </is>
      </c>
      <c r="I203" s="15" t="inlineStr">
        <is>
          <t>0.7744454918412472</t>
        </is>
      </c>
      <c r="J203" t="inlineStr"/>
      <c r="K203" t="inlineStr"/>
      <c r="L203" t="inlineStr"/>
    </row>
    <row r="204" ht="22" customHeight="1">
      <c r="A204" s="15" t="inlineStr">
        <is>
          <t>네패스아크</t>
        </is>
      </c>
      <c r="B204" t="inlineStr"/>
      <c r="C204" s="15" t="inlineStr">
        <is>
          <t>330860</t>
        </is>
      </c>
      <c r="D204" s="15" t="inlineStr">
        <is>
          <t>KOSDAQ</t>
        </is>
      </c>
      <c r="E204" s="15" t="inlineStr">
        <is>
          <t>후공정/패키징/테스트</t>
        </is>
      </c>
      <c r="F204" s="15" t="n">
        <v>42.07</v>
      </c>
      <c r="G204" s="15" t="n">
        <v>0</v>
      </c>
      <c r="H204" s="15" t="inlineStr">
        <is>
          <t>고평가 부담</t>
        </is>
      </c>
      <c r="I204" s="15" t="inlineStr">
        <is>
          <t>0.5804758808286147</t>
        </is>
      </c>
      <c r="J204" t="inlineStr"/>
      <c r="K204" t="inlineStr"/>
      <c r="L204" t="inlineStr"/>
    </row>
    <row r="205" ht="22" customHeight="1">
      <c r="A205" s="15" t="inlineStr">
        <is>
          <t>마이크로투나노</t>
        </is>
      </c>
      <c r="B205" t="inlineStr"/>
      <c r="C205" s="15" t="inlineStr">
        <is>
          <t>424980</t>
        </is>
      </c>
      <c r="D205" s="15" t="inlineStr">
        <is>
          <t>KOSDAQ</t>
        </is>
      </c>
      <c r="E205" s="15" t="inlineStr">
        <is>
          <t>후공정/패키징/테스트</t>
        </is>
      </c>
      <c r="F205" s="15" t="n">
        <v>41.88</v>
      </c>
      <c r="G205" s="15" t="n">
        <v>57.14</v>
      </c>
      <c r="H205" s="15" t="inlineStr">
        <is>
          <t>고평가 부담</t>
        </is>
      </c>
      <c r="I205" s="15" t="inlineStr">
        <is>
          <t>0.8919952418828875</t>
        </is>
      </c>
      <c r="J205" t="inlineStr"/>
      <c r="K205" t="inlineStr"/>
      <c r="L205" t="inlineStr"/>
    </row>
    <row r="206" ht="22" customHeight="1">
      <c r="A206" s="15" t="inlineStr">
        <is>
          <t>광전자</t>
        </is>
      </c>
      <c r="B206" t="inlineStr"/>
      <c r="C206" s="15" t="inlineStr">
        <is>
          <t>017900</t>
        </is>
      </c>
      <c r="D206" s="15" t="inlineStr">
        <is>
          <t>KOSPI</t>
        </is>
      </c>
      <c r="E206" s="15" t="inlineStr">
        <is>
          <t>IDM/제조/메모리</t>
        </is>
      </c>
      <c r="F206" s="15" t="n">
        <v>41.84</v>
      </c>
      <c r="G206" s="15" t="n">
        <v>21.43</v>
      </c>
      <c r="H206" s="15" t="inlineStr">
        <is>
          <t>고평가 부담</t>
        </is>
      </c>
      <c r="I206" s="15" t="inlineStr">
        <is>
          <t>0.6817751829328556</t>
        </is>
      </c>
      <c r="J206" t="inlineStr"/>
      <c r="K206" t="inlineStr"/>
      <c r="L206" t="inlineStr"/>
    </row>
    <row r="207" ht="22" customHeight="1">
      <c r="A207" s="15" t="inlineStr">
        <is>
          <t>아진엑스텍</t>
        </is>
      </c>
      <c r="B207" t="inlineStr"/>
      <c r="C207" s="15" t="inlineStr">
        <is>
          <t>059120</t>
        </is>
      </c>
      <c r="D207" s="15" t="inlineStr">
        <is>
          <t>KOSDAQ</t>
        </is>
      </c>
      <c r="E207" s="15" t="inlineStr">
        <is>
          <t>IDM/제조/메모리</t>
        </is>
      </c>
      <c r="F207" s="15" t="n">
        <v>41.28</v>
      </c>
      <c r="G207" s="15" t="n">
        <v>7.14</v>
      </c>
      <c r="H207" s="15" t="inlineStr">
        <is>
          <t>고평가 부담</t>
        </is>
      </c>
      <c r="I207" s="15" t="inlineStr">
        <is>
          <t>0.6635799672057409</t>
        </is>
      </c>
      <c r="J207" t="inlineStr"/>
      <c r="K207" t="inlineStr"/>
      <c r="L207" t="inlineStr"/>
    </row>
    <row r="208" ht="22" customHeight="1">
      <c r="A208" s="15" t="inlineStr">
        <is>
          <t>아이티엠반도체</t>
        </is>
      </c>
      <c r="B208" t="inlineStr"/>
      <c r="C208" s="15" t="inlineStr">
        <is>
          <t>084850</t>
        </is>
      </c>
      <c r="D208" s="15" t="inlineStr">
        <is>
          <t>KOSDAQ GLOBAL</t>
        </is>
      </c>
      <c r="E208" s="15" t="inlineStr">
        <is>
          <t>부품/기판</t>
        </is>
      </c>
      <c r="F208" s="15" t="n">
        <v>41.24</v>
      </c>
      <c r="G208" s="15" t="n">
        <v>50</v>
      </c>
      <c r="H208" s="15" t="inlineStr">
        <is>
          <t>고평가 부담</t>
        </is>
      </c>
      <c r="I208" s="15" t="inlineStr">
        <is>
          <t>0.599341656390115</t>
        </is>
      </c>
      <c r="J208" t="inlineStr"/>
      <c r="K208" t="inlineStr"/>
      <c r="L208" t="inlineStr"/>
    </row>
    <row r="209" ht="22" customHeight="1">
      <c r="A209" s="15" t="inlineStr">
        <is>
          <t>램테크놀러지</t>
        </is>
      </c>
      <c r="B209" t="inlineStr"/>
      <c r="C209" s="15" t="inlineStr">
        <is>
          <t>171010</t>
        </is>
      </c>
      <c r="D209" s="15" t="inlineStr">
        <is>
          <t>KOSDAQ</t>
        </is>
      </c>
      <c r="E209" s="15" t="inlineStr">
        <is>
          <t>장비</t>
        </is>
      </c>
      <c r="F209" s="15" t="n">
        <v>40.97</v>
      </c>
      <c r="G209" s="15" t="n">
        <v>64.29000000000001</v>
      </c>
      <c r="H209" s="15" t="inlineStr">
        <is>
          <t>고평가 부담</t>
        </is>
      </c>
      <c r="I209" s="15" t="inlineStr">
        <is>
          <t>0.500591784236833</t>
        </is>
      </c>
      <c r="J209" t="inlineStr"/>
      <c r="K209" t="inlineStr"/>
      <c r="L209" t="inlineStr"/>
    </row>
    <row r="210" ht="22" customHeight="1">
      <c r="A210" s="15" t="inlineStr">
        <is>
          <t>코스텍시스</t>
        </is>
      </c>
      <c r="B210" t="inlineStr"/>
      <c r="C210" s="15" t="inlineStr">
        <is>
          <t>355150</t>
        </is>
      </c>
      <c r="D210" s="15" t="inlineStr">
        <is>
          <t>KOSDAQ</t>
        </is>
      </c>
      <c r="E210" s="15" t="inlineStr">
        <is>
          <t>IDM/제조/메모리</t>
        </is>
      </c>
      <c r="F210" s="15" t="n">
        <v>40.97</v>
      </c>
      <c r="G210" s="15" t="n">
        <v>50</v>
      </c>
      <c r="H210" s="15" t="inlineStr">
        <is>
          <t>고평가 부담</t>
        </is>
      </c>
      <c r="I210" s="15" t="inlineStr">
        <is>
          <t>0.7518748972741711</t>
        </is>
      </c>
      <c r="J210" t="inlineStr"/>
      <c r="K210" t="inlineStr"/>
      <c r="L210" t="inlineStr"/>
    </row>
    <row r="211" ht="22" customHeight="1">
      <c r="A211" s="15" t="inlineStr">
        <is>
          <t>시그네틱스</t>
        </is>
      </c>
      <c r="B211" t="inlineStr"/>
      <c r="C211" s="15" t="inlineStr">
        <is>
          <t>033170</t>
        </is>
      </c>
      <c r="D211" s="15" t="inlineStr">
        <is>
          <t>KOSDAQ</t>
        </is>
      </c>
      <c r="E211" s="15" t="inlineStr">
        <is>
          <t>후공정/패키징/테스트</t>
        </is>
      </c>
      <c r="F211" s="15" t="n">
        <v>40.68</v>
      </c>
      <c r="G211" s="15" t="n">
        <v>64.29000000000001</v>
      </c>
      <c r="H211" s="15" t="inlineStr">
        <is>
          <t>고평가 부담</t>
        </is>
      </c>
      <c r="I211" s="15" t="inlineStr">
        <is>
          <t>0.6660306558324866</t>
        </is>
      </c>
      <c r="J211" t="inlineStr"/>
      <c r="K211" t="inlineStr"/>
      <c r="L211" t="inlineStr"/>
    </row>
    <row r="212" ht="22" customHeight="1">
      <c r="A212" s="15" t="inlineStr">
        <is>
          <t>디엔에프</t>
        </is>
      </c>
      <c r="B212" t="inlineStr"/>
      <c r="C212" s="15" t="inlineStr">
        <is>
          <t>092070</t>
        </is>
      </c>
      <c r="D212" s="15" t="inlineStr">
        <is>
          <t>KOSDAQ</t>
        </is>
      </c>
      <c r="E212" s="15" t="inlineStr">
        <is>
          <t>소재</t>
        </is>
      </c>
      <c r="F212" s="15" t="n">
        <v>40.41</v>
      </c>
      <c r="G212" s="15" t="n">
        <v>14.29</v>
      </c>
      <c r="H212" s="15" t="inlineStr">
        <is>
          <t>고평가 부담</t>
        </is>
      </c>
      <c r="I212" s="15" t="inlineStr">
        <is>
          <t>0.6833535693717029</t>
        </is>
      </c>
      <c r="J212" t="inlineStr"/>
      <c r="K212" t="inlineStr"/>
      <c r="L212" t="inlineStr"/>
    </row>
    <row r="213" ht="22" customHeight="1">
      <c r="A213" s="15" t="inlineStr">
        <is>
          <t>저스템</t>
        </is>
      </c>
      <c r="B213" t="inlineStr"/>
      <c r="C213" s="15" t="inlineStr">
        <is>
          <t>417840</t>
        </is>
      </c>
      <c r="D213" s="15" t="inlineStr">
        <is>
          <t>KOSDAQ</t>
        </is>
      </c>
      <c r="E213" s="15" t="inlineStr">
        <is>
          <t>장비</t>
        </is>
      </c>
      <c r="F213" s="15" t="n">
        <v>40.36</v>
      </c>
      <c r="G213" s="15" t="n">
        <v>28.57</v>
      </c>
      <c r="H213" s="15" t="inlineStr">
        <is>
          <t>고평가 부담</t>
        </is>
      </c>
      <c r="I213" s="15" t="inlineStr">
        <is>
          <t>0.7213257522774291</t>
        </is>
      </c>
      <c r="J213" t="inlineStr"/>
      <c r="K213" t="inlineStr"/>
      <c r="L213" t="inlineStr"/>
    </row>
    <row r="214" ht="22" customHeight="1">
      <c r="A214" s="15" t="inlineStr">
        <is>
          <t>지아이에스</t>
        </is>
      </c>
      <c r="B214" t="inlineStr"/>
      <c r="C214" s="15" t="inlineStr">
        <is>
          <t>306620</t>
        </is>
      </c>
      <c r="D214" s="15" t="inlineStr">
        <is>
          <t>KOSDAQ</t>
        </is>
      </c>
      <c r="E214" s="15" t="inlineStr">
        <is>
          <t>장비</t>
        </is>
      </c>
      <c r="F214" s="15" t="n">
        <v>40.15</v>
      </c>
      <c r="G214" s="15" t="n">
        <v>57.14</v>
      </c>
      <c r="H214" s="15" t="inlineStr">
        <is>
          <t>고평가 부담</t>
        </is>
      </c>
      <c r="I214" s="15" t="inlineStr">
        <is>
          <t>0.745903271306321</t>
        </is>
      </c>
      <c r="J214" t="inlineStr"/>
      <c r="K214" t="inlineStr"/>
      <c r="L214" t="inlineStr"/>
    </row>
    <row r="215" ht="22" customHeight="1">
      <c r="A215" s="15" t="inlineStr">
        <is>
          <t>대덕전자</t>
        </is>
      </c>
      <c r="B215" t="inlineStr"/>
      <c r="C215" s="15" t="inlineStr">
        <is>
          <t>353200</t>
        </is>
      </c>
      <c r="D215" s="15" t="inlineStr">
        <is>
          <t>KOSPI</t>
        </is>
      </c>
      <c r="E215" s="15" t="inlineStr">
        <is>
          <t>부품/기판</t>
        </is>
      </c>
      <c r="F215" s="15" t="n">
        <v>39.67</v>
      </c>
      <c r="G215" s="15" t="n">
        <v>14.29</v>
      </c>
      <c r="H215" s="15" t="inlineStr">
        <is>
          <t>고평가 부담</t>
        </is>
      </c>
      <c r="I215" s="15" t="inlineStr">
        <is>
          <t>0.6645756407915718</t>
        </is>
      </c>
      <c r="J215" t="inlineStr"/>
      <c r="K215" t="inlineStr"/>
      <c r="L215" t="inlineStr"/>
    </row>
    <row r="216" ht="22" customHeight="1">
      <c r="A216" s="15" t="inlineStr">
        <is>
          <t>고영</t>
        </is>
      </c>
      <c r="B216" t="inlineStr"/>
      <c r="C216" s="15" t="inlineStr">
        <is>
          <t>098460</t>
        </is>
      </c>
      <c r="D216" s="15" t="inlineStr">
        <is>
          <t>KOSDAQ</t>
        </is>
      </c>
      <c r="E216" s="15" t="inlineStr">
        <is>
          <t>후공정/패키징/테스트</t>
        </is>
      </c>
      <c r="F216" s="15" t="n">
        <v>39.33</v>
      </c>
      <c r="G216" s="15" t="n">
        <v>7.14</v>
      </c>
      <c r="H216" s="15" t="inlineStr">
        <is>
          <t>고평가 부담</t>
        </is>
      </c>
      <c r="I216" s="15" t="inlineStr">
        <is>
          <t>0.4306692416005982</t>
        </is>
      </c>
      <c r="J216" t="inlineStr"/>
      <c r="K216" t="inlineStr"/>
      <c r="L216" t="inlineStr"/>
    </row>
    <row r="217" ht="22" customHeight="1">
      <c r="A217" s="15" t="inlineStr">
        <is>
          <t>와이씨켐</t>
        </is>
      </c>
      <c r="B217" t="inlineStr"/>
      <c r="C217" s="15" t="inlineStr">
        <is>
          <t>112290</t>
        </is>
      </c>
      <c r="D217" s="15" t="inlineStr">
        <is>
          <t>KOSDAQ</t>
        </is>
      </c>
      <c r="E217" s="15" t="inlineStr">
        <is>
          <t>소재</t>
        </is>
      </c>
      <c r="F217" s="15" t="n">
        <v>38.36</v>
      </c>
      <c r="G217" s="15" t="n">
        <v>50</v>
      </c>
      <c r="H217" s="15" t="inlineStr">
        <is>
          <t>고평가 부담</t>
        </is>
      </c>
      <c r="I217" s="15" t="inlineStr">
        <is>
          <t>0.7576999610053956</t>
        </is>
      </c>
      <c r="J217" t="inlineStr"/>
      <c r="K217" t="inlineStr"/>
      <c r="L217" t="inlineStr"/>
    </row>
    <row r="218" ht="22" customHeight="1">
      <c r="A218" s="15" t="inlineStr">
        <is>
          <t>에프에스티</t>
        </is>
      </c>
      <c r="B218" t="inlineStr"/>
      <c r="C218" s="15" t="inlineStr">
        <is>
          <t>036810</t>
        </is>
      </c>
      <c r="D218" s="15" t="inlineStr">
        <is>
          <t>KOSDAQ</t>
        </is>
      </c>
      <c r="E218" s="15" t="inlineStr">
        <is>
          <t>장비</t>
        </is>
      </c>
      <c r="F218" s="15" t="n">
        <v>38.27</v>
      </c>
      <c r="G218" s="15" t="n">
        <v>50</v>
      </c>
      <c r="H218" s="15" t="inlineStr">
        <is>
          <t>고평가 부담</t>
        </is>
      </c>
      <c r="I218" s="15" t="inlineStr">
        <is>
          <t>0.8925631629286743</t>
        </is>
      </c>
      <c r="J218" t="inlineStr"/>
      <c r="K218" t="inlineStr"/>
      <c r="L218" t="inlineStr"/>
    </row>
    <row r="219" ht="22" customHeight="1">
      <c r="A219" s="15" t="inlineStr">
        <is>
          <t>나노신소재</t>
        </is>
      </c>
      <c r="B219" t="inlineStr"/>
      <c r="C219" s="15" t="inlineStr">
        <is>
          <t>121600</t>
        </is>
      </c>
      <c r="D219" s="15" t="inlineStr">
        <is>
          <t>KOSDAQ</t>
        </is>
      </c>
      <c r="E219" s="15" t="inlineStr">
        <is>
          <t>장비</t>
        </is>
      </c>
      <c r="F219" s="15" t="n">
        <v>38.23</v>
      </c>
      <c r="G219" s="15" t="n">
        <v>0</v>
      </c>
      <c r="H219" s="15" t="inlineStr">
        <is>
          <t>고평가 부담</t>
        </is>
      </c>
      <c r="I219" s="15" t="inlineStr">
        <is>
          <t>0.7555342246021253</t>
        </is>
      </c>
      <c r="J219" t="inlineStr"/>
      <c r="K219" t="inlineStr"/>
      <c r="L219" t="inlineStr"/>
    </row>
    <row r="220" ht="22" customHeight="1">
      <c r="A220" s="15" t="inlineStr">
        <is>
          <t>심텍</t>
        </is>
      </c>
      <c r="B220" t="inlineStr"/>
      <c r="C220" s="15" t="inlineStr">
        <is>
          <t>222800</t>
        </is>
      </c>
      <c r="D220" s="15" t="inlineStr">
        <is>
          <t>KOSDAQ GLOBAL</t>
        </is>
      </c>
      <c r="E220" s="15" t="inlineStr">
        <is>
          <t>부품/기판</t>
        </is>
      </c>
      <c r="F220" s="15" t="n">
        <v>37.76</v>
      </c>
      <c r="G220" s="15" t="n">
        <v>57.14</v>
      </c>
      <c r="H220" s="15" t="inlineStr">
        <is>
          <t>고평가 부담</t>
        </is>
      </c>
      <c r="I220" s="15" t="inlineStr">
        <is>
          <t>0.5170784842162837</t>
        </is>
      </c>
      <c r="J220" t="inlineStr"/>
      <c r="K220" t="inlineStr"/>
      <c r="L220" t="inlineStr"/>
    </row>
    <row r="221" ht="22" customHeight="1">
      <c r="A221" s="15" t="inlineStr">
        <is>
          <t>아이에이</t>
        </is>
      </c>
      <c r="B221" t="inlineStr"/>
      <c r="C221" s="15" t="inlineStr">
        <is>
          <t>038880</t>
        </is>
      </c>
      <c r="D221" s="15" t="inlineStr">
        <is>
          <t>KOSDAQ</t>
        </is>
      </c>
      <c r="E221" s="15" t="inlineStr">
        <is>
          <t>부품/기판</t>
        </is>
      </c>
      <c r="F221" s="15" t="n">
        <v>37.76</v>
      </c>
      <c r="G221" s="15" t="n">
        <v>71.43000000000001</v>
      </c>
      <c r="H221" s="15" t="inlineStr">
        <is>
          <t>고평가 부담</t>
        </is>
      </c>
      <c r="I221" s="15" t="inlineStr">
        <is>
          <t>0.7739089828714508</t>
        </is>
      </c>
      <c r="J221" t="inlineStr"/>
      <c r="K221" t="inlineStr"/>
      <c r="L221" t="inlineStr"/>
    </row>
    <row r="222" ht="22" customHeight="1">
      <c r="A222" s="15" t="inlineStr">
        <is>
          <t>웨이비스</t>
        </is>
      </c>
      <c r="B222" t="inlineStr"/>
      <c r="C222" s="15" t="inlineStr">
        <is>
          <t>289930</t>
        </is>
      </c>
      <c r="D222" s="15" t="inlineStr">
        <is>
          <t>KOSDAQ</t>
        </is>
      </c>
      <c r="E222" s="15" t="inlineStr">
        <is>
          <t>후공정/패키징/테스트</t>
        </is>
      </c>
      <c r="F222" s="15" t="n">
        <v>37.66</v>
      </c>
      <c r="G222" s="15" t="n">
        <v>14.29</v>
      </c>
      <c r="H222" s="15" t="inlineStr">
        <is>
          <t>고평가 부담</t>
        </is>
      </c>
      <c r="I222" s="15" t="inlineStr">
        <is>
          <t>0.5209890944205295</t>
        </is>
      </c>
      <c r="J222" t="inlineStr"/>
      <c r="K222" t="inlineStr"/>
      <c r="L222" t="inlineStr"/>
    </row>
    <row r="223" ht="22" customHeight="1">
      <c r="A223" s="15" t="inlineStr">
        <is>
          <t>넥스트칩</t>
        </is>
      </c>
      <c r="B223" t="inlineStr"/>
      <c r="C223" s="15" t="inlineStr">
        <is>
          <t>396270</t>
        </is>
      </c>
      <c r="D223" s="15" t="inlineStr">
        <is>
          <t>KOSDAQ</t>
        </is>
      </c>
      <c r="E223" s="15" t="inlineStr">
        <is>
          <t>팹리스/설계</t>
        </is>
      </c>
      <c r="F223" s="15" t="n">
        <v>37.43</v>
      </c>
      <c r="G223" s="15" t="n">
        <v>71.43000000000001</v>
      </c>
      <c r="H223" s="15" t="inlineStr">
        <is>
          <t>고평가 부담</t>
        </is>
      </c>
      <c r="I223" s="15" t="inlineStr">
        <is>
          <t>0.9380466040149497</t>
        </is>
      </c>
      <c r="J223" t="inlineStr"/>
      <c r="K223" t="inlineStr"/>
      <c r="L223" t="inlineStr"/>
    </row>
    <row r="224" ht="22" customHeight="1">
      <c r="A224" s="15" t="inlineStr">
        <is>
          <t>SFA반도체</t>
        </is>
      </c>
      <c r="B224" t="inlineStr"/>
      <c r="C224" s="15" t="inlineStr">
        <is>
          <t>036540</t>
        </is>
      </c>
      <c r="D224" s="15" t="inlineStr">
        <is>
          <t>KOSDAQ</t>
        </is>
      </c>
      <c r="E224" s="15" t="inlineStr">
        <is>
          <t>후공정/패키징/테스트</t>
        </is>
      </c>
      <c r="F224" s="15" t="n">
        <v>37.26</v>
      </c>
      <c r="G224" s="15" t="n">
        <v>28.57</v>
      </c>
      <c r="H224" s="15" t="inlineStr">
        <is>
          <t>고평가 부담</t>
        </is>
      </c>
      <c r="I224" s="15" t="inlineStr">
        <is>
          <t>0.7912156659089058</t>
        </is>
      </c>
      <c r="J224" t="inlineStr"/>
      <c r="K224" t="inlineStr"/>
      <c r="L224" t="inlineStr"/>
    </row>
    <row r="225" ht="22" customHeight="1">
      <c r="A225" s="15" t="inlineStr">
        <is>
          <t>사피엔반도체</t>
        </is>
      </c>
      <c r="B225" t="inlineStr"/>
      <c r="C225" s="15" t="inlineStr">
        <is>
          <t>452430</t>
        </is>
      </c>
      <c r="D225" s="15" t="inlineStr">
        <is>
          <t>KOSDAQ</t>
        </is>
      </c>
      <c r="E225" s="15" t="inlineStr">
        <is>
          <t>팹리스/설계</t>
        </is>
      </c>
      <c r="F225" s="15" t="n">
        <v>37.21</v>
      </c>
      <c r="G225" s="15" t="n">
        <v>57.14</v>
      </c>
      <c r="H225" s="15" t="inlineStr">
        <is>
          <t>고평가 부담</t>
        </is>
      </c>
      <c r="I225" s="15" t="inlineStr">
        <is>
          <t>0.8482781866315999</t>
        </is>
      </c>
      <c r="J225" t="inlineStr"/>
      <c r="K225" t="inlineStr"/>
      <c r="L225" t="inlineStr"/>
    </row>
    <row r="226" ht="22" customHeight="1">
      <c r="A226" s="15" t="inlineStr">
        <is>
          <t>동운아나텍</t>
        </is>
      </c>
      <c r="B226" t="inlineStr"/>
      <c r="C226" s="15" t="inlineStr">
        <is>
          <t>094170</t>
        </is>
      </c>
      <c r="D226" s="15" t="inlineStr">
        <is>
          <t>KOSDAQ</t>
        </is>
      </c>
      <c r="E226" s="15" t="inlineStr">
        <is>
          <t>팹리스/설계</t>
        </is>
      </c>
      <c r="F226" s="15" t="n">
        <v>36.71</v>
      </c>
      <c r="G226" s="15" t="n">
        <v>21.43</v>
      </c>
      <c r="H226" s="15" t="inlineStr">
        <is>
          <t>고평가 부담</t>
        </is>
      </c>
      <c r="I226" s="15" t="inlineStr">
        <is>
          <t>0.4894423516429773</t>
        </is>
      </c>
      <c r="J226" t="inlineStr"/>
      <c r="K226" t="inlineStr"/>
      <c r="L226" t="inlineStr"/>
    </row>
    <row r="227" ht="22" customHeight="1">
      <c r="A227" s="15" t="inlineStr">
        <is>
          <t>씨엠티엑스</t>
        </is>
      </c>
      <c r="B227" t="inlineStr"/>
      <c r="C227" s="15" t="inlineStr">
        <is>
          <t>388210</t>
        </is>
      </c>
      <c r="D227" s="15" t="inlineStr">
        <is>
          <t>KOSDAQ</t>
        </is>
      </c>
      <c r="E227" s="15" t="inlineStr">
        <is>
          <t>장비</t>
        </is>
      </c>
      <c r="F227" s="15" t="n">
        <v>36.53</v>
      </c>
      <c r="G227" s="15" t="n">
        <v>21.43</v>
      </c>
      <c r="H227" s="15" t="inlineStr">
        <is>
          <t>고평가 부담</t>
        </is>
      </c>
      <c r="I227" s="15" t="inlineStr">
        <is>
          <t>0.7157707609420977</t>
        </is>
      </c>
      <c r="J227" t="inlineStr"/>
      <c r="K227" t="inlineStr"/>
      <c r="L227" t="inlineStr"/>
    </row>
    <row r="228" ht="22" customHeight="1">
      <c r="A228" s="15" t="inlineStr">
        <is>
          <t>세미파이브</t>
        </is>
      </c>
      <c r="B228" t="inlineStr"/>
      <c r="C228" s="15" t="inlineStr">
        <is>
          <t>490470</t>
        </is>
      </c>
      <c r="D228" s="15" t="inlineStr">
        <is>
          <t>KOSDAQ</t>
        </is>
      </c>
      <c r="E228" s="15" t="inlineStr">
        <is>
          <t>팹리스/설계</t>
        </is>
      </c>
      <c r="F228" s="15" t="n">
        <v>36.46</v>
      </c>
      <c r="G228" s="15" t="n">
        <v>50</v>
      </c>
      <c r="H228" s="15" t="inlineStr">
        <is>
          <t>고평가 부담</t>
        </is>
      </c>
      <c r="I228" s="15" t="inlineStr">
        <is>
          <t>0.9277538303818181</t>
        </is>
      </c>
      <c r="J228" t="inlineStr"/>
      <c r="K228" t="inlineStr"/>
      <c r="L228" t="inlineStr"/>
    </row>
    <row r="229" ht="22" customHeight="1">
      <c r="A229" s="15" t="inlineStr">
        <is>
          <t>이미지스</t>
        </is>
      </c>
      <c r="B229" t="inlineStr"/>
      <c r="C229" s="15" t="inlineStr">
        <is>
          <t>115610</t>
        </is>
      </c>
      <c r="D229" s="15" t="inlineStr">
        <is>
          <t>KOSDAQ</t>
        </is>
      </c>
      <c r="E229" s="15" t="inlineStr">
        <is>
          <t>IDM/제조/메모리</t>
        </is>
      </c>
      <c r="F229" s="15" t="n">
        <v>36.33</v>
      </c>
      <c r="G229" s="15" t="n">
        <v>64.29000000000001</v>
      </c>
      <c r="H229" s="15" t="inlineStr">
        <is>
          <t>고평가 부담</t>
        </is>
      </c>
      <c r="I229" s="15" t="inlineStr">
        <is>
          <t>0.7470098487547145</t>
        </is>
      </c>
      <c r="J229" t="inlineStr"/>
      <c r="K229" t="inlineStr"/>
      <c r="L229" t="inlineStr"/>
    </row>
    <row r="230" ht="22" customHeight="1">
      <c r="A230" s="15" t="inlineStr">
        <is>
          <t>시지트로닉스</t>
        </is>
      </c>
      <c r="B230" t="inlineStr"/>
      <c r="C230" s="15" t="inlineStr">
        <is>
          <t>429270</t>
        </is>
      </c>
      <c r="D230" s="15" t="inlineStr">
        <is>
          <t>KOSDAQ</t>
        </is>
      </c>
      <c r="E230" s="15" t="inlineStr">
        <is>
          <t>IDM/제조/메모리</t>
        </is>
      </c>
      <c r="F230" s="15" t="n">
        <v>35.13</v>
      </c>
      <c r="G230" s="15" t="n">
        <v>71.43000000000001</v>
      </c>
      <c r="H230" s="15" t="inlineStr">
        <is>
          <t>고평가 부담</t>
        </is>
      </c>
      <c r="I230" s="15" t="inlineStr">
        <is>
          <t>0.8423539115807104</t>
        </is>
      </c>
      <c r="J230" t="inlineStr"/>
      <c r="K230" t="inlineStr"/>
      <c r="L230" t="inlineStr"/>
    </row>
    <row r="231" ht="22" customHeight="1">
      <c r="A231" s="15" t="inlineStr">
        <is>
          <t>인텍플러스</t>
        </is>
      </c>
      <c r="B231" t="inlineStr"/>
      <c r="C231" s="15" t="inlineStr">
        <is>
          <t>064290</t>
        </is>
      </c>
      <c r="D231" s="15" t="inlineStr">
        <is>
          <t>KOSDAQ</t>
        </is>
      </c>
      <c r="E231" s="15" t="inlineStr">
        <is>
          <t>후공정/패키징/테스트</t>
        </is>
      </c>
      <c r="F231" s="15" t="n">
        <v>34.31</v>
      </c>
      <c r="G231" s="15" t="n">
        <v>42.86</v>
      </c>
      <c r="H231" s="15" t="inlineStr">
        <is>
          <t>고평가 부담</t>
        </is>
      </c>
      <c r="I231" s="15" t="inlineStr">
        <is>
          <t>0.7612288958400996</t>
        </is>
      </c>
      <c r="J231" t="inlineStr"/>
      <c r="K231" t="inlineStr"/>
      <c r="L231" t="inlineStr"/>
    </row>
    <row r="232" ht="22" customHeight="1">
      <c r="A232" s="15" t="inlineStr">
        <is>
          <t>3S</t>
        </is>
      </c>
      <c r="B232" t="inlineStr"/>
      <c r="C232" s="15" t="inlineStr">
        <is>
          <t>060310</t>
        </is>
      </c>
      <c r="D232" s="15" t="inlineStr">
        <is>
          <t>KOSDAQ</t>
        </is>
      </c>
      <c r="E232" s="15" t="inlineStr">
        <is>
          <t>부품/기판</t>
        </is>
      </c>
      <c r="F232" s="15" t="n">
        <v>34.1</v>
      </c>
      <c r="G232" s="15" t="n">
        <v>57.14</v>
      </c>
      <c r="H232" s="15" t="inlineStr">
        <is>
          <t>고평가 부담</t>
        </is>
      </c>
      <c r="I232" s="15" t="inlineStr">
        <is>
          <t>0.8755971854841007</t>
        </is>
      </c>
      <c r="J232" t="inlineStr"/>
      <c r="K232" t="inlineStr"/>
      <c r="L232" t="inlineStr"/>
    </row>
    <row r="233" ht="22" customHeight="1">
      <c r="A233" s="15" t="inlineStr">
        <is>
          <t>천보</t>
        </is>
      </c>
      <c r="B233" t="inlineStr"/>
      <c r="C233" s="15" t="inlineStr">
        <is>
          <t>278280</t>
        </is>
      </c>
      <c r="D233" s="15" t="inlineStr">
        <is>
          <t>KOSDAQ</t>
        </is>
      </c>
      <c r="E233" s="15" t="inlineStr">
        <is>
          <t>소재</t>
        </is>
      </c>
      <c r="F233" s="15" t="n">
        <v>33.87</v>
      </c>
      <c r="G233" s="15" t="n">
        <v>35.71</v>
      </c>
      <c r="H233" s="15" t="inlineStr">
        <is>
          <t>고평가 부담</t>
        </is>
      </c>
      <c r="I233" s="15" t="inlineStr">
        <is>
          <t>0.5721835844163214</t>
        </is>
      </c>
      <c r="J233" t="inlineStr"/>
      <c r="K233" t="inlineStr"/>
      <c r="L233" t="inlineStr"/>
    </row>
    <row r="234" ht="22" customHeight="1">
      <c r="A234" s="15" t="inlineStr">
        <is>
          <t>후성</t>
        </is>
      </c>
      <c r="B234" t="inlineStr"/>
      <c r="C234" s="15" t="inlineStr">
        <is>
          <t>093370</t>
        </is>
      </c>
      <c r="D234" s="15" t="inlineStr">
        <is>
          <t>KOSPI</t>
        </is>
      </c>
      <c r="E234" s="15" t="inlineStr">
        <is>
          <t>소재</t>
        </is>
      </c>
      <c r="F234" s="15" t="n">
        <v>33.87</v>
      </c>
      <c r="G234" s="15" t="n">
        <v>14.29</v>
      </c>
      <c r="H234" s="15" t="inlineStr">
        <is>
          <t>고평가 부담</t>
        </is>
      </c>
      <c r="I234" s="15" t="inlineStr">
        <is>
          <t>0.7388215177779633</t>
        </is>
      </c>
      <c r="J234" t="inlineStr"/>
      <c r="K234" t="inlineStr"/>
      <c r="L234" t="inlineStr"/>
    </row>
    <row r="235" ht="22" customHeight="1">
      <c r="A235" s="15" t="inlineStr">
        <is>
          <t>한울반도체</t>
        </is>
      </c>
      <c r="B235" t="inlineStr"/>
      <c r="C235" s="15" t="inlineStr">
        <is>
          <t>320000</t>
        </is>
      </c>
      <c r="D235" s="15" t="inlineStr">
        <is>
          <t>KOSDAQ</t>
        </is>
      </c>
      <c r="E235" s="15" t="inlineStr">
        <is>
          <t>후공정/패키징/테스트</t>
        </is>
      </c>
      <c r="F235" s="15" t="n">
        <v>33.76</v>
      </c>
      <c r="G235" s="15" t="n">
        <v>71.43000000000001</v>
      </c>
      <c r="H235" s="15" t="inlineStr">
        <is>
          <t>고평가 부담</t>
        </is>
      </c>
      <c r="I235" s="15" t="inlineStr">
        <is>
          <t>0.7769228627558715</t>
        </is>
      </c>
      <c r="J235" t="inlineStr"/>
      <c r="K235" t="inlineStr"/>
      <c r="L235" t="inlineStr"/>
    </row>
    <row r="236" ht="22" customHeight="1">
      <c r="A236" s="15" t="inlineStr">
        <is>
          <t>유니테스트</t>
        </is>
      </c>
      <c r="B236" t="inlineStr"/>
      <c r="C236" s="15" t="inlineStr">
        <is>
          <t>086390</t>
        </is>
      </c>
      <c r="D236" s="15" t="inlineStr">
        <is>
          <t>KOSDAQ</t>
        </is>
      </c>
      <c r="E236" s="15" t="inlineStr">
        <is>
          <t>후공정/패키징/테스트</t>
        </is>
      </c>
      <c r="F236" s="15" t="n">
        <v>33.72</v>
      </c>
      <c r="G236" s="15" t="n">
        <v>57.14</v>
      </c>
      <c r="H236" s="15" t="inlineStr">
        <is>
          <t>고평가 부담</t>
        </is>
      </c>
      <c r="I236" s="15" t="inlineStr">
        <is>
          <t>0.9109345080202441</t>
        </is>
      </c>
      <c r="J236" t="inlineStr"/>
      <c r="K236" t="inlineStr"/>
      <c r="L236" t="inlineStr"/>
    </row>
    <row r="237" ht="22" customHeight="1">
      <c r="A237" s="15" t="inlineStr">
        <is>
          <t>에이직랜드</t>
        </is>
      </c>
      <c r="B237" t="inlineStr"/>
      <c r="C237" s="15" t="inlineStr">
        <is>
          <t>445090</t>
        </is>
      </c>
      <c r="D237" s="15" t="inlineStr">
        <is>
          <t>KOSDAQ</t>
        </is>
      </c>
      <c r="E237" s="15" t="inlineStr">
        <is>
          <t>팹리스/설계</t>
        </is>
      </c>
      <c r="F237" s="15" t="n">
        <v>32.95</v>
      </c>
      <c r="G237" s="15" t="n">
        <v>78.56999999999999</v>
      </c>
      <c r="H237" s="15" t="inlineStr">
        <is>
          <t>고평가 부담</t>
        </is>
      </c>
      <c r="I237" s="15" t="inlineStr">
        <is>
          <t>0.9058303131641584</t>
        </is>
      </c>
      <c r="J237" t="inlineStr"/>
      <c r="K237" t="inlineStr"/>
      <c r="L237" t="inlineStr"/>
    </row>
    <row r="238" ht="22" customHeight="1">
      <c r="A238" s="15" t="inlineStr">
        <is>
          <t>지니틱스</t>
        </is>
      </c>
      <c r="B238" t="inlineStr"/>
      <c r="C238" s="15" t="inlineStr">
        <is>
          <t>303030</t>
        </is>
      </c>
      <c r="D238" s="15" t="inlineStr">
        <is>
          <t>KOSDAQ</t>
        </is>
      </c>
      <c r="E238" s="15" t="inlineStr">
        <is>
          <t>IDM/제조/메모리</t>
        </is>
      </c>
      <c r="F238" s="15" t="n">
        <v>32.93</v>
      </c>
      <c r="G238" s="15" t="n">
        <v>71.43000000000001</v>
      </c>
      <c r="H238" s="15" t="inlineStr">
        <is>
          <t>고평가 부담</t>
        </is>
      </c>
      <c r="I238" s="15" t="inlineStr">
        <is>
          <t>0.6029464801919612</t>
        </is>
      </c>
      <c r="J238" t="inlineStr"/>
      <c r="K238" t="inlineStr"/>
      <c r="L238" t="inlineStr"/>
    </row>
    <row r="239" ht="22" customHeight="1">
      <c r="A239" s="15" t="inlineStr">
        <is>
          <t>엘케이켐</t>
        </is>
      </c>
      <c r="B239" t="inlineStr"/>
      <c r="C239" s="15" t="inlineStr">
        <is>
          <t>489500</t>
        </is>
      </c>
      <c r="D239" s="15" t="inlineStr">
        <is>
          <t>KOSDAQ</t>
        </is>
      </c>
      <c r="E239" s="15" t="inlineStr">
        <is>
          <t>소재</t>
        </is>
      </c>
      <c r="F239" s="15" t="n">
        <v>32.38</v>
      </c>
      <c r="G239" s="15" t="n">
        <v>28.57</v>
      </c>
      <c r="H239" s="15" t="inlineStr">
        <is>
          <t>고평가 부담</t>
        </is>
      </c>
      <c r="I239" s="15" t="inlineStr">
        <is>
          <t>0.702794478496214</t>
        </is>
      </c>
      <c r="J239" t="inlineStr"/>
      <c r="K239" t="inlineStr"/>
      <c r="L239" t="inlineStr"/>
    </row>
    <row r="240" ht="22" customHeight="1">
      <c r="A240" s="15" t="inlineStr">
        <is>
          <t>SKC</t>
        </is>
      </c>
      <c r="B240" t="inlineStr"/>
      <c r="C240" s="15" t="inlineStr">
        <is>
          <t>011790</t>
        </is>
      </c>
      <c r="D240" s="15" t="inlineStr">
        <is>
          <t>KOSPI</t>
        </is>
      </c>
      <c r="E240" s="15" t="inlineStr">
        <is>
          <t>소재</t>
        </is>
      </c>
      <c r="F240" s="15" t="n">
        <v>32.18</v>
      </c>
      <c r="G240" s="15" t="n">
        <v>71.43000000000001</v>
      </c>
      <c r="H240" s="15" t="inlineStr">
        <is>
          <t>고평가 부담</t>
        </is>
      </c>
      <c r="I240" s="15" t="inlineStr">
        <is>
          <t>0.865330691240198</t>
        </is>
      </c>
      <c r="J240" t="inlineStr"/>
      <c r="K240" t="inlineStr"/>
      <c r="L240" t="inlineStr"/>
    </row>
    <row r="241" ht="22" customHeight="1">
      <c r="A241" s="15" t="inlineStr">
        <is>
          <t>두산테스나</t>
        </is>
      </c>
      <c r="B241" t="inlineStr"/>
      <c r="C241" s="15" t="inlineStr">
        <is>
          <t>131970</t>
        </is>
      </c>
      <c r="D241" s="15" t="inlineStr">
        <is>
          <t>KOSDAQ GLOBAL</t>
        </is>
      </c>
      <c r="E241" s="15" t="inlineStr">
        <is>
          <t>후공정/패키징/테스트</t>
        </is>
      </c>
      <c r="F241" s="15" t="n">
        <v>32.17</v>
      </c>
      <c r="G241" s="15" t="n">
        <v>14.29</v>
      </c>
      <c r="H241" s="15" t="inlineStr">
        <is>
          <t>고평가 부담</t>
        </is>
      </c>
      <c r="I241" s="15" t="inlineStr">
        <is>
          <t>0.5774876642912814</t>
        </is>
      </c>
      <c r="J241" t="inlineStr"/>
      <c r="K241" t="inlineStr"/>
      <c r="L241" t="inlineStr"/>
    </row>
    <row r="242" ht="22" customHeight="1">
      <c r="A242" s="15" t="inlineStr">
        <is>
          <t>라닉스</t>
        </is>
      </c>
      <c r="B242" t="inlineStr"/>
      <c r="C242" s="15" t="inlineStr">
        <is>
          <t>317120</t>
        </is>
      </c>
      <c r="D242" s="15" t="inlineStr">
        <is>
          <t>KOSDAQ</t>
        </is>
      </c>
      <c r="E242" s="15" t="inlineStr">
        <is>
          <t>팹리스/설계</t>
        </is>
      </c>
      <c r="F242" s="15" t="n">
        <v>32.08</v>
      </c>
      <c r="G242" s="15" t="n">
        <v>71.43000000000001</v>
      </c>
      <c r="H242" s="15" t="inlineStr">
        <is>
          <t>고평가 부담</t>
        </is>
      </c>
      <c r="I242" s="15" t="inlineStr">
        <is>
          <t>0.9281808400807596</t>
        </is>
      </c>
      <c r="J242" t="inlineStr"/>
      <c r="K242" t="inlineStr"/>
      <c r="L242" t="inlineStr"/>
    </row>
    <row r="243" ht="22" customHeight="1">
      <c r="A243" s="15" t="inlineStr">
        <is>
          <t>아이에스티이</t>
        </is>
      </c>
      <c r="B243" t="inlineStr"/>
      <c r="C243" s="15" t="inlineStr">
        <is>
          <t>212710</t>
        </is>
      </c>
      <c r="D243" s="15" t="inlineStr">
        <is>
          <t>KOSDAQ</t>
        </is>
      </c>
      <c r="E243" s="15" t="inlineStr">
        <is>
          <t>IDM/제조/메모리</t>
        </is>
      </c>
      <c r="F243" s="15" t="n">
        <v>31.27</v>
      </c>
      <c r="G243" s="15" t="n">
        <v>71.43000000000001</v>
      </c>
      <c r="H243" s="15" t="inlineStr">
        <is>
          <t>고평가 부담</t>
        </is>
      </c>
      <c r="I243" s="15" t="inlineStr">
        <is>
          <t>0.6642993493743579</t>
        </is>
      </c>
      <c r="J243" t="inlineStr"/>
      <c r="K243" t="inlineStr"/>
      <c r="L243" t="inlineStr"/>
    </row>
    <row r="244" ht="22" customHeight="1">
      <c r="A244" s="15" t="inlineStr">
        <is>
          <t>가온칩스</t>
        </is>
      </c>
      <c r="B244" t="inlineStr"/>
      <c r="C244" s="15" t="inlineStr">
        <is>
          <t>399720</t>
        </is>
      </c>
      <c r="D244" s="15" t="inlineStr">
        <is>
          <t>KOSDAQ</t>
        </is>
      </c>
      <c r="E244" s="15" t="inlineStr">
        <is>
          <t>팹리스/설계</t>
        </is>
      </c>
      <c r="F244" s="15" t="n">
        <v>31.19</v>
      </c>
      <c r="G244" s="15" t="n">
        <v>57.14</v>
      </c>
      <c r="H244" s="15" t="inlineStr">
        <is>
          <t>고평가 부담</t>
        </is>
      </c>
      <c r="I244" s="15" t="inlineStr">
        <is>
          <t>0.9202856043409283</t>
        </is>
      </c>
      <c r="J244" t="inlineStr"/>
      <c r="K244" t="inlineStr"/>
      <c r="L244" t="inlineStr"/>
    </row>
    <row r="245" ht="22" customHeight="1">
      <c r="A245" s="15" t="inlineStr">
        <is>
          <t>네오셈</t>
        </is>
      </c>
      <c r="B245" t="inlineStr"/>
      <c r="C245" s="15" t="inlineStr">
        <is>
          <t>253590</t>
        </is>
      </c>
      <c r="D245" s="15" t="inlineStr">
        <is>
          <t>KOSDAQ</t>
        </is>
      </c>
      <c r="E245" s="15" t="inlineStr">
        <is>
          <t>후공정/패키징/테스트</t>
        </is>
      </c>
      <c r="F245" s="15" t="n">
        <v>30.59</v>
      </c>
      <c r="G245" s="15" t="n">
        <v>7.14</v>
      </c>
      <c r="H245" s="15" t="inlineStr">
        <is>
          <t>고평가 부담</t>
        </is>
      </c>
      <c r="I245" s="15" t="inlineStr">
        <is>
          <t>0.7695353673338539</t>
        </is>
      </c>
      <c r="J245" t="inlineStr"/>
      <c r="K245" t="inlineStr"/>
      <c r="L245" t="inlineStr"/>
    </row>
    <row r="246" ht="22" customHeight="1">
      <c r="A246" s="15" t="inlineStr">
        <is>
          <t>아스플로</t>
        </is>
      </c>
      <c r="B246" t="inlineStr"/>
      <c r="C246" s="15" t="inlineStr">
        <is>
          <t>159010</t>
        </is>
      </c>
      <c r="D246" s="15" t="inlineStr">
        <is>
          <t>KOSDAQ</t>
        </is>
      </c>
      <c r="E246" s="15" t="inlineStr">
        <is>
          <t>장비</t>
        </is>
      </c>
      <c r="F246" s="15" t="n">
        <v>30.25</v>
      </c>
      <c r="G246" s="15" t="n">
        <v>57.14</v>
      </c>
      <c r="H246" s="15" t="inlineStr">
        <is>
          <t>고평가 부담</t>
        </is>
      </c>
      <c r="I246" s="15" t="inlineStr">
        <is>
          <t>0.8970141905473263</t>
        </is>
      </c>
      <c r="J246" t="inlineStr"/>
      <c r="K246" t="inlineStr"/>
      <c r="L246" t="inlineStr"/>
    </row>
    <row r="247" ht="22" customHeight="1">
      <c r="A247" s="15" t="inlineStr">
        <is>
          <t>케이알엠</t>
        </is>
      </c>
      <c r="B247" t="inlineStr"/>
      <c r="C247" s="15" t="inlineStr">
        <is>
          <t>093640</t>
        </is>
      </c>
      <c r="D247" s="15" t="inlineStr">
        <is>
          <t>KOSDAQ</t>
        </is>
      </c>
      <c r="E247" s="15" t="inlineStr">
        <is>
          <t>IDM/제조/메모리</t>
        </is>
      </c>
      <c r="F247" s="15" t="n">
        <v>30.1</v>
      </c>
      <c r="G247" s="15" t="n">
        <v>42.86</v>
      </c>
      <c r="H247" s="15" t="inlineStr">
        <is>
          <t>고평가 부담</t>
        </is>
      </c>
      <c r="I247" s="15" t="inlineStr">
        <is>
          <t>0.7957205872008264</t>
        </is>
      </c>
      <c r="J247" t="inlineStr"/>
      <c r="K247" t="inlineStr"/>
      <c r="L247" t="inlineStr"/>
    </row>
    <row r="248" ht="22" customHeight="1">
      <c r="A248" s="15" t="inlineStr">
        <is>
          <t>오로스테크놀로지</t>
        </is>
      </c>
      <c r="B248" t="inlineStr"/>
      <c r="C248" s="15" t="inlineStr">
        <is>
          <t>322310</t>
        </is>
      </c>
      <c r="D248" s="15" t="inlineStr">
        <is>
          <t>KOSDAQ</t>
        </is>
      </c>
      <c r="E248" s="15" t="inlineStr">
        <is>
          <t>장비</t>
        </is>
      </c>
      <c r="F248" s="15" t="n">
        <v>29.69</v>
      </c>
      <c r="G248" s="15" t="n">
        <v>28.57</v>
      </c>
      <c r="H248" s="15" t="inlineStr">
        <is>
          <t>고평가 부담</t>
        </is>
      </c>
      <c r="I248" s="15" t="inlineStr">
        <is>
          <t>0.9263479879516093</t>
        </is>
      </c>
      <c r="J248" t="inlineStr"/>
      <c r="K248" t="inlineStr"/>
      <c r="L248" t="inlineStr"/>
    </row>
    <row r="249" ht="22" customHeight="1">
      <c r="A249" s="15" t="inlineStr">
        <is>
          <t>쏘닉스</t>
        </is>
      </c>
      <c r="B249" t="inlineStr"/>
      <c r="C249" s="15" t="inlineStr">
        <is>
          <t>088280</t>
        </is>
      </c>
      <c r="D249" s="15" t="inlineStr">
        <is>
          <t>KOSDAQ</t>
        </is>
      </c>
      <c r="E249" s="15" t="inlineStr">
        <is>
          <t>IDM/제조/메모리</t>
        </is>
      </c>
      <c r="F249" s="15" t="n">
        <v>29.25</v>
      </c>
      <c r="G249" s="15" t="n">
        <v>57.14</v>
      </c>
      <c r="H249" s="15" t="inlineStr">
        <is>
          <t>고평가 부담</t>
        </is>
      </c>
      <c r="I249" s="15" t="inlineStr">
        <is>
          <t>0.9167677788852596</t>
        </is>
      </c>
      <c r="J249" t="inlineStr"/>
      <c r="K249" t="inlineStr"/>
      <c r="L249" t="inlineStr"/>
    </row>
    <row r="250" ht="22" customHeight="1">
      <c r="A250" s="15" t="inlineStr">
        <is>
          <t>러셀</t>
        </is>
      </c>
      <c r="B250" t="inlineStr"/>
      <c r="C250" s="15" t="inlineStr">
        <is>
          <t>217500</t>
        </is>
      </c>
      <c r="D250" s="15" t="inlineStr">
        <is>
          <t>KOSDAQ</t>
        </is>
      </c>
      <c r="E250" s="15" t="inlineStr">
        <is>
          <t>장비</t>
        </is>
      </c>
      <c r="F250" s="15" t="n">
        <v>28.89</v>
      </c>
      <c r="G250" s="15" t="n">
        <v>57.14</v>
      </c>
      <c r="H250" s="15" t="inlineStr">
        <is>
          <t>고평가 부담</t>
        </is>
      </c>
      <c r="I250" s="15" t="inlineStr">
        <is>
          <t>0.873177337125051</t>
        </is>
      </c>
      <c r="J250" t="inlineStr"/>
      <c r="K250" t="inlineStr"/>
      <c r="L250" t="inlineStr"/>
    </row>
    <row r="251" ht="22" customHeight="1">
      <c r="A251" s="15" t="inlineStr">
        <is>
          <t>미래컴퍼니</t>
        </is>
      </c>
      <c r="B251" t="inlineStr"/>
      <c r="C251" s="15" t="inlineStr">
        <is>
          <t>049950</t>
        </is>
      </c>
      <c r="D251" s="15" t="inlineStr">
        <is>
          <t>KOSDAQ</t>
        </is>
      </c>
      <c r="E251" s="15" t="inlineStr">
        <is>
          <t>장비</t>
        </is>
      </c>
      <c r="F251" s="15" t="n">
        <v>28.75</v>
      </c>
      <c r="G251" s="15" t="n">
        <v>42.86</v>
      </c>
      <c r="H251" s="15" t="inlineStr">
        <is>
          <t>고평가 부담</t>
        </is>
      </c>
      <c r="I251" s="15" t="inlineStr">
        <is>
          <t>0.8354805452058427</t>
        </is>
      </c>
      <c r="J251" t="inlineStr"/>
      <c r="K251" t="inlineStr"/>
      <c r="L251" t="inlineStr"/>
    </row>
    <row r="252" ht="22" customHeight="1">
      <c r="A252" s="15" t="inlineStr">
        <is>
          <t>파두</t>
        </is>
      </c>
      <c r="B252" t="inlineStr"/>
      <c r="C252" s="15" t="inlineStr">
        <is>
          <t>440110</t>
        </is>
      </c>
      <c r="D252" s="15" t="inlineStr">
        <is>
          <t>KOSDAQ</t>
        </is>
      </c>
      <c r="E252" s="15" t="inlineStr">
        <is>
          <t>팹리스/설계</t>
        </is>
      </c>
      <c r="F252" s="15" t="n">
        <v>28.17</v>
      </c>
      <c r="G252" s="15" t="n">
        <v>71.43000000000001</v>
      </c>
      <c r="H252" s="15" t="inlineStr">
        <is>
          <t>고평가 부담</t>
        </is>
      </c>
      <c r="I252" s="15" t="inlineStr">
        <is>
          <t>0.9722302520284296</t>
        </is>
      </c>
      <c r="J252" t="inlineStr"/>
      <c r="K252" t="inlineStr"/>
      <c r="L252" t="inlineStr"/>
    </row>
    <row r="253" ht="22" customHeight="1">
      <c r="A253" s="15" t="inlineStr">
        <is>
          <t>예스티</t>
        </is>
      </c>
      <c r="B253" t="inlineStr"/>
      <c r="C253" s="15" t="inlineStr">
        <is>
          <t>122640</t>
        </is>
      </c>
      <c r="D253" s="15" t="inlineStr">
        <is>
          <t>KOSDAQ</t>
        </is>
      </c>
      <c r="E253" s="15" t="inlineStr">
        <is>
          <t>장비</t>
        </is>
      </c>
      <c r="F253" s="15" t="n">
        <v>27.79</v>
      </c>
      <c r="G253" s="15" t="n">
        <v>21.43</v>
      </c>
      <c r="H253" s="15" t="inlineStr">
        <is>
          <t>고평가 부담</t>
        </is>
      </c>
      <c r="I253" s="15" t="inlineStr">
        <is>
          <t>0.8070752756860592</t>
        </is>
      </c>
      <c r="J253" t="inlineStr"/>
      <c r="K253" t="inlineStr"/>
      <c r="L253" t="inlineStr"/>
    </row>
    <row r="254" ht="22" customHeight="1">
      <c r="A254" s="15" t="inlineStr">
        <is>
          <t>레이크머티리얼즈</t>
        </is>
      </c>
      <c r="B254" t="inlineStr"/>
      <c r="C254" s="15" t="inlineStr">
        <is>
          <t>281740</t>
        </is>
      </c>
      <c r="D254" s="15" t="inlineStr">
        <is>
          <t>KOSDAQ</t>
        </is>
      </c>
      <c r="E254" s="15" t="inlineStr">
        <is>
          <t>소재</t>
        </is>
      </c>
      <c r="F254" s="15" t="n">
        <v>26.77</v>
      </c>
      <c r="G254" s="15" t="n">
        <v>28.57</v>
      </c>
      <c r="H254" s="15" t="inlineStr">
        <is>
          <t>고평가 부담</t>
        </is>
      </c>
      <c r="I254" s="15" t="inlineStr">
        <is>
          <t>0.7822727417954645</t>
        </is>
      </c>
      <c r="J254" t="inlineStr"/>
      <c r="K254" t="inlineStr"/>
      <c r="L254" t="inlineStr"/>
    </row>
    <row r="255" ht="22" customHeight="1">
      <c r="A255" s="15" t="inlineStr">
        <is>
          <t>덕산테코피아</t>
        </is>
      </c>
      <c r="B255" s="15" t="inlineStr">
        <is>
          <t>duksan</t>
        </is>
      </c>
      <c r="C255" s="15" t="inlineStr">
        <is>
          <t>317330</t>
        </is>
      </c>
      <c r="D255" s="15" t="inlineStr">
        <is>
          <t>KOSDAQ</t>
        </is>
      </c>
      <c r="E255" s="15" t="inlineStr">
        <is>
          <t>소재</t>
        </is>
      </c>
      <c r="F255" s="15" t="n">
        <v>25.1</v>
      </c>
      <c r="G255" s="15" t="n">
        <v>71.43000000000001</v>
      </c>
      <c r="H255" s="15" t="inlineStr">
        <is>
          <t>고평가 부담</t>
        </is>
      </c>
      <c r="I255" s="15" t="inlineStr">
        <is>
          <t>0.9683283970250778</t>
        </is>
      </c>
      <c r="J255" s="15" t="inlineStr">
        <is>
          <t>예</t>
        </is>
      </c>
      <c r="K255" t="inlineStr"/>
      <c r="L255" t="inlineStr"/>
    </row>
    <row r="256" ht="22" customHeight="1">
      <c r="A256" s="15" t="inlineStr">
        <is>
          <t>피엠티</t>
        </is>
      </c>
      <c r="B256" t="inlineStr"/>
      <c r="C256" s="15" t="inlineStr">
        <is>
          <t>147760</t>
        </is>
      </c>
      <c r="D256" s="15" t="inlineStr">
        <is>
          <t>KOSDAQ</t>
        </is>
      </c>
      <c r="E256" s="15" t="inlineStr">
        <is>
          <t>후공정/패키징/테스트</t>
        </is>
      </c>
      <c r="F256" s="15" t="n">
        <v>24.71</v>
      </c>
      <c r="G256" s="15" t="n">
        <v>78.56999999999999</v>
      </c>
      <c r="H256" s="15" t="inlineStr">
        <is>
          <t>고평가 부담</t>
        </is>
      </c>
      <c r="I256" s="15" t="inlineStr">
        <is>
          <t>0.952821790032095</t>
        </is>
      </c>
      <c r="J256" t="inlineStr"/>
      <c r="K256" t="inlineStr"/>
      <c r="L256" t="inlineStr"/>
    </row>
    <row r="257" ht="22" customHeight="1">
      <c r="A257" s="15" t="inlineStr">
        <is>
          <t>아이씨티케이</t>
        </is>
      </c>
      <c r="B257" t="inlineStr"/>
      <c r="C257" s="15" t="inlineStr">
        <is>
          <t>456010</t>
        </is>
      </c>
      <c r="D257" s="15" t="inlineStr">
        <is>
          <t>KOSDAQ</t>
        </is>
      </c>
      <c r="E257" s="15" t="inlineStr">
        <is>
          <t>팹리스/설계</t>
        </is>
      </c>
      <c r="F257" s="15" t="n">
        <v>24.21</v>
      </c>
      <c r="G257" s="15" t="n">
        <v>57.14</v>
      </c>
      <c r="H257" s="15" t="inlineStr">
        <is>
          <t>고평가 부담</t>
        </is>
      </c>
      <c r="I257" s="15" t="inlineStr">
        <is>
          <t>0.9318776222941163</t>
        </is>
      </c>
      <c r="J257" t="inlineStr"/>
      <c r="K257" t="inlineStr"/>
      <c r="L257" t="inlineStr"/>
    </row>
    <row r="258" ht="22" customHeight="1">
      <c r="A258" s="15" t="inlineStr">
        <is>
          <t>오픈엣지테크놀로지</t>
        </is>
      </c>
      <c r="B258" t="inlineStr"/>
      <c r="C258" s="15" t="inlineStr">
        <is>
          <t>394280</t>
        </is>
      </c>
      <c r="D258" s="15" t="inlineStr">
        <is>
          <t>KOSDAQ</t>
        </is>
      </c>
      <c r="E258" s="15" t="inlineStr">
        <is>
          <t>팹리스/설계</t>
        </is>
      </c>
      <c r="F258" s="15" t="n">
        <v>23.84</v>
      </c>
      <c r="G258" s="15" t="n">
        <v>57.14</v>
      </c>
      <c r="H258" s="15" t="inlineStr">
        <is>
          <t>고평가 부담</t>
        </is>
      </c>
      <c r="I258" s="15" t="inlineStr">
        <is>
          <t>0.9776205348568181</t>
        </is>
      </c>
      <c r="J258" t="inlineStr"/>
      <c r="K258" t="inlineStr"/>
      <c r="L258" t="inlineStr"/>
    </row>
    <row r="259" ht="22" customHeight="1">
      <c r="A259" s="15" t="inlineStr">
        <is>
          <t>기가레인</t>
        </is>
      </c>
      <c r="B259" t="inlineStr"/>
      <c r="C259" s="15" t="inlineStr">
        <is>
          <t>049080</t>
        </is>
      </c>
      <c r="D259" s="15" t="inlineStr">
        <is>
          <t>KOSDAQ</t>
        </is>
      </c>
      <c r="E259" s="15" t="inlineStr">
        <is>
          <t>장비</t>
        </is>
      </c>
      <c r="F259" s="15" t="n">
        <v>23.53</v>
      </c>
      <c r="G259" s="15" t="n">
        <v>50</v>
      </c>
      <c r="H259" s="15" t="inlineStr">
        <is>
          <t>고평가 부담</t>
        </is>
      </c>
      <c r="I259" s="15" t="inlineStr">
        <is>
          <t>0.9628494209555842</t>
        </is>
      </c>
      <c r="J259" t="inlineStr"/>
      <c r="K259" t="inlineStr"/>
      <c r="L259" t="inlineStr"/>
    </row>
    <row r="260" ht="22" customHeight="1">
      <c r="A260" s="15" t="inlineStr">
        <is>
          <t>넥스틴</t>
        </is>
      </c>
      <c r="B260" t="inlineStr"/>
      <c r="C260" s="15" t="inlineStr">
        <is>
          <t>348210</t>
        </is>
      </c>
      <c r="D260" s="15" t="inlineStr">
        <is>
          <t>KOSDAQ GLOBAL</t>
        </is>
      </c>
      <c r="E260" s="15" t="inlineStr">
        <is>
          <t>장비</t>
        </is>
      </c>
      <c r="F260" s="15" t="n">
        <v>23.53</v>
      </c>
      <c r="G260" s="15" t="n">
        <v>42.86</v>
      </c>
      <c r="H260" s="15" t="inlineStr">
        <is>
          <t>고평가 부담</t>
        </is>
      </c>
      <c r="I260" s="15" t="inlineStr">
        <is>
          <t>0.7906546201121369</t>
        </is>
      </c>
      <c r="J260" t="inlineStr"/>
      <c r="K260" t="inlineStr"/>
      <c r="L260" t="inlineStr"/>
    </row>
    <row r="261" ht="22" customHeight="1">
      <c r="A261" s="15" t="inlineStr">
        <is>
          <t>주성엔지니어링</t>
        </is>
      </c>
      <c r="B261" t="inlineStr"/>
      <c r="C261" s="15" t="inlineStr">
        <is>
          <t>036930</t>
        </is>
      </c>
      <c r="D261" s="15" t="inlineStr">
        <is>
          <t>KOSDAQ GLOBAL</t>
        </is>
      </c>
      <c r="E261" s="15" t="inlineStr">
        <is>
          <t>장비</t>
        </is>
      </c>
      <c r="F261" s="15" t="n">
        <v>23.36</v>
      </c>
      <c r="G261" s="15" t="n">
        <v>28.57</v>
      </c>
      <c r="H261" s="15" t="inlineStr">
        <is>
          <t>고평가 부담</t>
        </is>
      </c>
      <c r="I261" s="15" t="inlineStr">
        <is>
          <t>0.7918979957613304</t>
        </is>
      </c>
      <c r="J261" t="inlineStr"/>
      <c r="K261" t="inlineStr"/>
      <c r="L261" t="inlineStr"/>
    </row>
    <row r="262" ht="22" customHeight="1">
      <c r="A262" s="15" t="inlineStr">
        <is>
          <t>테크윙</t>
        </is>
      </c>
      <c r="B262" t="inlineStr"/>
      <c r="C262" s="15" t="inlineStr">
        <is>
          <t>089030</t>
        </is>
      </c>
      <c r="D262" s="15" t="inlineStr">
        <is>
          <t>KOSDAQ</t>
        </is>
      </c>
      <c r="E262" s="15" t="inlineStr">
        <is>
          <t>후공정/패키징/테스트</t>
        </is>
      </c>
      <c r="F262" s="15" t="n">
        <v>22.06</v>
      </c>
      <c r="G262" s="15" t="n">
        <v>57.14</v>
      </c>
      <c r="H262" s="15" t="inlineStr">
        <is>
          <t>고평가 부담</t>
        </is>
      </c>
      <c r="I262" s="15" t="inlineStr">
        <is>
          <t>0.7946423848576873</t>
        </is>
      </c>
      <c r="J262" t="inlineStr"/>
      <c r="K262" t="inlineStr"/>
      <c r="L262" t="inlineStr"/>
    </row>
    <row r="263" ht="22" customHeight="1">
      <c r="A263" s="15" t="inlineStr">
        <is>
          <t>퀄리타스반도체</t>
        </is>
      </c>
      <c r="B263" t="inlineStr"/>
      <c r="C263" s="15" t="inlineStr">
        <is>
          <t>432720</t>
        </is>
      </c>
      <c r="D263" s="15" t="inlineStr">
        <is>
          <t>KOSDAQ</t>
        </is>
      </c>
      <c r="E263" s="15" t="inlineStr">
        <is>
          <t>팹리스/설계</t>
        </is>
      </c>
      <c r="F263" s="15" t="n">
        <v>21.19</v>
      </c>
      <c r="G263" s="15" t="n">
        <v>57.14</v>
      </c>
      <c r="H263" s="15" t="inlineStr">
        <is>
          <t>고평가 부담</t>
        </is>
      </c>
      <c r="I263" s="15" t="inlineStr">
        <is>
          <t>0.9844433173148716</t>
        </is>
      </c>
      <c r="J263" t="inlineStr"/>
      <c r="K263" t="inlineStr"/>
      <c r="L263" t="inlineStr"/>
    </row>
    <row r="264" ht="22" customHeight="1">
      <c r="A264" s="15" t="inlineStr">
        <is>
          <t>자람테크놀로지</t>
        </is>
      </c>
      <c r="B264" t="inlineStr"/>
      <c r="C264" s="15" t="inlineStr">
        <is>
          <t>389020</t>
        </is>
      </c>
      <c r="D264" s="15" t="inlineStr">
        <is>
          <t>KOSDAQ</t>
        </is>
      </c>
      <c r="E264" s="15" t="inlineStr">
        <is>
          <t>IDM/제조/메모리</t>
        </is>
      </c>
      <c r="F264" s="15" t="n">
        <v>19.95</v>
      </c>
      <c r="G264" s="15" t="n">
        <v>21.43</v>
      </c>
      <c r="H264" s="15" t="inlineStr">
        <is>
          <t>고평가 부담</t>
        </is>
      </c>
      <c r="I264" s="15" t="inlineStr">
        <is>
          <t>0.6873284389381621</t>
        </is>
      </c>
      <c r="J264" t="inlineStr"/>
      <c r="K264" t="inlineStr"/>
      <c r="L264" t="inlineStr"/>
    </row>
    <row r="265" ht="22" customHeight="1">
      <c r="A265" s="15" t="inlineStr">
        <is>
          <t>필옵틱스</t>
        </is>
      </c>
      <c r="B265" t="inlineStr"/>
      <c r="C265" s="15" t="inlineStr">
        <is>
          <t>161580</t>
        </is>
      </c>
      <c r="D265" s="15" t="inlineStr">
        <is>
          <t>KOSDAQ</t>
        </is>
      </c>
      <c r="E265" s="15" t="inlineStr">
        <is>
          <t>장비</t>
        </is>
      </c>
      <c r="F265" s="15" t="n">
        <v>17.41</v>
      </c>
      <c r="G265" s="15" t="n">
        <v>28.57</v>
      </c>
      <c r="H265" s="15" t="inlineStr">
        <is>
          <t>고평가 부담</t>
        </is>
      </c>
      <c r="I265" s="15" t="inlineStr">
        <is>
          <t>0.9632435860929522</t>
        </is>
      </c>
      <c r="J265" t="inlineStr"/>
      <c r="K265" t="inlineStr"/>
      <c r="L265" t="inlineStr"/>
    </row>
    <row r="266" ht="22" customHeight="1">
      <c r="A266" s="15" t="inlineStr">
        <is>
          <t>하이딥</t>
        </is>
      </c>
      <c r="B266" t="inlineStr"/>
      <c r="C266" s="15" t="inlineStr">
        <is>
          <t>365590</t>
        </is>
      </c>
      <c r="D266" s="15" t="inlineStr">
        <is>
          <t>KOSDAQ</t>
        </is>
      </c>
      <c r="E266" s="15" t="inlineStr">
        <is>
          <t>IDM/제조/메모리</t>
        </is>
      </c>
      <c r="F266" s="15" t="n">
        <v>12.5</v>
      </c>
      <c r="G266" s="15" t="n">
        <v>85.70999999999999</v>
      </c>
      <c r="H266" s="15" t="inlineStr">
        <is>
          <t>고평가 부담</t>
        </is>
      </c>
      <c r="I266" s="15" t="inlineStr">
        <is>
          <t>0.93355514861914</t>
        </is>
      </c>
      <c r="J266" t="inlineStr"/>
      <c r="K266" t="inlineStr"/>
      <c r="L266" t="inlineStr"/>
    </row>
  </sheetData>
  <mergeCells count="2">
    <mergeCell ref="A2:N2"/>
    <mergeCell ref="A1:N1"/>
  </mergeCells>
  <dataValidations count="1">
    <dataValidation sqref="B4" showDropDown="0" showInputMessage="0" showErrorMessage="0" allowBlank="0" type="list">
      <formula1>$A$59:$A$266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표시 개선 단계에서 예외가 발생했지만 가치평가 계산 결과는 정상 생성되었습니다.</t>
        </is>
      </c>
    </row>
    <row r="2">
      <c r="A2" t="inlineStr">
        <is>
          <t>'Cell'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2026-05-20T02:49:57Z</dcterms:created>
  <dcterms:modified xmlns:dcterms="http://purl.org/dc/terms/" xmlns:xsi="http://www.w3.org/2001/XMLSchema-instance" xsi:type="dcterms:W3CDTF">2026-05-20T02:50:08Z</dcterms:modified>
</cp:coreProperties>
</file>